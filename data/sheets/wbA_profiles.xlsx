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RRECT pareto" sheetId="1" r:id="rId5"/>
    <sheet state="visible" name="partial sums" sheetId="2" r:id="rId6"/>
    <sheet state="visible" name="Sheet2" sheetId="3" r:id="rId7"/>
    <sheet state="visible" name="formulas" sheetId="4" r:id="rId8"/>
    <sheet state="visible" name="6" sheetId="5" r:id="rId9"/>
    <sheet state="visible" name="pattern" sheetId="6" r:id="rId10"/>
    <sheet state="visible" name="Sheet4" sheetId="7" r:id="rId11"/>
    <sheet state="visible" name="Sheet5" sheetId="8" r:id="rId12"/>
    <sheet state="visible" name="Sheet6" sheetId="9" r:id="rId13"/>
    <sheet state="visible" name="color" sheetId="10" r:id="rId14"/>
    <sheet state="visible" name="decomposition" sheetId="11" r:id="rId15"/>
    <sheet state="visible" name="4736" sheetId="12" r:id="rId16"/>
  </sheets>
  <definedNames/>
  <calcPr/>
</workbook>
</file>

<file path=xl/sharedStrings.xml><?xml version="1.0" encoding="utf-8"?>
<sst xmlns="http://schemas.openxmlformats.org/spreadsheetml/2006/main" count="582" uniqueCount="227">
  <si>
    <t>M\K</t>
  </si>
  <si>
    <t>k</t>
  </si>
  <si>
    <t>k-1</t>
  </si>
  <si>
    <t>A</t>
  </si>
  <si>
    <t>2^k</t>
  </si>
  <si>
    <t>2^(k-1)</t>
  </si>
  <si>
    <t>B</t>
  </si>
  <si>
    <t>2^k-1</t>
  </si>
  <si>
    <t>2^(k-1)-1</t>
  </si>
  <si>
    <t>C</t>
  </si>
  <si>
    <t>2^k-1-k</t>
  </si>
  <si>
    <t>2^(k-1)-k</t>
  </si>
  <si>
    <t>D</t>
  </si>
  <si>
    <t>2^k-1-k(k+1)/2</t>
  </si>
  <si>
    <t>2^(k-1) - k(k^2-3k+8)/6</t>
  </si>
  <si>
    <t>E</t>
  </si>
  <si>
    <t>2^k-1-k(k^2+5)/6</t>
  </si>
  <si>
    <t>F</t>
  </si>
  <si>
    <t>2^k-1-k(k^3-2k^2+11k+14)/24</t>
  </si>
  <si>
    <t>G</t>
  </si>
  <si>
    <t>H</t>
  </si>
  <si>
    <t>p(1)</t>
  </si>
  <si>
    <t>a(k)</t>
  </si>
  <si>
    <t>p(2)</t>
  </si>
  <si>
    <t>b(k)=b(k-1)+a(k-1)</t>
  </si>
  <si>
    <t>p(3)</t>
  </si>
  <si>
    <t>2^k-k</t>
  </si>
  <si>
    <t>a(k-1)+c(k-1)=a(k-2)+b(k-1)+c(k-2)</t>
  </si>
  <si>
    <t>p(4)</t>
  </si>
  <si>
    <t>2^k-2-2k</t>
  </si>
  <si>
    <t>2*a(k-2)+2*c(k-2)=b(k-1)+b(k-2)+c(k-3)+c(k-3)</t>
  </si>
  <si>
    <t>p(5)</t>
  </si>
  <si>
    <t>2^k-5-k*(k-3)/2</t>
  </si>
  <si>
    <t>3*b(k-2)+d(k-2)=c(k-1)+b(k-3)+d(k-3)=b(k-1)+c(k-2)+b(k-3)+d(k-3)</t>
  </si>
  <si>
    <t>p(6)</t>
  </si>
  <si>
    <t>2^k-3-k*(k-1)/2</t>
  </si>
  <si>
    <t>B(k-2)+B(k-2)+C(k-2)+D(k-2)</t>
  </si>
  <si>
    <t>p(7)</t>
  </si>
  <si>
    <t>2^k-10-k^2+4k</t>
  </si>
  <si>
    <t>a(k-3)+4*b(k-3)+c(k-3)+2*d(k-3)</t>
  </si>
  <si>
    <t>sb(231:4,242:2) with [121:3,127:0] =&gt; sb(121:3,0:0) sb(121:1,110:3,115:2,0:0) sb(110:1,127:2)</t>
  </si>
  <si>
    <t>Sb(110:3,115:2,121:1)[681,352] with [53:1,63:2,57:0] =&gt; Sb(53:1,63:2,0:0)[179,119]Sb(53:2,57:1,0:0,52:2,57:1,0:0)[324,225]Sb(57:2,0:0,64:1)[178,124]</t>
  </si>
  <si>
    <t>Sb(53:2,52:2,57:1,57:1)[324,225] with [22:0,25:1,32:1,31:1] =&gt; Sb(0:0,25:1,32:1,31:1)[88,91]Sb(22:2,0:0,25:1,27:1,0:0,25:1,0:0,26:1)[147,131]Sb(31:2,27:1,0:0,0:0)[89,61]</t>
  </si>
  <si>
    <t>Sb(22:2,27:1,26:1,25:1,25:1)[147,131] with [11:1,11:0,16:1,10:0,15:1] =&gt; Sb(11:1,0:0,16:1,0:0,15:1)[42,45]Sb(11:1,11:1,11:1,0:0,0:0,10:1,10:1,0:0,0:0,10:1)[63,69]Sb(11:1,16:1,0:0,15:1,0:0)[42,45]</t>
  </si>
  <si>
    <t>p(8)</t>
  </si>
  <si>
    <t>2^k-2-k^2+2k</t>
  </si>
  <si>
    <t>sb(225,6) with [116:4] =&gt; sb(116:4) sb(109:4,116:2) sb(109:2)</t>
  </si>
  <si>
    <t>3*a(k-3)+3*c(k-3)+2*d(k-3)</t>
  </si>
  <si>
    <t>sb(109:4,116:2) with [58:3,53:0] =&gt; sb(58:3,0:0) sb(51:3,58:1,53:2,0:0) sb(51:1,63:2)</t>
  </si>
  <si>
    <t>Sb(51:3,53:2,58:1)[317,168] with [25:1,31:2,26:0] =&gt; Sb(25:1,31:2,0:0)[87,59]Sb(25:2,26:1,0:0,22:2,26:1,0:0)[146,105]Sb(26:2,0:0,32:1)[84,61]</t>
  </si>
  <si>
    <t>Sb(25:2,22:2,26:1,26:1)[146,105] with [12:1,8:0,14:1,16:1] =&gt; Sb(12:1,0:0,14:1,16:1)[42,45]Sb(12:1,13:1,8:2,0:0,0:0,12:1,0:0,10:1)[63,61]Sb(13:1,14:2,0:0,0:0)[41,30]</t>
  </si>
  <si>
    <t>Sb(8:2,13:1,12:1,12:1,10:1)[63,61] with [4:1,6:0,8:1,7:1,2:0] =&gt; Sb(4:1,0:0,8:1,7:1,0:0)[19,22]Sb(4:1,4:1,6:1,0:0,0:0,4:1,0:0,5:1,2:1,0:0)[25,31]Sb(4:1,7:1,0:0,0:0,8:1)[19,22]</t>
  </si>
  <si>
    <t>abccdd</t>
  </si>
  <si>
    <t>aaabbbccdd</t>
  </si>
  <si>
    <t>ab,ab</t>
  </si>
  <si>
    <t>p6'</t>
  </si>
  <si>
    <t>7a+7b+2d</t>
  </si>
  <si>
    <t>409?</t>
  </si>
  <si>
    <t>aaaaaaaBBBBBccDD</t>
  </si>
  <si>
    <t>aa ab, ab</t>
  </si>
  <si>
    <t>aa</t>
  </si>
  <si>
    <t>aaaa</t>
  </si>
  <si>
    <t>aaaaaaaa</t>
  </si>
  <si>
    <t>aaaaaaaaaaaaaaBBBBBBccDD</t>
  </si>
  <si>
    <t>aaab, aaaa</t>
  </si>
  <si>
    <t>aB</t>
  </si>
  <si>
    <t>aaaB</t>
  </si>
  <si>
    <t>aaaaaaaB</t>
  </si>
  <si>
    <t>aaaaaaaaaaaaaaaaaaaaaBBBBBBBccDD</t>
  </si>
  <si>
    <t>aaaaaaab</t>
  </si>
  <si>
    <t>21a+7b+2c+2d</t>
  </si>
  <si>
    <t>aC</t>
  </si>
  <si>
    <t>aaBc</t>
  </si>
  <si>
    <t>aaaaaBBc</t>
  </si>
  <si>
    <t>aacc</t>
  </si>
  <si>
    <t>aaaaBBcc</t>
  </si>
  <si>
    <t>bbbd</t>
  </si>
  <si>
    <t>aaaBBBcD</t>
  </si>
  <si>
    <t>bbcd</t>
  </si>
  <si>
    <t>aaBBBccD</t>
  </si>
  <si>
    <t>a</t>
  </si>
  <si>
    <t>aaaaAAAAaaaaAAAA</t>
  </si>
  <si>
    <t>aaaaAAAAaaaaAAAAaaaaAAAAaaaaAAAA</t>
  </si>
  <si>
    <t>b</t>
  </si>
  <si>
    <t>aaaaaaaaaaaaaaaB</t>
  </si>
  <si>
    <t>aaaaAAAAaaaaAAAAaaaaAAAAaaaaAAAb</t>
  </si>
  <si>
    <t>aBBBBcDD</t>
  </si>
  <si>
    <t>aaaaaaaaaaaaBBBc</t>
  </si>
  <si>
    <t>aaaaAAAAaaaaAAAAaaaaAAAAaaaBBBBc</t>
  </si>
  <si>
    <t>aaaaaaaaaaBBBBcc</t>
  </si>
  <si>
    <t>aaaaAAAAaaaaAAAAaaaaAAAAbbbbbbCC</t>
  </si>
  <si>
    <t>aaaaaaaaaBBBBccD</t>
  </si>
  <si>
    <t>aaaaaaaaaaaaaaaaaaaaaaBBBBBBcccD</t>
  </si>
  <si>
    <t>aaacccDD</t>
  </si>
  <si>
    <t>aaaaaaaBBBBBcccD</t>
  </si>
  <si>
    <t>aaaaaaaaaaaaaaaaaaaBBBBBBBBccccD</t>
  </si>
  <si>
    <t>aaaaaaBBBBBcccDD</t>
  </si>
  <si>
    <t>aaaaaaaaaaaaaaaaaBBBBBBBBcccccDD</t>
  </si>
  <si>
    <t>aaaaaaBBBcccccDD</t>
  </si>
  <si>
    <t>aaaaaaaaaaaaaaaBBBBBBBBcccccccDD</t>
  </si>
  <si>
    <t>abc</t>
  </si>
  <si>
    <t>aabc</t>
  </si>
  <si>
    <t>abcc</t>
  </si>
  <si>
    <t>aaab</t>
  </si>
  <si>
    <t>abccd</t>
  </si>
  <si>
    <t>aaaaaaaaBBB</t>
  </si>
  <si>
    <t>aaaaaaBBBBc-d</t>
  </si>
  <si>
    <t>1:1</t>
  </si>
  <si>
    <t>2:1</t>
  </si>
  <si>
    <t>4:1</t>
  </si>
  <si>
    <t>8:1</t>
  </si>
  <si>
    <t>3:1</t>
  </si>
  <si>
    <t>7:1</t>
  </si>
  <si>
    <t>2x</t>
  </si>
  <si>
    <t>4x</t>
  </si>
  <si>
    <t>2^k-1-k-k(k-1)/2</t>
  </si>
  <si>
    <t>k!/(k-a)!a!</t>
  </si>
  <si>
    <t>c</t>
  </si>
  <si>
    <t>d</t>
  </si>
  <si>
    <t xml:space="preserve"> +</t>
  </si>
  <si>
    <t>a a b</t>
  </si>
  <si>
    <t xml:space="preserve"> =</t>
  </si>
  <si>
    <t>aaabbccd</t>
  </si>
  <si>
    <t>aa ab</t>
  </si>
  <si>
    <t>aaaaaabbbccd</t>
  </si>
  <si>
    <t xml:space="preserve"> + aaab</t>
  </si>
  <si>
    <t xml:space="preserve"> = </t>
  </si>
  <si>
    <t>bbbD</t>
  </si>
  <si>
    <t>r\c</t>
  </si>
  <si>
    <t>000</t>
  </si>
  <si>
    <t>001</t>
  </si>
  <si>
    <t>010</t>
  </si>
  <si>
    <t>011</t>
  </si>
  <si>
    <t>100</t>
  </si>
  <si>
    <t>101</t>
  </si>
  <si>
    <t>110</t>
  </si>
  <si>
    <t>111</t>
  </si>
  <si>
    <t>0:0</t>
  </si>
  <si>
    <t>16:1</t>
  </si>
  <si>
    <t>11:1</t>
  </si>
  <si>
    <t>15:1</t>
  </si>
  <si>
    <t>473:6 @9 --[242:4]--&gt;</t>
  </si>
  <si>
    <t>242:4 @8 --[125:2]--&gt;</t>
  </si>
  <si>
    <t>125:2 @7 --[64:1]--&gt;</t>
  </si>
  <si>
    <t>64:1 @6 [canonical U_6]</t>
  </si>
  <si>
    <t>64:1,61:1 @6 --[32:1,31:1]--&gt;</t>
  </si>
  <si>
    <t>32:1,31:1 @5 [canonical U_5]</t>
  </si>
  <si>
    <t>32:1,30:1 @5 --[16:1,15:1]--&gt;</t>
  </si>
  <si>
    <t>16:1,15:1 @4 [canonical U_4]</t>
  </si>
  <si>
    <t>0:0 @4 [canonical U_4]</t>
  </si>
  <si>
    <t>0:0 @5 [canonical U_5]</t>
  </si>
  <si>
    <t>61:1 @6 --[32:1]--&gt;</t>
  </si>
  <si>
    <t>32:1 @5 [canonical U_5]</t>
  </si>
  <si>
    <t>29:1 @5 --[15:1]--&gt;</t>
  </si>
  <si>
    <t>15:1 @4 [canonical U_4]</t>
  </si>
  <si>
    <t>14:1 @4 --[7:1]--&gt;</t>
  </si>
  <si>
    <t>7:1 @3 [canonical U_3]</t>
  </si>
  <si>
    <t>0:0 @3 [canonical U_3]</t>
  </si>
  <si>
    <t>125:2,117:2 @7 --[63:2,58:1]--&gt;</t>
  </si>
  <si>
    <t>63:2,58:1 @6 --[32:1,26:0]--&gt;</t>
  </si>
  <si>
    <t>32:1,31:1,26:1 @5 [canonical U_5]</t>
  </si>
  <si>
    <t>62:2,59:1,58:1 @6 --[31:1,32:1,26:0]--&gt;</t>
  </si>
  <si>
    <t>31:1,31:1,27:1,26:1 @5 --[16:1,16:0,11:0,15:1]--&gt;</t>
  </si>
  <si>
    <t>16:1,15:1,11:1,11:1 @4 [canonical U_4]</t>
  </si>
  <si>
    <t>59:1 @6 --[32:1]--&gt;</t>
  </si>
  <si>
    <t>27:1 @5 --[16:1]--&gt;</t>
  </si>
  <si>
    <t>16:1 @4 [canonical U_4]</t>
  </si>
  <si>
    <t>11:1 @4 [canonical U_4]</t>
  </si>
  <si>
    <t>117:2 @7 --[64:1]--&gt;</t>
  </si>
  <si>
    <t>64:1,53:1 @6 --[32:1,31:1]--&gt;</t>
  </si>
  <si>
    <t>32:1,22:1 @5 --[16:1,15:1]--&gt;</t>
  </si>
  <si>
    <t>16:1,7:1 @4 --[8:1,7:1]--&gt;</t>
  </si>
  <si>
    <t>8:1,7:1 @3 [canonical U_3]</t>
  </si>
  <si>
    <t>8:1 @3 [canonical U_3]</t>
  </si>
  <si>
    <t>53:1 @6 --[32:1]--&gt;</t>
  </si>
  <si>
    <t>21:1 @5 --[16:1]--&gt;</t>
  </si>
  <si>
    <t>5:1 @4 [canonical U_4]</t>
  </si>
  <si>
    <t>231:4,242:2 @8 --[121:3,115:0]--&gt;</t>
  </si>
  <si>
    <t>121:3 @7 --[63:2]--&gt;</t>
  </si>
  <si>
    <t>63:2 @6 --[32:1]--&gt;</t>
  </si>
  <si>
    <t>31:1 @5 [canonical U_5]</t>
  </si>
  <si>
    <t>58:2,63:1 @6 --[32:1,31:0]--&gt;</t>
  </si>
  <si>
    <t>32:1,26:1 @5 [canonical U_5]</t>
  </si>
  <si>
    <t>58:1 @6 --[32:1]--&gt;</t>
  </si>
  <si>
    <t>26:1 @5 [canonical U_5]</t>
  </si>
  <si>
    <t>110:3,115:2,121:1 @7 --[57:2,52:0,64:1]--&gt;</t>
  </si>
  <si>
    <t>57:2,64:1 @6 --[31:2,32:0]--&gt;</t>
  </si>
  <si>
    <t>31:2 @5 --[16:1]--&gt;</t>
  </si>
  <si>
    <t>26:2,32:1 @5 --[15:2,16:0]--&gt;</t>
  </si>
  <si>
    <t>15:2 @4 --[8:1]--&gt;</t>
  </si>
  <si>
    <t>11:2,16:1 @4 --[7:1,8:1]--&gt;</t>
  </si>
  <si>
    <t>8:1,7:1,4:1 @3 [canonical U_3]</t>
  </si>
  <si>
    <t>4:1 @3 [canonical U_3]</t>
  </si>
  <si>
    <t>53:2,52:2,57:1,57:1 @6 --[31:2,27:1,26:0,25:0]--&gt;</t>
  </si>
  <si>
    <t>31:2,27:1 @5 --[16:1,11:0]--&gt;</t>
  </si>
  <si>
    <t>16:1,15:1,11:1 @4 [canonical U_4]</t>
  </si>
  <si>
    <t>22:2,27:1,26:1,25:1,25:1 @5 --[11:1,15:1,11:0,16:1,9:0]--&gt;</t>
  </si>
  <si>
    <t>12:1,11:1,11:1,11:1,9:1,9:1 @4 --[8:0,7:1,7:0,4:0,8:1,1:0]--&gt;</t>
  </si>
  <si>
    <t>8:1,7:1,4:1,4:1,1:1,1:1 @3 [canonical U_3]</t>
  </si>
  <si>
    <t>8:1,7:1,4:1,4:1 @3 [canonical U_3]</t>
  </si>
  <si>
    <t>32:1,31:1,25:1 @5 --[16:1,15:0,14:1]--&gt;</t>
  </si>
  <si>
    <t>16:1,14:1 @4 --[8:1,7:1]--&gt;</t>
  </si>
  <si>
    <t>63:2,53:1 @6 --[32:1,31:1]--&gt;</t>
  </si>
  <si>
    <t>32:1,31:1,22:1 @5 --[16:1,15:0,15:1]--&gt;</t>
  </si>
  <si>
    <t>16:1,15:1,7:1 @4 --[8:1,7:0,7:1]--&gt;</t>
  </si>
  <si>
    <t>127:2,110:1 @7 --[64:1,63:1]--&gt;</t>
  </si>
  <si>
    <t>64:1,63:1 @6 [canonical U_6]</t>
  </si>
  <si>
    <t>64:1,63:1,47:1 @6 --[32:1,31:0,31:1]--&gt;</t>
  </si>
  <si>
    <t>32:1,31:1,16:1 @5 [canonical U_5]</t>
  </si>
  <si>
    <t>63:1 @6 [canonical U_6]</t>
  </si>
  <si>
    <t>231:2 @8 --[128:1]--&gt;</t>
  </si>
  <si>
    <t>128:1 @7 [canonical U_7]</t>
  </si>
  <si>
    <t>128:1,103:1 @7 --[64:1,63:1]--&gt;</t>
  </si>
  <si>
    <t>64:1,40:1 @6 --[32:1,31:1]--&gt;</t>
  </si>
  <si>
    <t>32:1,9:1 @5 --[16:1,9:1]--&gt;</t>
  </si>
  <si>
    <t>16:1,9:1 @4 --[8:1,1:0]--&gt;</t>
  </si>
  <si>
    <t>8:1,1:1 @3 [canonical U_3]</t>
  </si>
  <si>
    <t>0:0 @6 [canonical U_6]</t>
  </si>
  <si>
    <t>103:1 @7 --[64:1]--&gt;</t>
  </si>
  <si>
    <t>39:1 @6 --[32:1]--&gt;</t>
  </si>
  <si>
    <t>7:1 @5 --[7:1]--&gt;</t>
  </si>
  <si>
    <t>7:1 @4 --[7:1]--&gt;</t>
  </si>
  <si>
    <t>n1:n2</t>
  </si>
  <si>
    <t>l2rat1</t>
  </si>
  <si>
    <t>l2rat2=</t>
  </si>
  <si>
    <t>(in 7)</t>
  </si>
  <si>
    <t>(in 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</si>
</sst>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0000"/>
      <name val="Arial"/>
    </font>
    <font>
      <color rgb="FF000000"/>
      <name val="Arial"/>
      <scheme val="minor"/>
    </font>
    <font>
      <color theme="1"/>
      <name val="Roboto Mono"/>
    </font>
    <font>
      <color rgb="FFB7B7B7"/>
      <name val="Roboto Mono"/>
    </font>
  </fonts>
  <fills count="1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  <fill>
      <patternFill patternType="solid">
        <fgColor rgb="FFD9D2E9"/>
        <bgColor rgb="FFD9D2E9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Font="1"/>
    <xf borderId="0" fillId="2" fontId="3" numFmtId="0" xfId="0" applyAlignment="1" applyFill="1" applyFont="1">
      <alignment horizontal="right" vertical="bottom"/>
    </xf>
    <xf borderId="0" fillId="2" fontId="5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2" fontId="4" numFmtId="0" xfId="0" applyAlignment="1" applyFont="1">
      <alignment horizontal="right" vertical="bottom"/>
    </xf>
    <xf borderId="0" fillId="3" fontId="2" numFmtId="0" xfId="0" applyFill="1" applyFont="1"/>
    <xf borderId="0" fillId="4" fontId="2" numFmtId="0" xfId="0" applyFill="1" applyFont="1"/>
    <xf borderId="0" fillId="5" fontId="4" numFmtId="0" xfId="0" applyAlignment="1" applyFill="1" applyFont="1">
      <alignment horizontal="right" readingOrder="0" vertical="bottom"/>
    </xf>
    <xf borderId="0" fillId="2" fontId="2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1" fillId="3" fontId="2" numFmtId="0" xfId="0" applyAlignment="1" applyBorder="1" applyFont="1">
      <alignment readingOrder="0"/>
    </xf>
    <xf borderId="2" fillId="3" fontId="2" numFmtId="0" xfId="0" applyBorder="1" applyFont="1"/>
    <xf borderId="2" fillId="4" fontId="2" numFmtId="0" xfId="0" applyAlignment="1" applyBorder="1" applyFont="1">
      <alignment readingOrder="0"/>
    </xf>
    <xf borderId="2" fillId="4" fontId="2" numFmtId="0" xfId="0" applyBorder="1" applyFont="1"/>
    <xf borderId="3" fillId="4" fontId="2" numFmtId="0" xfId="0" applyBorder="1" applyFont="1"/>
    <xf borderId="2" fillId="6" fontId="2" numFmtId="0" xfId="0" applyAlignment="1" applyBorder="1" applyFill="1" applyFont="1">
      <alignment readingOrder="0"/>
    </xf>
    <xf borderId="2" fillId="6" fontId="2" numFmtId="0" xfId="0" applyBorder="1" applyFont="1"/>
    <xf borderId="3" fillId="7" fontId="2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4" fontId="2" numFmtId="0" xfId="0" applyAlignment="1" applyBorder="1" applyFont="1">
      <alignment readingOrder="0"/>
    </xf>
    <xf borderId="5" fillId="4" fontId="2" numFmtId="0" xfId="0" applyBorder="1" applyFont="1"/>
    <xf borderId="5" fillId="8" fontId="2" numFmtId="0" xfId="0" applyAlignment="1" applyBorder="1" applyFill="1" applyFont="1">
      <alignment readingOrder="0"/>
    </xf>
    <xf borderId="6" fillId="0" fontId="2" numFmtId="0" xfId="0" applyAlignment="1" applyBorder="1" applyFont="1">
      <alignment readingOrder="0"/>
    </xf>
    <xf borderId="5" fillId="8" fontId="2" numFmtId="0" xfId="0" applyBorder="1" applyFont="1"/>
    <xf borderId="7" fillId="0" fontId="2" numFmtId="0" xfId="0" applyAlignment="1" applyBorder="1" applyFont="1">
      <alignment readingOrder="0"/>
    </xf>
    <xf borderId="8" fillId="8" fontId="2" numFmtId="0" xfId="0" applyBorder="1" applyFont="1"/>
    <xf borderId="2" fillId="0" fontId="2" numFmtId="0" xfId="0" applyAlignment="1" applyBorder="1" applyFont="1">
      <alignment readingOrder="0"/>
    </xf>
    <xf borderId="0" fillId="7" fontId="2" numFmtId="0" xfId="0" applyAlignment="1" applyFont="1">
      <alignment readingOrder="0"/>
    </xf>
    <xf borderId="3" fillId="0" fontId="2" numFmtId="0" xfId="0" applyAlignment="1" applyBorder="1" applyFont="1">
      <alignment readingOrder="0"/>
    </xf>
    <xf borderId="0" fillId="7" fontId="2" numFmtId="0" xfId="0" applyFont="1"/>
    <xf borderId="2" fillId="9" fontId="2" numFmtId="0" xfId="0" applyAlignment="1" applyBorder="1" applyFill="1" applyFont="1">
      <alignment readingOrder="0"/>
    </xf>
    <xf borderId="9" fillId="10" fontId="2" numFmtId="0" xfId="0" applyAlignment="1" applyBorder="1" applyFill="1" applyFont="1">
      <alignment readingOrder="0"/>
    </xf>
    <xf borderId="0" fillId="6" fontId="2" numFmtId="0" xfId="0" applyFont="1"/>
    <xf borderId="9" fillId="0" fontId="2" numFmtId="0" xfId="0" applyBorder="1" applyFont="1"/>
    <xf borderId="3" fillId="9" fontId="2" numFmtId="0" xfId="0" applyAlignment="1" applyBorder="1" applyFont="1">
      <alignment readingOrder="0"/>
    </xf>
    <xf borderId="4" fillId="1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10" fontId="2" numFmtId="0" xfId="0" applyBorder="1" applyFont="1"/>
    <xf borderId="5" fillId="0" fontId="2" numFmtId="0" xfId="0" applyAlignment="1" applyBorder="1" applyFont="1">
      <alignment readingOrder="0"/>
    </xf>
    <xf borderId="5" fillId="0" fontId="2" numFmtId="0" xfId="0" applyBorder="1" applyFont="1"/>
    <xf borderId="5" fillId="7" fontId="2" numFmtId="0" xfId="0" applyAlignment="1" applyBorder="1" applyFont="1">
      <alignment readingOrder="0"/>
    </xf>
    <xf borderId="8" fillId="0" fontId="2" numFmtId="0" xfId="0" applyBorder="1" applyFont="1"/>
    <xf borderId="0" fillId="9" fontId="2" numFmtId="0" xfId="0" applyAlignment="1" applyFont="1">
      <alignment readingOrder="0"/>
    </xf>
    <xf borderId="5" fillId="7" fontId="2" numFmtId="0" xfId="0" applyBorder="1" applyFont="1"/>
    <xf borderId="5" fillId="11" fontId="2" numFmtId="0" xfId="0" applyBorder="1" applyFill="1" applyFont="1"/>
    <xf borderId="9" fillId="0" fontId="2" numFmtId="0" xfId="0" applyAlignment="1" applyBorder="1" applyFont="1">
      <alignment readingOrder="0"/>
    </xf>
    <xf borderId="0" fillId="9" fontId="2" numFmtId="0" xfId="0" applyFont="1"/>
    <xf borderId="8" fillId="11" fontId="2" numFmtId="0" xfId="0" applyBorder="1" applyFont="1"/>
    <xf borderId="0" fillId="12" fontId="2" numFmtId="0" xfId="0" applyAlignment="1" applyFill="1" applyFont="1">
      <alignment readingOrder="0"/>
    </xf>
    <xf borderId="10" fillId="4" fontId="2" numFmtId="0" xfId="0" applyBorder="1" applyFont="1"/>
    <xf borderId="9" fillId="12" fontId="2" numFmtId="0" xfId="0" applyAlignment="1" applyBorder="1" applyFont="1">
      <alignment readingOrder="0"/>
    </xf>
    <xf borderId="5" fillId="9" fontId="2" numFmtId="0" xfId="0" applyAlignment="1" applyBorder="1" applyFont="1">
      <alignment readingOrder="0"/>
    </xf>
    <xf borderId="1" fillId="0" fontId="2" numFmtId="0" xfId="0" applyBorder="1" applyFont="1"/>
    <xf borderId="0" fillId="12" fontId="2" numFmtId="0" xfId="0" applyFont="1"/>
    <xf borderId="9" fillId="12" fontId="2" numFmtId="0" xfId="0" applyBorder="1" applyFont="1"/>
    <xf borderId="4" fillId="4" fontId="2" numFmtId="0" xfId="0" applyBorder="1" applyFont="1"/>
    <xf borderId="10" fillId="12" fontId="2" numFmtId="0" xfId="0" applyAlignment="1" applyBorder="1" applyFont="1">
      <alignment readingOrder="0"/>
    </xf>
    <xf borderId="4" fillId="12" fontId="2" numFmtId="0" xfId="0" applyAlignment="1" applyBorder="1" applyFont="1">
      <alignment readingOrder="0"/>
    </xf>
    <xf borderId="4" fillId="0" fontId="2" numFmtId="0" xfId="0" applyBorder="1" applyFont="1"/>
    <xf borderId="5" fillId="12" fontId="2" numFmtId="0" xfId="0" applyAlignment="1" applyBorder="1" applyFont="1">
      <alignment readingOrder="0"/>
    </xf>
    <xf borderId="5" fillId="12" fontId="2" numFmtId="0" xfId="0" applyBorder="1" applyFont="1"/>
    <xf borderId="3" fillId="13" fontId="2" numFmtId="0" xfId="0" applyAlignment="1" applyBorder="1" applyFill="1" applyFont="1">
      <alignment readingOrder="0"/>
    </xf>
    <xf borderId="1" fillId="4" fontId="2" numFmtId="0" xfId="0" applyAlignment="1" applyBorder="1" applyFont="1">
      <alignment readingOrder="0"/>
    </xf>
    <xf borderId="2" fillId="3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2" fillId="2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2" fillId="13" fontId="2" numFmtId="0" xfId="0" applyAlignment="1" applyBorder="1" applyFont="1">
      <alignment readingOrder="0"/>
    </xf>
    <xf borderId="3" fillId="14" fontId="2" numFmtId="0" xfId="0" applyAlignment="1" applyBorder="1" applyFill="1" applyFont="1">
      <alignment readingOrder="0"/>
    </xf>
    <xf borderId="2" fillId="14" fontId="2" numFmtId="0" xfId="0" applyAlignment="1" applyBorder="1" applyFont="1">
      <alignment readingOrder="0"/>
    </xf>
    <xf borderId="2" fillId="15" fontId="2" numFmtId="0" xfId="0" applyAlignment="1" applyBorder="1" applyFill="1" applyFont="1">
      <alignment readingOrder="0"/>
    </xf>
    <xf borderId="3" fillId="15" fontId="2" numFmtId="0" xfId="0" applyAlignment="1" applyBorder="1" applyFont="1">
      <alignment readingOrder="0"/>
    </xf>
    <xf borderId="4" fillId="13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10" fillId="4" fontId="2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0" fillId="13" fontId="2" numFmtId="0" xfId="0" applyAlignment="1" applyFont="1">
      <alignment readingOrder="0"/>
    </xf>
    <xf borderId="9" fillId="2" fontId="2" numFmtId="0" xfId="0" applyAlignment="1" applyBorder="1" applyFont="1">
      <alignment readingOrder="0"/>
    </xf>
    <xf borderId="10" fillId="2" fontId="2" numFmtId="0" xfId="0" applyBorder="1" applyFont="1"/>
    <xf borderId="9" fillId="2" fontId="2" numFmtId="0" xfId="0" applyBorder="1" applyFont="1"/>
    <xf borderId="0" fillId="14" fontId="2" numFmtId="0" xfId="0" applyAlignment="1" applyFont="1">
      <alignment readingOrder="0"/>
    </xf>
    <xf borderId="9" fillId="4" fontId="2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0" fillId="16" fontId="2" numFmtId="0" xfId="0" applyAlignment="1" applyFill="1" applyFont="1">
      <alignment readingOrder="0"/>
    </xf>
    <xf borderId="0" fillId="17" fontId="2" numFmtId="0" xfId="0" applyAlignment="1" applyFill="1" applyFont="1">
      <alignment readingOrder="0"/>
    </xf>
    <xf borderId="4" fillId="3" fontId="2" numFmtId="0" xfId="0" applyAlignment="1" applyBorder="1" applyFont="1">
      <alignment readingOrder="0"/>
    </xf>
    <xf borderId="5" fillId="13" fontId="2" numFmtId="0" xfId="0" applyAlignment="1" applyBorder="1" applyFont="1">
      <alignment readingOrder="0"/>
    </xf>
    <xf borderId="4" fillId="2" fontId="2" numFmtId="0" xfId="0" applyBorder="1" applyFont="1"/>
    <xf borderId="5" fillId="2" fontId="2" numFmtId="0" xfId="0" applyBorder="1" applyFont="1"/>
    <xf borderId="8" fillId="2" fontId="2" numFmtId="0" xfId="0" applyBorder="1" applyFont="1"/>
    <xf borderId="0" fillId="18" fontId="2" numFmtId="0" xfId="0" applyAlignment="1" applyFill="1" applyFont="1">
      <alignment readingOrder="0"/>
    </xf>
    <xf borderId="5" fillId="2" fontId="2" numFmtId="0" xfId="0" applyAlignment="1" applyBorder="1" applyFont="1">
      <alignment readingOrder="0"/>
    </xf>
    <xf borderId="8" fillId="2" fontId="2" numFmtId="0" xfId="0" applyAlignment="1" applyBorder="1" applyFont="1">
      <alignment readingOrder="0"/>
    </xf>
    <xf borderId="9" fillId="4" fontId="2" numFmtId="0" xfId="0" applyBorder="1" applyFont="1"/>
    <xf borderId="5" fillId="3" fontId="2" numFmtId="0" xfId="0" applyAlignment="1" applyBorder="1" applyFont="1">
      <alignment readingOrder="0"/>
    </xf>
    <xf borderId="5" fillId="14" fontId="2" numFmtId="0" xfId="0" applyAlignment="1" applyBorder="1" applyFont="1">
      <alignment readingOrder="0"/>
    </xf>
    <xf borderId="6" fillId="0" fontId="2" numFmtId="0" xfId="0" applyBorder="1" applyFont="1"/>
    <xf borderId="11" fillId="0" fontId="2" numFmtId="0" xfId="0" applyBorder="1" applyFont="1"/>
    <xf borderId="10" fillId="3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10" fillId="16" fontId="2" numFmtId="0" xfId="0" applyAlignment="1" applyBorder="1" applyFont="1">
      <alignment readingOrder="0"/>
    </xf>
    <xf borderId="9" fillId="13" fontId="2" numFmtId="0" xfId="0" applyAlignment="1" applyBorder="1" applyFont="1">
      <alignment readingOrder="0"/>
    </xf>
    <xf borderId="4" fillId="17" fontId="2" numFmtId="0" xfId="0" applyAlignment="1" applyBorder="1" applyFont="1">
      <alignment readingOrder="0"/>
    </xf>
    <xf borderId="5" fillId="15" fontId="2" numFmtId="0" xfId="0" applyAlignment="1" applyBorder="1" applyFont="1">
      <alignment readingOrder="0"/>
    </xf>
    <xf borderId="8" fillId="15" fontId="2" numFmtId="0" xfId="0" applyAlignment="1" applyBorder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1" width="4.38"/>
  </cols>
  <sheetData>
    <row r="3">
      <c r="A3" s="3" t="s">
        <v>0</v>
      </c>
      <c r="B3" s="5">
        <v>1.0</v>
      </c>
      <c r="C3" s="5">
        <v>2.0</v>
      </c>
      <c r="D3" s="5">
        <v>3.0</v>
      </c>
      <c r="E3" s="5">
        <v>4.0</v>
      </c>
      <c r="F3" s="5">
        <v>5.0</v>
      </c>
      <c r="G3" s="5">
        <v>6.0</v>
      </c>
      <c r="H3" s="5">
        <v>7.0</v>
      </c>
      <c r="I3" s="5">
        <v>8.0</v>
      </c>
      <c r="J3" s="6">
        <v>9.0</v>
      </c>
      <c r="K3" s="7"/>
      <c r="L3" s="7"/>
      <c r="M3" s="7"/>
      <c r="N3" s="5">
        <v>1.0</v>
      </c>
      <c r="O3" s="5">
        <v>2.0</v>
      </c>
      <c r="P3" s="5">
        <v>3.0</v>
      </c>
      <c r="Q3" s="5">
        <v>4.0</v>
      </c>
      <c r="R3" s="5">
        <v>5.0</v>
      </c>
      <c r="S3" s="5">
        <v>6.0</v>
      </c>
      <c r="T3" s="5">
        <v>7.0</v>
      </c>
      <c r="U3" s="5">
        <v>8.0</v>
      </c>
      <c r="V3" s="5"/>
      <c r="W3" s="5"/>
      <c r="X3" s="5">
        <v>1.0</v>
      </c>
      <c r="Y3" s="5">
        <v>2.0</v>
      </c>
      <c r="Z3" s="5">
        <v>3.0</v>
      </c>
      <c r="AA3" s="5">
        <v>4.0</v>
      </c>
      <c r="AB3" s="5">
        <v>5.0</v>
      </c>
      <c r="AC3" s="5">
        <v>6.0</v>
      </c>
      <c r="AD3" s="5">
        <v>7.0</v>
      </c>
      <c r="AE3" s="5">
        <v>8.0</v>
      </c>
    </row>
    <row r="4">
      <c r="A4" s="9">
        <v>1.0</v>
      </c>
      <c r="B4" s="10">
        <v>2.0</v>
      </c>
      <c r="C4" s="11">
        <v>4.0</v>
      </c>
      <c r="D4" s="11">
        <v>8.0</v>
      </c>
      <c r="E4" s="11">
        <v>16.0</v>
      </c>
      <c r="F4" s="11">
        <v>32.0</v>
      </c>
      <c r="G4" s="11">
        <v>64.0</v>
      </c>
      <c r="H4" s="11">
        <v>128.0</v>
      </c>
      <c r="I4" s="11">
        <v>256.0</v>
      </c>
      <c r="J4" s="7"/>
      <c r="K4" s="7"/>
      <c r="L4" s="7"/>
      <c r="M4" s="7"/>
      <c r="N4" s="10">
        <f t="shared" ref="N4:U4" si="1">$A4*B4</f>
        <v>2</v>
      </c>
      <c r="O4" s="11">
        <f t="shared" si="1"/>
        <v>4</v>
      </c>
      <c r="P4" s="11">
        <f t="shared" si="1"/>
        <v>8</v>
      </c>
      <c r="Q4" s="11">
        <f t="shared" si="1"/>
        <v>16</v>
      </c>
      <c r="R4" s="11">
        <f t="shared" si="1"/>
        <v>32</v>
      </c>
      <c r="S4" s="11">
        <f t="shared" si="1"/>
        <v>64</v>
      </c>
      <c r="T4" s="11">
        <f t="shared" si="1"/>
        <v>128</v>
      </c>
      <c r="U4" s="11">
        <f t="shared" si="1"/>
        <v>256</v>
      </c>
      <c r="V4" s="11"/>
      <c r="W4" s="11"/>
      <c r="X4" s="10">
        <f t="shared" ref="X4:AE4" si="2">B4/$A4</f>
        <v>2</v>
      </c>
      <c r="Y4" s="10">
        <f t="shared" si="2"/>
        <v>4</v>
      </c>
      <c r="Z4" s="10">
        <f t="shared" si="2"/>
        <v>8</v>
      </c>
      <c r="AA4" s="10">
        <f t="shared" si="2"/>
        <v>16</v>
      </c>
      <c r="AB4" s="10">
        <f t="shared" si="2"/>
        <v>32</v>
      </c>
      <c r="AC4" s="10">
        <f t="shared" si="2"/>
        <v>64</v>
      </c>
      <c r="AD4" s="10">
        <f t="shared" si="2"/>
        <v>128</v>
      </c>
      <c r="AE4" s="10">
        <f t="shared" si="2"/>
        <v>256</v>
      </c>
    </row>
    <row r="5">
      <c r="A5" s="9">
        <v>2.0</v>
      </c>
      <c r="B5" s="7"/>
      <c r="C5" s="10">
        <v>3.0</v>
      </c>
      <c r="D5" s="11">
        <v>7.0</v>
      </c>
      <c r="E5" s="11">
        <v>15.0</v>
      </c>
      <c r="F5" s="11">
        <v>31.0</v>
      </c>
      <c r="G5" s="11">
        <v>63.0</v>
      </c>
      <c r="H5" s="11">
        <v>127.0</v>
      </c>
      <c r="I5" s="11">
        <v>255.0</v>
      </c>
      <c r="J5" s="7"/>
      <c r="K5" s="7"/>
      <c r="L5" s="7"/>
      <c r="M5" s="7"/>
      <c r="N5" s="11">
        <f t="shared" ref="N5:U5" si="3">$A5*B5</f>
        <v>0</v>
      </c>
      <c r="O5" s="10">
        <f t="shared" si="3"/>
        <v>6</v>
      </c>
      <c r="P5" s="11">
        <f t="shared" si="3"/>
        <v>14</v>
      </c>
      <c r="Q5" s="11">
        <f t="shared" si="3"/>
        <v>30</v>
      </c>
      <c r="R5" s="11">
        <f t="shared" si="3"/>
        <v>62</v>
      </c>
      <c r="S5" s="11">
        <f t="shared" si="3"/>
        <v>126</v>
      </c>
      <c r="T5" s="11">
        <f t="shared" si="3"/>
        <v>254</v>
      </c>
      <c r="U5" s="11">
        <f t="shared" si="3"/>
        <v>510</v>
      </c>
      <c r="V5" s="11"/>
      <c r="W5" s="11"/>
      <c r="X5" s="10">
        <f t="shared" ref="X5:AE5" si="4">B5/$A5</f>
        <v>0</v>
      </c>
      <c r="Y5" s="10">
        <f t="shared" si="4"/>
        <v>1.5</v>
      </c>
      <c r="Z5" s="10">
        <f t="shared" si="4"/>
        <v>3.5</v>
      </c>
      <c r="AA5" s="10">
        <f t="shared" si="4"/>
        <v>7.5</v>
      </c>
      <c r="AB5" s="10">
        <f t="shared" si="4"/>
        <v>15.5</v>
      </c>
      <c r="AC5" s="10">
        <f t="shared" si="4"/>
        <v>31.5</v>
      </c>
      <c r="AD5" s="10">
        <f t="shared" si="4"/>
        <v>63.5</v>
      </c>
      <c r="AE5" s="10">
        <f t="shared" si="4"/>
        <v>127.5</v>
      </c>
    </row>
    <row r="6">
      <c r="A6" s="5">
        <v>3.0</v>
      </c>
      <c r="B6" s="7"/>
      <c r="C6" s="7"/>
      <c r="D6" s="12">
        <v>5.0</v>
      </c>
      <c r="E6" s="11">
        <v>12.0</v>
      </c>
      <c r="F6" s="11">
        <v>27.0</v>
      </c>
      <c r="G6" s="11">
        <v>58.0</v>
      </c>
      <c r="H6" s="11">
        <v>121.0</v>
      </c>
      <c r="I6" s="11">
        <v>248.0</v>
      </c>
      <c r="J6" s="7"/>
      <c r="K6" s="7"/>
      <c r="L6" s="7"/>
      <c r="M6" s="7"/>
      <c r="N6" s="11">
        <f t="shared" ref="N6:U6" si="5">$A6*B6</f>
        <v>0</v>
      </c>
      <c r="O6" s="11">
        <f t="shared" si="5"/>
        <v>0</v>
      </c>
      <c r="P6" s="12">
        <f t="shared" si="5"/>
        <v>15</v>
      </c>
      <c r="Q6" s="11">
        <f t="shared" si="5"/>
        <v>36</v>
      </c>
      <c r="R6" s="11">
        <f t="shared" si="5"/>
        <v>81</v>
      </c>
      <c r="S6" s="11">
        <f t="shared" si="5"/>
        <v>174</v>
      </c>
      <c r="T6" s="11">
        <f t="shared" si="5"/>
        <v>363</v>
      </c>
      <c r="U6" s="11">
        <f t="shared" si="5"/>
        <v>744</v>
      </c>
      <c r="V6" s="11"/>
      <c r="W6" s="11"/>
      <c r="X6" s="10">
        <f t="shared" ref="X6:AE6" si="6">B6/$A6</f>
        <v>0</v>
      </c>
      <c r="Y6" s="10">
        <f t="shared" si="6"/>
        <v>0</v>
      </c>
      <c r="Z6" s="10">
        <f t="shared" si="6"/>
        <v>1.666666667</v>
      </c>
      <c r="AA6" s="10">
        <f t="shared" si="6"/>
        <v>4</v>
      </c>
      <c r="AB6" s="10">
        <f t="shared" si="6"/>
        <v>9</v>
      </c>
      <c r="AC6" s="10">
        <f t="shared" si="6"/>
        <v>19.33333333</v>
      </c>
      <c r="AD6" s="10">
        <f t="shared" si="6"/>
        <v>40.33333333</v>
      </c>
      <c r="AE6" s="10">
        <f t="shared" si="6"/>
        <v>82.66666667</v>
      </c>
    </row>
    <row r="7">
      <c r="A7" s="9">
        <v>4.0</v>
      </c>
      <c r="B7" s="7"/>
      <c r="C7" s="7"/>
      <c r="D7" s="13">
        <v>4.0</v>
      </c>
      <c r="E7" s="11">
        <v>10.0</v>
      </c>
      <c r="F7" s="11">
        <v>24.0</v>
      </c>
      <c r="G7" s="11">
        <v>54.0</v>
      </c>
      <c r="H7" s="11">
        <v>116.0</v>
      </c>
      <c r="I7" s="11">
        <v>242.0</v>
      </c>
      <c r="J7" s="7"/>
      <c r="K7" s="7"/>
      <c r="L7" s="7"/>
      <c r="M7" s="7"/>
      <c r="N7" s="11">
        <f t="shared" ref="N7:U7" si="7">$A7*B7</f>
        <v>0</v>
      </c>
      <c r="O7" s="11">
        <f t="shared" si="7"/>
        <v>0</v>
      </c>
      <c r="P7" s="13">
        <f t="shared" si="7"/>
        <v>16</v>
      </c>
      <c r="Q7" s="11">
        <f t="shared" si="7"/>
        <v>40</v>
      </c>
      <c r="R7" s="11">
        <f t="shared" si="7"/>
        <v>96</v>
      </c>
      <c r="S7" s="11">
        <f t="shared" si="7"/>
        <v>216</v>
      </c>
      <c r="T7" s="11">
        <f t="shared" si="7"/>
        <v>464</v>
      </c>
      <c r="U7" s="11">
        <f t="shared" si="7"/>
        <v>968</v>
      </c>
      <c r="V7" s="11"/>
      <c r="W7" s="11"/>
      <c r="X7" s="10">
        <f t="shared" ref="X7:AE7" si="8">B7/$A7</f>
        <v>0</v>
      </c>
      <c r="Y7" s="10">
        <f t="shared" si="8"/>
        <v>0</v>
      </c>
      <c r="Z7" s="10">
        <f t="shared" si="8"/>
        <v>1</v>
      </c>
      <c r="AA7" s="10">
        <f t="shared" si="8"/>
        <v>2.5</v>
      </c>
      <c r="AB7" s="10">
        <f t="shared" si="8"/>
        <v>6</v>
      </c>
      <c r="AC7" s="10">
        <f t="shared" si="8"/>
        <v>13.5</v>
      </c>
      <c r="AD7" s="10">
        <f t="shared" si="8"/>
        <v>29</v>
      </c>
      <c r="AE7" s="10">
        <f t="shared" si="8"/>
        <v>60.5</v>
      </c>
    </row>
    <row r="8">
      <c r="A8" s="9">
        <v>5.0</v>
      </c>
      <c r="B8" s="7"/>
      <c r="C8" s="7"/>
      <c r="D8" s="7"/>
      <c r="E8" s="10">
        <v>9.0</v>
      </c>
      <c r="F8" s="11">
        <v>22.0</v>
      </c>
      <c r="G8" s="11">
        <v>50.0</v>
      </c>
      <c r="H8" s="11">
        <v>109.0</v>
      </c>
      <c r="I8" s="11">
        <v>231.0</v>
      </c>
      <c r="J8" s="6">
        <v>480.0</v>
      </c>
      <c r="K8" s="7"/>
      <c r="L8" s="7"/>
      <c r="M8" s="7"/>
      <c r="N8" s="11">
        <f t="shared" ref="N8:U8" si="9">$A8*B8</f>
        <v>0</v>
      </c>
      <c r="O8" s="11">
        <f t="shared" si="9"/>
        <v>0</v>
      </c>
      <c r="P8" s="11">
        <f t="shared" si="9"/>
        <v>0</v>
      </c>
      <c r="Q8" s="10">
        <f t="shared" si="9"/>
        <v>45</v>
      </c>
      <c r="R8" s="11">
        <f t="shared" si="9"/>
        <v>110</v>
      </c>
      <c r="S8" s="11">
        <f t="shared" si="9"/>
        <v>250</v>
      </c>
      <c r="T8" s="11">
        <f t="shared" si="9"/>
        <v>545</v>
      </c>
      <c r="U8" s="11">
        <f t="shared" si="9"/>
        <v>1155</v>
      </c>
      <c r="V8" s="11"/>
      <c r="W8" s="11"/>
      <c r="X8" s="10">
        <f t="shared" ref="X8:AE8" si="10">B8/$A8</f>
        <v>0</v>
      </c>
      <c r="Y8" s="10">
        <f t="shared" si="10"/>
        <v>0</v>
      </c>
      <c r="Z8" s="10">
        <f t="shared" si="10"/>
        <v>0</v>
      </c>
      <c r="AA8" s="10">
        <f t="shared" si="10"/>
        <v>1.8</v>
      </c>
      <c r="AB8" s="10">
        <f t="shared" si="10"/>
        <v>4.4</v>
      </c>
      <c r="AC8" s="10">
        <f t="shared" si="10"/>
        <v>10</v>
      </c>
      <c r="AD8" s="10">
        <f t="shared" si="10"/>
        <v>21.8</v>
      </c>
      <c r="AE8" s="10">
        <f t="shared" si="10"/>
        <v>46.2</v>
      </c>
    </row>
    <row r="9">
      <c r="A9" s="5">
        <v>6.0</v>
      </c>
      <c r="B9" s="7"/>
      <c r="C9" s="7"/>
      <c r="D9" s="7"/>
      <c r="E9" s="11">
        <v>7.0</v>
      </c>
      <c r="F9" s="11">
        <v>19.0</v>
      </c>
      <c r="G9" s="11">
        <v>46.0</v>
      </c>
      <c r="H9" s="11">
        <v>104.0</v>
      </c>
      <c r="I9" s="11">
        <v>225.0</v>
      </c>
      <c r="J9" s="6">
        <v>473.0</v>
      </c>
      <c r="K9" s="7"/>
      <c r="L9" s="7"/>
      <c r="M9" s="7"/>
      <c r="N9" s="11">
        <f t="shared" ref="N9:U9" si="11">$A9*B9</f>
        <v>0</v>
      </c>
      <c r="O9" s="11">
        <f t="shared" si="11"/>
        <v>0</v>
      </c>
      <c r="P9" s="11">
        <f t="shared" si="11"/>
        <v>0</v>
      </c>
      <c r="Q9" s="11">
        <f t="shared" si="11"/>
        <v>42</v>
      </c>
      <c r="R9" s="11">
        <f t="shared" si="11"/>
        <v>114</v>
      </c>
      <c r="S9" s="11">
        <f t="shared" si="11"/>
        <v>276</v>
      </c>
      <c r="T9" s="11">
        <f t="shared" si="11"/>
        <v>624</v>
      </c>
      <c r="U9" s="11">
        <f t="shared" si="11"/>
        <v>1350</v>
      </c>
      <c r="V9" s="11"/>
      <c r="W9" s="11"/>
      <c r="X9" s="10">
        <f t="shared" ref="X9:AE9" si="12">B9/$A9</f>
        <v>0</v>
      </c>
      <c r="Y9" s="10">
        <f t="shared" si="12"/>
        <v>0</v>
      </c>
      <c r="Z9" s="10">
        <f t="shared" si="12"/>
        <v>0</v>
      </c>
      <c r="AA9" s="10">
        <f t="shared" si="12"/>
        <v>1.166666667</v>
      </c>
      <c r="AB9" s="10">
        <f t="shared" si="12"/>
        <v>3.166666667</v>
      </c>
      <c r="AC9" s="10">
        <f t="shared" si="12"/>
        <v>7.666666667</v>
      </c>
      <c r="AD9" s="10">
        <f t="shared" si="12"/>
        <v>17.33333333</v>
      </c>
      <c r="AE9" s="10">
        <f t="shared" si="12"/>
        <v>37.5</v>
      </c>
    </row>
    <row r="10">
      <c r="A10" s="5">
        <v>7.0</v>
      </c>
      <c r="B10" s="7"/>
      <c r="C10" s="7"/>
      <c r="D10" s="7"/>
      <c r="E10" s="7"/>
      <c r="F10" s="11">
        <v>17.0</v>
      </c>
      <c r="G10" s="11">
        <v>42.0</v>
      </c>
      <c r="H10" s="11">
        <v>97.0</v>
      </c>
      <c r="I10" s="11">
        <v>214.0</v>
      </c>
      <c r="J10" s="7"/>
      <c r="K10" s="7"/>
      <c r="L10" s="7"/>
      <c r="M10" s="7"/>
      <c r="N10" s="11">
        <f t="shared" ref="N10:U10" si="13">$A10*B10</f>
        <v>0</v>
      </c>
      <c r="O10" s="11">
        <f t="shared" si="13"/>
        <v>0</v>
      </c>
      <c r="P10" s="11">
        <f t="shared" si="13"/>
        <v>0</v>
      </c>
      <c r="Q10" s="11">
        <f t="shared" si="13"/>
        <v>0</v>
      </c>
      <c r="R10" s="11">
        <f t="shared" si="13"/>
        <v>119</v>
      </c>
      <c r="S10" s="11">
        <f t="shared" si="13"/>
        <v>294</v>
      </c>
      <c r="T10" s="11">
        <f t="shared" si="13"/>
        <v>679</v>
      </c>
      <c r="U10" s="11">
        <f t="shared" si="13"/>
        <v>1498</v>
      </c>
      <c r="V10" s="11"/>
      <c r="W10" s="11"/>
      <c r="X10" s="10">
        <f t="shared" ref="X10:AE10" si="14">B10/$A10</f>
        <v>0</v>
      </c>
      <c r="Y10" s="10">
        <f t="shared" si="14"/>
        <v>0</v>
      </c>
      <c r="Z10" s="10">
        <f t="shared" si="14"/>
        <v>0</v>
      </c>
      <c r="AA10" s="10">
        <f t="shared" si="14"/>
        <v>0</v>
      </c>
      <c r="AB10" s="10">
        <f t="shared" si="14"/>
        <v>2.428571429</v>
      </c>
      <c r="AC10" s="10">
        <f t="shared" si="14"/>
        <v>6</v>
      </c>
      <c r="AD10" s="10">
        <f t="shared" si="14"/>
        <v>13.85714286</v>
      </c>
      <c r="AE10" s="10">
        <f t="shared" si="14"/>
        <v>30.57142857</v>
      </c>
    </row>
    <row r="11">
      <c r="A11" s="5">
        <v>8.0</v>
      </c>
      <c r="B11" s="7"/>
      <c r="C11" s="7"/>
      <c r="D11" s="7"/>
      <c r="E11" s="7"/>
      <c r="F11" s="12">
        <v>15.0</v>
      </c>
      <c r="G11" s="11">
        <v>38.0</v>
      </c>
      <c r="H11" s="11">
        <v>91.0</v>
      </c>
      <c r="I11" s="11">
        <v>206.0</v>
      </c>
      <c r="J11" s="7"/>
      <c r="K11" s="7"/>
      <c r="L11" s="7"/>
      <c r="M11" s="7"/>
      <c r="N11" s="11">
        <f t="shared" ref="N11:U11" si="15">$A11*B11</f>
        <v>0</v>
      </c>
      <c r="O11" s="11">
        <f t="shared" si="15"/>
        <v>0</v>
      </c>
      <c r="P11" s="11">
        <f t="shared" si="15"/>
        <v>0</v>
      </c>
      <c r="Q11" s="11">
        <f t="shared" si="15"/>
        <v>0</v>
      </c>
      <c r="R11" s="12">
        <f t="shared" si="15"/>
        <v>120</v>
      </c>
      <c r="S11" s="11">
        <f t="shared" si="15"/>
        <v>304</v>
      </c>
      <c r="T11" s="11">
        <f t="shared" si="15"/>
        <v>728</v>
      </c>
      <c r="U11" s="11">
        <f t="shared" si="15"/>
        <v>1648</v>
      </c>
      <c r="V11" s="11"/>
      <c r="W11" s="11"/>
      <c r="X11" s="10">
        <f t="shared" ref="X11:AE11" si="16">B11/$A11</f>
        <v>0</v>
      </c>
      <c r="Y11" s="10">
        <f t="shared" si="16"/>
        <v>0</v>
      </c>
      <c r="Z11" s="10">
        <f t="shared" si="16"/>
        <v>0</v>
      </c>
      <c r="AA11" s="10">
        <f t="shared" si="16"/>
        <v>0</v>
      </c>
      <c r="AB11" s="10">
        <f t="shared" si="16"/>
        <v>1.875</v>
      </c>
      <c r="AC11" s="10">
        <f t="shared" si="16"/>
        <v>4.75</v>
      </c>
      <c r="AD11" s="10">
        <f t="shared" si="16"/>
        <v>11.375</v>
      </c>
      <c r="AE11" s="10">
        <f t="shared" si="16"/>
        <v>25.75</v>
      </c>
    </row>
    <row r="12">
      <c r="A12" s="9">
        <v>9.0</v>
      </c>
      <c r="B12" s="7"/>
      <c r="C12" s="7"/>
      <c r="D12" s="7"/>
      <c r="E12" s="7"/>
      <c r="F12" s="13">
        <v>14.0</v>
      </c>
      <c r="G12" s="11">
        <v>36.0</v>
      </c>
      <c r="H12" s="11">
        <v>87.0</v>
      </c>
      <c r="I12" s="11">
        <v>198.0</v>
      </c>
      <c r="J12" s="7"/>
      <c r="K12" s="7"/>
      <c r="L12" s="7"/>
      <c r="M12" s="7"/>
      <c r="N12" s="11">
        <f t="shared" ref="N12:U12" si="17">$A12*B12</f>
        <v>0</v>
      </c>
      <c r="O12" s="11">
        <f t="shared" si="17"/>
        <v>0</v>
      </c>
      <c r="P12" s="11">
        <f t="shared" si="17"/>
        <v>0</v>
      </c>
      <c r="Q12" s="11">
        <f t="shared" si="17"/>
        <v>0</v>
      </c>
      <c r="R12" s="13">
        <f t="shared" si="17"/>
        <v>126</v>
      </c>
      <c r="S12" s="11">
        <f t="shared" si="17"/>
        <v>324</v>
      </c>
      <c r="T12" s="11">
        <f t="shared" si="17"/>
        <v>783</v>
      </c>
      <c r="U12" s="11">
        <f t="shared" si="17"/>
        <v>1782</v>
      </c>
      <c r="V12" s="11"/>
      <c r="W12" s="11"/>
      <c r="X12" s="10">
        <f t="shared" ref="X12:AE12" si="18">B12/$A12</f>
        <v>0</v>
      </c>
      <c r="Y12" s="10">
        <f t="shared" si="18"/>
        <v>0</v>
      </c>
      <c r="Z12" s="10">
        <f t="shared" si="18"/>
        <v>0</v>
      </c>
      <c r="AA12" s="10">
        <f t="shared" si="18"/>
        <v>0</v>
      </c>
      <c r="AB12" s="10">
        <f t="shared" si="18"/>
        <v>1.555555556</v>
      </c>
      <c r="AC12" s="10">
        <f t="shared" si="18"/>
        <v>4</v>
      </c>
      <c r="AD12" s="10">
        <f t="shared" si="18"/>
        <v>9.666666667</v>
      </c>
      <c r="AE12" s="10">
        <f t="shared" si="18"/>
        <v>22</v>
      </c>
    </row>
    <row r="13">
      <c r="A13" s="5">
        <v>10.0</v>
      </c>
      <c r="B13" s="7"/>
      <c r="C13" s="7"/>
      <c r="D13" s="7"/>
      <c r="E13" s="7"/>
      <c r="F13" s="11">
        <v>12.0</v>
      </c>
      <c r="G13" s="11">
        <v>33.0</v>
      </c>
      <c r="H13" s="11">
        <v>82.0</v>
      </c>
      <c r="I13" s="16">
        <v>189.0</v>
      </c>
      <c r="J13" s="7"/>
      <c r="K13" s="7"/>
      <c r="L13" s="7"/>
      <c r="M13" s="7"/>
      <c r="N13" s="11">
        <f t="shared" ref="N13:U13" si="19">$A13*B13</f>
        <v>0</v>
      </c>
      <c r="O13" s="11">
        <f t="shared" si="19"/>
        <v>0</v>
      </c>
      <c r="P13" s="11">
        <f t="shared" si="19"/>
        <v>0</v>
      </c>
      <c r="Q13" s="11">
        <f t="shared" si="19"/>
        <v>0</v>
      </c>
      <c r="R13" s="11">
        <f t="shared" si="19"/>
        <v>120</v>
      </c>
      <c r="S13" s="11">
        <f t="shared" si="19"/>
        <v>330</v>
      </c>
      <c r="T13" s="11">
        <f t="shared" si="19"/>
        <v>820</v>
      </c>
      <c r="U13" s="11">
        <f t="shared" si="19"/>
        <v>1890</v>
      </c>
      <c r="V13" s="11"/>
      <c r="W13" s="11"/>
      <c r="X13" s="10">
        <f t="shared" ref="X13:AE13" si="20">B13/$A13</f>
        <v>0</v>
      </c>
      <c r="Y13" s="10">
        <f t="shared" si="20"/>
        <v>0</v>
      </c>
      <c r="Z13" s="10">
        <f t="shared" si="20"/>
        <v>0</v>
      </c>
      <c r="AA13" s="10">
        <f t="shared" si="20"/>
        <v>0</v>
      </c>
      <c r="AB13" s="10">
        <f t="shared" si="20"/>
        <v>1.2</v>
      </c>
      <c r="AC13" s="10">
        <f t="shared" si="20"/>
        <v>3.3</v>
      </c>
      <c r="AD13" s="10">
        <f t="shared" si="20"/>
        <v>8.2</v>
      </c>
      <c r="AE13" s="10">
        <f t="shared" si="20"/>
        <v>18.9</v>
      </c>
    </row>
    <row r="14">
      <c r="A14" s="5">
        <v>11.0</v>
      </c>
      <c r="B14" s="7"/>
      <c r="C14" s="7"/>
      <c r="D14" s="7"/>
      <c r="E14" s="7"/>
      <c r="F14" s="11">
        <v>11.0</v>
      </c>
      <c r="G14" s="11">
        <v>31.0</v>
      </c>
      <c r="H14" s="11">
        <v>77.0</v>
      </c>
      <c r="I14" s="16">
        <v>182.0</v>
      </c>
      <c r="J14" s="6" t="s">
        <v>57</v>
      </c>
      <c r="K14" s="7"/>
      <c r="L14" s="7"/>
      <c r="M14" s="7"/>
      <c r="N14" s="11">
        <f t="shared" ref="N14:U14" si="21">$A14*B14</f>
        <v>0</v>
      </c>
      <c r="O14" s="11">
        <f t="shared" si="21"/>
        <v>0</v>
      </c>
      <c r="P14" s="11">
        <f t="shared" si="21"/>
        <v>0</v>
      </c>
      <c r="Q14" s="11">
        <f t="shared" si="21"/>
        <v>0</v>
      </c>
      <c r="R14" s="11">
        <f t="shared" si="21"/>
        <v>121</v>
      </c>
      <c r="S14" s="11">
        <f t="shared" si="21"/>
        <v>341</v>
      </c>
      <c r="T14" s="11">
        <f t="shared" si="21"/>
        <v>847</v>
      </c>
      <c r="U14" s="11">
        <f t="shared" si="21"/>
        <v>2002</v>
      </c>
      <c r="V14" s="11"/>
      <c r="W14" s="11"/>
      <c r="X14" s="10">
        <f t="shared" ref="X14:AE14" si="22">B14/$A14</f>
        <v>0</v>
      </c>
      <c r="Y14" s="10">
        <f t="shared" si="22"/>
        <v>0</v>
      </c>
      <c r="Z14" s="10">
        <f t="shared" si="22"/>
        <v>0</v>
      </c>
      <c r="AA14" s="10">
        <f t="shared" si="22"/>
        <v>0</v>
      </c>
      <c r="AB14" s="10">
        <f t="shared" si="22"/>
        <v>1</v>
      </c>
      <c r="AC14" s="10">
        <f t="shared" si="22"/>
        <v>2.818181818</v>
      </c>
      <c r="AD14" s="10">
        <f t="shared" si="22"/>
        <v>7</v>
      </c>
      <c r="AE14" s="10">
        <f t="shared" si="22"/>
        <v>16.54545455</v>
      </c>
    </row>
    <row r="15">
      <c r="A15" s="5">
        <v>12.0</v>
      </c>
      <c r="B15" s="7"/>
      <c r="C15" s="7"/>
      <c r="D15" s="7"/>
      <c r="E15" s="7"/>
      <c r="F15" s="7"/>
      <c r="G15" s="11">
        <v>29.0</v>
      </c>
      <c r="H15" s="11">
        <v>73.0</v>
      </c>
      <c r="I15" s="16">
        <v>174.0</v>
      </c>
      <c r="J15" s="7"/>
      <c r="K15" s="7"/>
      <c r="L15" s="7"/>
      <c r="M15" s="7"/>
      <c r="N15" s="11">
        <f t="shared" ref="N15:U15" si="23">$A15*B15</f>
        <v>0</v>
      </c>
      <c r="O15" s="11">
        <f t="shared" si="23"/>
        <v>0</v>
      </c>
      <c r="P15" s="11">
        <f t="shared" si="23"/>
        <v>0</v>
      </c>
      <c r="Q15" s="11">
        <f t="shared" si="23"/>
        <v>0</v>
      </c>
      <c r="R15" s="11">
        <f t="shared" si="23"/>
        <v>0</v>
      </c>
      <c r="S15" s="11">
        <f t="shared" si="23"/>
        <v>348</v>
      </c>
      <c r="T15" s="11">
        <f t="shared" si="23"/>
        <v>876</v>
      </c>
      <c r="U15" s="11">
        <f t="shared" si="23"/>
        <v>2088</v>
      </c>
      <c r="V15" s="11"/>
      <c r="W15" s="11"/>
      <c r="X15" s="10">
        <f t="shared" ref="X15:AE15" si="24">B15/$A15</f>
        <v>0</v>
      </c>
      <c r="Y15" s="10">
        <f t="shared" si="24"/>
        <v>0</v>
      </c>
      <c r="Z15" s="10">
        <f t="shared" si="24"/>
        <v>0</v>
      </c>
      <c r="AA15" s="10">
        <f t="shared" si="24"/>
        <v>0</v>
      </c>
      <c r="AB15" s="10">
        <f t="shared" si="24"/>
        <v>0</v>
      </c>
      <c r="AC15" s="10">
        <f t="shared" si="24"/>
        <v>2.416666667</v>
      </c>
      <c r="AD15" s="10">
        <f t="shared" si="24"/>
        <v>6.083333333</v>
      </c>
      <c r="AE15" s="10">
        <f t="shared" si="24"/>
        <v>14.5</v>
      </c>
    </row>
    <row r="16">
      <c r="A16" s="5">
        <v>13.0</v>
      </c>
      <c r="B16" s="7"/>
      <c r="C16" s="7"/>
      <c r="D16" s="7"/>
      <c r="E16" s="7"/>
      <c r="F16" s="7"/>
      <c r="G16" s="11">
        <v>27.0</v>
      </c>
      <c r="H16" s="11">
        <v>69.0</v>
      </c>
      <c r="I16" s="16">
        <v>168.0</v>
      </c>
      <c r="J16" s="7"/>
      <c r="K16" s="7"/>
      <c r="L16" s="7"/>
      <c r="M16" s="7"/>
      <c r="N16" s="11">
        <f t="shared" ref="N16:U16" si="25">$A16*B16</f>
        <v>0</v>
      </c>
      <c r="O16" s="11">
        <f t="shared" si="25"/>
        <v>0</v>
      </c>
      <c r="P16" s="11">
        <f t="shared" si="25"/>
        <v>0</v>
      </c>
      <c r="Q16" s="11">
        <f t="shared" si="25"/>
        <v>0</v>
      </c>
      <c r="R16" s="11">
        <f t="shared" si="25"/>
        <v>0</v>
      </c>
      <c r="S16" s="11">
        <f t="shared" si="25"/>
        <v>351</v>
      </c>
      <c r="T16" s="11">
        <f t="shared" si="25"/>
        <v>897</v>
      </c>
      <c r="U16" s="11">
        <f t="shared" si="25"/>
        <v>2184</v>
      </c>
      <c r="V16" s="11"/>
      <c r="W16" s="11"/>
      <c r="X16" s="10">
        <f t="shared" ref="X16:AE16" si="26">B16/$A16</f>
        <v>0</v>
      </c>
      <c r="Y16" s="10">
        <f t="shared" si="26"/>
        <v>0</v>
      </c>
      <c r="Z16" s="10">
        <f t="shared" si="26"/>
        <v>0</v>
      </c>
      <c r="AA16" s="10">
        <f t="shared" si="26"/>
        <v>0</v>
      </c>
      <c r="AB16" s="10">
        <f t="shared" si="26"/>
        <v>0</v>
      </c>
      <c r="AC16" s="10">
        <f t="shared" si="26"/>
        <v>2.076923077</v>
      </c>
      <c r="AD16" s="10">
        <f t="shared" si="26"/>
        <v>5.307692308</v>
      </c>
      <c r="AE16" s="10">
        <f t="shared" si="26"/>
        <v>12.92307692</v>
      </c>
    </row>
    <row r="17">
      <c r="A17" s="5">
        <v>14.0</v>
      </c>
      <c r="B17" s="7"/>
      <c r="C17" s="7"/>
      <c r="D17" s="7"/>
      <c r="E17" s="7"/>
      <c r="F17" s="7"/>
      <c r="G17" s="12">
        <v>25.0</v>
      </c>
      <c r="H17" s="11">
        <v>66.0</v>
      </c>
      <c r="I17" s="16">
        <v>161.0</v>
      </c>
      <c r="J17" s="7"/>
      <c r="K17" s="7"/>
      <c r="L17" s="7"/>
      <c r="M17" s="7"/>
      <c r="N17" s="11">
        <f t="shared" ref="N17:U17" si="27">$A17*B17</f>
        <v>0</v>
      </c>
      <c r="O17" s="11">
        <f t="shared" si="27"/>
        <v>0</v>
      </c>
      <c r="P17" s="11">
        <f t="shared" si="27"/>
        <v>0</v>
      </c>
      <c r="Q17" s="11">
        <f t="shared" si="27"/>
        <v>0</v>
      </c>
      <c r="R17" s="11">
        <f t="shared" si="27"/>
        <v>0</v>
      </c>
      <c r="S17" s="12">
        <f t="shared" si="27"/>
        <v>350</v>
      </c>
      <c r="T17" s="11">
        <f t="shared" si="27"/>
        <v>924</v>
      </c>
      <c r="U17" s="11">
        <f t="shared" si="27"/>
        <v>2254</v>
      </c>
      <c r="V17" s="11"/>
      <c r="W17" s="11"/>
      <c r="X17" s="10">
        <f t="shared" ref="X17:AE17" si="28">B17/$A17</f>
        <v>0</v>
      </c>
      <c r="Y17" s="10">
        <f t="shared" si="28"/>
        <v>0</v>
      </c>
      <c r="Z17" s="10">
        <f t="shared" si="28"/>
        <v>0</v>
      </c>
      <c r="AA17" s="10">
        <f t="shared" si="28"/>
        <v>0</v>
      </c>
      <c r="AB17" s="10">
        <f t="shared" si="28"/>
        <v>0</v>
      </c>
      <c r="AC17" s="10">
        <f t="shared" si="28"/>
        <v>1.785714286</v>
      </c>
      <c r="AD17" s="10">
        <f t="shared" si="28"/>
        <v>4.714285714</v>
      </c>
      <c r="AE17" s="10">
        <f t="shared" si="28"/>
        <v>11.5</v>
      </c>
    </row>
    <row r="18">
      <c r="A18" s="5">
        <v>15.0</v>
      </c>
      <c r="B18" s="7"/>
      <c r="C18" s="7"/>
      <c r="D18" s="7"/>
      <c r="E18" s="7"/>
      <c r="F18" s="7"/>
      <c r="G18" s="11">
        <v>24.0</v>
      </c>
      <c r="H18" s="11">
        <v>63.0</v>
      </c>
      <c r="I18" s="16">
        <v>155.0</v>
      </c>
      <c r="J18" s="7"/>
      <c r="K18" s="7"/>
      <c r="L18" s="7"/>
      <c r="M18" s="7"/>
      <c r="N18" s="11">
        <f t="shared" ref="N18:U18" si="29">$A18*B18</f>
        <v>0</v>
      </c>
      <c r="O18" s="11">
        <f t="shared" si="29"/>
        <v>0</v>
      </c>
      <c r="P18" s="11">
        <f t="shared" si="29"/>
        <v>0</v>
      </c>
      <c r="Q18" s="11">
        <f t="shared" si="29"/>
        <v>0</v>
      </c>
      <c r="R18" s="11">
        <f t="shared" si="29"/>
        <v>0</v>
      </c>
      <c r="S18" s="11">
        <f t="shared" si="29"/>
        <v>360</v>
      </c>
      <c r="T18" s="11">
        <f t="shared" si="29"/>
        <v>945</v>
      </c>
      <c r="U18" s="11">
        <f t="shared" si="29"/>
        <v>2325</v>
      </c>
      <c r="V18" s="11"/>
      <c r="W18" s="11"/>
      <c r="X18" s="10">
        <f t="shared" ref="X18:AE18" si="30">B18/$A18</f>
        <v>0</v>
      </c>
      <c r="Y18" s="10">
        <f t="shared" si="30"/>
        <v>0</v>
      </c>
      <c r="Z18" s="10">
        <f t="shared" si="30"/>
        <v>0</v>
      </c>
      <c r="AA18" s="10">
        <f t="shared" si="30"/>
        <v>0</v>
      </c>
      <c r="AB18" s="10">
        <f t="shared" si="30"/>
        <v>0</v>
      </c>
      <c r="AC18" s="10">
        <f t="shared" si="30"/>
        <v>1.6</v>
      </c>
      <c r="AD18" s="10">
        <f t="shared" si="30"/>
        <v>4.2</v>
      </c>
      <c r="AE18" s="10">
        <f t="shared" si="30"/>
        <v>10.33333333</v>
      </c>
    </row>
    <row r="19">
      <c r="A19" s="5">
        <v>16.0</v>
      </c>
      <c r="B19" s="7"/>
      <c r="C19" s="7"/>
      <c r="D19" s="7"/>
      <c r="E19" s="7"/>
      <c r="F19" s="7"/>
      <c r="G19" s="11">
        <v>22.0</v>
      </c>
      <c r="H19" s="11">
        <v>60.0</v>
      </c>
      <c r="I19" s="16">
        <v>150.0</v>
      </c>
      <c r="J19" s="7"/>
      <c r="K19" s="7"/>
      <c r="L19" s="7"/>
      <c r="M19" s="7"/>
      <c r="N19" s="11">
        <f t="shared" ref="N19:U19" si="31">$A19*B19</f>
        <v>0</v>
      </c>
      <c r="O19" s="11">
        <f t="shared" si="31"/>
        <v>0</v>
      </c>
      <c r="P19" s="11">
        <f t="shared" si="31"/>
        <v>0</v>
      </c>
      <c r="Q19" s="11">
        <f t="shared" si="31"/>
        <v>0</v>
      </c>
      <c r="R19" s="11">
        <f t="shared" si="31"/>
        <v>0</v>
      </c>
      <c r="S19" s="11">
        <f t="shared" si="31"/>
        <v>352</v>
      </c>
      <c r="T19" s="11">
        <f t="shared" si="31"/>
        <v>960</v>
      </c>
      <c r="U19" s="11">
        <f t="shared" si="31"/>
        <v>2400</v>
      </c>
      <c r="V19" s="11"/>
      <c r="W19" s="11"/>
      <c r="X19" s="10">
        <f t="shared" ref="X19:AE19" si="32">B19/$A19</f>
        <v>0</v>
      </c>
      <c r="Y19" s="10">
        <f t="shared" si="32"/>
        <v>0</v>
      </c>
      <c r="Z19" s="10">
        <f t="shared" si="32"/>
        <v>0</v>
      </c>
      <c r="AA19" s="10">
        <f t="shared" si="32"/>
        <v>0</v>
      </c>
      <c r="AB19" s="10">
        <f t="shared" si="32"/>
        <v>0</v>
      </c>
      <c r="AC19" s="10">
        <f t="shared" si="32"/>
        <v>1.375</v>
      </c>
      <c r="AD19" s="10">
        <f t="shared" si="32"/>
        <v>3.75</v>
      </c>
      <c r="AE19" s="10">
        <f t="shared" si="32"/>
        <v>9.375</v>
      </c>
    </row>
    <row r="20">
      <c r="A20" s="5">
        <v>17.0</v>
      </c>
      <c r="B20" s="7"/>
      <c r="C20" s="7"/>
      <c r="D20" s="7"/>
      <c r="E20" s="7"/>
      <c r="F20" s="7"/>
      <c r="G20" s="11">
        <v>21.0</v>
      </c>
      <c r="H20" s="11">
        <v>58.0</v>
      </c>
      <c r="I20" s="16">
        <v>144.0</v>
      </c>
      <c r="J20" s="7"/>
      <c r="K20" s="7"/>
      <c r="L20" s="7"/>
      <c r="M20" s="7"/>
      <c r="N20" s="11">
        <f t="shared" ref="N20:U20" si="33">$A20*B20</f>
        <v>0</v>
      </c>
      <c r="O20" s="11">
        <f t="shared" si="33"/>
        <v>0</v>
      </c>
      <c r="P20" s="11">
        <f t="shared" si="33"/>
        <v>0</v>
      </c>
      <c r="Q20" s="11">
        <f t="shared" si="33"/>
        <v>0</v>
      </c>
      <c r="R20" s="11">
        <f t="shared" si="33"/>
        <v>0</v>
      </c>
      <c r="S20" s="11">
        <f t="shared" si="33"/>
        <v>357</v>
      </c>
      <c r="T20" s="11">
        <f t="shared" si="33"/>
        <v>986</v>
      </c>
      <c r="U20" s="11">
        <f t="shared" si="33"/>
        <v>2448</v>
      </c>
      <c r="V20" s="11"/>
      <c r="W20" s="11"/>
      <c r="X20" s="10">
        <f t="shared" ref="X20:AE20" si="34">B20/$A20</f>
        <v>0</v>
      </c>
      <c r="Y20" s="10">
        <f t="shared" si="34"/>
        <v>0</v>
      </c>
      <c r="Z20" s="10">
        <f t="shared" si="34"/>
        <v>0</v>
      </c>
      <c r="AA20" s="10">
        <f t="shared" si="34"/>
        <v>0</v>
      </c>
      <c r="AB20" s="10">
        <f t="shared" si="34"/>
        <v>0</v>
      </c>
      <c r="AC20" s="10">
        <f t="shared" si="34"/>
        <v>1.235294118</v>
      </c>
      <c r="AD20" s="10">
        <f t="shared" si="34"/>
        <v>3.411764706</v>
      </c>
      <c r="AE20" s="10">
        <f t="shared" si="34"/>
        <v>8.470588235</v>
      </c>
    </row>
    <row r="21">
      <c r="A21" s="5">
        <v>18.0</v>
      </c>
      <c r="B21" s="7"/>
      <c r="C21" s="7"/>
      <c r="D21" s="7"/>
      <c r="E21" s="7"/>
      <c r="F21" s="7"/>
      <c r="G21" s="11">
        <v>20.0</v>
      </c>
      <c r="H21" s="11">
        <v>55.0</v>
      </c>
      <c r="I21" s="11">
        <v>139.0</v>
      </c>
      <c r="J21" s="7"/>
      <c r="K21" s="7"/>
      <c r="L21" s="7"/>
      <c r="M21" s="7"/>
      <c r="N21" s="11">
        <f t="shared" ref="N21:U21" si="35">$A21*B21</f>
        <v>0</v>
      </c>
      <c r="O21" s="11">
        <f t="shared" si="35"/>
        <v>0</v>
      </c>
      <c r="P21" s="11">
        <f t="shared" si="35"/>
        <v>0</v>
      </c>
      <c r="Q21" s="11">
        <f t="shared" si="35"/>
        <v>0</v>
      </c>
      <c r="R21" s="11">
        <f t="shared" si="35"/>
        <v>0</v>
      </c>
      <c r="S21" s="11">
        <f t="shared" si="35"/>
        <v>360</v>
      </c>
      <c r="T21" s="11">
        <f t="shared" si="35"/>
        <v>990</v>
      </c>
      <c r="U21" s="11">
        <f t="shared" si="35"/>
        <v>2502</v>
      </c>
      <c r="V21" s="11"/>
      <c r="W21" s="11"/>
      <c r="X21" s="10">
        <f t="shared" ref="X21:AE21" si="36">B21/$A21</f>
        <v>0</v>
      </c>
      <c r="Y21" s="10">
        <f t="shared" si="36"/>
        <v>0</v>
      </c>
      <c r="Z21" s="10">
        <f t="shared" si="36"/>
        <v>0</v>
      </c>
      <c r="AA21" s="10">
        <f t="shared" si="36"/>
        <v>0</v>
      </c>
      <c r="AB21" s="10">
        <f t="shared" si="36"/>
        <v>0</v>
      </c>
      <c r="AC21" s="10">
        <f t="shared" si="36"/>
        <v>1.111111111</v>
      </c>
      <c r="AD21" s="10">
        <f t="shared" si="36"/>
        <v>3.055555556</v>
      </c>
      <c r="AE21" s="10">
        <f t="shared" si="36"/>
        <v>7.722222222</v>
      </c>
    </row>
    <row r="22">
      <c r="A22" s="9">
        <v>19.0</v>
      </c>
      <c r="B22" s="7"/>
      <c r="C22" s="7"/>
      <c r="D22" s="7"/>
      <c r="E22" s="7"/>
      <c r="F22" s="7"/>
      <c r="G22" s="13">
        <v>19.0</v>
      </c>
      <c r="H22" s="11">
        <v>53.0</v>
      </c>
      <c r="I22" s="11">
        <v>135.0</v>
      </c>
      <c r="J22" s="7"/>
      <c r="K22" s="7"/>
      <c r="L22" s="7"/>
      <c r="M22" s="7"/>
      <c r="N22" s="11">
        <f t="shared" ref="N22:U22" si="37">$A22*B22</f>
        <v>0</v>
      </c>
      <c r="O22" s="11">
        <f t="shared" si="37"/>
        <v>0</v>
      </c>
      <c r="P22" s="11">
        <f t="shared" si="37"/>
        <v>0</v>
      </c>
      <c r="Q22" s="11">
        <f t="shared" si="37"/>
        <v>0</v>
      </c>
      <c r="R22" s="11">
        <f t="shared" si="37"/>
        <v>0</v>
      </c>
      <c r="S22" s="13">
        <f t="shared" si="37"/>
        <v>361</v>
      </c>
      <c r="T22" s="11">
        <f t="shared" si="37"/>
        <v>1007</v>
      </c>
      <c r="U22" s="11">
        <f t="shared" si="37"/>
        <v>2565</v>
      </c>
      <c r="V22" s="11"/>
      <c r="W22" s="11"/>
      <c r="X22" s="10">
        <f t="shared" ref="X22:AE22" si="38">B22/$A22</f>
        <v>0</v>
      </c>
      <c r="Y22" s="10">
        <f t="shared" si="38"/>
        <v>0</v>
      </c>
      <c r="Z22" s="10">
        <f t="shared" si="38"/>
        <v>0</v>
      </c>
      <c r="AA22" s="10">
        <f t="shared" si="38"/>
        <v>0</v>
      </c>
      <c r="AB22" s="10">
        <f t="shared" si="38"/>
        <v>0</v>
      </c>
      <c r="AC22" s="10">
        <f t="shared" si="38"/>
        <v>1</v>
      </c>
      <c r="AD22" s="10">
        <f t="shared" si="38"/>
        <v>2.789473684</v>
      </c>
      <c r="AE22" s="10">
        <f t="shared" si="38"/>
        <v>7.105263158</v>
      </c>
    </row>
    <row r="23">
      <c r="A23" s="5">
        <v>20.0</v>
      </c>
      <c r="B23" s="7"/>
      <c r="C23" s="7"/>
      <c r="D23" s="7"/>
      <c r="E23" s="7"/>
      <c r="F23" s="7"/>
      <c r="G23" s="7"/>
      <c r="H23" s="11">
        <v>51.0</v>
      </c>
      <c r="I23" s="11">
        <v>130.0</v>
      </c>
      <c r="J23" s="7"/>
      <c r="K23" s="7"/>
      <c r="L23" s="7"/>
      <c r="M23" s="7"/>
      <c r="N23" s="11">
        <f t="shared" ref="N23:U23" si="39">$A23*B23</f>
        <v>0</v>
      </c>
      <c r="O23" s="11">
        <f t="shared" si="39"/>
        <v>0</v>
      </c>
      <c r="P23" s="11">
        <f t="shared" si="39"/>
        <v>0</v>
      </c>
      <c r="Q23" s="11">
        <f t="shared" si="39"/>
        <v>0</v>
      </c>
      <c r="R23" s="11">
        <f t="shared" si="39"/>
        <v>0</v>
      </c>
      <c r="S23" s="11">
        <f t="shared" si="39"/>
        <v>0</v>
      </c>
      <c r="T23" s="11">
        <f t="shared" si="39"/>
        <v>1020</v>
      </c>
      <c r="U23" s="11">
        <f t="shared" si="39"/>
        <v>2600</v>
      </c>
      <c r="V23" s="11"/>
      <c r="W23" s="11"/>
      <c r="X23" s="10">
        <f t="shared" ref="X23:AE23" si="40">B23/$A23</f>
        <v>0</v>
      </c>
      <c r="Y23" s="10">
        <f t="shared" si="40"/>
        <v>0</v>
      </c>
      <c r="Z23" s="10">
        <f t="shared" si="40"/>
        <v>0</v>
      </c>
      <c r="AA23" s="10">
        <f t="shared" si="40"/>
        <v>0</v>
      </c>
      <c r="AB23" s="10">
        <f t="shared" si="40"/>
        <v>0</v>
      </c>
      <c r="AC23" s="10">
        <f t="shared" si="40"/>
        <v>0</v>
      </c>
      <c r="AD23" s="10">
        <f t="shared" si="40"/>
        <v>2.55</v>
      </c>
      <c r="AE23" s="10">
        <f t="shared" si="40"/>
        <v>6.5</v>
      </c>
    </row>
    <row r="24">
      <c r="A24" s="5">
        <v>21.0</v>
      </c>
      <c r="B24" s="7"/>
      <c r="C24" s="7"/>
      <c r="D24" s="7"/>
      <c r="E24" s="7"/>
      <c r="F24" s="7"/>
      <c r="G24" s="7"/>
      <c r="H24" s="11">
        <v>49.0</v>
      </c>
      <c r="I24" s="11">
        <v>126.0</v>
      </c>
      <c r="J24" s="7"/>
      <c r="K24" s="7"/>
      <c r="L24" s="7"/>
      <c r="M24" s="7"/>
      <c r="N24" s="11">
        <f t="shared" ref="N24:U24" si="41">$A24*B24</f>
        <v>0</v>
      </c>
      <c r="O24" s="11">
        <f t="shared" si="41"/>
        <v>0</v>
      </c>
      <c r="P24" s="11">
        <f t="shared" si="41"/>
        <v>0</v>
      </c>
      <c r="Q24" s="11">
        <f t="shared" si="41"/>
        <v>0</v>
      </c>
      <c r="R24" s="11">
        <f t="shared" si="41"/>
        <v>0</v>
      </c>
      <c r="S24" s="11">
        <f t="shared" si="41"/>
        <v>0</v>
      </c>
      <c r="T24" s="11">
        <f t="shared" si="41"/>
        <v>1029</v>
      </c>
      <c r="U24" s="11">
        <f t="shared" si="41"/>
        <v>2646</v>
      </c>
      <c r="V24" s="11"/>
      <c r="W24" s="11"/>
      <c r="X24" s="10">
        <f t="shared" ref="X24:AE24" si="42">B24/$A24</f>
        <v>0</v>
      </c>
      <c r="Y24" s="10">
        <f t="shared" si="42"/>
        <v>0</v>
      </c>
      <c r="Z24" s="10">
        <f t="shared" si="42"/>
        <v>0</v>
      </c>
      <c r="AA24" s="10">
        <f t="shared" si="42"/>
        <v>0</v>
      </c>
      <c r="AB24" s="10">
        <f t="shared" si="42"/>
        <v>0</v>
      </c>
      <c r="AC24" s="10">
        <f t="shared" si="42"/>
        <v>0</v>
      </c>
      <c r="AD24" s="10">
        <f t="shared" si="42"/>
        <v>2.333333333</v>
      </c>
      <c r="AE24" s="10">
        <f t="shared" si="42"/>
        <v>6</v>
      </c>
    </row>
    <row r="25">
      <c r="A25" s="5">
        <v>22.0</v>
      </c>
      <c r="B25" s="7"/>
      <c r="C25" s="7"/>
      <c r="D25" s="7"/>
      <c r="E25" s="7"/>
      <c r="F25" s="7"/>
      <c r="G25" s="7"/>
      <c r="H25" s="11">
        <v>47.0</v>
      </c>
      <c r="I25" s="11">
        <v>122.0</v>
      </c>
      <c r="J25" s="7"/>
      <c r="K25" s="7"/>
      <c r="L25" s="7"/>
      <c r="M25" s="7"/>
      <c r="N25" s="11">
        <f t="shared" ref="N25:U25" si="43">$A25*B25</f>
        <v>0</v>
      </c>
      <c r="O25" s="11">
        <f t="shared" si="43"/>
        <v>0</v>
      </c>
      <c r="P25" s="11">
        <f t="shared" si="43"/>
        <v>0</v>
      </c>
      <c r="Q25" s="11">
        <f t="shared" si="43"/>
        <v>0</v>
      </c>
      <c r="R25" s="11">
        <f t="shared" si="43"/>
        <v>0</v>
      </c>
      <c r="S25" s="11">
        <f t="shared" si="43"/>
        <v>0</v>
      </c>
      <c r="T25" s="11">
        <f t="shared" si="43"/>
        <v>1034</v>
      </c>
      <c r="U25" s="11">
        <f t="shared" si="43"/>
        <v>2684</v>
      </c>
      <c r="V25" s="11"/>
      <c r="W25" s="11"/>
      <c r="X25" s="10">
        <f t="shared" ref="X25:AE25" si="44">B25/$A25</f>
        <v>0</v>
      </c>
      <c r="Y25" s="10">
        <f t="shared" si="44"/>
        <v>0</v>
      </c>
      <c r="Z25" s="10">
        <f t="shared" si="44"/>
        <v>0</v>
      </c>
      <c r="AA25" s="10">
        <f t="shared" si="44"/>
        <v>0</v>
      </c>
      <c r="AB25" s="10">
        <f t="shared" si="44"/>
        <v>0</v>
      </c>
      <c r="AC25" s="10">
        <f t="shared" si="44"/>
        <v>0</v>
      </c>
      <c r="AD25" s="10">
        <f t="shared" si="44"/>
        <v>2.136363636</v>
      </c>
      <c r="AE25" s="10">
        <f t="shared" si="44"/>
        <v>5.545454545</v>
      </c>
    </row>
    <row r="26">
      <c r="A26" s="5">
        <v>23.0</v>
      </c>
      <c r="B26" s="7"/>
      <c r="C26" s="7"/>
      <c r="D26" s="7"/>
      <c r="E26" s="7"/>
      <c r="F26" s="7"/>
      <c r="G26" s="7"/>
      <c r="H26" s="12">
        <v>45.0</v>
      </c>
      <c r="I26" s="11">
        <v>118.0</v>
      </c>
      <c r="J26" s="7"/>
      <c r="K26" s="7"/>
      <c r="L26" s="7"/>
      <c r="M26" s="7"/>
      <c r="N26" s="11">
        <f t="shared" ref="N26:U26" si="45">$A26*B26</f>
        <v>0</v>
      </c>
      <c r="O26" s="11">
        <f t="shared" si="45"/>
        <v>0</v>
      </c>
      <c r="P26" s="11">
        <f t="shared" si="45"/>
        <v>0</v>
      </c>
      <c r="Q26" s="11">
        <f t="shared" si="45"/>
        <v>0</v>
      </c>
      <c r="R26" s="11">
        <f t="shared" si="45"/>
        <v>0</v>
      </c>
      <c r="S26" s="11">
        <f t="shared" si="45"/>
        <v>0</v>
      </c>
      <c r="T26" s="12">
        <f t="shared" si="45"/>
        <v>1035</v>
      </c>
      <c r="U26" s="11">
        <f t="shared" si="45"/>
        <v>2714</v>
      </c>
      <c r="V26" s="11"/>
      <c r="W26" s="11"/>
      <c r="X26" s="10">
        <f t="shared" ref="X26:AE26" si="46">B26/$A26</f>
        <v>0</v>
      </c>
      <c r="Y26" s="10">
        <f t="shared" si="46"/>
        <v>0</v>
      </c>
      <c r="Z26" s="10">
        <f t="shared" si="46"/>
        <v>0</v>
      </c>
      <c r="AA26" s="10">
        <f t="shared" si="46"/>
        <v>0</v>
      </c>
      <c r="AB26" s="10">
        <f t="shared" si="46"/>
        <v>0</v>
      </c>
      <c r="AC26" s="10">
        <f t="shared" si="46"/>
        <v>0</v>
      </c>
      <c r="AD26" s="10">
        <f t="shared" si="46"/>
        <v>1.956521739</v>
      </c>
      <c r="AE26" s="10">
        <f t="shared" si="46"/>
        <v>5.130434783</v>
      </c>
    </row>
    <row r="27">
      <c r="A27" s="5">
        <v>24.0</v>
      </c>
      <c r="B27" s="7"/>
      <c r="C27" s="7"/>
      <c r="D27" s="7"/>
      <c r="E27" s="7"/>
      <c r="F27" s="7"/>
      <c r="G27" s="7"/>
      <c r="H27" s="11">
        <v>43.0</v>
      </c>
      <c r="I27" s="11">
        <v>115.0</v>
      </c>
      <c r="J27" s="7"/>
      <c r="K27" s="7"/>
      <c r="L27" s="7"/>
      <c r="M27" s="7"/>
      <c r="N27" s="11">
        <f t="shared" ref="N27:U27" si="47">$A27*B27</f>
        <v>0</v>
      </c>
      <c r="O27" s="11">
        <f t="shared" si="47"/>
        <v>0</v>
      </c>
      <c r="P27" s="11">
        <f t="shared" si="47"/>
        <v>0</v>
      </c>
      <c r="Q27" s="11">
        <f t="shared" si="47"/>
        <v>0</v>
      </c>
      <c r="R27" s="11">
        <f t="shared" si="47"/>
        <v>0</v>
      </c>
      <c r="S27" s="11">
        <f t="shared" si="47"/>
        <v>0</v>
      </c>
      <c r="T27" s="11">
        <f t="shared" si="47"/>
        <v>1032</v>
      </c>
      <c r="U27" s="11">
        <f t="shared" si="47"/>
        <v>2760</v>
      </c>
      <c r="V27" s="11"/>
      <c r="W27" s="11"/>
      <c r="X27" s="10">
        <f t="shared" ref="X27:AE27" si="48">B27/$A27</f>
        <v>0</v>
      </c>
      <c r="Y27" s="10">
        <f t="shared" si="48"/>
        <v>0</v>
      </c>
      <c r="Z27" s="10">
        <f t="shared" si="48"/>
        <v>0</v>
      </c>
      <c r="AA27" s="10">
        <f t="shared" si="48"/>
        <v>0</v>
      </c>
      <c r="AB27" s="10">
        <f t="shared" si="48"/>
        <v>0</v>
      </c>
      <c r="AC27" s="10">
        <f t="shared" si="48"/>
        <v>0</v>
      </c>
      <c r="AD27" s="10">
        <f t="shared" si="48"/>
        <v>1.791666667</v>
      </c>
      <c r="AE27" s="10">
        <f t="shared" si="48"/>
        <v>4.791666667</v>
      </c>
    </row>
    <row r="28">
      <c r="A28" s="5">
        <v>25.0</v>
      </c>
      <c r="B28" s="7"/>
      <c r="C28" s="7"/>
      <c r="D28" s="7"/>
      <c r="E28" s="7"/>
      <c r="F28" s="7"/>
      <c r="G28" s="7"/>
      <c r="H28" s="11">
        <v>41.0</v>
      </c>
      <c r="I28" s="11">
        <v>111.0</v>
      </c>
      <c r="J28" s="7"/>
      <c r="K28" s="7"/>
      <c r="L28" s="7"/>
      <c r="M28" s="7"/>
      <c r="N28" s="11">
        <f t="shared" ref="N28:U28" si="49">$A28*B28</f>
        <v>0</v>
      </c>
      <c r="O28" s="11">
        <f t="shared" si="49"/>
        <v>0</v>
      </c>
      <c r="P28" s="11">
        <f t="shared" si="49"/>
        <v>0</v>
      </c>
      <c r="Q28" s="11">
        <f t="shared" si="49"/>
        <v>0</v>
      </c>
      <c r="R28" s="11">
        <f t="shared" si="49"/>
        <v>0</v>
      </c>
      <c r="S28" s="11">
        <f t="shared" si="49"/>
        <v>0</v>
      </c>
      <c r="T28" s="11">
        <f t="shared" si="49"/>
        <v>1025</v>
      </c>
      <c r="U28" s="11">
        <f t="shared" si="49"/>
        <v>2775</v>
      </c>
      <c r="V28" s="11"/>
      <c r="W28" s="11"/>
      <c r="X28" s="10">
        <f t="shared" ref="X28:AE28" si="50">B28/$A28</f>
        <v>0</v>
      </c>
      <c r="Y28" s="10">
        <f t="shared" si="50"/>
        <v>0</v>
      </c>
      <c r="Z28" s="10">
        <f t="shared" si="50"/>
        <v>0</v>
      </c>
      <c r="AA28" s="10">
        <f t="shared" si="50"/>
        <v>0</v>
      </c>
      <c r="AB28" s="10">
        <f t="shared" si="50"/>
        <v>0</v>
      </c>
      <c r="AC28" s="10">
        <f t="shared" si="50"/>
        <v>0</v>
      </c>
      <c r="AD28" s="10">
        <f t="shared" si="50"/>
        <v>1.64</v>
      </c>
      <c r="AE28" s="10">
        <f t="shared" si="50"/>
        <v>4.44</v>
      </c>
    </row>
    <row r="29">
      <c r="A29" s="5">
        <v>26.0</v>
      </c>
      <c r="B29" s="7"/>
      <c r="C29" s="7"/>
      <c r="D29" s="7"/>
      <c r="E29" s="7"/>
      <c r="F29" s="7"/>
      <c r="G29" s="7"/>
      <c r="H29" s="11">
        <v>40.0</v>
      </c>
      <c r="I29" s="11">
        <v>108.0</v>
      </c>
      <c r="J29" s="7"/>
      <c r="K29" s="7"/>
      <c r="L29" s="7"/>
      <c r="M29" s="7"/>
      <c r="N29" s="11">
        <f t="shared" ref="N29:U29" si="51">$A29*B29</f>
        <v>0</v>
      </c>
      <c r="O29" s="11">
        <f t="shared" si="51"/>
        <v>0</v>
      </c>
      <c r="P29" s="11">
        <f t="shared" si="51"/>
        <v>0</v>
      </c>
      <c r="Q29" s="11">
        <f t="shared" si="51"/>
        <v>0</v>
      </c>
      <c r="R29" s="11">
        <f t="shared" si="51"/>
        <v>0</v>
      </c>
      <c r="S29" s="11">
        <f t="shared" si="51"/>
        <v>0</v>
      </c>
      <c r="T29" s="11">
        <f t="shared" si="51"/>
        <v>1040</v>
      </c>
      <c r="U29" s="11">
        <f t="shared" si="51"/>
        <v>2808</v>
      </c>
      <c r="V29" s="11"/>
      <c r="W29" s="11"/>
      <c r="X29" s="10">
        <f t="shared" ref="X29:AE29" si="52">B29/$A29</f>
        <v>0</v>
      </c>
      <c r="Y29" s="10">
        <f t="shared" si="52"/>
        <v>0</v>
      </c>
      <c r="Z29" s="10">
        <f t="shared" si="52"/>
        <v>0</v>
      </c>
      <c r="AA29" s="10">
        <f t="shared" si="52"/>
        <v>0</v>
      </c>
      <c r="AB29" s="10">
        <f t="shared" si="52"/>
        <v>0</v>
      </c>
      <c r="AC29" s="10">
        <f t="shared" si="52"/>
        <v>0</v>
      </c>
      <c r="AD29" s="10">
        <f t="shared" si="52"/>
        <v>1.538461538</v>
      </c>
      <c r="AE29" s="10">
        <f t="shared" si="52"/>
        <v>4.153846154</v>
      </c>
    </row>
    <row r="30">
      <c r="A30" s="5">
        <v>27.0</v>
      </c>
      <c r="B30" s="7"/>
      <c r="C30" s="7"/>
      <c r="D30" s="7"/>
      <c r="E30" s="7"/>
      <c r="F30" s="7"/>
      <c r="G30" s="7"/>
      <c r="H30" s="11">
        <v>38.0</v>
      </c>
      <c r="I30" s="11">
        <v>105.0</v>
      </c>
      <c r="J30" s="7"/>
      <c r="K30" s="7"/>
      <c r="L30" s="7"/>
      <c r="M30" s="7"/>
      <c r="N30" s="11">
        <f t="shared" ref="N30:U30" si="53">$A30*B30</f>
        <v>0</v>
      </c>
      <c r="O30" s="11">
        <f t="shared" si="53"/>
        <v>0</v>
      </c>
      <c r="P30" s="11">
        <f t="shared" si="53"/>
        <v>0</v>
      </c>
      <c r="Q30" s="11">
        <f t="shared" si="53"/>
        <v>0</v>
      </c>
      <c r="R30" s="11">
        <f t="shared" si="53"/>
        <v>0</v>
      </c>
      <c r="S30" s="11">
        <f t="shared" si="53"/>
        <v>0</v>
      </c>
      <c r="T30" s="11">
        <f t="shared" si="53"/>
        <v>1026</v>
      </c>
      <c r="U30" s="11">
        <f t="shared" si="53"/>
        <v>2835</v>
      </c>
      <c r="V30" s="11"/>
      <c r="W30" s="11"/>
      <c r="X30" s="10">
        <f t="shared" ref="X30:AE30" si="54">B30/$A30</f>
        <v>0</v>
      </c>
      <c r="Y30" s="10">
        <f t="shared" si="54"/>
        <v>0</v>
      </c>
      <c r="Z30" s="10">
        <f t="shared" si="54"/>
        <v>0</v>
      </c>
      <c r="AA30" s="10">
        <f t="shared" si="54"/>
        <v>0</v>
      </c>
      <c r="AB30" s="10">
        <f t="shared" si="54"/>
        <v>0</v>
      </c>
      <c r="AC30" s="10">
        <f t="shared" si="54"/>
        <v>0</v>
      </c>
      <c r="AD30" s="10">
        <f t="shared" si="54"/>
        <v>1.407407407</v>
      </c>
      <c r="AE30" s="10">
        <f t="shared" si="54"/>
        <v>3.888888889</v>
      </c>
    </row>
    <row r="31">
      <c r="A31" s="5">
        <v>28.0</v>
      </c>
      <c r="B31" s="7"/>
      <c r="C31" s="7"/>
      <c r="D31" s="7"/>
      <c r="E31" s="7"/>
      <c r="F31" s="7"/>
      <c r="G31" s="7"/>
      <c r="H31" s="11">
        <v>37.0</v>
      </c>
      <c r="I31" s="11">
        <v>102.0</v>
      </c>
      <c r="J31" s="7"/>
      <c r="K31" s="7"/>
      <c r="L31" s="7"/>
      <c r="M31" s="7"/>
      <c r="N31" s="11">
        <f t="shared" ref="N31:U31" si="55">$A31*B31</f>
        <v>0</v>
      </c>
      <c r="O31" s="11">
        <f t="shared" si="55"/>
        <v>0</v>
      </c>
      <c r="P31" s="11">
        <f t="shared" si="55"/>
        <v>0</v>
      </c>
      <c r="Q31" s="11">
        <f t="shared" si="55"/>
        <v>0</v>
      </c>
      <c r="R31" s="11">
        <f t="shared" si="55"/>
        <v>0</v>
      </c>
      <c r="S31" s="11">
        <f t="shared" si="55"/>
        <v>0</v>
      </c>
      <c r="T31" s="11">
        <f t="shared" si="55"/>
        <v>1036</v>
      </c>
      <c r="U31" s="11">
        <f t="shared" si="55"/>
        <v>2856</v>
      </c>
      <c r="V31" s="11"/>
      <c r="W31" s="11"/>
      <c r="X31" s="10">
        <f t="shared" ref="X31:AE31" si="56">B31/$A31</f>
        <v>0</v>
      </c>
      <c r="Y31" s="10">
        <f t="shared" si="56"/>
        <v>0</v>
      </c>
      <c r="Z31" s="10">
        <f t="shared" si="56"/>
        <v>0</v>
      </c>
      <c r="AA31" s="10">
        <f t="shared" si="56"/>
        <v>0</v>
      </c>
      <c r="AB31" s="10">
        <f t="shared" si="56"/>
        <v>0</v>
      </c>
      <c r="AC31" s="10">
        <f t="shared" si="56"/>
        <v>0</v>
      </c>
      <c r="AD31" s="10">
        <f t="shared" si="56"/>
        <v>1.321428571</v>
      </c>
      <c r="AE31" s="10">
        <f t="shared" si="56"/>
        <v>3.642857143</v>
      </c>
    </row>
    <row r="32">
      <c r="A32" s="5">
        <v>29.0</v>
      </c>
      <c r="B32" s="7"/>
      <c r="C32" s="7"/>
      <c r="D32" s="7"/>
      <c r="E32" s="7"/>
      <c r="F32" s="7"/>
      <c r="G32" s="7"/>
      <c r="H32" s="11">
        <v>36.0</v>
      </c>
      <c r="I32" s="11">
        <v>100.0</v>
      </c>
      <c r="J32" s="7"/>
      <c r="K32" s="7"/>
      <c r="L32" s="7"/>
      <c r="M32" s="7"/>
      <c r="N32" s="11">
        <f t="shared" ref="N32:U32" si="57">$A32*B32</f>
        <v>0</v>
      </c>
      <c r="O32" s="11">
        <f t="shared" si="57"/>
        <v>0</v>
      </c>
      <c r="P32" s="11">
        <f t="shared" si="57"/>
        <v>0</v>
      </c>
      <c r="Q32" s="11">
        <f t="shared" si="57"/>
        <v>0</v>
      </c>
      <c r="R32" s="11">
        <f t="shared" si="57"/>
        <v>0</v>
      </c>
      <c r="S32" s="11">
        <f t="shared" si="57"/>
        <v>0</v>
      </c>
      <c r="T32" s="11">
        <f t="shared" si="57"/>
        <v>1044</v>
      </c>
      <c r="U32" s="11">
        <f t="shared" si="57"/>
        <v>2900</v>
      </c>
      <c r="V32" s="11"/>
      <c r="W32" s="11"/>
      <c r="X32" s="10">
        <f t="shared" ref="X32:AE32" si="58">B32/$A32</f>
        <v>0</v>
      </c>
      <c r="Y32" s="10">
        <f t="shared" si="58"/>
        <v>0</v>
      </c>
      <c r="Z32" s="10">
        <f t="shared" si="58"/>
        <v>0</v>
      </c>
      <c r="AA32" s="10">
        <f t="shared" si="58"/>
        <v>0</v>
      </c>
      <c r="AB32" s="10">
        <f t="shared" si="58"/>
        <v>0</v>
      </c>
      <c r="AC32" s="10">
        <f t="shared" si="58"/>
        <v>0</v>
      </c>
      <c r="AD32" s="10">
        <f t="shared" si="58"/>
        <v>1.24137931</v>
      </c>
      <c r="AE32" s="10">
        <f t="shared" si="58"/>
        <v>3.448275862</v>
      </c>
    </row>
    <row r="33">
      <c r="A33" s="5">
        <v>30.0</v>
      </c>
      <c r="B33" s="7"/>
      <c r="C33" s="7"/>
      <c r="D33" s="7"/>
      <c r="E33" s="7"/>
      <c r="F33" s="7"/>
      <c r="G33" s="7"/>
      <c r="H33" s="11">
        <v>35.0</v>
      </c>
      <c r="I33" s="11">
        <v>97.0</v>
      </c>
      <c r="J33" s="7"/>
      <c r="K33" s="7"/>
      <c r="L33" s="7"/>
      <c r="M33" s="7"/>
      <c r="N33" s="11">
        <f t="shared" ref="N33:U33" si="59">$A33*B33</f>
        <v>0</v>
      </c>
      <c r="O33" s="11">
        <f t="shared" si="59"/>
        <v>0</v>
      </c>
      <c r="P33" s="11">
        <f t="shared" si="59"/>
        <v>0</v>
      </c>
      <c r="Q33" s="11">
        <f t="shared" si="59"/>
        <v>0</v>
      </c>
      <c r="R33" s="11">
        <f t="shared" si="59"/>
        <v>0</v>
      </c>
      <c r="S33" s="11">
        <f t="shared" si="59"/>
        <v>0</v>
      </c>
      <c r="T33" s="11">
        <f t="shared" si="59"/>
        <v>1050</v>
      </c>
      <c r="U33" s="11">
        <f t="shared" si="59"/>
        <v>2910</v>
      </c>
      <c r="V33" s="11"/>
      <c r="W33" s="11"/>
      <c r="X33" s="10">
        <f t="shared" ref="X33:AE33" si="60">B33/$A33</f>
        <v>0</v>
      </c>
      <c r="Y33" s="10">
        <f t="shared" si="60"/>
        <v>0</v>
      </c>
      <c r="Z33" s="10">
        <f t="shared" si="60"/>
        <v>0</v>
      </c>
      <c r="AA33" s="10">
        <f t="shared" si="60"/>
        <v>0</v>
      </c>
      <c r="AB33" s="10">
        <f t="shared" si="60"/>
        <v>0</v>
      </c>
      <c r="AC33" s="10">
        <f t="shared" si="60"/>
        <v>0</v>
      </c>
      <c r="AD33" s="10">
        <f t="shared" si="60"/>
        <v>1.166666667</v>
      </c>
      <c r="AE33" s="10">
        <f t="shared" si="60"/>
        <v>3.233333333</v>
      </c>
    </row>
    <row r="34">
      <c r="A34" s="5">
        <v>31.0</v>
      </c>
      <c r="B34" s="7"/>
      <c r="C34" s="7"/>
      <c r="D34" s="7"/>
      <c r="E34" s="7"/>
      <c r="F34" s="7"/>
      <c r="G34" s="7"/>
      <c r="H34" s="11">
        <v>34.0</v>
      </c>
      <c r="I34" s="11">
        <v>94.0</v>
      </c>
      <c r="J34" s="7"/>
      <c r="K34" s="7"/>
      <c r="L34" s="7"/>
      <c r="M34" s="7"/>
      <c r="N34" s="11">
        <f t="shared" ref="N34:U34" si="61">$A34*B34</f>
        <v>0</v>
      </c>
      <c r="O34" s="11">
        <f t="shared" si="61"/>
        <v>0</v>
      </c>
      <c r="P34" s="11">
        <f t="shared" si="61"/>
        <v>0</v>
      </c>
      <c r="Q34" s="11">
        <f t="shared" si="61"/>
        <v>0</v>
      </c>
      <c r="R34" s="11">
        <f t="shared" si="61"/>
        <v>0</v>
      </c>
      <c r="S34" s="11">
        <f t="shared" si="61"/>
        <v>0</v>
      </c>
      <c r="T34" s="11">
        <f t="shared" si="61"/>
        <v>1054</v>
      </c>
      <c r="U34" s="11">
        <f t="shared" si="61"/>
        <v>2914</v>
      </c>
      <c r="V34" s="11"/>
      <c r="W34" s="11"/>
      <c r="X34" s="10">
        <f t="shared" ref="X34:AE34" si="62">B34/$A34</f>
        <v>0</v>
      </c>
      <c r="Y34" s="10">
        <f t="shared" si="62"/>
        <v>0</v>
      </c>
      <c r="Z34" s="10">
        <f t="shared" si="62"/>
        <v>0</v>
      </c>
      <c r="AA34" s="10">
        <f t="shared" si="62"/>
        <v>0</v>
      </c>
      <c r="AB34" s="10">
        <f t="shared" si="62"/>
        <v>0</v>
      </c>
      <c r="AC34" s="10">
        <f t="shared" si="62"/>
        <v>0</v>
      </c>
      <c r="AD34" s="10">
        <f t="shared" si="62"/>
        <v>1.096774194</v>
      </c>
      <c r="AE34" s="10">
        <f t="shared" si="62"/>
        <v>3.032258065</v>
      </c>
    </row>
    <row r="35">
      <c r="A35" s="9">
        <v>32.0</v>
      </c>
      <c r="B35" s="7"/>
      <c r="C35" s="7"/>
      <c r="D35" s="7"/>
      <c r="E35" s="7"/>
      <c r="F35" s="7"/>
      <c r="G35" s="7"/>
      <c r="H35" s="13">
        <v>33.0</v>
      </c>
      <c r="I35" s="11">
        <v>92.0</v>
      </c>
      <c r="J35" s="7"/>
      <c r="K35" s="7"/>
      <c r="L35" s="7"/>
      <c r="M35" s="7"/>
      <c r="N35" s="11">
        <f t="shared" ref="N35:U35" si="63">$A35*B35</f>
        <v>0</v>
      </c>
      <c r="O35" s="11">
        <f t="shared" si="63"/>
        <v>0</v>
      </c>
      <c r="P35" s="11">
        <f t="shared" si="63"/>
        <v>0</v>
      </c>
      <c r="Q35" s="11">
        <f t="shared" si="63"/>
        <v>0</v>
      </c>
      <c r="R35" s="11">
        <f t="shared" si="63"/>
        <v>0</v>
      </c>
      <c r="S35" s="11">
        <f t="shared" si="63"/>
        <v>0</v>
      </c>
      <c r="T35" s="13">
        <f t="shared" si="63"/>
        <v>1056</v>
      </c>
      <c r="U35" s="11">
        <f t="shared" si="63"/>
        <v>2944</v>
      </c>
      <c r="V35" s="11"/>
      <c r="W35" s="11"/>
      <c r="X35" s="10">
        <f t="shared" ref="X35:AE35" si="64">B35/$A35</f>
        <v>0</v>
      </c>
      <c r="Y35" s="10">
        <f t="shared" si="64"/>
        <v>0</v>
      </c>
      <c r="Z35" s="10">
        <f t="shared" si="64"/>
        <v>0</v>
      </c>
      <c r="AA35" s="10">
        <f t="shared" si="64"/>
        <v>0</v>
      </c>
      <c r="AB35" s="10">
        <f t="shared" si="64"/>
        <v>0</v>
      </c>
      <c r="AC35" s="10">
        <f t="shared" si="64"/>
        <v>0</v>
      </c>
      <c r="AD35" s="10">
        <f t="shared" si="64"/>
        <v>1.03125</v>
      </c>
      <c r="AE35" s="10">
        <f t="shared" si="64"/>
        <v>2.875</v>
      </c>
    </row>
    <row r="36">
      <c r="A36" s="5">
        <v>33.0</v>
      </c>
      <c r="B36" s="7"/>
      <c r="C36" s="7"/>
      <c r="D36" s="7"/>
      <c r="E36" s="7"/>
      <c r="F36" s="7"/>
      <c r="G36" s="7"/>
      <c r="H36" s="7"/>
      <c r="I36" s="11">
        <v>89.0</v>
      </c>
      <c r="J36" s="7"/>
      <c r="K36" s="7"/>
      <c r="L36" s="7"/>
      <c r="M36" s="7"/>
      <c r="N36" s="11">
        <f t="shared" ref="N36:U36" si="65">$A36*B36</f>
        <v>0</v>
      </c>
      <c r="O36" s="11">
        <f t="shared" si="65"/>
        <v>0</v>
      </c>
      <c r="P36" s="11">
        <f t="shared" si="65"/>
        <v>0</v>
      </c>
      <c r="Q36" s="11">
        <f t="shared" si="65"/>
        <v>0</v>
      </c>
      <c r="R36" s="11">
        <f t="shared" si="65"/>
        <v>0</v>
      </c>
      <c r="S36" s="11">
        <f t="shared" si="65"/>
        <v>0</v>
      </c>
      <c r="T36" s="11">
        <f t="shared" si="65"/>
        <v>0</v>
      </c>
      <c r="U36" s="11">
        <f t="shared" si="65"/>
        <v>2937</v>
      </c>
      <c r="V36" s="11"/>
      <c r="W36" s="11"/>
      <c r="X36" s="10">
        <f t="shared" ref="X36:AE36" si="66">B36/$A36</f>
        <v>0</v>
      </c>
      <c r="Y36" s="10">
        <f t="shared" si="66"/>
        <v>0</v>
      </c>
      <c r="Z36" s="10">
        <f t="shared" si="66"/>
        <v>0</v>
      </c>
      <c r="AA36" s="10">
        <f t="shared" si="66"/>
        <v>0</v>
      </c>
      <c r="AB36" s="10">
        <f t="shared" si="66"/>
        <v>0</v>
      </c>
      <c r="AC36" s="10">
        <f t="shared" si="66"/>
        <v>0</v>
      </c>
      <c r="AD36" s="10">
        <f t="shared" si="66"/>
        <v>0</v>
      </c>
      <c r="AE36" s="10">
        <f t="shared" si="66"/>
        <v>2.696969697</v>
      </c>
    </row>
    <row r="37">
      <c r="A37" s="5">
        <v>34.0</v>
      </c>
      <c r="B37" s="7"/>
      <c r="C37" s="7"/>
      <c r="D37" s="7"/>
      <c r="E37" s="7"/>
      <c r="F37" s="7"/>
      <c r="G37" s="7"/>
      <c r="H37" s="7"/>
      <c r="I37" s="11">
        <v>87.0</v>
      </c>
      <c r="J37" s="7"/>
      <c r="K37" s="7"/>
      <c r="L37" s="7"/>
      <c r="M37" s="7"/>
      <c r="N37" s="11">
        <f t="shared" ref="N37:U37" si="67">$A37*B37</f>
        <v>0</v>
      </c>
      <c r="O37" s="11">
        <f t="shared" si="67"/>
        <v>0</v>
      </c>
      <c r="P37" s="11">
        <f t="shared" si="67"/>
        <v>0</v>
      </c>
      <c r="Q37" s="11">
        <f t="shared" si="67"/>
        <v>0</v>
      </c>
      <c r="R37" s="11">
        <f t="shared" si="67"/>
        <v>0</v>
      </c>
      <c r="S37" s="11">
        <f t="shared" si="67"/>
        <v>0</v>
      </c>
      <c r="T37" s="11">
        <f t="shared" si="67"/>
        <v>0</v>
      </c>
      <c r="U37" s="11">
        <f t="shared" si="67"/>
        <v>2958</v>
      </c>
      <c r="V37" s="11"/>
      <c r="W37" s="11"/>
      <c r="X37" s="10">
        <f t="shared" ref="X37:AE37" si="68">B37/$A37</f>
        <v>0</v>
      </c>
      <c r="Y37" s="10">
        <f t="shared" si="68"/>
        <v>0</v>
      </c>
      <c r="Z37" s="10">
        <f t="shared" si="68"/>
        <v>0</v>
      </c>
      <c r="AA37" s="10">
        <f t="shared" si="68"/>
        <v>0</v>
      </c>
      <c r="AB37" s="10">
        <f t="shared" si="68"/>
        <v>0</v>
      </c>
      <c r="AC37" s="10">
        <f t="shared" si="68"/>
        <v>0</v>
      </c>
      <c r="AD37" s="10">
        <f t="shared" si="68"/>
        <v>0</v>
      </c>
      <c r="AE37" s="10">
        <f t="shared" si="68"/>
        <v>2.558823529</v>
      </c>
    </row>
    <row r="38">
      <c r="A38" s="5">
        <v>35.0</v>
      </c>
      <c r="B38" s="7"/>
      <c r="C38" s="7"/>
      <c r="D38" s="7"/>
      <c r="E38" s="7"/>
      <c r="F38" s="7"/>
      <c r="G38" s="7"/>
      <c r="H38" s="7"/>
      <c r="I38" s="11">
        <v>85.0</v>
      </c>
      <c r="J38" s="7"/>
      <c r="K38" s="7"/>
      <c r="L38" s="7"/>
      <c r="M38" s="7"/>
      <c r="N38" s="11">
        <f t="shared" ref="N38:U38" si="69">$A38*B38</f>
        <v>0</v>
      </c>
      <c r="O38" s="11">
        <f t="shared" si="69"/>
        <v>0</v>
      </c>
      <c r="P38" s="11">
        <f t="shared" si="69"/>
        <v>0</v>
      </c>
      <c r="Q38" s="11">
        <f t="shared" si="69"/>
        <v>0</v>
      </c>
      <c r="R38" s="11">
        <f t="shared" si="69"/>
        <v>0</v>
      </c>
      <c r="S38" s="11">
        <f t="shared" si="69"/>
        <v>0</v>
      </c>
      <c r="T38" s="11">
        <f t="shared" si="69"/>
        <v>0</v>
      </c>
      <c r="U38" s="11">
        <f t="shared" si="69"/>
        <v>2975</v>
      </c>
      <c r="V38" s="11"/>
      <c r="W38" s="11"/>
      <c r="X38" s="10">
        <f t="shared" ref="X38:AE38" si="70">B38/$A38</f>
        <v>0</v>
      </c>
      <c r="Y38" s="10">
        <f t="shared" si="70"/>
        <v>0</v>
      </c>
      <c r="Z38" s="10">
        <f t="shared" si="70"/>
        <v>0</v>
      </c>
      <c r="AA38" s="10">
        <f t="shared" si="70"/>
        <v>0</v>
      </c>
      <c r="AB38" s="10">
        <f t="shared" si="70"/>
        <v>0</v>
      </c>
      <c r="AC38" s="10">
        <f t="shared" si="70"/>
        <v>0</v>
      </c>
      <c r="AD38" s="10">
        <f t="shared" si="70"/>
        <v>0</v>
      </c>
      <c r="AE38" s="10">
        <f t="shared" si="70"/>
        <v>2.428571429</v>
      </c>
    </row>
    <row r="39">
      <c r="A39" s="5">
        <v>36.0</v>
      </c>
      <c r="B39" s="7"/>
      <c r="C39" s="7"/>
      <c r="D39" s="7"/>
      <c r="E39" s="7"/>
      <c r="F39" s="7"/>
      <c r="G39" s="7"/>
      <c r="H39" s="7"/>
      <c r="I39" s="11">
        <v>83.0</v>
      </c>
      <c r="J39" s="7"/>
      <c r="K39" s="7"/>
      <c r="L39" s="7"/>
      <c r="M39" s="7"/>
      <c r="N39" s="11">
        <f t="shared" ref="N39:U39" si="71">$A39*B39</f>
        <v>0</v>
      </c>
      <c r="O39" s="11">
        <f t="shared" si="71"/>
        <v>0</v>
      </c>
      <c r="P39" s="11">
        <f t="shared" si="71"/>
        <v>0</v>
      </c>
      <c r="Q39" s="11">
        <f t="shared" si="71"/>
        <v>0</v>
      </c>
      <c r="R39" s="11">
        <f t="shared" si="71"/>
        <v>0</v>
      </c>
      <c r="S39" s="11">
        <f t="shared" si="71"/>
        <v>0</v>
      </c>
      <c r="T39" s="11">
        <f t="shared" si="71"/>
        <v>0</v>
      </c>
      <c r="U39" s="11">
        <f t="shared" si="71"/>
        <v>2988</v>
      </c>
      <c r="V39" s="11"/>
      <c r="W39" s="11"/>
      <c r="X39" s="10">
        <f t="shared" ref="X39:AE39" si="72">B39/$A39</f>
        <v>0</v>
      </c>
      <c r="Y39" s="10">
        <f t="shared" si="72"/>
        <v>0</v>
      </c>
      <c r="Z39" s="10">
        <f t="shared" si="72"/>
        <v>0</v>
      </c>
      <c r="AA39" s="10">
        <f t="shared" si="72"/>
        <v>0</v>
      </c>
      <c r="AB39" s="10">
        <f t="shared" si="72"/>
        <v>0</v>
      </c>
      <c r="AC39" s="10">
        <f t="shared" si="72"/>
        <v>0</v>
      </c>
      <c r="AD39" s="10">
        <f t="shared" si="72"/>
        <v>0</v>
      </c>
      <c r="AE39" s="10">
        <f t="shared" si="72"/>
        <v>2.305555556</v>
      </c>
    </row>
    <row r="40">
      <c r="A40" s="5">
        <v>37.0</v>
      </c>
      <c r="B40" s="7"/>
      <c r="C40" s="7"/>
      <c r="D40" s="7"/>
      <c r="E40" s="7"/>
      <c r="F40" s="7"/>
      <c r="G40" s="7"/>
      <c r="H40" s="7"/>
      <c r="I40" s="11">
        <v>81.0</v>
      </c>
      <c r="J40" s="7"/>
      <c r="K40" s="7"/>
      <c r="L40" s="7"/>
      <c r="M40" s="7"/>
      <c r="N40" s="11">
        <f t="shared" ref="N40:U40" si="73">$A40*B40</f>
        <v>0</v>
      </c>
      <c r="O40" s="11">
        <f t="shared" si="73"/>
        <v>0</v>
      </c>
      <c r="P40" s="11">
        <f t="shared" si="73"/>
        <v>0</v>
      </c>
      <c r="Q40" s="11">
        <f t="shared" si="73"/>
        <v>0</v>
      </c>
      <c r="R40" s="11">
        <f t="shared" si="73"/>
        <v>0</v>
      </c>
      <c r="S40" s="11">
        <f t="shared" si="73"/>
        <v>0</v>
      </c>
      <c r="T40" s="11">
        <f t="shared" si="73"/>
        <v>0</v>
      </c>
      <c r="U40" s="11">
        <f t="shared" si="73"/>
        <v>2997</v>
      </c>
      <c r="V40" s="11"/>
      <c r="W40" s="11"/>
      <c r="X40" s="10">
        <f t="shared" ref="X40:AE40" si="74">B40/$A40</f>
        <v>0</v>
      </c>
      <c r="Y40" s="10">
        <f t="shared" si="74"/>
        <v>0</v>
      </c>
      <c r="Z40" s="10">
        <f t="shared" si="74"/>
        <v>0</v>
      </c>
      <c r="AA40" s="10">
        <f t="shared" si="74"/>
        <v>0</v>
      </c>
      <c r="AB40" s="10">
        <f t="shared" si="74"/>
        <v>0</v>
      </c>
      <c r="AC40" s="10">
        <f t="shared" si="74"/>
        <v>0</v>
      </c>
      <c r="AD40" s="10">
        <f t="shared" si="74"/>
        <v>0</v>
      </c>
      <c r="AE40" s="10">
        <f t="shared" si="74"/>
        <v>2.189189189</v>
      </c>
    </row>
    <row r="41">
      <c r="A41" s="5">
        <v>38.0</v>
      </c>
      <c r="B41" s="7"/>
      <c r="C41" s="7"/>
      <c r="D41" s="7"/>
      <c r="E41" s="7"/>
      <c r="F41" s="7"/>
      <c r="G41" s="7"/>
      <c r="H41" s="7"/>
      <c r="I41" s="11">
        <v>79.0</v>
      </c>
      <c r="J41" s="7"/>
      <c r="K41" s="7"/>
      <c r="L41" s="7"/>
      <c r="M41" s="7"/>
      <c r="N41" s="11">
        <f t="shared" ref="N41:U41" si="75">$A41*B41</f>
        <v>0</v>
      </c>
      <c r="O41" s="11">
        <f t="shared" si="75"/>
        <v>0</v>
      </c>
      <c r="P41" s="11">
        <f t="shared" si="75"/>
        <v>0</v>
      </c>
      <c r="Q41" s="11">
        <f t="shared" si="75"/>
        <v>0</v>
      </c>
      <c r="R41" s="11">
        <f t="shared" si="75"/>
        <v>0</v>
      </c>
      <c r="S41" s="11">
        <f t="shared" si="75"/>
        <v>0</v>
      </c>
      <c r="T41" s="11">
        <f t="shared" si="75"/>
        <v>0</v>
      </c>
      <c r="U41" s="11">
        <f t="shared" si="75"/>
        <v>3002</v>
      </c>
      <c r="V41" s="11"/>
      <c r="W41" s="11"/>
      <c r="X41" s="10">
        <f t="shared" ref="X41:AE41" si="76">B41/$A41</f>
        <v>0</v>
      </c>
      <c r="Y41" s="10">
        <f t="shared" si="76"/>
        <v>0</v>
      </c>
      <c r="Z41" s="10">
        <f t="shared" si="76"/>
        <v>0</v>
      </c>
      <c r="AA41" s="10">
        <f t="shared" si="76"/>
        <v>0</v>
      </c>
      <c r="AB41" s="10">
        <f t="shared" si="76"/>
        <v>0</v>
      </c>
      <c r="AC41" s="10">
        <f t="shared" si="76"/>
        <v>0</v>
      </c>
      <c r="AD41" s="10">
        <f t="shared" si="76"/>
        <v>0</v>
      </c>
      <c r="AE41" s="10">
        <f t="shared" si="76"/>
        <v>2.078947368</v>
      </c>
    </row>
    <row r="42">
      <c r="A42" s="5">
        <v>39.0</v>
      </c>
      <c r="B42" s="7"/>
      <c r="C42" s="7"/>
      <c r="D42" s="7"/>
      <c r="E42" s="7"/>
      <c r="F42" s="7"/>
      <c r="G42" s="7"/>
      <c r="H42" s="7"/>
      <c r="I42" s="12">
        <v>77.0</v>
      </c>
      <c r="J42" s="7"/>
      <c r="K42" s="7"/>
      <c r="L42" s="7"/>
      <c r="M42" s="7"/>
      <c r="N42" s="11">
        <f t="shared" ref="N42:U42" si="77">$A42*B42</f>
        <v>0</v>
      </c>
      <c r="O42" s="11">
        <f t="shared" si="77"/>
        <v>0</v>
      </c>
      <c r="P42" s="11">
        <f t="shared" si="77"/>
        <v>0</v>
      </c>
      <c r="Q42" s="11">
        <f t="shared" si="77"/>
        <v>0</v>
      </c>
      <c r="R42" s="11">
        <f t="shared" si="77"/>
        <v>0</v>
      </c>
      <c r="S42" s="11">
        <f t="shared" si="77"/>
        <v>0</v>
      </c>
      <c r="T42" s="11">
        <f t="shared" si="77"/>
        <v>0</v>
      </c>
      <c r="U42" s="12">
        <f t="shared" si="77"/>
        <v>3003</v>
      </c>
      <c r="V42" s="12"/>
      <c r="W42" s="12"/>
      <c r="X42" s="10">
        <f t="shared" ref="X42:AE42" si="78">B42/$A42</f>
        <v>0</v>
      </c>
      <c r="Y42" s="10">
        <f t="shared" si="78"/>
        <v>0</v>
      </c>
      <c r="Z42" s="10">
        <f t="shared" si="78"/>
        <v>0</v>
      </c>
      <c r="AA42" s="10">
        <f t="shared" si="78"/>
        <v>0</v>
      </c>
      <c r="AB42" s="10">
        <f t="shared" si="78"/>
        <v>0</v>
      </c>
      <c r="AC42" s="10">
        <f t="shared" si="78"/>
        <v>0</v>
      </c>
      <c r="AD42" s="10">
        <f t="shared" si="78"/>
        <v>0</v>
      </c>
      <c r="AE42" s="10">
        <f t="shared" si="78"/>
        <v>1.974358974</v>
      </c>
    </row>
    <row r="43">
      <c r="A43" s="5">
        <v>40.0</v>
      </c>
      <c r="B43" s="7"/>
      <c r="C43" s="7"/>
      <c r="D43" s="7"/>
      <c r="E43" s="7"/>
      <c r="F43" s="7"/>
      <c r="G43" s="7"/>
      <c r="H43" s="7"/>
      <c r="I43" s="11">
        <v>76.0</v>
      </c>
      <c r="J43" s="7"/>
      <c r="K43" s="7"/>
      <c r="L43" s="7"/>
      <c r="M43" s="7"/>
      <c r="N43" s="11">
        <f t="shared" ref="N43:U43" si="79">$A43*B43</f>
        <v>0</v>
      </c>
      <c r="O43" s="11">
        <f t="shared" si="79"/>
        <v>0</v>
      </c>
      <c r="P43" s="11">
        <f t="shared" si="79"/>
        <v>0</v>
      </c>
      <c r="Q43" s="11">
        <f t="shared" si="79"/>
        <v>0</v>
      </c>
      <c r="R43" s="11">
        <f t="shared" si="79"/>
        <v>0</v>
      </c>
      <c r="S43" s="11">
        <f t="shared" si="79"/>
        <v>0</v>
      </c>
      <c r="T43" s="11">
        <f t="shared" si="79"/>
        <v>0</v>
      </c>
      <c r="U43" s="11">
        <f t="shared" si="79"/>
        <v>3040</v>
      </c>
      <c r="V43" s="11"/>
      <c r="W43" s="11"/>
      <c r="X43" s="10">
        <f t="shared" ref="X43:AE43" si="80">B43/$A43</f>
        <v>0</v>
      </c>
      <c r="Y43" s="10">
        <f t="shared" si="80"/>
        <v>0</v>
      </c>
      <c r="Z43" s="10">
        <f t="shared" si="80"/>
        <v>0</v>
      </c>
      <c r="AA43" s="10">
        <f t="shared" si="80"/>
        <v>0</v>
      </c>
      <c r="AB43" s="10">
        <f t="shared" si="80"/>
        <v>0</v>
      </c>
      <c r="AC43" s="10">
        <f t="shared" si="80"/>
        <v>0</v>
      </c>
      <c r="AD43" s="10">
        <f t="shared" si="80"/>
        <v>0</v>
      </c>
      <c r="AE43" s="10">
        <f t="shared" si="80"/>
        <v>1.9</v>
      </c>
    </row>
    <row r="44">
      <c r="A44" s="5">
        <v>41.0</v>
      </c>
      <c r="B44" s="7"/>
      <c r="C44" s="7"/>
      <c r="D44" s="7"/>
      <c r="E44" s="7"/>
      <c r="F44" s="7"/>
      <c r="G44" s="7"/>
      <c r="H44" s="7"/>
      <c r="I44" s="11">
        <v>74.0</v>
      </c>
      <c r="J44" s="7"/>
      <c r="K44" s="7"/>
      <c r="L44" s="7"/>
      <c r="M44" s="7"/>
      <c r="N44" s="11">
        <f t="shared" ref="N44:U44" si="81">$A44*B44</f>
        <v>0</v>
      </c>
      <c r="O44" s="11">
        <f t="shared" si="81"/>
        <v>0</v>
      </c>
      <c r="P44" s="11">
        <f t="shared" si="81"/>
        <v>0</v>
      </c>
      <c r="Q44" s="11">
        <f t="shared" si="81"/>
        <v>0</v>
      </c>
      <c r="R44" s="11">
        <f t="shared" si="81"/>
        <v>0</v>
      </c>
      <c r="S44" s="11">
        <f t="shared" si="81"/>
        <v>0</v>
      </c>
      <c r="T44" s="11">
        <f t="shared" si="81"/>
        <v>0</v>
      </c>
      <c r="U44" s="11">
        <f t="shared" si="81"/>
        <v>3034</v>
      </c>
      <c r="V44" s="11"/>
      <c r="W44" s="11"/>
      <c r="X44" s="10">
        <f t="shared" ref="X44:AE44" si="82">B44/$A44</f>
        <v>0</v>
      </c>
      <c r="Y44" s="10">
        <f t="shared" si="82"/>
        <v>0</v>
      </c>
      <c r="Z44" s="10">
        <f t="shared" si="82"/>
        <v>0</v>
      </c>
      <c r="AA44" s="10">
        <f t="shared" si="82"/>
        <v>0</v>
      </c>
      <c r="AB44" s="10">
        <f t="shared" si="82"/>
        <v>0</v>
      </c>
      <c r="AC44" s="10">
        <f t="shared" si="82"/>
        <v>0</v>
      </c>
      <c r="AD44" s="10">
        <f t="shared" si="82"/>
        <v>0</v>
      </c>
      <c r="AE44" s="10">
        <f t="shared" si="82"/>
        <v>1.804878049</v>
      </c>
    </row>
    <row r="45">
      <c r="A45" s="5">
        <v>42.0</v>
      </c>
      <c r="B45" s="7"/>
      <c r="C45" s="7"/>
      <c r="D45" s="7"/>
      <c r="E45" s="7"/>
      <c r="F45" s="7"/>
      <c r="G45" s="7"/>
      <c r="H45" s="7"/>
      <c r="I45" s="11">
        <v>72.0</v>
      </c>
      <c r="J45" s="7"/>
      <c r="K45" s="7"/>
      <c r="L45" s="7"/>
      <c r="M45" s="7"/>
      <c r="N45" s="11">
        <f t="shared" ref="N45:U45" si="83">$A45*B45</f>
        <v>0</v>
      </c>
      <c r="O45" s="11">
        <f t="shared" si="83"/>
        <v>0</v>
      </c>
      <c r="P45" s="11">
        <f t="shared" si="83"/>
        <v>0</v>
      </c>
      <c r="Q45" s="11">
        <f t="shared" si="83"/>
        <v>0</v>
      </c>
      <c r="R45" s="11">
        <f t="shared" si="83"/>
        <v>0</v>
      </c>
      <c r="S45" s="11">
        <f t="shared" si="83"/>
        <v>0</v>
      </c>
      <c r="T45" s="11">
        <f t="shared" si="83"/>
        <v>0</v>
      </c>
      <c r="U45" s="11">
        <f t="shared" si="83"/>
        <v>3024</v>
      </c>
      <c r="V45" s="11"/>
      <c r="W45" s="11"/>
      <c r="X45" s="10">
        <f t="shared" ref="X45:AE45" si="84">B45/$A45</f>
        <v>0</v>
      </c>
      <c r="Y45" s="10">
        <f t="shared" si="84"/>
        <v>0</v>
      </c>
      <c r="Z45" s="10">
        <f t="shared" si="84"/>
        <v>0</v>
      </c>
      <c r="AA45" s="10">
        <f t="shared" si="84"/>
        <v>0</v>
      </c>
      <c r="AB45" s="10">
        <f t="shared" si="84"/>
        <v>0</v>
      </c>
      <c r="AC45" s="10">
        <f t="shared" si="84"/>
        <v>0</v>
      </c>
      <c r="AD45" s="10">
        <f t="shared" si="84"/>
        <v>0</v>
      </c>
      <c r="AE45" s="10">
        <f t="shared" si="84"/>
        <v>1.714285714</v>
      </c>
    </row>
    <row r="46">
      <c r="A46" s="5">
        <v>43.0</v>
      </c>
      <c r="B46" s="7"/>
      <c r="C46" s="7"/>
      <c r="D46" s="7"/>
      <c r="E46" s="7"/>
      <c r="F46" s="7"/>
      <c r="G46" s="7"/>
      <c r="H46" s="7"/>
      <c r="I46" s="11">
        <v>71.0</v>
      </c>
      <c r="J46" s="7"/>
      <c r="K46" s="7"/>
      <c r="L46" s="7"/>
      <c r="M46" s="7"/>
      <c r="N46" s="11">
        <f t="shared" ref="N46:U46" si="85">$A46*B46</f>
        <v>0</v>
      </c>
      <c r="O46" s="11">
        <f t="shared" si="85"/>
        <v>0</v>
      </c>
      <c r="P46" s="11">
        <f t="shared" si="85"/>
        <v>0</v>
      </c>
      <c r="Q46" s="11">
        <f t="shared" si="85"/>
        <v>0</v>
      </c>
      <c r="R46" s="11">
        <f t="shared" si="85"/>
        <v>0</v>
      </c>
      <c r="S46" s="11">
        <f t="shared" si="85"/>
        <v>0</v>
      </c>
      <c r="T46" s="11">
        <f t="shared" si="85"/>
        <v>0</v>
      </c>
      <c r="U46" s="11">
        <f t="shared" si="85"/>
        <v>3053</v>
      </c>
      <c r="V46" s="11"/>
      <c r="W46" s="11"/>
      <c r="X46" s="10">
        <f t="shared" ref="X46:AE46" si="86">B46/$A46</f>
        <v>0</v>
      </c>
      <c r="Y46" s="10">
        <f t="shared" si="86"/>
        <v>0</v>
      </c>
      <c r="Z46" s="10">
        <f t="shared" si="86"/>
        <v>0</v>
      </c>
      <c r="AA46" s="10">
        <f t="shared" si="86"/>
        <v>0</v>
      </c>
      <c r="AB46" s="10">
        <f t="shared" si="86"/>
        <v>0</v>
      </c>
      <c r="AC46" s="10">
        <f t="shared" si="86"/>
        <v>0</v>
      </c>
      <c r="AD46" s="10">
        <f t="shared" si="86"/>
        <v>0</v>
      </c>
      <c r="AE46" s="10">
        <f t="shared" si="86"/>
        <v>1.651162791</v>
      </c>
    </row>
    <row r="47">
      <c r="A47" s="5">
        <v>44.0</v>
      </c>
      <c r="B47" s="7"/>
      <c r="C47" s="7"/>
      <c r="D47" s="7"/>
      <c r="E47" s="7"/>
      <c r="F47" s="7"/>
      <c r="G47" s="7"/>
      <c r="H47" s="7"/>
      <c r="I47" s="11">
        <v>69.0</v>
      </c>
      <c r="J47" s="7"/>
      <c r="K47" s="7"/>
      <c r="L47" s="7"/>
      <c r="M47" s="7"/>
      <c r="N47" s="11">
        <f t="shared" ref="N47:U47" si="87">$A47*B47</f>
        <v>0</v>
      </c>
      <c r="O47" s="11">
        <f t="shared" si="87"/>
        <v>0</v>
      </c>
      <c r="P47" s="11">
        <f t="shared" si="87"/>
        <v>0</v>
      </c>
      <c r="Q47" s="11">
        <f t="shared" si="87"/>
        <v>0</v>
      </c>
      <c r="R47" s="11">
        <f t="shared" si="87"/>
        <v>0</v>
      </c>
      <c r="S47" s="11">
        <f t="shared" si="87"/>
        <v>0</v>
      </c>
      <c r="T47" s="11">
        <f t="shared" si="87"/>
        <v>0</v>
      </c>
      <c r="U47" s="11">
        <f t="shared" si="87"/>
        <v>3036</v>
      </c>
      <c r="V47" s="11"/>
      <c r="W47" s="11"/>
      <c r="X47" s="10">
        <f t="shared" ref="X47:AE47" si="88">B47/$A47</f>
        <v>0</v>
      </c>
      <c r="Y47" s="10">
        <f t="shared" si="88"/>
        <v>0</v>
      </c>
      <c r="Z47" s="10">
        <f t="shared" si="88"/>
        <v>0</v>
      </c>
      <c r="AA47" s="10">
        <f t="shared" si="88"/>
        <v>0</v>
      </c>
      <c r="AB47" s="10">
        <f t="shared" si="88"/>
        <v>0</v>
      </c>
      <c r="AC47" s="10">
        <f t="shared" si="88"/>
        <v>0</v>
      </c>
      <c r="AD47" s="10">
        <f t="shared" si="88"/>
        <v>0</v>
      </c>
      <c r="AE47" s="10">
        <f t="shared" si="88"/>
        <v>1.568181818</v>
      </c>
    </row>
    <row r="48">
      <c r="A48" s="5">
        <v>45.0</v>
      </c>
      <c r="B48" s="7"/>
      <c r="C48" s="7"/>
      <c r="D48" s="7"/>
      <c r="E48" s="7"/>
      <c r="F48" s="7"/>
      <c r="G48" s="7"/>
      <c r="H48" s="7"/>
      <c r="I48" s="11">
        <v>68.0</v>
      </c>
      <c r="J48" s="7"/>
      <c r="K48" s="7"/>
      <c r="L48" s="7"/>
      <c r="M48" s="7"/>
      <c r="N48" s="11">
        <f t="shared" ref="N48:U48" si="89">$A48*B48</f>
        <v>0</v>
      </c>
      <c r="O48" s="11">
        <f t="shared" si="89"/>
        <v>0</v>
      </c>
      <c r="P48" s="11">
        <f t="shared" si="89"/>
        <v>0</v>
      </c>
      <c r="Q48" s="11">
        <f t="shared" si="89"/>
        <v>0</v>
      </c>
      <c r="R48" s="11">
        <f t="shared" si="89"/>
        <v>0</v>
      </c>
      <c r="S48" s="11">
        <f t="shared" si="89"/>
        <v>0</v>
      </c>
      <c r="T48" s="11">
        <f t="shared" si="89"/>
        <v>0</v>
      </c>
      <c r="U48" s="11">
        <f t="shared" si="89"/>
        <v>3060</v>
      </c>
      <c r="V48" s="11"/>
      <c r="W48" s="11"/>
      <c r="X48" s="10">
        <f t="shared" ref="X48:AE48" si="90">B48/$A48</f>
        <v>0</v>
      </c>
      <c r="Y48" s="10">
        <f t="shared" si="90"/>
        <v>0</v>
      </c>
      <c r="Z48" s="10">
        <f t="shared" si="90"/>
        <v>0</v>
      </c>
      <c r="AA48" s="10">
        <f t="shared" si="90"/>
        <v>0</v>
      </c>
      <c r="AB48" s="10">
        <f t="shared" si="90"/>
        <v>0</v>
      </c>
      <c r="AC48" s="10">
        <f t="shared" si="90"/>
        <v>0</v>
      </c>
      <c r="AD48" s="10">
        <f t="shared" si="90"/>
        <v>0</v>
      </c>
      <c r="AE48" s="10">
        <f t="shared" si="90"/>
        <v>1.511111111</v>
      </c>
    </row>
    <row r="49">
      <c r="A49" s="5">
        <v>46.0</v>
      </c>
      <c r="B49" s="7"/>
      <c r="C49" s="7"/>
      <c r="D49" s="7"/>
      <c r="E49" s="7"/>
      <c r="F49" s="7"/>
      <c r="G49" s="7"/>
      <c r="H49" s="7"/>
      <c r="I49" s="11">
        <v>66.0</v>
      </c>
      <c r="J49" s="7"/>
      <c r="K49" s="7"/>
      <c r="L49" s="7"/>
      <c r="M49" s="7"/>
      <c r="N49" s="11">
        <f t="shared" ref="N49:U49" si="91">$A49*B49</f>
        <v>0</v>
      </c>
      <c r="O49" s="11">
        <f t="shared" si="91"/>
        <v>0</v>
      </c>
      <c r="P49" s="11">
        <f t="shared" si="91"/>
        <v>0</v>
      </c>
      <c r="Q49" s="11">
        <f t="shared" si="91"/>
        <v>0</v>
      </c>
      <c r="R49" s="11">
        <f t="shared" si="91"/>
        <v>0</v>
      </c>
      <c r="S49" s="11">
        <f t="shared" si="91"/>
        <v>0</v>
      </c>
      <c r="T49" s="11">
        <f t="shared" si="91"/>
        <v>0</v>
      </c>
      <c r="U49" s="11">
        <f t="shared" si="91"/>
        <v>3036</v>
      </c>
      <c r="V49" s="11"/>
      <c r="W49" s="11"/>
      <c r="X49" s="10">
        <f t="shared" ref="X49:AE49" si="92">B49/$A49</f>
        <v>0</v>
      </c>
      <c r="Y49" s="10">
        <f t="shared" si="92"/>
        <v>0</v>
      </c>
      <c r="Z49" s="10">
        <f t="shared" si="92"/>
        <v>0</v>
      </c>
      <c r="AA49" s="10">
        <f t="shared" si="92"/>
        <v>0</v>
      </c>
      <c r="AB49" s="10">
        <f t="shared" si="92"/>
        <v>0</v>
      </c>
      <c r="AC49" s="10">
        <f t="shared" si="92"/>
        <v>0</v>
      </c>
      <c r="AD49" s="10">
        <f t="shared" si="92"/>
        <v>0</v>
      </c>
      <c r="AE49" s="10">
        <f t="shared" si="92"/>
        <v>1.434782609</v>
      </c>
    </row>
    <row r="50">
      <c r="A50" s="5">
        <v>47.0</v>
      </c>
      <c r="B50" s="7"/>
      <c r="C50" s="7"/>
      <c r="D50" s="7"/>
      <c r="E50" s="7"/>
      <c r="F50" s="7"/>
      <c r="G50" s="7"/>
      <c r="H50" s="7"/>
      <c r="I50" s="11">
        <v>65.0</v>
      </c>
      <c r="J50" s="7"/>
      <c r="K50" s="7"/>
      <c r="L50" s="7"/>
      <c r="M50" s="7"/>
      <c r="N50" s="11">
        <f t="shared" ref="N50:U50" si="93">$A50*B50</f>
        <v>0</v>
      </c>
      <c r="O50" s="11">
        <f t="shared" si="93"/>
        <v>0</v>
      </c>
      <c r="P50" s="11">
        <f t="shared" si="93"/>
        <v>0</v>
      </c>
      <c r="Q50" s="11">
        <f t="shared" si="93"/>
        <v>0</v>
      </c>
      <c r="R50" s="11">
        <f t="shared" si="93"/>
        <v>0</v>
      </c>
      <c r="S50" s="11">
        <f t="shared" si="93"/>
        <v>0</v>
      </c>
      <c r="T50" s="11">
        <f t="shared" si="93"/>
        <v>0</v>
      </c>
      <c r="U50" s="11">
        <f t="shared" si="93"/>
        <v>3055</v>
      </c>
      <c r="V50" s="11"/>
      <c r="W50" s="11"/>
      <c r="X50" s="10">
        <f t="shared" ref="X50:AE50" si="94">B50/$A50</f>
        <v>0</v>
      </c>
      <c r="Y50" s="10">
        <f t="shared" si="94"/>
        <v>0</v>
      </c>
      <c r="Z50" s="10">
        <f t="shared" si="94"/>
        <v>0</v>
      </c>
      <c r="AA50" s="10">
        <f t="shared" si="94"/>
        <v>0</v>
      </c>
      <c r="AB50" s="10">
        <f t="shared" si="94"/>
        <v>0</v>
      </c>
      <c r="AC50" s="10">
        <f t="shared" si="94"/>
        <v>0</v>
      </c>
      <c r="AD50" s="10">
        <f t="shared" si="94"/>
        <v>0</v>
      </c>
      <c r="AE50" s="10">
        <f t="shared" si="94"/>
        <v>1.382978723</v>
      </c>
    </row>
    <row r="51">
      <c r="A51" s="5">
        <v>48.0</v>
      </c>
      <c r="B51" s="7"/>
      <c r="C51" s="7"/>
      <c r="D51" s="7"/>
      <c r="E51" s="7"/>
      <c r="F51" s="7"/>
      <c r="G51" s="7"/>
      <c r="H51" s="7"/>
      <c r="I51" s="11">
        <v>64.0</v>
      </c>
      <c r="J51" s="7"/>
      <c r="K51" s="7"/>
      <c r="L51" s="7"/>
      <c r="M51" s="7"/>
      <c r="N51" s="11">
        <f t="shared" ref="N51:U51" si="95">$A51*B51</f>
        <v>0</v>
      </c>
      <c r="O51" s="11">
        <f t="shared" si="95"/>
        <v>0</v>
      </c>
      <c r="P51" s="11">
        <f t="shared" si="95"/>
        <v>0</v>
      </c>
      <c r="Q51" s="11">
        <f t="shared" si="95"/>
        <v>0</v>
      </c>
      <c r="R51" s="11">
        <f t="shared" si="95"/>
        <v>0</v>
      </c>
      <c r="S51" s="11">
        <f t="shared" si="95"/>
        <v>0</v>
      </c>
      <c r="T51" s="11">
        <f t="shared" si="95"/>
        <v>0</v>
      </c>
      <c r="U51" s="11">
        <f t="shared" si="95"/>
        <v>3072</v>
      </c>
      <c r="V51" s="11"/>
      <c r="W51" s="11"/>
      <c r="X51" s="10">
        <f t="shared" ref="X51:AE51" si="96">B51/$A51</f>
        <v>0</v>
      </c>
      <c r="Y51" s="10">
        <f t="shared" si="96"/>
        <v>0</v>
      </c>
      <c r="Z51" s="10">
        <f t="shared" si="96"/>
        <v>0</v>
      </c>
      <c r="AA51" s="10">
        <f t="shared" si="96"/>
        <v>0</v>
      </c>
      <c r="AB51" s="10">
        <f t="shared" si="96"/>
        <v>0</v>
      </c>
      <c r="AC51" s="10">
        <f t="shared" si="96"/>
        <v>0</v>
      </c>
      <c r="AD51" s="10">
        <f t="shared" si="96"/>
        <v>0</v>
      </c>
      <c r="AE51" s="10">
        <f t="shared" si="96"/>
        <v>1.333333333</v>
      </c>
    </row>
    <row r="52">
      <c r="A52" s="5">
        <v>49.0</v>
      </c>
      <c r="B52" s="7"/>
      <c r="C52" s="7"/>
      <c r="D52" s="7"/>
      <c r="E52" s="7"/>
      <c r="F52" s="7"/>
      <c r="G52" s="7"/>
      <c r="H52" s="7"/>
      <c r="I52" s="11">
        <v>62.0</v>
      </c>
      <c r="J52" s="7"/>
      <c r="K52" s="7"/>
      <c r="L52" s="7"/>
      <c r="M52" s="7"/>
      <c r="N52" s="11">
        <f t="shared" ref="N52:U52" si="97">$A52*B52</f>
        <v>0</v>
      </c>
      <c r="O52" s="11">
        <f t="shared" si="97"/>
        <v>0</v>
      </c>
      <c r="P52" s="11">
        <f t="shared" si="97"/>
        <v>0</v>
      </c>
      <c r="Q52" s="11">
        <f t="shared" si="97"/>
        <v>0</v>
      </c>
      <c r="R52" s="11">
        <f t="shared" si="97"/>
        <v>0</v>
      </c>
      <c r="S52" s="11">
        <f t="shared" si="97"/>
        <v>0</v>
      </c>
      <c r="T52" s="11">
        <f t="shared" si="97"/>
        <v>0</v>
      </c>
      <c r="U52" s="11">
        <f t="shared" si="97"/>
        <v>3038</v>
      </c>
      <c r="V52" s="11"/>
      <c r="W52" s="11"/>
      <c r="X52" s="10">
        <f t="shared" ref="X52:AE52" si="98">B52/$A52</f>
        <v>0</v>
      </c>
      <c r="Y52" s="10">
        <f t="shared" si="98"/>
        <v>0</v>
      </c>
      <c r="Z52" s="10">
        <f t="shared" si="98"/>
        <v>0</v>
      </c>
      <c r="AA52" s="10">
        <f t="shared" si="98"/>
        <v>0</v>
      </c>
      <c r="AB52" s="10">
        <f t="shared" si="98"/>
        <v>0</v>
      </c>
      <c r="AC52" s="10">
        <f t="shared" si="98"/>
        <v>0</v>
      </c>
      <c r="AD52" s="10">
        <f t="shared" si="98"/>
        <v>0</v>
      </c>
      <c r="AE52" s="10">
        <f t="shared" si="98"/>
        <v>1.265306122</v>
      </c>
    </row>
    <row r="53">
      <c r="A53" s="5">
        <v>50.0</v>
      </c>
      <c r="B53" s="7"/>
      <c r="C53" s="7"/>
      <c r="D53" s="7"/>
      <c r="E53" s="7"/>
      <c r="F53" s="7"/>
      <c r="G53" s="7"/>
      <c r="H53" s="7"/>
      <c r="I53" s="11">
        <v>61.0</v>
      </c>
      <c r="J53" s="7"/>
      <c r="K53" s="7"/>
      <c r="L53" s="7"/>
      <c r="M53" s="7"/>
      <c r="N53" s="11">
        <f t="shared" ref="N53:U53" si="99">$A53*B53</f>
        <v>0</v>
      </c>
      <c r="O53" s="11">
        <f t="shared" si="99"/>
        <v>0</v>
      </c>
      <c r="P53" s="11">
        <f t="shared" si="99"/>
        <v>0</v>
      </c>
      <c r="Q53" s="11">
        <f t="shared" si="99"/>
        <v>0</v>
      </c>
      <c r="R53" s="11">
        <f t="shared" si="99"/>
        <v>0</v>
      </c>
      <c r="S53" s="11">
        <f t="shared" si="99"/>
        <v>0</v>
      </c>
      <c r="T53" s="11">
        <f t="shared" si="99"/>
        <v>0</v>
      </c>
      <c r="U53" s="11">
        <f t="shared" si="99"/>
        <v>3050</v>
      </c>
      <c r="V53" s="11"/>
      <c r="W53" s="11"/>
      <c r="X53" s="10">
        <f t="shared" ref="X53:AE53" si="100">B53/$A53</f>
        <v>0</v>
      </c>
      <c r="Y53" s="10">
        <f t="shared" si="100"/>
        <v>0</v>
      </c>
      <c r="Z53" s="10">
        <f t="shared" si="100"/>
        <v>0</v>
      </c>
      <c r="AA53" s="10">
        <f t="shared" si="100"/>
        <v>0</v>
      </c>
      <c r="AB53" s="10">
        <f t="shared" si="100"/>
        <v>0</v>
      </c>
      <c r="AC53" s="10">
        <f t="shared" si="100"/>
        <v>0</v>
      </c>
      <c r="AD53" s="10">
        <f t="shared" si="100"/>
        <v>0</v>
      </c>
      <c r="AE53" s="10">
        <f t="shared" si="100"/>
        <v>1.22</v>
      </c>
    </row>
    <row r="54">
      <c r="A54" s="5">
        <v>51.0</v>
      </c>
      <c r="B54" s="7"/>
      <c r="C54" s="7"/>
      <c r="D54" s="7"/>
      <c r="E54" s="7"/>
      <c r="F54" s="7"/>
      <c r="G54" s="7"/>
      <c r="H54" s="7"/>
      <c r="I54" s="11">
        <v>60.0</v>
      </c>
      <c r="J54" s="7"/>
      <c r="K54" s="7"/>
      <c r="L54" s="7"/>
      <c r="M54" s="7"/>
      <c r="N54" s="11">
        <f t="shared" ref="N54:U54" si="101">$A54*B54</f>
        <v>0</v>
      </c>
      <c r="O54" s="11">
        <f t="shared" si="101"/>
        <v>0</v>
      </c>
      <c r="P54" s="11">
        <f t="shared" si="101"/>
        <v>0</v>
      </c>
      <c r="Q54" s="11">
        <f t="shared" si="101"/>
        <v>0</v>
      </c>
      <c r="R54" s="11">
        <f t="shared" si="101"/>
        <v>0</v>
      </c>
      <c r="S54" s="11">
        <f t="shared" si="101"/>
        <v>0</v>
      </c>
      <c r="T54" s="11">
        <f t="shared" si="101"/>
        <v>0</v>
      </c>
      <c r="U54" s="11">
        <f t="shared" si="101"/>
        <v>3060</v>
      </c>
      <c r="V54" s="11"/>
      <c r="W54" s="11"/>
      <c r="X54" s="10">
        <f t="shared" ref="X54:AE54" si="102">B54/$A54</f>
        <v>0</v>
      </c>
      <c r="Y54" s="10">
        <f t="shared" si="102"/>
        <v>0</v>
      </c>
      <c r="Z54" s="10">
        <f t="shared" si="102"/>
        <v>0</v>
      </c>
      <c r="AA54" s="10">
        <f t="shared" si="102"/>
        <v>0</v>
      </c>
      <c r="AB54" s="10">
        <f t="shared" si="102"/>
        <v>0</v>
      </c>
      <c r="AC54" s="10">
        <f t="shared" si="102"/>
        <v>0</v>
      </c>
      <c r="AD54" s="10">
        <f t="shared" si="102"/>
        <v>0</v>
      </c>
      <c r="AE54" s="10">
        <f t="shared" si="102"/>
        <v>1.176470588</v>
      </c>
    </row>
    <row r="55">
      <c r="A55" s="5">
        <v>52.0</v>
      </c>
      <c r="B55" s="7"/>
      <c r="C55" s="7"/>
      <c r="D55" s="7"/>
      <c r="E55" s="7"/>
      <c r="F55" s="7"/>
      <c r="G55" s="7"/>
      <c r="H55" s="7"/>
      <c r="I55" s="11">
        <v>59.0</v>
      </c>
      <c r="J55" s="7"/>
      <c r="K55" s="7"/>
      <c r="L55" s="7"/>
      <c r="M55" s="7"/>
      <c r="N55" s="11">
        <f t="shared" ref="N55:U55" si="103">$A55*B55</f>
        <v>0</v>
      </c>
      <c r="O55" s="11">
        <f t="shared" si="103"/>
        <v>0</v>
      </c>
      <c r="P55" s="11">
        <f t="shared" si="103"/>
        <v>0</v>
      </c>
      <c r="Q55" s="11">
        <f t="shared" si="103"/>
        <v>0</v>
      </c>
      <c r="R55" s="11">
        <f t="shared" si="103"/>
        <v>0</v>
      </c>
      <c r="S55" s="11">
        <f t="shared" si="103"/>
        <v>0</v>
      </c>
      <c r="T55" s="11">
        <f t="shared" si="103"/>
        <v>0</v>
      </c>
      <c r="U55" s="11">
        <f t="shared" si="103"/>
        <v>3068</v>
      </c>
      <c r="V55" s="11"/>
      <c r="W55" s="11"/>
      <c r="X55" s="10">
        <f t="shared" ref="X55:AE55" si="104">B55/$A55</f>
        <v>0</v>
      </c>
      <c r="Y55" s="10">
        <f t="shared" si="104"/>
        <v>0</v>
      </c>
      <c r="Z55" s="10">
        <f t="shared" si="104"/>
        <v>0</v>
      </c>
      <c r="AA55" s="10">
        <f t="shared" si="104"/>
        <v>0</v>
      </c>
      <c r="AB55" s="10">
        <f t="shared" si="104"/>
        <v>0</v>
      </c>
      <c r="AC55" s="10">
        <f t="shared" si="104"/>
        <v>0</v>
      </c>
      <c r="AD55" s="10">
        <f t="shared" si="104"/>
        <v>0</v>
      </c>
      <c r="AE55" s="10">
        <f t="shared" si="104"/>
        <v>1.134615385</v>
      </c>
    </row>
    <row r="56">
      <c r="A56" s="5">
        <v>53.0</v>
      </c>
      <c r="B56" s="7"/>
      <c r="C56" s="7"/>
      <c r="D56" s="7"/>
      <c r="E56" s="7"/>
      <c r="F56" s="7"/>
      <c r="G56" s="7"/>
      <c r="H56" s="7"/>
      <c r="I56" s="11">
        <v>58.0</v>
      </c>
      <c r="J56" s="7"/>
      <c r="K56" s="7"/>
      <c r="L56" s="7"/>
      <c r="M56" s="7"/>
      <c r="N56" s="11">
        <f t="shared" ref="N56:U56" si="105">$A56*B56</f>
        <v>0</v>
      </c>
      <c r="O56" s="11">
        <f t="shared" si="105"/>
        <v>0</v>
      </c>
      <c r="P56" s="11">
        <f t="shared" si="105"/>
        <v>0</v>
      </c>
      <c r="Q56" s="11">
        <f t="shared" si="105"/>
        <v>0</v>
      </c>
      <c r="R56" s="11">
        <f t="shared" si="105"/>
        <v>0</v>
      </c>
      <c r="S56" s="11">
        <f t="shared" si="105"/>
        <v>0</v>
      </c>
      <c r="T56" s="11">
        <f t="shared" si="105"/>
        <v>0</v>
      </c>
      <c r="U56" s="11">
        <f t="shared" si="105"/>
        <v>3074</v>
      </c>
      <c r="V56" s="11"/>
      <c r="W56" s="11"/>
      <c r="X56" s="10">
        <f t="shared" ref="X56:AE56" si="106">B56/$A56</f>
        <v>0</v>
      </c>
      <c r="Y56" s="10">
        <f t="shared" si="106"/>
        <v>0</v>
      </c>
      <c r="Z56" s="10">
        <f t="shared" si="106"/>
        <v>0</v>
      </c>
      <c r="AA56" s="10">
        <f t="shared" si="106"/>
        <v>0</v>
      </c>
      <c r="AB56" s="10">
        <f t="shared" si="106"/>
        <v>0</v>
      </c>
      <c r="AC56" s="10">
        <f t="shared" si="106"/>
        <v>0</v>
      </c>
      <c r="AD56" s="10">
        <f t="shared" si="106"/>
        <v>0</v>
      </c>
      <c r="AE56" s="10">
        <f t="shared" si="106"/>
        <v>1.094339623</v>
      </c>
    </row>
    <row r="57">
      <c r="A57" s="5">
        <v>54.0</v>
      </c>
      <c r="B57" s="7"/>
      <c r="C57" s="7"/>
      <c r="D57" s="7"/>
      <c r="E57" s="7"/>
      <c r="F57" s="7"/>
      <c r="G57" s="7"/>
      <c r="H57" s="7"/>
      <c r="I57" s="11">
        <v>57.0</v>
      </c>
      <c r="J57" s="7"/>
      <c r="K57" s="7"/>
      <c r="L57" s="7"/>
      <c r="M57" s="7"/>
      <c r="N57" s="11">
        <f t="shared" ref="N57:U57" si="107">$A57*B57</f>
        <v>0</v>
      </c>
      <c r="O57" s="11">
        <f t="shared" si="107"/>
        <v>0</v>
      </c>
      <c r="P57" s="11">
        <f t="shared" si="107"/>
        <v>0</v>
      </c>
      <c r="Q57" s="11">
        <f t="shared" si="107"/>
        <v>0</v>
      </c>
      <c r="R57" s="11">
        <f t="shared" si="107"/>
        <v>0</v>
      </c>
      <c r="S57" s="11">
        <f t="shared" si="107"/>
        <v>0</v>
      </c>
      <c r="T57" s="11">
        <f t="shared" si="107"/>
        <v>0</v>
      </c>
      <c r="U57" s="11">
        <f t="shared" si="107"/>
        <v>3078</v>
      </c>
      <c r="V57" s="11"/>
      <c r="W57" s="11"/>
      <c r="X57" s="10">
        <f t="shared" ref="X57:AE57" si="108">B57/$A57</f>
        <v>0</v>
      </c>
      <c r="Y57" s="10">
        <f t="shared" si="108"/>
        <v>0</v>
      </c>
      <c r="Z57" s="10">
        <f t="shared" si="108"/>
        <v>0</v>
      </c>
      <c r="AA57" s="10">
        <f t="shared" si="108"/>
        <v>0</v>
      </c>
      <c r="AB57" s="10">
        <f t="shared" si="108"/>
        <v>0</v>
      </c>
      <c r="AC57" s="10">
        <f t="shared" si="108"/>
        <v>0</v>
      </c>
      <c r="AD57" s="10">
        <f t="shared" si="108"/>
        <v>0</v>
      </c>
      <c r="AE57" s="10">
        <f t="shared" si="108"/>
        <v>1.055555556</v>
      </c>
    </row>
    <row r="58">
      <c r="A58" s="9">
        <v>55.0</v>
      </c>
      <c r="B58" s="7"/>
      <c r="C58" s="7"/>
      <c r="D58" s="7"/>
      <c r="E58" s="7"/>
      <c r="F58" s="7"/>
      <c r="G58" s="7"/>
      <c r="H58" s="7"/>
      <c r="I58" s="13">
        <v>56.0</v>
      </c>
      <c r="J58" s="7"/>
      <c r="K58" s="7"/>
      <c r="L58" s="7"/>
      <c r="M58" s="7"/>
      <c r="N58" s="11">
        <f t="shared" ref="N58:U58" si="109">$A58*B58</f>
        <v>0</v>
      </c>
      <c r="O58" s="11">
        <f t="shared" si="109"/>
        <v>0</v>
      </c>
      <c r="P58" s="11">
        <f t="shared" si="109"/>
        <v>0</v>
      </c>
      <c r="Q58" s="11">
        <f t="shared" si="109"/>
        <v>0</v>
      </c>
      <c r="R58" s="11">
        <f t="shared" si="109"/>
        <v>0</v>
      </c>
      <c r="S58" s="11">
        <f t="shared" si="109"/>
        <v>0</v>
      </c>
      <c r="T58" s="11">
        <f t="shared" si="109"/>
        <v>0</v>
      </c>
      <c r="U58" s="13">
        <f t="shared" si="109"/>
        <v>3080</v>
      </c>
      <c r="V58" s="11"/>
      <c r="W58" s="11"/>
      <c r="X58" s="10">
        <f t="shared" ref="X58:AE58" si="110">B58/$A58</f>
        <v>0</v>
      </c>
      <c r="Y58" s="10">
        <f t="shared" si="110"/>
        <v>0</v>
      </c>
      <c r="Z58" s="10">
        <f t="shared" si="110"/>
        <v>0</v>
      </c>
      <c r="AA58" s="10">
        <f t="shared" si="110"/>
        <v>0</v>
      </c>
      <c r="AB58" s="10">
        <f t="shared" si="110"/>
        <v>0</v>
      </c>
      <c r="AC58" s="10">
        <f t="shared" si="110"/>
        <v>0</v>
      </c>
      <c r="AD58" s="10">
        <f t="shared" si="110"/>
        <v>0</v>
      </c>
      <c r="AE58" s="10">
        <f t="shared" si="110"/>
        <v>1.018181818</v>
      </c>
    </row>
    <row r="64">
      <c r="K64" s="8">
        <f>sqrt(3)-1</f>
        <v>0.7320508076</v>
      </c>
    </row>
    <row r="67">
      <c r="K67" s="2" t="s">
        <v>222</v>
      </c>
      <c r="M67" s="2" t="s">
        <v>223</v>
      </c>
      <c r="P67" s="2" t="s">
        <v>224</v>
      </c>
    </row>
    <row r="68">
      <c r="E68" s="2" t="s">
        <v>225</v>
      </c>
      <c r="G68" s="2">
        <v>45.0</v>
      </c>
      <c r="H68" s="2">
        <v>23.0</v>
      </c>
      <c r="K68" s="8">
        <f>G68/H68</f>
        <v>1.956521739</v>
      </c>
      <c r="M68" s="8">
        <f>K68*K64</f>
        <v>1.432273319</v>
      </c>
      <c r="P68" s="8">
        <f>K68/K64</f>
        <v>2.672658399</v>
      </c>
      <c r="T68" s="8">
        <f>round(H68*sqrt(3),0)</f>
        <v>40</v>
      </c>
    </row>
    <row r="70">
      <c r="E70" s="2" t="s">
        <v>226</v>
      </c>
      <c r="G70" s="2">
        <v>22.0</v>
      </c>
      <c r="H70" s="2">
        <v>16.0</v>
      </c>
      <c r="T70" s="8">
        <f>(T$68-$H$68-$H$71)*$G$71</f>
        <v>145</v>
      </c>
    </row>
    <row r="71">
      <c r="G71" s="2">
        <v>29.0</v>
      </c>
      <c r="H71" s="2">
        <v>12.0</v>
      </c>
      <c r="T71" s="8">
        <f>$H$71*($G$68-$G$71)</f>
        <v>192</v>
      </c>
    </row>
    <row r="72">
      <c r="T72" s="8">
        <f>($H$68-$H$70)*$G$70</f>
        <v>154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G2" s="2">
        <v>1.0</v>
      </c>
    </row>
    <row r="3">
      <c r="G3" s="8">
        <f t="shared" ref="G3:G20" si="2">G2</f>
        <v>1</v>
      </c>
      <c r="H3" s="8">
        <f t="shared" ref="H3:R3" si="1">G2+H2</f>
        <v>1</v>
      </c>
      <c r="I3" s="8">
        <f t="shared" si="1"/>
        <v>0</v>
      </c>
      <c r="J3" s="8">
        <f t="shared" si="1"/>
        <v>0</v>
      </c>
      <c r="K3" s="8">
        <f t="shared" si="1"/>
        <v>0</v>
      </c>
      <c r="L3" s="8">
        <f t="shared" si="1"/>
        <v>0</v>
      </c>
      <c r="M3" s="8">
        <f t="shared" si="1"/>
        <v>0</v>
      </c>
      <c r="N3" s="8">
        <f t="shared" si="1"/>
        <v>0</v>
      </c>
      <c r="O3" s="8">
        <f t="shared" si="1"/>
        <v>0</v>
      </c>
      <c r="P3" s="8">
        <f t="shared" si="1"/>
        <v>0</v>
      </c>
      <c r="Q3" s="8">
        <f t="shared" si="1"/>
        <v>0</v>
      </c>
      <c r="R3" s="8">
        <f t="shared" si="1"/>
        <v>0</v>
      </c>
    </row>
    <row r="4">
      <c r="D4" s="8">
        <f>sum(G4)</f>
        <v>1</v>
      </c>
      <c r="E4" s="8">
        <f>sum(G4:H4)</f>
        <v>3</v>
      </c>
      <c r="F4" s="8">
        <f>sum(G4:I4)</f>
        <v>4</v>
      </c>
      <c r="G4" s="8">
        <f t="shared" si="2"/>
        <v>1</v>
      </c>
      <c r="H4" s="8">
        <f t="shared" ref="H4:R4" si="3">G3+H3</f>
        <v>2</v>
      </c>
      <c r="I4" s="8">
        <f t="shared" si="3"/>
        <v>1</v>
      </c>
      <c r="J4" s="8">
        <f t="shared" si="3"/>
        <v>0</v>
      </c>
      <c r="K4" s="8">
        <f t="shared" si="3"/>
        <v>0</v>
      </c>
      <c r="L4" s="8">
        <f t="shared" si="3"/>
        <v>0</v>
      </c>
      <c r="M4" s="8">
        <f t="shared" si="3"/>
        <v>0</v>
      </c>
      <c r="N4" s="8">
        <f t="shared" si="3"/>
        <v>0</v>
      </c>
      <c r="O4" s="8">
        <f t="shared" si="3"/>
        <v>0</v>
      </c>
      <c r="P4" s="8">
        <f t="shared" si="3"/>
        <v>0</v>
      </c>
      <c r="Q4" s="8">
        <f t="shared" si="3"/>
        <v>0</v>
      </c>
      <c r="R4" s="8">
        <f t="shared" si="3"/>
        <v>0</v>
      </c>
    </row>
    <row r="5">
      <c r="C5" s="8">
        <f>sum(G5)</f>
        <v>1</v>
      </c>
      <c r="D5" s="8">
        <f>sum(G5:H5)</f>
        <v>4</v>
      </c>
      <c r="E5" s="8">
        <f>sum(G5:I5)</f>
        <v>7</v>
      </c>
      <c r="F5" s="8">
        <f>sum(G5:J5)</f>
        <v>8</v>
      </c>
      <c r="G5" s="8">
        <f t="shared" si="2"/>
        <v>1</v>
      </c>
      <c r="H5" s="8">
        <f t="shared" ref="H5:R5" si="4">G4+H4</f>
        <v>3</v>
      </c>
      <c r="I5" s="8">
        <f t="shared" si="4"/>
        <v>3</v>
      </c>
      <c r="J5" s="8">
        <f t="shared" si="4"/>
        <v>1</v>
      </c>
      <c r="K5" s="8">
        <f t="shared" si="4"/>
        <v>0</v>
      </c>
      <c r="L5" s="8">
        <f t="shared" si="4"/>
        <v>0</v>
      </c>
      <c r="M5" s="8">
        <f t="shared" si="4"/>
        <v>0</v>
      </c>
      <c r="N5" s="8">
        <f t="shared" si="4"/>
        <v>0</v>
      </c>
      <c r="O5" s="8">
        <f t="shared" si="4"/>
        <v>0</v>
      </c>
      <c r="P5" s="8">
        <f t="shared" si="4"/>
        <v>0</v>
      </c>
      <c r="Q5" s="8">
        <f t="shared" si="4"/>
        <v>0</v>
      </c>
      <c r="R5" s="8">
        <f t="shared" si="4"/>
        <v>0</v>
      </c>
    </row>
    <row r="6">
      <c r="B6" s="8">
        <f>sum(G6)</f>
        <v>1</v>
      </c>
      <c r="C6" s="8">
        <f>sum(G6:H6)</f>
        <v>5</v>
      </c>
      <c r="D6" s="8">
        <f>sum(G6:I6)</f>
        <v>11</v>
      </c>
      <c r="E6" s="8">
        <f>sum(G6:J6)</f>
        <v>15</v>
      </c>
      <c r="F6" s="8">
        <f>sum(G6:K6)</f>
        <v>16</v>
      </c>
      <c r="G6" s="8">
        <f t="shared" si="2"/>
        <v>1</v>
      </c>
      <c r="H6" s="8">
        <f t="shared" ref="H6:R6" si="5">G5+H5</f>
        <v>4</v>
      </c>
      <c r="I6" s="8">
        <f t="shared" si="5"/>
        <v>6</v>
      </c>
      <c r="J6" s="8">
        <f t="shared" si="5"/>
        <v>4</v>
      </c>
      <c r="K6" s="8">
        <f t="shared" si="5"/>
        <v>1</v>
      </c>
      <c r="L6" s="8">
        <f t="shared" si="5"/>
        <v>0</v>
      </c>
      <c r="M6" s="8">
        <f t="shared" si="5"/>
        <v>0</v>
      </c>
      <c r="N6" s="8">
        <f t="shared" si="5"/>
        <v>0</v>
      </c>
      <c r="O6" s="8">
        <f t="shared" si="5"/>
        <v>0</v>
      </c>
      <c r="P6" s="8">
        <f t="shared" si="5"/>
        <v>0</v>
      </c>
      <c r="Q6" s="8">
        <f t="shared" si="5"/>
        <v>0</v>
      </c>
      <c r="R6" s="8">
        <f t="shared" si="5"/>
        <v>0</v>
      </c>
    </row>
    <row r="7">
      <c r="G7" s="8">
        <f t="shared" si="2"/>
        <v>1</v>
      </c>
      <c r="H7" s="8">
        <f t="shared" ref="H7:R7" si="6">G6+H6</f>
        <v>5</v>
      </c>
      <c r="I7" s="8">
        <f t="shared" si="6"/>
        <v>10</v>
      </c>
      <c r="J7" s="8">
        <f t="shared" si="6"/>
        <v>10</v>
      </c>
      <c r="K7" s="8">
        <f t="shared" si="6"/>
        <v>5</v>
      </c>
      <c r="L7" s="8">
        <f t="shared" si="6"/>
        <v>1</v>
      </c>
      <c r="M7" s="8">
        <f t="shared" si="6"/>
        <v>0</v>
      </c>
      <c r="N7" s="8">
        <f t="shared" si="6"/>
        <v>0</v>
      </c>
      <c r="O7" s="8">
        <f t="shared" si="6"/>
        <v>0</v>
      </c>
      <c r="P7" s="8">
        <f t="shared" si="6"/>
        <v>0</v>
      </c>
      <c r="Q7" s="8">
        <f t="shared" si="6"/>
        <v>0</v>
      </c>
      <c r="R7" s="8">
        <f t="shared" si="6"/>
        <v>0</v>
      </c>
    </row>
    <row r="8">
      <c r="G8" s="8">
        <f t="shared" si="2"/>
        <v>1</v>
      </c>
      <c r="H8" s="8">
        <f t="shared" ref="H8:R8" si="7">G7+H7</f>
        <v>6</v>
      </c>
      <c r="I8" s="8">
        <f t="shared" si="7"/>
        <v>15</v>
      </c>
      <c r="J8" s="8">
        <f t="shared" si="7"/>
        <v>20</v>
      </c>
      <c r="K8" s="8">
        <f t="shared" si="7"/>
        <v>15</v>
      </c>
      <c r="L8" s="8">
        <f t="shared" si="7"/>
        <v>6</v>
      </c>
      <c r="M8" s="8">
        <f t="shared" si="7"/>
        <v>1</v>
      </c>
      <c r="N8" s="8">
        <f t="shared" si="7"/>
        <v>0</v>
      </c>
      <c r="O8" s="8">
        <f t="shared" si="7"/>
        <v>0</v>
      </c>
      <c r="P8" s="8">
        <f t="shared" si="7"/>
        <v>0</v>
      </c>
      <c r="Q8" s="8">
        <f t="shared" si="7"/>
        <v>0</v>
      </c>
      <c r="R8" s="8">
        <f t="shared" si="7"/>
        <v>0</v>
      </c>
    </row>
    <row r="9">
      <c r="G9" s="8">
        <f t="shared" si="2"/>
        <v>1</v>
      </c>
      <c r="H9" s="8">
        <f t="shared" ref="H9:R9" si="8">G8+H8</f>
        <v>7</v>
      </c>
      <c r="I9" s="8">
        <f t="shared" si="8"/>
        <v>21</v>
      </c>
      <c r="J9" s="8">
        <f t="shared" si="8"/>
        <v>35</v>
      </c>
      <c r="K9" s="8">
        <f t="shared" si="8"/>
        <v>35</v>
      </c>
      <c r="L9" s="8">
        <f t="shared" si="8"/>
        <v>21</v>
      </c>
      <c r="M9" s="8">
        <f t="shared" si="8"/>
        <v>7</v>
      </c>
      <c r="N9" s="8">
        <f t="shared" si="8"/>
        <v>1</v>
      </c>
      <c r="O9" s="8">
        <f t="shared" si="8"/>
        <v>0</v>
      </c>
      <c r="P9" s="8">
        <f t="shared" si="8"/>
        <v>0</v>
      </c>
      <c r="Q9" s="8">
        <f t="shared" si="8"/>
        <v>0</v>
      </c>
      <c r="R9" s="8">
        <f t="shared" si="8"/>
        <v>0</v>
      </c>
    </row>
    <row r="10">
      <c r="G10" s="8">
        <f t="shared" si="2"/>
        <v>1</v>
      </c>
      <c r="H10" s="8">
        <f t="shared" ref="H10:R10" si="9">G9+H9</f>
        <v>8</v>
      </c>
      <c r="I10" s="8">
        <f t="shared" si="9"/>
        <v>28</v>
      </c>
      <c r="J10" s="8">
        <f t="shared" si="9"/>
        <v>56</v>
      </c>
      <c r="K10" s="8">
        <f t="shared" si="9"/>
        <v>70</v>
      </c>
      <c r="L10" s="8">
        <f t="shared" si="9"/>
        <v>56</v>
      </c>
      <c r="M10" s="8">
        <f t="shared" si="9"/>
        <v>28</v>
      </c>
      <c r="N10" s="8">
        <f t="shared" si="9"/>
        <v>8</v>
      </c>
      <c r="O10" s="8">
        <f t="shared" si="9"/>
        <v>1</v>
      </c>
      <c r="P10" s="8">
        <f t="shared" si="9"/>
        <v>0</v>
      </c>
      <c r="Q10" s="8">
        <f t="shared" si="9"/>
        <v>0</v>
      </c>
      <c r="R10" s="8">
        <f t="shared" si="9"/>
        <v>0</v>
      </c>
    </row>
    <row r="11">
      <c r="G11" s="8">
        <f t="shared" si="2"/>
        <v>1</v>
      </c>
      <c r="H11" s="8">
        <f t="shared" ref="H11:R11" si="10">G10+H10</f>
        <v>9</v>
      </c>
      <c r="I11" s="8">
        <f t="shared" si="10"/>
        <v>36</v>
      </c>
      <c r="J11" s="8">
        <f t="shared" si="10"/>
        <v>84</v>
      </c>
      <c r="K11" s="8">
        <f t="shared" si="10"/>
        <v>126</v>
      </c>
      <c r="L11" s="8">
        <f t="shared" si="10"/>
        <v>126</v>
      </c>
      <c r="M11" s="8">
        <f t="shared" si="10"/>
        <v>84</v>
      </c>
      <c r="N11" s="8">
        <f t="shared" si="10"/>
        <v>36</v>
      </c>
      <c r="O11" s="8">
        <f t="shared" si="10"/>
        <v>9</v>
      </c>
      <c r="P11" s="8">
        <f t="shared" si="10"/>
        <v>1</v>
      </c>
      <c r="Q11" s="8">
        <f t="shared" si="10"/>
        <v>0</v>
      </c>
      <c r="R11" s="8">
        <f t="shared" si="10"/>
        <v>0</v>
      </c>
    </row>
    <row r="12">
      <c r="G12" s="8">
        <f t="shared" si="2"/>
        <v>1</v>
      </c>
      <c r="H12" s="8">
        <f t="shared" ref="H12:R12" si="11">G11+H11</f>
        <v>10</v>
      </c>
      <c r="I12" s="8">
        <f t="shared" si="11"/>
        <v>45</v>
      </c>
      <c r="J12" s="8">
        <f t="shared" si="11"/>
        <v>120</v>
      </c>
      <c r="K12" s="8">
        <f t="shared" si="11"/>
        <v>210</v>
      </c>
      <c r="L12" s="8">
        <f t="shared" si="11"/>
        <v>252</v>
      </c>
      <c r="M12" s="8">
        <f t="shared" si="11"/>
        <v>210</v>
      </c>
      <c r="N12" s="8">
        <f t="shared" si="11"/>
        <v>120</v>
      </c>
      <c r="O12" s="8">
        <f t="shared" si="11"/>
        <v>45</v>
      </c>
      <c r="P12" s="8">
        <f t="shared" si="11"/>
        <v>10</v>
      </c>
      <c r="Q12" s="8">
        <f t="shared" si="11"/>
        <v>1</v>
      </c>
      <c r="R12" s="8">
        <f t="shared" si="11"/>
        <v>0</v>
      </c>
    </row>
    <row r="13">
      <c r="G13" s="8">
        <f t="shared" si="2"/>
        <v>1</v>
      </c>
      <c r="H13" s="8">
        <f t="shared" ref="H13:R13" si="12">G12+H12</f>
        <v>11</v>
      </c>
      <c r="I13" s="8">
        <f t="shared" si="12"/>
        <v>55</v>
      </c>
      <c r="J13" s="8">
        <f t="shared" si="12"/>
        <v>165</v>
      </c>
      <c r="K13" s="8">
        <f t="shared" si="12"/>
        <v>330</v>
      </c>
      <c r="L13" s="8">
        <f t="shared" si="12"/>
        <v>462</v>
      </c>
      <c r="M13" s="8">
        <f t="shared" si="12"/>
        <v>462</v>
      </c>
      <c r="N13" s="8">
        <f t="shared" si="12"/>
        <v>330</v>
      </c>
      <c r="O13" s="8">
        <f t="shared" si="12"/>
        <v>165</v>
      </c>
      <c r="P13" s="8">
        <f t="shared" si="12"/>
        <v>55</v>
      </c>
      <c r="Q13" s="8">
        <f t="shared" si="12"/>
        <v>11</v>
      </c>
      <c r="R13" s="8">
        <f t="shared" si="12"/>
        <v>1</v>
      </c>
    </row>
    <row r="14">
      <c r="G14" s="8">
        <f t="shared" si="2"/>
        <v>1</v>
      </c>
      <c r="H14" s="8">
        <f t="shared" ref="H14:R14" si="13">G13+H13</f>
        <v>12</v>
      </c>
      <c r="I14" s="8">
        <f t="shared" si="13"/>
        <v>66</v>
      </c>
      <c r="J14" s="8">
        <f t="shared" si="13"/>
        <v>220</v>
      </c>
      <c r="K14" s="8">
        <f t="shared" si="13"/>
        <v>495</v>
      </c>
      <c r="L14" s="8">
        <f t="shared" si="13"/>
        <v>792</v>
      </c>
      <c r="M14" s="8">
        <f t="shared" si="13"/>
        <v>924</v>
      </c>
      <c r="N14" s="8">
        <f t="shared" si="13"/>
        <v>792</v>
      </c>
      <c r="O14" s="8">
        <f t="shared" si="13"/>
        <v>495</v>
      </c>
      <c r="P14" s="8">
        <f t="shared" si="13"/>
        <v>220</v>
      </c>
      <c r="Q14" s="8">
        <f t="shared" si="13"/>
        <v>66</v>
      </c>
      <c r="R14" s="8">
        <f t="shared" si="13"/>
        <v>12</v>
      </c>
    </row>
    <row r="15">
      <c r="G15" s="8">
        <f t="shared" si="2"/>
        <v>1</v>
      </c>
      <c r="H15" s="8">
        <f t="shared" ref="H15:R15" si="14">G14+H14</f>
        <v>13</v>
      </c>
      <c r="I15" s="8">
        <f t="shared" si="14"/>
        <v>78</v>
      </c>
      <c r="J15" s="8">
        <f t="shared" si="14"/>
        <v>286</v>
      </c>
      <c r="K15" s="8">
        <f t="shared" si="14"/>
        <v>715</v>
      </c>
      <c r="L15" s="8">
        <f t="shared" si="14"/>
        <v>1287</v>
      </c>
      <c r="M15" s="8">
        <f t="shared" si="14"/>
        <v>1716</v>
      </c>
      <c r="N15" s="8">
        <f t="shared" si="14"/>
        <v>1716</v>
      </c>
      <c r="O15" s="8">
        <f t="shared" si="14"/>
        <v>1287</v>
      </c>
      <c r="P15" s="8">
        <f t="shared" si="14"/>
        <v>715</v>
      </c>
      <c r="Q15" s="8">
        <f t="shared" si="14"/>
        <v>286</v>
      </c>
      <c r="R15" s="8">
        <f t="shared" si="14"/>
        <v>78</v>
      </c>
    </row>
    <row r="16">
      <c r="G16" s="8">
        <f t="shared" si="2"/>
        <v>1</v>
      </c>
      <c r="H16" s="8">
        <f t="shared" ref="H16:R16" si="15">G15+H15</f>
        <v>14</v>
      </c>
      <c r="I16" s="8">
        <f t="shared" si="15"/>
        <v>91</v>
      </c>
      <c r="J16" s="8">
        <f t="shared" si="15"/>
        <v>364</v>
      </c>
      <c r="K16" s="8">
        <f t="shared" si="15"/>
        <v>1001</v>
      </c>
      <c r="L16" s="8">
        <f t="shared" si="15"/>
        <v>2002</v>
      </c>
      <c r="M16" s="8">
        <f t="shared" si="15"/>
        <v>3003</v>
      </c>
      <c r="N16" s="8">
        <f t="shared" si="15"/>
        <v>3432</v>
      </c>
      <c r="O16" s="8">
        <f t="shared" si="15"/>
        <v>3003</v>
      </c>
      <c r="P16" s="8">
        <f t="shared" si="15"/>
        <v>2002</v>
      </c>
      <c r="Q16" s="8">
        <f t="shared" si="15"/>
        <v>1001</v>
      </c>
      <c r="R16" s="8">
        <f t="shared" si="15"/>
        <v>364</v>
      </c>
    </row>
    <row r="17">
      <c r="G17" s="8">
        <f t="shared" si="2"/>
        <v>1</v>
      </c>
      <c r="H17" s="8">
        <f t="shared" ref="H17:R17" si="16">G16+H16</f>
        <v>15</v>
      </c>
      <c r="I17" s="8">
        <f t="shared" si="16"/>
        <v>105</v>
      </c>
      <c r="J17" s="8">
        <f t="shared" si="16"/>
        <v>455</v>
      </c>
      <c r="K17" s="8">
        <f t="shared" si="16"/>
        <v>1365</v>
      </c>
      <c r="L17" s="8">
        <f t="shared" si="16"/>
        <v>3003</v>
      </c>
      <c r="M17" s="8">
        <f t="shared" si="16"/>
        <v>5005</v>
      </c>
      <c r="N17" s="8">
        <f t="shared" si="16"/>
        <v>6435</v>
      </c>
      <c r="O17" s="8">
        <f t="shared" si="16"/>
        <v>6435</v>
      </c>
      <c r="P17" s="8">
        <f t="shared" si="16"/>
        <v>5005</v>
      </c>
      <c r="Q17" s="8">
        <f t="shared" si="16"/>
        <v>3003</v>
      </c>
      <c r="R17" s="8">
        <f t="shared" si="16"/>
        <v>1365</v>
      </c>
    </row>
    <row r="18">
      <c r="G18" s="8">
        <f t="shared" si="2"/>
        <v>1</v>
      </c>
      <c r="H18" s="8">
        <f t="shared" ref="H18:R18" si="17">G17+H17</f>
        <v>16</v>
      </c>
      <c r="I18" s="8">
        <f t="shared" si="17"/>
        <v>120</v>
      </c>
      <c r="J18" s="8">
        <f t="shared" si="17"/>
        <v>560</v>
      </c>
      <c r="K18" s="8">
        <f t="shared" si="17"/>
        <v>1820</v>
      </c>
      <c r="L18" s="8">
        <f t="shared" si="17"/>
        <v>4368</v>
      </c>
      <c r="M18" s="8">
        <f t="shared" si="17"/>
        <v>8008</v>
      </c>
      <c r="N18" s="8">
        <f t="shared" si="17"/>
        <v>11440</v>
      </c>
      <c r="O18" s="8">
        <f t="shared" si="17"/>
        <v>12870</v>
      </c>
      <c r="P18" s="8">
        <f t="shared" si="17"/>
        <v>11440</v>
      </c>
      <c r="Q18" s="8">
        <f t="shared" si="17"/>
        <v>8008</v>
      </c>
      <c r="R18" s="8">
        <f t="shared" si="17"/>
        <v>4368</v>
      </c>
    </row>
    <row r="19">
      <c r="G19" s="8">
        <f t="shared" si="2"/>
        <v>1</v>
      </c>
      <c r="H19" s="8">
        <f t="shared" ref="H19:R19" si="18">G18+H18</f>
        <v>17</v>
      </c>
      <c r="I19" s="8">
        <f t="shared" si="18"/>
        <v>136</v>
      </c>
      <c r="J19" s="8">
        <f t="shared" si="18"/>
        <v>680</v>
      </c>
      <c r="K19" s="8">
        <f t="shared" si="18"/>
        <v>2380</v>
      </c>
      <c r="L19" s="8">
        <f t="shared" si="18"/>
        <v>6188</v>
      </c>
      <c r="M19" s="8">
        <f t="shared" si="18"/>
        <v>12376</v>
      </c>
      <c r="N19" s="8">
        <f t="shared" si="18"/>
        <v>19448</v>
      </c>
      <c r="O19" s="8">
        <f t="shared" si="18"/>
        <v>24310</v>
      </c>
      <c r="P19" s="8">
        <f t="shared" si="18"/>
        <v>24310</v>
      </c>
      <c r="Q19" s="8">
        <f t="shared" si="18"/>
        <v>19448</v>
      </c>
      <c r="R19" s="8">
        <f t="shared" si="18"/>
        <v>12376</v>
      </c>
    </row>
    <row r="20">
      <c r="G20" s="8">
        <f t="shared" si="2"/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>
        <v>1.0</v>
      </c>
      <c r="C2" s="2">
        <v>1.0</v>
      </c>
      <c r="F2" s="8">
        <f t="shared" ref="F2:F34" si="1">C2/B2</f>
        <v>1</v>
      </c>
      <c r="I2" s="8">
        <f t="shared" ref="I2:I34" si="2">B2/sqrt(3)</f>
        <v>0.5773502692</v>
      </c>
      <c r="J2" s="8">
        <f t="shared" ref="J2:J34" si="3">CEILING(I2,1)</f>
        <v>1</v>
      </c>
    </row>
    <row r="3">
      <c r="B3" s="2">
        <v>2.0</v>
      </c>
      <c r="C3" s="2">
        <v>1.0</v>
      </c>
      <c r="F3" s="8">
        <f t="shared" si="1"/>
        <v>0.5</v>
      </c>
      <c r="I3" s="8">
        <f t="shared" si="2"/>
        <v>1.154700538</v>
      </c>
      <c r="J3" s="8">
        <f t="shared" si="3"/>
        <v>2</v>
      </c>
    </row>
    <row r="4">
      <c r="B4" s="2">
        <v>3.0</v>
      </c>
      <c r="C4" s="2">
        <v>2.0</v>
      </c>
      <c r="F4" s="8">
        <f t="shared" si="1"/>
        <v>0.6666666667</v>
      </c>
      <c r="I4" s="8">
        <f t="shared" si="2"/>
        <v>1.732050808</v>
      </c>
      <c r="J4" s="8">
        <f t="shared" si="3"/>
        <v>2</v>
      </c>
    </row>
    <row r="5">
      <c r="B5" s="2">
        <v>4.0</v>
      </c>
      <c r="C5" s="2">
        <v>3.0</v>
      </c>
      <c r="F5" s="8">
        <f t="shared" si="1"/>
        <v>0.75</v>
      </c>
      <c r="I5" s="8">
        <f t="shared" si="2"/>
        <v>2.309401077</v>
      </c>
      <c r="J5" s="8">
        <f t="shared" si="3"/>
        <v>3</v>
      </c>
    </row>
    <row r="6">
      <c r="B6" s="2">
        <v>5.0</v>
      </c>
      <c r="C6" s="2">
        <v>3.0</v>
      </c>
      <c r="F6" s="8">
        <f t="shared" si="1"/>
        <v>0.6</v>
      </c>
      <c r="I6" s="8">
        <f t="shared" si="2"/>
        <v>2.886751346</v>
      </c>
      <c r="J6" s="8">
        <f t="shared" si="3"/>
        <v>3</v>
      </c>
    </row>
    <row r="7">
      <c r="B7" s="2">
        <v>6.0</v>
      </c>
      <c r="C7" s="2">
        <v>4.0</v>
      </c>
      <c r="F7" s="8">
        <f t="shared" si="1"/>
        <v>0.6666666667</v>
      </c>
      <c r="I7" s="8">
        <f t="shared" si="2"/>
        <v>3.464101615</v>
      </c>
      <c r="J7" s="8">
        <f t="shared" si="3"/>
        <v>4</v>
      </c>
    </row>
    <row r="8">
      <c r="B8" s="2">
        <v>7.0</v>
      </c>
      <c r="C8" s="2">
        <v>4.0</v>
      </c>
      <c r="D8" s="2">
        <v>5.0</v>
      </c>
      <c r="F8" s="8">
        <f t="shared" si="1"/>
        <v>0.5714285714</v>
      </c>
      <c r="G8" s="8">
        <f t="shared" ref="G8:G34" si="4">D8/B8</f>
        <v>0.7142857143</v>
      </c>
      <c r="I8" s="8">
        <f t="shared" si="2"/>
        <v>4.041451884</v>
      </c>
      <c r="J8" s="8">
        <f t="shared" si="3"/>
        <v>5</v>
      </c>
    </row>
    <row r="9">
      <c r="B9" s="2">
        <v>8.0</v>
      </c>
      <c r="C9" s="2">
        <v>5.0</v>
      </c>
      <c r="D9" s="2">
        <v>6.0</v>
      </c>
      <c r="F9" s="8">
        <f t="shared" si="1"/>
        <v>0.625</v>
      </c>
      <c r="G9" s="8">
        <f t="shared" si="4"/>
        <v>0.75</v>
      </c>
      <c r="I9" s="8">
        <f t="shared" si="2"/>
        <v>4.618802154</v>
      </c>
      <c r="J9" s="8">
        <f t="shared" si="3"/>
        <v>5</v>
      </c>
    </row>
    <row r="10">
      <c r="B10" s="2">
        <v>9.0</v>
      </c>
      <c r="C10" s="2">
        <v>6.0</v>
      </c>
      <c r="F10" s="8">
        <f t="shared" si="1"/>
        <v>0.6666666667</v>
      </c>
      <c r="G10" s="8">
        <f t="shared" si="4"/>
        <v>0</v>
      </c>
      <c r="I10" s="8">
        <f t="shared" si="2"/>
        <v>5.196152423</v>
      </c>
      <c r="J10" s="8">
        <f t="shared" si="3"/>
        <v>6</v>
      </c>
    </row>
    <row r="11">
      <c r="B11" s="2">
        <v>10.0</v>
      </c>
      <c r="C11" s="2">
        <v>6.0</v>
      </c>
      <c r="F11" s="8">
        <f t="shared" si="1"/>
        <v>0.6</v>
      </c>
      <c r="G11" s="8">
        <f t="shared" si="4"/>
        <v>0</v>
      </c>
      <c r="I11" s="8">
        <f t="shared" si="2"/>
        <v>5.773502692</v>
      </c>
      <c r="J11" s="8">
        <f t="shared" si="3"/>
        <v>6</v>
      </c>
    </row>
    <row r="12">
      <c r="B12" s="2">
        <v>11.0</v>
      </c>
      <c r="C12" s="2">
        <v>6.0</v>
      </c>
      <c r="D12" s="2">
        <v>7.0</v>
      </c>
      <c r="F12" s="8">
        <f t="shared" si="1"/>
        <v>0.5454545455</v>
      </c>
      <c r="G12" s="8">
        <f t="shared" si="4"/>
        <v>0.6363636364</v>
      </c>
      <c r="I12" s="8">
        <f t="shared" si="2"/>
        <v>6.350852961</v>
      </c>
      <c r="J12" s="8">
        <f t="shared" si="3"/>
        <v>7</v>
      </c>
    </row>
    <row r="13">
      <c r="B13" s="2">
        <v>12.0</v>
      </c>
      <c r="C13" s="2">
        <v>7.0</v>
      </c>
      <c r="F13" s="8">
        <f t="shared" si="1"/>
        <v>0.5833333333</v>
      </c>
      <c r="G13" s="8">
        <f t="shared" si="4"/>
        <v>0</v>
      </c>
      <c r="I13" s="8">
        <f t="shared" si="2"/>
        <v>6.92820323</v>
      </c>
      <c r="J13" s="8">
        <f t="shared" si="3"/>
        <v>7</v>
      </c>
    </row>
    <row r="14">
      <c r="B14" s="2">
        <v>13.0</v>
      </c>
      <c r="C14" s="2">
        <v>7.0</v>
      </c>
      <c r="D14" s="2">
        <v>8.0</v>
      </c>
      <c r="E14" s="2">
        <v>9.0</v>
      </c>
      <c r="F14" s="8">
        <f t="shared" si="1"/>
        <v>0.5384615385</v>
      </c>
      <c r="G14" s="8">
        <f t="shared" si="4"/>
        <v>0.6153846154</v>
      </c>
      <c r="H14" s="8">
        <f t="shared" ref="H14:H34" si="5">E14/B14</f>
        <v>0.6923076923</v>
      </c>
      <c r="I14" s="8">
        <f t="shared" si="2"/>
        <v>7.505553499</v>
      </c>
      <c r="J14" s="8">
        <f t="shared" si="3"/>
        <v>8</v>
      </c>
    </row>
    <row r="15">
      <c r="B15" s="2">
        <v>14.0</v>
      </c>
      <c r="C15" s="2">
        <v>8.0</v>
      </c>
      <c r="D15" s="2">
        <v>9.0</v>
      </c>
      <c r="F15" s="8">
        <f t="shared" si="1"/>
        <v>0.5714285714</v>
      </c>
      <c r="G15" s="8">
        <f t="shared" si="4"/>
        <v>0.6428571429</v>
      </c>
      <c r="H15" s="8">
        <f t="shared" si="5"/>
        <v>0</v>
      </c>
      <c r="I15" s="8">
        <f t="shared" si="2"/>
        <v>8.082903769</v>
      </c>
      <c r="J15" s="8">
        <f t="shared" si="3"/>
        <v>9</v>
      </c>
    </row>
    <row r="16">
      <c r="B16" s="2">
        <v>15.0</v>
      </c>
      <c r="C16" s="2">
        <v>8.0</v>
      </c>
      <c r="D16" s="2">
        <v>9.0</v>
      </c>
      <c r="E16" s="2">
        <v>10.0</v>
      </c>
      <c r="F16" s="8">
        <f t="shared" si="1"/>
        <v>0.5333333333</v>
      </c>
      <c r="G16" s="8">
        <f t="shared" si="4"/>
        <v>0.6</v>
      </c>
      <c r="H16" s="8">
        <f t="shared" si="5"/>
        <v>0.6666666667</v>
      </c>
      <c r="I16" s="8">
        <f t="shared" si="2"/>
        <v>8.660254038</v>
      </c>
      <c r="J16" s="8">
        <f t="shared" si="3"/>
        <v>9</v>
      </c>
    </row>
    <row r="17">
      <c r="B17" s="2">
        <v>16.0</v>
      </c>
      <c r="C17" s="2">
        <v>9.0</v>
      </c>
      <c r="D17" s="2">
        <v>10.0</v>
      </c>
      <c r="F17" s="8">
        <f t="shared" si="1"/>
        <v>0.5625</v>
      </c>
      <c r="G17" s="8">
        <f t="shared" si="4"/>
        <v>0.625</v>
      </c>
      <c r="H17" s="8">
        <f t="shared" si="5"/>
        <v>0</v>
      </c>
      <c r="I17" s="8">
        <f t="shared" si="2"/>
        <v>9.237604307</v>
      </c>
      <c r="J17" s="8">
        <f t="shared" si="3"/>
        <v>10</v>
      </c>
    </row>
    <row r="18">
      <c r="B18" s="2">
        <v>17.0</v>
      </c>
      <c r="C18" s="2">
        <v>10.0</v>
      </c>
      <c r="D18" s="2">
        <v>11.0</v>
      </c>
      <c r="F18" s="8">
        <f t="shared" si="1"/>
        <v>0.5882352941</v>
      </c>
      <c r="G18" s="8">
        <f t="shared" si="4"/>
        <v>0.6470588235</v>
      </c>
      <c r="H18" s="8">
        <f t="shared" si="5"/>
        <v>0</v>
      </c>
      <c r="I18" s="8">
        <f t="shared" si="2"/>
        <v>9.814954576</v>
      </c>
      <c r="J18" s="8">
        <f t="shared" si="3"/>
        <v>10</v>
      </c>
    </row>
    <row r="19">
      <c r="B19" s="2">
        <v>18.0</v>
      </c>
      <c r="C19" s="2">
        <v>10.0</v>
      </c>
      <c r="D19" s="2">
        <v>11.0</v>
      </c>
      <c r="E19" s="2">
        <v>12.0</v>
      </c>
      <c r="F19" s="8">
        <f t="shared" si="1"/>
        <v>0.5555555556</v>
      </c>
      <c r="G19" s="8">
        <f t="shared" si="4"/>
        <v>0.6111111111</v>
      </c>
      <c r="H19" s="8">
        <f t="shared" si="5"/>
        <v>0.6666666667</v>
      </c>
      <c r="I19" s="8">
        <f t="shared" si="2"/>
        <v>10.39230485</v>
      </c>
      <c r="J19" s="8">
        <f t="shared" si="3"/>
        <v>11</v>
      </c>
    </row>
    <row r="20">
      <c r="B20" s="2">
        <v>19.0</v>
      </c>
      <c r="C20" s="2">
        <v>11.0</v>
      </c>
      <c r="F20" s="8">
        <f t="shared" si="1"/>
        <v>0.5789473684</v>
      </c>
      <c r="G20" s="8">
        <f t="shared" si="4"/>
        <v>0</v>
      </c>
      <c r="H20" s="8">
        <f t="shared" si="5"/>
        <v>0</v>
      </c>
      <c r="I20" s="8">
        <f t="shared" si="2"/>
        <v>10.96965511</v>
      </c>
      <c r="J20" s="8">
        <f t="shared" si="3"/>
        <v>11</v>
      </c>
    </row>
    <row r="21">
      <c r="B21" s="2">
        <v>20.0</v>
      </c>
      <c r="C21" s="2">
        <v>12.0</v>
      </c>
      <c r="F21" s="8">
        <f t="shared" si="1"/>
        <v>0.6</v>
      </c>
      <c r="G21" s="8">
        <f t="shared" si="4"/>
        <v>0</v>
      </c>
      <c r="H21" s="8">
        <f t="shared" si="5"/>
        <v>0</v>
      </c>
      <c r="I21" s="8">
        <f t="shared" si="2"/>
        <v>11.54700538</v>
      </c>
      <c r="J21" s="8">
        <f t="shared" si="3"/>
        <v>12</v>
      </c>
    </row>
    <row r="22">
      <c r="B22" s="2">
        <v>21.0</v>
      </c>
      <c r="C22" s="2">
        <v>12.0</v>
      </c>
      <c r="F22" s="8">
        <f t="shared" si="1"/>
        <v>0.5714285714</v>
      </c>
      <c r="G22" s="8">
        <f t="shared" si="4"/>
        <v>0</v>
      </c>
      <c r="H22" s="8">
        <f t="shared" si="5"/>
        <v>0</v>
      </c>
      <c r="I22" s="8">
        <f t="shared" si="2"/>
        <v>12.12435565</v>
      </c>
      <c r="J22" s="8">
        <f t="shared" si="3"/>
        <v>13</v>
      </c>
    </row>
    <row r="23">
      <c r="B23" s="2">
        <v>22.0</v>
      </c>
      <c r="F23" s="8">
        <f t="shared" si="1"/>
        <v>0</v>
      </c>
      <c r="G23" s="8">
        <f t="shared" si="4"/>
        <v>0</v>
      </c>
      <c r="H23" s="8">
        <f t="shared" si="5"/>
        <v>0</v>
      </c>
      <c r="I23" s="8">
        <f t="shared" si="2"/>
        <v>12.70170592</v>
      </c>
      <c r="J23" s="8">
        <f t="shared" si="3"/>
        <v>13</v>
      </c>
    </row>
    <row r="24">
      <c r="B24" s="2">
        <v>23.0</v>
      </c>
      <c r="F24" s="8">
        <f t="shared" si="1"/>
        <v>0</v>
      </c>
      <c r="G24" s="8">
        <f t="shared" si="4"/>
        <v>0</v>
      </c>
      <c r="H24" s="8">
        <f t="shared" si="5"/>
        <v>0</v>
      </c>
      <c r="I24" s="8">
        <f t="shared" si="2"/>
        <v>13.27905619</v>
      </c>
      <c r="J24" s="8">
        <f t="shared" si="3"/>
        <v>14</v>
      </c>
    </row>
    <row r="25">
      <c r="B25" s="2">
        <v>24.0</v>
      </c>
      <c r="F25" s="8">
        <f t="shared" si="1"/>
        <v>0</v>
      </c>
      <c r="G25" s="8">
        <f t="shared" si="4"/>
        <v>0</v>
      </c>
      <c r="H25" s="8">
        <f t="shared" si="5"/>
        <v>0</v>
      </c>
      <c r="I25" s="8">
        <f t="shared" si="2"/>
        <v>13.85640646</v>
      </c>
      <c r="J25" s="8">
        <f t="shared" si="3"/>
        <v>14</v>
      </c>
    </row>
    <row r="26">
      <c r="B26" s="2">
        <v>25.0</v>
      </c>
      <c r="F26" s="8">
        <f t="shared" si="1"/>
        <v>0</v>
      </c>
      <c r="G26" s="8">
        <f t="shared" si="4"/>
        <v>0</v>
      </c>
      <c r="H26" s="8">
        <f t="shared" si="5"/>
        <v>0</v>
      </c>
      <c r="I26" s="8">
        <f t="shared" si="2"/>
        <v>14.43375673</v>
      </c>
      <c r="J26" s="8">
        <f t="shared" si="3"/>
        <v>15</v>
      </c>
    </row>
    <row r="27">
      <c r="B27" s="2">
        <v>26.0</v>
      </c>
      <c r="F27" s="8">
        <f t="shared" si="1"/>
        <v>0</v>
      </c>
      <c r="G27" s="8">
        <f t="shared" si="4"/>
        <v>0</v>
      </c>
      <c r="H27" s="8">
        <f t="shared" si="5"/>
        <v>0</v>
      </c>
      <c r="I27" s="8">
        <f t="shared" si="2"/>
        <v>15.011107</v>
      </c>
      <c r="J27" s="8">
        <f t="shared" si="3"/>
        <v>16</v>
      </c>
    </row>
    <row r="28">
      <c r="B28" s="2">
        <v>27.0</v>
      </c>
      <c r="F28" s="8">
        <f t="shared" si="1"/>
        <v>0</v>
      </c>
      <c r="G28" s="8">
        <f t="shared" si="4"/>
        <v>0</v>
      </c>
      <c r="H28" s="8">
        <f t="shared" si="5"/>
        <v>0</v>
      </c>
      <c r="I28" s="8">
        <f t="shared" si="2"/>
        <v>15.58845727</v>
      </c>
      <c r="J28" s="8">
        <f t="shared" si="3"/>
        <v>16</v>
      </c>
    </row>
    <row r="29">
      <c r="B29" s="2">
        <v>28.0</v>
      </c>
      <c r="F29" s="8">
        <f t="shared" si="1"/>
        <v>0</v>
      </c>
      <c r="G29" s="8">
        <f t="shared" si="4"/>
        <v>0</v>
      </c>
      <c r="H29" s="8">
        <f t="shared" si="5"/>
        <v>0</v>
      </c>
      <c r="I29" s="8">
        <f t="shared" si="2"/>
        <v>16.16580754</v>
      </c>
      <c r="J29" s="8">
        <f t="shared" si="3"/>
        <v>17</v>
      </c>
    </row>
    <row r="30">
      <c r="B30" s="2">
        <v>29.0</v>
      </c>
      <c r="F30" s="8">
        <f t="shared" si="1"/>
        <v>0</v>
      </c>
      <c r="G30" s="8">
        <f t="shared" si="4"/>
        <v>0</v>
      </c>
      <c r="H30" s="8">
        <f t="shared" si="5"/>
        <v>0</v>
      </c>
      <c r="I30" s="8">
        <f t="shared" si="2"/>
        <v>16.74315781</v>
      </c>
      <c r="J30" s="8">
        <f t="shared" si="3"/>
        <v>17</v>
      </c>
    </row>
    <row r="31">
      <c r="B31" s="2">
        <v>30.0</v>
      </c>
      <c r="F31" s="8">
        <f t="shared" si="1"/>
        <v>0</v>
      </c>
      <c r="G31" s="8">
        <f t="shared" si="4"/>
        <v>0</v>
      </c>
      <c r="H31" s="8">
        <f t="shared" si="5"/>
        <v>0</v>
      </c>
      <c r="I31" s="8">
        <f t="shared" si="2"/>
        <v>17.32050808</v>
      </c>
      <c r="J31" s="8">
        <f t="shared" si="3"/>
        <v>18</v>
      </c>
    </row>
    <row r="32">
      <c r="B32" s="2">
        <v>31.0</v>
      </c>
      <c r="F32" s="8">
        <f t="shared" si="1"/>
        <v>0</v>
      </c>
      <c r="G32" s="8">
        <f t="shared" si="4"/>
        <v>0</v>
      </c>
      <c r="H32" s="8">
        <f t="shared" si="5"/>
        <v>0</v>
      </c>
      <c r="I32" s="8">
        <f t="shared" si="2"/>
        <v>17.89785834</v>
      </c>
      <c r="J32" s="8">
        <f t="shared" si="3"/>
        <v>18</v>
      </c>
    </row>
    <row r="33">
      <c r="B33" s="2">
        <v>32.0</v>
      </c>
      <c r="F33" s="8">
        <f t="shared" si="1"/>
        <v>0</v>
      </c>
      <c r="G33" s="8">
        <f t="shared" si="4"/>
        <v>0</v>
      </c>
      <c r="H33" s="8">
        <f t="shared" si="5"/>
        <v>0</v>
      </c>
      <c r="I33" s="8">
        <f t="shared" si="2"/>
        <v>18.47520861</v>
      </c>
      <c r="J33" s="8">
        <f t="shared" si="3"/>
        <v>19</v>
      </c>
    </row>
    <row r="34">
      <c r="B34" s="2">
        <v>33.0</v>
      </c>
      <c r="F34" s="8">
        <f t="shared" si="1"/>
        <v>0</v>
      </c>
      <c r="G34" s="8">
        <f t="shared" si="4"/>
        <v>0</v>
      </c>
      <c r="H34" s="8">
        <f t="shared" si="5"/>
        <v>0</v>
      </c>
      <c r="I34" s="8">
        <f t="shared" si="2"/>
        <v>19.05255888</v>
      </c>
      <c r="J34" s="8">
        <f t="shared" si="3"/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3.5"/>
    <col customWidth="1" min="3" max="3" width="22.75"/>
    <col customWidth="1" min="4" max="4" width="49.38"/>
    <col customWidth="1" min="5" max="5" width="9.0"/>
    <col customWidth="1" min="6" max="17" width="5.38"/>
    <col customWidth="1" min="18" max="18" width="4.75"/>
  </cols>
  <sheetData>
    <row r="1">
      <c r="A1" s="1"/>
      <c r="B1" s="1"/>
      <c r="C1" s="4" t="s">
        <v>1</v>
      </c>
      <c r="D1" s="4" t="s">
        <v>2</v>
      </c>
      <c r="E1" s="4"/>
      <c r="F1" s="4">
        <v>0.0</v>
      </c>
      <c r="G1" s="4">
        <v>1.0</v>
      </c>
      <c r="H1" s="4">
        <v>2.0</v>
      </c>
      <c r="I1" s="4">
        <v>3.0</v>
      </c>
      <c r="J1" s="4">
        <v>4.0</v>
      </c>
      <c r="K1" s="4">
        <v>5.0</v>
      </c>
      <c r="L1" s="4">
        <v>6.0</v>
      </c>
      <c r="M1" s="4">
        <v>7.0</v>
      </c>
      <c r="N1" s="4">
        <v>8.0</v>
      </c>
      <c r="O1" s="4">
        <v>9.0</v>
      </c>
      <c r="P1" s="4">
        <v>10.0</v>
      </c>
      <c r="Q1" s="4">
        <v>11.0</v>
      </c>
      <c r="R1" s="4">
        <v>12.0</v>
      </c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2">
        <v>1.0</v>
      </c>
      <c r="B2" s="2" t="s">
        <v>3</v>
      </c>
      <c r="C2" s="2" t="s">
        <v>4</v>
      </c>
      <c r="D2" s="2" t="s">
        <v>5</v>
      </c>
      <c r="E2" s="2" t="str">
        <f t="shared" ref="E2:E7" si="2">B2</f>
        <v>A</v>
      </c>
      <c r="F2" s="8">
        <f t="shared" ref="F2:Q2" si="1">2^F1</f>
        <v>1</v>
      </c>
      <c r="G2" s="8">
        <f t="shared" si="1"/>
        <v>2</v>
      </c>
      <c r="H2" s="8">
        <f t="shared" si="1"/>
        <v>4</v>
      </c>
      <c r="I2" s="8">
        <f t="shared" si="1"/>
        <v>8</v>
      </c>
      <c r="J2" s="8">
        <f t="shared" si="1"/>
        <v>16</v>
      </c>
      <c r="K2" s="8">
        <f t="shared" si="1"/>
        <v>32</v>
      </c>
      <c r="L2" s="8">
        <f t="shared" si="1"/>
        <v>64</v>
      </c>
      <c r="M2" s="8">
        <f t="shared" si="1"/>
        <v>128</v>
      </c>
      <c r="N2" s="8">
        <f t="shared" si="1"/>
        <v>256</v>
      </c>
      <c r="O2" s="8">
        <f t="shared" si="1"/>
        <v>512</v>
      </c>
      <c r="P2" s="8">
        <f t="shared" si="1"/>
        <v>1024</v>
      </c>
      <c r="Q2" s="8">
        <f t="shared" si="1"/>
        <v>2048</v>
      </c>
      <c r="R2" s="8">
        <f>Q2+Q2</f>
        <v>4096</v>
      </c>
    </row>
    <row r="3">
      <c r="A3" s="2">
        <v>1.0</v>
      </c>
      <c r="B3" s="2" t="s">
        <v>6</v>
      </c>
      <c r="C3" s="2" t="s">
        <v>7</v>
      </c>
      <c r="D3" s="2" t="s">
        <v>8</v>
      </c>
      <c r="E3" s="2" t="str">
        <f t="shared" si="2"/>
        <v>B</v>
      </c>
      <c r="F3" s="8">
        <f t="shared" ref="F3:Q3" si="3">2^F1-1</f>
        <v>0</v>
      </c>
      <c r="G3" s="8">
        <f t="shared" si="3"/>
        <v>1</v>
      </c>
      <c r="H3" s="8">
        <f t="shared" si="3"/>
        <v>3</v>
      </c>
      <c r="I3" s="8">
        <f t="shared" si="3"/>
        <v>7</v>
      </c>
      <c r="J3" s="8">
        <f t="shared" si="3"/>
        <v>15</v>
      </c>
      <c r="K3" s="8">
        <f t="shared" si="3"/>
        <v>31</v>
      </c>
      <c r="L3" s="8">
        <f t="shared" si="3"/>
        <v>63</v>
      </c>
      <c r="M3" s="8">
        <f t="shared" si="3"/>
        <v>127</v>
      </c>
      <c r="N3" s="8">
        <f t="shared" si="3"/>
        <v>255</v>
      </c>
      <c r="O3" s="8">
        <f t="shared" si="3"/>
        <v>511</v>
      </c>
      <c r="P3" s="8">
        <f t="shared" si="3"/>
        <v>1023</v>
      </c>
      <c r="Q3" s="8">
        <f t="shared" si="3"/>
        <v>2047</v>
      </c>
      <c r="R3" s="8">
        <f t="shared" ref="R3:R7" si="5">Q2+Q3</f>
        <v>4095</v>
      </c>
    </row>
    <row r="4">
      <c r="A4" s="2">
        <v>2.0</v>
      </c>
      <c r="B4" s="2" t="s">
        <v>9</v>
      </c>
      <c r="C4" s="2" t="s">
        <v>10</v>
      </c>
      <c r="D4" s="2" t="s">
        <v>11</v>
      </c>
      <c r="E4" s="2" t="str">
        <f t="shared" si="2"/>
        <v>C</v>
      </c>
      <c r="F4" s="8">
        <f t="shared" ref="F4:Q4" si="4">2^F1-1-F1</f>
        <v>0</v>
      </c>
      <c r="G4" s="8">
        <f t="shared" si="4"/>
        <v>0</v>
      </c>
      <c r="H4" s="8">
        <f t="shared" si="4"/>
        <v>1</v>
      </c>
      <c r="I4" s="8">
        <f t="shared" si="4"/>
        <v>4</v>
      </c>
      <c r="J4" s="8">
        <f t="shared" si="4"/>
        <v>11</v>
      </c>
      <c r="K4" s="8">
        <f t="shared" si="4"/>
        <v>26</v>
      </c>
      <c r="L4" s="8">
        <f t="shared" si="4"/>
        <v>57</v>
      </c>
      <c r="M4" s="8">
        <f t="shared" si="4"/>
        <v>120</v>
      </c>
      <c r="N4" s="8">
        <f t="shared" si="4"/>
        <v>247</v>
      </c>
      <c r="O4" s="8">
        <f t="shared" si="4"/>
        <v>502</v>
      </c>
      <c r="P4" s="8">
        <f t="shared" si="4"/>
        <v>1013</v>
      </c>
      <c r="Q4" s="8">
        <f t="shared" si="4"/>
        <v>2036</v>
      </c>
      <c r="R4" s="8">
        <f t="shared" si="5"/>
        <v>4083</v>
      </c>
    </row>
    <row r="5">
      <c r="A5" s="2">
        <v>4.0</v>
      </c>
      <c r="B5" s="2" t="s">
        <v>12</v>
      </c>
      <c r="C5" s="2" t="s">
        <v>13</v>
      </c>
      <c r="D5" s="2" t="s">
        <v>14</v>
      </c>
      <c r="E5" s="2" t="str">
        <f t="shared" si="2"/>
        <v>D</v>
      </c>
      <c r="F5" s="8">
        <f t="shared" ref="F5:Q5" si="6">2^F1-1-F1*(F1+1)/2</f>
        <v>0</v>
      </c>
      <c r="G5" s="8">
        <f t="shared" si="6"/>
        <v>0</v>
      </c>
      <c r="H5" s="8">
        <f t="shared" si="6"/>
        <v>0</v>
      </c>
      <c r="I5" s="8">
        <f t="shared" si="6"/>
        <v>1</v>
      </c>
      <c r="J5" s="8">
        <f t="shared" si="6"/>
        <v>5</v>
      </c>
      <c r="K5" s="8">
        <f t="shared" si="6"/>
        <v>16</v>
      </c>
      <c r="L5" s="8">
        <f t="shared" si="6"/>
        <v>42</v>
      </c>
      <c r="M5" s="8">
        <f t="shared" si="6"/>
        <v>99</v>
      </c>
      <c r="N5" s="8">
        <f t="shared" si="6"/>
        <v>219</v>
      </c>
      <c r="O5" s="8">
        <f t="shared" si="6"/>
        <v>466</v>
      </c>
      <c r="P5" s="8">
        <f t="shared" si="6"/>
        <v>968</v>
      </c>
      <c r="Q5" s="8">
        <f t="shared" si="6"/>
        <v>1981</v>
      </c>
      <c r="R5" s="8">
        <f t="shared" si="5"/>
        <v>4017</v>
      </c>
    </row>
    <row r="6">
      <c r="A6" s="2">
        <v>8.0</v>
      </c>
      <c r="B6" s="2" t="s">
        <v>15</v>
      </c>
      <c r="C6" s="2" t="s">
        <v>16</v>
      </c>
      <c r="D6" s="2"/>
      <c r="E6" s="2" t="str">
        <f t="shared" si="2"/>
        <v>E</v>
      </c>
      <c r="F6" s="8">
        <f t="shared" ref="F6:Q6" si="7">2^F1-1-F1*(F1^2+5)/6</f>
        <v>0</v>
      </c>
      <c r="G6" s="8">
        <f t="shared" si="7"/>
        <v>0</v>
      </c>
      <c r="H6" s="8">
        <f t="shared" si="7"/>
        <v>0</v>
      </c>
      <c r="I6" s="8">
        <f t="shared" si="7"/>
        <v>0</v>
      </c>
      <c r="J6" s="8">
        <f t="shared" si="7"/>
        <v>1</v>
      </c>
      <c r="K6" s="8">
        <f t="shared" si="7"/>
        <v>6</v>
      </c>
      <c r="L6" s="8">
        <f t="shared" si="7"/>
        <v>22</v>
      </c>
      <c r="M6" s="8">
        <f t="shared" si="7"/>
        <v>64</v>
      </c>
      <c r="N6" s="8">
        <f t="shared" si="7"/>
        <v>163</v>
      </c>
      <c r="O6" s="8">
        <f t="shared" si="7"/>
        <v>382</v>
      </c>
      <c r="P6" s="8">
        <f t="shared" si="7"/>
        <v>848</v>
      </c>
      <c r="Q6" s="8">
        <f t="shared" si="7"/>
        <v>1816</v>
      </c>
      <c r="R6" s="8">
        <f t="shared" si="5"/>
        <v>3797</v>
      </c>
    </row>
    <row r="7">
      <c r="A7" s="2">
        <v>16.0</v>
      </c>
      <c r="B7" s="2" t="s">
        <v>17</v>
      </c>
      <c r="C7" s="2" t="s">
        <v>18</v>
      </c>
      <c r="D7" s="2"/>
      <c r="E7" s="2" t="str">
        <f t="shared" si="2"/>
        <v>F</v>
      </c>
      <c r="F7" s="8">
        <f t="shared" ref="F7:Q7" si="8">2^F1-1-F1*(F1^3-2*F1^2+11*F1+14)/24</f>
        <v>0</v>
      </c>
      <c r="G7" s="8">
        <f t="shared" si="8"/>
        <v>0</v>
      </c>
      <c r="H7" s="8">
        <f t="shared" si="8"/>
        <v>0</v>
      </c>
      <c r="I7" s="8">
        <f t="shared" si="8"/>
        <v>0</v>
      </c>
      <c r="J7" s="8">
        <f t="shared" si="8"/>
        <v>0</v>
      </c>
      <c r="K7" s="8">
        <f t="shared" si="8"/>
        <v>1</v>
      </c>
      <c r="L7" s="8">
        <f t="shared" si="8"/>
        <v>7</v>
      </c>
      <c r="M7" s="8">
        <f t="shared" si="8"/>
        <v>29</v>
      </c>
      <c r="N7" s="8">
        <f t="shared" si="8"/>
        <v>93</v>
      </c>
      <c r="O7" s="8">
        <f t="shared" si="8"/>
        <v>256</v>
      </c>
      <c r="P7" s="8">
        <f t="shared" si="8"/>
        <v>638</v>
      </c>
      <c r="Q7" s="8">
        <f t="shared" si="8"/>
        <v>1486</v>
      </c>
      <c r="R7" s="8">
        <f t="shared" si="5"/>
        <v>3302</v>
      </c>
    </row>
    <row r="8">
      <c r="E8" s="2" t="s">
        <v>19</v>
      </c>
      <c r="F8" s="2">
        <v>0.0</v>
      </c>
      <c r="G8" s="8">
        <f t="shared" ref="G8:R8" si="9">F7+F8</f>
        <v>0</v>
      </c>
      <c r="H8" s="8">
        <f t="shared" si="9"/>
        <v>0</v>
      </c>
      <c r="I8" s="8">
        <f t="shared" si="9"/>
        <v>0</v>
      </c>
      <c r="J8" s="8">
        <f t="shared" si="9"/>
        <v>0</v>
      </c>
      <c r="K8" s="8">
        <f t="shared" si="9"/>
        <v>0</v>
      </c>
      <c r="L8" s="8">
        <f t="shared" si="9"/>
        <v>1</v>
      </c>
      <c r="M8" s="8">
        <f t="shared" si="9"/>
        <v>8</v>
      </c>
      <c r="N8" s="8">
        <f t="shared" si="9"/>
        <v>37</v>
      </c>
      <c r="O8" s="8">
        <f t="shared" si="9"/>
        <v>130</v>
      </c>
      <c r="P8" s="8">
        <f t="shared" si="9"/>
        <v>386</v>
      </c>
      <c r="Q8" s="8">
        <f t="shared" si="9"/>
        <v>1024</v>
      </c>
      <c r="R8" s="8">
        <f t="shared" si="9"/>
        <v>2510</v>
      </c>
    </row>
    <row r="9">
      <c r="E9" s="2" t="s">
        <v>20</v>
      </c>
      <c r="F9" s="2">
        <v>0.0</v>
      </c>
      <c r="G9" s="8">
        <f t="shared" ref="G9:R9" si="10">F8+F9</f>
        <v>0</v>
      </c>
      <c r="H9" s="8">
        <f t="shared" si="10"/>
        <v>0</v>
      </c>
      <c r="I9" s="8">
        <f t="shared" si="10"/>
        <v>0</v>
      </c>
      <c r="J9" s="8">
        <f t="shared" si="10"/>
        <v>0</v>
      </c>
      <c r="K9" s="8">
        <f t="shared" si="10"/>
        <v>0</v>
      </c>
      <c r="L9" s="8">
        <f t="shared" si="10"/>
        <v>0</v>
      </c>
      <c r="M9" s="8">
        <f t="shared" si="10"/>
        <v>1</v>
      </c>
      <c r="N9" s="8">
        <f t="shared" si="10"/>
        <v>9</v>
      </c>
      <c r="O9" s="8">
        <f t="shared" si="10"/>
        <v>46</v>
      </c>
      <c r="P9" s="8">
        <f t="shared" si="10"/>
        <v>176</v>
      </c>
      <c r="Q9" s="8">
        <f t="shared" si="10"/>
        <v>562</v>
      </c>
      <c r="R9" s="8">
        <f t="shared" si="10"/>
        <v>1586</v>
      </c>
    </row>
    <row r="10">
      <c r="E10" s="2" t="str">
        <f t="shared" ref="E10:E14" si="12">B10</f>
        <v/>
      </c>
      <c r="F10" s="2">
        <v>0.0</v>
      </c>
      <c r="G10" s="8">
        <f t="shared" ref="G10:R10" si="11">F9+F10</f>
        <v>0</v>
      </c>
      <c r="H10" s="8">
        <f t="shared" si="11"/>
        <v>0</v>
      </c>
      <c r="I10" s="8">
        <f t="shared" si="11"/>
        <v>0</v>
      </c>
      <c r="J10" s="8">
        <f t="shared" si="11"/>
        <v>0</v>
      </c>
      <c r="K10" s="8">
        <f t="shared" si="11"/>
        <v>0</v>
      </c>
      <c r="L10" s="8">
        <f t="shared" si="11"/>
        <v>0</v>
      </c>
      <c r="M10" s="8">
        <f t="shared" si="11"/>
        <v>0</v>
      </c>
      <c r="N10" s="8">
        <f t="shared" si="11"/>
        <v>1</v>
      </c>
      <c r="O10" s="8">
        <f t="shared" si="11"/>
        <v>10</v>
      </c>
      <c r="P10" s="8">
        <f t="shared" si="11"/>
        <v>56</v>
      </c>
      <c r="Q10" s="8">
        <f t="shared" si="11"/>
        <v>232</v>
      </c>
      <c r="R10" s="8">
        <f t="shared" si="11"/>
        <v>794</v>
      </c>
    </row>
    <row r="11">
      <c r="E11" s="2" t="str">
        <f t="shared" si="12"/>
        <v/>
      </c>
      <c r="F11" s="2">
        <v>0.0</v>
      </c>
      <c r="G11" s="8">
        <f t="shared" ref="G11:R11" si="13">F10+F11</f>
        <v>0</v>
      </c>
      <c r="H11" s="8">
        <f t="shared" si="13"/>
        <v>0</v>
      </c>
      <c r="I11" s="8">
        <f t="shared" si="13"/>
        <v>0</v>
      </c>
      <c r="J11" s="8">
        <f t="shared" si="13"/>
        <v>0</v>
      </c>
      <c r="K11" s="8">
        <f t="shared" si="13"/>
        <v>0</v>
      </c>
      <c r="L11" s="8">
        <f t="shared" si="13"/>
        <v>0</v>
      </c>
      <c r="M11" s="8">
        <f t="shared" si="13"/>
        <v>0</v>
      </c>
      <c r="N11" s="8">
        <f t="shared" si="13"/>
        <v>0</v>
      </c>
      <c r="O11" s="8">
        <f t="shared" si="13"/>
        <v>1</v>
      </c>
      <c r="P11" s="8">
        <f t="shared" si="13"/>
        <v>11</v>
      </c>
      <c r="Q11" s="8">
        <f t="shared" si="13"/>
        <v>67</v>
      </c>
      <c r="R11" s="8">
        <f t="shared" si="13"/>
        <v>299</v>
      </c>
    </row>
    <row r="12">
      <c r="E12" s="2" t="str">
        <f t="shared" si="12"/>
        <v/>
      </c>
      <c r="F12" s="2">
        <v>0.0</v>
      </c>
      <c r="G12" s="8">
        <f t="shared" ref="G12:R12" si="14">F11+F12</f>
        <v>0</v>
      </c>
      <c r="H12" s="8">
        <f t="shared" si="14"/>
        <v>0</v>
      </c>
      <c r="I12" s="8">
        <f t="shared" si="14"/>
        <v>0</v>
      </c>
      <c r="J12" s="8">
        <f t="shared" si="14"/>
        <v>0</v>
      </c>
      <c r="K12" s="8">
        <f t="shared" si="14"/>
        <v>0</v>
      </c>
      <c r="L12" s="8">
        <f t="shared" si="14"/>
        <v>0</v>
      </c>
      <c r="M12" s="8">
        <f t="shared" si="14"/>
        <v>0</v>
      </c>
      <c r="N12" s="8">
        <f t="shared" si="14"/>
        <v>0</v>
      </c>
      <c r="O12" s="8">
        <f t="shared" si="14"/>
        <v>0</v>
      </c>
      <c r="P12" s="8">
        <f t="shared" si="14"/>
        <v>1</v>
      </c>
      <c r="Q12" s="8">
        <f t="shared" si="14"/>
        <v>12</v>
      </c>
      <c r="R12" s="8">
        <f t="shared" si="14"/>
        <v>79</v>
      </c>
    </row>
    <row r="13">
      <c r="E13" s="2" t="str">
        <f t="shared" si="12"/>
        <v/>
      </c>
      <c r="F13" s="2">
        <v>0.0</v>
      </c>
      <c r="G13" s="8">
        <f t="shared" ref="G13:R13" si="15">F12+F13</f>
        <v>0</v>
      </c>
      <c r="H13" s="8">
        <f t="shared" si="15"/>
        <v>0</v>
      </c>
      <c r="I13" s="8">
        <f t="shared" si="15"/>
        <v>0</v>
      </c>
      <c r="J13" s="8">
        <f t="shared" si="15"/>
        <v>0</v>
      </c>
      <c r="K13" s="8">
        <f t="shared" si="15"/>
        <v>0</v>
      </c>
      <c r="L13" s="8">
        <f t="shared" si="15"/>
        <v>0</v>
      </c>
      <c r="M13" s="8">
        <f t="shared" si="15"/>
        <v>0</v>
      </c>
      <c r="N13" s="8">
        <f t="shared" si="15"/>
        <v>0</v>
      </c>
      <c r="O13" s="8">
        <f t="shared" si="15"/>
        <v>0</v>
      </c>
      <c r="P13" s="8">
        <f t="shared" si="15"/>
        <v>0</v>
      </c>
      <c r="Q13" s="8">
        <f t="shared" si="15"/>
        <v>1</v>
      </c>
      <c r="R13" s="8">
        <f t="shared" si="15"/>
        <v>13</v>
      </c>
    </row>
    <row r="14">
      <c r="E14" s="2" t="str">
        <f t="shared" si="12"/>
        <v/>
      </c>
      <c r="F14" s="2">
        <v>0.0</v>
      </c>
      <c r="G14" s="8">
        <f t="shared" ref="G14:R14" si="16">F13+F14</f>
        <v>0</v>
      </c>
      <c r="H14" s="8">
        <f t="shared" si="16"/>
        <v>0</v>
      </c>
      <c r="I14" s="8">
        <f t="shared" si="16"/>
        <v>0</v>
      </c>
      <c r="J14" s="8">
        <f t="shared" si="16"/>
        <v>0</v>
      </c>
      <c r="K14" s="8">
        <f t="shared" si="16"/>
        <v>0</v>
      </c>
      <c r="L14" s="8">
        <f t="shared" si="16"/>
        <v>0</v>
      </c>
      <c r="M14" s="8">
        <f t="shared" si="16"/>
        <v>0</v>
      </c>
      <c r="N14" s="8">
        <f t="shared" si="16"/>
        <v>0</v>
      </c>
      <c r="O14" s="8">
        <f t="shared" si="16"/>
        <v>0</v>
      </c>
      <c r="P14" s="8">
        <f t="shared" si="16"/>
        <v>0</v>
      </c>
      <c r="Q14" s="8">
        <f t="shared" si="16"/>
        <v>0</v>
      </c>
      <c r="R14" s="8">
        <f t="shared" si="16"/>
        <v>1</v>
      </c>
    </row>
    <row r="19">
      <c r="B19" s="2" t="s">
        <v>21</v>
      </c>
      <c r="C19" s="2" t="s">
        <v>4</v>
      </c>
      <c r="D19" s="2" t="s">
        <v>22</v>
      </c>
      <c r="F19" s="8">
        <f t="shared" ref="F19:Q19" si="17">2^F1</f>
        <v>1</v>
      </c>
      <c r="G19" s="8">
        <f t="shared" si="17"/>
        <v>2</v>
      </c>
      <c r="H19" s="8">
        <f t="shared" si="17"/>
        <v>4</v>
      </c>
      <c r="I19" s="8">
        <f t="shared" si="17"/>
        <v>8</v>
      </c>
      <c r="J19" s="8">
        <f t="shared" si="17"/>
        <v>16</v>
      </c>
      <c r="K19" s="8">
        <f t="shared" si="17"/>
        <v>32</v>
      </c>
      <c r="L19" s="8">
        <f t="shared" si="17"/>
        <v>64</v>
      </c>
      <c r="M19" s="8">
        <f t="shared" si="17"/>
        <v>128</v>
      </c>
      <c r="N19" s="8">
        <f t="shared" si="17"/>
        <v>256</v>
      </c>
      <c r="O19" s="8">
        <f t="shared" si="17"/>
        <v>512</v>
      </c>
      <c r="P19" s="8">
        <f t="shared" si="17"/>
        <v>1024</v>
      </c>
      <c r="Q19" s="8">
        <f t="shared" si="17"/>
        <v>2048</v>
      </c>
    </row>
    <row r="20">
      <c r="B20" s="2" t="s">
        <v>23</v>
      </c>
      <c r="C20" s="2" t="s">
        <v>7</v>
      </c>
      <c r="D20" s="2" t="s">
        <v>24</v>
      </c>
      <c r="F20" s="14">
        <f t="shared" ref="F20:Q20" si="18">2^F1-1</f>
        <v>0</v>
      </c>
      <c r="G20" s="8">
        <f t="shared" si="18"/>
        <v>1</v>
      </c>
      <c r="H20" s="8">
        <f t="shared" si="18"/>
        <v>3</v>
      </c>
      <c r="I20" s="8">
        <f t="shared" si="18"/>
        <v>7</v>
      </c>
      <c r="J20" s="8">
        <f t="shared" si="18"/>
        <v>15</v>
      </c>
      <c r="K20" s="8">
        <f t="shared" si="18"/>
        <v>31</v>
      </c>
      <c r="L20" s="8">
        <f t="shared" si="18"/>
        <v>63</v>
      </c>
      <c r="M20" s="8">
        <f t="shared" si="18"/>
        <v>127</v>
      </c>
      <c r="N20" s="8">
        <f t="shared" si="18"/>
        <v>255</v>
      </c>
      <c r="O20" s="8">
        <f t="shared" si="18"/>
        <v>511</v>
      </c>
      <c r="P20" s="8">
        <f t="shared" si="18"/>
        <v>1023</v>
      </c>
      <c r="Q20" s="8">
        <f t="shared" si="18"/>
        <v>2047</v>
      </c>
    </row>
    <row r="21">
      <c r="B21" s="2" t="s">
        <v>25</v>
      </c>
      <c r="C21" s="2" t="s">
        <v>26</v>
      </c>
      <c r="D21" s="2" t="s">
        <v>27</v>
      </c>
      <c r="F21" s="14">
        <f t="shared" ref="F21:Q21" si="19">2^F1-F1</f>
        <v>1</v>
      </c>
      <c r="G21" s="14">
        <f t="shared" si="19"/>
        <v>1</v>
      </c>
      <c r="H21" s="8">
        <f t="shared" si="19"/>
        <v>2</v>
      </c>
      <c r="I21" s="8">
        <f t="shared" si="19"/>
        <v>5</v>
      </c>
      <c r="J21" s="8">
        <f t="shared" si="19"/>
        <v>12</v>
      </c>
      <c r="K21" s="8">
        <f t="shared" si="19"/>
        <v>27</v>
      </c>
      <c r="L21" s="8">
        <f t="shared" si="19"/>
        <v>58</v>
      </c>
      <c r="M21" s="8">
        <f t="shared" si="19"/>
        <v>121</v>
      </c>
      <c r="N21" s="8">
        <f t="shared" si="19"/>
        <v>248</v>
      </c>
      <c r="O21" s="8">
        <f t="shared" si="19"/>
        <v>503</v>
      </c>
      <c r="P21" s="8">
        <f t="shared" si="19"/>
        <v>1014</v>
      </c>
      <c r="Q21" s="8">
        <f t="shared" si="19"/>
        <v>2037</v>
      </c>
    </row>
    <row r="22">
      <c r="B22" s="2" t="s">
        <v>28</v>
      </c>
      <c r="C22" s="2" t="s">
        <v>29</v>
      </c>
      <c r="D22" s="2" t="s">
        <v>30</v>
      </c>
      <c r="F22" s="14">
        <f t="shared" ref="F22:Q22" si="20">2^F1+2-2*F1</f>
        <v>3</v>
      </c>
      <c r="G22" s="14">
        <f t="shared" si="20"/>
        <v>2</v>
      </c>
      <c r="H22" s="14">
        <f t="shared" si="20"/>
        <v>2</v>
      </c>
      <c r="I22" s="8">
        <f t="shared" si="20"/>
        <v>4</v>
      </c>
      <c r="J22" s="8">
        <f t="shared" si="20"/>
        <v>10</v>
      </c>
      <c r="K22" s="8">
        <f t="shared" si="20"/>
        <v>24</v>
      </c>
      <c r="L22" s="8">
        <f t="shared" si="20"/>
        <v>54</v>
      </c>
      <c r="M22" s="8">
        <f t="shared" si="20"/>
        <v>116</v>
      </c>
      <c r="N22" s="8">
        <f t="shared" si="20"/>
        <v>242</v>
      </c>
      <c r="O22" s="8">
        <f t="shared" si="20"/>
        <v>496</v>
      </c>
      <c r="P22" s="8">
        <f t="shared" si="20"/>
        <v>1006</v>
      </c>
      <c r="Q22" s="8">
        <f t="shared" si="20"/>
        <v>2028</v>
      </c>
    </row>
    <row r="23">
      <c r="B23" s="2" t="s">
        <v>31</v>
      </c>
      <c r="C23" s="2" t="s">
        <v>32</v>
      </c>
      <c r="D23" s="2" t="s">
        <v>33</v>
      </c>
      <c r="F23" s="14">
        <f t="shared" ref="F23:Q23" si="21">2^F1-5-F1*(F1-3)/2</f>
        <v>-4</v>
      </c>
      <c r="G23" s="14">
        <f t="shared" si="21"/>
        <v>-2</v>
      </c>
      <c r="H23" s="14">
        <f t="shared" si="21"/>
        <v>0</v>
      </c>
      <c r="I23" s="14">
        <f t="shared" si="21"/>
        <v>3</v>
      </c>
      <c r="J23" s="8">
        <f t="shared" si="21"/>
        <v>9</v>
      </c>
      <c r="K23" s="8">
        <f t="shared" si="21"/>
        <v>22</v>
      </c>
      <c r="L23" s="8">
        <f t="shared" si="21"/>
        <v>50</v>
      </c>
      <c r="M23" s="8">
        <f t="shared" si="21"/>
        <v>109</v>
      </c>
      <c r="N23" s="8">
        <f t="shared" si="21"/>
        <v>231</v>
      </c>
      <c r="O23" s="8">
        <f t="shared" si="21"/>
        <v>480</v>
      </c>
      <c r="P23" s="8">
        <f t="shared" si="21"/>
        <v>984</v>
      </c>
      <c r="Q23" s="8">
        <f t="shared" si="21"/>
        <v>1999</v>
      </c>
    </row>
    <row r="24">
      <c r="B24" s="2" t="s">
        <v>34</v>
      </c>
      <c r="C24" s="2" t="s">
        <v>35</v>
      </c>
      <c r="D24" s="2" t="s">
        <v>36</v>
      </c>
      <c r="F24" s="14">
        <f t="shared" ref="F24:Q24" si="22">2^F1-3-F1*(F1-1)/2</f>
        <v>-2</v>
      </c>
      <c r="G24" s="14">
        <f t="shared" si="22"/>
        <v>-1</v>
      </c>
      <c r="H24" s="14">
        <f t="shared" si="22"/>
        <v>0</v>
      </c>
      <c r="I24" s="14">
        <f t="shared" si="22"/>
        <v>2</v>
      </c>
      <c r="J24" s="8">
        <f t="shared" si="22"/>
        <v>7</v>
      </c>
      <c r="K24" s="8">
        <f t="shared" si="22"/>
        <v>19</v>
      </c>
      <c r="L24" s="8">
        <f t="shared" si="22"/>
        <v>46</v>
      </c>
      <c r="M24" s="8">
        <f t="shared" si="22"/>
        <v>104</v>
      </c>
      <c r="N24" s="8">
        <f t="shared" si="22"/>
        <v>225</v>
      </c>
      <c r="O24" s="8">
        <f t="shared" si="22"/>
        <v>473</v>
      </c>
      <c r="P24" s="8">
        <f t="shared" si="22"/>
        <v>976</v>
      </c>
      <c r="Q24" s="8">
        <f t="shared" si="22"/>
        <v>1990</v>
      </c>
    </row>
    <row r="25">
      <c r="B25" s="2" t="s">
        <v>37</v>
      </c>
      <c r="C25" s="2" t="s">
        <v>38</v>
      </c>
      <c r="D25" s="2" t="s">
        <v>39</v>
      </c>
      <c r="F25" s="14">
        <f t="shared" ref="F25:Q25" si="23">2^F1-10-F1^2+4*F1</f>
        <v>-9</v>
      </c>
      <c r="G25" s="14">
        <f t="shared" si="23"/>
        <v>-5</v>
      </c>
      <c r="H25" s="14">
        <f t="shared" si="23"/>
        <v>-2</v>
      </c>
      <c r="I25" s="14">
        <f t="shared" si="23"/>
        <v>1</v>
      </c>
      <c r="J25" s="17">
        <f t="shared" si="23"/>
        <v>6</v>
      </c>
      <c r="K25" s="8">
        <f t="shared" si="23"/>
        <v>17</v>
      </c>
      <c r="L25" s="8">
        <f t="shared" si="23"/>
        <v>42</v>
      </c>
      <c r="M25" s="8">
        <f t="shared" si="23"/>
        <v>97</v>
      </c>
      <c r="N25" s="8">
        <f t="shared" si="23"/>
        <v>214</v>
      </c>
      <c r="O25" s="8">
        <f t="shared" si="23"/>
        <v>457</v>
      </c>
      <c r="P25" s="8">
        <f t="shared" si="23"/>
        <v>954</v>
      </c>
      <c r="Q25" s="8">
        <f t="shared" si="23"/>
        <v>1961</v>
      </c>
    </row>
    <row r="26">
      <c r="B26" s="2" t="s">
        <v>44</v>
      </c>
      <c r="C26" s="2" t="s">
        <v>45</v>
      </c>
      <c r="D26" s="2" t="s">
        <v>47</v>
      </c>
      <c r="F26" s="14">
        <f t="shared" ref="F26:Q26" si="24">2^F1-2-F1^2+2*F1</f>
        <v>-1</v>
      </c>
      <c r="G26" s="14">
        <f t="shared" si="24"/>
        <v>1</v>
      </c>
      <c r="H26" s="14">
        <f t="shared" si="24"/>
        <v>2</v>
      </c>
      <c r="I26" s="14">
        <f t="shared" si="24"/>
        <v>3</v>
      </c>
      <c r="J26" s="14">
        <f t="shared" si="24"/>
        <v>6</v>
      </c>
      <c r="K26" s="8">
        <f t="shared" si="24"/>
        <v>15</v>
      </c>
      <c r="L26" s="8">
        <f t="shared" si="24"/>
        <v>38</v>
      </c>
      <c r="M26" s="8">
        <f t="shared" si="24"/>
        <v>91</v>
      </c>
      <c r="N26" s="8">
        <f t="shared" si="24"/>
        <v>206</v>
      </c>
      <c r="O26" s="8">
        <f t="shared" si="24"/>
        <v>447</v>
      </c>
      <c r="P26" s="8">
        <f t="shared" si="24"/>
        <v>942</v>
      </c>
      <c r="Q26" s="8">
        <f t="shared" si="24"/>
        <v>1947</v>
      </c>
    </row>
    <row r="27">
      <c r="B27" s="2" t="s">
        <v>55</v>
      </c>
      <c r="C27" s="2" t="s">
        <v>56</v>
      </c>
      <c r="J27" s="8" t="str">
        <f t="shared" ref="J27:Q27" si="25">21*E2+7*E3+2*E4+2*E5</f>
        <v>#VALUE!</v>
      </c>
      <c r="K27" s="8">
        <f t="shared" si="25"/>
        <v>21</v>
      </c>
      <c r="L27" s="8">
        <f t="shared" si="25"/>
        <v>49</v>
      </c>
      <c r="M27" s="8">
        <f t="shared" si="25"/>
        <v>107</v>
      </c>
      <c r="N27" s="8">
        <f t="shared" si="25"/>
        <v>227</v>
      </c>
      <c r="O27" s="8">
        <f t="shared" si="25"/>
        <v>473</v>
      </c>
      <c r="P27" s="8">
        <f t="shared" si="25"/>
        <v>973</v>
      </c>
      <c r="Q27" s="8">
        <f t="shared" si="25"/>
        <v>1983</v>
      </c>
    </row>
    <row r="29">
      <c r="B29" s="2" t="s">
        <v>21</v>
      </c>
      <c r="C29" s="19" t="s">
        <v>60</v>
      </c>
      <c r="D29" s="19" t="s">
        <v>61</v>
      </c>
      <c r="E29" s="19" t="s">
        <v>62</v>
      </c>
      <c r="F29" s="8">
        <f t="shared" ref="F29:Q29" si="26">F2</f>
        <v>1</v>
      </c>
      <c r="G29" s="8">
        <f t="shared" si="26"/>
        <v>2</v>
      </c>
      <c r="H29" s="8">
        <f t="shared" si="26"/>
        <v>4</v>
      </c>
      <c r="I29" s="8">
        <f t="shared" si="26"/>
        <v>8</v>
      </c>
      <c r="J29" s="8">
        <f t="shared" si="26"/>
        <v>16</v>
      </c>
      <c r="K29" s="8">
        <f t="shared" si="26"/>
        <v>32</v>
      </c>
      <c r="L29" s="8">
        <f t="shared" si="26"/>
        <v>64</v>
      </c>
      <c r="M29" s="8">
        <f t="shared" si="26"/>
        <v>128</v>
      </c>
      <c r="N29" s="8">
        <f t="shared" si="26"/>
        <v>256</v>
      </c>
      <c r="O29" s="8">
        <f t="shared" si="26"/>
        <v>512</v>
      </c>
      <c r="P29" s="8">
        <f t="shared" si="26"/>
        <v>1024</v>
      </c>
      <c r="Q29" s="8">
        <f t="shared" si="26"/>
        <v>2048</v>
      </c>
    </row>
    <row r="30">
      <c r="B30" s="2" t="s">
        <v>23</v>
      </c>
      <c r="C30" s="19" t="s">
        <v>65</v>
      </c>
      <c r="D30" s="19" t="s">
        <v>66</v>
      </c>
      <c r="E30" s="19" t="s">
        <v>67</v>
      </c>
      <c r="F30" s="8">
        <f t="shared" ref="F30:Q30" si="27">F3</f>
        <v>0</v>
      </c>
      <c r="G30" s="8">
        <f t="shared" si="27"/>
        <v>1</v>
      </c>
      <c r="H30" s="8">
        <f t="shared" si="27"/>
        <v>3</v>
      </c>
      <c r="I30" s="8">
        <f t="shared" si="27"/>
        <v>7</v>
      </c>
      <c r="J30" s="8">
        <f t="shared" si="27"/>
        <v>15</v>
      </c>
      <c r="K30" s="8">
        <f t="shared" si="27"/>
        <v>31</v>
      </c>
      <c r="L30" s="8">
        <f t="shared" si="27"/>
        <v>63</v>
      </c>
      <c r="M30" s="8">
        <f t="shared" si="27"/>
        <v>127</v>
      </c>
      <c r="N30" s="8">
        <f t="shared" si="27"/>
        <v>255</v>
      </c>
      <c r="O30" s="8">
        <f t="shared" si="27"/>
        <v>511</v>
      </c>
      <c r="P30" s="8">
        <f t="shared" si="27"/>
        <v>1023</v>
      </c>
      <c r="Q30" s="8">
        <f t="shared" si="27"/>
        <v>2047</v>
      </c>
    </row>
    <row r="31">
      <c r="B31" s="2" t="s">
        <v>25</v>
      </c>
      <c r="C31" s="19" t="s">
        <v>71</v>
      </c>
      <c r="D31" s="19" t="s">
        <v>72</v>
      </c>
      <c r="E31" s="19" t="s">
        <v>73</v>
      </c>
      <c r="G31" s="2">
        <f t="shared" ref="G31:Q31" si="28">F2+F4</f>
        <v>1</v>
      </c>
      <c r="H31" s="2">
        <f t="shared" si="28"/>
        <v>2</v>
      </c>
      <c r="I31" s="2">
        <f t="shared" si="28"/>
        <v>5</v>
      </c>
      <c r="J31" s="2">
        <f t="shared" si="28"/>
        <v>12</v>
      </c>
      <c r="K31" s="2">
        <f t="shared" si="28"/>
        <v>27</v>
      </c>
      <c r="L31" s="2">
        <f t="shared" si="28"/>
        <v>58</v>
      </c>
      <c r="M31" s="2">
        <f t="shared" si="28"/>
        <v>121</v>
      </c>
      <c r="N31" s="2">
        <f t="shared" si="28"/>
        <v>248</v>
      </c>
      <c r="O31" s="2">
        <f t="shared" si="28"/>
        <v>503</v>
      </c>
      <c r="P31" s="2">
        <f t="shared" si="28"/>
        <v>1014</v>
      </c>
      <c r="Q31" s="2">
        <f t="shared" si="28"/>
        <v>2037</v>
      </c>
    </row>
    <row r="32">
      <c r="B32" s="2" t="s">
        <v>28</v>
      </c>
      <c r="C32" s="20"/>
      <c r="D32" s="21" t="s">
        <v>74</v>
      </c>
      <c r="E32" s="19" t="s">
        <v>75</v>
      </c>
      <c r="H32" s="2">
        <f t="shared" ref="H32:Q32" si="29">2*F2+2*F4</f>
        <v>2</v>
      </c>
      <c r="I32" s="2">
        <f t="shared" si="29"/>
        <v>4</v>
      </c>
      <c r="J32" s="2">
        <f t="shared" si="29"/>
        <v>10</v>
      </c>
      <c r="K32" s="2">
        <f t="shared" si="29"/>
        <v>24</v>
      </c>
      <c r="L32" s="2">
        <f t="shared" si="29"/>
        <v>54</v>
      </c>
      <c r="M32" s="2">
        <f t="shared" si="29"/>
        <v>116</v>
      </c>
      <c r="N32" s="2">
        <f t="shared" si="29"/>
        <v>242</v>
      </c>
      <c r="O32" s="2">
        <f t="shared" si="29"/>
        <v>496</v>
      </c>
      <c r="P32" s="2">
        <f t="shared" si="29"/>
        <v>1006</v>
      </c>
      <c r="Q32" s="2">
        <f t="shared" si="29"/>
        <v>2028</v>
      </c>
    </row>
    <row r="33">
      <c r="B33" s="2" t="s">
        <v>31</v>
      </c>
      <c r="C33" s="20"/>
      <c r="D33" s="21" t="s">
        <v>76</v>
      </c>
      <c r="E33" s="21" t="s">
        <v>77</v>
      </c>
      <c r="H33" s="2">
        <f t="shared" ref="H33:Q33" si="30">3*F3+F5</f>
        <v>0</v>
      </c>
      <c r="I33" s="2">
        <f t="shared" si="30"/>
        <v>3</v>
      </c>
      <c r="J33" s="2">
        <f t="shared" si="30"/>
        <v>9</v>
      </c>
      <c r="K33" s="2">
        <f t="shared" si="30"/>
        <v>22</v>
      </c>
      <c r="L33" s="2">
        <f t="shared" si="30"/>
        <v>50</v>
      </c>
      <c r="M33" s="2">
        <f t="shared" si="30"/>
        <v>109</v>
      </c>
      <c r="N33" s="2">
        <f t="shared" si="30"/>
        <v>231</v>
      </c>
      <c r="O33" s="2">
        <f t="shared" si="30"/>
        <v>480</v>
      </c>
      <c r="P33" s="2">
        <f t="shared" si="30"/>
        <v>984</v>
      </c>
      <c r="Q33" s="2">
        <f t="shared" si="30"/>
        <v>1999</v>
      </c>
    </row>
    <row r="34">
      <c r="B34" s="2" t="s">
        <v>34</v>
      </c>
      <c r="C34" s="20"/>
      <c r="D34" s="21" t="s">
        <v>78</v>
      </c>
      <c r="E34" s="21" t="s">
        <v>79</v>
      </c>
      <c r="H34" s="2">
        <f t="shared" ref="H34:Q34" si="31">2*F3+F4+F5</f>
        <v>0</v>
      </c>
      <c r="I34" s="2">
        <f t="shared" si="31"/>
        <v>2</v>
      </c>
      <c r="J34" s="2">
        <f t="shared" si="31"/>
        <v>7</v>
      </c>
      <c r="K34" s="2">
        <f t="shared" si="31"/>
        <v>19</v>
      </c>
      <c r="L34" s="2">
        <f t="shared" si="31"/>
        <v>46</v>
      </c>
      <c r="M34" s="2">
        <f t="shared" si="31"/>
        <v>104</v>
      </c>
      <c r="N34" s="2">
        <f t="shared" si="31"/>
        <v>225</v>
      </c>
      <c r="O34" s="2">
        <f t="shared" si="31"/>
        <v>473</v>
      </c>
      <c r="P34" s="2">
        <f t="shared" si="31"/>
        <v>976</v>
      </c>
      <c r="Q34" s="2">
        <f t="shared" si="31"/>
        <v>1990</v>
      </c>
    </row>
    <row r="35">
      <c r="B35" s="2" t="s">
        <v>37</v>
      </c>
      <c r="C35" s="20"/>
      <c r="D35" s="20"/>
      <c r="E35" s="21" t="s">
        <v>86</v>
      </c>
      <c r="I35" s="2">
        <f t="shared" ref="I35:Q35" si="32">F2+4*F3+F4+2*F5</f>
        <v>1</v>
      </c>
      <c r="J35" s="2">
        <f t="shared" si="32"/>
        <v>6</v>
      </c>
      <c r="K35" s="2">
        <f t="shared" si="32"/>
        <v>17</v>
      </c>
      <c r="L35" s="2">
        <f t="shared" si="32"/>
        <v>42</v>
      </c>
      <c r="M35" s="2">
        <f t="shared" si="32"/>
        <v>97</v>
      </c>
      <c r="N35" s="2">
        <f t="shared" si="32"/>
        <v>214</v>
      </c>
      <c r="O35" s="2">
        <f t="shared" si="32"/>
        <v>457</v>
      </c>
      <c r="P35" s="2">
        <f t="shared" si="32"/>
        <v>954</v>
      </c>
      <c r="Q35" s="2">
        <f t="shared" si="32"/>
        <v>1961</v>
      </c>
    </row>
    <row r="36">
      <c r="B36" s="2" t="s">
        <v>44</v>
      </c>
      <c r="C36" s="20"/>
      <c r="D36" s="20"/>
      <c r="E36" s="21" t="s">
        <v>93</v>
      </c>
      <c r="I36" s="2">
        <f t="shared" ref="I36:Q36" si="33">3*F2+3*F4+2*F5</f>
        <v>3</v>
      </c>
      <c r="J36" s="2">
        <f t="shared" si="33"/>
        <v>6</v>
      </c>
      <c r="K36" s="2">
        <f t="shared" si="33"/>
        <v>15</v>
      </c>
      <c r="L36" s="2">
        <f t="shared" si="33"/>
        <v>38</v>
      </c>
      <c r="M36" s="2">
        <f t="shared" si="33"/>
        <v>91</v>
      </c>
      <c r="N36" s="2">
        <f t="shared" si="33"/>
        <v>206</v>
      </c>
      <c r="O36" s="2">
        <f t="shared" si="33"/>
        <v>447</v>
      </c>
      <c r="P36" s="2">
        <f t="shared" si="33"/>
        <v>942</v>
      </c>
      <c r="Q36" s="2">
        <f t="shared" si="33"/>
        <v>1947</v>
      </c>
    </row>
    <row r="39">
      <c r="F39" s="3" t="s">
        <v>0</v>
      </c>
      <c r="G39" s="5">
        <v>1.0</v>
      </c>
      <c r="H39" s="5">
        <v>2.0</v>
      </c>
      <c r="I39" s="5">
        <v>3.0</v>
      </c>
      <c r="J39" s="5">
        <v>4.0</v>
      </c>
      <c r="K39" s="5">
        <v>5.0</v>
      </c>
      <c r="L39" s="5">
        <v>6.0</v>
      </c>
      <c r="M39" s="5">
        <v>7.0</v>
      </c>
      <c r="N39" s="5">
        <v>8.0</v>
      </c>
    </row>
    <row r="40">
      <c r="F40" s="9">
        <v>1.0</v>
      </c>
      <c r="G40" s="10">
        <v>2.0</v>
      </c>
      <c r="H40" s="11">
        <v>4.0</v>
      </c>
      <c r="I40" s="11">
        <v>8.0</v>
      </c>
      <c r="J40" s="11">
        <v>16.0</v>
      </c>
      <c r="K40" s="11">
        <v>32.0</v>
      </c>
      <c r="L40" s="11">
        <v>64.0</v>
      </c>
      <c r="M40" s="11">
        <v>128.0</v>
      </c>
      <c r="N40" s="11">
        <v>256.0</v>
      </c>
    </row>
    <row r="41">
      <c r="F41" s="9">
        <v>2.0</v>
      </c>
      <c r="G41" s="7"/>
      <c r="H41" s="10">
        <v>3.0</v>
      </c>
      <c r="I41" s="11">
        <v>7.0</v>
      </c>
      <c r="J41" s="11">
        <v>15.0</v>
      </c>
      <c r="K41" s="11">
        <v>31.0</v>
      </c>
      <c r="L41" s="11">
        <v>63.0</v>
      </c>
      <c r="M41" s="11">
        <v>127.0</v>
      </c>
      <c r="N41" s="11">
        <v>255.0</v>
      </c>
    </row>
    <row r="42">
      <c r="F42" s="5">
        <v>3.0</v>
      </c>
      <c r="G42" s="7"/>
      <c r="H42" s="7"/>
      <c r="I42" s="12">
        <v>5.0</v>
      </c>
      <c r="J42" s="11">
        <v>12.0</v>
      </c>
      <c r="K42" s="11">
        <v>27.0</v>
      </c>
      <c r="L42" s="11">
        <v>58.0</v>
      </c>
      <c r="M42" s="11">
        <v>121.0</v>
      </c>
      <c r="N42" s="11">
        <v>248.0</v>
      </c>
    </row>
    <row r="43">
      <c r="F43" s="9">
        <v>4.0</v>
      </c>
      <c r="G43" s="7"/>
      <c r="H43" s="7"/>
      <c r="I43" s="13">
        <v>4.0</v>
      </c>
      <c r="J43" s="11">
        <v>10.0</v>
      </c>
      <c r="K43" s="11">
        <v>24.0</v>
      </c>
      <c r="L43" s="11">
        <v>54.0</v>
      </c>
      <c r="M43" s="11">
        <v>116.0</v>
      </c>
      <c r="N43" s="11">
        <v>242.0</v>
      </c>
    </row>
    <row r="44">
      <c r="F44" s="9">
        <v>5.0</v>
      </c>
      <c r="G44" s="7"/>
      <c r="H44" s="7"/>
      <c r="I44" s="7"/>
      <c r="J44" s="10">
        <v>9.0</v>
      </c>
      <c r="K44" s="11">
        <v>22.0</v>
      </c>
      <c r="L44" s="11">
        <v>50.0</v>
      </c>
      <c r="M44" s="11">
        <v>109.0</v>
      </c>
      <c r="N44" s="11">
        <v>231.0</v>
      </c>
    </row>
    <row r="45">
      <c r="F45" s="5">
        <v>6.0</v>
      </c>
      <c r="G45" s="7"/>
      <c r="H45" s="7"/>
      <c r="I45" s="7"/>
      <c r="J45" s="11">
        <v>7.0</v>
      </c>
      <c r="K45" s="11">
        <v>19.0</v>
      </c>
      <c r="L45" s="11">
        <v>46.0</v>
      </c>
      <c r="M45" s="11">
        <v>104.0</v>
      </c>
      <c r="N45" s="11">
        <v>225.0</v>
      </c>
    </row>
    <row r="46">
      <c r="F46" s="5">
        <v>7.0</v>
      </c>
      <c r="G46" s="7"/>
      <c r="H46" s="7"/>
      <c r="I46" s="7"/>
      <c r="J46" s="7"/>
      <c r="K46" s="11">
        <v>17.0</v>
      </c>
      <c r="L46" s="11">
        <v>42.0</v>
      </c>
      <c r="M46" s="11">
        <v>97.0</v>
      </c>
      <c r="N46" s="11">
        <v>214.0</v>
      </c>
    </row>
    <row r="47">
      <c r="F47" s="5">
        <v>8.0</v>
      </c>
      <c r="G47" s="7"/>
      <c r="H47" s="7"/>
      <c r="I47" s="7"/>
      <c r="J47" s="7"/>
      <c r="K47" s="12">
        <v>15.0</v>
      </c>
      <c r="L47" s="11">
        <v>38.0</v>
      </c>
      <c r="M47" s="11">
        <v>91.0</v>
      </c>
      <c r="N47" s="11">
        <v>206.0</v>
      </c>
    </row>
    <row r="48">
      <c r="F48" s="9">
        <v>9.0</v>
      </c>
      <c r="G48" s="7"/>
      <c r="H48" s="7"/>
      <c r="I48" s="7"/>
      <c r="J48" s="7"/>
      <c r="K48" s="13">
        <v>14.0</v>
      </c>
      <c r="L48" s="11">
        <v>36.0</v>
      </c>
      <c r="M48" s="11">
        <v>87.0</v>
      </c>
      <c r="N48" s="11">
        <v>198.0</v>
      </c>
    </row>
    <row r="49">
      <c r="F49" s="5">
        <v>10.0</v>
      </c>
      <c r="G49" s="7"/>
      <c r="H49" s="7"/>
      <c r="I49" s="7"/>
      <c r="J49" s="7"/>
      <c r="K49" s="11">
        <v>12.0</v>
      </c>
      <c r="L49" s="11">
        <v>33.0</v>
      </c>
      <c r="M49" s="11">
        <v>82.0</v>
      </c>
      <c r="N49" s="11">
        <v>182.0</v>
      </c>
    </row>
    <row r="50">
      <c r="F50" s="5">
        <v>11.0</v>
      </c>
      <c r="G50" s="7"/>
      <c r="H50" s="7"/>
      <c r="I50" s="7"/>
      <c r="J50" s="7"/>
      <c r="K50" s="11">
        <v>11.0</v>
      </c>
      <c r="L50" s="11">
        <v>31.0</v>
      </c>
      <c r="M50" s="11">
        <v>77.0</v>
      </c>
      <c r="N50" s="11">
        <v>176.0</v>
      </c>
    </row>
    <row r="51">
      <c r="F51" s="5">
        <v>12.0</v>
      </c>
      <c r="G51" s="7"/>
      <c r="H51" s="7"/>
      <c r="I51" s="7"/>
      <c r="J51" s="7"/>
      <c r="K51" s="7"/>
      <c r="L51" s="11">
        <v>29.0</v>
      </c>
      <c r="M51" s="11">
        <v>73.0</v>
      </c>
      <c r="N51" s="11">
        <v>170.0</v>
      </c>
    </row>
    <row r="52">
      <c r="F52" s="5">
        <v>13.0</v>
      </c>
      <c r="G52" s="7"/>
      <c r="H52" s="7"/>
      <c r="I52" s="7"/>
      <c r="J52" s="7"/>
      <c r="K52" s="7"/>
      <c r="L52" s="11">
        <v>27.0</v>
      </c>
      <c r="M52" s="11">
        <v>69.0</v>
      </c>
      <c r="N52" s="11">
        <v>165.0</v>
      </c>
    </row>
    <row r="53">
      <c r="F53" s="5">
        <v>14.0</v>
      </c>
      <c r="G53" s="7"/>
      <c r="H53" s="7"/>
      <c r="I53" s="7"/>
      <c r="J53" s="7"/>
      <c r="K53" s="7"/>
      <c r="L53" s="12">
        <v>25.0</v>
      </c>
      <c r="M53" s="11">
        <v>66.0</v>
      </c>
      <c r="N53" s="11">
        <v>159.0</v>
      </c>
    </row>
    <row r="54">
      <c r="F54" s="5">
        <v>15.0</v>
      </c>
      <c r="G54" s="7"/>
      <c r="H54" s="7"/>
      <c r="I54" s="7"/>
      <c r="J54" s="7"/>
      <c r="K54" s="7"/>
      <c r="L54" s="11">
        <v>24.0</v>
      </c>
      <c r="M54" s="11">
        <v>63.0</v>
      </c>
      <c r="N54" s="11">
        <v>153.0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5" max="5" width="35.5"/>
    <col customWidth="1" min="7" max="7" width="8.5"/>
    <col customWidth="1" min="8" max="8" width="7.75"/>
    <col customWidth="1" min="10" max="10" width="7.0"/>
    <col customWidth="1" min="11" max="11" width="4.88"/>
    <col customWidth="1" min="12" max="12" width="6.63"/>
    <col customWidth="1" min="15" max="15" width="3.75"/>
    <col customWidth="1" min="17" max="17" width="4.75"/>
  </cols>
  <sheetData>
    <row r="1">
      <c r="A1" s="1"/>
      <c r="B1" s="1"/>
      <c r="C1" s="4" t="s">
        <v>1</v>
      </c>
      <c r="D1" s="4" t="s">
        <v>2</v>
      </c>
      <c r="E1" s="4"/>
      <c r="F1" s="4">
        <v>0.0</v>
      </c>
      <c r="G1" s="4">
        <v>1.0</v>
      </c>
      <c r="H1" s="4">
        <v>2.0</v>
      </c>
      <c r="I1" s="4">
        <v>3.0</v>
      </c>
      <c r="J1" s="4">
        <v>4.0</v>
      </c>
      <c r="K1" s="4">
        <v>5.0</v>
      </c>
      <c r="L1" s="4">
        <v>6.0</v>
      </c>
      <c r="M1" s="4">
        <v>7.0</v>
      </c>
      <c r="N1" s="4">
        <v>8.0</v>
      </c>
      <c r="O1" s="4">
        <v>9.0</v>
      </c>
      <c r="P1" s="4">
        <v>10.0</v>
      </c>
      <c r="Q1" s="4">
        <v>11.0</v>
      </c>
    </row>
    <row r="2">
      <c r="A2" s="2">
        <v>1.0</v>
      </c>
      <c r="B2" s="2" t="s">
        <v>3</v>
      </c>
      <c r="C2" s="2" t="s">
        <v>4</v>
      </c>
      <c r="D2" s="2" t="s">
        <v>5</v>
      </c>
      <c r="E2" s="2"/>
      <c r="F2" s="8">
        <v>1.0</v>
      </c>
      <c r="G2" s="8">
        <v>2.0</v>
      </c>
      <c r="H2" s="8">
        <v>4.0</v>
      </c>
      <c r="I2" s="8">
        <v>8.0</v>
      </c>
      <c r="J2" s="15">
        <v>16.0</v>
      </c>
      <c r="K2" s="8">
        <v>32.0</v>
      </c>
      <c r="L2" s="8">
        <v>64.0</v>
      </c>
      <c r="M2" s="8">
        <v>128.0</v>
      </c>
      <c r="N2" s="8">
        <v>256.0</v>
      </c>
      <c r="O2" s="8">
        <v>512.0</v>
      </c>
      <c r="P2" s="8">
        <v>1024.0</v>
      </c>
      <c r="Q2" s="8">
        <v>2048.0</v>
      </c>
    </row>
    <row r="3">
      <c r="A3" s="2">
        <v>1.0</v>
      </c>
      <c r="B3" s="2" t="s">
        <v>6</v>
      </c>
      <c r="C3" s="2" t="s">
        <v>7</v>
      </c>
      <c r="D3" s="2" t="s">
        <v>8</v>
      </c>
      <c r="E3" s="2"/>
      <c r="F3" s="8">
        <v>0.0</v>
      </c>
      <c r="G3" s="8">
        <v>1.0</v>
      </c>
      <c r="H3" s="8">
        <v>3.0</v>
      </c>
      <c r="I3" s="8">
        <v>7.0</v>
      </c>
      <c r="J3" s="15">
        <v>15.0</v>
      </c>
      <c r="K3" s="8">
        <v>31.0</v>
      </c>
      <c r="L3" s="8">
        <v>63.0</v>
      </c>
      <c r="M3" s="8">
        <v>127.0</v>
      </c>
      <c r="N3" s="8">
        <v>255.0</v>
      </c>
      <c r="O3" s="8">
        <v>511.0</v>
      </c>
      <c r="P3" s="8">
        <v>1023.0</v>
      </c>
      <c r="Q3" s="8">
        <v>2047.0</v>
      </c>
    </row>
    <row r="4">
      <c r="A4" s="2">
        <v>2.0</v>
      </c>
      <c r="B4" s="2" t="s">
        <v>9</v>
      </c>
      <c r="C4" s="2" t="s">
        <v>10</v>
      </c>
      <c r="D4" s="2" t="s">
        <v>11</v>
      </c>
      <c r="E4" s="2"/>
      <c r="F4" s="8">
        <v>0.0</v>
      </c>
      <c r="G4" s="8">
        <v>0.0</v>
      </c>
      <c r="H4" s="8">
        <v>1.0</v>
      </c>
      <c r="I4" s="8">
        <v>4.0</v>
      </c>
      <c r="J4" s="15">
        <v>11.0</v>
      </c>
      <c r="K4" s="8">
        <v>26.0</v>
      </c>
      <c r="L4" s="8">
        <v>57.0</v>
      </c>
      <c r="M4" s="8">
        <v>120.0</v>
      </c>
      <c r="N4" s="8">
        <v>247.0</v>
      </c>
      <c r="O4" s="8">
        <v>502.0</v>
      </c>
      <c r="P4" s="8">
        <v>1013.0</v>
      </c>
      <c r="Q4" s="8">
        <v>2036.0</v>
      </c>
    </row>
    <row r="5">
      <c r="A5" s="2">
        <v>4.0</v>
      </c>
      <c r="B5" s="2" t="s">
        <v>12</v>
      </c>
      <c r="C5" s="2" t="s">
        <v>13</v>
      </c>
      <c r="D5" s="2" t="s">
        <v>14</v>
      </c>
      <c r="E5" s="2"/>
      <c r="F5" s="8">
        <v>0.0</v>
      </c>
      <c r="G5" s="8">
        <v>0.0</v>
      </c>
      <c r="H5" s="8">
        <v>0.0</v>
      </c>
      <c r="I5" s="8">
        <v>1.0</v>
      </c>
      <c r="J5" s="15">
        <v>5.0</v>
      </c>
      <c r="K5" s="8">
        <v>16.0</v>
      </c>
      <c r="L5" s="8">
        <v>42.0</v>
      </c>
      <c r="M5" s="8">
        <v>99.0</v>
      </c>
      <c r="N5" s="8">
        <v>219.0</v>
      </c>
      <c r="O5" s="8">
        <v>466.0</v>
      </c>
      <c r="P5" s="8">
        <v>968.0</v>
      </c>
      <c r="Q5" s="8">
        <v>1981.0</v>
      </c>
    </row>
    <row r="6">
      <c r="A6" s="2">
        <v>8.0</v>
      </c>
      <c r="B6" s="2" t="s">
        <v>15</v>
      </c>
      <c r="C6" s="2" t="s">
        <v>16</v>
      </c>
      <c r="D6" s="2"/>
      <c r="E6" s="2"/>
      <c r="F6" s="8">
        <v>0.0</v>
      </c>
      <c r="G6" s="8">
        <v>0.0</v>
      </c>
      <c r="H6" s="8">
        <v>0.0</v>
      </c>
      <c r="I6" s="8">
        <v>0.0</v>
      </c>
      <c r="J6" s="15">
        <v>1.0</v>
      </c>
      <c r="K6" s="8">
        <v>6.0</v>
      </c>
      <c r="L6" s="8">
        <v>22.0</v>
      </c>
      <c r="M6" s="8">
        <v>64.0</v>
      </c>
      <c r="N6" s="8">
        <v>163.0</v>
      </c>
      <c r="O6" s="8">
        <v>382.0</v>
      </c>
      <c r="P6" s="8">
        <v>848.0</v>
      </c>
      <c r="Q6" s="8">
        <v>1816.0</v>
      </c>
    </row>
    <row r="7">
      <c r="A7" s="2">
        <v>16.0</v>
      </c>
      <c r="B7" s="2" t="s">
        <v>17</v>
      </c>
      <c r="C7" s="2" t="s">
        <v>18</v>
      </c>
      <c r="D7" s="2"/>
      <c r="E7" s="2"/>
      <c r="F7" s="8">
        <v>0.0</v>
      </c>
      <c r="G7" s="8">
        <v>0.0</v>
      </c>
      <c r="H7" s="8">
        <v>0.0</v>
      </c>
      <c r="I7" s="8">
        <v>0.0</v>
      </c>
      <c r="J7" s="15">
        <v>0.0</v>
      </c>
      <c r="K7" s="8">
        <v>1.0</v>
      </c>
      <c r="L7" s="8">
        <v>7.0</v>
      </c>
      <c r="M7" s="8">
        <v>29.0</v>
      </c>
      <c r="N7" s="8">
        <v>93.0</v>
      </c>
      <c r="O7" s="8">
        <v>256.0</v>
      </c>
      <c r="P7" s="8">
        <v>638.0</v>
      </c>
      <c r="Q7" s="8">
        <v>1486.0</v>
      </c>
    </row>
    <row r="9">
      <c r="B9" s="2" t="s">
        <v>3</v>
      </c>
      <c r="C9" s="15">
        <v>16.0</v>
      </c>
      <c r="D9" s="2">
        <v>8.0</v>
      </c>
    </row>
    <row r="10">
      <c r="B10" s="2" t="s">
        <v>6</v>
      </c>
      <c r="C10" s="15">
        <v>15.0</v>
      </c>
      <c r="D10" s="2">
        <v>7.0</v>
      </c>
      <c r="E10" s="2" t="s">
        <v>40</v>
      </c>
    </row>
    <row r="11">
      <c r="B11" s="2" t="s">
        <v>9</v>
      </c>
      <c r="C11" s="15">
        <v>11.0</v>
      </c>
      <c r="D11" s="2">
        <v>4.0</v>
      </c>
      <c r="E11" s="18" t="s">
        <v>41</v>
      </c>
    </row>
    <row r="12">
      <c r="B12" s="2" t="s">
        <v>12</v>
      </c>
      <c r="C12" s="15">
        <v>5.0</v>
      </c>
      <c r="D12" s="2">
        <v>1.0</v>
      </c>
      <c r="E12" s="18" t="s">
        <v>42</v>
      </c>
    </row>
    <row r="13">
      <c r="B13" s="2" t="s">
        <v>15</v>
      </c>
      <c r="C13" s="15">
        <v>1.0</v>
      </c>
      <c r="D13" s="2">
        <v>0.0</v>
      </c>
      <c r="E13" s="18" t="s">
        <v>43</v>
      </c>
    </row>
    <row r="14">
      <c r="B14" s="2" t="s">
        <v>17</v>
      </c>
      <c r="C14" s="15">
        <v>0.0</v>
      </c>
      <c r="D14" s="2">
        <v>0.0</v>
      </c>
    </row>
    <row r="15">
      <c r="E15" s="2" t="s">
        <v>46</v>
      </c>
    </row>
    <row r="16">
      <c r="E16" s="2" t="s">
        <v>48</v>
      </c>
    </row>
    <row r="17">
      <c r="E17" s="18" t="s">
        <v>49</v>
      </c>
    </row>
    <row r="18">
      <c r="E18" s="18" t="s">
        <v>50</v>
      </c>
    </row>
    <row r="19">
      <c r="E19" s="18" t="s">
        <v>51</v>
      </c>
    </row>
    <row r="23">
      <c r="D23" s="2">
        <v>6.0</v>
      </c>
      <c r="F23" s="2" t="s">
        <v>52</v>
      </c>
      <c r="G23" s="2">
        <f>16+15+11+11+5+5</f>
        <v>63</v>
      </c>
      <c r="H23" s="2">
        <v>63.0</v>
      </c>
      <c r="L23" s="2">
        <v>25.0</v>
      </c>
      <c r="M23" s="2">
        <v>25.0</v>
      </c>
    </row>
    <row r="24">
      <c r="D24" s="2">
        <v>5.0</v>
      </c>
      <c r="E24" s="2" t="s">
        <v>53</v>
      </c>
      <c r="F24" s="2" t="s">
        <v>54</v>
      </c>
      <c r="G24" s="8">
        <f>16+16+15+15</f>
        <v>62</v>
      </c>
      <c r="H24" s="2">
        <v>125.0</v>
      </c>
      <c r="I24" s="8">
        <f t="shared" ref="I24:I27" si="1">H24-H23</f>
        <v>62</v>
      </c>
      <c r="L24" s="8">
        <f>8+8+7+7</f>
        <v>30</v>
      </c>
      <c r="M24" s="8">
        <f>M23+L24</f>
        <v>55</v>
      </c>
    </row>
    <row r="25">
      <c r="D25" s="2">
        <v>4.0</v>
      </c>
      <c r="E25" s="2" t="s">
        <v>58</v>
      </c>
      <c r="F25" s="2" t="s">
        <v>59</v>
      </c>
      <c r="G25" s="8">
        <f>4*16+2*15</f>
        <v>94</v>
      </c>
      <c r="H25" s="2">
        <v>219.0</v>
      </c>
      <c r="I25" s="8">
        <f t="shared" si="1"/>
        <v>94</v>
      </c>
      <c r="L25" s="8">
        <f>4*D9+2*D10</f>
        <v>46</v>
      </c>
      <c r="M25" s="2">
        <v>99.0</v>
      </c>
      <c r="N25" s="8">
        <f>M25-M24</f>
        <v>44</v>
      </c>
    </row>
    <row r="26">
      <c r="D26" s="2">
        <v>3.0</v>
      </c>
      <c r="E26" s="2" t="s">
        <v>63</v>
      </c>
      <c r="F26" s="2" t="s">
        <v>64</v>
      </c>
      <c r="G26" s="8">
        <f>16*7+15</f>
        <v>127</v>
      </c>
      <c r="H26" s="2">
        <v>346.0</v>
      </c>
      <c r="I26" s="8">
        <f t="shared" si="1"/>
        <v>127</v>
      </c>
    </row>
    <row r="27">
      <c r="D27" s="2">
        <v>2.0</v>
      </c>
      <c r="E27" s="2" t="s">
        <v>68</v>
      </c>
      <c r="F27" s="2" t="s">
        <v>69</v>
      </c>
      <c r="H27" s="2">
        <v>473.0</v>
      </c>
      <c r="I27" s="8">
        <f t="shared" si="1"/>
        <v>127</v>
      </c>
    </row>
    <row r="28">
      <c r="D28" s="2">
        <v>1.0</v>
      </c>
    </row>
    <row r="30">
      <c r="E30" s="2" t="s">
        <v>70</v>
      </c>
    </row>
    <row r="31">
      <c r="E31" s="2" t="s">
        <v>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0"/>
    <col customWidth="1" min="3" max="3" width="11.88"/>
    <col customWidth="1" min="4" max="4" width="49.38"/>
    <col customWidth="1" min="6" max="6" width="1.88"/>
    <col customWidth="1" min="7" max="7" width="2.88"/>
    <col customWidth="1" min="8" max="8" width="4.75"/>
    <col customWidth="1" min="9" max="9" width="9.13"/>
    <col customWidth="1" min="10" max="10" width="17.25"/>
    <col customWidth="1" min="11" max="11" width="33.63"/>
  </cols>
  <sheetData>
    <row r="2">
      <c r="F2" s="2">
        <v>0.0</v>
      </c>
      <c r="G2" s="2">
        <v>1.0</v>
      </c>
      <c r="H2" s="2">
        <v>2.0</v>
      </c>
      <c r="I2" s="2">
        <v>3.0</v>
      </c>
      <c r="J2" s="2">
        <v>4.0</v>
      </c>
      <c r="K2" s="2">
        <v>5.0</v>
      </c>
    </row>
    <row r="3">
      <c r="B3" s="2" t="s">
        <v>21</v>
      </c>
      <c r="C3" s="2" t="s">
        <v>4</v>
      </c>
      <c r="D3" s="2" t="s">
        <v>22</v>
      </c>
      <c r="F3" s="19" t="s">
        <v>80</v>
      </c>
      <c r="G3" s="19" t="s">
        <v>60</v>
      </c>
      <c r="H3" s="19" t="s">
        <v>61</v>
      </c>
      <c r="I3" s="19" t="s">
        <v>62</v>
      </c>
      <c r="J3" s="19" t="s">
        <v>81</v>
      </c>
      <c r="K3" s="19" t="s">
        <v>82</v>
      </c>
    </row>
    <row r="4">
      <c r="B4" s="2" t="s">
        <v>23</v>
      </c>
      <c r="C4" s="2" t="s">
        <v>7</v>
      </c>
      <c r="D4" s="2" t="s">
        <v>24</v>
      </c>
      <c r="F4" s="19" t="s">
        <v>83</v>
      </c>
      <c r="G4" s="19" t="s">
        <v>65</v>
      </c>
      <c r="H4" s="19" t="s">
        <v>66</v>
      </c>
      <c r="I4" s="19" t="s">
        <v>67</v>
      </c>
      <c r="J4" s="19" t="s">
        <v>84</v>
      </c>
      <c r="K4" s="19" t="s">
        <v>85</v>
      </c>
    </row>
    <row r="5">
      <c r="B5" s="2" t="s">
        <v>25</v>
      </c>
      <c r="C5" s="2" t="s">
        <v>26</v>
      </c>
      <c r="D5" s="2" t="s">
        <v>27</v>
      </c>
      <c r="F5" s="20"/>
      <c r="G5" s="19" t="s">
        <v>71</v>
      </c>
      <c r="H5" s="19" t="s">
        <v>72</v>
      </c>
      <c r="I5" s="19" t="s">
        <v>73</v>
      </c>
      <c r="J5" s="19" t="s">
        <v>87</v>
      </c>
      <c r="K5" s="19" t="s">
        <v>88</v>
      </c>
    </row>
    <row r="6">
      <c r="B6" s="2" t="s">
        <v>28</v>
      </c>
      <c r="C6" s="2" t="s">
        <v>29</v>
      </c>
      <c r="D6" s="2" t="s">
        <v>30</v>
      </c>
      <c r="F6" s="20"/>
      <c r="G6" s="20"/>
      <c r="H6" s="21" t="s">
        <v>74</v>
      </c>
      <c r="I6" s="19" t="s">
        <v>75</v>
      </c>
      <c r="J6" s="19" t="s">
        <v>89</v>
      </c>
      <c r="K6" s="19" t="s">
        <v>90</v>
      </c>
    </row>
    <row r="7">
      <c r="B7" s="2" t="s">
        <v>31</v>
      </c>
      <c r="C7" s="2" t="s">
        <v>32</v>
      </c>
      <c r="D7" s="2" t="s">
        <v>33</v>
      </c>
      <c r="F7" s="20"/>
      <c r="G7" s="20"/>
      <c r="H7" s="21" t="s">
        <v>76</v>
      </c>
      <c r="I7" s="21" t="s">
        <v>77</v>
      </c>
      <c r="J7" s="19" t="s">
        <v>91</v>
      </c>
      <c r="K7" s="19" t="s">
        <v>92</v>
      </c>
    </row>
    <row r="8">
      <c r="B8" s="2" t="s">
        <v>34</v>
      </c>
      <c r="C8" s="2" t="s">
        <v>35</v>
      </c>
      <c r="D8" s="2" t="s">
        <v>36</v>
      </c>
      <c r="F8" s="20"/>
      <c r="G8" s="20"/>
      <c r="H8" s="21" t="s">
        <v>78</v>
      </c>
      <c r="I8" s="21" t="s">
        <v>79</v>
      </c>
      <c r="J8" s="19" t="s">
        <v>94</v>
      </c>
      <c r="K8" s="19" t="s">
        <v>95</v>
      </c>
    </row>
    <row r="9">
      <c r="B9" s="2" t="s">
        <v>37</v>
      </c>
      <c r="C9" s="2" t="s">
        <v>38</v>
      </c>
      <c r="D9" s="2" t="s">
        <v>39</v>
      </c>
      <c r="F9" s="20"/>
      <c r="G9" s="20"/>
      <c r="H9" s="20"/>
      <c r="I9" s="21" t="s">
        <v>86</v>
      </c>
      <c r="J9" s="19" t="s">
        <v>96</v>
      </c>
      <c r="K9" s="19" t="s">
        <v>97</v>
      </c>
    </row>
    <row r="10">
      <c r="B10" s="2" t="s">
        <v>44</v>
      </c>
      <c r="C10" s="2" t="s">
        <v>45</v>
      </c>
      <c r="D10" s="2" t="s">
        <v>47</v>
      </c>
      <c r="F10" s="20"/>
      <c r="G10" s="20"/>
      <c r="H10" s="20"/>
      <c r="I10" s="21" t="s">
        <v>93</v>
      </c>
      <c r="J10" s="19" t="s">
        <v>98</v>
      </c>
      <c r="K10" s="19" t="s">
        <v>99</v>
      </c>
    </row>
    <row r="16">
      <c r="A16" s="2" t="s">
        <v>100</v>
      </c>
      <c r="C16" s="2" t="s">
        <v>80</v>
      </c>
      <c r="D16" s="2" t="s">
        <v>101</v>
      </c>
    </row>
    <row r="17">
      <c r="A17" s="2" t="s">
        <v>102</v>
      </c>
      <c r="C17" s="2" t="s">
        <v>103</v>
      </c>
      <c r="D17" s="19" t="s">
        <v>75</v>
      </c>
    </row>
    <row r="18">
      <c r="A18" s="2" t="s">
        <v>104</v>
      </c>
      <c r="C18" s="2" t="s">
        <v>105</v>
      </c>
      <c r="D18" s="19" t="s">
        <v>91</v>
      </c>
    </row>
    <row r="19">
      <c r="A19" s="2" t="s">
        <v>52</v>
      </c>
      <c r="C19" s="2" t="s">
        <v>106</v>
      </c>
      <c r="D19" s="19" t="s">
        <v>94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>
        <v>0.0</v>
      </c>
      <c r="D1" s="2"/>
      <c r="E1" s="2">
        <v>1.0</v>
      </c>
      <c r="H1" s="2">
        <v>3.0</v>
      </c>
      <c r="K1" s="2">
        <v>4.0</v>
      </c>
    </row>
    <row r="3">
      <c r="B3" s="2" t="s">
        <v>107</v>
      </c>
      <c r="C3" s="2" t="s">
        <v>107</v>
      </c>
      <c r="D3" s="2" t="s">
        <v>108</v>
      </c>
      <c r="E3" s="2" t="s">
        <v>108</v>
      </c>
      <c r="G3" s="2" t="s">
        <v>109</v>
      </c>
      <c r="H3" s="2" t="s">
        <v>109</v>
      </c>
      <c r="J3" s="2" t="s">
        <v>110</v>
      </c>
      <c r="K3" s="2" t="s">
        <v>110</v>
      </c>
      <c r="L3" s="2" t="s">
        <v>110</v>
      </c>
    </row>
    <row r="4">
      <c r="A4" s="2" t="s">
        <v>107</v>
      </c>
      <c r="D4" s="2"/>
      <c r="E4" s="2" t="s">
        <v>107</v>
      </c>
      <c r="F4" s="2" t="s">
        <v>108</v>
      </c>
      <c r="H4" s="2" t="s">
        <v>111</v>
      </c>
      <c r="I4" s="2" t="s">
        <v>109</v>
      </c>
      <c r="J4" s="2" t="s">
        <v>112</v>
      </c>
      <c r="K4" s="2" t="s">
        <v>112</v>
      </c>
      <c r="L4" s="2" t="s">
        <v>112</v>
      </c>
    </row>
    <row r="5">
      <c r="D5" s="2" t="s">
        <v>107</v>
      </c>
      <c r="F5" s="2" t="s">
        <v>107</v>
      </c>
      <c r="G5" s="2" t="s">
        <v>111</v>
      </c>
      <c r="H5" s="2" t="s">
        <v>107</v>
      </c>
      <c r="K5" s="2" t="s">
        <v>109</v>
      </c>
    </row>
    <row r="6">
      <c r="H6" s="2" t="s">
        <v>107</v>
      </c>
      <c r="I6" s="2" t="s">
        <v>111</v>
      </c>
      <c r="K6" s="2" t="s">
        <v>109</v>
      </c>
    </row>
    <row r="7">
      <c r="G7" s="2" t="s">
        <v>107</v>
      </c>
      <c r="K7" s="2" t="s">
        <v>107</v>
      </c>
    </row>
    <row r="8">
      <c r="I8" s="2" t="s">
        <v>107</v>
      </c>
    </row>
    <row r="9">
      <c r="G9" s="2" t="s">
        <v>107</v>
      </c>
    </row>
    <row r="10">
      <c r="I10" s="2" t="s">
        <v>107</v>
      </c>
    </row>
    <row r="11">
      <c r="C11" s="2" t="s">
        <v>4</v>
      </c>
    </row>
    <row r="12">
      <c r="C12" s="2" t="s">
        <v>7</v>
      </c>
    </row>
    <row r="13">
      <c r="B13" s="2" t="s">
        <v>113</v>
      </c>
      <c r="C13" s="2" t="s">
        <v>10</v>
      </c>
    </row>
    <row r="14">
      <c r="B14" s="2" t="s">
        <v>114</v>
      </c>
      <c r="C14" s="2" t="s">
        <v>115</v>
      </c>
      <c r="E14" s="2" t="s">
        <v>116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.5"/>
  </cols>
  <sheetData>
    <row r="3">
      <c r="A3" s="22" t="s">
        <v>80</v>
      </c>
      <c r="B3" s="23"/>
      <c r="C3" s="23"/>
      <c r="D3" s="23"/>
      <c r="E3" s="24" t="s">
        <v>83</v>
      </c>
      <c r="F3" s="25"/>
      <c r="G3" s="26"/>
      <c r="H3" s="27" t="s">
        <v>80</v>
      </c>
      <c r="I3" s="28"/>
      <c r="J3" s="28"/>
      <c r="K3" s="28"/>
      <c r="L3" s="29" t="s">
        <v>117</v>
      </c>
      <c r="M3" s="28"/>
      <c r="N3" s="28"/>
      <c r="O3" s="28"/>
      <c r="P3" s="28"/>
      <c r="Q3" s="28"/>
      <c r="R3" s="28"/>
      <c r="S3" s="28"/>
      <c r="T3" s="30"/>
      <c r="U3" s="30"/>
      <c r="V3" s="31"/>
    </row>
    <row r="4">
      <c r="A4" s="32" t="s">
        <v>80</v>
      </c>
      <c r="B4" s="33"/>
      <c r="C4" s="33"/>
      <c r="D4" s="33"/>
      <c r="E4" s="34" t="s">
        <v>83</v>
      </c>
      <c r="F4" s="36"/>
      <c r="G4" s="38"/>
      <c r="H4" s="40" t="s">
        <v>80</v>
      </c>
      <c r="I4" s="42"/>
      <c r="J4" s="42"/>
      <c r="K4" s="42"/>
      <c r="L4" s="44" t="s">
        <v>117</v>
      </c>
      <c r="M4" s="45"/>
      <c r="N4" s="45"/>
      <c r="O4" s="45"/>
      <c r="P4" s="45"/>
      <c r="Q4" s="45"/>
      <c r="R4" s="45"/>
      <c r="S4" s="45"/>
      <c r="V4" s="46"/>
    </row>
    <row r="5">
      <c r="A5" s="48" t="s">
        <v>80</v>
      </c>
      <c r="B5" s="50"/>
      <c r="C5" s="50"/>
      <c r="D5" s="50"/>
      <c r="E5" s="53" t="s">
        <v>83</v>
      </c>
      <c r="F5" s="56"/>
      <c r="G5" s="56"/>
      <c r="H5" s="57"/>
      <c r="I5" s="57"/>
      <c r="J5" s="57"/>
      <c r="K5" s="57"/>
      <c r="L5" s="60"/>
      <c r="V5" s="46"/>
    </row>
    <row r="6">
      <c r="A6" s="62"/>
      <c r="B6" s="15"/>
      <c r="C6" s="15"/>
      <c r="D6" s="15"/>
      <c r="E6" s="15"/>
      <c r="F6" s="15"/>
      <c r="G6" s="15"/>
      <c r="M6" s="65"/>
      <c r="N6" s="30"/>
      <c r="O6" s="30"/>
      <c r="P6" s="30"/>
      <c r="Q6" s="30"/>
      <c r="R6" s="30"/>
      <c r="S6" s="30"/>
      <c r="T6" s="30"/>
      <c r="U6" s="30"/>
      <c r="V6" s="31"/>
    </row>
    <row r="7">
      <c r="A7" s="68"/>
      <c r="B7" s="33"/>
      <c r="C7" s="33"/>
      <c r="D7" s="33"/>
      <c r="E7" s="33"/>
      <c r="F7" s="33"/>
      <c r="G7" s="33"/>
      <c r="H7" s="52"/>
      <c r="I7" s="52"/>
      <c r="J7" s="52"/>
      <c r="K7" s="52"/>
      <c r="L7" s="52"/>
      <c r="M7" s="71"/>
      <c r="N7" s="52"/>
      <c r="O7" s="52"/>
      <c r="P7" s="52"/>
      <c r="Q7" s="52"/>
      <c r="R7" s="52"/>
      <c r="S7" s="52"/>
      <c r="T7" s="52"/>
      <c r="U7" s="52"/>
      <c r="V7" s="5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88"/>
  </cols>
  <sheetData>
    <row r="1">
      <c r="B1" s="2" t="s">
        <v>80</v>
      </c>
      <c r="C1" s="2" t="s">
        <v>80</v>
      </c>
      <c r="D1" s="2" t="s">
        <v>83</v>
      </c>
      <c r="E1" s="2" t="s">
        <v>80</v>
      </c>
      <c r="F1" s="2" t="s">
        <v>117</v>
      </c>
      <c r="G1" s="2" t="s">
        <v>80</v>
      </c>
      <c r="H1" s="2" t="s">
        <v>80</v>
      </c>
      <c r="I1" s="2" t="s">
        <v>83</v>
      </c>
      <c r="N1" s="2" t="s">
        <v>80</v>
      </c>
      <c r="O1" s="2" t="s">
        <v>80</v>
      </c>
      <c r="P1" s="2" t="s">
        <v>83</v>
      </c>
      <c r="Q1" s="2" t="s">
        <v>80</v>
      </c>
    </row>
    <row r="2">
      <c r="B2" s="35">
        <v>1.0</v>
      </c>
      <c r="C2" s="37">
        <v>2.0</v>
      </c>
      <c r="D2" s="39">
        <v>5.0</v>
      </c>
      <c r="E2" s="41">
        <v>4.0</v>
      </c>
      <c r="F2" s="43">
        <v>11.0</v>
      </c>
      <c r="G2" s="43">
        <v>10.0</v>
      </c>
      <c r="H2" s="39">
        <v>8.0</v>
      </c>
      <c r="I2" s="41">
        <v>9.0</v>
      </c>
      <c r="J2" s="30"/>
      <c r="K2" s="30"/>
      <c r="L2" s="30"/>
      <c r="M2" s="30"/>
      <c r="N2" s="43">
        <v>25.0</v>
      </c>
      <c r="O2" s="43">
        <v>24.0</v>
      </c>
      <c r="P2" s="43">
        <v>28.0</v>
      </c>
      <c r="Q2" s="47">
        <v>23.0</v>
      </c>
    </row>
    <row r="3">
      <c r="B3" s="49">
        <v>3.0</v>
      </c>
      <c r="C3" s="51">
        <v>5.0</v>
      </c>
      <c r="D3" s="52"/>
      <c r="E3" s="54"/>
      <c r="F3" s="55">
        <v>10.0</v>
      </c>
      <c r="G3" s="55">
        <v>12.0</v>
      </c>
      <c r="H3" s="2">
        <v>9.0</v>
      </c>
      <c r="I3" s="58">
        <v>8.0</v>
      </c>
      <c r="J3" s="59"/>
      <c r="K3" s="59"/>
      <c r="L3" s="59"/>
      <c r="M3" s="59"/>
      <c r="N3" s="61">
        <v>18.0</v>
      </c>
      <c r="O3" s="61">
        <v>19.0</v>
      </c>
      <c r="P3" s="61">
        <v>20.0</v>
      </c>
      <c r="Q3" s="63">
        <v>22.0</v>
      </c>
    </row>
    <row r="4">
      <c r="B4" s="49">
        <v>6.0</v>
      </c>
      <c r="C4" s="51">
        <v>7.0</v>
      </c>
      <c r="D4" s="64">
        <v>10.0</v>
      </c>
      <c r="E4" s="64">
        <v>11.0</v>
      </c>
      <c r="F4" s="52"/>
      <c r="G4" s="52"/>
      <c r="H4" s="52"/>
      <c r="I4" s="54"/>
      <c r="J4" s="59"/>
      <c r="K4" s="59"/>
      <c r="L4" s="59"/>
      <c r="M4" s="59"/>
      <c r="N4" s="61">
        <v>21.0</v>
      </c>
      <c r="O4" s="61">
        <v>20.0</v>
      </c>
      <c r="P4" s="66"/>
      <c r="Q4" s="67"/>
    </row>
    <row r="5">
      <c r="B5" s="69">
        <v>13.0</v>
      </c>
      <c r="C5" s="61">
        <v>14.0</v>
      </c>
      <c r="D5" s="61">
        <v>15.0</v>
      </c>
      <c r="E5" s="61">
        <v>17.0</v>
      </c>
      <c r="F5" s="55"/>
      <c r="G5" s="55">
        <v>26.0</v>
      </c>
      <c r="H5" s="55">
        <v>27.0</v>
      </c>
      <c r="I5" s="55">
        <v>29.0</v>
      </c>
      <c r="Q5" s="46"/>
    </row>
    <row r="6">
      <c r="B6" s="70">
        <v>16.0</v>
      </c>
      <c r="C6" s="72">
        <v>15.0</v>
      </c>
      <c r="D6" s="73"/>
      <c r="E6" s="73"/>
      <c r="F6" s="64"/>
      <c r="G6" s="64">
        <v>28.0</v>
      </c>
      <c r="H6" s="64">
        <v>29.0</v>
      </c>
      <c r="I6" s="64">
        <v>25.0</v>
      </c>
      <c r="J6" s="52"/>
      <c r="K6" s="52"/>
      <c r="L6" s="52"/>
      <c r="M6" s="52"/>
      <c r="N6" s="52"/>
      <c r="O6" s="52"/>
      <c r="P6" s="52"/>
      <c r="Q6" s="5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8" width="3.5"/>
  </cols>
  <sheetData>
    <row r="1">
      <c r="S1" s="2" t="s">
        <v>80</v>
      </c>
      <c r="U1" s="2" t="s">
        <v>83</v>
      </c>
      <c r="W1" s="2" t="s">
        <v>117</v>
      </c>
      <c r="Y1" s="2" t="s">
        <v>83</v>
      </c>
      <c r="AA1" s="2" t="s">
        <v>83</v>
      </c>
      <c r="AC1" s="2" t="s">
        <v>118</v>
      </c>
      <c r="AE1" s="2" t="s">
        <v>83</v>
      </c>
      <c r="AG1" s="2" t="s">
        <v>80</v>
      </c>
    </row>
    <row r="2">
      <c r="B2" s="22" t="s">
        <v>3</v>
      </c>
      <c r="C2" s="74" t="s">
        <v>6</v>
      </c>
      <c r="E2" s="75" t="s">
        <v>80</v>
      </c>
      <c r="F2" s="24" t="s">
        <v>83</v>
      </c>
      <c r="G2" s="76" t="s">
        <v>117</v>
      </c>
      <c r="H2" s="74" t="s">
        <v>80</v>
      </c>
      <c r="J2" s="77" t="s">
        <v>80</v>
      </c>
      <c r="K2" s="78" t="s">
        <v>80</v>
      </c>
      <c r="L2" s="78" t="s">
        <v>83</v>
      </c>
      <c r="M2" s="79" t="s">
        <v>117</v>
      </c>
      <c r="N2" s="76" t="s">
        <v>117</v>
      </c>
      <c r="O2" s="76" t="s">
        <v>80</v>
      </c>
      <c r="P2" s="80" t="s">
        <v>80</v>
      </c>
      <c r="Q2" s="81" t="s">
        <v>83</v>
      </c>
      <c r="S2" s="77" t="s">
        <v>80</v>
      </c>
      <c r="T2" s="78" t="s">
        <v>80</v>
      </c>
      <c r="U2" s="78" t="s">
        <v>80</v>
      </c>
      <c r="V2" s="78" t="s">
        <v>83</v>
      </c>
      <c r="W2" s="78" t="s">
        <v>80</v>
      </c>
      <c r="X2" s="78" t="s">
        <v>117</v>
      </c>
      <c r="Y2" s="78" t="s">
        <v>80</v>
      </c>
      <c r="Z2" s="79" t="s">
        <v>83</v>
      </c>
      <c r="AA2" s="76" t="s">
        <v>83</v>
      </c>
      <c r="AB2" s="76" t="s">
        <v>80</v>
      </c>
      <c r="AC2" s="76" t="s">
        <v>117</v>
      </c>
      <c r="AD2" s="76" t="s">
        <v>118</v>
      </c>
      <c r="AE2" s="82" t="s">
        <v>83</v>
      </c>
      <c r="AF2" s="80" t="s">
        <v>80</v>
      </c>
      <c r="AG2" s="83" t="s">
        <v>80</v>
      </c>
      <c r="AH2" s="84" t="s">
        <v>80</v>
      </c>
      <c r="AI2" s="2"/>
      <c r="AJ2" s="2"/>
      <c r="AK2" s="2"/>
      <c r="AL2" s="2"/>
    </row>
    <row r="3">
      <c r="B3" s="85" t="s">
        <v>3</v>
      </c>
      <c r="C3" s="86" t="s">
        <v>6</v>
      </c>
      <c r="E3" s="87" t="s">
        <v>80</v>
      </c>
      <c r="F3" s="88" t="s">
        <v>83</v>
      </c>
      <c r="G3" s="89" t="s">
        <v>117</v>
      </c>
      <c r="H3" s="90" t="s">
        <v>80</v>
      </c>
      <c r="J3" s="91"/>
      <c r="K3" s="17"/>
      <c r="L3" s="17"/>
      <c r="M3" s="92"/>
      <c r="N3" s="89" t="s">
        <v>117</v>
      </c>
      <c r="O3" s="93" t="s">
        <v>80</v>
      </c>
      <c r="P3" s="88" t="s">
        <v>80</v>
      </c>
      <c r="Q3" s="94" t="s">
        <v>83</v>
      </c>
      <c r="S3" s="91"/>
      <c r="T3" s="17"/>
      <c r="U3" s="17"/>
      <c r="V3" s="17"/>
      <c r="W3" s="95"/>
      <c r="X3" s="95"/>
      <c r="Y3" s="95"/>
      <c r="Z3" s="90"/>
      <c r="AA3" s="96" t="s">
        <v>83</v>
      </c>
      <c r="AB3" s="96" t="s">
        <v>80</v>
      </c>
      <c r="AC3" s="97" t="s">
        <v>117</v>
      </c>
      <c r="AD3" s="93" t="s">
        <v>118</v>
      </c>
      <c r="AE3" s="88" t="s">
        <v>83</v>
      </c>
      <c r="AF3" s="88" t="s">
        <v>80</v>
      </c>
      <c r="AG3" s="88" t="s">
        <v>80</v>
      </c>
      <c r="AH3" s="94" t="s">
        <v>80</v>
      </c>
      <c r="AI3" s="2"/>
      <c r="AJ3" s="2"/>
      <c r="AK3" s="2"/>
      <c r="AL3" s="2"/>
    </row>
    <row r="4">
      <c r="E4" s="98" t="s">
        <v>80</v>
      </c>
      <c r="F4" s="99" t="s">
        <v>83</v>
      </c>
      <c r="G4" s="52"/>
      <c r="H4" s="54"/>
      <c r="J4" s="100"/>
      <c r="K4" s="101"/>
      <c r="L4" s="101"/>
      <c r="M4" s="102"/>
      <c r="N4" s="93" t="s">
        <v>117</v>
      </c>
      <c r="O4" s="103" t="s">
        <v>80</v>
      </c>
      <c r="P4" s="88" t="s">
        <v>80</v>
      </c>
      <c r="Q4" s="94" t="s">
        <v>83</v>
      </c>
      <c r="S4" s="100"/>
      <c r="T4" s="101"/>
      <c r="U4" s="101"/>
      <c r="V4" s="101"/>
      <c r="W4" s="104"/>
      <c r="X4" s="104"/>
      <c r="Y4" s="104"/>
      <c r="Z4" s="105"/>
      <c r="AA4" s="96" t="s">
        <v>83</v>
      </c>
      <c r="AB4" s="96" t="s">
        <v>80</v>
      </c>
      <c r="AC4" s="93" t="s">
        <v>117</v>
      </c>
      <c r="AD4" s="89" t="s">
        <v>118</v>
      </c>
      <c r="AE4" s="15"/>
      <c r="AF4" s="15"/>
      <c r="AG4" s="15"/>
      <c r="AH4" s="106"/>
    </row>
    <row r="5">
      <c r="J5" s="98" t="s">
        <v>80</v>
      </c>
      <c r="K5" s="107" t="s">
        <v>80</v>
      </c>
      <c r="L5" s="99" t="s">
        <v>83</v>
      </c>
      <c r="M5" s="108" t="s">
        <v>117</v>
      </c>
      <c r="N5" s="109"/>
      <c r="O5" s="110"/>
      <c r="P5" s="110"/>
      <c r="Q5" s="37"/>
      <c r="S5" s="111"/>
      <c r="T5" s="112"/>
      <c r="U5" s="112"/>
      <c r="V5" s="112"/>
      <c r="W5" s="113" t="s">
        <v>80</v>
      </c>
      <c r="X5" s="96" t="s">
        <v>117</v>
      </c>
      <c r="Y5" s="93" t="s">
        <v>80</v>
      </c>
      <c r="Z5" s="114" t="s">
        <v>83</v>
      </c>
      <c r="AA5" s="65"/>
      <c r="AB5" s="30"/>
      <c r="AC5" s="30"/>
      <c r="AD5" s="30"/>
      <c r="AE5" s="30"/>
      <c r="AF5" s="30"/>
      <c r="AG5" s="30"/>
      <c r="AH5" s="31"/>
    </row>
    <row r="6">
      <c r="S6" s="98"/>
      <c r="T6" s="107"/>
      <c r="U6" s="107"/>
      <c r="V6" s="107"/>
      <c r="W6" s="115" t="s">
        <v>80</v>
      </c>
      <c r="X6" s="108" t="s">
        <v>117</v>
      </c>
      <c r="Y6" s="116" t="s">
        <v>80</v>
      </c>
      <c r="Z6" s="117" t="s">
        <v>83</v>
      </c>
      <c r="AA6" s="71"/>
      <c r="AB6" s="52"/>
      <c r="AC6" s="52"/>
      <c r="AD6" s="52"/>
      <c r="AE6" s="52"/>
      <c r="AF6" s="52"/>
      <c r="AG6" s="52"/>
      <c r="AH6" s="54"/>
    </row>
    <row r="8">
      <c r="S8" s="2" t="s">
        <v>104</v>
      </c>
      <c r="U8" s="2" t="s">
        <v>119</v>
      </c>
      <c r="V8" s="2" t="s">
        <v>120</v>
      </c>
      <c r="X8" s="2" t="s">
        <v>121</v>
      </c>
    </row>
    <row r="10">
      <c r="S10" s="2" t="s">
        <v>122</v>
      </c>
      <c r="V10" s="2" t="s">
        <v>119</v>
      </c>
      <c r="W10" s="2" t="s">
        <v>123</v>
      </c>
      <c r="Y10" s="2" t="s">
        <v>121</v>
      </c>
    </row>
    <row r="12">
      <c r="S12" s="2" t="s">
        <v>124</v>
      </c>
      <c r="W12" s="2" t="s">
        <v>125</v>
      </c>
      <c r="Y12" s="2" t="s">
        <v>126</v>
      </c>
    </row>
    <row r="14">
      <c r="S14" s="2" t="s">
        <v>91</v>
      </c>
      <c r="Y14" s="2" t="s">
        <v>126</v>
      </c>
      <c r="AA14" s="2" t="s">
        <v>77</v>
      </c>
      <c r="AD14" s="2" t="s">
        <v>126</v>
      </c>
      <c r="AE14" s="2" t="s">
        <v>127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8" t="s">
        <v>128</v>
      </c>
      <c r="B1" s="118" t="s">
        <v>129</v>
      </c>
      <c r="C1" s="118" t="s">
        <v>130</v>
      </c>
      <c r="D1" s="118" t="s">
        <v>131</v>
      </c>
      <c r="E1" s="118" t="s">
        <v>132</v>
      </c>
      <c r="F1" s="118" t="s">
        <v>133</v>
      </c>
      <c r="G1" s="118" t="s">
        <v>134</v>
      </c>
      <c r="H1" s="118" t="s">
        <v>135</v>
      </c>
      <c r="I1" s="118" t="s">
        <v>136</v>
      </c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>
      <c r="A2" s="118" t="s">
        <v>129</v>
      </c>
      <c r="B2" s="2" t="s">
        <v>137</v>
      </c>
      <c r="C2" s="2" t="s">
        <v>137</v>
      </c>
      <c r="D2" s="2" t="s">
        <v>137</v>
      </c>
      <c r="E2" s="2" t="s">
        <v>137</v>
      </c>
      <c r="F2" s="2" t="s">
        <v>137</v>
      </c>
      <c r="G2" s="2" t="s">
        <v>137</v>
      </c>
      <c r="H2" s="2" t="s">
        <v>137</v>
      </c>
      <c r="I2" s="2" t="s">
        <v>137</v>
      </c>
    </row>
    <row r="3">
      <c r="A3" s="118" t="s">
        <v>130</v>
      </c>
      <c r="B3" s="2" t="s">
        <v>138</v>
      </c>
      <c r="C3" s="2" t="s">
        <v>138</v>
      </c>
      <c r="D3" s="2" t="s">
        <v>139</v>
      </c>
      <c r="E3" s="2" t="s">
        <v>138</v>
      </c>
      <c r="F3" s="2" t="s">
        <v>137</v>
      </c>
      <c r="G3" s="2" t="s">
        <v>137</v>
      </c>
      <c r="H3" s="2" t="s">
        <v>137</v>
      </c>
      <c r="I3" s="2" t="s">
        <v>137</v>
      </c>
    </row>
    <row r="4">
      <c r="A4" s="118" t="s">
        <v>131</v>
      </c>
      <c r="B4" s="2" t="s">
        <v>138</v>
      </c>
      <c r="C4" s="2" t="s">
        <v>138</v>
      </c>
      <c r="D4" s="2" t="s">
        <v>138</v>
      </c>
      <c r="E4" s="2" t="s">
        <v>139</v>
      </c>
      <c r="F4" s="2" t="s">
        <v>140</v>
      </c>
      <c r="G4" s="2" t="s">
        <v>139</v>
      </c>
      <c r="H4" s="2" t="s">
        <v>138</v>
      </c>
      <c r="I4" s="2" t="s">
        <v>140</v>
      </c>
    </row>
    <row r="5">
      <c r="A5" s="118" t="s">
        <v>132</v>
      </c>
      <c r="B5" s="2" t="s">
        <v>137</v>
      </c>
      <c r="C5" s="2" t="s">
        <v>137</v>
      </c>
      <c r="D5" s="2" t="s">
        <v>137</v>
      </c>
      <c r="E5" s="2" t="s">
        <v>137</v>
      </c>
      <c r="F5" s="2" t="s">
        <v>140</v>
      </c>
      <c r="G5" s="2" t="s">
        <v>139</v>
      </c>
      <c r="H5" s="2" t="s">
        <v>138</v>
      </c>
      <c r="I5" s="2" t="s">
        <v>140</v>
      </c>
    </row>
    <row r="6">
      <c r="A6" s="118" t="s">
        <v>133</v>
      </c>
      <c r="B6" s="2" t="s">
        <v>137</v>
      </c>
      <c r="C6" s="2" t="s">
        <v>137</v>
      </c>
      <c r="D6" s="2" t="s">
        <v>137</v>
      </c>
      <c r="E6" s="2" t="s">
        <v>137</v>
      </c>
      <c r="F6" s="2" t="s">
        <v>138</v>
      </c>
      <c r="G6" s="2" t="s">
        <v>140</v>
      </c>
      <c r="H6" s="2" t="s">
        <v>140</v>
      </c>
      <c r="I6" s="2" t="s">
        <v>139</v>
      </c>
    </row>
    <row r="7">
      <c r="A7" s="118" t="s">
        <v>134</v>
      </c>
      <c r="B7" s="2" t="s">
        <v>138</v>
      </c>
      <c r="C7" s="2" t="s">
        <v>138</v>
      </c>
      <c r="D7" s="2" t="s">
        <v>139</v>
      </c>
      <c r="E7" s="2" t="s">
        <v>138</v>
      </c>
      <c r="F7" s="2" t="s">
        <v>138</v>
      </c>
      <c r="G7" s="2" t="s">
        <v>140</v>
      </c>
      <c r="H7" s="2" t="s">
        <v>140</v>
      </c>
      <c r="I7" s="2" t="s">
        <v>139</v>
      </c>
    </row>
    <row r="8">
      <c r="A8" s="118" t="s">
        <v>135</v>
      </c>
      <c r="B8" s="2" t="s">
        <v>138</v>
      </c>
      <c r="C8" s="2" t="s">
        <v>138</v>
      </c>
      <c r="D8" s="2" t="s">
        <v>137</v>
      </c>
      <c r="E8" s="2" t="s">
        <v>137</v>
      </c>
      <c r="F8" s="2" t="s">
        <v>137</v>
      </c>
      <c r="G8" s="2" t="s">
        <v>137</v>
      </c>
      <c r="H8" s="2" t="s">
        <v>137</v>
      </c>
      <c r="I8" s="2" t="s">
        <v>137</v>
      </c>
    </row>
    <row r="9">
      <c r="A9" s="118" t="s">
        <v>136</v>
      </c>
      <c r="B9" s="2" t="s">
        <v>137</v>
      </c>
      <c r="C9" s="2" t="s">
        <v>137</v>
      </c>
      <c r="D9" s="2" t="s">
        <v>139</v>
      </c>
      <c r="E9" s="2" t="s">
        <v>138</v>
      </c>
      <c r="F9" s="2" t="s">
        <v>137</v>
      </c>
      <c r="G9" s="2" t="s">
        <v>137</v>
      </c>
      <c r="H9" s="2" t="s">
        <v>137</v>
      </c>
      <c r="I9" s="2" t="s">
        <v>137</v>
      </c>
    </row>
    <row r="10">
      <c r="A10" s="119"/>
    </row>
    <row r="11">
      <c r="A11" s="119"/>
    </row>
    <row r="12">
      <c r="A12" s="119"/>
    </row>
    <row r="13">
      <c r="A13" s="119"/>
    </row>
    <row r="14">
      <c r="A14" s="119"/>
    </row>
    <row r="15">
      <c r="A15" s="119"/>
    </row>
    <row r="16">
      <c r="A16" s="119"/>
    </row>
    <row r="17">
      <c r="A17" s="119"/>
    </row>
    <row r="18">
      <c r="A18" s="119"/>
    </row>
    <row r="19">
      <c r="A19" s="119"/>
    </row>
    <row r="20">
      <c r="A20" s="119"/>
    </row>
    <row r="21">
      <c r="A21" s="119"/>
    </row>
    <row r="22">
      <c r="A22" s="119"/>
    </row>
    <row r="23">
      <c r="A23" s="119"/>
    </row>
    <row r="24">
      <c r="A24" s="119"/>
    </row>
    <row r="25">
      <c r="A25" s="119"/>
    </row>
    <row r="26">
      <c r="A26" s="119"/>
    </row>
    <row r="27">
      <c r="A27" s="119"/>
    </row>
    <row r="28">
      <c r="A28" s="119"/>
    </row>
    <row r="29">
      <c r="A29" s="119"/>
    </row>
    <row r="30">
      <c r="A30" s="119"/>
    </row>
    <row r="31">
      <c r="A31" s="119"/>
    </row>
    <row r="32">
      <c r="A32" s="119"/>
    </row>
    <row r="33">
      <c r="A33" s="119"/>
    </row>
    <row r="34">
      <c r="A34" s="119"/>
    </row>
    <row r="35">
      <c r="A35" s="119"/>
    </row>
    <row r="36">
      <c r="A36" s="119"/>
    </row>
    <row r="37">
      <c r="A37" s="119"/>
    </row>
    <row r="38">
      <c r="A38" s="119"/>
    </row>
    <row r="39">
      <c r="A39" s="119"/>
    </row>
    <row r="40">
      <c r="A40" s="119"/>
    </row>
    <row r="41">
      <c r="A41" s="119"/>
    </row>
    <row r="42">
      <c r="A42" s="119"/>
    </row>
    <row r="43">
      <c r="A43" s="119"/>
    </row>
    <row r="44">
      <c r="A44" s="119"/>
    </row>
    <row r="45">
      <c r="A45" s="119"/>
    </row>
    <row r="46">
      <c r="A46" s="119"/>
    </row>
    <row r="47">
      <c r="A47" s="119"/>
    </row>
    <row r="48">
      <c r="A48" s="119"/>
    </row>
    <row r="49">
      <c r="A49" s="119"/>
    </row>
    <row r="50">
      <c r="A50" s="119"/>
    </row>
    <row r="51">
      <c r="A51" s="119"/>
    </row>
    <row r="52">
      <c r="A52" s="119"/>
    </row>
    <row r="53">
      <c r="A53" s="119"/>
    </row>
    <row r="54">
      <c r="A54" s="119"/>
    </row>
    <row r="55">
      <c r="A55" s="119"/>
    </row>
    <row r="56">
      <c r="A56" s="119"/>
    </row>
    <row r="57">
      <c r="A57" s="119"/>
    </row>
    <row r="58">
      <c r="A58" s="119"/>
    </row>
    <row r="59">
      <c r="A59" s="119"/>
    </row>
    <row r="60">
      <c r="A60" s="119"/>
    </row>
    <row r="61">
      <c r="A61" s="119"/>
    </row>
    <row r="62">
      <c r="A62" s="119"/>
    </row>
    <row r="63">
      <c r="A63" s="119"/>
    </row>
    <row r="64">
      <c r="A64" s="119"/>
    </row>
    <row r="65">
      <c r="A65" s="119"/>
    </row>
    <row r="66">
      <c r="A66" s="119"/>
    </row>
    <row r="67">
      <c r="A67" s="119"/>
    </row>
    <row r="68">
      <c r="A68" s="119"/>
    </row>
    <row r="69">
      <c r="A69" s="119"/>
    </row>
    <row r="70">
      <c r="A70" s="119"/>
    </row>
    <row r="71">
      <c r="A71" s="119"/>
    </row>
    <row r="72">
      <c r="A72" s="119"/>
    </row>
    <row r="73">
      <c r="A73" s="119"/>
    </row>
    <row r="74">
      <c r="A74" s="119"/>
    </row>
    <row r="75">
      <c r="A75" s="119"/>
    </row>
    <row r="76">
      <c r="A76" s="119"/>
    </row>
    <row r="77">
      <c r="A77" s="119"/>
    </row>
    <row r="78">
      <c r="A78" s="119"/>
    </row>
    <row r="79">
      <c r="A79" s="119"/>
    </row>
    <row r="80">
      <c r="A80" s="119"/>
    </row>
    <row r="81">
      <c r="A81" s="119"/>
    </row>
    <row r="82">
      <c r="A82" s="119"/>
    </row>
    <row r="83">
      <c r="A83" s="119"/>
    </row>
    <row r="84">
      <c r="A84" s="119"/>
    </row>
    <row r="85">
      <c r="A85" s="119"/>
    </row>
    <row r="86">
      <c r="A86" s="119"/>
    </row>
    <row r="87">
      <c r="A87" s="119"/>
    </row>
    <row r="88">
      <c r="A88" s="119"/>
    </row>
    <row r="89">
      <c r="A89" s="119"/>
    </row>
    <row r="90">
      <c r="A90" s="119"/>
    </row>
    <row r="91">
      <c r="A91" s="119"/>
    </row>
    <row r="92">
      <c r="A92" s="119"/>
    </row>
    <row r="93">
      <c r="A93" s="119"/>
    </row>
    <row r="94">
      <c r="A94" s="119"/>
    </row>
    <row r="95">
      <c r="A95" s="119"/>
    </row>
    <row r="96">
      <c r="A96" s="119"/>
    </row>
    <row r="97">
      <c r="A97" s="119"/>
    </row>
    <row r="98">
      <c r="A98" s="119"/>
    </row>
    <row r="99">
      <c r="A99" s="119"/>
    </row>
    <row r="100">
      <c r="A100" s="119"/>
    </row>
    <row r="101">
      <c r="A101" s="119"/>
    </row>
    <row r="102">
      <c r="A102" s="119"/>
    </row>
    <row r="103">
      <c r="A103" s="119"/>
    </row>
    <row r="104">
      <c r="A104" s="119"/>
    </row>
    <row r="105">
      <c r="A105" s="119"/>
    </row>
    <row r="106">
      <c r="A106" s="119"/>
    </row>
    <row r="107">
      <c r="A107" s="119"/>
    </row>
    <row r="108">
      <c r="A108" s="119"/>
    </row>
    <row r="109">
      <c r="A109" s="119"/>
    </row>
    <row r="110">
      <c r="A110" s="119"/>
    </row>
    <row r="111">
      <c r="A111" s="119"/>
    </row>
    <row r="112">
      <c r="A112" s="119"/>
    </row>
    <row r="113">
      <c r="A113" s="119"/>
    </row>
    <row r="114">
      <c r="A114" s="119"/>
    </row>
    <row r="115">
      <c r="A115" s="119"/>
    </row>
    <row r="116">
      <c r="A116" s="119"/>
    </row>
    <row r="117">
      <c r="A117" s="119"/>
    </row>
    <row r="118">
      <c r="A118" s="119"/>
    </row>
    <row r="119">
      <c r="A119" s="119"/>
    </row>
    <row r="120">
      <c r="A120" s="119"/>
    </row>
    <row r="121">
      <c r="A121" s="119"/>
    </row>
    <row r="122">
      <c r="A122" s="119"/>
    </row>
    <row r="123">
      <c r="A123" s="119"/>
    </row>
    <row r="124">
      <c r="A124" s="119"/>
    </row>
    <row r="125">
      <c r="A125" s="119"/>
    </row>
    <row r="126">
      <c r="A126" s="119"/>
    </row>
    <row r="127">
      <c r="A127" s="119"/>
    </row>
    <row r="128">
      <c r="A128" s="119"/>
    </row>
    <row r="129">
      <c r="A129" s="119"/>
    </row>
    <row r="130">
      <c r="A130" s="119"/>
    </row>
    <row r="131">
      <c r="A131" s="119"/>
    </row>
    <row r="132">
      <c r="A132" s="119"/>
    </row>
    <row r="133">
      <c r="A133" s="119"/>
    </row>
    <row r="134">
      <c r="A134" s="119"/>
    </row>
    <row r="135">
      <c r="A135" s="119"/>
    </row>
    <row r="136">
      <c r="A136" s="119"/>
    </row>
    <row r="137">
      <c r="A137" s="119"/>
    </row>
    <row r="138">
      <c r="A138" s="119"/>
    </row>
    <row r="139">
      <c r="A139" s="119"/>
    </row>
    <row r="140">
      <c r="A140" s="119"/>
    </row>
    <row r="141">
      <c r="A141" s="119"/>
    </row>
    <row r="142">
      <c r="A142" s="119"/>
    </row>
    <row r="143">
      <c r="A143" s="119"/>
    </row>
    <row r="144">
      <c r="A144" s="119"/>
    </row>
    <row r="145">
      <c r="A145" s="119"/>
    </row>
    <row r="146">
      <c r="A146" s="119"/>
    </row>
    <row r="147">
      <c r="A147" s="119"/>
    </row>
    <row r="148">
      <c r="A148" s="119"/>
    </row>
    <row r="149">
      <c r="A149" s="119"/>
    </row>
    <row r="150">
      <c r="A150" s="119"/>
    </row>
    <row r="151">
      <c r="A151" s="119"/>
    </row>
    <row r="152">
      <c r="A152" s="119"/>
    </row>
    <row r="153">
      <c r="A153" s="119"/>
    </row>
    <row r="154">
      <c r="A154" s="119"/>
    </row>
    <row r="155">
      <c r="A155" s="119"/>
    </row>
    <row r="156">
      <c r="A156" s="119"/>
    </row>
    <row r="157">
      <c r="A157" s="119"/>
    </row>
    <row r="158">
      <c r="A158" s="119"/>
    </row>
    <row r="159">
      <c r="A159" s="119"/>
    </row>
    <row r="160">
      <c r="A160" s="119"/>
    </row>
    <row r="161">
      <c r="A161" s="119"/>
    </row>
    <row r="162">
      <c r="A162" s="119"/>
    </row>
    <row r="163">
      <c r="A163" s="119"/>
    </row>
    <row r="164">
      <c r="A164" s="119"/>
    </row>
    <row r="165">
      <c r="A165" s="119"/>
    </row>
    <row r="166">
      <c r="A166" s="119"/>
    </row>
    <row r="167">
      <c r="A167" s="119"/>
    </row>
    <row r="168">
      <c r="A168" s="119"/>
    </row>
    <row r="169">
      <c r="A169" s="119"/>
    </row>
    <row r="170">
      <c r="A170" s="119"/>
    </row>
    <row r="171">
      <c r="A171" s="119"/>
    </row>
    <row r="172">
      <c r="A172" s="119"/>
    </row>
    <row r="173">
      <c r="A173" s="119"/>
    </row>
    <row r="174">
      <c r="A174" s="119"/>
    </row>
    <row r="175">
      <c r="A175" s="119"/>
    </row>
    <row r="176">
      <c r="A176" s="119"/>
    </row>
    <row r="177">
      <c r="A177" s="119"/>
    </row>
    <row r="178">
      <c r="A178" s="119"/>
    </row>
    <row r="179">
      <c r="A179" s="119"/>
    </row>
    <row r="180">
      <c r="A180" s="119"/>
    </row>
    <row r="181">
      <c r="A181" s="119"/>
    </row>
    <row r="182">
      <c r="A182" s="119"/>
    </row>
    <row r="183">
      <c r="A183" s="119"/>
    </row>
    <row r="184">
      <c r="A184" s="119"/>
    </row>
    <row r="185">
      <c r="A185" s="119"/>
    </row>
    <row r="186">
      <c r="A186" s="119"/>
    </row>
    <row r="187">
      <c r="A187" s="119"/>
    </row>
    <row r="188">
      <c r="A188" s="119"/>
    </row>
    <row r="189">
      <c r="A189" s="119"/>
    </row>
    <row r="190">
      <c r="A190" s="119"/>
    </row>
    <row r="191">
      <c r="A191" s="119"/>
    </row>
    <row r="192">
      <c r="A192" s="119"/>
    </row>
    <row r="193">
      <c r="A193" s="119"/>
    </row>
    <row r="194">
      <c r="A194" s="119"/>
    </row>
    <row r="195">
      <c r="A195" s="119"/>
    </row>
    <row r="196">
      <c r="A196" s="119"/>
    </row>
    <row r="197">
      <c r="A197" s="119"/>
    </row>
    <row r="198">
      <c r="A198" s="119"/>
    </row>
    <row r="199">
      <c r="A199" s="119"/>
    </row>
    <row r="200">
      <c r="A200" s="119"/>
    </row>
    <row r="201">
      <c r="A201" s="119"/>
    </row>
    <row r="202">
      <c r="A202" s="119"/>
    </row>
    <row r="203">
      <c r="A203" s="119"/>
    </row>
    <row r="204">
      <c r="A204" s="119"/>
    </row>
    <row r="205">
      <c r="A205" s="119"/>
    </row>
    <row r="206">
      <c r="A206" s="119"/>
    </row>
    <row r="207">
      <c r="A207" s="119"/>
    </row>
    <row r="208">
      <c r="A208" s="119"/>
    </row>
    <row r="209">
      <c r="A209" s="119"/>
    </row>
    <row r="210">
      <c r="A210" s="119"/>
    </row>
    <row r="211">
      <c r="A211" s="119"/>
    </row>
    <row r="212">
      <c r="A212" s="119"/>
    </row>
    <row r="213">
      <c r="A213" s="119"/>
    </row>
    <row r="214">
      <c r="A214" s="119"/>
    </row>
    <row r="215">
      <c r="A215" s="119"/>
    </row>
    <row r="216">
      <c r="A216" s="119"/>
    </row>
    <row r="217">
      <c r="A217" s="119"/>
    </row>
    <row r="218">
      <c r="A218" s="119"/>
    </row>
    <row r="219">
      <c r="A219" s="119"/>
    </row>
    <row r="220">
      <c r="A220" s="119"/>
    </row>
    <row r="221">
      <c r="A221" s="119"/>
    </row>
    <row r="222">
      <c r="A222" s="119"/>
    </row>
    <row r="223">
      <c r="A223" s="119"/>
    </row>
    <row r="224">
      <c r="A224" s="119"/>
    </row>
    <row r="225">
      <c r="A225" s="119"/>
    </row>
    <row r="226">
      <c r="A226" s="119"/>
    </row>
    <row r="227">
      <c r="A227" s="119"/>
    </row>
    <row r="228">
      <c r="A228" s="119"/>
    </row>
    <row r="229">
      <c r="A229" s="119"/>
    </row>
    <row r="230">
      <c r="A230" s="119"/>
    </row>
    <row r="231">
      <c r="A231" s="119"/>
    </row>
    <row r="232">
      <c r="A232" s="119"/>
    </row>
    <row r="233">
      <c r="A233" s="119"/>
    </row>
    <row r="234">
      <c r="A234" s="119"/>
    </row>
    <row r="235">
      <c r="A235" s="119"/>
    </row>
    <row r="236">
      <c r="A236" s="119"/>
    </row>
    <row r="237">
      <c r="A237" s="119"/>
    </row>
    <row r="238">
      <c r="A238" s="119"/>
    </row>
    <row r="239">
      <c r="A239" s="119"/>
    </row>
    <row r="240">
      <c r="A240" s="119"/>
    </row>
    <row r="241">
      <c r="A241" s="119"/>
    </row>
    <row r="242">
      <c r="A242" s="119"/>
    </row>
    <row r="243">
      <c r="A243" s="119"/>
    </row>
    <row r="244">
      <c r="A244" s="119"/>
    </row>
    <row r="245">
      <c r="A245" s="119"/>
    </row>
    <row r="246">
      <c r="A246" s="119"/>
    </row>
    <row r="247">
      <c r="A247" s="119"/>
    </row>
    <row r="248">
      <c r="A248" s="119"/>
    </row>
    <row r="249">
      <c r="A249" s="119"/>
    </row>
    <row r="250">
      <c r="A250" s="119"/>
    </row>
    <row r="251">
      <c r="A251" s="119"/>
    </row>
    <row r="252">
      <c r="A252" s="119"/>
    </row>
    <row r="253">
      <c r="A253" s="119"/>
    </row>
    <row r="254">
      <c r="A254" s="119"/>
    </row>
    <row r="255">
      <c r="A255" s="119"/>
    </row>
    <row r="256">
      <c r="A256" s="119"/>
    </row>
    <row r="257">
      <c r="A257" s="119"/>
    </row>
    <row r="258">
      <c r="A258" s="119"/>
    </row>
    <row r="259">
      <c r="A259" s="119"/>
    </row>
    <row r="260">
      <c r="A260" s="119"/>
    </row>
    <row r="261">
      <c r="A261" s="119"/>
    </row>
    <row r="262">
      <c r="A262" s="119"/>
    </row>
    <row r="263">
      <c r="A263" s="119"/>
    </row>
    <row r="264">
      <c r="A264" s="119"/>
    </row>
    <row r="265">
      <c r="A265" s="119"/>
    </row>
    <row r="266">
      <c r="A266" s="119"/>
    </row>
    <row r="267">
      <c r="A267" s="119"/>
    </row>
    <row r="268">
      <c r="A268" s="119"/>
    </row>
    <row r="269">
      <c r="A269" s="119"/>
    </row>
    <row r="270">
      <c r="A270" s="119"/>
    </row>
    <row r="271">
      <c r="A271" s="119"/>
    </row>
    <row r="272">
      <c r="A272" s="119"/>
    </row>
    <row r="273">
      <c r="A273" s="119"/>
    </row>
    <row r="274">
      <c r="A274" s="119"/>
    </row>
    <row r="275">
      <c r="A275" s="119"/>
    </row>
    <row r="276">
      <c r="A276" s="119"/>
    </row>
    <row r="277">
      <c r="A277" s="119"/>
    </row>
    <row r="278">
      <c r="A278" s="119"/>
    </row>
    <row r="279">
      <c r="A279" s="119"/>
    </row>
    <row r="280">
      <c r="A280" s="119"/>
    </row>
    <row r="281">
      <c r="A281" s="119"/>
    </row>
    <row r="282">
      <c r="A282" s="119"/>
    </row>
    <row r="283">
      <c r="A283" s="119"/>
    </row>
    <row r="284">
      <c r="A284" s="119"/>
    </row>
    <row r="285">
      <c r="A285" s="119"/>
    </row>
    <row r="286">
      <c r="A286" s="119"/>
    </row>
    <row r="287">
      <c r="A287" s="119"/>
    </row>
    <row r="288">
      <c r="A288" s="119"/>
    </row>
    <row r="289">
      <c r="A289" s="119"/>
    </row>
    <row r="290">
      <c r="A290" s="119"/>
    </row>
    <row r="291">
      <c r="A291" s="119"/>
    </row>
    <row r="292">
      <c r="A292" s="119"/>
    </row>
    <row r="293">
      <c r="A293" s="119"/>
    </row>
    <row r="294">
      <c r="A294" s="119"/>
    </row>
    <row r="295">
      <c r="A295" s="119"/>
    </row>
    <row r="296">
      <c r="A296" s="119"/>
    </row>
    <row r="297">
      <c r="A297" s="119"/>
    </row>
    <row r="298">
      <c r="A298" s="119"/>
    </row>
    <row r="299">
      <c r="A299" s="119"/>
    </row>
    <row r="300">
      <c r="A300" s="119"/>
    </row>
    <row r="301">
      <c r="A301" s="119"/>
    </row>
    <row r="302">
      <c r="A302" s="119"/>
    </row>
    <row r="303">
      <c r="A303" s="119"/>
    </row>
    <row r="304">
      <c r="A304" s="119"/>
    </row>
    <row r="305">
      <c r="A305" s="119"/>
    </row>
    <row r="306">
      <c r="A306" s="119"/>
    </row>
    <row r="307">
      <c r="A307" s="119"/>
    </row>
    <row r="308">
      <c r="A308" s="119"/>
    </row>
    <row r="309">
      <c r="A309" s="119"/>
    </row>
    <row r="310">
      <c r="A310" s="119"/>
    </row>
    <row r="311">
      <c r="A311" s="119"/>
    </row>
    <row r="312">
      <c r="A312" s="119"/>
    </row>
    <row r="313">
      <c r="A313" s="119"/>
    </row>
    <row r="314">
      <c r="A314" s="119"/>
    </row>
    <row r="315">
      <c r="A315" s="119"/>
    </row>
    <row r="316">
      <c r="A316" s="119"/>
    </row>
    <row r="317">
      <c r="A317" s="119"/>
    </row>
    <row r="318">
      <c r="A318" s="119"/>
    </row>
    <row r="319">
      <c r="A319" s="119"/>
    </row>
    <row r="320">
      <c r="A320" s="119"/>
    </row>
    <row r="321">
      <c r="A321" s="119"/>
    </row>
    <row r="322">
      <c r="A322" s="119"/>
    </row>
    <row r="323">
      <c r="A323" s="119"/>
    </row>
    <row r="324">
      <c r="A324" s="119"/>
    </row>
    <row r="325">
      <c r="A325" s="119"/>
    </row>
    <row r="326">
      <c r="A326" s="119"/>
    </row>
    <row r="327">
      <c r="A327" s="119"/>
    </row>
    <row r="328">
      <c r="A328" s="119"/>
    </row>
    <row r="329">
      <c r="A329" s="119"/>
    </row>
    <row r="330">
      <c r="A330" s="119"/>
    </row>
    <row r="331">
      <c r="A331" s="119"/>
    </row>
    <row r="332">
      <c r="A332" s="119"/>
    </row>
    <row r="333">
      <c r="A333" s="119"/>
    </row>
    <row r="334">
      <c r="A334" s="119"/>
    </row>
    <row r="335">
      <c r="A335" s="119"/>
    </row>
    <row r="336">
      <c r="A336" s="119"/>
    </row>
    <row r="337">
      <c r="A337" s="119"/>
    </row>
    <row r="338">
      <c r="A338" s="119"/>
    </row>
    <row r="339">
      <c r="A339" s="119"/>
    </row>
    <row r="340">
      <c r="A340" s="119"/>
    </row>
    <row r="341">
      <c r="A341" s="119"/>
    </row>
    <row r="342">
      <c r="A342" s="119"/>
    </row>
    <row r="343">
      <c r="A343" s="119"/>
    </row>
    <row r="344">
      <c r="A344" s="119"/>
    </row>
    <row r="345">
      <c r="A345" s="119"/>
    </row>
    <row r="346">
      <c r="A346" s="119"/>
    </row>
    <row r="347">
      <c r="A347" s="119"/>
    </row>
    <row r="348">
      <c r="A348" s="119"/>
    </row>
    <row r="349">
      <c r="A349" s="119"/>
    </row>
    <row r="350">
      <c r="A350" s="119"/>
    </row>
    <row r="351">
      <c r="A351" s="119"/>
    </row>
    <row r="352">
      <c r="A352" s="119"/>
    </row>
    <row r="353">
      <c r="A353" s="119"/>
    </row>
    <row r="354">
      <c r="A354" s="119"/>
    </row>
    <row r="355">
      <c r="A355" s="119"/>
    </row>
    <row r="356">
      <c r="A356" s="119"/>
    </row>
    <row r="357">
      <c r="A357" s="119"/>
    </row>
    <row r="358">
      <c r="A358" s="119"/>
    </row>
    <row r="359">
      <c r="A359" s="119"/>
    </row>
    <row r="360">
      <c r="A360" s="119"/>
    </row>
    <row r="361">
      <c r="A361" s="119"/>
    </row>
    <row r="362">
      <c r="A362" s="119"/>
    </row>
    <row r="363">
      <c r="A363" s="119"/>
    </row>
    <row r="364">
      <c r="A364" s="119"/>
    </row>
    <row r="365">
      <c r="A365" s="119"/>
    </row>
    <row r="366">
      <c r="A366" s="119"/>
    </row>
    <row r="367">
      <c r="A367" s="119"/>
    </row>
    <row r="368">
      <c r="A368" s="119"/>
    </row>
    <row r="369">
      <c r="A369" s="119"/>
    </row>
    <row r="370">
      <c r="A370" s="119"/>
    </row>
    <row r="371">
      <c r="A371" s="119"/>
    </row>
    <row r="372">
      <c r="A372" s="119"/>
    </row>
    <row r="373">
      <c r="A373" s="119"/>
    </row>
    <row r="374">
      <c r="A374" s="119"/>
    </row>
    <row r="375">
      <c r="A375" s="119"/>
    </row>
    <row r="376">
      <c r="A376" s="119"/>
    </row>
    <row r="377">
      <c r="A377" s="119"/>
    </row>
    <row r="378">
      <c r="A378" s="119"/>
    </row>
    <row r="379">
      <c r="A379" s="119"/>
    </row>
    <row r="380">
      <c r="A380" s="119"/>
    </row>
    <row r="381">
      <c r="A381" s="119"/>
    </row>
    <row r="382">
      <c r="A382" s="119"/>
    </row>
    <row r="383">
      <c r="A383" s="119"/>
    </row>
    <row r="384">
      <c r="A384" s="119"/>
    </row>
    <row r="385">
      <c r="A385" s="119"/>
    </row>
    <row r="386">
      <c r="A386" s="119"/>
    </row>
    <row r="387">
      <c r="A387" s="119"/>
    </row>
    <row r="388">
      <c r="A388" s="119"/>
    </row>
    <row r="389">
      <c r="A389" s="119"/>
    </row>
    <row r="390">
      <c r="A390" s="119"/>
    </row>
    <row r="391">
      <c r="A391" s="119"/>
    </row>
    <row r="392">
      <c r="A392" s="119"/>
    </row>
    <row r="393">
      <c r="A393" s="119"/>
    </row>
    <row r="394">
      <c r="A394" s="119"/>
    </row>
    <row r="395">
      <c r="A395" s="119"/>
    </row>
    <row r="396">
      <c r="A396" s="119"/>
    </row>
    <row r="397">
      <c r="A397" s="119"/>
    </row>
    <row r="398">
      <c r="A398" s="119"/>
    </row>
    <row r="399">
      <c r="A399" s="119"/>
    </row>
    <row r="400">
      <c r="A400" s="119"/>
    </row>
    <row r="401">
      <c r="A401" s="119"/>
    </row>
    <row r="402">
      <c r="A402" s="119"/>
    </row>
    <row r="403">
      <c r="A403" s="119"/>
    </row>
    <row r="404">
      <c r="A404" s="119"/>
    </row>
    <row r="405">
      <c r="A405" s="119"/>
    </row>
    <row r="406">
      <c r="A406" s="119"/>
    </row>
    <row r="407">
      <c r="A407" s="119"/>
    </row>
    <row r="408">
      <c r="A408" s="119"/>
    </row>
    <row r="409">
      <c r="A409" s="119"/>
    </row>
    <row r="410">
      <c r="A410" s="119"/>
    </row>
    <row r="411">
      <c r="A411" s="119"/>
    </row>
    <row r="412">
      <c r="A412" s="119"/>
    </row>
    <row r="413">
      <c r="A413" s="119"/>
    </row>
    <row r="414">
      <c r="A414" s="119"/>
    </row>
    <row r="415">
      <c r="A415" s="119"/>
    </row>
    <row r="416">
      <c r="A416" s="119"/>
    </row>
    <row r="417">
      <c r="A417" s="119"/>
    </row>
    <row r="418">
      <c r="A418" s="119"/>
    </row>
    <row r="419">
      <c r="A419" s="119"/>
    </row>
    <row r="420">
      <c r="A420" s="119"/>
    </row>
    <row r="421">
      <c r="A421" s="119"/>
    </row>
    <row r="422">
      <c r="A422" s="119"/>
    </row>
    <row r="423">
      <c r="A423" s="119"/>
    </row>
    <row r="424">
      <c r="A424" s="119"/>
    </row>
    <row r="425">
      <c r="A425" s="119"/>
    </row>
    <row r="426">
      <c r="A426" s="119"/>
    </row>
    <row r="427">
      <c r="A427" s="119"/>
    </row>
    <row r="428">
      <c r="A428" s="119"/>
    </row>
    <row r="429">
      <c r="A429" s="119"/>
    </row>
    <row r="430">
      <c r="A430" s="119"/>
    </row>
    <row r="431">
      <c r="A431" s="119"/>
    </row>
    <row r="432">
      <c r="A432" s="119"/>
    </row>
    <row r="433">
      <c r="A433" s="119"/>
    </row>
    <row r="434">
      <c r="A434" s="119"/>
    </row>
    <row r="435">
      <c r="A435" s="119"/>
    </row>
    <row r="436">
      <c r="A436" s="119"/>
    </row>
    <row r="437">
      <c r="A437" s="119"/>
    </row>
    <row r="438">
      <c r="A438" s="119"/>
    </row>
    <row r="439">
      <c r="A439" s="119"/>
    </row>
    <row r="440">
      <c r="A440" s="119"/>
    </row>
    <row r="441">
      <c r="A441" s="119"/>
    </row>
    <row r="442">
      <c r="A442" s="119"/>
    </row>
    <row r="443">
      <c r="A443" s="119"/>
    </row>
    <row r="444">
      <c r="A444" s="119"/>
    </row>
    <row r="445">
      <c r="A445" s="119"/>
    </row>
    <row r="446">
      <c r="A446" s="119"/>
    </row>
    <row r="447">
      <c r="A447" s="119"/>
    </row>
    <row r="448">
      <c r="A448" s="119"/>
    </row>
    <row r="449">
      <c r="A449" s="119"/>
    </row>
    <row r="450">
      <c r="A450" s="119"/>
    </row>
    <row r="451">
      <c r="A451" s="119"/>
    </row>
    <row r="452">
      <c r="A452" s="119"/>
    </row>
    <row r="453">
      <c r="A453" s="119"/>
    </row>
    <row r="454">
      <c r="A454" s="119"/>
    </row>
    <row r="455">
      <c r="A455" s="119"/>
    </row>
    <row r="456">
      <c r="A456" s="119"/>
    </row>
    <row r="457">
      <c r="A457" s="119"/>
    </row>
    <row r="458">
      <c r="A458" s="119"/>
    </row>
    <row r="459">
      <c r="A459" s="119"/>
    </row>
    <row r="460">
      <c r="A460" s="119"/>
    </row>
    <row r="461">
      <c r="A461" s="119"/>
    </row>
    <row r="462">
      <c r="A462" s="119"/>
    </row>
    <row r="463">
      <c r="A463" s="119"/>
    </row>
    <row r="464">
      <c r="A464" s="119"/>
    </row>
    <row r="465">
      <c r="A465" s="119"/>
    </row>
    <row r="466">
      <c r="A466" s="119"/>
    </row>
    <row r="467">
      <c r="A467" s="119"/>
    </row>
    <row r="468">
      <c r="A468" s="119"/>
    </row>
    <row r="469">
      <c r="A469" s="119"/>
    </row>
    <row r="470">
      <c r="A470" s="119"/>
    </row>
    <row r="471">
      <c r="A471" s="119"/>
    </row>
    <row r="472">
      <c r="A472" s="119"/>
    </row>
    <row r="473">
      <c r="A473" s="119"/>
    </row>
    <row r="474">
      <c r="A474" s="119"/>
    </row>
    <row r="475">
      <c r="A475" s="119"/>
    </row>
    <row r="476">
      <c r="A476" s="119"/>
    </row>
    <row r="477">
      <c r="A477" s="119"/>
    </row>
    <row r="478">
      <c r="A478" s="119"/>
    </row>
    <row r="479">
      <c r="A479" s="119"/>
    </row>
    <row r="480">
      <c r="A480" s="119"/>
    </row>
    <row r="481">
      <c r="A481" s="119"/>
    </row>
    <row r="482">
      <c r="A482" s="119"/>
    </row>
    <row r="483">
      <c r="A483" s="119"/>
    </row>
    <row r="484">
      <c r="A484" s="119"/>
    </row>
    <row r="485">
      <c r="A485" s="119"/>
    </row>
    <row r="486">
      <c r="A486" s="119"/>
    </row>
    <row r="487">
      <c r="A487" s="119"/>
    </row>
    <row r="488">
      <c r="A488" s="119"/>
    </row>
    <row r="489">
      <c r="A489" s="119"/>
    </row>
    <row r="490">
      <c r="A490" s="119"/>
    </row>
    <row r="491">
      <c r="A491" s="119"/>
    </row>
    <row r="492">
      <c r="A492" s="119"/>
    </row>
    <row r="493">
      <c r="A493" s="119"/>
    </row>
    <row r="494">
      <c r="A494" s="119"/>
    </row>
    <row r="495">
      <c r="A495" s="119"/>
    </row>
    <row r="496">
      <c r="A496" s="119"/>
    </row>
    <row r="497">
      <c r="A497" s="119"/>
    </row>
    <row r="498">
      <c r="A498" s="119"/>
    </row>
    <row r="499">
      <c r="A499" s="119"/>
    </row>
    <row r="500">
      <c r="A500" s="119"/>
    </row>
    <row r="501">
      <c r="A501" s="119"/>
    </row>
    <row r="502">
      <c r="A502" s="119"/>
    </row>
    <row r="503">
      <c r="A503" s="119"/>
    </row>
    <row r="504">
      <c r="A504" s="119"/>
    </row>
    <row r="505">
      <c r="A505" s="119"/>
    </row>
    <row r="506">
      <c r="A506" s="119"/>
    </row>
    <row r="507">
      <c r="A507" s="119"/>
    </row>
    <row r="508">
      <c r="A508" s="119"/>
    </row>
    <row r="509">
      <c r="A509" s="119"/>
    </row>
    <row r="510">
      <c r="A510" s="119"/>
    </row>
    <row r="511">
      <c r="A511" s="119"/>
    </row>
    <row r="512">
      <c r="A512" s="119"/>
    </row>
    <row r="513">
      <c r="A513" s="119"/>
    </row>
    <row r="514">
      <c r="A514" s="119"/>
    </row>
    <row r="515">
      <c r="A515" s="119"/>
    </row>
    <row r="516">
      <c r="A516" s="119"/>
    </row>
    <row r="517">
      <c r="A517" s="119"/>
    </row>
    <row r="518">
      <c r="A518" s="119"/>
    </row>
    <row r="519">
      <c r="A519" s="119"/>
    </row>
    <row r="520">
      <c r="A520" s="119"/>
    </row>
    <row r="521">
      <c r="A521" s="119"/>
    </row>
    <row r="522">
      <c r="A522" s="119"/>
    </row>
    <row r="523">
      <c r="A523" s="119"/>
    </row>
    <row r="524">
      <c r="A524" s="119"/>
    </row>
    <row r="525">
      <c r="A525" s="119"/>
    </row>
    <row r="526">
      <c r="A526" s="119"/>
    </row>
    <row r="527">
      <c r="A527" s="119"/>
    </row>
    <row r="528">
      <c r="A528" s="119"/>
    </row>
    <row r="529">
      <c r="A529" s="119"/>
    </row>
    <row r="530">
      <c r="A530" s="119"/>
    </row>
    <row r="531">
      <c r="A531" s="119"/>
    </row>
    <row r="532">
      <c r="A532" s="119"/>
    </row>
    <row r="533">
      <c r="A533" s="119"/>
    </row>
    <row r="534">
      <c r="A534" s="119"/>
    </row>
    <row r="535">
      <c r="A535" s="119"/>
    </row>
    <row r="536">
      <c r="A536" s="119"/>
    </row>
    <row r="537">
      <c r="A537" s="119"/>
    </row>
    <row r="538">
      <c r="A538" s="119"/>
    </row>
    <row r="539">
      <c r="A539" s="119"/>
    </row>
    <row r="540">
      <c r="A540" s="119"/>
    </row>
    <row r="541">
      <c r="A541" s="119"/>
    </row>
    <row r="542">
      <c r="A542" s="119"/>
    </row>
    <row r="543">
      <c r="A543" s="119"/>
    </row>
    <row r="544">
      <c r="A544" s="119"/>
    </row>
    <row r="545">
      <c r="A545" s="119"/>
    </row>
    <row r="546">
      <c r="A546" s="119"/>
    </row>
    <row r="547">
      <c r="A547" s="119"/>
    </row>
    <row r="548">
      <c r="A548" s="119"/>
    </row>
    <row r="549">
      <c r="A549" s="119"/>
    </row>
    <row r="550">
      <c r="A550" s="119"/>
    </row>
    <row r="551">
      <c r="A551" s="119"/>
    </row>
    <row r="552">
      <c r="A552" s="119"/>
    </row>
    <row r="553">
      <c r="A553" s="119"/>
    </row>
    <row r="554">
      <c r="A554" s="119"/>
    </row>
    <row r="555">
      <c r="A555" s="119"/>
    </row>
    <row r="556">
      <c r="A556" s="119"/>
    </row>
    <row r="557">
      <c r="A557" s="119"/>
    </row>
    <row r="558">
      <c r="A558" s="119"/>
    </row>
    <row r="559">
      <c r="A559" s="119"/>
    </row>
    <row r="560">
      <c r="A560" s="119"/>
    </row>
    <row r="561">
      <c r="A561" s="119"/>
    </row>
    <row r="562">
      <c r="A562" s="119"/>
    </row>
    <row r="563">
      <c r="A563" s="119"/>
    </row>
    <row r="564">
      <c r="A564" s="119"/>
    </row>
    <row r="565">
      <c r="A565" s="119"/>
    </row>
    <row r="566">
      <c r="A566" s="119"/>
    </row>
    <row r="567">
      <c r="A567" s="119"/>
    </row>
    <row r="568">
      <c r="A568" s="119"/>
    </row>
    <row r="569">
      <c r="A569" s="119"/>
    </row>
    <row r="570">
      <c r="A570" s="119"/>
    </row>
    <row r="571">
      <c r="A571" s="119"/>
    </row>
    <row r="572">
      <c r="A572" s="119"/>
    </row>
    <row r="573">
      <c r="A573" s="119"/>
    </row>
    <row r="574">
      <c r="A574" s="119"/>
    </row>
    <row r="575">
      <c r="A575" s="119"/>
    </row>
    <row r="576">
      <c r="A576" s="119"/>
    </row>
    <row r="577">
      <c r="A577" s="119"/>
    </row>
    <row r="578">
      <c r="A578" s="119"/>
    </row>
    <row r="579">
      <c r="A579" s="119"/>
    </row>
    <row r="580">
      <c r="A580" s="119"/>
    </row>
    <row r="581">
      <c r="A581" s="119"/>
    </row>
    <row r="582">
      <c r="A582" s="119"/>
    </row>
    <row r="583">
      <c r="A583" s="119"/>
    </row>
    <row r="584">
      <c r="A584" s="119"/>
    </row>
    <row r="585">
      <c r="A585" s="119"/>
    </row>
    <row r="586">
      <c r="A586" s="119"/>
    </row>
    <row r="587">
      <c r="A587" s="119"/>
    </row>
    <row r="588">
      <c r="A588" s="119"/>
    </row>
    <row r="589">
      <c r="A589" s="119"/>
    </row>
    <row r="590">
      <c r="A590" s="119"/>
    </row>
    <row r="591">
      <c r="A591" s="119"/>
    </row>
    <row r="592">
      <c r="A592" s="119"/>
    </row>
    <row r="593">
      <c r="A593" s="119"/>
    </row>
    <row r="594">
      <c r="A594" s="119"/>
    </row>
    <row r="595">
      <c r="A595" s="119"/>
    </row>
    <row r="596">
      <c r="A596" s="119"/>
    </row>
    <row r="597">
      <c r="A597" s="119"/>
    </row>
    <row r="598">
      <c r="A598" s="119"/>
    </row>
    <row r="599">
      <c r="A599" s="119"/>
    </row>
    <row r="600">
      <c r="A600" s="119"/>
    </row>
    <row r="601">
      <c r="A601" s="119"/>
    </row>
    <row r="602">
      <c r="A602" s="119"/>
    </row>
    <row r="603">
      <c r="A603" s="119"/>
    </row>
    <row r="604">
      <c r="A604" s="119"/>
    </row>
    <row r="605">
      <c r="A605" s="119"/>
    </row>
    <row r="606">
      <c r="A606" s="119"/>
    </row>
    <row r="607">
      <c r="A607" s="119"/>
    </row>
    <row r="608">
      <c r="A608" s="119"/>
    </row>
    <row r="609">
      <c r="A609" s="119"/>
    </row>
    <row r="610">
      <c r="A610" s="119"/>
    </row>
    <row r="611">
      <c r="A611" s="119"/>
    </row>
    <row r="612">
      <c r="A612" s="119"/>
    </row>
    <row r="613">
      <c r="A613" s="119"/>
    </row>
    <row r="614">
      <c r="A614" s="119"/>
    </row>
    <row r="615">
      <c r="A615" s="119"/>
    </row>
    <row r="616">
      <c r="A616" s="119"/>
    </row>
    <row r="617">
      <c r="A617" s="119"/>
    </row>
    <row r="618">
      <c r="A618" s="119"/>
    </row>
    <row r="619">
      <c r="A619" s="119"/>
    </row>
    <row r="620">
      <c r="A620" s="119"/>
    </row>
    <row r="621">
      <c r="A621" s="119"/>
    </row>
    <row r="622">
      <c r="A622" s="119"/>
    </row>
    <row r="623">
      <c r="A623" s="119"/>
    </row>
    <row r="624">
      <c r="A624" s="119"/>
    </row>
    <row r="625">
      <c r="A625" s="119"/>
    </row>
    <row r="626">
      <c r="A626" s="119"/>
    </row>
    <row r="627">
      <c r="A627" s="119"/>
    </row>
    <row r="628">
      <c r="A628" s="119"/>
    </row>
    <row r="629">
      <c r="A629" s="119"/>
    </row>
    <row r="630">
      <c r="A630" s="119"/>
    </row>
    <row r="631">
      <c r="A631" s="119"/>
    </row>
    <row r="632">
      <c r="A632" s="119"/>
    </row>
    <row r="633">
      <c r="A633" s="119"/>
    </row>
    <row r="634">
      <c r="A634" s="119"/>
    </row>
    <row r="635">
      <c r="A635" s="119"/>
    </row>
    <row r="636">
      <c r="A636" s="119"/>
    </row>
    <row r="637">
      <c r="A637" s="119"/>
    </row>
    <row r="638">
      <c r="A638" s="119"/>
    </row>
    <row r="639">
      <c r="A639" s="119"/>
    </row>
    <row r="640">
      <c r="A640" s="119"/>
    </row>
    <row r="641">
      <c r="A641" s="119"/>
    </row>
    <row r="642">
      <c r="A642" s="119"/>
    </row>
    <row r="643">
      <c r="A643" s="119"/>
    </row>
    <row r="644">
      <c r="A644" s="119"/>
    </row>
    <row r="645">
      <c r="A645" s="119"/>
    </row>
    <row r="646">
      <c r="A646" s="119"/>
    </row>
    <row r="647">
      <c r="A647" s="119"/>
    </row>
    <row r="648">
      <c r="A648" s="119"/>
    </row>
    <row r="649">
      <c r="A649" s="119"/>
    </row>
    <row r="650">
      <c r="A650" s="119"/>
    </row>
    <row r="651">
      <c r="A651" s="119"/>
    </row>
    <row r="652">
      <c r="A652" s="119"/>
    </row>
    <row r="653">
      <c r="A653" s="119"/>
    </row>
    <row r="654">
      <c r="A654" s="119"/>
    </row>
    <row r="655">
      <c r="A655" s="119"/>
    </row>
    <row r="656">
      <c r="A656" s="119"/>
    </row>
    <row r="657">
      <c r="A657" s="119"/>
    </row>
    <row r="658">
      <c r="A658" s="119"/>
    </row>
    <row r="659">
      <c r="A659" s="119"/>
    </row>
    <row r="660">
      <c r="A660" s="119"/>
    </row>
    <row r="661">
      <c r="A661" s="119"/>
    </row>
    <row r="662">
      <c r="A662" s="119"/>
    </row>
    <row r="663">
      <c r="A663" s="119"/>
    </row>
    <row r="664">
      <c r="A664" s="119"/>
    </row>
    <row r="665">
      <c r="A665" s="119"/>
    </row>
    <row r="666">
      <c r="A666" s="119"/>
    </row>
    <row r="667">
      <c r="A667" s="119"/>
    </row>
    <row r="668">
      <c r="A668" s="119"/>
    </row>
    <row r="669">
      <c r="A669" s="119"/>
    </row>
    <row r="670">
      <c r="A670" s="119"/>
    </row>
    <row r="671">
      <c r="A671" s="119"/>
    </row>
    <row r="672">
      <c r="A672" s="119"/>
    </row>
    <row r="673">
      <c r="A673" s="119"/>
    </row>
    <row r="674">
      <c r="A674" s="119"/>
    </row>
    <row r="675">
      <c r="A675" s="119"/>
    </row>
    <row r="676">
      <c r="A676" s="119"/>
    </row>
    <row r="677">
      <c r="A677" s="119"/>
    </row>
    <row r="678">
      <c r="A678" s="119"/>
    </row>
    <row r="679">
      <c r="A679" s="119"/>
    </row>
    <row r="680">
      <c r="A680" s="119"/>
    </row>
    <row r="681">
      <c r="A681" s="119"/>
    </row>
    <row r="682">
      <c r="A682" s="119"/>
    </row>
    <row r="683">
      <c r="A683" s="119"/>
    </row>
    <row r="684">
      <c r="A684" s="119"/>
    </row>
    <row r="685">
      <c r="A685" s="119"/>
    </row>
    <row r="686">
      <c r="A686" s="119"/>
    </row>
    <row r="687">
      <c r="A687" s="119"/>
    </row>
    <row r="688">
      <c r="A688" s="119"/>
    </row>
    <row r="689">
      <c r="A689" s="119"/>
    </row>
    <row r="690">
      <c r="A690" s="119"/>
    </row>
    <row r="691">
      <c r="A691" s="119"/>
    </row>
    <row r="692">
      <c r="A692" s="119"/>
    </row>
    <row r="693">
      <c r="A693" s="119"/>
    </row>
    <row r="694">
      <c r="A694" s="119"/>
    </row>
    <row r="695">
      <c r="A695" s="119"/>
    </row>
    <row r="696">
      <c r="A696" s="119"/>
    </row>
    <row r="697">
      <c r="A697" s="119"/>
    </row>
    <row r="698">
      <c r="A698" s="119"/>
    </row>
    <row r="699">
      <c r="A699" s="119"/>
    </row>
    <row r="700">
      <c r="A700" s="119"/>
    </row>
    <row r="701">
      <c r="A701" s="119"/>
    </row>
    <row r="702">
      <c r="A702" s="119"/>
    </row>
    <row r="703">
      <c r="A703" s="119"/>
    </row>
    <row r="704">
      <c r="A704" s="119"/>
    </row>
    <row r="705">
      <c r="A705" s="119"/>
    </row>
    <row r="706">
      <c r="A706" s="119"/>
    </row>
    <row r="707">
      <c r="A707" s="119"/>
    </row>
    <row r="708">
      <c r="A708" s="119"/>
    </row>
    <row r="709">
      <c r="A709" s="119"/>
    </row>
    <row r="710">
      <c r="A710" s="119"/>
    </row>
    <row r="711">
      <c r="A711" s="119"/>
    </row>
    <row r="712">
      <c r="A712" s="119"/>
    </row>
    <row r="713">
      <c r="A713" s="119"/>
    </row>
    <row r="714">
      <c r="A714" s="119"/>
    </row>
    <row r="715">
      <c r="A715" s="119"/>
    </row>
    <row r="716">
      <c r="A716" s="119"/>
    </row>
    <row r="717">
      <c r="A717" s="119"/>
    </row>
    <row r="718">
      <c r="A718" s="119"/>
    </row>
    <row r="719">
      <c r="A719" s="119"/>
    </row>
    <row r="720">
      <c r="A720" s="119"/>
    </row>
    <row r="721">
      <c r="A721" s="119"/>
    </row>
    <row r="722">
      <c r="A722" s="119"/>
    </row>
    <row r="723">
      <c r="A723" s="119"/>
    </row>
    <row r="724">
      <c r="A724" s="119"/>
    </row>
    <row r="725">
      <c r="A725" s="119"/>
    </row>
    <row r="726">
      <c r="A726" s="119"/>
    </row>
    <row r="727">
      <c r="A727" s="119"/>
    </row>
    <row r="728">
      <c r="A728" s="119"/>
    </row>
    <row r="729">
      <c r="A729" s="119"/>
    </row>
    <row r="730">
      <c r="A730" s="119"/>
    </row>
    <row r="731">
      <c r="A731" s="119"/>
    </row>
    <row r="732">
      <c r="A732" s="119"/>
    </row>
    <row r="733">
      <c r="A733" s="119"/>
    </row>
    <row r="734">
      <c r="A734" s="119"/>
    </row>
    <row r="735">
      <c r="A735" s="119"/>
    </row>
    <row r="736">
      <c r="A736" s="119"/>
    </row>
    <row r="737">
      <c r="A737" s="119"/>
    </row>
    <row r="738">
      <c r="A738" s="119"/>
    </row>
    <row r="739">
      <c r="A739" s="119"/>
    </row>
    <row r="740">
      <c r="A740" s="119"/>
    </row>
    <row r="741">
      <c r="A741" s="119"/>
    </row>
    <row r="742">
      <c r="A742" s="119"/>
    </row>
    <row r="743">
      <c r="A743" s="119"/>
    </row>
    <row r="744">
      <c r="A744" s="119"/>
    </row>
    <row r="745">
      <c r="A745" s="119"/>
    </row>
    <row r="746">
      <c r="A746" s="119"/>
    </row>
    <row r="747">
      <c r="A747" s="119"/>
    </row>
    <row r="748">
      <c r="A748" s="119"/>
    </row>
    <row r="749">
      <c r="A749" s="119"/>
    </row>
    <row r="750">
      <c r="A750" s="119"/>
    </row>
    <row r="751">
      <c r="A751" s="119"/>
    </row>
    <row r="752">
      <c r="A752" s="119"/>
    </row>
    <row r="753">
      <c r="A753" s="119"/>
    </row>
    <row r="754">
      <c r="A754" s="119"/>
    </row>
    <row r="755">
      <c r="A755" s="119"/>
    </row>
    <row r="756">
      <c r="A756" s="119"/>
    </row>
    <row r="757">
      <c r="A757" s="119"/>
    </row>
    <row r="758">
      <c r="A758" s="119"/>
    </row>
    <row r="759">
      <c r="A759" s="119"/>
    </row>
    <row r="760">
      <c r="A760" s="119"/>
    </row>
    <row r="761">
      <c r="A761" s="119"/>
    </row>
    <row r="762">
      <c r="A762" s="119"/>
    </row>
    <row r="763">
      <c r="A763" s="119"/>
    </row>
    <row r="764">
      <c r="A764" s="119"/>
    </row>
    <row r="765">
      <c r="A765" s="119"/>
    </row>
    <row r="766">
      <c r="A766" s="119"/>
    </row>
    <row r="767">
      <c r="A767" s="119"/>
    </row>
    <row r="768">
      <c r="A768" s="119"/>
    </row>
    <row r="769">
      <c r="A769" s="119"/>
    </row>
    <row r="770">
      <c r="A770" s="119"/>
    </row>
    <row r="771">
      <c r="A771" s="119"/>
    </row>
    <row r="772">
      <c r="A772" s="119"/>
    </row>
    <row r="773">
      <c r="A773" s="119"/>
    </row>
    <row r="774">
      <c r="A774" s="119"/>
    </row>
    <row r="775">
      <c r="A775" s="119"/>
    </row>
    <row r="776">
      <c r="A776" s="119"/>
    </row>
    <row r="777">
      <c r="A777" s="119"/>
    </row>
    <row r="778">
      <c r="A778" s="119"/>
    </row>
    <row r="779">
      <c r="A779" s="119"/>
    </row>
    <row r="780">
      <c r="A780" s="119"/>
    </row>
    <row r="781">
      <c r="A781" s="119"/>
    </row>
    <row r="782">
      <c r="A782" s="119"/>
    </row>
    <row r="783">
      <c r="A783" s="119"/>
    </row>
    <row r="784">
      <c r="A784" s="119"/>
    </row>
    <row r="785">
      <c r="A785" s="119"/>
    </row>
    <row r="786">
      <c r="A786" s="119"/>
    </row>
    <row r="787">
      <c r="A787" s="119"/>
    </row>
    <row r="788">
      <c r="A788" s="119"/>
    </row>
    <row r="789">
      <c r="A789" s="119"/>
    </row>
    <row r="790">
      <c r="A790" s="119"/>
    </row>
    <row r="791">
      <c r="A791" s="119"/>
    </row>
    <row r="792">
      <c r="A792" s="119"/>
    </row>
    <row r="793">
      <c r="A793" s="119"/>
    </row>
    <row r="794">
      <c r="A794" s="119"/>
    </row>
    <row r="795">
      <c r="A795" s="119"/>
    </row>
    <row r="796">
      <c r="A796" s="119"/>
    </row>
    <row r="797">
      <c r="A797" s="119"/>
    </row>
    <row r="798">
      <c r="A798" s="119"/>
    </row>
    <row r="799">
      <c r="A799" s="119"/>
    </row>
    <row r="800">
      <c r="A800" s="119"/>
    </row>
    <row r="801">
      <c r="A801" s="119"/>
    </row>
    <row r="802">
      <c r="A802" s="119"/>
    </row>
    <row r="803">
      <c r="A803" s="119"/>
    </row>
    <row r="804">
      <c r="A804" s="119"/>
    </row>
    <row r="805">
      <c r="A805" s="119"/>
    </row>
    <row r="806">
      <c r="A806" s="119"/>
    </row>
    <row r="807">
      <c r="A807" s="119"/>
    </row>
    <row r="808">
      <c r="A808" s="119"/>
    </row>
    <row r="809">
      <c r="A809" s="119"/>
    </row>
    <row r="810">
      <c r="A810" s="119"/>
    </row>
    <row r="811">
      <c r="A811" s="119"/>
    </row>
    <row r="812">
      <c r="A812" s="119"/>
    </row>
    <row r="813">
      <c r="A813" s="119"/>
    </row>
    <row r="814">
      <c r="A814" s="119"/>
    </row>
    <row r="815">
      <c r="A815" s="119"/>
    </row>
    <row r="816">
      <c r="A816" s="119"/>
    </row>
    <row r="817">
      <c r="A817" s="119"/>
    </row>
    <row r="818">
      <c r="A818" s="119"/>
    </row>
    <row r="819">
      <c r="A819" s="119"/>
    </row>
    <row r="820">
      <c r="A820" s="119"/>
    </row>
    <row r="821">
      <c r="A821" s="119"/>
    </row>
    <row r="822">
      <c r="A822" s="119"/>
    </row>
    <row r="823">
      <c r="A823" s="119"/>
    </row>
    <row r="824">
      <c r="A824" s="119"/>
    </row>
    <row r="825">
      <c r="A825" s="119"/>
    </row>
    <row r="826">
      <c r="A826" s="119"/>
    </row>
    <row r="827">
      <c r="A827" s="119"/>
    </row>
    <row r="828">
      <c r="A828" s="119"/>
    </row>
    <row r="829">
      <c r="A829" s="119"/>
    </row>
    <row r="830">
      <c r="A830" s="119"/>
    </row>
    <row r="831">
      <c r="A831" s="119"/>
    </row>
    <row r="832">
      <c r="A832" s="119"/>
    </row>
    <row r="833">
      <c r="A833" s="119"/>
    </row>
    <row r="834">
      <c r="A834" s="119"/>
    </row>
    <row r="835">
      <c r="A835" s="119"/>
    </row>
    <row r="836">
      <c r="A836" s="119"/>
    </row>
    <row r="837">
      <c r="A837" s="119"/>
    </row>
    <row r="838">
      <c r="A838" s="119"/>
    </row>
    <row r="839">
      <c r="A839" s="119"/>
    </row>
    <row r="840">
      <c r="A840" s="119"/>
    </row>
    <row r="841">
      <c r="A841" s="119"/>
    </row>
    <row r="842">
      <c r="A842" s="119"/>
    </row>
    <row r="843">
      <c r="A843" s="119"/>
    </row>
    <row r="844">
      <c r="A844" s="119"/>
    </row>
    <row r="845">
      <c r="A845" s="119"/>
    </row>
    <row r="846">
      <c r="A846" s="119"/>
    </row>
    <row r="847">
      <c r="A847" s="119"/>
    </row>
    <row r="848">
      <c r="A848" s="119"/>
    </row>
    <row r="849">
      <c r="A849" s="119"/>
    </row>
    <row r="850">
      <c r="A850" s="119"/>
    </row>
    <row r="851">
      <c r="A851" s="119"/>
    </row>
    <row r="852">
      <c r="A852" s="119"/>
    </row>
    <row r="853">
      <c r="A853" s="119"/>
    </row>
    <row r="854">
      <c r="A854" s="119"/>
    </row>
    <row r="855">
      <c r="A855" s="119"/>
    </row>
    <row r="856">
      <c r="A856" s="119"/>
    </row>
    <row r="857">
      <c r="A857" s="119"/>
    </row>
    <row r="858">
      <c r="A858" s="119"/>
    </row>
    <row r="859">
      <c r="A859" s="119"/>
    </row>
    <row r="860">
      <c r="A860" s="119"/>
    </row>
    <row r="861">
      <c r="A861" s="119"/>
    </row>
    <row r="862">
      <c r="A862" s="119"/>
    </row>
    <row r="863">
      <c r="A863" s="119"/>
    </row>
    <row r="864">
      <c r="A864" s="119"/>
    </row>
    <row r="865">
      <c r="A865" s="119"/>
    </row>
    <row r="866">
      <c r="A866" s="119"/>
    </row>
    <row r="867">
      <c r="A867" s="119"/>
    </row>
    <row r="868">
      <c r="A868" s="119"/>
    </row>
    <row r="869">
      <c r="A869" s="119"/>
    </row>
    <row r="870">
      <c r="A870" s="119"/>
    </row>
    <row r="871">
      <c r="A871" s="119"/>
    </row>
    <row r="872">
      <c r="A872" s="119"/>
    </row>
    <row r="873">
      <c r="A873" s="119"/>
    </row>
    <row r="874">
      <c r="A874" s="119"/>
    </row>
    <row r="875">
      <c r="A875" s="119"/>
    </row>
    <row r="876">
      <c r="A876" s="119"/>
    </row>
    <row r="877">
      <c r="A877" s="119"/>
    </row>
    <row r="878">
      <c r="A878" s="119"/>
    </row>
    <row r="879">
      <c r="A879" s="119"/>
    </row>
    <row r="880">
      <c r="A880" s="119"/>
    </row>
    <row r="881">
      <c r="A881" s="119"/>
    </row>
    <row r="882">
      <c r="A882" s="119"/>
    </row>
    <row r="883">
      <c r="A883" s="119"/>
    </row>
    <row r="884">
      <c r="A884" s="119"/>
    </row>
    <row r="885">
      <c r="A885" s="119"/>
    </row>
    <row r="886">
      <c r="A886" s="119"/>
    </row>
    <row r="887">
      <c r="A887" s="119"/>
    </row>
    <row r="888">
      <c r="A888" s="119"/>
    </row>
    <row r="889">
      <c r="A889" s="119"/>
    </row>
    <row r="890">
      <c r="A890" s="119"/>
    </row>
    <row r="891">
      <c r="A891" s="119"/>
    </row>
    <row r="892">
      <c r="A892" s="119"/>
    </row>
    <row r="893">
      <c r="A893" s="119"/>
    </row>
    <row r="894">
      <c r="A894" s="119"/>
    </row>
    <row r="895">
      <c r="A895" s="119"/>
    </row>
    <row r="896">
      <c r="A896" s="119"/>
    </row>
    <row r="897">
      <c r="A897" s="119"/>
    </row>
    <row r="898">
      <c r="A898" s="119"/>
    </row>
    <row r="899">
      <c r="A899" s="119"/>
    </row>
    <row r="900">
      <c r="A900" s="119"/>
    </row>
    <row r="901">
      <c r="A901" s="119"/>
    </row>
    <row r="902">
      <c r="A902" s="119"/>
    </row>
    <row r="903">
      <c r="A903" s="119"/>
    </row>
    <row r="904">
      <c r="A904" s="119"/>
    </row>
    <row r="905">
      <c r="A905" s="119"/>
    </row>
    <row r="906">
      <c r="A906" s="119"/>
    </row>
    <row r="907">
      <c r="A907" s="119"/>
    </row>
    <row r="908">
      <c r="A908" s="119"/>
    </row>
    <row r="909">
      <c r="A909" s="119"/>
    </row>
    <row r="910">
      <c r="A910" s="119"/>
    </row>
    <row r="911">
      <c r="A911" s="119"/>
    </row>
    <row r="912">
      <c r="A912" s="119"/>
    </row>
    <row r="913">
      <c r="A913" s="119"/>
    </row>
    <row r="914">
      <c r="A914" s="119"/>
    </row>
    <row r="915">
      <c r="A915" s="119"/>
    </row>
    <row r="916">
      <c r="A916" s="119"/>
    </row>
    <row r="917">
      <c r="A917" s="119"/>
    </row>
    <row r="918">
      <c r="A918" s="119"/>
    </row>
    <row r="919">
      <c r="A919" s="119"/>
    </row>
    <row r="920">
      <c r="A920" s="119"/>
    </row>
    <row r="921">
      <c r="A921" s="119"/>
    </row>
    <row r="922">
      <c r="A922" s="119"/>
    </row>
    <row r="923">
      <c r="A923" s="119"/>
    </row>
    <row r="924">
      <c r="A924" s="119"/>
    </row>
    <row r="925">
      <c r="A925" s="119"/>
    </row>
    <row r="926">
      <c r="A926" s="119"/>
    </row>
    <row r="927">
      <c r="A927" s="119"/>
    </row>
    <row r="928">
      <c r="A928" s="119"/>
    </row>
    <row r="929">
      <c r="A929" s="119"/>
    </row>
    <row r="930">
      <c r="A930" s="119"/>
    </row>
    <row r="931">
      <c r="A931" s="119"/>
    </row>
    <row r="932">
      <c r="A932" s="119"/>
    </row>
    <row r="933">
      <c r="A933" s="119"/>
    </row>
    <row r="934">
      <c r="A934" s="119"/>
    </row>
    <row r="935">
      <c r="A935" s="119"/>
    </row>
    <row r="936">
      <c r="A936" s="119"/>
    </row>
    <row r="937">
      <c r="A937" s="119"/>
    </row>
    <row r="938">
      <c r="A938" s="119"/>
    </row>
    <row r="939">
      <c r="A939" s="119"/>
    </row>
    <row r="940">
      <c r="A940" s="119"/>
    </row>
    <row r="941">
      <c r="A941" s="119"/>
    </row>
    <row r="942">
      <c r="A942" s="119"/>
    </row>
    <row r="943">
      <c r="A943" s="119"/>
    </row>
    <row r="944">
      <c r="A944" s="119"/>
    </row>
    <row r="945">
      <c r="A945" s="119"/>
    </row>
    <row r="946">
      <c r="A946" s="119"/>
    </row>
    <row r="947">
      <c r="A947" s="119"/>
    </row>
    <row r="948">
      <c r="A948" s="119"/>
    </row>
    <row r="949">
      <c r="A949" s="119"/>
    </row>
    <row r="950">
      <c r="A950" s="119"/>
    </row>
    <row r="951">
      <c r="A951" s="119"/>
    </row>
    <row r="952">
      <c r="A952" s="119"/>
    </row>
    <row r="953">
      <c r="A953" s="119"/>
    </row>
    <row r="954">
      <c r="A954" s="119"/>
    </row>
    <row r="955">
      <c r="A955" s="119"/>
    </row>
    <row r="956">
      <c r="A956" s="119"/>
    </row>
    <row r="957">
      <c r="A957" s="119"/>
    </row>
    <row r="958">
      <c r="A958" s="119"/>
    </row>
    <row r="959">
      <c r="A959" s="119"/>
    </row>
    <row r="960">
      <c r="A960" s="119"/>
    </row>
    <row r="961">
      <c r="A961" s="119"/>
    </row>
    <row r="962">
      <c r="A962" s="119"/>
    </row>
    <row r="963">
      <c r="A963" s="119"/>
    </row>
    <row r="964">
      <c r="A964" s="119"/>
    </row>
    <row r="965">
      <c r="A965" s="119"/>
    </row>
    <row r="966">
      <c r="A966" s="119"/>
    </row>
    <row r="967">
      <c r="A967" s="119"/>
    </row>
    <row r="968">
      <c r="A968" s="119"/>
    </row>
    <row r="969">
      <c r="A969" s="119"/>
    </row>
    <row r="970">
      <c r="A970" s="119"/>
    </row>
    <row r="971">
      <c r="A971" s="119"/>
    </row>
    <row r="972">
      <c r="A972" s="119"/>
    </row>
    <row r="973">
      <c r="A973" s="119"/>
    </row>
    <row r="974">
      <c r="A974" s="119"/>
    </row>
    <row r="975">
      <c r="A975" s="119"/>
    </row>
    <row r="976">
      <c r="A976" s="119"/>
    </row>
    <row r="977">
      <c r="A977" s="119"/>
    </row>
    <row r="978">
      <c r="A978" s="119"/>
    </row>
    <row r="979">
      <c r="A979" s="119"/>
    </row>
    <row r="980">
      <c r="A980" s="119"/>
    </row>
    <row r="981">
      <c r="A981" s="119"/>
    </row>
    <row r="982">
      <c r="A982" s="119"/>
    </row>
    <row r="983">
      <c r="A983" s="119"/>
    </row>
    <row r="984">
      <c r="A984" s="119"/>
    </row>
    <row r="985">
      <c r="A985" s="119"/>
    </row>
    <row r="986">
      <c r="A986" s="119"/>
    </row>
    <row r="987">
      <c r="A987" s="119"/>
    </row>
    <row r="988">
      <c r="A988" s="119"/>
    </row>
    <row r="989">
      <c r="A989" s="119"/>
    </row>
    <row r="990">
      <c r="A990" s="119"/>
    </row>
    <row r="991">
      <c r="A991" s="119"/>
    </row>
    <row r="992">
      <c r="A992" s="119"/>
    </row>
    <row r="993">
      <c r="A993" s="119"/>
    </row>
    <row r="994">
      <c r="A994" s="119"/>
    </row>
    <row r="995">
      <c r="A995" s="119"/>
    </row>
    <row r="996">
      <c r="A996" s="119"/>
    </row>
    <row r="997">
      <c r="A997" s="119"/>
    </row>
    <row r="998">
      <c r="A998" s="119"/>
    </row>
    <row r="999">
      <c r="A999" s="119"/>
    </row>
    <row r="1000">
      <c r="A1000" s="11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8" t="s">
        <v>141</v>
      </c>
    </row>
    <row r="2">
      <c r="B2" s="118" t="s">
        <v>142</v>
      </c>
    </row>
    <row r="3">
      <c r="C3" s="118" t="s">
        <v>143</v>
      </c>
    </row>
    <row r="4">
      <c r="D4" s="118" t="s">
        <v>144</v>
      </c>
    </row>
    <row r="5">
      <c r="D5" s="118" t="s">
        <v>145</v>
      </c>
    </row>
    <row r="6">
      <c r="E6" s="118" t="s">
        <v>146</v>
      </c>
    </row>
    <row r="7">
      <c r="E7" s="118" t="s">
        <v>147</v>
      </c>
    </row>
    <row r="8">
      <c r="F8" s="118" t="s">
        <v>148</v>
      </c>
    </row>
    <row r="9">
      <c r="F9" s="118" t="s">
        <v>148</v>
      </c>
    </row>
    <row r="10">
      <c r="F10" s="118" t="s">
        <v>149</v>
      </c>
    </row>
    <row r="11">
      <c r="E11" s="118" t="s">
        <v>150</v>
      </c>
    </row>
    <row r="12">
      <c r="D12" s="118" t="s">
        <v>151</v>
      </c>
    </row>
    <row r="13">
      <c r="E13" s="118" t="s">
        <v>152</v>
      </c>
    </row>
    <row r="14">
      <c r="E14" s="118" t="s">
        <v>153</v>
      </c>
    </row>
    <row r="15">
      <c r="F15" s="118" t="s">
        <v>154</v>
      </c>
    </row>
    <row r="16">
      <c r="F16" s="118" t="s">
        <v>155</v>
      </c>
    </row>
    <row r="17">
      <c r="G17" s="118" t="s">
        <v>156</v>
      </c>
    </row>
    <row r="18">
      <c r="G18" s="118" t="s">
        <v>156</v>
      </c>
    </row>
    <row r="19">
      <c r="G19" s="118" t="s">
        <v>157</v>
      </c>
    </row>
    <row r="20">
      <c r="F20" s="118" t="s">
        <v>149</v>
      </c>
    </row>
    <row r="21">
      <c r="E21" s="118" t="s">
        <v>150</v>
      </c>
    </row>
    <row r="22">
      <c r="C22" s="118" t="s">
        <v>158</v>
      </c>
    </row>
    <row r="23">
      <c r="D23" s="118" t="s">
        <v>159</v>
      </c>
    </row>
    <row r="24">
      <c r="E24" s="118" t="s">
        <v>152</v>
      </c>
    </row>
    <row r="25">
      <c r="E25" s="118" t="s">
        <v>160</v>
      </c>
    </row>
    <row r="26">
      <c r="E26" s="118" t="s">
        <v>146</v>
      </c>
    </row>
    <row r="27">
      <c r="D27" s="118" t="s">
        <v>161</v>
      </c>
    </row>
    <row r="28">
      <c r="E28" s="118" t="s">
        <v>146</v>
      </c>
    </row>
    <row r="29">
      <c r="E29" s="118" t="s">
        <v>162</v>
      </c>
    </row>
    <row r="30">
      <c r="F30" s="118" t="s">
        <v>148</v>
      </c>
    </row>
    <row r="31">
      <c r="F31" s="118" t="s">
        <v>163</v>
      </c>
    </row>
    <row r="32">
      <c r="F32" s="118" t="s">
        <v>148</v>
      </c>
    </row>
    <row r="33">
      <c r="E33" s="118" t="s">
        <v>146</v>
      </c>
    </row>
    <row r="34">
      <c r="D34" s="118" t="s">
        <v>164</v>
      </c>
    </row>
    <row r="35">
      <c r="E35" s="118" t="s">
        <v>152</v>
      </c>
    </row>
    <row r="36">
      <c r="E36" s="118" t="s">
        <v>165</v>
      </c>
    </row>
    <row r="37">
      <c r="F37" s="118" t="s">
        <v>166</v>
      </c>
    </row>
    <row r="38">
      <c r="F38" s="118" t="s">
        <v>167</v>
      </c>
    </row>
    <row r="39">
      <c r="F39" s="118" t="s">
        <v>149</v>
      </c>
    </row>
    <row r="40">
      <c r="E40" s="118" t="s">
        <v>150</v>
      </c>
    </row>
    <row r="41">
      <c r="C41" s="118" t="s">
        <v>168</v>
      </c>
    </row>
    <row r="42">
      <c r="D42" s="118" t="s">
        <v>144</v>
      </c>
    </row>
    <row r="43">
      <c r="D43" s="118" t="s">
        <v>169</v>
      </c>
    </row>
    <row r="44">
      <c r="D44" s="118" t="s">
        <v>146</v>
      </c>
    </row>
    <row r="45">
      <c r="D45" s="118" t="s">
        <v>170</v>
      </c>
    </row>
    <row r="46">
      <c r="D46" s="118" t="s">
        <v>148</v>
      </c>
    </row>
    <row r="47">
      <c r="D47" s="118" t="s">
        <v>171</v>
      </c>
    </row>
    <row r="48">
      <c r="D48" s="118" t="s">
        <v>172</v>
      </c>
    </row>
    <row r="49">
      <c r="D49" s="118" t="s">
        <v>173</v>
      </c>
    </row>
    <row r="50">
      <c r="D50" s="118" t="s">
        <v>157</v>
      </c>
    </row>
    <row r="51">
      <c r="D51" s="118" t="s">
        <v>149</v>
      </c>
    </row>
    <row r="52">
      <c r="D52" s="118" t="s">
        <v>150</v>
      </c>
    </row>
    <row r="53">
      <c r="D53" s="118" t="s">
        <v>174</v>
      </c>
    </row>
    <row r="54">
      <c r="D54" s="118" t="s">
        <v>152</v>
      </c>
    </row>
    <row r="55">
      <c r="D55" s="118" t="s">
        <v>175</v>
      </c>
    </row>
    <row r="56">
      <c r="D56" s="118" t="s">
        <v>166</v>
      </c>
    </row>
    <row r="57">
      <c r="D57" s="118" t="s">
        <v>176</v>
      </c>
    </row>
    <row r="58">
      <c r="D58" s="118" t="s">
        <v>149</v>
      </c>
    </row>
    <row r="59">
      <c r="D59" s="118" t="s">
        <v>150</v>
      </c>
    </row>
    <row r="60">
      <c r="B60" s="118" t="s">
        <v>177</v>
      </c>
    </row>
    <row r="61">
      <c r="C61" s="118" t="s">
        <v>178</v>
      </c>
    </row>
    <row r="62">
      <c r="D62" s="118" t="s">
        <v>179</v>
      </c>
    </row>
    <row r="63">
      <c r="D63" s="118" t="s">
        <v>152</v>
      </c>
    </row>
    <row r="64">
      <c r="D64" s="118" t="s">
        <v>146</v>
      </c>
    </row>
    <row r="65">
      <c r="D65" s="118" t="s">
        <v>180</v>
      </c>
    </row>
    <row r="66">
      <c r="D66" s="118" t="s">
        <v>181</v>
      </c>
    </row>
    <row r="67">
      <c r="D67" s="118" t="s">
        <v>152</v>
      </c>
    </row>
    <row r="68">
      <c r="D68" s="118" t="s">
        <v>160</v>
      </c>
    </row>
    <row r="69">
      <c r="D69" s="118" t="s">
        <v>182</v>
      </c>
    </row>
    <row r="70">
      <c r="D70" s="118" t="s">
        <v>183</v>
      </c>
    </row>
    <row r="71">
      <c r="D71" s="118" t="s">
        <v>152</v>
      </c>
    </row>
    <row r="72">
      <c r="D72" s="118" t="s">
        <v>184</v>
      </c>
    </row>
    <row r="73">
      <c r="D73" s="118" t="s">
        <v>150</v>
      </c>
    </row>
    <row r="74">
      <c r="C74" s="118" t="s">
        <v>185</v>
      </c>
    </row>
    <row r="75">
      <c r="D75" s="118" t="s">
        <v>186</v>
      </c>
    </row>
    <row r="76">
      <c r="E76" s="118" t="s">
        <v>187</v>
      </c>
    </row>
    <row r="77">
      <c r="E77" s="118" t="s">
        <v>166</v>
      </c>
    </row>
    <row r="78">
      <c r="E78" s="118" t="s">
        <v>148</v>
      </c>
    </row>
    <row r="79">
      <c r="E79" s="118" t="s">
        <v>154</v>
      </c>
    </row>
    <row r="80">
      <c r="E80" s="118" t="s">
        <v>188</v>
      </c>
    </row>
    <row r="81">
      <c r="E81" s="118" t="s">
        <v>189</v>
      </c>
    </row>
    <row r="82">
      <c r="E82" s="118" t="s">
        <v>173</v>
      </c>
    </row>
    <row r="83">
      <c r="E83" s="118" t="s">
        <v>172</v>
      </c>
    </row>
    <row r="84">
      <c r="E84" s="118" t="s">
        <v>156</v>
      </c>
    </row>
    <row r="85">
      <c r="E85" s="118" t="s">
        <v>190</v>
      </c>
    </row>
    <row r="86">
      <c r="E86" s="118" t="s">
        <v>172</v>
      </c>
    </row>
    <row r="87">
      <c r="E87" s="118" t="s">
        <v>191</v>
      </c>
    </row>
    <row r="88">
      <c r="E88" s="118" t="s">
        <v>192</v>
      </c>
    </row>
    <row r="89">
      <c r="E89" s="118" t="s">
        <v>166</v>
      </c>
    </row>
    <row r="90">
      <c r="E90" s="118" t="s">
        <v>152</v>
      </c>
    </row>
    <row r="91">
      <c r="D91" s="118" t="s">
        <v>193</v>
      </c>
    </row>
    <row r="92">
      <c r="E92" s="118" t="s">
        <v>194</v>
      </c>
    </row>
    <row r="93">
      <c r="F93" s="118" t="s">
        <v>166</v>
      </c>
    </row>
    <row r="94">
      <c r="F94" s="118" t="s">
        <v>195</v>
      </c>
    </row>
    <row r="95">
      <c r="F95" s="118" t="s">
        <v>148</v>
      </c>
    </row>
    <row r="96">
      <c r="E96" s="118" t="s">
        <v>196</v>
      </c>
    </row>
    <row r="97">
      <c r="F97" s="118" t="s">
        <v>195</v>
      </c>
    </row>
    <row r="98">
      <c r="F98" s="118" t="s">
        <v>197</v>
      </c>
    </row>
    <row r="99">
      <c r="G99" s="118" t="s">
        <v>172</v>
      </c>
    </row>
    <row r="100">
      <c r="G100" s="118" t="s">
        <v>198</v>
      </c>
    </row>
    <row r="101">
      <c r="G101" s="118" t="s">
        <v>199</v>
      </c>
    </row>
    <row r="102">
      <c r="F102" s="118" t="s">
        <v>195</v>
      </c>
    </row>
    <row r="103">
      <c r="E103" s="118" t="s">
        <v>200</v>
      </c>
    </row>
    <row r="104">
      <c r="F104" s="118" t="s">
        <v>201</v>
      </c>
    </row>
    <row r="105">
      <c r="G105" s="118" t="s">
        <v>172</v>
      </c>
    </row>
    <row r="106">
      <c r="G106" s="118" t="s">
        <v>172</v>
      </c>
    </row>
    <row r="107">
      <c r="G107" s="118" t="s">
        <v>157</v>
      </c>
    </row>
    <row r="108">
      <c r="F108" s="118" t="s">
        <v>195</v>
      </c>
    </row>
    <row r="109">
      <c r="F109" s="118" t="s">
        <v>166</v>
      </c>
    </row>
    <row r="110">
      <c r="D110" s="118" t="s">
        <v>202</v>
      </c>
    </row>
    <row r="111">
      <c r="D111" s="118" t="s">
        <v>146</v>
      </c>
    </row>
    <row r="112">
      <c r="D112" s="118" t="s">
        <v>203</v>
      </c>
    </row>
    <row r="113">
      <c r="D113" s="118" t="s">
        <v>148</v>
      </c>
    </row>
    <row r="114">
      <c r="D114" s="118" t="s">
        <v>204</v>
      </c>
    </row>
    <row r="115">
      <c r="D115" s="118" t="s">
        <v>172</v>
      </c>
    </row>
    <row r="116">
      <c r="D116" s="118" t="s">
        <v>172</v>
      </c>
    </row>
    <row r="117">
      <c r="D117" s="118" t="s">
        <v>173</v>
      </c>
    </row>
    <row r="118">
      <c r="D118" s="118" t="s">
        <v>166</v>
      </c>
    </row>
    <row r="119">
      <c r="D119" s="118" t="s">
        <v>180</v>
      </c>
    </row>
    <row r="120">
      <c r="C120" s="118" t="s">
        <v>205</v>
      </c>
    </row>
    <row r="121">
      <c r="C121" s="118" t="s">
        <v>206</v>
      </c>
    </row>
    <row r="122">
      <c r="C122" s="118" t="s">
        <v>207</v>
      </c>
    </row>
    <row r="123">
      <c r="C123" s="118" t="s">
        <v>146</v>
      </c>
    </row>
    <row r="124">
      <c r="C124" s="118" t="s">
        <v>208</v>
      </c>
    </row>
    <row r="125">
      <c r="C125" s="118" t="s">
        <v>152</v>
      </c>
    </row>
    <row r="126">
      <c r="C126" s="118" t="s">
        <v>209</v>
      </c>
    </row>
    <row r="127">
      <c r="B127" s="118" t="s">
        <v>210</v>
      </c>
    </row>
    <row r="128">
      <c r="C128" s="118" t="s">
        <v>211</v>
      </c>
    </row>
    <row r="129">
      <c r="C129" s="118" t="s">
        <v>212</v>
      </c>
    </row>
    <row r="130">
      <c r="C130" s="118" t="s">
        <v>206</v>
      </c>
    </row>
    <row r="131">
      <c r="C131" s="118" t="s">
        <v>213</v>
      </c>
    </row>
    <row r="132">
      <c r="C132" s="118" t="s">
        <v>146</v>
      </c>
    </row>
    <row r="133">
      <c r="C133" s="118" t="s">
        <v>214</v>
      </c>
    </row>
    <row r="134">
      <c r="C134" s="118" t="s">
        <v>215</v>
      </c>
    </row>
    <row r="135">
      <c r="C135" s="118" t="s">
        <v>173</v>
      </c>
    </row>
    <row r="136">
      <c r="C136" s="118" t="s">
        <v>216</v>
      </c>
    </row>
    <row r="137">
      <c r="C137" s="118" t="s">
        <v>173</v>
      </c>
    </row>
    <row r="138">
      <c r="C138" s="118" t="s">
        <v>166</v>
      </c>
    </row>
    <row r="139">
      <c r="C139" s="118" t="s">
        <v>149</v>
      </c>
    </row>
    <row r="140">
      <c r="C140" s="118" t="s">
        <v>150</v>
      </c>
    </row>
    <row r="141">
      <c r="C141" s="118" t="s">
        <v>217</v>
      </c>
    </row>
    <row r="142">
      <c r="C142" s="118" t="s">
        <v>218</v>
      </c>
    </row>
    <row r="143">
      <c r="C143" s="118" t="s">
        <v>144</v>
      </c>
    </row>
    <row r="144">
      <c r="C144" s="118" t="s">
        <v>219</v>
      </c>
    </row>
    <row r="145">
      <c r="C145" s="118" t="s">
        <v>152</v>
      </c>
    </row>
    <row r="146">
      <c r="C146" s="118" t="s">
        <v>220</v>
      </c>
    </row>
    <row r="147">
      <c r="C147" s="118" t="s">
        <v>221</v>
      </c>
    </row>
    <row r="148">
      <c r="C148" s="118" t="s">
        <v>156</v>
      </c>
    </row>
    <row r="149">
      <c r="C149" s="118" t="s">
        <v>157</v>
      </c>
    </row>
    <row r="150">
      <c r="C150" s="118" t="s">
        <v>157</v>
      </c>
    </row>
    <row r="151">
      <c r="C151" s="118" t="s">
        <v>149</v>
      </c>
    </row>
    <row r="152">
      <c r="C152" s="118" t="s">
        <v>149</v>
      </c>
    </row>
    <row r="153">
      <c r="C153" s="118" t="s">
        <v>150</v>
      </c>
    </row>
    <row r="154">
      <c r="C154" s="118" t="s">
        <v>217</v>
      </c>
    </row>
    <row r="155">
      <c r="A155" s="119"/>
    </row>
    <row r="156">
      <c r="A156" s="119"/>
    </row>
    <row r="157">
      <c r="A157" s="119"/>
    </row>
    <row r="158">
      <c r="A158" s="119"/>
    </row>
    <row r="159">
      <c r="A159" s="119"/>
    </row>
    <row r="160">
      <c r="A160" s="119"/>
    </row>
    <row r="161">
      <c r="A161" s="119"/>
    </row>
    <row r="162">
      <c r="A162" s="119"/>
    </row>
    <row r="163">
      <c r="A163" s="119"/>
    </row>
    <row r="164">
      <c r="A164" s="119"/>
    </row>
    <row r="165">
      <c r="A165" s="119"/>
    </row>
    <row r="166">
      <c r="A166" s="119"/>
    </row>
    <row r="167">
      <c r="A167" s="119"/>
    </row>
    <row r="168">
      <c r="A168" s="119"/>
    </row>
    <row r="169">
      <c r="A169" s="119"/>
    </row>
    <row r="170">
      <c r="A170" s="119"/>
    </row>
    <row r="171">
      <c r="A171" s="119"/>
    </row>
    <row r="172">
      <c r="A172" s="119"/>
    </row>
    <row r="173">
      <c r="A173" s="119"/>
    </row>
    <row r="174">
      <c r="A174" s="119"/>
    </row>
    <row r="175">
      <c r="A175" s="119"/>
    </row>
    <row r="176">
      <c r="A176" s="119"/>
    </row>
    <row r="177">
      <c r="A177" s="119"/>
    </row>
    <row r="178">
      <c r="A178" s="119"/>
    </row>
    <row r="179">
      <c r="A179" s="119"/>
    </row>
    <row r="180">
      <c r="A180" s="119"/>
    </row>
    <row r="181">
      <c r="A181" s="119"/>
    </row>
    <row r="182">
      <c r="A182" s="119"/>
    </row>
    <row r="183">
      <c r="A183" s="119"/>
    </row>
    <row r="184">
      <c r="A184" s="119"/>
    </row>
    <row r="185">
      <c r="A185" s="119"/>
    </row>
    <row r="186">
      <c r="A186" s="119"/>
    </row>
    <row r="187">
      <c r="A187" s="119"/>
    </row>
    <row r="188">
      <c r="A188" s="119"/>
    </row>
    <row r="189">
      <c r="A189" s="119"/>
    </row>
    <row r="190">
      <c r="A190" s="119"/>
    </row>
    <row r="191">
      <c r="A191" s="119"/>
    </row>
    <row r="192">
      <c r="A192" s="119"/>
    </row>
    <row r="193">
      <c r="A193" s="119"/>
    </row>
    <row r="194">
      <c r="A194" s="119"/>
    </row>
    <row r="195">
      <c r="A195" s="119"/>
    </row>
    <row r="196">
      <c r="A196" s="119"/>
    </row>
    <row r="197">
      <c r="A197" s="119"/>
    </row>
    <row r="198">
      <c r="A198" s="119"/>
    </row>
    <row r="199">
      <c r="A199" s="119"/>
    </row>
    <row r="200">
      <c r="A200" s="119"/>
    </row>
    <row r="201">
      <c r="A201" s="119"/>
    </row>
    <row r="202">
      <c r="A202" s="119"/>
    </row>
    <row r="203">
      <c r="A203" s="119"/>
    </row>
    <row r="204">
      <c r="A204" s="119"/>
    </row>
    <row r="205">
      <c r="A205" s="119"/>
    </row>
    <row r="206">
      <c r="A206" s="119"/>
    </row>
    <row r="207">
      <c r="A207" s="119"/>
    </row>
    <row r="208">
      <c r="A208" s="119"/>
    </row>
    <row r="209">
      <c r="A209" s="119"/>
    </row>
    <row r="210">
      <c r="A210" s="119"/>
    </row>
    <row r="211">
      <c r="A211" s="119"/>
    </row>
    <row r="212">
      <c r="A212" s="119"/>
    </row>
    <row r="213">
      <c r="A213" s="119"/>
    </row>
    <row r="214">
      <c r="A214" s="119"/>
    </row>
    <row r="215">
      <c r="A215" s="119"/>
    </row>
    <row r="216">
      <c r="A216" s="119"/>
    </row>
    <row r="217">
      <c r="A217" s="119"/>
    </row>
    <row r="218">
      <c r="A218" s="119"/>
    </row>
    <row r="219">
      <c r="A219" s="119"/>
    </row>
    <row r="220">
      <c r="A220" s="119"/>
    </row>
    <row r="221">
      <c r="A221" s="119"/>
    </row>
    <row r="222">
      <c r="A222" s="119"/>
    </row>
    <row r="223">
      <c r="A223" s="119"/>
    </row>
    <row r="224">
      <c r="A224" s="119"/>
    </row>
    <row r="225">
      <c r="A225" s="119"/>
    </row>
    <row r="226">
      <c r="A226" s="119"/>
    </row>
    <row r="227">
      <c r="A227" s="119"/>
    </row>
    <row r="228">
      <c r="A228" s="119"/>
    </row>
    <row r="229">
      <c r="A229" s="119"/>
    </row>
    <row r="230">
      <c r="A230" s="119"/>
    </row>
    <row r="231">
      <c r="A231" s="119"/>
    </row>
    <row r="232">
      <c r="A232" s="119"/>
    </row>
    <row r="233">
      <c r="A233" s="119"/>
    </row>
    <row r="234">
      <c r="A234" s="119"/>
    </row>
    <row r="235">
      <c r="A235" s="119"/>
    </row>
    <row r="236">
      <c r="A236" s="119"/>
    </row>
    <row r="237">
      <c r="A237" s="119"/>
    </row>
    <row r="238">
      <c r="A238" s="119"/>
    </row>
    <row r="239">
      <c r="A239" s="119"/>
    </row>
    <row r="240">
      <c r="A240" s="119"/>
    </row>
    <row r="241">
      <c r="A241" s="119"/>
    </row>
    <row r="242">
      <c r="A242" s="119"/>
    </row>
    <row r="243">
      <c r="A243" s="119"/>
    </row>
    <row r="244">
      <c r="A244" s="119"/>
    </row>
    <row r="245">
      <c r="A245" s="119"/>
    </row>
    <row r="246">
      <c r="A246" s="119"/>
    </row>
    <row r="247">
      <c r="A247" s="119"/>
    </row>
    <row r="248">
      <c r="A248" s="119"/>
    </row>
    <row r="249">
      <c r="A249" s="119"/>
    </row>
    <row r="250">
      <c r="A250" s="119"/>
    </row>
    <row r="251">
      <c r="A251" s="119"/>
    </row>
    <row r="252">
      <c r="A252" s="119"/>
    </row>
    <row r="253">
      <c r="A253" s="119"/>
    </row>
    <row r="254">
      <c r="A254" s="119"/>
    </row>
    <row r="255">
      <c r="A255" s="119"/>
    </row>
    <row r="256">
      <c r="A256" s="119"/>
    </row>
    <row r="257">
      <c r="A257" s="119"/>
    </row>
    <row r="258">
      <c r="A258" s="119"/>
    </row>
    <row r="259">
      <c r="A259" s="119"/>
    </row>
    <row r="260">
      <c r="A260" s="119"/>
    </row>
    <row r="261">
      <c r="A261" s="119"/>
    </row>
    <row r="262">
      <c r="A262" s="119"/>
    </row>
    <row r="263">
      <c r="A263" s="119"/>
    </row>
    <row r="264">
      <c r="A264" s="119"/>
    </row>
    <row r="265">
      <c r="A265" s="119"/>
    </row>
    <row r="266">
      <c r="A266" s="119"/>
    </row>
    <row r="267">
      <c r="A267" s="119"/>
    </row>
    <row r="268">
      <c r="A268" s="119"/>
    </row>
    <row r="269">
      <c r="A269" s="119"/>
    </row>
    <row r="270">
      <c r="A270" s="119"/>
    </row>
    <row r="271">
      <c r="A271" s="119"/>
    </row>
    <row r="272">
      <c r="A272" s="119"/>
    </row>
    <row r="273">
      <c r="A273" s="119"/>
    </row>
    <row r="274">
      <c r="A274" s="119"/>
    </row>
    <row r="275">
      <c r="A275" s="119"/>
    </row>
    <row r="276">
      <c r="A276" s="119"/>
    </row>
    <row r="277">
      <c r="A277" s="119"/>
    </row>
    <row r="278">
      <c r="A278" s="119"/>
    </row>
    <row r="279">
      <c r="A279" s="119"/>
    </row>
    <row r="280">
      <c r="A280" s="119"/>
    </row>
    <row r="281">
      <c r="A281" s="119"/>
    </row>
    <row r="282">
      <c r="A282" s="119"/>
    </row>
    <row r="283">
      <c r="A283" s="119"/>
    </row>
    <row r="284">
      <c r="A284" s="119"/>
    </row>
    <row r="285">
      <c r="A285" s="119"/>
    </row>
    <row r="286">
      <c r="A286" s="119"/>
    </row>
    <row r="287">
      <c r="A287" s="119"/>
    </row>
    <row r="288">
      <c r="A288" s="119"/>
    </row>
    <row r="289">
      <c r="A289" s="119"/>
    </row>
    <row r="290">
      <c r="A290" s="119"/>
    </row>
    <row r="291">
      <c r="A291" s="119"/>
    </row>
    <row r="292">
      <c r="A292" s="119"/>
    </row>
    <row r="293">
      <c r="A293" s="119"/>
    </row>
    <row r="294">
      <c r="A294" s="119"/>
    </row>
    <row r="295">
      <c r="A295" s="119"/>
    </row>
    <row r="296">
      <c r="A296" s="119"/>
    </row>
    <row r="297">
      <c r="A297" s="119"/>
    </row>
    <row r="298">
      <c r="A298" s="119"/>
    </row>
    <row r="299">
      <c r="A299" s="119"/>
    </row>
    <row r="300">
      <c r="A300" s="119"/>
    </row>
    <row r="301">
      <c r="A301" s="119"/>
    </row>
    <row r="302">
      <c r="A302" s="119"/>
    </row>
    <row r="303">
      <c r="A303" s="119"/>
    </row>
    <row r="304">
      <c r="A304" s="119"/>
    </row>
    <row r="305">
      <c r="A305" s="119"/>
    </row>
    <row r="306">
      <c r="A306" s="119"/>
    </row>
    <row r="307">
      <c r="A307" s="119"/>
    </row>
    <row r="308">
      <c r="A308" s="119"/>
    </row>
    <row r="309">
      <c r="A309" s="119"/>
    </row>
    <row r="310">
      <c r="A310" s="119"/>
    </row>
    <row r="311">
      <c r="A311" s="119"/>
    </row>
    <row r="312">
      <c r="A312" s="119"/>
    </row>
    <row r="313">
      <c r="A313" s="119"/>
    </row>
    <row r="314">
      <c r="A314" s="119"/>
    </row>
    <row r="315">
      <c r="A315" s="119"/>
    </row>
    <row r="316">
      <c r="A316" s="119"/>
    </row>
    <row r="317">
      <c r="A317" s="119"/>
    </row>
    <row r="318">
      <c r="A318" s="119"/>
    </row>
    <row r="319">
      <c r="A319" s="119"/>
    </row>
    <row r="320">
      <c r="A320" s="119"/>
    </row>
    <row r="321">
      <c r="A321" s="119"/>
    </row>
    <row r="322">
      <c r="A322" s="119"/>
    </row>
    <row r="323">
      <c r="A323" s="119"/>
    </row>
    <row r="324">
      <c r="A324" s="119"/>
    </row>
    <row r="325">
      <c r="A325" s="119"/>
    </row>
    <row r="326">
      <c r="A326" s="119"/>
    </row>
    <row r="327">
      <c r="A327" s="119"/>
    </row>
    <row r="328">
      <c r="A328" s="119"/>
    </row>
    <row r="329">
      <c r="A329" s="119"/>
    </row>
    <row r="330">
      <c r="A330" s="119"/>
    </row>
    <row r="331">
      <c r="A331" s="119"/>
    </row>
    <row r="332">
      <c r="A332" s="119"/>
    </row>
    <row r="333">
      <c r="A333" s="119"/>
    </row>
    <row r="334">
      <c r="A334" s="119"/>
    </row>
    <row r="335">
      <c r="A335" s="119"/>
    </row>
    <row r="336">
      <c r="A336" s="119"/>
    </row>
    <row r="337">
      <c r="A337" s="119"/>
    </row>
    <row r="338">
      <c r="A338" s="119"/>
    </row>
    <row r="339">
      <c r="A339" s="119"/>
    </row>
    <row r="340">
      <c r="A340" s="119"/>
    </row>
    <row r="341">
      <c r="A341" s="119"/>
    </row>
    <row r="342">
      <c r="A342" s="119"/>
    </row>
    <row r="343">
      <c r="A343" s="119"/>
    </row>
    <row r="344">
      <c r="A344" s="119"/>
    </row>
    <row r="345">
      <c r="A345" s="119"/>
    </row>
    <row r="346">
      <c r="A346" s="119"/>
    </row>
    <row r="347">
      <c r="A347" s="119"/>
    </row>
    <row r="348">
      <c r="A348" s="119"/>
    </row>
    <row r="349">
      <c r="A349" s="119"/>
    </row>
    <row r="350">
      <c r="A350" s="119"/>
    </row>
    <row r="351">
      <c r="A351" s="119"/>
    </row>
    <row r="352">
      <c r="A352" s="119"/>
    </row>
    <row r="353">
      <c r="A353" s="119"/>
    </row>
    <row r="354">
      <c r="A354" s="119"/>
    </row>
    <row r="355">
      <c r="A355" s="119"/>
    </row>
    <row r="356">
      <c r="A356" s="119"/>
    </row>
    <row r="357">
      <c r="A357" s="119"/>
    </row>
    <row r="358">
      <c r="A358" s="119"/>
    </row>
    <row r="359">
      <c r="A359" s="119"/>
    </row>
    <row r="360">
      <c r="A360" s="119"/>
    </row>
    <row r="361">
      <c r="A361" s="119"/>
    </row>
    <row r="362">
      <c r="A362" s="119"/>
    </row>
    <row r="363">
      <c r="A363" s="119"/>
    </row>
    <row r="364">
      <c r="A364" s="119"/>
    </row>
    <row r="365">
      <c r="A365" s="119"/>
    </row>
    <row r="366">
      <c r="A366" s="119"/>
    </row>
    <row r="367">
      <c r="A367" s="119"/>
    </row>
    <row r="368">
      <c r="A368" s="119"/>
    </row>
    <row r="369">
      <c r="A369" s="119"/>
    </row>
    <row r="370">
      <c r="A370" s="119"/>
    </row>
    <row r="371">
      <c r="A371" s="119"/>
    </row>
    <row r="372">
      <c r="A372" s="119"/>
    </row>
    <row r="373">
      <c r="A373" s="119"/>
    </row>
    <row r="374">
      <c r="A374" s="119"/>
    </row>
    <row r="375">
      <c r="A375" s="119"/>
    </row>
    <row r="376">
      <c r="A376" s="119"/>
    </row>
    <row r="377">
      <c r="A377" s="119"/>
    </row>
    <row r="378">
      <c r="A378" s="119"/>
    </row>
    <row r="379">
      <c r="A379" s="119"/>
    </row>
    <row r="380">
      <c r="A380" s="119"/>
    </row>
    <row r="381">
      <c r="A381" s="119"/>
    </row>
    <row r="382">
      <c r="A382" s="119"/>
    </row>
    <row r="383">
      <c r="A383" s="119"/>
    </row>
    <row r="384">
      <c r="A384" s="119"/>
    </row>
    <row r="385">
      <c r="A385" s="119"/>
    </row>
    <row r="386">
      <c r="A386" s="119"/>
    </row>
    <row r="387">
      <c r="A387" s="119"/>
    </row>
    <row r="388">
      <c r="A388" s="119"/>
    </row>
    <row r="389">
      <c r="A389" s="119"/>
    </row>
    <row r="390">
      <c r="A390" s="119"/>
    </row>
    <row r="391">
      <c r="A391" s="119"/>
    </row>
    <row r="392">
      <c r="A392" s="119"/>
    </row>
    <row r="393">
      <c r="A393" s="119"/>
    </row>
    <row r="394">
      <c r="A394" s="119"/>
    </row>
    <row r="395">
      <c r="A395" s="119"/>
    </row>
    <row r="396">
      <c r="A396" s="119"/>
    </row>
    <row r="397">
      <c r="A397" s="119"/>
    </row>
    <row r="398">
      <c r="A398" s="119"/>
    </row>
    <row r="399">
      <c r="A399" s="119"/>
    </row>
    <row r="400">
      <c r="A400" s="119"/>
    </row>
    <row r="401">
      <c r="A401" s="119"/>
    </row>
    <row r="402">
      <c r="A402" s="119"/>
    </row>
    <row r="403">
      <c r="A403" s="119"/>
    </row>
    <row r="404">
      <c r="A404" s="119"/>
    </row>
    <row r="405">
      <c r="A405" s="119"/>
    </row>
    <row r="406">
      <c r="A406" s="119"/>
    </row>
    <row r="407">
      <c r="A407" s="119"/>
    </row>
    <row r="408">
      <c r="A408" s="119"/>
    </row>
    <row r="409">
      <c r="A409" s="119"/>
    </row>
    <row r="410">
      <c r="A410" s="119"/>
    </row>
    <row r="411">
      <c r="A411" s="119"/>
    </row>
    <row r="412">
      <c r="A412" s="119"/>
    </row>
    <row r="413">
      <c r="A413" s="119"/>
    </row>
    <row r="414">
      <c r="A414" s="119"/>
    </row>
    <row r="415">
      <c r="A415" s="119"/>
    </row>
    <row r="416">
      <c r="A416" s="119"/>
    </row>
    <row r="417">
      <c r="A417" s="119"/>
    </row>
    <row r="418">
      <c r="A418" s="119"/>
    </row>
    <row r="419">
      <c r="A419" s="119"/>
    </row>
    <row r="420">
      <c r="A420" s="119"/>
    </row>
    <row r="421">
      <c r="A421" s="119"/>
    </row>
    <row r="422">
      <c r="A422" s="119"/>
    </row>
    <row r="423">
      <c r="A423" s="119"/>
    </row>
    <row r="424">
      <c r="A424" s="119"/>
    </row>
    <row r="425">
      <c r="A425" s="119"/>
    </row>
    <row r="426">
      <c r="A426" s="119"/>
    </row>
    <row r="427">
      <c r="A427" s="119"/>
    </row>
    <row r="428">
      <c r="A428" s="119"/>
    </row>
    <row r="429">
      <c r="A429" s="119"/>
    </row>
    <row r="430">
      <c r="A430" s="119"/>
    </row>
    <row r="431">
      <c r="A431" s="119"/>
    </row>
    <row r="432">
      <c r="A432" s="119"/>
    </row>
    <row r="433">
      <c r="A433" s="119"/>
    </row>
    <row r="434">
      <c r="A434" s="119"/>
    </row>
    <row r="435">
      <c r="A435" s="119"/>
    </row>
    <row r="436">
      <c r="A436" s="119"/>
    </row>
    <row r="437">
      <c r="A437" s="119"/>
    </row>
    <row r="438">
      <c r="A438" s="119"/>
    </row>
    <row r="439">
      <c r="A439" s="119"/>
    </row>
    <row r="440">
      <c r="A440" s="119"/>
    </row>
    <row r="441">
      <c r="A441" s="119"/>
    </row>
    <row r="442">
      <c r="A442" s="119"/>
    </row>
    <row r="443">
      <c r="A443" s="119"/>
    </row>
    <row r="444">
      <c r="A444" s="119"/>
    </row>
    <row r="445">
      <c r="A445" s="119"/>
    </row>
    <row r="446">
      <c r="A446" s="119"/>
    </row>
    <row r="447">
      <c r="A447" s="119"/>
    </row>
    <row r="448">
      <c r="A448" s="119"/>
    </row>
    <row r="449">
      <c r="A449" s="119"/>
    </row>
    <row r="450">
      <c r="A450" s="119"/>
    </row>
    <row r="451">
      <c r="A451" s="119"/>
    </row>
    <row r="452">
      <c r="A452" s="119"/>
    </row>
    <row r="453">
      <c r="A453" s="119"/>
    </row>
    <row r="454">
      <c r="A454" s="119"/>
    </row>
    <row r="455">
      <c r="A455" s="119"/>
    </row>
    <row r="456">
      <c r="A456" s="119"/>
    </row>
    <row r="457">
      <c r="A457" s="119"/>
    </row>
    <row r="458">
      <c r="A458" s="119"/>
    </row>
    <row r="459">
      <c r="A459" s="119"/>
    </row>
    <row r="460">
      <c r="A460" s="119"/>
    </row>
    <row r="461">
      <c r="A461" s="119"/>
    </row>
    <row r="462">
      <c r="A462" s="119"/>
    </row>
    <row r="463">
      <c r="A463" s="119"/>
    </row>
    <row r="464">
      <c r="A464" s="119"/>
    </row>
    <row r="465">
      <c r="A465" s="119"/>
    </row>
    <row r="466">
      <c r="A466" s="119"/>
    </row>
    <row r="467">
      <c r="A467" s="119"/>
    </row>
    <row r="468">
      <c r="A468" s="119"/>
    </row>
    <row r="469">
      <c r="A469" s="119"/>
    </row>
    <row r="470">
      <c r="A470" s="119"/>
    </row>
    <row r="471">
      <c r="A471" s="119"/>
    </row>
    <row r="472">
      <c r="A472" s="119"/>
    </row>
    <row r="473">
      <c r="A473" s="119"/>
    </row>
    <row r="474">
      <c r="A474" s="119"/>
    </row>
    <row r="475">
      <c r="A475" s="119"/>
    </row>
    <row r="476">
      <c r="A476" s="119"/>
    </row>
    <row r="477">
      <c r="A477" s="119"/>
    </row>
    <row r="478">
      <c r="A478" s="119"/>
    </row>
    <row r="479">
      <c r="A479" s="119"/>
    </row>
    <row r="480">
      <c r="A480" s="119"/>
    </row>
    <row r="481">
      <c r="A481" s="119"/>
    </row>
    <row r="482">
      <c r="A482" s="119"/>
    </row>
    <row r="483">
      <c r="A483" s="119"/>
    </row>
    <row r="484">
      <c r="A484" s="119"/>
    </row>
    <row r="485">
      <c r="A485" s="119"/>
    </row>
    <row r="486">
      <c r="A486" s="119"/>
    </row>
    <row r="487">
      <c r="A487" s="119"/>
    </row>
    <row r="488">
      <c r="A488" s="119"/>
    </row>
    <row r="489">
      <c r="A489" s="119"/>
    </row>
    <row r="490">
      <c r="A490" s="119"/>
    </row>
    <row r="491">
      <c r="A491" s="119"/>
    </row>
    <row r="492">
      <c r="A492" s="119"/>
    </row>
    <row r="493">
      <c r="A493" s="119"/>
    </row>
    <row r="494">
      <c r="A494" s="119"/>
    </row>
    <row r="495">
      <c r="A495" s="119"/>
    </row>
    <row r="496">
      <c r="A496" s="119"/>
    </row>
    <row r="497">
      <c r="A497" s="119"/>
    </row>
    <row r="498">
      <c r="A498" s="119"/>
    </row>
    <row r="499">
      <c r="A499" s="119"/>
    </row>
    <row r="500">
      <c r="A500" s="119"/>
    </row>
    <row r="501">
      <c r="A501" s="119"/>
    </row>
    <row r="502">
      <c r="A502" s="119"/>
    </row>
    <row r="503">
      <c r="A503" s="119"/>
    </row>
    <row r="504">
      <c r="A504" s="119"/>
    </row>
    <row r="505">
      <c r="A505" s="119"/>
    </row>
    <row r="506">
      <c r="A506" s="119"/>
    </row>
    <row r="507">
      <c r="A507" s="119"/>
    </row>
    <row r="508">
      <c r="A508" s="119"/>
    </row>
    <row r="509">
      <c r="A509" s="119"/>
    </row>
    <row r="510">
      <c r="A510" s="119"/>
    </row>
    <row r="511">
      <c r="A511" s="119"/>
    </row>
    <row r="512">
      <c r="A512" s="119"/>
    </row>
    <row r="513">
      <c r="A513" s="119"/>
    </row>
    <row r="514">
      <c r="A514" s="119"/>
    </row>
    <row r="515">
      <c r="A515" s="119"/>
    </row>
    <row r="516">
      <c r="A516" s="119"/>
    </row>
    <row r="517">
      <c r="A517" s="119"/>
    </row>
    <row r="518">
      <c r="A518" s="119"/>
    </row>
    <row r="519">
      <c r="A519" s="119"/>
    </row>
    <row r="520">
      <c r="A520" s="119"/>
    </row>
    <row r="521">
      <c r="A521" s="119"/>
    </row>
    <row r="522">
      <c r="A522" s="119"/>
    </row>
    <row r="523">
      <c r="A523" s="119"/>
    </row>
    <row r="524">
      <c r="A524" s="119"/>
    </row>
    <row r="525">
      <c r="A525" s="119"/>
    </row>
    <row r="526">
      <c r="A526" s="119"/>
    </row>
    <row r="527">
      <c r="A527" s="119"/>
    </row>
    <row r="528">
      <c r="A528" s="119"/>
    </row>
    <row r="529">
      <c r="A529" s="119"/>
    </row>
    <row r="530">
      <c r="A530" s="119"/>
    </row>
    <row r="531">
      <c r="A531" s="119"/>
    </row>
    <row r="532">
      <c r="A532" s="119"/>
    </row>
    <row r="533">
      <c r="A533" s="119"/>
    </row>
    <row r="534">
      <c r="A534" s="119"/>
    </row>
    <row r="535">
      <c r="A535" s="119"/>
    </row>
    <row r="536">
      <c r="A536" s="119"/>
    </row>
    <row r="537">
      <c r="A537" s="119"/>
    </row>
    <row r="538">
      <c r="A538" s="119"/>
    </row>
    <row r="539">
      <c r="A539" s="119"/>
    </row>
    <row r="540">
      <c r="A540" s="119"/>
    </row>
    <row r="541">
      <c r="A541" s="119"/>
    </row>
    <row r="542">
      <c r="A542" s="119"/>
    </row>
    <row r="543">
      <c r="A543" s="119"/>
    </row>
    <row r="544">
      <c r="A544" s="119"/>
    </row>
    <row r="545">
      <c r="A545" s="119"/>
    </row>
    <row r="546">
      <c r="A546" s="119"/>
    </row>
    <row r="547">
      <c r="A547" s="119"/>
    </row>
    <row r="548">
      <c r="A548" s="119"/>
    </row>
    <row r="549">
      <c r="A549" s="119"/>
    </row>
    <row r="550">
      <c r="A550" s="119"/>
    </row>
    <row r="551">
      <c r="A551" s="119"/>
    </row>
    <row r="552">
      <c r="A552" s="119"/>
    </row>
    <row r="553">
      <c r="A553" s="119"/>
    </row>
    <row r="554">
      <c r="A554" s="119"/>
    </row>
    <row r="555">
      <c r="A555" s="119"/>
    </row>
    <row r="556">
      <c r="A556" s="119"/>
    </row>
    <row r="557">
      <c r="A557" s="119"/>
    </row>
    <row r="558">
      <c r="A558" s="119"/>
    </row>
    <row r="559">
      <c r="A559" s="119"/>
    </row>
    <row r="560">
      <c r="A560" s="119"/>
    </row>
    <row r="561">
      <c r="A561" s="119"/>
    </row>
    <row r="562">
      <c r="A562" s="119"/>
    </row>
    <row r="563">
      <c r="A563" s="119"/>
    </row>
    <row r="564">
      <c r="A564" s="119"/>
    </row>
    <row r="565">
      <c r="A565" s="119"/>
    </row>
    <row r="566">
      <c r="A566" s="119"/>
    </row>
    <row r="567">
      <c r="A567" s="119"/>
    </row>
    <row r="568">
      <c r="A568" s="119"/>
    </row>
    <row r="569">
      <c r="A569" s="119"/>
    </row>
    <row r="570">
      <c r="A570" s="119"/>
    </row>
    <row r="571">
      <c r="A571" s="119"/>
    </row>
    <row r="572">
      <c r="A572" s="119"/>
    </row>
    <row r="573">
      <c r="A573" s="119"/>
    </row>
    <row r="574">
      <c r="A574" s="119"/>
    </row>
    <row r="575">
      <c r="A575" s="119"/>
    </row>
    <row r="576">
      <c r="A576" s="119"/>
    </row>
    <row r="577">
      <c r="A577" s="119"/>
    </row>
    <row r="578">
      <c r="A578" s="119"/>
    </row>
    <row r="579">
      <c r="A579" s="119"/>
    </row>
    <row r="580">
      <c r="A580" s="119"/>
    </row>
    <row r="581">
      <c r="A581" s="119"/>
    </row>
    <row r="582">
      <c r="A582" s="119"/>
    </row>
    <row r="583">
      <c r="A583" s="119"/>
    </row>
    <row r="584">
      <c r="A584" s="119"/>
    </row>
    <row r="585">
      <c r="A585" s="119"/>
    </row>
    <row r="586">
      <c r="A586" s="119"/>
    </row>
    <row r="587">
      <c r="A587" s="119"/>
    </row>
    <row r="588">
      <c r="A588" s="119"/>
    </row>
    <row r="589">
      <c r="A589" s="119"/>
    </row>
    <row r="590">
      <c r="A590" s="119"/>
    </row>
    <row r="591">
      <c r="A591" s="119"/>
    </row>
    <row r="592">
      <c r="A592" s="119"/>
    </row>
    <row r="593">
      <c r="A593" s="119"/>
    </row>
    <row r="594">
      <c r="A594" s="119"/>
    </row>
    <row r="595">
      <c r="A595" s="119"/>
    </row>
    <row r="596">
      <c r="A596" s="119"/>
    </row>
    <row r="597">
      <c r="A597" s="119"/>
    </row>
    <row r="598">
      <c r="A598" s="119"/>
    </row>
    <row r="599">
      <c r="A599" s="119"/>
    </row>
    <row r="600">
      <c r="A600" s="119"/>
    </row>
    <row r="601">
      <c r="A601" s="119"/>
    </row>
    <row r="602">
      <c r="A602" s="119"/>
    </row>
    <row r="603">
      <c r="A603" s="119"/>
    </row>
    <row r="604">
      <c r="A604" s="119"/>
    </row>
    <row r="605">
      <c r="A605" s="119"/>
    </row>
    <row r="606">
      <c r="A606" s="119"/>
    </row>
    <row r="607">
      <c r="A607" s="119"/>
    </row>
    <row r="608">
      <c r="A608" s="119"/>
    </row>
    <row r="609">
      <c r="A609" s="119"/>
    </row>
    <row r="610">
      <c r="A610" s="119"/>
    </row>
    <row r="611">
      <c r="A611" s="119"/>
    </row>
    <row r="612">
      <c r="A612" s="119"/>
    </row>
    <row r="613">
      <c r="A613" s="119"/>
    </row>
    <row r="614">
      <c r="A614" s="119"/>
    </row>
    <row r="615">
      <c r="A615" s="119"/>
    </row>
    <row r="616">
      <c r="A616" s="119"/>
    </row>
    <row r="617">
      <c r="A617" s="119"/>
    </row>
    <row r="618">
      <c r="A618" s="119"/>
    </row>
    <row r="619">
      <c r="A619" s="119"/>
    </row>
    <row r="620">
      <c r="A620" s="119"/>
    </row>
    <row r="621">
      <c r="A621" s="119"/>
    </row>
    <row r="622">
      <c r="A622" s="119"/>
    </row>
    <row r="623">
      <c r="A623" s="119"/>
    </row>
    <row r="624">
      <c r="A624" s="119"/>
    </row>
    <row r="625">
      <c r="A625" s="119"/>
    </row>
    <row r="626">
      <c r="A626" s="119"/>
    </row>
    <row r="627">
      <c r="A627" s="119"/>
    </row>
    <row r="628">
      <c r="A628" s="119"/>
    </row>
    <row r="629">
      <c r="A629" s="119"/>
    </row>
    <row r="630">
      <c r="A630" s="119"/>
    </row>
    <row r="631">
      <c r="A631" s="119"/>
    </row>
    <row r="632">
      <c r="A632" s="119"/>
    </row>
    <row r="633">
      <c r="A633" s="119"/>
    </row>
    <row r="634">
      <c r="A634" s="119"/>
    </row>
    <row r="635">
      <c r="A635" s="119"/>
    </row>
    <row r="636">
      <c r="A636" s="119"/>
    </row>
    <row r="637">
      <c r="A637" s="119"/>
    </row>
    <row r="638">
      <c r="A638" s="119"/>
    </row>
    <row r="639">
      <c r="A639" s="119"/>
    </row>
    <row r="640">
      <c r="A640" s="119"/>
    </row>
    <row r="641">
      <c r="A641" s="119"/>
    </row>
    <row r="642">
      <c r="A642" s="119"/>
    </row>
    <row r="643">
      <c r="A643" s="119"/>
    </row>
    <row r="644">
      <c r="A644" s="119"/>
    </row>
    <row r="645">
      <c r="A645" s="119"/>
    </row>
    <row r="646">
      <c r="A646" s="119"/>
    </row>
    <row r="647">
      <c r="A647" s="119"/>
    </row>
    <row r="648">
      <c r="A648" s="119"/>
    </row>
    <row r="649">
      <c r="A649" s="119"/>
    </row>
    <row r="650">
      <c r="A650" s="119"/>
    </row>
    <row r="651">
      <c r="A651" s="119"/>
    </row>
    <row r="652">
      <c r="A652" s="119"/>
    </row>
    <row r="653">
      <c r="A653" s="119"/>
    </row>
    <row r="654">
      <c r="A654" s="119"/>
    </row>
    <row r="655">
      <c r="A655" s="119"/>
    </row>
    <row r="656">
      <c r="A656" s="119"/>
    </row>
    <row r="657">
      <c r="A657" s="119"/>
    </row>
    <row r="658">
      <c r="A658" s="119"/>
    </row>
    <row r="659">
      <c r="A659" s="119"/>
    </row>
    <row r="660">
      <c r="A660" s="119"/>
    </row>
    <row r="661">
      <c r="A661" s="119"/>
    </row>
    <row r="662">
      <c r="A662" s="119"/>
    </row>
    <row r="663">
      <c r="A663" s="119"/>
    </row>
    <row r="664">
      <c r="A664" s="119"/>
    </row>
    <row r="665">
      <c r="A665" s="119"/>
    </row>
    <row r="666">
      <c r="A666" s="119"/>
    </row>
    <row r="667">
      <c r="A667" s="119"/>
    </row>
    <row r="668">
      <c r="A668" s="119"/>
    </row>
    <row r="669">
      <c r="A669" s="119"/>
    </row>
    <row r="670">
      <c r="A670" s="119"/>
    </row>
    <row r="671">
      <c r="A671" s="119"/>
    </row>
    <row r="672">
      <c r="A672" s="119"/>
    </row>
    <row r="673">
      <c r="A673" s="119"/>
    </row>
    <row r="674">
      <c r="A674" s="119"/>
    </row>
    <row r="675">
      <c r="A675" s="119"/>
    </row>
    <row r="676">
      <c r="A676" s="119"/>
    </row>
    <row r="677">
      <c r="A677" s="119"/>
    </row>
    <row r="678">
      <c r="A678" s="119"/>
    </row>
    <row r="679">
      <c r="A679" s="119"/>
    </row>
    <row r="680">
      <c r="A680" s="119"/>
    </row>
    <row r="681">
      <c r="A681" s="119"/>
    </row>
    <row r="682">
      <c r="A682" s="119"/>
    </row>
    <row r="683">
      <c r="A683" s="119"/>
    </row>
    <row r="684">
      <c r="A684" s="119"/>
    </row>
    <row r="685">
      <c r="A685" s="119"/>
    </row>
    <row r="686">
      <c r="A686" s="119"/>
    </row>
    <row r="687">
      <c r="A687" s="119"/>
    </row>
    <row r="688">
      <c r="A688" s="119"/>
    </row>
    <row r="689">
      <c r="A689" s="119"/>
    </row>
    <row r="690">
      <c r="A690" s="119"/>
    </row>
    <row r="691">
      <c r="A691" s="119"/>
    </row>
    <row r="692">
      <c r="A692" s="119"/>
    </row>
    <row r="693">
      <c r="A693" s="119"/>
    </row>
    <row r="694">
      <c r="A694" s="119"/>
    </row>
    <row r="695">
      <c r="A695" s="119"/>
    </row>
    <row r="696">
      <c r="A696" s="119"/>
    </row>
    <row r="697">
      <c r="A697" s="119"/>
    </row>
    <row r="698">
      <c r="A698" s="119"/>
    </row>
    <row r="699">
      <c r="A699" s="119"/>
    </row>
    <row r="700">
      <c r="A700" s="119"/>
    </row>
    <row r="701">
      <c r="A701" s="119"/>
    </row>
    <row r="702">
      <c r="A702" s="119"/>
    </row>
    <row r="703">
      <c r="A703" s="119"/>
    </row>
    <row r="704">
      <c r="A704" s="119"/>
    </row>
    <row r="705">
      <c r="A705" s="119"/>
    </row>
    <row r="706">
      <c r="A706" s="119"/>
    </row>
    <row r="707">
      <c r="A707" s="119"/>
    </row>
    <row r="708">
      <c r="A708" s="119"/>
    </row>
    <row r="709">
      <c r="A709" s="119"/>
    </row>
    <row r="710">
      <c r="A710" s="119"/>
    </row>
    <row r="711">
      <c r="A711" s="119"/>
    </row>
    <row r="712">
      <c r="A712" s="119"/>
    </row>
    <row r="713">
      <c r="A713" s="119"/>
    </row>
    <row r="714">
      <c r="A714" s="119"/>
    </row>
    <row r="715">
      <c r="A715" s="119"/>
    </row>
    <row r="716">
      <c r="A716" s="119"/>
    </row>
    <row r="717">
      <c r="A717" s="119"/>
    </row>
    <row r="718">
      <c r="A718" s="119"/>
    </row>
    <row r="719">
      <c r="A719" s="119"/>
    </row>
    <row r="720">
      <c r="A720" s="119"/>
    </row>
    <row r="721">
      <c r="A721" s="119"/>
    </row>
    <row r="722">
      <c r="A722" s="119"/>
    </row>
    <row r="723">
      <c r="A723" s="119"/>
    </row>
    <row r="724">
      <c r="A724" s="119"/>
    </row>
    <row r="725">
      <c r="A725" s="119"/>
    </row>
    <row r="726">
      <c r="A726" s="119"/>
    </row>
    <row r="727">
      <c r="A727" s="119"/>
    </row>
    <row r="728">
      <c r="A728" s="119"/>
    </row>
    <row r="729">
      <c r="A729" s="119"/>
    </row>
    <row r="730">
      <c r="A730" s="119"/>
    </row>
    <row r="731">
      <c r="A731" s="119"/>
    </row>
    <row r="732">
      <c r="A732" s="119"/>
    </row>
    <row r="733">
      <c r="A733" s="119"/>
    </row>
    <row r="734">
      <c r="A734" s="119"/>
    </row>
    <row r="735">
      <c r="A735" s="119"/>
    </row>
    <row r="736">
      <c r="A736" s="119"/>
    </row>
    <row r="737">
      <c r="A737" s="119"/>
    </row>
    <row r="738">
      <c r="A738" s="119"/>
    </row>
    <row r="739">
      <c r="A739" s="119"/>
    </row>
    <row r="740">
      <c r="A740" s="119"/>
    </row>
    <row r="741">
      <c r="A741" s="119"/>
    </row>
    <row r="742">
      <c r="A742" s="119"/>
    </row>
    <row r="743">
      <c r="A743" s="119"/>
    </row>
    <row r="744">
      <c r="A744" s="119"/>
    </row>
    <row r="745">
      <c r="A745" s="119"/>
    </row>
    <row r="746">
      <c r="A746" s="119"/>
    </row>
    <row r="747">
      <c r="A747" s="119"/>
    </row>
    <row r="748">
      <c r="A748" s="119"/>
    </row>
    <row r="749">
      <c r="A749" s="119"/>
    </row>
    <row r="750">
      <c r="A750" s="119"/>
    </row>
    <row r="751">
      <c r="A751" s="119"/>
    </row>
    <row r="752">
      <c r="A752" s="119"/>
    </row>
    <row r="753">
      <c r="A753" s="119"/>
    </row>
    <row r="754">
      <c r="A754" s="119"/>
    </row>
    <row r="755">
      <c r="A755" s="119"/>
    </row>
    <row r="756">
      <c r="A756" s="119"/>
    </row>
    <row r="757">
      <c r="A757" s="119"/>
    </row>
    <row r="758">
      <c r="A758" s="119"/>
    </row>
    <row r="759">
      <c r="A759" s="119"/>
    </row>
    <row r="760">
      <c r="A760" s="119"/>
    </row>
    <row r="761">
      <c r="A761" s="119"/>
    </row>
    <row r="762">
      <c r="A762" s="119"/>
    </row>
    <row r="763">
      <c r="A763" s="119"/>
    </row>
    <row r="764">
      <c r="A764" s="119"/>
    </row>
    <row r="765">
      <c r="A765" s="119"/>
    </row>
    <row r="766">
      <c r="A766" s="119"/>
    </row>
    <row r="767">
      <c r="A767" s="119"/>
    </row>
    <row r="768">
      <c r="A768" s="119"/>
    </row>
    <row r="769">
      <c r="A769" s="119"/>
    </row>
    <row r="770">
      <c r="A770" s="119"/>
    </row>
    <row r="771">
      <c r="A771" s="119"/>
    </row>
    <row r="772">
      <c r="A772" s="119"/>
    </row>
    <row r="773">
      <c r="A773" s="119"/>
    </row>
    <row r="774">
      <c r="A774" s="119"/>
    </row>
    <row r="775">
      <c r="A775" s="119"/>
    </row>
    <row r="776">
      <c r="A776" s="119"/>
    </row>
    <row r="777">
      <c r="A777" s="119"/>
    </row>
    <row r="778">
      <c r="A778" s="119"/>
    </row>
    <row r="779">
      <c r="A779" s="119"/>
    </row>
    <row r="780">
      <c r="A780" s="119"/>
    </row>
    <row r="781">
      <c r="A781" s="119"/>
    </row>
    <row r="782">
      <c r="A782" s="119"/>
    </row>
    <row r="783">
      <c r="A783" s="119"/>
    </row>
    <row r="784">
      <c r="A784" s="119"/>
    </row>
    <row r="785">
      <c r="A785" s="119"/>
    </row>
    <row r="786">
      <c r="A786" s="119"/>
    </row>
    <row r="787">
      <c r="A787" s="119"/>
    </row>
    <row r="788">
      <c r="A788" s="119"/>
    </row>
    <row r="789">
      <c r="A789" s="119"/>
    </row>
    <row r="790">
      <c r="A790" s="119"/>
    </row>
    <row r="791">
      <c r="A791" s="119"/>
    </row>
    <row r="792">
      <c r="A792" s="119"/>
    </row>
    <row r="793">
      <c r="A793" s="119"/>
    </row>
    <row r="794">
      <c r="A794" s="119"/>
    </row>
    <row r="795">
      <c r="A795" s="119"/>
    </row>
    <row r="796">
      <c r="A796" s="119"/>
    </row>
    <row r="797">
      <c r="A797" s="119"/>
    </row>
    <row r="798">
      <c r="A798" s="119"/>
    </row>
    <row r="799">
      <c r="A799" s="119"/>
    </row>
    <row r="800">
      <c r="A800" s="119"/>
    </row>
    <row r="801">
      <c r="A801" s="119"/>
    </row>
    <row r="802">
      <c r="A802" s="119"/>
    </row>
    <row r="803">
      <c r="A803" s="119"/>
    </row>
    <row r="804">
      <c r="A804" s="119"/>
    </row>
    <row r="805">
      <c r="A805" s="119"/>
    </row>
    <row r="806">
      <c r="A806" s="119"/>
    </row>
    <row r="807">
      <c r="A807" s="119"/>
    </row>
    <row r="808">
      <c r="A808" s="119"/>
    </row>
    <row r="809">
      <c r="A809" s="119"/>
    </row>
    <row r="810">
      <c r="A810" s="119"/>
    </row>
    <row r="811">
      <c r="A811" s="119"/>
    </row>
    <row r="812">
      <c r="A812" s="119"/>
    </row>
    <row r="813">
      <c r="A813" s="119"/>
    </row>
    <row r="814">
      <c r="A814" s="119"/>
    </row>
    <row r="815">
      <c r="A815" s="119"/>
    </row>
    <row r="816">
      <c r="A816" s="119"/>
    </row>
    <row r="817">
      <c r="A817" s="119"/>
    </row>
    <row r="818">
      <c r="A818" s="119"/>
    </row>
    <row r="819">
      <c r="A819" s="119"/>
    </row>
    <row r="820">
      <c r="A820" s="119"/>
    </row>
    <row r="821">
      <c r="A821" s="119"/>
    </row>
    <row r="822">
      <c r="A822" s="119"/>
    </row>
    <row r="823">
      <c r="A823" s="119"/>
    </row>
    <row r="824">
      <c r="A824" s="119"/>
    </row>
    <row r="825">
      <c r="A825" s="119"/>
    </row>
    <row r="826">
      <c r="A826" s="119"/>
    </row>
    <row r="827">
      <c r="A827" s="119"/>
    </row>
    <row r="828">
      <c r="A828" s="119"/>
    </row>
    <row r="829">
      <c r="A829" s="119"/>
    </row>
    <row r="830">
      <c r="A830" s="119"/>
    </row>
    <row r="831">
      <c r="A831" s="119"/>
    </row>
    <row r="832">
      <c r="A832" s="119"/>
    </row>
    <row r="833">
      <c r="A833" s="119"/>
    </row>
    <row r="834">
      <c r="A834" s="119"/>
    </row>
    <row r="835">
      <c r="A835" s="119"/>
    </row>
    <row r="836">
      <c r="A836" s="119"/>
    </row>
    <row r="837">
      <c r="A837" s="119"/>
    </row>
    <row r="838">
      <c r="A838" s="119"/>
    </row>
    <row r="839">
      <c r="A839" s="119"/>
    </row>
    <row r="840">
      <c r="A840" s="119"/>
    </row>
    <row r="841">
      <c r="A841" s="119"/>
    </row>
    <row r="842">
      <c r="A842" s="119"/>
    </row>
    <row r="843">
      <c r="A843" s="119"/>
    </row>
    <row r="844">
      <c r="A844" s="119"/>
    </row>
    <row r="845">
      <c r="A845" s="119"/>
    </row>
    <row r="846">
      <c r="A846" s="119"/>
    </row>
    <row r="847">
      <c r="A847" s="119"/>
    </row>
    <row r="848">
      <c r="A848" s="119"/>
    </row>
    <row r="849">
      <c r="A849" s="119"/>
    </row>
    <row r="850">
      <c r="A850" s="119"/>
    </row>
    <row r="851">
      <c r="A851" s="119"/>
    </row>
    <row r="852">
      <c r="A852" s="119"/>
    </row>
    <row r="853">
      <c r="A853" s="119"/>
    </row>
    <row r="854">
      <c r="A854" s="119"/>
    </row>
    <row r="855">
      <c r="A855" s="119"/>
    </row>
    <row r="856">
      <c r="A856" s="119"/>
    </row>
    <row r="857">
      <c r="A857" s="119"/>
    </row>
    <row r="858">
      <c r="A858" s="119"/>
    </row>
    <row r="859">
      <c r="A859" s="119"/>
    </row>
    <row r="860">
      <c r="A860" s="119"/>
    </row>
    <row r="861">
      <c r="A861" s="119"/>
    </row>
    <row r="862">
      <c r="A862" s="119"/>
    </row>
    <row r="863">
      <c r="A863" s="119"/>
    </row>
    <row r="864">
      <c r="A864" s="119"/>
    </row>
    <row r="865">
      <c r="A865" s="119"/>
    </row>
    <row r="866">
      <c r="A866" s="119"/>
    </row>
    <row r="867">
      <c r="A867" s="119"/>
    </row>
    <row r="868">
      <c r="A868" s="119"/>
    </row>
    <row r="869">
      <c r="A869" s="119"/>
    </row>
    <row r="870">
      <c r="A870" s="119"/>
    </row>
    <row r="871">
      <c r="A871" s="119"/>
    </row>
    <row r="872">
      <c r="A872" s="119"/>
    </row>
    <row r="873">
      <c r="A873" s="119"/>
    </row>
    <row r="874">
      <c r="A874" s="119"/>
    </row>
    <row r="875">
      <c r="A875" s="119"/>
    </row>
    <row r="876">
      <c r="A876" s="119"/>
    </row>
    <row r="877">
      <c r="A877" s="119"/>
    </row>
    <row r="878">
      <c r="A878" s="119"/>
    </row>
    <row r="879">
      <c r="A879" s="119"/>
    </row>
    <row r="880">
      <c r="A880" s="119"/>
    </row>
    <row r="881">
      <c r="A881" s="119"/>
    </row>
    <row r="882">
      <c r="A882" s="119"/>
    </row>
    <row r="883">
      <c r="A883" s="119"/>
    </row>
    <row r="884">
      <c r="A884" s="119"/>
    </row>
    <row r="885">
      <c r="A885" s="119"/>
    </row>
    <row r="886">
      <c r="A886" s="119"/>
    </row>
    <row r="887">
      <c r="A887" s="119"/>
    </row>
    <row r="888">
      <c r="A888" s="119"/>
    </row>
    <row r="889">
      <c r="A889" s="119"/>
    </row>
    <row r="890">
      <c r="A890" s="119"/>
    </row>
    <row r="891">
      <c r="A891" s="119"/>
    </row>
    <row r="892">
      <c r="A892" s="119"/>
    </row>
    <row r="893">
      <c r="A893" s="119"/>
    </row>
    <row r="894">
      <c r="A894" s="119"/>
    </row>
    <row r="895">
      <c r="A895" s="119"/>
    </row>
    <row r="896">
      <c r="A896" s="119"/>
    </row>
    <row r="897">
      <c r="A897" s="119"/>
    </row>
    <row r="898">
      <c r="A898" s="119"/>
    </row>
    <row r="899">
      <c r="A899" s="119"/>
    </row>
    <row r="900">
      <c r="A900" s="119"/>
    </row>
    <row r="901">
      <c r="A901" s="119"/>
    </row>
    <row r="902">
      <c r="A902" s="119"/>
    </row>
    <row r="903">
      <c r="A903" s="119"/>
    </row>
    <row r="904">
      <c r="A904" s="119"/>
    </row>
    <row r="905">
      <c r="A905" s="119"/>
    </row>
    <row r="906">
      <c r="A906" s="119"/>
    </row>
    <row r="907">
      <c r="A907" s="119"/>
    </row>
    <row r="908">
      <c r="A908" s="119"/>
    </row>
    <row r="909">
      <c r="A909" s="119"/>
    </row>
    <row r="910">
      <c r="A910" s="119"/>
    </row>
    <row r="911">
      <c r="A911" s="119"/>
    </row>
    <row r="912">
      <c r="A912" s="119"/>
    </row>
    <row r="913">
      <c r="A913" s="119"/>
    </row>
    <row r="914">
      <c r="A914" s="119"/>
    </row>
    <row r="915">
      <c r="A915" s="119"/>
    </row>
    <row r="916">
      <c r="A916" s="119"/>
    </row>
    <row r="917">
      <c r="A917" s="119"/>
    </row>
    <row r="918">
      <c r="A918" s="119"/>
    </row>
    <row r="919">
      <c r="A919" s="119"/>
    </row>
    <row r="920">
      <c r="A920" s="119"/>
    </row>
    <row r="921">
      <c r="A921" s="119"/>
    </row>
    <row r="922">
      <c r="A922" s="119"/>
    </row>
    <row r="923">
      <c r="A923" s="119"/>
    </row>
    <row r="924">
      <c r="A924" s="119"/>
    </row>
    <row r="925">
      <c r="A925" s="119"/>
    </row>
    <row r="926">
      <c r="A926" s="119"/>
    </row>
    <row r="927">
      <c r="A927" s="119"/>
    </row>
    <row r="928">
      <c r="A928" s="119"/>
    </row>
    <row r="929">
      <c r="A929" s="119"/>
    </row>
    <row r="930">
      <c r="A930" s="119"/>
    </row>
    <row r="931">
      <c r="A931" s="119"/>
    </row>
    <row r="932">
      <c r="A932" s="119"/>
    </row>
    <row r="933">
      <c r="A933" s="119"/>
    </row>
    <row r="934">
      <c r="A934" s="119"/>
    </row>
    <row r="935">
      <c r="A935" s="119"/>
    </row>
    <row r="936">
      <c r="A936" s="119"/>
    </row>
    <row r="937">
      <c r="A937" s="119"/>
    </row>
    <row r="938">
      <c r="A938" s="119"/>
    </row>
    <row r="939">
      <c r="A939" s="119"/>
    </row>
    <row r="940">
      <c r="A940" s="119"/>
    </row>
    <row r="941">
      <c r="A941" s="119"/>
    </row>
    <row r="942">
      <c r="A942" s="119"/>
    </row>
    <row r="943">
      <c r="A943" s="119"/>
    </row>
    <row r="944">
      <c r="A944" s="119"/>
    </row>
    <row r="945">
      <c r="A945" s="119"/>
    </row>
    <row r="946">
      <c r="A946" s="119"/>
    </row>
    <row r="947">
      <c r="A947" s="119"/>
    </row>
    <row r="948">
      <c r="A948" s="119"/>
    </row>
    <row r="949">
      <c r="A949" s="119"/>
    </row>
    <row r="950">
      <c r="A950" s="119"/>
    </row>
    <row r="951">
      <c r="A951" s="119"/>
    </row>
    <row r="952">
      <c r="A952" s="119"/>
    </row>
    <row r="953">
      <c r="A953" s="119"/>
    </row>
    <row r="954">
      <c r="A954" s="119"/>
    </row>
    <row r="955">
      <c r="A955" s="119"/>
    </row>
    <row r="956">
      <c r="A956" s="119"/>
    </row>
    <row r="957">
      <c r="A957" s="119"/>
    </row>
    <row r="958">
      <c r="A958" s="119"/>
    </row>
    <row r="959">
      <c r="A959" s="119"/>
    </row>
    <row r="960">
      <c r="A960" s="119"/>
    </row>
    <row r="961">
      <c r="A961" s="119"/>
    </row>
    <row r="962">
      <c r="A962" s="119"/>
    </row>
    <row r="963">
      <c r="A963" s="119"/>
    </row>
    <row r="964">
      <c r="A964" s="119"/>
    </row>
    <row r="965">
      <c r="A965" s="119"/>
    </row>
    <row r="966">
      <c r="A966" s="119"/>
    </row>
    <row r="967">
      <c r="A967" s="119"/>
    </row>
    <row r="968">
      <c r="A968" s="119"/>
    </row>
    <row r="969">
      <c r="A969" s="119"/>
    </row>
    <row r="970">
      <c r="A970" s="119"/>
    </row>
    <row r="971">
      <c r="A971" s="119"/>
    </row>
    <row r="972">
      <c r="A972" s="119"/>
    </row>
    <row r="973">
      <c r="A973" s="119"/>
    </row>
    <row r="974">
      <c r="A974" s="119"/>
    </row>
    <row r="975">
      <c r="A975" s="119"/>
    </row>
    <row r="976">
      <c r="A976" s="119"/>
    </row>
    <row r="977">
      <c r="A977" s="119"/>
    </row>
    <row r="978">
      <c r="A978" s="119"/>
    </row>
    <row r="979">
      <c r="A979" s="119"/>
    </row>
    <row r="980">
      <c r="A980" s="119"/>
    </row>
    <row r="981">
      <c r="A981" s="119"/>
    </row>
    <row r="982">
      <c r="A982" s="119"/>
    </row>
    <row r="983">
      <c r="A983" s="119"/>
    </row>
    <row r="984">
      <c r="A984" s="119"/>
    </row>
    <row r="985">
      <c r="A985" s="119"/>
    </row>
    <row r="986">
      <c r="A986" s="119"/>
    </row>
    <row r="987">
      <c r="A987" s="119"/>
    </row>
    <row r="988">
      <c r="A988" s="119"/>
    </row>
    <row r="989">
      <c r="A989" s="119"/>
    </row>
    <row r="990">
      <c r="A990" s="119"/>
    </row>
    <row r="991">
      <c r="A991" s="119"/>
    </row>
    <row r="992">
      <c r="A992" s="119"/>
    </row>
    <row r="993">
      <c r="A993" s="119"/>
    </row>
    <row r="994">
      <c r="A994" s="119"/>
    </row>
    <row r="995">
      <c r="A995" s="119"/>
    </row>
    <row r="996">
      <c r="A996" s="119"/>
    </row>
    <row r="997">
      <c r="A997" s="119"/>
    </row>
    <row r="998">
      <c r="A998" s="119"/>
    </row>
    <row r="999">
      <c r="A999" s="119"/>
    </row>
    <row r="1000">
      <c r="A1000" s="119"/>
    </row>
  </sheetData>
  <drawing r:id="rId1"/>
</worksheet>
</file>