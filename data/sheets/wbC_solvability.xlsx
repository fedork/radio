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38x27" sheetId="2" r:id="rId6"/>
    <sheet state="visible" name="Sheet3" sheetId="3" r:id="rId7"/>
    <sheet state="visible" name="fit" sheetId="4" r:id="rId8"/>
    <sheet state="visible" name="Sheet5" sheetId="5" r:id="rId9"/>
    <sheet state="visible" name="solvability" sheetId="6" r:id="rId10"/>
    <sheet state="visible" name="5313 699" sheetId="7" r:id="rId11"/>
    <sheet state="visible" name="magic1" sheetId="8" r:id="rId12"/>
    <sheet state="visible" name="38x20" sheetId="9" r:id="rId13"/>
    <sheet state="visible" name="1989" sheetId="10" r:id="rId14"/>
    <sheet state="visible" name="27x27" sheetId="11" r:id="rId15"/>
    <sheet state="visible" name="25x13 14x13" sheetId="12" r:id="rId16"/>
    <sheet state="visible" name="44" sheetId="13" r:id="rId17"/>
    <sheet state="visible" name="1513,199,198,245" sheetId="14" r:id="rId18"/>
    <sheet state="visible" name="146 " sheetId="15" r:id="rId19"/>
    <sheet state="visible" name="145 144 96 94" sheetId="16" r:id="rId20"/>
    <sheet state="visible" name="94" sheetId="17" r:id="rId21"/>
    <sheet state="visible" name="93" sheetId="18" r:id="rId22"/>
    <sheet state="visible" name="65" sheetId="19" r:id="rId23"/>
    <sheet state="visible" name="54" sheetId="20" r:id="rId24"/>
    <sheet state="visible" name="4517 3123" sheetId="21" r:id="rId25"/>
    <sheet state="visible" name="7341" sheetId="22" r:id="rId26"/>
    <sheet state="visible" name="4921" sheetId="23" r:id="rId27"/>
    <sheet state="visible" name="5120" sheetId="24" r:id="rId28"/>
    <sheet state="visible" name="11281" sheetId="25" r:id="rId29"/>
    <sheet state="visible" name="scalable" sheetId="26" r:id="rId30"/>
    <sheet state="visible" name="5319" sheetId="27" r:id="rId31"/>
  </sheets>
  <definedNames/>
  <calcPr/>
</workbook>
</file>

<file path=xl/sharedStrings.xml><?xml version="1.0" encoding="utf-8"?>
<sst xmlns="http://schemas.openxmlformats.org/spreadsheetml/2006/main" count="106" uniqueCount="91">
  <si>
    <t>n(k) = FLOOR(n(k-1)*SQRT(3)</t>
  </si>
  <si>
    <t>k</t>
  </si>
  <si>
    <t>n</t>
  </si>
  <si>
    <t>n*sqrt(3)</t>
  </si>
  <si>
    <t>n1</t>
  </si>
  <si>
    <t>n2</t>
  </si>
  <si>
    <t>y = -1 + (1 - -1)/(1 + (x/17)^1)</t>
  </si>
  <si>
    <t>y=-1 + 2/(1+x/17)</t>
  </si>
  <si>
    <t>x=n1-16</t>
  </si>
  <si>
    <t>y= -1 + 2/((n1+1)/ 17)</t>
  </si>
  <si>
    <t>y = -1 + 34 / (n1+1)</t>
  </si>
  <si>
    <t>((B1:CZ1+A2:A103-1)^(1/log(2,3)))&gt;(sqrt(3)*(B1:CZ1*A2:A103))</t>
  </si>
  <si>
    <t>ARRAYFORMULA(if(false,(B1:CZ1+A2:A103-1)^(1/log(2,3)),sqrt(3)*(B1:CZ1*A2:A103)))</t>
  </si>
  <si>
    <t>ARRAYFORMULA(if((B1:CZ1+A2:A103-1)^(1/log(2,3))&gt;2*(B1:CZ1*A2:A103),(B1:CZ1+A2:A103-1)^(1/log(2,3)),2*(B1:CZ1*A2:A103)))</t>
  </si>
  <si>
    <t>3^log((B1:CZ1/A2:A103),2)</t>
  </si>
  <si>
    <t>s</t>
  </si>
  <si>
    <t>t</t>
  </si>
  <si>
    <t>sol1</t>
  </si>
  <si>
    <t>sc</t>
  </si>
  <si>
    <t>sort</t>
  </si>
  <si>
    <t>ARRAYFORMULA(if(B1:O1*P2:P55 &gt; B56:O56*A2:A55,B1:O1*P2:P55, B56:O56*A2:A55))</t>
  </si>
  <si>
    <t>ARRAYFORMULA(if(S1:AB1*AC2:AC71 &gt; S72:AB72*R2:R71,S1:AB1*AC2:AC71, S72:AB72*R2:R71))</t>
  </si>
  <si>
    <t>1.05 is too small 1.1 too large - choose 1.07</t>
  </si>
  <si>
    <t>e</t>
  </si>
  <si>
    <t>l</t>
  </si>
  <si>
    <t>4l</t>
  </si>
  <si>
    <t>5l</t>
  </si>
  <si>
    <t>4 e</t>
  </si>
  <si>
    <t>result in 6 can solve Sb(15:13,19:9,19:8,24:5)[638,112] with [7:6,11:5,15:7,3:0] =&gt; Sb(7:6,11:5,15:7,0:0)[202,51]Sb(7:7,8:6,11:4,8:5,15:1,7:4,5:3,0:0)[239,91]Sb(8:7,8:4,4:1,21:5)[197,58]</t>
  </si>
  <si>
    <t>15:13,19:9,19:8,24:5</t>
  </si>
  <si>
    <t>15:13</t>
  </si>
  <si>
    <t>19:9</t>
  </si>
  <si>
    <t>19:8</t>
  </si>
  <si>
    <t>24:5</t>
  </si>
  <si>
    <t>[7:6,11:5,15:7,3:0]</t>
  </si>
  <si>
    <t>7:6</t>
  </si>
  <si>
    <t>11:5</t>
  </si>
  <si>
    <t>15:7</t>
  </si>
  <si>
    <t>3:0</t>
  </si>
  <si>
    <t>Sb(7:6,11:5,15:7,0:0)[202,51]</t>
  </si>
  <si>
    <t>0:0</t>
  </si>
  <si>
    <t>Sb(7:7,8:6,11:4,8:5,15:1,7:4,5:3,0:0)[239,91]</t>
  </si>
  <si>
    <t>55</t>
  </si>
  <si>
    <t>105</t>
  </si>
  <si>
    <t>0</t>
  </si>
  <si>
    <t>202</t>
  </si>
  <si>
    <t>7:7</t>
  </si>
  <si>
    <t>8:6</t>
  </si>
  <si>
    <t>8:5</t>
  </si>
  <si>
    <t>11:4</t>
  </si>
  <si>
    <t>7:4</t>
  </si>
  <si>
    <t>15:1</t>
  </si>
  <si>
    <t>5:3</t>
  </si>
  <si>
    <t>Sb(8:7,8:4,4:1,21:5)[197,58]</t>
  </si>
  <si>
    <t>48</t>
  </si>
  <si>
    <t>40</t>
  </si>
  <si>
    <t>44</t>
  </si>
  <si>
    <t>28</t>
  </si>
  <si>
    <t>15</t>
  </si>
  <si>
    <t>239</t>
  </si>
  <si>
    <t>8:7</t>
  </si>
  <si>
    <t>8:4</t>
  </si>
  <si>
    <t>4:1</t>
  </si>
  <si>
    <t>21:5</t>
  </si>
  <si>
    <t>result in 7 can solve Sb(45:17,31:23)[1478,116] with [16:5,21:17] =&gt; Sb(16:5,21:17)[437,59]Sb(16:12,29:5,21:6,17:10)[633,116]Sb(29:12,10:6)[408,57]</t>
  </si>
  <si>
    <t>result 45:17 =&gt; [16:5]; [29:12];</t>
  </si>
  <si>
    <t>result 31:23 =&gt; [10:6]; [21:17];</t>
  </si>
  <si>
    <t>result in 8 can solve Sb(71:43)[3053,114] with [28:19] =&gt; Sb(28:19)[532,47]Sb(28:24,43:19)[1489,114]Sb(43:24)[1032,67]</t>
  </si>
  <si>
    <t>result 71:43 =&gt; [28:19]; [43:24];</t>
  </si>
  <si>
    <t>result in 7 can solve Sb(49:21)[1029,70] with [29:12] =&gt; Sb(29:12)[348,41]Sb(29:9,20:12)[501,70]Sb(20:9)[180,29]</t>
  </si>
  <si>
    <t>result in 7 can solve Sb(49:21)[1029,70] with [20:9] =&gt; Sb(20:9)[180,29]Sb(20:12,29:9)[501,70]Sb(29:12)[348,41]</t>
  </si>
  <si>
    <t>result 49:21 =&gt; [20:9]; [29:12];</t>
  </si>
  <si>
    <t>result in 7 can solve Sb(51:20)[1020,71] with [29:12] =&gt; Sb(29:12)[348,41]Sb(29:8,22:12)[496,71]Sb(22:8)[176,30]</t>
  </si>
  <si>
    <t>result in 7 can solve Sb(51:20)[1020,71] with [22:8] =&gt; Sb(22:8)[176,30]Sb(22:12,29:8)[496,71]Sb(29:12)[348,41]</t>
  </si>
  <si>
    <t>result 51:20 =&gt; [22:8]; [29:12];</t>
  </si>
  <si>
    <t>n01</t>
  </si>
  <si>
    <t>n02</t>
  </si>
  <si>
    <t>square</t>
  </si>
  <si>
    <t>2:1</t>
  </si>
  <si>
    <t>a^2-a-2t=0</t>
  </si>
  <si>
    <t>D=sqrt(1+8t)</t>
  </si>
  <si>
    <t>a=(1+D)/2</t>
  </si>
  <si>
    <t>a</t>
  </si>
  <si>
    <t>3^k</t>
  </si>
  <si>
    <t>a*(a-1)/2</t>
  </si>
  <si>
    <t>t=3^k/3</t>
  </si>
  <si>
    <t>a*(a+1)/2</t>
  </si>
  <si>
    <t>diff a</t>
  </si>
  <si>
    <t>cap</t>
  </si>
  <si>
    <t>result in 7 can solve Sb(53:19)[1007,72] with [22:8] =&gt; Sb(22:8)[176,30]Sb(22:11,31:8)[490,72]Sb(31:11)[341,42]</t>
  </si>
  <si>
    <t>result 53:19 =&gt; [22:8]; [31:11];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</si>
</sst>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1.0"/>
      <color rgb="FF1155CC"/>
      <name val="Inconsolata"/>
    </font>
    <font>
      <sz val="11.0"/>
      <color rgb="FF000000"/>
      <name val="Inconsolata"/>
    </font>
    <font>
      <color rgb="FF000000"/>
      <name val="Arial"/>
      <scheme val="minor"/>
    </font>
    <font>
      <sz val="8.0"/>
      <color theme="1"/>
      <name val="Arial"/>
      <scheme val="minor"/>
    </font>
    <font>
      <b/>
      <color rgb="FF000000"/>
      <name val="Arial"/>
      <scheme val="minor"/>
    </font>
    <font>
      <color rgb="FF4A86E8"/>
      <name val="Arial"/>
      <scheme val="minor"/>
    </font>
    <font>
      <b/>
      <color theme="4"/>
      <name val="Arial"/>
      <scheme val="minor"/>
    </font>
    <font>
      <b/>
      <color rgb="FF4A86E8"/>
      <name val="Arial"/>
      <scheme val="minor"/>
    </font>
    <font>
      <color theme="4"/>
      <name val="Arial"/>
      <scheme val="minor"/>
    </font>
    <font>
      <sz val="11.0"/>
      <color rgb="FF38761D"/>
      <name val="Inconsolata"/>
    </font>
    <font>
      <color rgb="FF38761D"/>
      <name val="Arial"/>
      <scheme val="minor"/>
    </font>
    <font>
      <b/>
      <sz val="11.0"/>
      <color rgb="FF38761D"/>
      <name val="Inconsolata"/>
    </font>
    <font>
      <sz val="11.0"/>
      <color rgb="FFFF9900"/>
      <name val="Inconsolata"/>
    </font>
    <font>
      <color rgb="FFFF9900"/>
      <name val="Arial"/>
      <scheme val="minor"/>
    </font>
    <font>
      <b/>
      <sz val="11.0"/>
      <color rgb="FF980000"/>
      <name val="Inconsolata"/>
    </font>
    <font>
      <color rgb="FF980000"/>
      <name val="Arial"/>
      <scheme val="minor"/>
    </font>
    <font>
      <sz val="11.0"/>
      <color rgb="FF980000"/>
      <name val="Inconsolata"/>
    </font>
    <font>
      <b/>
      <color theme="1"/>
      <name val="Roboto Mono"/>
    </font>
    <font>
      <sz val="6.0"/>
      <color theme="1"/>
      <name val="Arial"/>
      <scheme val="minor"/>
    </font>
    <font>
      <b/>
      <color rgb="FFB42419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  <xf borderId="0" fillId="0" fontId="3" numFmtId="4" xfId="0" applyFont="1" applyNumberFormat="1"/>
    <xf borderId="0" fillId="2" fontId="1" numFmtId="0" xfId="0" applyAlignment="1" applyFill="1" applyFont="1">
      <alignment readingOrder="0"/>
    </xf>
    <xf borderId="0" fillId="0" fontId="3" numFmtId="0" xfId="0" applyFont="1"/>
    <xf borderId="0" fillId="3" fontId="4" numFmtId="0" xfId="0" applyFill="1" applyFont="1"/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3" fontId="5" numFmtId="0" xfId="0" applyFont="1"/>
    <xf borderId="0" fillId="0" fontId="2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7" fontId="5" numFmtId="0" xfId="0" applyFill="1" applyFont="1"/>
    <xf borderId="0" fillId="7" fontId="1" numFmtId="0" xfId="0" applyFont="1"/>
    <xf borderId="0" fillId="0" fontId="8" numFmtId="0" xfId="0" applyAlignment="1" applyFont="1">
      <alignment readingOrder="0"/>
    </xf>
    <xf borderId="0" fillId="8" fontId="1" numFmtId="0" xfId="0" applyFill="1" applyFont="1"/>
    <xf borderId="0" fillId="5" fontId="1" numFmtId="0" xfId="0" applyFont="1"/>
    <xf borderId="0" fillId="0" fontId="3" numFmtId="0" xfId="0" applyAlignment="1" applyFont="1">
      <alignment readingOrder="0"/>
    </xf>
    <xf borderId="0" fillId="6" fontId="2" numFmtId="0" xfId="0" applyFont="1"/>
    <xf borderId="0" fillId="9" fontId="1" numFmtId="0" xfId="0" applyFill="1" applyFont="1"/>
    <xf borderId="0" fillId="10" fontId="1" numFmtId="0" xfId="0" applyFill="1" applyFont="1"/>
    <xf borderId="0" fillId="10" fontId="9" numFmtId="0" xfId="0" applyFont="1"/>
    <xf borderId="0" fillId="11" fontId="10" numFmtId="0" xfId="0" applyFill="1" applyFont="1"/>
    <xf borderId="0" fillId="11" fontId="11" numFmtId="0" xfId="0" applyFont="1"/>
    <xf borderId="0" fillId="0" fontId="12" numFmtId="0" xfId="0" applyFont="1"/>
    <xf borderId="0" fillId="6" fontId="12" numFmtId="0" xfId="0" applyFont="1"/>
    <xf borderId="0" fillId="6" fontId="2" numFmtId="0" xfId="0" applyAlignment="1" applyFont="1">
      <alignment readingOrder="0"/>
    </xf>
    <xf borderId="0" fillId="10" fontId="12" numFmtId="0" xfId="0" applyFont="1"/>
    <xf borderId="0" fillId="6" fontId="10" numFmtId="0" xfId="0" applyFont="1"/>
    <xf borderId="0" fillId="0" fontId="10" numFmtId="0" xfId="0" applyFont="1"/>
    <xf borderId="0" fillId="0" fontId="1" numFmtId="164" xfId="0" applyAlignment="1" applyFont="1" applyNumberFormat="1">
      <alignment readingOrder="0"/>
    </xf>
    <xf borderId="0" fillId="11" fontId="12" numFmtId="0" xfId="0" applyFont="1"/>
    <xf borderId="0" fillId="8" fontId="12" numFmtId="0" xfId="0" applyFont="1"/>
    <xf borderId="0" fillId="10" fontId="2" numFmtId="0" xfId="0" applyFont="1"/>
    <xf borderId="0" fillId="3" fontId="5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Font="1" applyNumberFormat="1"/>
    <xf borderId="0" fillId="0" fontId="1" numFmtId="49" xfId="0" applyAlignment="1" applyFont="1" applyNumberFormat="1">
      <alignment readingOrder="0"/>
    </xf>
    <xf borderId="0" fillId="3" fontId="13" numFmtId="0" xfId="0" applyAlignment="1" applyFont="1">
      <alignment readingOrder="0"/>
    </xf>
    <xf borderId="0" fillId="0" fontId="14" numFmtId="49" xfId="0" applyFont="1" applyNumberFormat="1"/>
    <xf borderId="0" fillId="3" fontId="15" numFmtId="49" xfId="0" applyAlignment="1" applyFont="1" applyNumberFormat="1">
      <alignment readingOrder="0"/>
    </xf>
    <xf borderId="0" fillId="3" fontId="13" numFmtId="49" xfId="0" applyAlignment="1" applyFont="1" applyNumberFormat="1">
      <alignment readingOrder="0"/>
    </xf>
    <xf borderId="0" fillId="3" fontId="16" numFmtId="0" xfId="0" applyAlignment="1" applyFont="1">
      <alignment readingOrder="0"/>
    </xf>
    <xf borderId="0" fillId="3" fontId="16" numFmtId="49" xfId="0" applyAlignment="1" applyFont="1" applyNumberFormat="1">
      <alignment readingOrder="0"/>
    </xf>
    <xf borderId="0" fillId="0" fontId="17" numFmtId="49" xfId="0" applyFont="1" applyNumberFormat="1"/>
    <xf borderId="0" fillId="3" fontId="18" numFmtId="0" xfId="0" applyAlignment="1" applyFont="1">
      <alignment readingOrder="0"/>
    </xf>
    <xf borderId="0" fillId="0" fontId="19" numFmtId="49" xfId="0" applyFont="1" applyNumberFormat="1"/>
    <xf borderId="0" fillId="3" fontId="20" numFmtId="49" xfId="0" applyAlignment="1" applyFont="1" applyNumberFormat="1">
      <alignment readingOrder="0"/>
    </xf>
    <xf borderId="0" fillId="3" fontId="18" numFmtId="49" xfId="0" applyAlignment="1" applyFont="1" applyNumberFormat="1">
      <alignment readingOrder="0"/>
    </xf>
    <xf borderId="0" fillId="12" fontId="1" numFmtId="0" xfId="0" applyFill="1" applyFont="1"/>
    <xf borderId="0" fillId="0" fontId="21" numFmtId="0" xfId="0" applyAlignment="1" applyFont="1">
      <alignment readingOrder="0"/>
    </xf>
    <xf borderId="0" fillId="13" fontId="1" numFmtId="0" xfId="0" applyFill="1" applyFont="1"/>
    <xf borderId="0" fillId="0" fontId="22" numFmtId="0" xfId="0" applyFont="1"/>
    <xf borderId="0" fillId="13" fontId="22" numFmtId="0" xfId="0" applyFont="1"/>
    <xf borderId="0" fillId="0" fontId="23" numFmtId="0" xfId="0" applyAlignment="1" applyFont="1">
      <alignment readingOrder="0"/>
    </xf>
    <xf borderId="0" fillId="6" fontId="22" numFmtId="0" xfId="0" applyFont="1"/>
    <xf borderId="0" fillId="14" fontId="1" numFmtId="0" xfId="0" applyFill="1" applyFont="1"/>
    <xf borderId="0" fillId="10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0" fillId="15" fontId="1" numFmtId="0" xfId="0" applyFont="1"/>
    <xf borderId="0" fillId="13" fontId="1" numFmtId="0" xfId="0" applyAlignment="1" applyFont="1">
      <alignment readingOrder="0"/>
    </xf>
    <xf borderId="0" fillId="14" fontId="1" numFmtId="0" xfId="0" applyAlignment="1" applyFont="1">
      <alignment readingOrder="0"/>
    </xf>
    <xf borderId="0" fillId="5" fontId="22" numFmtId="0" xfId="0" applyFon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Sheet1!$AB$5:$AB$25</c:f>
              <c:numCache/>
            </c:numRef>
          </c:val>
          <c:smooth val="0"/>
        </c:ser>
        <c:ser>
          <c:idx val="1"/>
          <c:order val="1"/>
          <c:tx>
            <c:strRef>
              <c:f>Sheet1!$AC$4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Sheet1!$AC$5:$AC$25</c:f>
              <c:numCache/>
            </c:numRef>
          </c:val>
          <c:smooth val="0"/>
        </c:ser>
        <c:ser>
          <c:idx val="2"/>
          <c:order val="2"/>
          <c:tx>
            <c:strRef>
              <c:f>Sheet1!$AD$4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Sheet1!$AD$5:$AD$25</c:f>
              <c:numCache/>
            </c:numRef>
          </c:val>
          <c:smooth val="0"/>
        </c:ser>
        <c:ser>
          <c:idx val="3"/>
          <c:order val="3"/>
          <c:tx>
            <c:strRef>
              <c:f>Sheet1!$AE$4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Sheet1!$AE$5:$AE$25</c:f>
              <c:numCache/>
            </c:numRef>
          </c:val>
          <c:smooth val="0"/>
        </c:ser>
        <c:ser>
          <c:idx val="4"/>
          <c:order val="4"/>
          <c:tx>
            <c:strRef>
              <c:f>Sheet1!$AF$4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Sheet1!$AF$5:$AF$25</c:f>
              <c:numCache/>
            </c:numRef>
          </c:val>
          <c:smooth val="0"/>
        </c:ser>
        <c:ser>
          <c:idx val="5"/>
          <c:order val="5"/>
          <c:tx>
            <c:strRef>
              <c:f>Sheet1!$AG$4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Sheet1!$AG$5:$AG$25</c:f>
              <c:numCache/>
            </c:numRef>
          </c:val>
          <c:smooth val="0"/>
        </c:ser>
        <c:ser>
          <c:idx val="6"/>
          <c:order val="6"/>
          <c:tx>
            <c:strRef>
              <c:f>Sheet1!$AH$4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Sheet1!$AH$5:$AH$25</c:f>
              <c:numCache/>
            </c:numRef>
          </c:val>
          <c:smooth val="0"/>
        </c:ser>
        <c:ser>
          <c:idx val="7"/>
          <c:order val="7"/>
          <c:tx>
            <c:strRef>
              <c:f>Sheet1!$AI$4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Sheet1!$AI$5:$AI$25</c:f>
              <c:numCache/>
            </c:numRef>
          </c:val>
          <c:smooth val="0"/>
        </c:ser>
        <c:ser>
          <c:idx val="8"/>
          <c:order val="8"/>
          <c:tx>
            <c:strRef>
              <c:f>Sheet1!$AJ$4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Sheet1!$AJ$5:$AJ$25</c:f>
              <c:numCache/>
            </c:numRef>
          </c:val>
          <c:smooth val="0"/>
        </c:ser>
        <c:ser>
          <c:idx val="9"/>
          <c:order val="9"/>
          <c:tx>
            <c:strRef>
              <c:f>Sheet1!$AK$4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Sheet1!$AK$5:$AK$25</c:f>
              <c:numCache/>
            </c:numRef>
          </c:val>
          <c:smooth val="0"/>
        </c:ser>
        <c:ser>
          <c:idx val="10"/>
          <c:order val="10"/>
          <c:tx>
            <c:strRef>
              <c:f>Sheet1!$AL$4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Sheet1!$AA$5:$AA$25</c:f>
            </c:strRef>
          </c:cat>
          <c:val>
            <c:numRef>
              <c:f>Sheet1!$AL$5:$AL$25</c:f>
              <c:numCache/>
            </c:numRef>
          </c:val>
          <c:smooth val="0"/>
        </c:ser>
        <c:axId val="14101610"/>
        <c:axId val="1198428086"/>
      </c:lineChart>
      <c:catAx>
        <c:axId val="14101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428086"/>
      </c:catAx>
      <c:valAx>
        <c:axId val="1198428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1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solvability!$J$1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solvability!$J$2:$J$55</c:f>
              <c:numCache/>
            </c:numRef>
          </c:val>
          <c:smooth val="0"/>
        </c:ser>
        <c:ser>
          <c:idx val="1"/>
          <c:order val="1"/>
          <c:tx>
            <c:strRef>
              <c:f>solvability!$K$1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solvability!$K$2:$K$55</c:f>
              <c:numCache/>
            </c:numRef>
          </c:val>
          <c:smooth val="0"/>
        </c:ser>
        <c:ser>
          <c:idx val="2"/>
          <c:order val="2"/>
          <c:tx>
            <c:strRef>
              <c:f>solvability!$L$1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solvability!$L$2:$L$55</c:f>
              <c:numCache/>
            </c:numRef>
          </c:val>
          <c:smooth val="0"/>
        </c:ser>
        <c:ser>
          <c:idx val="3"/>
          <c:order val="3"/>
          <c:tx>
            <c:strRef>
              <c:f>solvability!$M$1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solvability!$M$2:$M$55</c:f>
              <c:numCache/>
            </c:numRef>
          </c:val>
          <c:smooth val="0"/>
        </c:ser>
        <c:ser>
          <c:idx val="4"/>
          <c:order val="4"/>
          <c:tx>
            <c:strRef>
              <c:f>solvability!$N$1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solvability!$N$2:$N$55</c:f>
              <c:numCache/>
            </c:numRef>
          </c:val>
          <c:smooth val="0"/>
        </c:ser>
        <c:ser>
          <c:idx val="5"/>
          <c:order val="5"/>
          <c:tx>
            <c:strRef>
              <c:f>solvability!$O$1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solvability!$O$2:$O$55</c:f>
              <c:numCache/>
            </c:numRef>
          </c:val>
          <c:smooth val="0"/>
        </c:ser>
        <c:ser>
          <c:idx val="6"/>
          <c:order val="6"/>
          <c:tx>
            <c:strRef>
              <c:f>solvability!$P$1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solvability!$P$2:$P$55</c:f>
              <c:numCache/>
            </c:numRef>
          </c:val>
          <c:smooth val="0"/>
        </c:ser>
        <c:ser>
          <c:idx val="7"/>
          <c:order val="7"/>
          <c:tx>
            <c:strRef>
              <c:f>solvability!$Q$1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solvability!$Q$2:$Q$55</c:f>
              <c:numCache/>
            </c:numRef>
          </c:val>
          <c:smooth val="0"/>
        </c:ser>
        <c:ser>
          <c:idx val="8"/>
          <c:order val="8"/>
          <c:tx>
            <c:strRef>
              <c:f>solvability!$R$1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solvability!$R$2:$R$55</c:f>
              <c:numCache/>
            </c:numRef>
          </c:val>
          <c:smooth val="0"/>
        </c:ser>
        <c:ser>
          <c:idx val="9"/>
          <c:order val="9"/>
          <c:tx>
            <c:strRef>
              <c:f>solvability!$S$1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solvability!$S$2:$S$55</c:f>
              <c:numCache/>
            </c:numRef>
          </c:val>
          <c:smooth val="0"/>
        </c:ser>
        <c:ser>
          <c:idx val="10"/>
          <c:order val="10"/>
          <c:tx>
            <c:strRef>
              <c:f>solvability!$T$1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solvability!$T$2:$T$55</c:f>
              <c:numCache/>
            </c:numRef>
          </c:val>
          <c:smooth val="0"/>
        </c:ser>
        <c:ser>
          <c:idx val="11"/>
          <c:order val="11"/>
          <c:tx>
            <c:strRef>
              <c:f>solvability!$U$1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solvability!$U$2:$U$55</c:f>
              <c:numCache/>
            </c:numRef>
          </c:val>
          <c:smooth val="0"/>
        </c:ser>
        <c:ser>
          <c:idx val="12"/>
          <c:order val="12"/>
          <c:tx>
            <c:strRef>
              <c:f>solvability!$V$1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solvability!$V$2:$V$55</c:f>
              <c:numCache/>
            </c:numRef>
          </c:val>
          <c:smooth val="0"/>
        </c:ser>
        <c:ser>
          <c:idx val="13"/>
          <c:order val="13"/>
          <c:tx>
            <c:strRef>
              <c:f>solvability!$W$1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solvability!$W$2:$W$55</c:f>
              <c:numCache/>
            </c:numRef>
          </c:val>
          <c:smooth val="0"/>
        </c:ser>
        <c:ser>
          <c:idx val="14"/>
          <c:order val="14"/>
          <c:tx>
            <c:strRef>
              <c:f>solvability!$X$1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solvability!$X$2:$X$55</c:f>
              <c:numCache/>
            </c:numRef>
          </c:val>
          <c:smooth val="0"/>
        </c:ser>
        <c:ser>
          <c:idx val="15"/>
          <c:order val="15"/>
          <c:tx>
            <c:strRef>
              <c:f>solvability!$Y$1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solvability!$Y$2:$Y$55</c:f>
              <c:numCache/>
            </c:numRef>
          </c:val>
          <c:smooth val="0"/>
        </c:ser>
        <c:ser>
          <c:idx val="16"/>
          <c:order val="16"/>
          <c:tx>
            <c:strRef>
              <c:f>solvability!$Z$1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solvability!$Z$2:$Z$55</c:f>
              <c:numCache/>
            </c:numRef>
          </c:val>
          <c:smooth val="0"/>
        </c:ser>
        <c:ser>
          <c:idx val="17"/>
          <c:order val="17"/>
          <c:tx>
            <c:strRef>
              <c:f>solvability!$AA$1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solvability!$AA$2:$AA$55</c:f>
              <c:numCache/>
            </c:numRef>
          </c:val>
          <c:smooth val="0"/>
        </c:ser>
        <c:ser>
          <c:idx val="18"/>
          <c:order val="18"/>
          <c:tx>
            <c:strRef>
              <c:f>solvability!$AB$1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solvability!$AB$2:$AB$55</c:f>
              <c:numCache/>
            </c:numRef>
          </c:val>
          <c:smooth val="0"/>
        </c:ser>
        <c:ser>
          <c:idx val="19"/>
          <c:order val="19"/>
          <c:tx>
            <c:strRef>
              <c:f>solvability!$AC$1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solvability!$AC$2:$AC$55</c:f>
              <c:numCache/>
            </c:numRef>
          </c:val>
          <c:smooth val="0"/>
        </c:ser>
        <c:ser>
          <c:idx val="20"/>
          <c:order val="20"/>
          <c:tx>
            <c:strRef>
              <c:f>solvability!$AD$1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val>
            <c:numRef>
              <c:f>solvability!$AD$2:$AD$55</c:f>
              <c:numCache/>
            </c:numRef>
          </c:val>
          <c:smooth val="0"/>
        </c:ser>
        <c:ser>
          <c:idx val="21"/>
          <c:order val="21"/>
          <c:tx>
            <c:strRef>
              <c:f>solvability!$AE$1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val>
            <c:numRef>
              <c:f>solvability!$AE$2:$AE$55</c:f>
              <c:numCache/>
            </c:numRef>
          </c:val>
          <c:smooth val="0"/>
        </c:ser>
        <c:ser>
          <c:idx val="22"/>
          <c:order val="22"/>
          <c:tx>
            <c:strRef>
              <c:f>solvability!$AF$1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val>
            <c:numRef>
              <c:f>solvability!$AF$2:$AF$55</c:f>
              <c:numCache/>
            </c:numRef>
          </c:val>
          <c:smooth val="0"/>
        </c:ser>
        <c:ser>
          <c:idx val="23"/>
          <c:order val="23"/>
          <c:tx>
            <c:strRef>
              <c:f>solvability!$AG$1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val>
            <c:numRef>
              <c:f>solvability!$AG$2:$AG$55</c:f>
              <c:numCache/>
            </c:numRef>
          </c:val>
          <c:smooth val="0"/>
        </c:ser>
        <c:ser>
          <c:idx val="24"/>
          <c:order val="24"/>
          <c:tx>
            <c:strRef>
              <c:f>solvability!$AH$1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val>
            <c:numRef>
              <c:f>solvability!$AH$2:$AH$55</c:f>
              <c:numCache/>
            </c:numRef>
          </c:val>
          <c:smooth val="0"/>
        </c:ser>
        <c:ser>
          <c:idx val="25"/>
          <c:order val="25"/>
          <c:tx>
            <c:strRef>
              <c:f>solvability!$AI$1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val>
            <c:numRef>
              <c:f>solvability!$AI$2:$AI$55</c:f>
              <c:numCache/>
            </c:numRef>
          </c:val>
          <c:smooth val="0"/>
        </c:ser>
        <c:ser>
          <c:idx val="26"/>
          <c:order val="26"/>
          <c:tx>
            <c:strRef>
              <c:f>solvability!$AJ$1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val>
            <c:numRef>
              <c:f>solvability!$AJ$2:$AJ$55</c:f>
              <c:numCache/>
            </c:numRef>
          </c:val>
          <c:smooth val="0"/>
        </c:ser>
        <c:ser>
          <c:idx val="27"/>
          <c:order val="27"/>
          <c:tx>
            <c:strRef>
              <c:f>solvability!$AK$1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val>
            <c:numRef>
              <c:f>solvability!$AK$2:$AK$55</c:f>
              <c:numCache/>
            </c:numRef>
          </c:val>
          <c:smooth val="0"/>
        </c:ser>
        <c:ser>
          <c:idx val="28"/>
          <c:order val="28"/>
          <c:tx>
            <c:strRef>
              <c:f>solvability!$AL$1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val>
            <c:numRef>
              <c:f>solvability!$AL$2:$AL$55</c:f>
              <c:numCache/>
            </c:numRef>
          </c:val>
          <c:smooth val="0"/>
        </c:ser>
        <c:ser>
          <c:idx val="29"/>
          <c:order val="29"/>
          <c:tx>
            <c:strRef>
              <c:f>solvability!$AM$1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val>
            <c:numRef>
              <c:f>solvability!$AM$2:$AM$55</c:f>
              <c:numCache/>
            </c:numRef>
          </c:val>
          <c:smooth val="0"/>
        </c:ser>
        <c:ser>
          <c:idx val="30"/>
          <c:order val="30"/>
          <c:tx>
            <c:strRef>
              <c:f>solvability!$AN$1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val>
            <c:numRef>
              <c:f>solvability!$AN$2:$AN$55</c:f>
              <c:numCache/>
            </c:numRef>
          </c:val>
          <c:smooth val="0"/>
        </c:ser>
        <c:ser>
          <c:idx val="31"/>
          <c:order val="31"/>
          <c:tx>
            <c:strRef>
              <c:f>solvability!$AO$1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val>
            <c:numRef>
              <c:f>solvability!$AO$2:$AO$55</c:f>
              <c:numCache/>
            </c:numRef>
          </c:val>
          <c:smooth val="0"/>
        </c:ser>
        <c:ser>
          <c:idx val="32"/>
          <c:order val="32"/>
          <c:tx>
            <c:strRef>
              <c:f>solvability!$AP$1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none"/>
          </c:marker>
          <c:val>
            <c:numRef>
              <c:f>solvability!$AP$2:$AP$55</c:f>
              <c:numCache/>
            </c:numRef>
          </c:val>
          <c:smooth val="0"/>
        </c:ser>
        <c:ser>
          <c:idx val="33"/>
          <c:order val="33"/>
          <c:tx>
            <c:strRef>
              <c:f>solvability!$AQ$1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none"/>
          </c:marker>
          <c:val>
            <c:numRef>
              <c:f>solvability!$AQ$2:$AQ$55</c:f>
              <c:numCache/>
            </c:numRef>
          </c:val>
          <c:smooth val="0"/>
        </c:ser>
        <c:ser>
          <c:idx val="34"/>
          <c:order val="34"/>
          <c:tx>
            <c:strRef>
              <c:f>solvability!$AR$1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none"/>
          </c:marker>
          <c:val>
            <c:numRef>
              <c:f>solvability!$AR$2:$AR$55</c:f>
              <c:numCache/>
            </c:numRef>
          </c:val>
          <c:smooth val="0"/>
        </c:ser>
        <c:ser>
          <c:idx val="35"/>
          <c:order val="35"/>
          <c:tx>
            <c:strRef>
              <c:f>solvability!$AS$1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none"/>
          </c:marker>
          <c:val>
            <c:numRef>
              <c:f>solvability!$AS$2:$AS$55</c:f>
              <c:numCache/>
            </c:numRef>
          </c:val>
          <c:smooth val="0"/>
        </c:ser>
        <c:ser>
          <c:idx val="36"/>
          <c:order val="36"/>
          <c:tx>
            <c:strRef>
              <c:f>solvability!$AT$1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none"/>
          </c:marker>
          <c:val>
            <c:numRef>
              <c:f>solvability!$AT$2:$AT$55</c:f>
              <c:numCache/>
            </c:numRef>
          </c:val>
          <c:smooth val="0"/>
        </c:ser>
        <c:ser>
          <c:idx val="37"/>
          <c:order val="37"/>
          <c:tx>
            <c:strRef>
              <c:f>solvability!$AU$1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none"/>
          </c:marker>
          <c:val>
            <c:numRef>
              <c:f>solvability!$AU$2:$AU$55</c:f>
              <c:numCache/>
            </c:numRef>
          </c:val>
          <c:smooth val="0"/>
        </c:ser>
        <c:ser>
          <c:idx val="38"/>
          <c:order val="38"/>
          <c:tx>
            <c:strRef>
              <c:f>solvability!$AV$1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none"/>
          </c:marker>
          <c:val>
            <c:numRef>
              <c:f>solvability!$AV$2:$AV$55</c:f>
              <c:numCache/>
            </c:numRef>
          </c:val>
          <c:smooth val="0"/>
        </c:ser>
        <c:ser>
          <c:idx val="39"/>
          <c:order val="39"/>
          <c:tx>
            <c:strRef>
              <c:f>solvability!$AW$1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none"/>
          </c:marker>
          <c:val>
            <c:numRef>
              <c:f>solvability!$AW$2:$AW$55</c:f>
              <c:numCache/>
            </c:numRef>
          </c:val>
          <c:smooth val="0"/>
        </c:ser>
        <c:ser>
          <c:idx val="40"/>
          <c:order val="40"/>
          <c:tx>
            <c:strRef>
              <c:f>solvability!$AX$1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none"/>
          </c:marker>
          <c:val>
            <c:numRef>
              <c:f>solvability!$AX$2:$AX$55</c:f>
              <c:numCache/>
            </c:numRef>
          </c:val>
          <c:smooth val="0"/>
        </c:ser>
        <c:ser>
          <c:idx val="41"/>
          <c:order val="41"/>
          <c:tx>
            <c:strRef>
              <c:f>solvability!$AY$1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none"/>
          </c:marker>
          <c:val>
            <c:numRef>
              <c:f>solvability!$AY$2:$AY$55</c:f>
              <c:numCache/>
            </c:numRef>
          </c:val>
          <c:smooth val="0"/>
        </c:ser>
        <c:ser>
          <c:idx val="42"/>
          <c:order val="42"/>
          <c:tx>
            <c:strRef>
              <c:f>solvability!$AZ$1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none"/>
          </c:marker>
          <c:val>
            <c:numRef>
              <c:f>solvability!$AZ$2:$AZ$55</c:f>
              <c:numCache/>
            </c:numRef>
          </c:val>
          <c:smooth val="0"/>
        </c:ser>
        <c:ser>
          <c:idx val="43"/>
          <c:order val="43"/>
          <c:tx>
            <c:strRef>
              <c:f>solvability!$BA$1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none"/>
          </c:marker>
          <c:val>
            <c:numRef>
              <c:f>solvability!$BA$2:$BA$55</c:f>
              <c:numCache/>
            </c:numRef>
          </c:val>
          <c:smooth val="0"/>
        </c:ser>
        <c:ser>
          <c:idx val="44"/>
          <c:order val="44"/>
          <c:tx>
            <c:strRef>
              <c:f>solvability!$BB$1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none"/>
          </c:marker>
          <c:val>
            <c:numRef>
              <c:f>solvability!$BB$2:$BB$55</c:f>
              <c:numCache/>
            </c:numRef>
          </c:val>
          <c:smooth val="0"/>
        </c:ser>
        <c:ser>
          <c:idx val="45"/>
          <c:order val="45"/>
          <c:tx>
            <c:strRef>
              <c:f>solvability!$BC$1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none"/>
          </c:marker>
          <c:val>
            <c:numRef>
              <c:f>solvability!$BC$2:$BC$55</c:f>
              <c:numCache/>
            </c:numRef>
          </c:val>
          <c:smooth val="0"/>
        </c:ser>
        <c:ser>
          <c:idx val="46"/>
          <c:order val="46"/>
          <c:tx>
            <c:strRef>
              <c:f>solvability!$BD$1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none"/>
          </c:marker>
          <c:val>
            <c:numRef>
              <c:f>solvability!$BD$2:$BD$55</c:f>
              <c:numCache/>
            </c:numRef>
          </c:val>
          <c:smooth val="0"/>
        </c:ser>
        <c:ser>
          <c:idx val="47"/>
          <c:order val="47"/>
          <c:tx>
            <c:strRef>
              <c:f>solvability!$BE$1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none"/>
          </c:marker>
          <c:val>
            <c:numRef>
              <c:f>solvability!$BE$2:$BE$55</c:f>
              <c:numCache/>
            </c:numRef>
          </c:val>
          <c:smooth val="0"/>
        </c:ser>
        <c:ser>
          <c:idx val="48"/>
          <c:order val="48"/>
          <c:tx>
            <c:strRef>
              <c:f>solvability!$BF$1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none"/>
          </c:marker>
          <c:val>
            <c:numRef>
              <c:f>solvability!$BF$2:$BF$55</c:f>
              <c:numCache/>
            </c:numRef>
          </c:val>
          <c:smooth val="0"/>
        </c:ser>
        <c:ser>
          <c:idx val="49"/>
          <c:order val="49"/>
          <c:tx>
            <c:strRef>
              <c:f>solvability!$BG$1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none"/>
          </c:marker>
          <c:val>
            <c:numRef>
              <c:f>solvability!$BG$2:$BG$55</c:f>
              <c:numCache/>
            </c:numRef>
          </c:val>
          <c:smooth val="0"/>
        </c:ser>
        <c:ser>
          <c:idx val="50"/>
          <c:order val="50"/>
          <c:tx>
            <c:strRef>
              <c:f>solvability!$BH$1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none"/>
          </c:marker>
          <c:val>
            <c:numRef>
              <c:f>solvability!$BH$2:$BH$55</c:f>
              <c:numCache/>
            </c:numRef>
          </c:val>
          <c:smooth val="0"/>
        </c:ser>
        <c:ser>
          <c:idx val="51"/>
          <c:order val="51"/>
          <c:tx>
            <c:strRef>
              <c:f>solvability!$BI$1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none"/>
          </c:marker>
          <c:val>
            <c:numRef>
              <c:f>solvability!$BI$2:$BI$55</c:f>
              <c:numCache/>
            </c:numRef>
          </c:val>
          <c:smooth val="0"/>
        </c:ser>
        <c:ser>
          <c:idx val="52"/>
          <c:order val="52"/>
          <c:tx>
            <c:strRef>
              <c:f>solvability!$BJ$1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none"/>
          </c:marker>
          <c:val>
            <c:numRef>
              <c:f>solvability!$BJ$2:$BJ$55</c:f>
              <c:numCache/>
            </c:numRef>
          </c:val>
          <c:smooth val="0"/>
        </c:ser>
        <c:ser>
          <c:idx val="53"/>
          <c:order val="53"/>
          <c:tx>
            <c:strRef>
              <c:f>solvability!$BK$1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none"/>
          </c:marker>
          <c:val>
            <c:numRef>
              <c:f>solvability!$BK$2:$BK$55</c:f>
              <c:numCache/>
            </c:numRef>
          </c:val>
          <c:smooth val="0"/>
        </c:ser>
        <c:axId val="430526512"/>
        <c:axId val="1048748023"/>
      </c:lineChart>
      <c:catAx>
        <c:axId val="43052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8748023"/>
      </c:catAx>
      <c:valAx>
        <c:axId val="1048748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526512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5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55</xdr:row>
      <xdr:rowOff>180975</xdr:rowOff>
    </xdr:from>
    <xdr:ext cx="11125200" cy="6886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2" width="3.13"/>
  </cols>
  <sheetData>
    <row r="1" ht="19.5" customHeight="1">
      <c r="A1" s="18"/>
      <c r="B1" s="19">
        <v>10.0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ht="19.5" customHeight="1">
      <c r="A2" s="19">
        <v>20.0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ht="19.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ht="19.5" customHeight="1">
      <c r="A4" s="18"/>
      <c r="B4" s="19">
        <v>0.0</v>
      </c>
      <c r="C4" s="19">
        <v>1.0</v>
      </c>
      <c r="D4" s="19">
        <v>2.0</v>
      </c>
      <c r="E4" s="19">
        <v>3.0</v>
      </c>
      <c r="F4" s="19">
        <v>4.0</v>
      </c>
      <c r="G4" s="19">
        <v>5.0</v>
      </c>
      <c r="H4" s="19">
        <v>6.0</v>
      </c>
      <c r="I4" s="19">
        <v>7.0</v>
      </c>
      <c r="J4" s="19">
        <v>8.0</v>
      </c>
      <c r="K4" s="19">
        <v>9.0</v>
      </c>
      <c r="L4" s="19">
        <v>10.0</v>
      </c>
      <c r="M4" s="18"/>
      <c r="N4" s="18"/>
      <c r="O4" s="19">
        <v>0.0</v>
      </c>
      <c r="P4" s="19">
        <v>1.0</v>
      </c>
      <c r="Q4" s="19">
        <v>2.0</v>
      </c>
      <c r="R4" s="19">
        <v>3.0</v>
      </c>
      <c r="S4" s="19">
        <v>4.0</v>
      </c>
      <c r="T4" s="19">
        <v>5.0</v>
      </c>
      <c r="U4" s="19">
        <v>6.0</v>
      </c>
      <c r="V4" s="19">
        <v>7.0</v>
      </c>
      <c r="W4" s="19">
        <v>8.0</v>
      </c>
      <c r="X4" s="19">
        <v>9.0</v>
      </c>
      <c r="Y4" s="19">
        <v>10.0</v>
      </c>
      <c r="Z4" s="18"/>
      <c r="AA4" s="18"/>
      <c r="AB4" s="19">
        <v>0.0</v>
      </c>
      <c r="AC4" s="19">
        <v>1.0</v>
      </c>
      <c r="AD4" s="19">
        <v>2.0</v>
      </c>
      <c r="AE4" s="19">
        <v>3.0</v>
      </c>
      <c r="AF4" s="19">
        <v>4.0</v>
      </c>
      <c r="AG4" s="19">
        <v>5.0</v>
      </c>
      <c r="AH4" s="19">
        <v>6.0</v>
      </c>
      <c r="AI4" s="19">
        <v>7.0</v>
      </c>
      <c r="AJ4" s="19">
        <v>8.0</v>
      </c>
      <c r="AK4" s="19">
        <v>9.0</v>
      </c>
      <c r="AL4" s="19">
        <v>10.0</v>
      </c>
      <c r="AM4" s="18"/>
      <c r="AN4" s="18"/>
      <c r="AO4" s="19">
        <v>0.0</v>
      </c>
      <c r="AP4" s="19">
        <v>1.0</v>
      </c>
      <c r="AQ4" s="19">
        <v>2.0</v>
      </c>
      <c r="AR4" s="19">
        <v>3.0</v>
      </c>
      <c r="AS4" s="19">
        <v>4.0</v>
      </c>
      <c r="AT4" s="19">
        <v>5.0</v>
      </c>
      <c r="AU4" s="19">
        <v>6.0</v>
      </c>
      <c r="AV4" s="19">
        <v>7.0</v>
      </c>
      <c r="AW4" s="19">
        <v>8.0</v>
      </c>
      <c r="AX4" s="19">
        <v>9.0</v>
      </c>
      <c r="AY4" s="19">
        <v>10.0</v>
      </c>
      <c r="AZ4" s="18"/>
    </row>
    <row r="5" ht="19.5" customHeight="1">
      <c r="A5" s="19">
        <v>0.0</v>
      </c>
      <c r="B5" s="18">
        <f t="shared" ref="B5:L5" si="1">B$4*$A5</f>
        <v>0</v>
      </c>
      <c r="C5" s="18">
        <f t="shared" si="1"/>
        <v>0</v>
      </c>
      <c r="D5" s="18">
        <f t="shared" si="1"/>
        <v>0</v>
      </c>
      <c r="E5" s="18">
        <f t="shared" si="1"/>
        <v>0</v>
      </c>
      <c r="F5" s="18">
        <f t="shared" si="1"/>
        <v>0</v>
      </c>
      <c r="G5" s="18">
        <f t="shared" si="1"/>
        <v>0</v>
      </c>
      <c r="H5" s="18">
        <f t="shared" si="1"/>
        <v>0</v>
      </c>
      <c r="I5" s="18">
        <f t="shared" si="1"/>
        <v>0</v>
      </c>
      <c r="J5" s="18">
        <f t="shared" si="1"/>
        <v>0</v>
      </c>
      <c r="K5" s="18">
        <f t="shared" si="1"/>
        <v>0</v>
      </c>
      <c r="L5" s="18">
        <f t="shared" si="1"/>
        <v>0</v>
      </c>
      <c r="M5" s="18"/>
      <c r="N5" s="19">
        <v>0.0</v>
      </c>
      <c r="O5" s="18">
        <f t="shared" ref="O5:Y5" si="2">($B$1-O$4)*($A$2-$A5)</f>
        <v>200</v>
      </c>
      <c r="P5" s="18">
        <f t="shared" si="2"/>
        <v>180</v>
      </c>
      <c r="Q5" s="18">
        <f t="shared" si="2"/>
        <v>160</v>
      </c>
      <c r="R5" s="18">
        <f t="shared" si="2"/>
        <v>140</v>
      </c>
      <c r="S5" s="18">
        <f t="shared" si="2"/>
        <v>120</v>
      </c>
      <c r="T5" s="18">
        <f t="shared" si="2"/>
        <v>100</v>
      </c>
      <c r="U5" s="18">
        <f t="shared" si="2"/>
        <v>80</v>
      </c>
      <c r="V5" s="18">
        <f t="shared" si="2"/>
        <v>60</v>
      </c>
      <c r="W5" s="18">
        <f t="shared" si="2"/>
        <v>40</v>
      </c>
      <c r="X5" s="18">
        <f t="shared" si="2"/>
        <v>20</v>
      </c>
      <c r="Y5" s="18">
        <f t="shared" si="2"/>
        <v>0</v>
      </c>
      <c r="Z5" s="18"/>
      <c r="AA5" s="19">
        <v>0.0</v>
      </c>
      <c r="AB5" s="18">
        <f t="shared" ref="AB5:AL5" si="3">B$4*($A$2-$A5)+($B$1-AB$4)*$A5</f>
        <v>0</v>
      </c>
      <c r="AC5" s="18">
        <f t="shared" si="3"/>
        <v>20</v>
      </c>
      <c r="AD5" s="18">
        <f t="shared" si="3"/>
        <v>40</v>
      </c>
      <c r="AE5" s="18">
        <f t="shared" si="3"/>
        <v>60</v>
      </c>
      <c r="AF5" s="18">
        <f t="shared" si="3"/>
        <v>80</v>
      </c>
      <c r="AG5" s="18">
        <f t="shared" si="3"/>
        <v>100</v>
      </c>
      <c r="AH5" s="18">
        <f t="shared" si="3"/>
        <v>120</v>
      </c>
      <c r="AI5" s="18">
        <f t="shared" si="3"/>
        <v>140</v>
      </c>
      <c r="AJ5" s="18">
        <f t="shared" si="3"/>
        <v>160</v>
      </c>
      <c r="AK5" s="18">
        <f t="shared" si="3"/>
        <v>180</v>
      </c>
      <c r="AL5" s="18">
        <f t="shared" si="3"/>
        <v>200</v>
      </c>
      <c r="AM5" s="18"/>
      <c r="AN5" s="19">
        <v>0.0</v>
      </c>
      <c r="AO5" s="18">
        <f t="shared" ref="AO5:AY5" si="4">IF(AND(AB5 &gt; O5,AB5 &gt; B5), 1, 0)</f>
        <v>0</v>
      </c>
      <c r="AP5" s="18">
        <f t="shared" si="4"/>
        <v>0</v>
      </c>
      <c r="AQ5" s="18">
        <f t="shared" si="4"/>
        <v>0</v>
      </c>
      <c r="AR5" s="18">
        <f t="shared" si="4"/>
        <v>0</v>
      </c>
      <c r="AS5" s="18">
        <f t="shared" si="4"/>
        <v>0</v>
      </c>
      <c r="AT5" s="18">
        <f t="shared" si="4"/>
        <v>0</v>
      </c>
      <c r="AU5" s="18">
        <f t="shared" si="4"/>
        <v>1</v>
      </c>
      <c r="AV5" s="18">
        <f t="shared" si="4"/>
        <v>1</v>
      </c>
      <c r="AW5" s="18">
        <f t="shared" si="4"/>
        <v>1</v>
      </c>
      <c r="AX5" s="18">
        <f t="shared" si="4"/>
        <v>1</v>
      </c>
      <c r="AY5" s="18">
        <f t="shared" si="4"/>
        <v>1</v>
      </c>
      <c r="AZ5" s="18"/>
    </row>
    <row r="6" ht="19.5" customHeight="1">
      <c r="A6" s="19">
        <v>1.0</v>
      </c>
      <c r="B6" s="18">
        <f t="shared" ref="B6:L6" si="5">B$4*$A6</f>
        <v>0</v>
      </c>
      <c r="C6" s="18">
        <f t="shared" si="5"/>
        <v>1</v>
      </c>
      <c r="D6" s="18">
        <f t="shared" si="5"/>
        <v>2</v>
      </c>
      <c r="E6" s="18">
        <f t="shared" si="5"/>
        <v>3</v>
      </c>
      <c r="F6" s="18">
        <f t="shared" si="5"/>
        <v>4</v>
      </c>
      <c r="G6" s="18">
        <f t="shared" si="5"/>
        <v>5</v>
      </c>
      <c r="H6" s="18">
        <f t="shared" si="5"/>
        <v>6</v>
      </c>
      <c r="I6" s="18">
        <f t="shared" si="5"/>
        <v>7</v>
      </c>
      <c r="J6" s="18">
        <f t="shared" si="5"/>
        <v>8</v>
      </c>
      <c r="K6" s="18">
        <f t="shared" si="5"/>
        <v>9</v>
      </c>
      <c r="L6" s="18">
        <f t="shared" si="5"/>
        <v>10</v>
      </c>
      <c r="M6" s="18"/>
      <c r="N6" s="19">
        <v>1.0</v>
      </c>
      <c r="O6" s="18">
        <f t="shared" ref="O6:Y6" si="6">($B$1-O$4)*($A$2-$A6)</f>
        <v>190</v>
      </c>
      <c r="P6" s="18">
        <f t="shared" si="6"/>
        <v>171</v>
      </c>
      <c r="Q6" s="18">
        <f t="shared" si="6"/>
        <v>152</v>
      </c>
      <c r="R6" s="18">
        <f t="shared" si="6"/>
        <v>133</v>
      </c>
      <c r="S6" s="18">
        <f t="shared" si="6"/>
        <v>114</v>
      </c>
      <c r="T6" s="18">
        <f t="shared" si="6"/>
        <v>95</v>
      </c>
      <c r="U6" s="18">
        <f t="shared" si="6"/>
        <v>76</v>
      </c>
      <c r="V6" s="18">
        <f t="shared" si="6"/>
        <v>57</v>
      </c>
      <c r="W6" s="18">
        <f t="shared" si="6"/>
        <v>38</v>
      </c>
      <c r="X6" s="18">
        <f t="shared" si="6"/>
        <v>19</v>
      </c>
      <c r="Y6" s="18">
        <f t="shared" si="6"/>
        <v>0</v>
      </c>
      <c r="Z6" s="18"/>
      <c r="AA6" s="19">
        <v>1.0</v>
      </c>
      <c r="AB6" s="18">
        <f t="shared" ref="AB6:AL6" si="7">B$4*($A$2-$A6)+($B$1-AB$4)*$A6</f>
        <v>10</v>
      </c>
      <c r="AC6" s="18">
        <f t="shared" si="7"/>
        <v>28</v>
      </c>
      <c r="AD6" s="18">
        <f t="shared" si="7"/>
        <v>46</v>
      </c>
      <c r="AE6" s="18">
        <f t="shared" si="7"/>
        <v>64</v>
      </c>
      <c r="AF6" s="18">
        <f t="shared" si="7"/>
        <v>82</v>
      </c>
      <c r="AG6" s="18">
        <f t="shared" si="7"/>
        <v>100</v>
      </c>
      <c r="AH6" s="18">
        <f t="shared" si="7"/>
        <v>118</v>
      </c>
      <c r="AI6" s="18">
        <f t="shared" si="7"/>
        <v>136</v>
      </c>
      <c r="AJ6" s="18">
        <f t="shared" si="7"/>
        <v>154</v>
      </c>
      <c r="AK6" s="18">
        <f t="shared" si="7"/>
        <v>172</v>
      </c>
      <c r="AL6" s="18">
        <f t="shared" si="7"/>
        <v>190</v>
      </c>
      <c r="AM6" s="18"/>
      <c r="AN6" s="19">
        <v>1.0</v>
      </c>
      <c r="AO6" s="18">
        <f t="shared" ref="AO6:AY6" si="8">IF(AND(AB6 &gt; O6,AB6 &gt; B6), 1, 0)</f>
        <v>0</v>
      </c>
      <c r="AP6" s="18">
        <f t="shared" si="8"/>
        <v>0</v>
      </c>
      <c r="AQ6" s="18">
        <f t="shared" si="8"/>
        <v>0</v>
      </c>
      <c r="AR6" s="18">
        <f t="shared" si="8"/>
        <v>0</v>
      </c>
      <c r="AS6" s="18">
        <f t="shared" si="8"/>
        <v>0</v>
      </c>
      <c r="AT6" s="18">
        <f t="shared" si="8"/>
        <v>1</v>
      </c>
      <c r="AU6" s="18">
        <f t="shared" si="8"/>
        <v>1</v>
      </c>
      <c r="AV6" s="18">
        <f t="shared" si="8"/>
        <v>1</v>
      </c>
      <c r="AW6" s="18">
        <f t="shared" si="8"/>
        <v>1</v>
      </c>
      <c r="AX6" s="18">
        <f t="shared" si="8"/>
        <v>1</v>
      </c>
      <c r="AY6" s="18">
        <f t="shared" si="8"/>
        <v>1</v>
      </c>
      <c r="AZ6" s="18"/>
    </row>
    <row r="7" ht="19.5" customHeight="1">
      <c r="A7" s="19">
        <v>2.0</v>
      </c>
      <c r="B7" s="18">
        <f t="shared" ref="B7:L7" si="9">B$4*$A7</f>
        <v>0</v>
      </c>
      <c r="C7" s="18">
        <f t="shared" si="9"/>
        <v>2</v>
      </c>
      <c r="D7" s="18">
        <f t="shared" si="9"/>
        <v>4</v>
      </c>
      <c r="E7" s="18">
        <f t="shared" si="9"/>
        <v>6</v>
      </c>
      <c r="F7" s="18">
        <f t="shared" si="9"/>
        <v>8</v>
      </c>
      <c r="G7" s="18">
        <f t="shared" si="9"/>
        <v>10</v>
      </c>
      <c r="H7" s="18">
        <f t="shared" si="9"/>
        <v>12</v>
      </c>
      <c r="I7" s="18">
        <f t="shared" si="9"/>
        <v>14</v>
      </c>
      <c r="J7" s="18">
        <f t="shared" si="9"/>
        <v>16</v>
      </c>
      <c r="K7" s="18">
        <f t="shared" si="9"/>
        <v>18</v>
      </c>
      <c r="L7" s="18">
        <f t="shared" si="9"/>
        <v>20</v>
      </c>
      <c r="M7" s="18"/>
      <c r="N7" s="19">
        <v>2.0</v>
      </c>
      <c r="O7" s="18">
        <f t="shared" ref="O7:Y7" si="10">($B$1-O$4)*($A$2-$A7)</f>
        <v>180</v>
      </c>
      <c r="P7" s="18">
        <f t="shared" si="10"/>
        <v>162</v>
      </c>
      <c r="Q7" s="18">
        <f t="shared" si="10"/>
        <v>144</v>
      </c>
      <c r="R7" s="18">
        <f t="shared" si="10"/>
        <v>126</v>
      </c>
      <c r="S7" s="18">
        <f t="shared" si="10"/>
        <v>108</v>
      </c>
      <c r="T7" s="18">
        <f t="shared" si="10"/>
        <v>90</v>
      </c>
      <c r="U7" s="18">
        <f t="shared" si="10"/>
        <v>72</v>
      </c>
      <c r="V7" s="18">
        <f t="shared" si="10"/>
        <v>54</v>
      </c>
      <c r="W7" s="18">
        <f t="shared" si="10"/>
        <v>36</v>
      </c>
      <c r="X7" s="18">
        <f t="shared" si="10"/>
        <v>18</v>
      </c>
      <c r="Y7" s="18">
        <f t="shared" si="10"/>
        <v>0</v>
      </c>
      <c r="Z7" s="18"/>
      <c r="AA7" s="19">
        <v>2.0</v>
      </c>
      <c r="AB7" s="18">
        <f t="shared" ref="AB7:AL7" si="11">B$4*($A$2-$A7)+($B$1-AB$4)*$A7</f>
        <v>20</v>
      </c>
      <c r="AC7" s="18">
        <f t="shared" si="11"/>
        <v>36</v>
      </c>
      <c r="AD7" s="18">
        <f t="shared" si="11"/>
        <v>52</v>
      </c>
      <c r="AE7" s="18">
        <f t="shared" si="11"/>
        <v>68</v>
      </c>
      <c r="AF7" s="18">
        <f t="shared" si="11"/>
        <v>84</v>
      </c>
      <c r="AG7" s="18">
        <f t="shared" si="11"/>
        <v>100</v>
      </c>
      <c r="AH7" s="18">
        <f t="shared" si="11"/>
        <v>116</v>
      </c>
      <c r="AI7" s="18">
        <f t="shared" si="11"/>
        <v>132</v>
      </c>
      <c r="AJ7" s="18">
        <f t="shared" si="11"/>
        <v>148</v>
      </c>
      <c r="AK7" s="18">
        <f t="shared" si="11"/>
        <v>164</v>
      </c>
      <c r="AL7" s="18">
        <f t="shared" si="11"/>
        <v>180</v>
      </c>
      <c r="AM7" s="18"/>
      <c r="AN7" s="19">
        <v>2.0</v>
      </c>
      <c r="AO7" s="18">
        <f t="shared" ref="AO7:AY7" si="12">IF(AND(AB7 &gt; O7,AB7 &gt; B7), 1, 0)</f>
        <v>0</v>
      </c>
      <c r="AP7" s="18">
        <f t="shared" si="12"/>
        <v>0</v>
      </c>
      <c r="AQ7" s="18">
        <f t="shared" si="12"/>
        <v>0</v>
      </c>
      <c r="AR7" s="18">
        <f t="shared" si="12"/>
        <v>0</v>
      </c>
      <c r="AS7" s="18">
        <f t="shared" si="12"/>
        <v>0</v>
      </c>
      <c r="AT7" s="18">
        <f t="shared" si="12"/>
        <v>1</v>
      </c>
      <c r="AU7" s="18">
        <f t="shared" si="12"/>
        <v>1</v>
      </c>
      <c r="AV7" s="18">
        <f t="shared" si="12"/>
        <v>1</v>
      </c>
      <c r="AW7" s="18">
        <f t="shared" si="12"/>
        <v>1</v>
      </c>
      <c r="AX7" s="18">
        <f t="shared" si="12"/>
        <v>1</v>
      </c>
      <c r="AY7" s="18">
        <f t="shared" si="12"/>
        <v>1</v>
      </c>
      <c r="AZ7" s="18"/>
    </row>
    <row r="8" ht="19.5" customHeight="1">
      <c r="A8" s="19">
        <v>3.0</v>
      </c>
      <c r="B8" s="18">
        <f t="shared" ref="B8:L8" si="13">B$4*$A8</f>
        <v>0</v>
      </c>
      <c r="C8" s="18">
        <f t="shared" si="13"/>
        <v>3</v>
      </c>
      <c r="D8" s="18">
        <f t="shared" si="13"/>
        <v>6</v>
      </c>
      <c r="E8" s="18">
        <f t="shared" si="13"/>
        <v>9</v>
      </c>
      <c r="F8" s="18">
        <f t="shared" si="13"/>
        <v>12</v>
      </c>
      <c r="G8" s="18">
        <f t="shared" si="13"/>
        <v>15</v>
      </c>
      <c r="H8" s="18">
        <f t="shared" si="13"/>
        <v>18</v>
      </c>
      <c r="I8" s="18">
        <f t="shared" si="13"/>
        <v>21</v>
      </c>
      <c r="J8" s="18">
        <f t="shared" si="13"/>
        <v>24</v>
      </c>
      <c r="K8" s="18">
        <f t="shared" si="13"/>
        <v>27</v>
      </c>
      <c r="L8" s="18">
        <f t="shared" si="13"/>
        <v>30</v>
      </c>
      <c r="M8" s="18"/>
      <c r="N8" s="19">
        <v>3.0</v>
      </c>
      <c r="O8" s="18">
        <f t="shared" ref="O8:Y8" si="14">($B$1-O$4)*($A$2-$A8)</f>
        <v>170</v>
      </c>
      <c r="P8" s="18">
        <f t="shared" si="14"/>
        <v>153</v>
      </c>
      <c r="Q8" s="18">
        <f t="shared" si="14"/>
        <v>136</v>
      </c>
      <c r="R8" s="18">
        <f t="shared" si="14"/>
        <v>119</v>
      </c>
      <c r="S8" s="18">
        <f t="shared" si="14"/>
        <v>102</v>
      </c>
      <c r="T8" s="18">
        <f t="shared" si="14"/>
        <v>85</v>
      </c>
      <c r="U8" s="18">
        <f t="shared" si="14"/>
        <v>68</v>
      </c>
      <c r="V8" s="18">
        <f t="shared" si="14"/>
        <v>51</v>
      </c>
      <c r="W8" s="18">
        <f t="shared" si="14"/>
        <v>34</v>
      </c>
      <c r="X8" s="18">
        <f t="shared" si="14"/>
        <v>17</v>
      </c>
      <c r="Y8" s="18">
        <f t="shared" si="14"/>
        <v>0</v>
      </c>
      <c r="Z8" s="18"/>
      <c r="AA8" s="19">
        <v>3.0</v>
      </c>
      <c r="AB8" s="18">
        <f t="shared" ref="AB8:AL8" si="15">B$4*($A$2-$A8)+($B$1-AB$4)*$A8</f>
        <v>30</v>
      </c>
      <c r="AC8" s="18">
        <f t="shared" si="15"/>
        <v>44</v>
      </c>
      <c r="AD8" s="18">
        <f t="shared" si="15"/>
        <v>58</v>
      </c>
      <c r="AE8" s="18">
        <f t="shared" si="15"/>
        <v>72</v>
      </c>
      <c r="AF8" s="18">
        <f t="shared" si="15"/>
        <v>86</v>
      </c>
      <c r="AG8" s="18">
        <f t="shared" si="15"/>
        <v>100</v>
      </c>
      <c r="AH8" s="18">
        <f t="shared" si="15"/>
        <v>114</v>
      </c>
      <c r="AI8" s="18">
        <f t="shared" si="15"/>
        <v>128</v>
      </c>
      <c r="AJ8" s="18">
        <f t="shared" si="15"/>
        <v>142</v>
      </c>
      <c r="AK8" s="18">
        <f t="shared" si="15"/>
        <v>156</v>
      </c>
      <c r="AL8" s="18">
        <f t="shared" si="15"/>
        <v>170</v>
      </c>
      <c r="AM8" s="18"/>
      <c r="AN8" s="19">
        <v>3.0</v>
      </c>
      <c r="AO8" s="18">
        <f t="shared" ref="AO8:AY8" si="16">IF(AND(AB8 &gt; O8,AB8 &gt; B8), 1, 0)</f>
        <v>0</v>
      </c>
      <c r="AP8" s="18">
        <f t="shared" si="16"/>
        <v>0</v>
      </c>
      <c r="AQ8" s="18">
        <f t="shared" si="16"/>
        <v>0</v>
      </c>
      <c r="AR8" s="18">
        <f t="shared" si="16"/>
        <v>0</v>
      </c>
      <c r="AS8" s="18">
        <f t="shared" si="16"/>
        <v>0</v>
      </c>
      <c r="AT8" s="18">
        <f t="shared" si="16"/>
        <v>1</v>
      </c>
      <c r="AU8" s="18">
        <f t="shared" si="16"/>
        <v>1</v>
      </c>
      <c r="AV8" s="18">
        <f t="shared" si="16"/>
        <v>1</v>
      </c>
      <c r="AW8" s="18">
        <f t="shared" si="16"/>
        <v>1</v>
      </c>
      <c r="AX8" s="18">
        <f t="shared" si="16"/>
        <v>1</v>
      </c>
      <c r="AY8" s="18">
        <f t="shared" si="16"/>
        <v>1</v>
      </c>
      <c r="AZ8" s="18"/>
    </row>
    <row r="9" ht="19.5" customHeight="1">
      <c r="A9" s="19">
        <v>4.0</v>
      </c>
      <c r="B9" s="18">
        <f t="shared" ref="B9:L9" si="17">B$4*$A9</f>
        <v>0</v>
      </c>
      <c r="C9" s="18">
        <f t="shared" si="17"/>
        <v>4</v>
      </c>
      <c r="D9" s="18">
        <f t="shared" si="17"/>
        <v>8</v>
      </c>
      <c r="E9" s="18">
        <f t="shared" si="17"/>
        <v>12</v>
      </c>
      <c r="F9" s="18">
        <f t="shared" si="17"/>
        <v>16</v>
      </c>
      <c r="G9" s="18">
        <f t="shared" si="17"/>
        <v>20</v>
      </c>
      <c r="H9" s="18">
        <f t="shared" si="17"/>
        <v>24</v>
      </c>
      <c r="I9" s="18">
        <f t="shared" si="17"/>
        <v>28</v>
      </c>
      <c r="J9" s="18">
        <f t="shared" si="17"/>
        <v>32</v>
      </c>
      <c r="K9" s="18">
        <f t="shared" si="17"/>
        <v>36</v>
      </c>
      <c r="L9" s="18">
        <f t="shared" si="17"/>
        <v>40</v>
      </c>
      <c r="M9" s="18"/>
      <c r="N9" s="19">
        <v>4.0</v>
      </c>
      <c r="O9" s="18">
        <f t="shared" ref="O9:Y9" si="18">($B$1-O$4)*($A$2-$A9)</f>
        <v>160</v>
      </c>
      <c r="P9" s="18">
        <f t="shared" si="18"/>
        <v>144</v>
      </c>
      <c r="Q9" s="18">
        <f t="shared" si="18"/>
        <v>128</v>
      </c>
      <c r="R9" s="18">
        <f t="shared" si="18"/>
        <v>112</v>
      </c>
      <c r="S9" s="18">
        <f t="shared" si="18"/>
        <v>96</v>
      </c>
      <c r="T9" s="18">
        <f t="shared" si="18"/>
        <v>80</v>
      </c>
      <c r="U9" s="18">
        <f t="shared" si="18"/>
        <v>64</v>
      </c>
      <c r="V9" s="18">
        <f t="shared" si="18"/>
        <v>48</v>
      </c>
      <c r="W9" s="18">
        <f t="shared" si="18"/>
        <v>32</v>
      </c>
      <c r="X9" s="18">
        <f t="shared" si="18"/>
        <v>16</v>
      </c>
      <c r="Y9" s="18">
        <f t="shared" si="18"/>
        <v>0</v>
      </c>
      <c r="Z9" s="18"/>
      <c r="AA9" s="19">
        <v>4.0</v>
      </c>
      <c r="AB9" s="18">
        <f t="shared" ref="AB9:AL9" si="19">B$4*($A$2-$A9)+($B$1-AB$4)*$A9</f>
        <v>40</v>
      </c>
      <c r="AC9" s="18">
        <f t="shared" si="19"/>
        <v>52</v>
      </c>
      <c r="AD9" s="18">
        <f t="shared" si="19"/>
        <v>64</v>
      </c>
      <c r="AE9" s="18">
        <f t="shared" si="19"/>
        <v>76</v>
      </c>
      <c r="AF9" s="18">
        <f t="shared" si="19"/>
        <v>88</v>
      </c>
      <c r="AG9" s="18">
        <f t="shared" si="19"/>
        <v>100</v>
      </c>
      <c r="AH9" s="18">
        <f t="shared" si="19"/>
        <v>112</v>
      </c>
      <c r="AI9" s="18">
        <f t="shared" si="19"/>
        <v>124</v>
      </c>
      <c r="AJ9" s="18">
        <f t="shared" si="19"/>
        <v>136</v>
      </c>
      <c r="AK9" s="18">
        <f t="shared" si="19"/>
        <v>148</v>
      </c>
      <c r="AL9" s="18">
        <f t="shared" si="19"/>
        <v>160</v>
      </c>
      <c r="AM9" s="18"/>
      <c r="AN9" s="19">
        <v>4.0</v>
      </c>
      <c r="AO9" s="18">
        <f t="shared" ref="AO9:AY9" si="20">IF(AND(AB9 &gt; O9,AB9 &gt; B9), 1, 0)</f>
        <v>0</v>
      </c>
      <c r="AP9" s="18">
        <f t="shared" si="20"/>
        <v>0</v>
      </c>
      <c r="AQ9" s="18">
        <f t="shared" si="20"/>
        <v>0</v>
      </c>
      <c r="AR9" s="18">
        <f t="shared" si="20"/>
        <v>0</v>
      </c>
      <c r="AS9" s="18">
        <f t="shared" si="20"/>
        <v>0</v>
      </c>
      <c r="AT9" s="18">
        <f t="shared" si="20"/>
        <v>1</v>
      </c>
      <c r="AU9" s="18">
        <f t="shared" si="20"/>
        <v>1</v>
      </c>
      <c r="AV9" s="18">
        <f t="shared" si="20"/>
        <v>1</v>
      </c>
      <c r="AW9" s="18">
        <f t="shared" si="20"/>
        <v>1</v>
      </c>
      <c r="AX9" s="18">
        <f t="shared" si="20"/>
        <v>1</v>
      </c>
      <c r="AY9" s="18">
        <f t="shared" si="20"/>
        <v>1</v>
      </c>
      <c r="AZ9" s="18"/>
    </row>
    <row r="10" ht="19.5" customHeight="1">
      <c r="A10" s="19">
        <v>5.0</v>
      </c>
      <c r="B10" s="18">
        <f t="shared" ref="B10:L10" si="21">B$4*$A10</f>
        <v>0</v>
      </c>
      <c r="C10" s="18">
        <f t="shared" si="21"/>
        <v>5</v>
      </c>
      <c r="D10" s="18">
        <f t="shared" si="21"/>
        <v>10</v>
      </c>
      <c r="E10" s="18">
        <f t="shared" si="21"/>
        <v>15</v>
      </c>
      <c r="F10" s="18">
        <f t="shared" si="21"/>
        <v>20</v>
      </c>
      <c r="G10" s="18">
        <f t="shared" si="21"/>
        <v>25</v>
      </c>
      <c r="H10" s="18">
        <f t="shared" si="21"/>
        <v>30</v>
      </c>
      <c r="I10" s="18">
        <f t="shared" si="21"/>
        <v>35</v>
      </c>
      <c r="J10" s="18">
        <f t="shared" si="21"/>
        <v>40</v>
      </c>
      <c r="K10" s="18">
        <f t="shared" si="21"/>
        <v>45</v>
      </c>
      <c r="L10" s="18">
        <f t="shared" si="21"/>
        <v>50</v>
      </c>
      <c r="M10" s="18"/>
      <c r="N10" s="19">
        <v>5.0</v>
      </c>
      <c r="O10" s="18">
        <f t="shared" ref="O10:Y10" si="22">($B$1-O$4)*($A$2-$A10)</f>
        <v>150</v>
      </c>
      <c r="P10" s="18">
        <f t="shared" si="22"/>
        <v>135</v>
      </c>
      <c r="Q10" s="18">
        <f t="shared" si="22"/>
        <v>120</v>
      </c>
      <c r="R10" s="18">
        <f t="shared" si="22"/>
        <v>105</v>
      </c>
      <c r="S10" s="18">
        <f t="shared" si="22"/>
        <v>90</v>
      </c>
      <c r="T10" s="18">
        <f t="shared" si="22"/>
        <v>75</v>
      </c>
      <c r="U10" s="18">
        <f t="shared" si="22"/>
        <v>60</v>
      </c>
      <c r="V10" s="18">
        <f t="shared" si="22"/>
        <v>45</v>
      </c>
      <c r="W10" s="18">
        <f t="shared" si="22"/>
        <v>30</v>
      </c>
      <c r="X10" s="18">
        <f t="shared" si="22"/>
        <v>15</v>
      </c>
      <c r="Y10" s="18">
        <f t="shared" si="22"/>
        <v>0</v>
      </c>
      <c r="Z10" s="18"/>
      <c r="AA10" s="19">
        <v>5.0</v>
      </c>
      <c r="AB10" s="18">
        <f t="shared" ref="AB10:AL10" si="23">B$4*($A$2-$A10)+($B$1-AB$4)*$A10</f>
        <v>50</v>
      </c>
      <c r="AC10" s="18">
        <f t="shared" si="23"/>
        <v>60</v>
      </c>
      <c r="AD10" s="18">
        <f t="shared" si="23"/>
        <v>70</v>
      </c>
      <c r="AE10" s="18">
        <f t="shared" si="23"/>
        <v>80</v>
      </c>
      <c r="AF10" s="18">
        <f t="shared" si="23"/>
        <v>90</v>
      </c>
      <c r="AG10" s="18">
        <f t="shared" si="23"/>
        <v>100</v>
      </c>
      <c r="AH10" s="18">
        <f t="shared" si="23"/>
        <v>110</v>
      </c>
      <c r="AI10" s="18">
        <f t="shared" si="23"/>
        <v>120</v>
      </c>
      <c r="AJ10" s="18">
        <f t="shared" si="23"/>
        <v>130</v>
      </c>
      <c r="AK10" s="18">
        <f t="shared" si="23"/>
        <v>140</v>
      </c>
      <c r="AL10" s="18">
        <f t="shared" si="23"/>
        <v>150</v>
      </c>
      <c r="AM10" s="18"/>
      <c r="AN10" s="19">
        <v>5.0</v>
      </c>
      <c r="AO10" s="18">
        <f t="shared" ref="AO10:AY10" si="24">IF(AND(AB10 &gt; O10,AB10 &gt; B10), 1, 0)</f>
        <v>0</v>
      </c>
      <c r="AP10" s="18">
        <f t="shared" si="24"/>
        <v>0</v>
      </c>
      <c r="AQ10" s="18">
        <f t="shared" si="24"/>
        <v>0</v>
      </c>
      <c r="AR10" s="18">
        <f t="shared" si="24"/>
        <v>0</v>
      </c>
      <c r="AS10" s="18">
        <f t="shared" si="24"/>
        <v>0</v>
      </c>
      <c r="AT10" s="18">
        <f t="shared" si="24"/>
        <v>1</v>
      </c>
      <c r="AU10" s="18">
        <f t="shared" si="24"/>
        <v>1</v>
      </c>
      <c r="AV10" s="18">
        <f t="shared" si="24"/>
        <v>1</v>
      </c>
      <c r="AW10" s="18">
        <f t="shared" si="24"/>
        <v>1</v>
      </c>
      <c r="AX10" s="18">
        <f t="shared" si="24"/>
        <v>1</v>
      </c>
      <c r="AY10" s="18">
        <f t="shared" si="24"/>
        <v>1</v>
      </c>
      <c r="AZ10" s="18"/>
    </row>
    <row r="11" ht="19.5" customHeight="1">
      <c r="A11" s="19">
        <v>6.0</v>
      </c>
      <c r="B11" s="18">
        <f t="shared" ref="B11:L11" si="25">B$4*$A11</f>
        <v>0</v>
      </c>
      <c r="C11" s="18">
        <f t="shared" si="25"/>
        <v>6</v>
      </c>
      <c r="D11" s="18">
        <f t="shared" si="25"/>
        <v>12</v>
      </c>
      <c r="E11" s="18">
        <f t="shared" si="25"/>
        <v>18</v>
      </c>
      <c r="F11" s="18">
        <f t="shared" si="25"/>
        <v>24</v>
      </c>
      <c r="G11" s="18">
        <f t="shared" si="25"/>
        <v>30</v>
      </c>
      <c r="H11" s="18">
        <f t="shared" si="25"/>
        <v>36</v>
      </c>
      <c r="I11" s="18">
        <f t="shared" si="25"/>
        <v>42</v>
      </c>
      <c r="J11" s="18">
        <f t="shared" si="25"/>
        <v>48</v>
      </c>
      <c r="K11" s="18">
        <f t="shared" si="25"/>
        <v>54</v>
      </c>
      <c r="L11" s="18">
        <f t="shared" si="25"/>
        <v>60</v>
      </c>
      <c r="M11" s="18"/>
      <c r="N11" s="19">
        <v>6.0</v>
      </c>
      <c r="O11" s="18">
        <f t="shared" ref="O11:Y11" si="26">($B$1-O$4)*($A$2-$A11)</f>
        <v>140</v>
      </c>
      <c r="P11" s="18">
        <f t="shared" si="26"/>
        <v>126</v>
      </c>
      <c r="Q11" s="18">
        <f t="shared" si="26"/>
        <v>112</v>
      </c>
      <c r="R11" s="18">
        <f t="shared" si="26"/>
        <v>98</v>
      </c>
      <c r="S11" s="18">
        <f t="shared" si="26"/>
        <v>84</v>
      </c>
      <c r="T11" s="18">
        <f t="shared" si="26"/>
        <v>70</v>
      </c>
      <c r="U11" s="18">
        <f t="shared" si="26"/>
        <v>56</v>
      </c>
      <c r="V11" s="18">
        <f t="shared" si="26"/>
        <v>42</v>
      </c>
      <c r="W11" s="18">
        <f t="shared" si="26"/>
        <v>28</v>
      </c>
      <c r="X11" s="18">
        <f t="shared" si="26"/>
        <v>14</v>
      </c>
      <c r="Y11" s="18">
        <f t="shared" si="26"/>
        <v>0</v>
      </c>
      <c r="Z11" s="18"/>
      <c r="AA11" s="19">
        <v>6.0</v>
      </c>
      <c r="AB11" s="18">
        <f t="shared" ref="AB11:AL11" si="27">B$4*($A$2-$A11)+($B$1-AB$4)*$A11</f>
        <v>60</v>
      </c>
      <c r="AC11" s="18">
        <f t="shared" si="27"/>
        <v>68</v>
      </c>
      <c r="AD11" s="18">
        <f t="shared" si="27"/>
        <v>76</v>
      </c>
      <c r="AE11" s="18">
        <f t="shared" si="27"/>
        <v>84</v>
      </c>
      <c r="AF11" s="18">
        <f t="shared" si="27"/>
        <v>92</v>
      </c>
      <c r="AG11" s="18">
        <f t="shared" si="27"/>
        <v>100</v>
      </c>
      <c r="AH11" s="18">
        <f t="shared" si="27"/>
        <v>108</v>
      </c>
      <c r="AI11" s="18">
        <f t="shared" si="27"/>
        <v>116</v>
      </c>
      <c r="AJ11" s="18">
        <f t="shared" si="27"/>
        <v>124</v>
      </c>
      <c r="AK11" s="18">
        <f t="shared" si="27"/>
        <v>132</v>
      </c>
      <c r="AL11" s="18">
        <f t="shared" si="27"/>
        <v>140</v>
      </c>
      <c r="AM11" s="18"/>
      <c r="AN11" s="19">
        <v>6.0</v>
      </c>
      <c r="AO11" s="18">
        <f t="shared" ref="AO11:AY11" si="28">IF(AND(AB11 &gt; O11,AB11 &gt; B11), 1, 0)</f>
        <v>0</v>
      </c>
      <c r="AP11" s="18">
        <f t="shared" si="28"/>
        <v>0</v>
      </c>
      <c r="AQ11" s="18">
        <f t="shared" si="28"/>
        <v>0</v>
      </c>
      <c r="AR11" s="18">
        <f t="shared" si="28"/>
        <v>0</v>
      </c>
      <c r="AS11" s="18">
        <f t="shared" si="28"/>
        <v>1</v>
      </c>
      <c r="AT11" s="18">
        <f t="shared" si="28"/>
        <v>1</v>
      </c>
      <c r="AU11" s="18">
        <f t="shared" si="28"/>
        <v>1</v>
      </c>
      <c r="AV11" s="18">
        <f t="shared" si="28"/>
        <v>1</v>
      </c>
      <c r="AW11" s="18">
        <f t="shared" si="28"/>
        <v>1</v>
      </c>
      <c r="AX11" s="18">
        <f t="shared" si="28"/>
        <v>1</v>
      </c>
      <c r="AY11" s="18">
        <f t="shared" si="28"/>
        <v>1</v>
      </c>
      <c r="AZ11" s="18"/>
    </row>
    <row r="12" ht="19.5" customHeight="1">
      <c r="A12" s="19">
        <v>7.0</v>
      </c>
      <c r="B12" s="18">
        <f t="shared" ref="B12:L12" si="29">B$4*$A12</f>
        <v>0</v>
      </c>
      <c r="C12" s="18">
        <f t="shared" si="29"/>
        <v>7</v>
      </c>
      <c r="D12" s="18">
        <f t="shared" si="29"/>
        <v>14</v>
      </c>
      <c r="E12" s="18">
        <f t="shared" si="29"/>
        <v>21</v>
      </c>
      <c r="F12" s="18">
        <f t="shared" si="29"/>
        <v>28</v>
      </c>
      <c r="G12" s="18">
        <f t="shared" si="29"/>
        <v>35</v>
      </c>
      <c r="H12" s="18">
        <f t="shared" si="29"/>
        <v>42</v>
      </c>
      <c r="I12" s="18">
        <f t="shared" si="29"/>
        <v>49</v>
      </c>
      <c r="J12" s="18">
        <f t="shared" si="29"/>
        <v>56</v>
      </c>
      <c r="K12" s="18">
        <f t="shared" si="29"/>
        <v>63</v>
      </c>
      <c r="L12" s="18">
        <f t="shared" si="29"/>
        <v>70</v>
      </c>
      <c r="M12" s="18"/>
      <c r="N12" s="19">
        <v>7.0</v>
      </c>
      <c r="O12" s="18">
        <f t="shared" ref="O12:Y12" si="30">($B$1-O$4)*($A$2-$A12)</f>
        <v>130</v>
      </c>
      <c r="P12" s="18">
        <f t="shared" si="30"/>
        <v>117</v>
      </c>
      <c r="Q12" s="18">
        <f t="shared" si="30"/>
        <v>104</v>
      </c>
      <c r="R12" s="18">
        <f t="shared" si="30"/>
        <v>91</v>
      </c>
      <c r="S12" s="18">
        <f t="shared" si="30"/>
        <v>78</v>
      </c>
      <c r="T12" s="18">
        <f t="shared" si="30"/>
        <v>65</v>
      </c>
      <c r="U12" s="18">
        <f t="shared" si="30"/>
        <v>52</v>
      </c>
      <c r="V12" s="18">
        <f t="shared" si="30"/>
        <v>39</v>
      </c>
      <c r="W12" s="18">
        <f t="shared" si="30"/>
        <v>26</v>
      </c>
      <c r="X12" s="18">
        <f t="shared" si="30"/>
        <v>13</v>
      </c>
      <c r="Y12" s="18">
        <f t="shared" si="30"/>
        <v>0</v>
      </c>
      <c r="Z12" s="18"/>
      <c r="AA12" s="19">
        <v>7.0</v>
      </c>
      <c r="AB12" s="18">
        <f t="shared" ref="AB12:AL12" si="31">B$4*($A$2-$A12)+($B$1-AB$4)*$A12</f>
        <v>70</v>
      </c>
      <c r="AC12" s="18">
        <f t="shared" si="31"/>
        <v>76</v>
      </c>
      <c r="AD12" s="18">
        <f t="shared" si="31"/>
        <v>82</v>
      </c>
      <c r="AE12" s="18">
        <f t="shared" si="31"/>
        <v>88</v>
      </c>
      <c r="AF12" s="18">
        <f t="shared" si="31"/>
        <v>94</v>
      </c>
      <c r="AG12" s="18">
        <f t="shared" si="31"/>
        <v>100</v>
      </c>
      <c r="AH12" s="18">
        <f t="shared" si="31"/>
        <v>106</v>
      </c>
      <c r="AI12" s="18">
        <f t="shared" si="31"/>
        <v>112</v>
      </c>
      <c r="AJ12" s="18">
        <f t="shared" si="31"/>
        <v>118</v>
      </c>
      <c r="AK12" s="18">
        <f t="shared" si="31"/>
        <v>124</v>
      </c>
      <c r="AL12" s="18">
        <f t="shared" si="31"/>
        <v>130</v>
      </c>
      <c r="AM12" s="18"/>
      <c r="AN12" s="19">
        <v>7.0</v>
      </c>
      <c r="AO12" s="18">
        <f t="shared" ref="AO12:AY12" si="32">IF(AND(AB12 &gt; O12,AB12 &gt; B12), 1, 0)</f>
        <v>0</v>
      </c>
      <c r="AP12" s="18">
        <f t="shared" si="32"/>
        <v>0</v>
      </c>
      <c r="AQ12" s="18">
        <f t="shared" si="32"/>
        <v>0</v>
      </c>
      <c r="AR12" s="18">
        <f t="shared" si="32"/>
        <v>0</v>
      </c>
      <c r="AS12" s="18">
        <f t="shared" si="32"/>
        <v>1</v>
      </c>
      <c r="AT12" s="18">
        <f t="shared" si="32"/>
        <v>1</v>
      </c>
      <c r="AU12" s="18">
        <f t="shared" si="32"/>
        <v>1</v>
      </c>
      <c r="AV12" s="18">
        <f t="shared" si="32"/>
        <v>1</v>
      </c>
      <c r="AW12" s="18">
        <f t="shared" si="32"/>
        <v>1</v>
      </c>
      <c r="AX12" s="18">
        <f t="shared" si="32"/>
        <v>1</v>
      </c>
      <c r="AY12" s="18">
        <f t="shared" si="32"/>
        <v>1</v>
      </c>
      <c r="AZ12" s="18"/>
    </row>
    <row r="13" ht="19.5" customHeight="1">
      <c r="A13" s="19">
        <v>8.0</v>
      </c>
      <c r="B13" s="18">
        <f t="shared" ref="B13:L13" si="33">B$4*$A13</f>
        <v>0</v>
      </c>
      <c r="C13" s="18">
        <f t="shared" si="33"/>
        <v>8</v>
      </c>
      <c r="D13" s="18">
        <f t="shared" si="33"/>
        <v>16</v>
      </c>
      <c r="E13" s="18">
        <f t="shared" si="33"/>
        <v>24</v>
      </c>
      <c r="F13" s="18">
        <f t="shared" si="33"/>
        <v>32</v>
      </c>
      <c r="G13" s="18">
        <f t="shared" si="33"/>
        <v>40</v>
      </c>
      <c r="H13" s="18">
        <f t="shared" si="33"/>
        <v>48</v>
      </c>
      <c r="I13" s="18">
        <f t="shared" si="33"/>
        <v>56</v>
      </c>
      <c r="J13" s="18">
        <f t="shared" si="33"/>
        <v>64</v>
      </c>
      <c r="K13" s="18">
        <f t="shared" si="33"/>
        <v>72</v>
      </c>
      <c r="L13" s="18">
        <f t="shared" si="33"/>
        <v>80</v>
      </c>
      <c r="M13" s="18"/>
      <c r="N13" s="19">
        <v>8.0</v>
      </c>
      <c r="O13" s="18">
        <f t="shared" ref="O13:Y13" si="34">($B$1-O$4)*($A$2-$A13)</f>
        <v>120</v>
      </c>
      <c r="P13" s="18">
        <f t="shared" si="34"/>
        <v>108</v>
      </c>
      <c r="Q13" s="18">
        <f t="shared" si="34"/>
        <v>96</v>
      </c>
      <c r="R13" s="18">
        <f t="shared" si="34"/>
        <v>84</v>
      </c>
      <c r="S13" s="18">
        <f t="shared" si="34"/>
        <v>72</v>
      </c>
      <c r="T13" s="18">
        <f t="shared" si="34"/>
        <v>60</v>
      </c>
      <c r="U13" s="18">
        <f t="shared" si="34"/>
        <v>48</v>
      </c>
      <c r="V13" s="18">
        <f t="shared" si="34"/>
        <v>36</v>
      </c>
      <c r="W13" s="18">
        <f t="shared" si="34"/>
        <v>24</v>
      </c>
      <c r="X13" s="18">
        <f t="shared" si="34"/>
        <v>12</v>
      </c>
      <c r="Y13" s="18">
        <f t="shared" si="34"/>
        <v>0</v>
      </c>
      <c r="Z13" s="18"/>
      <c r="AA13" s="19">
        <v>8.0</v>
      </c>
      <c r="AB13" s="18">
        <f t="shared" ref="AB13:AL13" si="35">B$4*($A$2-$A13)+($B$1-AB$4)*$A13</f>
        <v>80</v>
      </c>
      <c r="AC13" s="18">
        <f t="shared" si="35"/>
        <v>84</v>
      </c>
      <c r="AD13" s="18">
        <f t="shared" si="35"/>
        <v>88</v>
      </c>
      <c r="AE13" s="18">
        <f t="shared" si="35"/>
        <v>92</v>
      </c>
      <c r="AF13" s="18">
        <f t="shared" si="35"/>
        <v>96</v>
      </c>
      <c r="AG13" s="18">
        <f t="shared" si="35"/>
        <v>100</v>
      </c>
      <c r="AH13" s="18">
        <f t="shared" si="35"/>
        <v>104</v>
      </c>
      <c r="AI13" s="18">
        <f t="shared" si="35"/>
        <v>108</v>
      </c>
      <c r="AJ13" s="18">
        <f t="shared" si="35"/>
        <v>112</v>
      </c>
      <c r="AK13" s="18">
        <f t="shared" si="35"/>
        <v>116</v>
      </c>
      <c r="AL13" s="18">
        <f t="shared" si="35"/>
        <v>120</v>
      </c>
      <c r="AM13" s="18"/>
      <c r="AN13" s="19">
        <v>8.0</v>
      </c>
      <c r="AO13" s="18">
        <f t="shared" ref="AO13:AY13" si="36">IF(AND(AB13 &gt; O13,AB13 &gt; B13), 1, 0)</f>
        <v>0</v>
      </c>
      <c r="AP13" s="18">
        <f t="shared" si="36"/>
        <v>0</v>
      </c>
      <c r="AQ13" s="18">
        <f t="shared" si="36"/>
        <v>0</v>
      </c>
      <c r="AR13" s="18">
        <f t="shared" si="36"/>
        <v>1</v>
      </c>
      <c r="AS13" s="18">
        <f t="shared" si="36"/>
        <v>1</v>
      </c>
      <c r="AT13" s="18">
        <f t="shared" si="36"/>
        <v>1</v>
      </c>
      <c r="AU13" s="18">
        <f t="shared" si="36"/>
        <v>1</v>
      </c>
      <c r="AV13" s="18">
        <f t="shared" si="36"/>
        <v>1</v>
      </c>
      <c r="AW13" s="18">
        <f t="shared" si="36"/>
        <v>1</v>
      </c>
      <c r="AX13" s="18">
        <f t="shared" si="36"/>
        <v>1</v>
      </c>
      <c r="AY13" s="18">
        <f t="shared" si="36"/>
        <v>1</v>
      </c>
      <c r="AZ13" s="18"/>
    </row>
    <row r="14" ht="19.5" customHeight="1">
      <c r="A14" s="19">
        <v>9.0</v>
      </c>
      <c r="B14" s="18">
        <f t="shared" ref="B14:L14" si="37">B$4*$A14</f>
        <v>0</v>
      </c>
      <c r="C14" s="18">
        <f t="shared" si="37"/>
        <v>9</v>
      </c>
      <c r="D14" s="18">
        <f t="shared" si="37"/>
        <v>18</v>
      </c>
      <c r="E14" s="18">
        <f t="shared" si="37"/>
        <v>27</v>
      </c>
      <c r="F14" s="18">
        <f t="shared" si="37"/>
        <v>36</v>
      </c>
      <c r="G14" s="18">
        <f t="shared" si="37"/>
        <v>45</v>
      </c>
      <c r="H14" s="18">
        <f t="shared" si="37"/>
        <v>54</v>
      </c>
      <c r="I14" s="18">
        <f t="shared" si="37"/>
        <v>63</v>
      </c>
      <c r="J14" s="18">
        <f t="shared" si="37"/>
        <v>72</v>
      </c>
      <c r="K14" s="18">
        <f t="shared" si="37"/>
        <v>81</v>
      </c>
      <c r="L14" s="18">
        <f t="shared" si="37"/>
        <v>90</v>
      </c>
      <c r="M14" s="18"/>
      <c r="N14" s="19">
        <v>9.0</v>
      </c>
      <c r="O14" s="18">
        <f t="shared" ref="O14:Y14" si="38">($B$1-O$4)*($A$2-$A14)</f>
        <v>110</v>
      </c>
      <c r="P14" s="18">
        <f t="shared" si="38"/>
        <v>99</v>
      </c>
      <c r="Q14" s="18">
        <f t="shared" si="38"/>
        <v>88</v>
      </c>
      <c r="R14" s="18">
        <f t="shared" si="38"/>
        <v>77</v>
      </c>
      <c r="S14" s="18">
        <f t="shared" si="38"/>
        <v>66</v>
      </c>
      <c r="T14" s="18">
        <f t="shared" si="38"/>
        <v>55</v>
      </c>
      <c r="U14" s="18">
        <f t="shared" si="38"/>
        <v>44</v>
      </c>
      <c r="V14" s="18">
        <f t="shared" si="38"/>
        <v>33</v>
      </c>
      <c r="W14" s="18">
        <f t="shared" si="38"/>
        <v>22</v>
      </c>
      <c r="X14" s="18">
        <f t="shared" si="38"/>
        <v>11</v>
      </c>
      <c r="Y14" s="18">
        <f t="shared" si="38"/>
        <v>0</v>
      </c>
      <c r="Z14" s="18"/>
      <c r="AA14" s="19">
        <v>9.0</v>
      </c>
      <c r="AB14" s="18">
        <f t="shared" ref="AB14:AL14" si="39">B$4*($A$2-$A14)+($B$1-AB$4)*$A14</f>
        <v>90</v>
      </c>
      <c r="AC14" s="18">
        <f t="shared" si="39"/>
        <v>92</v>
      </c>
      <c r="AD14" s="18">
        <f t="shared" si="39"/>
        <v>94</v>
      </c>
      <c r="AE14" s="18">
        <f t="shared" si="39"/>
        <v>96</v>
      </c>
      <c r="AF14" s="18">
        <f t="shared" si="39"/>
        <v>98</v>
      </c>
      <c r="AG14" s="18">
        <f t="shared" si="39"/>
        <v>100</v>
      </c>
      <c r="AH14" s="18">
        <f t="shared" si="39"/>
        <v>102</v>
      </c>
      <c r="AI14" s="18">
        <f t="shared" si="39"/>
        <v>104</v>
      </c>
      <c r="AJ14" s="18">
        <f t="shared" si="39"/>
        <v>106</v>
      </c>
      <c r="AK14" s="18">
        <f t="shared" si="39"/>
        <v>108</v>
      </c>
      <c r="AL14" s="18">
        <f t="shared" si="39"/>
        <v>110</v>
      </c>
      <c r="AM14" s="18"/>
      <c r="AN14" s="19">
        <v>9.0</v>
      </c>
      <c r="AO14" s="18">
        <f t="shared" ref="AO14:AY14" si="40">IF(AND(AB14 &gt; O14,AB14 &gt; B14), 1, 0)</f>
        <v>0</v>
      </c>
      <c r="AP14" s="18">
        <f t="shared" si="40"/>
        <v>0</v>
      </c>
      <c r="AQ14" s="18">
        <f t="shared" si="40"/>
        <v>1</v>
      </c>
      <c r="AR14" s="18">
        <f t="shared" si="40"/>
        <v>1</v>
      </c>
      <c r="AS14" s="18">
        <f t="shared" si="40"/>
        <v>1</v>
      </c>
      <c r="AT14" s="18">
        <f t="shared" si="40"/>
        <v>1</v>
      </c>
      <c r="AU14" s="18">
        <f t="shared" si="40"/>
        <v>1</v>
      </c>
      <c r="AV14" s="18">
        <f t="shared" si="40"/>
        <v>1</v>
      </c>
      <c r="AW14" s="18">
        <f t="shared" si="40"/>
        <v>1</v>
      </c>
      <c r="AX14" s="18">
        <f t="shared" si="40"/>
        <v>1</v>
      </c>
      <c r="AY14" s="18">
        <f t="shared" si="40"/>
        <v>1</v>
      </c>
      <c r="AZ14" s="18"/>
    </row>
    <row r="15" ht="19.5" customHeight="1">
      <c r="A15" s="19">
        <v>10.0</v>
      </c>
      <c r="B15" s="18">
        <f t="shared" ref="B15:L15" si="41">B$4*$A15</f>
        <v>0</v>
      </c>
      <c r="C15" s="18">
        <f t="shared" si="41"/>
        <v>10</v>
      </c>
      <c r="D15" s="18">
        <f t="shared" si="41"/>
        <v>20</v>
      </c>
      <c r="E15" s="18">
        <f t="shared" si="41"/>
        <v>30</v>
      </c>
      <c r="F15" s="18">
        <f t="shared" si="41"/>
        <v>40</v>
      </c>
      <c r="G15" s="18">
        <f t="shared" si="41"/>
        <v>50</v>
      </c>
      <c r="H15" s="18">
        <f t="shared" si="41"/>
        <v>60</v>
      </c>
      <c r="I15" s="18">
        <f t="shared" si="41"/>
        <v>70</v>
      </c>
      <c r="J15" s="18">
        <f t="shared" si="41"/>
        <v>80</v>
      </c>
      <c r="K15" s="18">
        <f t="shared" si="41"/>
        <v>90</v>
      </c>
      <c r="L15" s="18">
        <f t="shared" si="41"/>
        <v>100</v>
      </c>
      <c r="M15" s="18"/>
      <c r="N15" s="19">
        <v>10.0</v>
      </c>
      <c r="O15" s="18">
        <f t="shared" ref="O15:Y15" si="42">($B$1-O$4)*($A$2-$A15)</f>
        <v>100</v>
      </c>
      <c r="P15" s="18">
        <f t="shared" si="42"/>
        <v>90</v>
      </c>
      <c r="Q15" s="18">
        <f t="shared" si="42"/>
        <v>80</v>
      </c>
      <c r="R15" s="18">
        <f t="shared" si="42"/>
        <v>70</v>
      </c>
      <c r="S15" s="18">
        <f t="shared" si="42"/>
        <v>60</v>
      </c>
      <c r="T15" s="18">
        <f t="shared" si="42"/>
        <v>50</v>
      </c>
      <c r="U15" s="18">
        <f t="shared" si="42"/>
        <v>40</v>
      </c>
      <c r="V15" s="18">
        <f t="shared" si="42"/>
        <v>30</v>
      </c>
      <c r="W15" s="18">
        <f t="shared" si="42"/>
        <v>20</v>
      </c>
      <c r="X15" s="18">
        <f t="shared" si="42"/>
        <v>10</v>
      </c>
      <c r="Y15" s="18">
        <f t="shared" si="42"/>
        <v>0</v>
      </c>
      <c r="Z15" s="18"/>
      <c r="AA15" s="19">
        <v>10.0</v>
      </c>
      <c r="AB15" s="18">
        <f t="shared" ref="AB15:AL15" si="43">B$4*($A$2-$A15)+($B$1-AB$4)*$A15</f>
        <v>100</v>
      </c>
      <c r="AC15" s="18">
        <f t="shared" si="43"/>
        <v>100</v>
      </c>
      <c r="AD15" s="18">
        <f t="shared" si="43"/>
        <v>100</v>
      </c>
      <c r="AE15" s="18">
        <f t="shared" si="43"/>
        <v>100</v>
      </c>
      <c r="AF15" s="18">
        <f t="shared" si="43"/>
        <v>100</v>
      </c>
      <c r="AG15" s="18">
        <f t="shared" si="43"/>
        <v>100</v>
      </c>
      <c r="AH15" s="18">
        <f t="shared" si="43"/>
        <v>100</v>
      </c>
      <c r="AI15" s="18">
        <f t="shared" si="43"/>
        <v>100</v>
      </c>
      <c r="AJ15" s="18">
        <f t="shared" si="43"/>
        <v>100</v>
      </c>
      <c r="AK15" s="18">
        <f t="shared" si="43"/>
        <v>100</v>
      </c>
      <c r="AL15" s="18">
        <f t="shared" si="43"/>
        <v>100</v>
      </c>
      <c r="AM15" s="18"/>
      <c r="AN15" s="19">
        <v>10.0</v>
      </c>
      <c r="AO15" s="18">
        <f t="shared" ref="AO15:AY15" si="44">IF(AND(AB15 &gt; O15,AB15 &gt; B15), 1, 0)</f>
        <v>0</v>
      </c>
      <c r="AP15" s="18">
        <f t="shared" si="44"/>
        <v>1</v>
      </c>
      <c r="AQ15" s="18">
        <f t="shared" si="44"/>
        <v>1</v>
      </c>
      <c r="AR15" s="18">
        <f t="shared" si="44"/>
        <v>1</v>
      </c>
      <c r="AS15" s="18">
        <f t="shared" si="44"/>
        <v>1</v>
      </c>
      <c r="AT15" s="18">
        <f t="shared" si="44"/>
        <v>1</v>
      </c>
      <c r="AU15" s="18">
        <f t="shared" si="44"/>
        <v>1</v>
      </c>
      <c r="AV15" s="18">
        <f t="shared" si="44"/>
        <v>1</v>
      </c>
      <c r="AW15" s="18">
        <f t="shared" si="44"/>
        <v>1</v>
      </c>
      <c r="AX15" s="18">
        <f t="shared" si="44"/>
        <v>1</v>
      </c>
      <c r="AY15" s="18">
        <f t="shared" si="44"/>
        <v>0</v>
      </c>
      <c r="AZ15" s="18"/>
    </row>
    <row r="16" ht="19.5" customHeight="1">
      <c r="A16" s="19">
        <v>11.0</v>
      </c>
      <c r="B16" s="18">
        <f t="shared" ref="B16:L16" si="45">B$4*$A16</f>
        <v>0</v>
      </c>
      <c r="C16" s="18">
        <f t="shared" si="45"/>
        <v>11</v>
      </c>
      <c r="D16" s="18">
        <f t="shared" si="45"/>
        <v>22</v>
      </c>
      <c r="E16" s="18">
        <f t="shared" si="45"/>
        <v>33</v>
      </c>
      <c r="F16" s="18">
        <f t="shared" si="45"/>
        <v>44</v>
      </c>
      <c r="G16" s="18">
        <f t="shared" si="45"/>
        <v>55</v>
      </c>
      <c r="H16" s="18">
        <f t="shared" si="45"/>
        <v>66</v>
      </c>
      <c r="I16" s="18">
        <f t="shared" si="45"/>
        <v>77</v>
      </c>
      <c r="J16" s="18">
        <f t="shared" si="45"/>
        <v>88</v>
      </c>
      <c r="K16" s="18">
        <f t="shared" si="45"/>
        <v>99</v>
      </c>
      <c r="L16" s="18">
        <f t="shared" si="45"/>
        <v>110</v>
      </c>
      <c r="M16" s="18"/>
      <c r="N16" s="19">
        <v>11.0</v>
      </c>
      <c r="O16" s="18">
        <f t="shared" ref="O16:Y16" si="46">($B$1-O$4)*($A$2-$A16)</f>
        <v>90</v>
      </c>
      <c r="P16" s="18">
        <f t="shared" si="46"/>
        <v>81</v>
      </c>
      <c r="Q16" s="18">
        <f t="shared" si="46"/>
        <v>72</v>
      </c>
      <c r="R16" s="18">
        <f t="shared" si="46"/>
        <v>63</v>
      </c>
      <c r="S16" s="18">
        <f t="shared" si="46"/>
        <v>54</v>
      </c>
      <c r="T16" s="18">
        <f t="shared" si="46"/>
        <v>45</v>
      </c>
      <c r="U16" s="18">
        <f t="shared" si="46"/>
        <v>36</v>
      </c>
      <c r="V16" s="18">
        <f t="shared" si="46"/>
        <v>27</v>
      </c>
      <c r="W16" s="18">
        <f t="shared" si="46"/>
        <v>18</v>
      </c>
      <c r="X16" s="18">
        <f t="shared" si="46"/>
        <v>9</v>
      </c>
      <c r="Y16" s="18">
        <f t="shared" si="46"/>
        <v>0</v>
      </c>
      <c r="Z16" s="18"/>
      <c r="AA16" s="19">
        <v>11.0</v>
      </c>
      <c r="AB16" s="18">
        <f t="shared" ref="AB16:AL16" si="47">B$4*($A$2-$A16)+($B$1-AB$4)*$A16</f>
        <v>110</v>
      </c>
      <c r="AC16" s="18">
        <f t="shared" si="47"/>
        <v>108</v>
      </c>
      <c r="AD16" s="18">
        <f t="shared" si="47"/>
        <v>106</v>
      </c>
      <c r="AE16" s="18">
        <f t="shared" si="47"/>
        <v>104</v>
      </c>
      <c r="AF16" s="18">
        <f t="shared" si="47"/>
        <v>102</v>
      </c>
      <c r="AG16" s="18">
        <f t="shared" si="47"/>
        <v>100</v>
      </c>
      <c r="AH16" s="18">
        <f t="shared" si="47"/>
        <v>98</v>
      </c>
      <c r="AI16" s="18">
        <f t="shared" si="47"/>
        <v>96</v>
      </c>
      <c r="AJ16" s="18">
        <f t="shared" si="47"/>
        <v>94</v>
      </c>
      <c r="AK16" s="18">
        <f t="shared" si="47"/>
        <v>92</v>
      </c>
      <c r="AL16" s="18">
        <f t="shared" si="47"/>
        <v>90</v>
      </c>
      <c r="AM16" s="18"/>
      <c r="AN16" s="19">
        <v>11.0</v>
      </c>
      <c r="AO16" s="18">
        <f t="shared" ref="AO16:AY16" si="48">IF(AND(AB16 &gt; O16,AB16 &gt; B16), 1, 0)</f>
        <v>1</v>
      </c>
      <c r="AP16" s="18">
        <f t="shared" si="48"/>
        <v>1</v>
      </c>
      <c r="AQ16" s="18">
        <f t="shared" si="48"/>
        <v>1</v>
      </c>
      <c r="AR16" s="18">
        <f t="shared" si="48"/>
        <v>1</v>
      </c>
      <c r="AS16" s="18">
        <f t="shared" si="48"/>
        <v>1</v>
      </c>
      <c r="AT16" s="18">
        <f t="shared" si="48"/>
        <v>1</v>
      </c>
      <c r="AU16" s="18">
        <f t="shared" si="48"/>
        <v>1</v>
      </c>
      <c r="AV16" s="18">
        <f t="shared" si="48"/>
        <v>1</v>
      </c>
      <c r="AW16" s="18">
        <f t="shared" si="48"/>
        <v>1</v>
      </c>
      <c r="AX16" s="18">
        <f t="shared" si="48"/>
        <v>0</v>
      </c>
      <c r="AY16" s="18">
        <f t="shared" si="48"/>
        <v>0</v>
      </c>
      <c r="AZ16" s="18"/>
    </row>
    <row r="17" ht="19.5" customHeight="1">
      <c r="A17" s="19">
        <v>12.0</v>
      </c>
      <c r="B17" s="18">
        <f t="shared" ref="B17:L17" si="49">B$4*$A17</f>
        <v>0</v>
      </c>
      <c r="C17" s="18">
        <f t="shared" si="49"/>
        <v>12</v>
      </c>
      <c r="D17" s="18">
        <f t="shared" si="49"/>
        <v>24</v>
      </c>
      <c r="E17" s="18">
        <f t="shared" si="49"/>
        <v>36</v>
      </c>
      <c r="F17" s="18">
        <f t="shared" si="49"/>
        <v>48</v>
      </c>
      <c r="G17" s="18">
        <f t="shared" si="49"/>
        <v>60</v>
      </c>
      <c r="H17" s="18">
        <f t="shared" si="49"/>
        <v>72</v>
      </c>
      <c r="I17" s="18">
        <f t="shared" si="49"/>
        <v>84</v>
      </c>
      <c r="J17" s="18">
        <f t="shared" si="49"/>
        <v>96</v>
      </c>
      <c r="K17" s="18">
        <f t="shared" si="49"/>
        <v>108</v>
      </c>
      <c r="L17" s="18">
        <f t="shared" si="49"/>
        <v>120</v>
      </c>
      <c r="M17" s="18"/>
      <c r="N17" s="19">
        <v>12.0</v>
      </c>
      <c r="O17" s="18">
        <f t="shared" ref="O17:Y17" si="50">($B$1-O$4)*($A$2-$A17)</f>
        <v>80</v>
      </c>
      <c r="P17" s="18">
        <f t="shared" si="50"/>
        <v>72</v>
      </c>
      <c r="Q17" s="18">
        <f t="shared" si="50"/>
        <v>64</v>
      </c>
      <c r="R17" s="18">
        <f t="shared" si="50"/>
        <v>56</v>
      </c>
      <c r="S17" s="18">
        <f t="shared" si="50"/>
        <v>48</v>
      </c>
      <c r="T17" s="18">
        <f t="shared" si="50"/>
        <v>40</v>
      </c>
      <c r="U17" s="18">
        <f t="shared" si="50"/>
        <v>32</v>
      </c>
      <c r="V17" s="18">
        <f t="shared" si="50"/>
        <v>24</v>
      </c>
      <c r="W17" s="18">
        <f t="shared" si="50"/>
        <v>16</v>
      </c>
      <c r="X17" s="18">
        <f t="shared" si="50"/>
        <v>8</v>
      </c>
      <c r="Y17" s="18">
        <f t="shared" si="50"/>
        <v>0</v>
      </c>
      <c r="Z17" s="18"/>
      <c r="AA17" s="19">
        <v>12.0</v>
      </c>
      <c r="AB17" s="18">
        <f t="shared" ref="AB17:AL17" si="51">B$4*($A$2-$A17)+($B$1-AB$4)*$A17</f>
        <v>120</v>
      </c>
      <c r="AC17" s="18">
        <f t="shared" si="51"/>
        <v>116</v>
      </c>
      <c r="AD17" s="18">
        <f t="shared" si="51"/>
        <v>112</v>
      </c>
      <c r="AE17" s="18">
        <f t="shared" si="51"/>
        <v>108</v>
      </c>
      <c r="AF17" s="18">
        <f t="shared" si="51"/>
        <v>104</v>
      </c>
      <c r="AG17" s="18">
        <f t="shared" si="51"/>
        <v>100</v>
      </c>
      <c r="AH17" s="18">
        <f t="shared" si="51"/>
        <v>96</v>
      </c>
      <c r="AI17" s="18">
        <f t="shared" si="51"/>
        <v>92</v>
      </c>
      <c r="AJ17" s="18">
        <f t="shared" si="51"/>
        <v>88</v>
      </c>
      <c r="AK17" s="18">
        <f t="shared" si="51"/>
        <v>84</v>
      </c>
      <c r="AL17" s="18">
        <f t="shared" si="51"/>
        <v>80</v>
      </c>
      <c r="AM17" s="18"/>
      <c r="AN17" s="19">
        <v>12.0</v>
      </c>
      <c r="AO17" s="18">
        <f t="shared" ref="AO17:AY17" si="52">IF(AND(AB17 &gt; O17,AB17 &gt; B17), 1, 0)</f>
        <v>1</v>
      </c>
      <c r="AP17" s="18">
        <f t="shared" si="52"/>
        <v>1</v>
      </c>
      <c r="AQ17" s="18">
        <f t="shared" si="52"/>
        <v>1</v>
      </c>
      <c r="AR17" s="18">
        <f t="shared" si="52"/>
        <v>1</v>
      </c>
      <c r="AS17" s="18">
        <f t="shared" si="52"/>
        <v>1</v>
      </c>
      <c r="AT17" s="18">
        <f t="shared" si="52"/>
        <v>1</v>
      </c>
      <c r="AU17" s="18">
        <f t="shared" si="52"/>
        <v>1</v>
      </c>
      <c r="AV17" s="18">
        <f t="shared" si="52"/>
        <v>1</v>
      </c>
      <c r="AW17" s="18">
        <f t="shared" si="52"/>
        <v>0</v>
      </c>
      <c r="AX17" s="18">
        <f t="shared" si="52"/>
        <v>0</v>
      </c>
      <c r="AY17" s="18">
        <f t="shared" si="52"/>
        <v>0</v>
      </c>
      <c r="AZ17" s="18"/>
    </row>
    <row r="18" ht="19.5" customHeight="1">
      <c r="A18" s="19">
        <v>13.0</v>
      </c>
      <c r="B18" s="18">
        <f t="shared" ref="B18:L18" si="53">B$4*$A18</f>
        <v>0</v>
      </c>
      <c r="C18" s="18">
        <f t="shared" si="53"/>
        <v>13</v>
      </c>
      <c r="D18" s="18">
        <f t="shared" si="53"/>
        <v>26</v>
      </c>
      <c r="E18" s="18">
        <f t="shared" si="53"/>
        <v>39</v>
      </c>
      <c r="F18" s="18">
        <f t="shared" si="53"/>
        <v>52</v>
      </c>
      <c r="G18" s="18">
        <f t="shared" si="53"/>
        <v>65</v>
      </c>
      <c r="H18" s="18">
        <f t="shared" si="53"/>
        <v>78</v>
      </c>
      <c r="I18" s="18">
        <f t="shared" si="53"/>
        <v>91</v>
      </c>
      <c r="J18" s="18">
        <f t="shared" si="53"/>
        <v>104</v>
      </c>
      <c r="K18" s="18">
        <f t="shared" si="53"/>
        <v>117</v>
      </c>
      <c r="L18" s="18">
        <f t="shared" si="53"/>
        <v>130</v>
      </c>
      <c r="M18" s="18"/>
      <c r="N18" s="19">
        <v>13.0</v>
      </c>
      <c r="O18" s="18">
        <f t="shared" ref="O18:Y18" si="54">($B$1-O$4)*($A$2-$A18)</f>
        <v>70</v>
      </c>
      <c r="P18" s="18">
        <f t="shared" si="54"/>
        <v>63</v>
      </c>
      <c r="Q18" s="18">
        <f t="shared" si="54"/>
        <v>56</v>
      </c>
      <c r="R18" s="18">
        <f t="shared" si="54"/>
        <v>49</v>
      </c>
      <c r="S18" s="18">
        <f t="shared" si="54"/>
        <v>42</v>
      </c>
      <c r="T18" s="18">
        <f t="shared" si="54"/>
        <v>35</v>
      </c>
      <c r="U18" s="18">
        <f t="shared" si="54"/>
        <v>28</v>
      </c>
      <c r="V18" s="18">
        <f t="shared" si="54"/>
        <v>21</v>
      </c>
      <c r="W18" s="18">
        <f t="shared" si="54"/>
        <v>14</v>
      </c>
      <c r="X18" s="18">
        <f t="shared" si="54"/>
        <v>7</v>
      </c>
      <c r="Y18" s="18">
        <f t="shared" si="54"/>
        <v>0</v>
      </c>
      <c r="Z18" s="18"/>
      <c r="AA18" s="19">
        <v>13.0</v>
      </c>
      <c r="AB18" s="18">
        <f t="shared" ref="AB18:AL18" si="55">B$4*($A$2-$A18)+($B$1-AB$4)*$A18</f>
        <v>130</v>
      </c>
      <c r="AC18" s="18">
        <f t="shared" si="55"/>
        <v>124</v>
      </c>
      <c r="AD18" s="18">
        <f t="shared" si="55"/>
        <v>118</v>
      </c>
      <c r="AE18" s="18">
        <f t="shared" si="55"/>
        <v>112</v>
      </c>
      <c r="AF18" s="18">
        <f t="shared" si="55"/>
        <v>106</v>
      </c>
      <c r="AG18" s="18">
        <f t="shared" si="55"/>
        <v>100</v>
      </c>
      <c r="AH18" s="18">
        <f t="shared" si="55"/>
        <v>94</v>
      </c>
      <c r="AI18" s="18">
        <f t="shared" si="55"/>
        <v>88</v>
      </c>
      <c r="AJ18" s="18">
        <f t="shared" si="55"/>
        <v>82</v>
      </c>
      <c r="AK18" s="18">
        <f t="shared" si="55"/>
        <v>76</v>
      </c>
      <c r="AL18" s="18">
        <f t="shared" si="55"/>
        <v>70</v>
      </c>
      <c r="AM18" s="18"/>
      <c r="AN18" s="19">
        <v>13.0</v>
      </c>
      <c r="AO18" s="18">
        <f t="shared" ref="AO18:AY18" si="56">IF(AND(AB18 &gt; O18,AB18 &gt; B18), 1, 0)</f>
        <v>1</v>
      </c>
      <c r="AP18" s="18">
        <f t="shared" si="56"/>
        <v>1</v>
      </c>
      <c r="AQ18" s="18">
        <f t="shared" si="56"/>
        <v>1</v>
      </c>
      <c r="AR18" s="18">
        <f t="shared" si="56"/>
        <v>1</v>
      </c>
      <c r="AS18" s="18">
        <f t="shared" si="56"/>
        <v>1</v>
      </c>
      <c r="AT18" s="18">
        <f t="shared" si="56"/>
        <v>1</v>
      </c>
      <c r="AU18" s="18">
        <f t="shared" si="56"/>
        <v>1</v>
      </c>
      <c r="AV18" s="18">
        <f t="shared" si="56"/>
        <v>0</v>
      </c>
      <c r="AW18" s="18">
        <f t="shared" si="56"/>
        <v>0</v>
      </c>
      <c r="AX18" s="18">
        <f t="shared" si="56"/>
        <v>0</v>
      </c>
      <c r="AY18" s="18">
        <f t="shared" si="56"/>
        <v>0</v>
      </c>
      <c r="AZ18" s="18"/>
    </row>
    <row r="19" ht="19.5" customHeight="1">
      <c r="A19" s="19">
        <v>14.0</v>
      </c>
      <c r="B19" s="18">
        <f t="shared" ref="B19:L19" si="57">B$4*$A19</f>
        <v>0</v>
      </c>
      <c r="C19" s="18">
        <f t="shared" si="57"/>
        <v>14</v>
      </c>
      <c r="D19" s="18">
        <f t="shared" si="57"/>
        <v>28</v>
      </c>
      <c r="E19" s="18">
        <f t="shared" si="57"/>
        <v>42</v>
      </c>
      <c r="F19" s="18">
        <f t="shared" si="57"/>
        <v>56</v>
      </c>
      <c r="G19" s="18">
        <f t="shared" si="57"/>
        <v>70</v>
      </c>
      <c r="H19" s="18">
        <f t="shared" si="57"/>
        <v>84</v>
      </c>
      <c r="I19" s="18">
        <f t="shared" si="57"/>
        <v>98</v>
      </c>
      <c r="J19" s="18">
        <f t="shared" si="57"/>
        <v>112</v>
      </c>
      <c r="K19" s="18">
        <f t="shared" si="57"/>
        <v>126</v>
      </c>
      <c r="L19" s="18">
        <f t="shared" si="57"/>
        <v>140</v>
      </c>
      <c r="M19" s="18"/>
      <c r="N19" s="19">
        <v>14.0</v>
      </c>
      <c r="O19" s="18">
        <f t="shared" ref="O19:Y19" si="58">($B$1-O$4)*($A$2-$A19)</f>
        <v>60</v>
      </c>
      <c r="P19" s="18">
        <f t="shared" si="58"/>
        <v>54</v>
      </c>
      <c r="Q19" s="18">
        <f t="shared" si="58"/>
        <v>48</v>
      </c>
      <c r="R19" s="18">
        <f t="shared" si="58"/>
        <v>42</v>
      </c>
      <c r="S19" s="18">
        <f t="shared" si="58"/>
        <v>36</v>
      </c>
      <c r="T19" s="18">
        <f t="shared" si="58"/>
        <v>30</v>
      </c>
      <c r="U19" s="18">
        <f t="shared" si="58"/>
        <v>24</v>
      </c>
      <c r="V19" s="18">
        <f t="shared" si="58"/>
        <v>18</v>
      </c>
      <c r="W19" s="18">
        <f t="shared" si="58"/>
        <v>12</v>
      </c>
      <c r="X19" s="18">
        <f t="shared" si="58"/>
        <v>6</v>
      </c>
      <c r="Y19" s="18">
        <f t="shared" si="58"/>
        <v>0</v>
      </c>
      <c r="Z19" s="18"/>
      <c r="AA19" s="19">
        <v>14.0</v>
      </c>
      <c r="AB19" s="18">
        <f t="shared" ref="AB19:AL19" si="59">B$4*($A$2-$A19)+($B$1-AB$4)*$A19</f>
        <v>140</v>
      </c>
      <c r="AC19" s="18">
        <f t="shared" si="59"/>
        <v>132</v>
      </c>
      <c r="AD19" s="18">
        <f t="shared" si="59"/>
        <v>124</v>
      </c>
      <c r="AE19" s="18">
        <f t="shared" si="59"/>
        <v>116</v>
      </c>
      <c r="AF19" s="18">
        <f t="shared" si="59"/>
        <v>108</v>
      </c>
      <c r="AG19" s="18">
        <f t="shared" si="59"/>
        <v>100</v>
      </c>
      <c r="AH19" s="18">
        <f t="shared" si="59"/>
        <v>92</v>
      </c>
      <c r="AI19" s="18">
        <f t="shared" si="59"/>
        <v>84</v>
      </c>
      <c r="AJ19" s="18">
        <f t="shared" si="59"/>
        <v>76</v>
      </c>
      <c r="AK19" s="18">
        <f t="shared" si="59"/>
        <v>68</v>
      </c>
      <c r="AL19" s="18">
        <f t="shared" si="59"/>
        <v>60</v>
      </c>
      <c r="AM19" s="18"/>
      <c r="AN19" s="19">
        <v>14.0</v>
      </c>
      <c r="AO19" s="18">
        <f t="shared" ref="AO19:AY19" si="60">IF(AND(AB19 &gt; O19,AB19 &gt; B19), 1, 0)</f>
        <v>1</v>
      </c>
      <c r="AP19" s="18">
        <f t="shared" si="60"/>
        <v>1</v>
      </c>
      <c r="AQ19" s="18">
        <f t="shared" si="60"/>
        <v>1</v>
      </c>
      <c r="AR19" s="18">
        <f t="shared" si="60"/>
        <v>1</v>
      </c>
      <c r="AS19" s="18">
        <f t="shared" si="60"/>
        <v>1</v>
      </c>
      <c r="AT19" s="18">
        <f t="shared" si="60"/>
        <v>1</v>
      </c>
      <c r="AU19" s="18">
        <f t="shared" si="60"/>
        <v>1</v>
      </c>
      <c r="AV19" s="18">
        <f t="shared" si="60"/>
        <v>0</v>
      </c>
      <c r="AW19" s="18">
        <f t="shared" si="60"/>
        <v>0</v>
      </c>
      <c r="AX19" s="18">
        <f t="shared" si="60"/>
        <v>0</v>
      </c>
      <c r="AY19" s="18">
        <f t="shared" si="60"/>
        <v>0</v>
      </c>
      <c r="AZ19" s="18"/>
    </row>
    <row r="20" ht="19.5" customHeight="1">
      <c r="A20" s="19">
        <v>15.0</v>
      </c>
      <c r="B20" s="18">
        <f t="shared" ref="B20:L20" si="61">B$4*$A20</f>
        <v>0</v>
      </c>
      <c r="C20" s="18">
        <f t="shared" si="61"/>
        <v>15</v>
      </c>
      <c r="D20" s="18">
        <f t="shared" si="61"/>
        <v>30</v>
      </c>
      <c r="E20" s="18">
        <f t="shared" si="61"/>
        <v>45</v>
      </c>
      <c r="F20" s="18">
        <f t="shared" si="61"/>
        <v>60</v>
      </c>
      <c r="G20" s="18">
        <f t="shared" si="61"/>
        <v>75</v>
      </c>
      <c r="H20" s="18">
        <f t="shared" si="61"/>
        <v>90</v>
      </c>
      <c r="I20" s="18">
        <f t="shared" si="61"/>
        <v>105</v>
      </c>
      <c r="J20" s="18">
        <f t="shared" si="61"/>
        <v>120</v>
      </c>
      <c r="K20" s="18">
        <f t="shared" si="61"/>
        <v>135</v>
      </c>
      <c r="L20" s="18">
        <f t="shared" si="61"/>
        <v>150</v>
      </c>
      <c r="M20" s="18"/>
      <c r="N20" s="19">
        <v>15.0</v>
      </c>
      <c r="O20" s="18">
        <f t="shared" ref="O20:Y20" si="62">($B$1-O$4)*($A$2-$A20)</f>
        <v>50</v>
      </c>
      <c r="P20" s="18">
        <f t="shared" si="62"/>
        <v>45</v>
      </c>
      <c r="Q20" s="18">
        <f t="shared" si="62"/>
        <v>40</v>
      </c>
      <c r="R20" s="18">
        <f t="shared" si="62"/>
        <v>35</v>
      </c>
      <c r="S20" s="18">
        <f t="shared" si="62"/>
        <v>30</v>
      </c>
      <c r="T20" s="18">
        <f t="shared" si="62"/>
        <v>25</v>
      </c>
      <c r="U20" s="18">
        <f t="shared" si="62"/>
        <v>20</v>
      </c>
      <c r="V20" s="18">
        <f t="shared" si="62"/>
        <v>15</v>
      </c>
      <c r="W20" s="18">
        <f t="shared" si="62"/>
        <v>10</v>
      </c>
      <c r="X20" s="18">
        <f t="shared" si="62"/>
        <v>5</v>
      </c>
      <c r="Y20" s="18">
        <f t="shared" si="62"/>
        <v>0</v>
      </c>
      <c r="Z20" s="18"/>
      <c r="AA20" s="19">
        <v>15.0</v>
      </c>
      <c r="AB20" s="18">
        <f t="shared" ref="AB20:AL20" si="63">B$4*($A$2-$A20)+($B$1-AB$4)*$A20</f>
        <v>150</v>
      </c>
      <c r="AC20" s="18">
        <f t="shared" si="63"/>
        <v>140</v>
      </c>
      <c r="AD20" s="18">
        <f t="shared" si="63"/>
        <v>130</v>
      </c>
      <c r="AE20" s="18">
        <f t="shared" si="63"/>
        <v>120</v>
      </c>
      <c r="AF20" s="18">
        <f t="shared" si="63"/>
        <v>110</v>
      </c>
      <c r="AG20" s="18">
        <f t="shared" si="63"/>
        <v>100</v>
      </c>
      <c r="AH20" s="18">
        <f t="shared" si="63"/>
        <v>90</v>
      </c>
      <c r="AI20" s="18">
        <f t="shared" si="63"/>
        <v>80</v>
      </c>
      <c r="AJ20" s="18">
        <f t="shared" si="63"/>
        <v>70</v>
      </c>
      <c r="AK20" s="18">
        <f t="shared" si="63"/>
        <v>60</v>
      </c>
      <c r="AL20" s="18">
        <f t="shared" si="63"/>
        <v>50</v>
      </c>
      <c r="AM20" s="18"/>
      <c r="AN20" s="19">
        <v>15.0</v>
      </c>
      <c r="AO20" s="18">
        <f t="shared" ref="AO20:AY20" si="64">IF(AND(AB20 &gt; O20,AB20 &gt; B20), 1, 0)</f>
        <v>1</v>
      </c>
      <c r="AP20" s="18">
        <f t="shared" si="64"/>
        <v>1</v>
      </c>
      <c r="AQ20" s="18">
        <f t="shared" si="64"/>
        <v>1</v>
      </c>
      <c r="AR20" s="18">
        <f t="shared" si="64"/>
        <v>1</v>
      </c>
      <c r="AS20" s="18">
        <f t="shared" si="64"/>
        <v>1</v>
      </c>
      <c r="AT20" s="18">
        <f t="shared" si="64"/>
        <v>1</v>
      </c>
      <c r="AU20" s="18">
        <f t="shared" si="64"/>
        <v>0</v>
      </c>
      <c r="AV20" s="18">
        <f t="shared" si="64"/>
        <v>0</v>
      </c>
      <c r="AW20" s="18">
        <f t="shared" si="64"/>
        <v>0</v>
      </c>
      <c r="AX20" s="18">
        <f t="shared" si="64"/>
        <v>0</v>
      </c>
      <c r="AY20" s="18">
        <f t="shared" si="64"/>
        <v>0</v>
      </c>
      <c r="AZ20" s="18"/>
    </row>
    <row r="21" ht="19.5" customHeight="1">
      <c r="A21" s="19">
        <v>16.0</v>
      </c>
      <c r="B21" s="18">
        <f t="shared" ref="B21:L21" si="65">B$4*$A21</f>
        <v>0</v>
      </c>
      <c r="C21" s="18">
        <f t="shared" si="65"/>
        <v>16</v>
      </c>
      <c r="D21" s="18">
        <f t="shared" si="65"/>
        <v>32</v>
      </c>
      <c r="E21" s="18">
        <f t="shared" si="65"/>
        <v>48</v>
      </c>
      <c r="F21" s="18">
        <f t="shared" si="65"/>
        <v>64</v>
      </c>
      <c r="G21" s="18">
        <f t="shared" si="65"/>
        <v>80</v>
      </c>
      <c r="H21" s="18">
        <f t="shared" si="65"/>
        <v>96</v>
      </c>
      <c r="I21" s="18">
        <f t="shared" si="65"/>
        <v>112</v>
      </c>
      <c r="J21" s="18">
        <f t="shared" si="65"/>
        <v>128</v>
      </c>
      <c r="K21" s="18">
        <f t="shared" si="65"/>
        <v>144</v>
      </c>
      <c r="L21" s="18">
        <f t="shared" si="65"/>
        <v>160</v>
      </c>
      <c r="M21" s="18"/>
      <c r="N21" s="19">
        <v>16.0</v>
      </c>
      <c r="O21" s="18">
        <f t="shared" ref="O21:Y21" si="66">($B$1-O$4)*($A$2-$A21)</f>
        <v>40</v>
      </c>
      <c r="P21" s="18">
        <f t="shared" si="66"/>
        <v>36</v>
      </c>
      <c r="Q21" s="18">
        <f t="shared" si="66"/>
        <v>32</v>
      </c>
      <c r="R21" s="18">
        <f t="shared" si="66"/>
        <v>28</v>
      </c>
      <c r="S21" s="18">
        <f t="shared" si="66"/>
        <v>24</v>
      </c>
      <c r="T21" s="18">
        <f t="shared" si="66"/>
        <v>20</v>
      </c>
      <c r="U21" s="18">
        <f t="shared" si="66"/>
        <v>16</v>
      </c>
      <c r="V21" s="18">
        <f t="shared" si="66"/>
        <v>12</v>
      </c>
      <c r="W21" s="18">
        <f t="shared" si="66"/>
        <v>8</v>
      </c>
      <c r="X21" s="18">
        <f t="shared" si="66"/>
        <v>4</v>
      </c>
      <c r="Y21" s="18">
        <f t="shared" si="66"/>
        <v>0</v>
      </c>
      <c r="Z21" s="18"/>
      <c r="AA21" s="19">
        <v>16.0</v>
      </c>
      <c r="AB21" s="18">
        <f t="shared" ref="AB21:AL21" si="67">B$4*($A$2-$A21)+($B$1-AB$4)*$A21</f>
        <v>160</v>
      </c>
      <c r="AC21" s="18">
        <f t="shared" si="67"/>
        <v>148</v>
      </c>
      <c r="AD21" s="18">
        <f t="shared" si="67"/>
        <v>136</v>
      </c>
      <c r="AE21" s="18">
        <f t="shared" si="67"/>
        <v>124</v>
      </c>
      <c r="AF21" s="18">
        <f t="shared" si="67"/>
        <v>112</v>
      </c>
      <c r="AG21" s="18">
        <f t="shared" si="67"/>
        <v>100</v>
      </c>
      <c r="AH21" s="18">
        <f t="shared" si="67"/>
        <v>88</v>
      </c>
      <c r="AI21" s="18">
        <f t="shared" si="67"/>
        <v>76</v>
      </c>
      <c r="AJ21" s="18">
        <f t="shared" si="67"/>
        <v>64</v>
      </c>
      <c r="AK21" s="18">
        <f t="shared" si="67"/>
        <v>52</v>
      </c>
      <c r="AL21" s="18">
        <f t="shared" si="67"/>
        <v>40</v>
      </c>
      <c r="AM21" s="18"/>
      <c r="AN21" s="19">
        <v>16.0</v>
      </c>
      <c r="AO21" s="18">
        <f t="shared" ref="AO21:AY21" si="68">IF(AND(AB21 &gt; O21,AB21 &gt; B21), 1, 0)</f>
        <v>1</v>
      </c>
      <c r="AP21" s="18">
        <f t="shared" si="68"/>
        <v>1</v>
      </c>
      <c r="AQ21" s="18">
        <f t="shared" si="68"/>
        <v>1</v>
      </c>
      <c r="AR21" s="18">
        <f t="shared" si="68"/>
        <v>1</v>
      </c>
      <c r="AS21" s="18">
        <f t="shared" si="68"/>
        <v>1</v>
      </c>
      <c r="AT21" s="18">
        <f t="shared" si="68"/>
        <v>1</v>
      </c>
      <c r="AU21" s="18">
        <f t="shared" si="68"/>
        <v>0</v>
      </c>
      <c r="AV21" s="18">
        <f t="shared" si="68"/>
        <v>0</v>
      </c>
      <c r="AW21" s="18">
        <f t="shared" si="68"/>
        <v>0</v>
      </c>
      <c r="AX21" s="18">
        <f t="shared" si="68"/>
        <v>0</v>
      </c>
      <c r="AY21" s="18">
        <f t="shared" si="68"/>
        <v>0</v>
      </c>
      <c r="AZ21" s="18"/>
    </row>
    <row r="22" ht="19.5" customHeight="1">
      <c r="A22" s="19">
        <v>17.0</v>
      </c>
      <c r="B22" s="18">
        <f t="shared" ref="B22:L22" si="69">B$4*$A22</f>
        <v>0</v>
      </c>
      <c r="C22" s="18">
        <f t="shared" si="69"/>
        <v>17</v>
      </c>
      <c r="D22" s="18">
        <f t="shared" si="69"/>
        <v>34</v>
      </c>
      <c r="E22" s="18">
        <f t="shared" si="69"/>
        <v>51</v>
      </c>
      <c r="F22" s="18">
        <f t="shared" si="69"/>
        <v>68</v>
      </c>
      <c r="G22" s="18">
        <f t="shared" si="69"/>
        <v>85</v>
      </c>
      <c r="H22" s="18">
        <f t="shared" si="69"/>
        <v>102</v>
      </c>
      <c r="I22" s="18">
        <f t="shared" si="69"/>
        <v>119</v>
      </c>
      <c r="J22" s="18">
        <f t="shared" si="69"/>
        <v>136</v>
      </c>
      <c r="K22" s="18">
        <f t="shared" si="69"/>
        <v>153</v>
      </c>
      <c r="L22" s="18">
        <f t="shared" si="69"/>
        <v>170</v>
      </c>
      <c r="M22" s="18"/>
      <c r="N22" s="19">
        <v>17.0</v>
      </c>
      <c r="O22" s="18">
        <f t="shared" ref="O22:Y22" si="70">($B$1-O$4)*($A$2-$A22)</f>
        <v>30</v>
      </c>
      <c r="P22" s="18">
        <f t="shared" si="70"/>
        <v>27</v>
      </c>
      <c r="Q22" s="18">
        <f t="shared" si="70"/>
        <v>24</v>
      </c>
      <c r="R22" s="18">
        <f t="shared" si="70"/>
        <v>21</v>
      </c>
      <c r="S22" s="18">
        <f t="shared" si="70"/>
        <v>18</v>
      </c>
      <c r="T22" s="18">
        <f t="shared" si="70"/>
        <v>15</v>
      </c>
      <c r="U22" s="18">
        <f t="shared" si="70"/>
        <v>12</v>
      </c>
      <c r="V22" s="18">
        <f t="shared" si="70"/>
        <v>9</v>
      </c>
      <c r="W22" s="18">
        <f t="shared" si="70"/>
        <v>6</v>
      </c>
      <c r="X22" s="18">
        <f t="shared" si="70"/>
        <v>3</v>
      </c>
      <c r="Y22" s="18">
        <f t="shared" si="70"/>
        <v>0</v>
      </c>
      <c r="Z22" s="18"/>
      <c r="AA22" s="19">
        <v>17.0</v>
      </c>
      <c r="AB22" s="18">
        <f t="shared" ref="AB22:AL22" si="71">B$4*($A$2-$A22)+($B$1-AB$4)*$A22</f>
        <v>170</v>
      </c>
      <c r="AC22" s="18">
        <f t="shared" si="71"/>
        <v>156</v>
      </c>
      <c r="AD22" s="18">
        <f t="shared" si="71"/>
        <v>142</v>
      </c>
      <c r="AE22" s="18">
        <f t="shared" si="71"/>
        <v>128</v>
      </c>
      <c r="AF22" s="18">
        <f t="shared" si="71"/>
        <v>114</v>
      </c>
      <c r="AG22" s="18">
        <f t="shared" si="71"/>
        <v>100</v>
      </c>
      <c r="AH22" s="18">
        <f t="shared" si="71"/>
        <v>86</v>
      </c>
      <c r="AI22" s="18">
        <f t="shared" si="71"/>
        <v>72</v>
      </c>
      <c r="AJ22" s="18">
        <f t="shared" si="71"/>
        <v>58</v>
      </c>
      <c r="AK22" s="18">
        <f t="shared" si="71"/>
        <v>44</v>
      </c>
      <c r="AL22" s="18">
        <f t="shared" si="71"/>
        <v>30</v>
      </c>
      <c r="AM22" s="18"/>
      <c r="AN22" s="19">
        <v>17.0</v>
      </c>
      <c r="AO22" s="18">
        <f t="shared" ref="AO22:AY22" si="72">IF(AND(AB22 &gt; O22,AB22 &gt; B22), 1, 0)</f>
        <v>1</v>
      </c>
      <c r="AP22" s="18">
        <f t="shared" si="72"/>
        <v>1</v>
      </c>
      <c r="AQ22" s="18">
        <f t="shared" si="72"/>
        <v>1</v>
      </c>
      <c r="AR22" s="18">
        <f t="shared" si="72"/>
        <v>1</v>
      </c>
      <c r="AS22" s="18">
        <f t="shared" si="72"/>
        <v>1</v>
      </c>
      <c r="AT22" s="18">
        <f t="shared" si="72"/>
        <v>1</v>
      </c>
      <c r="AU22" s="18">
        <f t="shared" si="72"/>
        <v>0</v>
      </c>
      <c r="AV22" s="18">
        <f t="shared" si="72"/>
        <v>0</v>
      </c>
      <c r="AW22" s="18">
        <f t="shared" si="72"/>
        <v>0</v>
      </c>
      <c r="AX22" s="18">
        <f t="shared" si="72"/>
        <v>0</v>
      </c>
      <c r="AY22" s="18">
        <f t="shared" si="72"/>
        <v>0</v>
      </c>
      <c r="AZ22" s="18"/>
    </row>
    <row r="23" ht="19.5" customHeight="1">
      <c r="A23" s="19">
        <v>18.0</v>
      </c>
      <c r="B23" s="18">
        <f t="shared" ref="B23:L23" si="73">B$4*$A23</f>
        <v>0</v>
      </c>
      <c r="C23" s="18">
        <f t="shared" si="73"/>
        <v>18</v>
      </c>
      <c r="D23" s="18">
        <f t="shared" si="73"/>
        <v>36</v>
      </c>
      <c r="E23" s="18">
        <f t="shared" si="73"/>
        <v>54</v>
      </c>
      <c r="F23" s="18">
        <f t="shared" si="73"/>
        <v>72</v>
      </c>
      <c r="G23" s="18">
        <f t="shared" si="73"/>
        <v>90</v>
      </c>
      <c r="H23" s="18">
        <f t="shared" si="73"/>
        <v>108</v>
      </c>
      <c r="I23" s="18">
        <f t="shared" si="73"/>
        <v>126</v>
      </c>
      <c r="J23" s="18">
        <f t="shared" si="73"/>
        <v>144</v>
      </c>
      <c r="K23" s="18">
        <f t="shared" si="73"/>
        <v>162</v>
      </c>
      <c r="L23" s="18">
        <f t="shared" si="73"/>
        <v>180</v>
      </c>
      <c r="M23" s="18"/>
      <c r="N23" s="19">
        <v>18.0</v>
      </c>
      <c r="O23" s="18">
        <f t="shared" ref="O23:Y23" si="74">($B$1-O$4)*($A$2-$A23)</f>
        <v>20</v>
      </c>
      <c r="P23" s="18">
        <f t="shared" si="74"/>
        <v>18</v>
      </c>
      <c r="Q23" s="18">
        <f t="shared" si="74"/>
        <v>16</v>
      </c>
      <c r="R23" s="18">
        <f t="shared" si="74"/>
        <v>14</v>
      </c>
      <c r="S23" s="18">
        <f t="shared" si="74"/>
        <v>12</v>
      </c>
      <c r="T23" s="18">
        <f t="shared" si="74"/>
        <v>10</v>
      </c>
      <c r="U23" s="18">
        <f t="shared" si="74"/>
        <v>8</v>
      </c>
      <c r="V23" s="18">
        <f t="shared" si="74"/>
        <v>6</v>
      </c>
      <c r="W23" s="18">
        <f t="shared" si="74"/>
        <v>4</v>
      </c>
      <c r="X23" s="18">
        <f t="shared" si="74"/>
        <v>2</v>
      </c>
      <c r="Y23" s="18">
        <f t="shared" si="74"/>
        <v>0</v>
      </c>
      <c r="Z23" s="18"/>
      <c r="AA23" s="19">
        <v>18.0</v>
      </c>
      <c r="AB23" s="18">
        <f t="shared" ref="AB23:AL23" si="75">B$4*($A$2-$A23)+($B$1-AB$4)*$A23</f>
        <v>180</v>
      </c>
      <c r="AC23" s="18">
        <f t="shared" si="75"/>
        <v>164</v>
      </c>
      <c r="AD23" s="18">
        <f t="shared" si="75"/>
        <v>148</v>
      </c>
      <c r="AE23" s="18">
        <f t="shared" si="75"/>
        <v>132</v>
      </c>
      <c r="AF23" s="18">
        <f t="shared" si="75"/>
        <v>116</v>
      </c>
      <c r="AG23" s="18">
        <f t="shared" si="75"/>
        <v>100</v>
      </c>
      <c r="AH23" s="18">
        <f t="shared" si="75"/>
        <v>84</v>
      </c>
      <c r="AI23" s="18">
        <f t="shared" si="75"/>
        <v>68</v>
      </c>
      <c r="AJ23" s="18">
        <f t="shared" si="75"/>
        <v>52</v>
      </c>
      <c r="AK23" s="18">
        <f t="shared" si="75"/>
        <v>36</v>
      </c>
      <c r="AL23" s="18">
        <f t="shared" si="75"/>
        <v>20</v>
      </c>
      <c r="AM23" s="18"/>
      <c r="AN23" s="19">
        <v>18.0</v>
      </c>
      <c r="AO23" s="18">
        <f t="shared" ref="AO23:AY23" si="76">IF(AND(AB23 &gt; O23,AB23 &gt; B23), 1, 0)</f>
        <v>1</v>
      </c>
      <c r="AP23" s="18">
        <f t="shared" si="76"/>
        <v>1</v>
      </c>
      <c r="AQ23" s="18">
        <f t="shared" si="76"/>
        <v>1</v>
      </c>
      <c r="AR23" s="18">
        <f t="shared" si="76"/>
        <v>1</v>
      </c>
      <c r="AS23" s="18">
        <f t="shared" si="76"/>
        <v>1</v>
      </c>
      <c r="AT23" s="18">
        <f t="shared" si="76"/>
        <v>1</v>
      </c>
      <c r="AU23" s="18">
        <f t="shared" si="76"/>
        <v>0</v>
      </c>
      <c r="AV23" s="18">
        <f t="shared" si="76"/>
        <v>0</v>
      </c>
      <c r="AW23" s="18">
        <f t="shared" si="76"/>
        <v>0</v>
      </c>
      <c r="AX23" s="18">
        <f t="shared" si="76"/>
        <v>0</v>
      </c>
      <c r="AY23" s="18">
        <f t="shared" si="76"/>
        <v>0</v>
      </c>
      <c r="AZ23" s="18"/>
    </row>
    <row r="24" ht="19.5" customHeight="1">
      <c r="A24" s="19">
        <v>19.0</v>
      </c>
      <c r="B24" s="18">
        <f t="shared" ref="B24:L24" si="77">B$4*$A24</f>
        <v>0</v>
      </c>
      <c r="C24" s="18">
        <f t="shared" si="77"/>
        <v>19</v>
      </c>
      <c r="D24" s="18">
        <f t="shared" si="77"/>
        <v>38</v>
      </c>
      <c r="E24" s="18">
        <f t="shared" si="77"/>
        <v>57</v>
      </c>
      <c r="F24" s="18">
        <f t="shared" si="77"/>
        <v>76</v>
      </c>
      <c r="G24" s="18">
        <f t="shared" si="77"/>
        <v>95</v>
      </c>
      <c r="H24" s="18">
        <f t="shared" si="77"/>
        <v>114</v>
      </c>
      <c r="I24" s="18">
        <f t="shared" si="77"/>
        <v>133</v>
      </c>
      <c r="J24" s="18">
        <f t="shared" si="77"/>
        <v>152</v>
      </c>
      <c r="K24" s="18">
        <f t="shared" si="77"/>
        <v>171</v>
      </c>
      <c r="L24" s="18">
        <f t="shared" si="77"/>
        <v>190</v>
      </c>
      <c r="M24" s="18"/>
      <c r="N24" s="19">
        <v>19.0</v>
      </c>
      <c r="O24" s="18">
        <f t="shared" ref="O24:Y24" si="78">($B$1-O$4)*($A$2-$A24)</f>
        <v>10</v>
      </c>
      <c r="P24" s="18">
        <f t="shared" si="78"/>
        <v>9</v>
      </c>
      <c r="Q24" s="18">
        <f t="shared" si="78"/>
        <v>8</v>
      </c>
      <c r="R24" s="18">
        <f t="shared" si="78"/>
        <v>7</v>
      </c>
      <c r="S24" s="18">
        <f t="shared" si="78"/>
        <v>6</v>
      </c>
      <c r="T24" s="18">
        <f t="shared" si="78"/>
        <v>5</v>
      </c>
      <c r="U24" s="18">
        <f t="shared" si="78"/>
        <v>4</v>
      </c>
      <c r="V24" s="18">
        <f t="shared" si="78"/>
        <v>3</v>
      </c>
      <c r="W24" s="18">
        <f t="shared" si="78"/>
        <v>2</v>
      </c>
      <c r="X24" s="18">
        <f t="shared" si="78"/>
        <v>1</v>
      </c>
      <c r="Y24" s="18">
        <f t="shared" si="78"/>
        <v>0</v>
      </c>
      <c r="Z24" s="18"/>
      <c r="AA24" s="19">
        <v>19.0</v>
      </c>
      <c r="AB24" s="18">
        <f t="shared" ref="AB24:AL24" si="79">B$4*($A$2-$A24)+($B$1-AB$4)*$A24</f>
        <v>190</v>
      </c>
      <c r="AC24" s="18">
        <f t="shared" si="79"/>
        <v>172</v>
      </c>
      <c r="AD24" s="18">
        <f t="shared" si="79"/>
        <v>154</v>
      </c>
      <c r="AE24" s="18">
        <f t="shared" si="79"/>
        <v>136</v>
      </c>
      <c r="AF24" s="18">
        <f t="shared" si="79"/>
        <v>118</v>
      </c>
      <c r="AG24" s="18">
        <f t="shared" si="79"/>
        <v>100</v>
      </c>
      <c r="AH24" s="18">
        <f t="shared" si="79"/>
        <v>82</v>
      </c>
      <c r="AI24" s="18">
        <f t="shared" si="79"/>
        <v>64</v>
      </c>
      <c r="AJ24" s="18">
        <f t="shared" si="79"/>
        <v>46</v>
      </c>
      <c r="AK24" s="18">
        <f t="shared" si="79"/>
        <v>28</v>
      </c>
      <c r="AL24" s="18">
        <f t="shared" si="79"/>
        <v>10</v>
      </c>
      <c r="AM24" s="18"/>
      <c r="AN24" s="19">
        <v>19.0</v>
      </c>
      <c r="AO24" s="18">
        <f t="shared" ref="AO24:AY24" si="80">IF(AND(AB24 &gt; O24,AB24 &gt; B24), 1, 0)</f>
        <v>1</v>
      </c>
      <c r="AP24" s="18">
        <f t="shared" si="80"/>
        <v>1</v>
      </c>
      <c r="AQ24" s="18">
        <f t="shared" si="80"/>
        <v>1</v>
      </c>
      <c r="AR24" s="18">
        <f t="shared" si="80"/>
        <v>1</v>
      </c>
      <c r="AS24" s="18">
        <f t="shared" si="80"/>
        <v>1</v>
      </c>
      <c r="AT24" s="18">
        <f t="shared" si="80"/>
        <v>1</v>
      </c>
      <c r="AU24" s="18">
        <f t="shared" si="80"/>
        <v>0</v>
      </c>
      <c r="AV24" s="18">
        <f t="shared" si="80"/>
        <v>0</v>
      </c>
      <c r="AW24" s="18">
        <f t="shared" si="80"/>
        <v>0</v>
      </c>
      <c r="AX24" s="18">
        <f t="shared" si="80"/>
        <v>0</v>
      </c>
      <c r="AY24" s="18">
        <f t="shared" si="80"/>
        <v>0</v>
      </c>
      <c r="AZ24" s="18"/>
    </row>
    <row r="25" ht="19.5" customHeight="1">
      <c r="A25" s="19">
        <v>20.0</v>
      </c>
      <c r="B25" s="18">
        <f t="shared" ref="B25:L25" si="81">B$4*$A25</f>
        <v>0</v>
      </c>
      <c r="C25" s="18">
        <f t="shared" si="81"/>
        <v>20</v>
      </c>
      <c r="D25" s="18">
        <f t="shared" si="81"/>
        <v>40</v>
      </c>
      <c r="E25" s="18">
        <f t="shared" si="81"/>
        <v>60</v>
      </c>
      <c r="F25" s="18">
        <f t="shared" si="81"/>
        <v>80</v>
      </c>
      <c r="G25" s="18">
        <f t="shared" si="81"/>
        <v>100</v>
      </c>
      <c r="H25" s="18">
        <f t="shared" si="81"/>
        <v>120</v>
      </c>
      <c r="I25" s="18">
        <f t="shared" si="81"/>
        <v>140</v>
      </c>
      <c r="J25" s="18">
        <f t="shared" si="81"/>
        <v>160</v>
      </c>
      <c r="K25" s="18">
        <f t="shared" si="81"/>
        <v>180</v>
      </c>
      <c r="L25" s="18">
        <f t="shared" si="81"/>
        <v>200</v>
      </c>
      <c r="M25" s="18"/>
      <c r="N25" s="19">
        <v>20.0</v>
      </c>
      <c r="O25" s="18">
        <f t="shared" ref="O25:Y25" si="82">($B$1-O$4)*($A$2-$A25)</f>
        <v>0</v>
      </c>
      <c r="P25" s="18">
        <f t="shared" si="82"/>
        <v>0</v>
      </c>
      <c r="Q25" s="18">
        <f t="shared" si="82"/>
        <v>0</v>
      </c>
      <c r="R25" s="18">
        <f t="shared" si="82"/>
        <v>0</v>
      </c>
      <c r="S25" s="18">
        <f t="shared" si="82"/>
        <v>0</v>
      </c>
      <c r="T25" s="18">
        <f t="shared" si="82"/>
        <v>0</v>
      </c>
      <c r="U25" s="18">
        <f t="shared" si="82"/>
        <v>0</v>
      </c>
      <c r="V25" s="18">
        <f t="shared" si="82"/>
        <v>0</v>
      </c>
      <c r="W25" s="18">
        <f t="shared" si="82"/>
        <v>0</v>
      </c>
      <c r="X25" s="18">
        <f t="shared" si="82"/>
        <v>0</v>
      </c>
      <c r="Y25" s="18">
        <f t="shared" si="82"/>
        <v>0</v>
      </c>
      <c r="Z25" s="18"/>
      <c r="AA25" s="19">
        <v>20.0</v>
      </c>
      <c r="AB25" s="18">
        <f t="shared" ref="AB25:AL25" si="83">B$4*($A$2-$A25)+($B$1-AB$4)*$A25</f>
        <v>200</v>
      </c>
      <c r="AC25" s="18">
        <f t="shared" si="83"/>
        <v>180</v>
      </c>
      <c r="AD25" s="18">
        <f t="shared" si="83"/>
        <v>160</v>
      </c>
      <c r="AE25" s="18">
        <f t="shared" si="83"/>
        <v>140</v>
      </c>
      <c r="AF25" s="18">
        <f t="shared" si="83"/>
        <v>120</v>
      </c>
      <c r="AG25" s="18">
        <f t="shared" si="83"/>
        <v>100</v>
      </c>
      <c r="AH25" s="18">
        <f t="shared" si="83"/>
        <v>80</v>
      </c>
      <c r="AI25" s="18">
        <f t="shared" si="83"/>
        <v>60</v>
      </c>
      <c r="AJ25" s="18">
        <f t="shared" si="83"/>
        <v>40</v>
      </c>
      <c r="AK25" s="18">
        <f t="shared" si="83"/>
        <v>20</v>
      </c>
      <c r="AL25" s="18">
        <f t="shared" si="83"/>
        <v>0</v>
      </c>
      <c r="AM25" s="18"/>
      <c r="AN25" s="19">
        <v>20.0</v>
      </c>
      <c r="AO25" s="18">
        <f t="shared" ref="AO25:AY25" si="84">IF(AND(AB25 &gt; O25,AB25 &gt; B25), 1, 0)</f>
        <v>1</v>
      </c>
      <c r="AP25" s="18">
        <f t="shared" si="84"/>
        <v>1</v>
      </c>
      <c r="AQ25" s="18">
        <f t="shared" si="84"/>
        <v>1</v>
      </c>
      <c r="AR25" s="18">
        <f t="shared" si="84"/>
        <v>1</v>
      </c>
      <c r="AS25" s="18">
        <f t="shared" si="84"/>
        <v>1</v>
      </c>
      <c r="AT25" s="18">
        <f t="shared" si="84"/>
        <v>0</v>
      </c>
      <c r="AU25" s="18">
        <f t="shared" si="84"/>
        <v>0</v>
      </c>
      <c r="AV25" s="18">
        <f t="shared" si="84"/>
        <v>0</v>
      </c>
      <c r="AW25" s="18">
        <f t="shared" si="84"/>
        <v>0</v>
      </c>
      <c r="AX25" s="18">
        <f t="shared" si="84"/>
        <v>0</v>
      </c>
      <c r="AY25" s="18">
        <f t="shared" si="84"/>
        <v>0</v>
      </c>
      <c r="AZ25" s="18"/>
    </row>
    <row r="26" ht="19.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ht="19.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ht="19.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ht="19.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ht="19.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ht="19.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ht="19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ht="19.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ht="19.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ht="19.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ht="19.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ht="19.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ht="19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ht="19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ht="19.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ht="19.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ht="19.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ht="19.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ht="19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ht="19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ht="19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ht="19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ht="19.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ht="19.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ht="19.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ht="19.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ht="19.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ht="19.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ht="19.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ht="19.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ht="19.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ht="19.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ht="19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ht="19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ht="19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ht="19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ht="19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ht="19.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ht="19.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ht="19.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ht="19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ht="19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ht="19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ht="19.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ht="19.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ht="19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ht="19.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ht="19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ht="19.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ht="19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ht="19.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ht="19.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ht="19.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ht="19.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ht="19.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ht="19.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ht="19.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ht="19.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ht="19.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ht="19.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ht="19.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ht="19.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ht="19.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ht="19.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ht="19.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ht="19.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ht="19.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ht="19.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ht="19.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ht="19.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ht="19.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ht="19.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ht="19.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ht="19.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ht="19.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ht="19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ht="19.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ht="19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ht="19.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ht="19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ht="19.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ht="19.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ht="19.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ht="19.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ht="19.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ht="19.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ht="19.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ht="19.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ht="19.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ht="19.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ht="19.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ht="19.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ht="19.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ht="19.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ht="19.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ht="19.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ht="19.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ht="19.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ht="19.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ht="19.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ht="19.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ht="19.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ht="19.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ht="19.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ht="19.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ht="19.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ht="19.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ht="19.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ht="19.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ht="19.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ht="19.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ht="19.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ht="19.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ht="19.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ht="19.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ht="19.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ht="19.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ht="19.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ht="19.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ht="19.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ht="19.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ht="19.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ht="19.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ht="19.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ht="19.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ht="19.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ht="19.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ht="19.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ht="19.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ht="19.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ht="19.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ht="19.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ht="19.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ht="19.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ht="19.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ht="19.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ht="19.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ht="19.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ht="19.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ht="19.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ht="19.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ht="19.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ht="19.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ht="19.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ht="19.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ht="19.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ht="19.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ht="19.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ht="19.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ht="19.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ht="19.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ht="19.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ht="19.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ht="19.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ht="19.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ht="19.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ht="19.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ht="19.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ht="19.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ht="19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ht="19.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ht="19.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ht="19.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ht="19.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ht="19.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ht="19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ht="19.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ht="19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ht="19.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ht="19.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ht="19.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ht="19.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ht="19.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ht="19.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ht="19.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ht="19.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ht="19.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ht="19.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ht="19.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ht="19.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ht="19.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ht="19.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ht="19.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ht="19.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ht="19.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ht="19.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ht="19.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ht="19.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ht="19.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ht="19.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ht="19.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ht="19.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ht="19.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ht="19.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ht="19.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ht="19.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ht="19.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ht="19.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ht="19.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ht="19.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ht="19.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ht="19.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ht="19.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ht="19.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ht="19.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ht="19.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ht="19.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ht="19.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ht="19.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ht="19.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ht="19.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ht="19.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ht="19.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ht="19.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ht="19.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ht="19.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ht="19.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ht="19.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ht="19.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ht="19.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ht="19.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ht="19.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ht="19.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ht="19.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ht="19.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ht="19.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ht="19.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ht="19.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ht="19.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ht="19.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ht="19.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ht="19.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ht="19.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ht="19.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ht="19.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ht="19.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ht="19.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ht="19.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ht="19.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ht="19.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ht="19.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ht="19.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ht="19.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ht="19.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ht="19.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ht="19.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ht="19.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ht="19.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ht="19.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ht="19.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ht="19.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ht="19.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ht="19.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ht="19.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ht="19.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ht="19.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ht="19.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ht="19.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ht="19.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ht="19.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ht="19.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ht="19.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ht="19.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ht="19.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ht="19.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ht="19.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ht="19.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ht="19.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ht="19.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ht="19.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ht="19.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ht="19.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ht="19.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ht="19.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ht="19.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ht="19.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ht="19.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ht="19.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ht="19.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ht="19.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ht="19.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ht="19.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ht="19.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ht="19.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ht="19.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ht="19.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ht="19.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ht="19.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ht="19.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ht="19.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ht="19.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ht="19.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ht="19.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ht="19.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ht="19.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ht="19.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ht="19.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ht="19.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ht="19.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ht="19.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ht="19.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ht="19.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ht="19.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ht="19.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ht="19.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ht="19.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ht="19.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ht="19.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ht="19.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ht="19.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ht="19.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ht="19.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ht="19.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ht="19.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ht="19.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ht="19.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ht="19.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ht="19.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ht="19.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ht="19.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ht="19.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ht="19.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ht="19.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ht="19.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ht="19.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ht="19.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ht="19.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ht="19.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ht="19.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ht="19.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ht="19.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ht="19.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ht="19.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ht="19.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ht="19.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ht="19.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ht="19.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ht="19.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ht="19.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ht="19.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ht="19.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ht="19.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ht="19.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ht="19.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ht="19.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ht="19.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ht="19.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ht="19.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ht="19.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ht="19.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ht="19.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ht="19.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ht="19.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ht="19.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ht="19.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ht="19.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ht="19.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ht="19.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ht="19.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ht="19.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ht="19.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ht="19.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ht="19.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ht="19.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ht="19.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ht="19.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ht="19.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ht="19.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ht="19.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ht="19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ht="19.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ht="19.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ht="19.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ht="19.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ht="19.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ht="19.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ht="19.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ht="19.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ht="19.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ht="19.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ht="19.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ht="19.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ht="19.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ht="19.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ht="19.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ht="19.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ht="19.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ht="19.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ht="19.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ht="19.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ht="19.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ht="19.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ht="19.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ht="19.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ht="19.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ht="19.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ht="19.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ht="19.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ht="19.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ht="19.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ht="19.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ht="19.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ht="19.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ht="19.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ht="19.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ht="19.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ht="19.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ht="19.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ht="19.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ht="19.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ht="19.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ht="19.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ht="19.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ht="19.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ht="19.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ht="19.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ht="19.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ht="19.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ht="19.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ht="19.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ht="19.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ht="19.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ht="19.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ht="19.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ht="19.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ht="19.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ht="19.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ht="19.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ht="19.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ht="19.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ht="19.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ht="19.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ht="19.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ht="19.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ht="19.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ht="19.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ht="19.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ht="19.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ht="19.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ht="19.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ht="19.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ht="19.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ht="19.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ht="19.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ht="19.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ht="19.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ht="19.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ht="19.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ht="19.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ht="19.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ht="19.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ht="19.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ht="19.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ht="19.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ht="19.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ht="19.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ht="19.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ht="19.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ht="19.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ht="19.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ht="19.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ht="19.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ht="19.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ht="19.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ht="19.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ht="19.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ht="19.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ht="19.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ht="19.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ht="19.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ht="19.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ht="19.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ht="19.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ht="19.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ht="19.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ht="19.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ht="19.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ht="19.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ht="19.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ht="19.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ht="19.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ht="19.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ht="19.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ht="19.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ht="19.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ht="19.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ht="19.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ht="19.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ht="19.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ht="19.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ht="19.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ht="19.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ht="19.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ht="19.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ht="19.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ht="19.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ht="19.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ht="19.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ht="19.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ht="19.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ht="19.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ht="19.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ht="19.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ht="19.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ht="19.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ht="19.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ht="19.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ht="19.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ht="19.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ht="19.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ht="19.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ht="19.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ht="19.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ht="19.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ht="19.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ht="19.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ht="19.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ht="19.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ht="19.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ht="19.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ht="19.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ht="19.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ht="19.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ht="19.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ht="19.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ht="19.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ht="19.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ht="19.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ht="19.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ht="19.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ht="19.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ht="19.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ht="19.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ht="19.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ht="19.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ht="19.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ht="19.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ht="19.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ht="19.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ht="19.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ht="19.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ht="19.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ht="19.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ht="19.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ht="19.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ht="19.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ht="19.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ht="19.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ht="19.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ht="19.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ht="19.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ht="19.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ht="19.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ht="19.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ht="19.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ht="19.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ht="19.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ht="19.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ht="19.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ht="19.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ht="19.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ht="19.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ht="19.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ht="19.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ht="19.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ht="19.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ht="19.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ht="19.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ht="19.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ht="19.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ht="19.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ht="19.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ht="19.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ht="19.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ht="19.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ht="19.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ht="19.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ht="19.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ht="19.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ht="19.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ht="19.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ht="19.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ht="19.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ht="19.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ht="19.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ht="19.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ht="19.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ht="19.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ht="19.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ht="19.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ht="19.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ht="19.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ht="19.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ht="19.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ht="19.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ht="19.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ht="19.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ht="19.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ht="19.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ht="19.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ht="19.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ht="19.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ht="19.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ht="19.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ht="19.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ht="19.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ht="19.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ht="19.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ht="19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ht="19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ht="19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ht="19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ht="19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ht="19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ht="19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ht="19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ht="19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ht="19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ht="19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ht="19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ht="19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ht="19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ht="19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ht="19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ht="19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ht="19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ht="19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ht="19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ht="19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ht="19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ht="19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ht="19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ht="19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ht="19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ht="19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ht="19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ht="19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ht="19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ht="19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ht="19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ht="19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ht="19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ht="19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ht="19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ht="19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ht="19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ht="19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ht="19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ht="19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ht="19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ht="19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ht="19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ht="19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ht="19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ht="19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ht="19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ht="19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ht="19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ht="19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ht="19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ht="19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ht="19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ht="19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ht="19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ht="19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ht="19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ht="19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ht="19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ht="19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ht="19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ht="19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ht="19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ht="19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ht="19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ht="19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ht="19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ht="19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ht="19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ht="19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ht="19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ht="19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ht="19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ht="19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ht="19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ht="19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ht="19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ht="19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ht="19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ht="19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ht="19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ht="19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ht="19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ht="19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ht="19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ht="19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ht="19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ht="19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ht="19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ht="19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ht="19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ht="19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ht="19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ht="19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ht="19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ht="19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ht="19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ht="19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ht="19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ht="19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ht="19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ht="19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ht="19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ht="19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ht="19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ht="19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ht="19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ht="19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ht="19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ht="19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ht="19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ht="19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ht="19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ht="19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ht="19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ht="19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ht="19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ht="19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ht="19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ht="19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ht="19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ht="19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ht="19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ht="19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ht="19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ht="19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ht="19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ht="19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ht="19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ht="19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ht="19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ht="19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ht="19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ht="19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ht="19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ht="19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ht="19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ht="19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ht="19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ht="19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ht="19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ht="19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ht="19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ht="19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ht="19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ht="19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ht="19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ht="19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ht="19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ht="19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ht="19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ht="19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ht="19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ht="19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ht="19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ht="19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ht="19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ht="19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ht="19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ht="19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ht="19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ht="19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ht="19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ht="19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ht="19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ht="19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ht="19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ht="19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ht="19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ht="19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ht="19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ht="19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ht="19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ht="19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ht="19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ht="19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ht="19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ht="19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ht="19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ht="19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ht="19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ht="19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ht="19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ht="19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ht="19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ht="19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ht="19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ht="19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ht="19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ht="19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ht="19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ht="19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ht="19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ht="19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ht="19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ht="19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ht="19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ht="19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ht="19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ht="19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ht="19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ht="19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ht="19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ht="19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ht="19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ht="19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ht="19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ht="19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ht="19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ht="19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ht="19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ht="19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ht="19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ht="19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ht="19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ht="19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ht="19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ht="19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ht="19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ht="19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ht="19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ht="19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ht="19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ht="19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ht="19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ht="19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ht="19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ht="19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ht="19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ht="19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ht="19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ht="19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ht="19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ht="19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ht="19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ht="19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ht="19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ht="19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ht="19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ht="19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ht="19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ht="19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ht="19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ht="19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ht="19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ht="19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ht="19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ht="19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ht="19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ht="19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ht="19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ht="19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ht="19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ht="19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ht="19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ht="19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ht="19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ht="19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ht="19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ht="19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ht="19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ht="19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ht="19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ht="19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ht="19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ht="19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ht="19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ht="19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ht="19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ht="19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ht="19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ht="19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ht="19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ht="19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ht="19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ht="19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ht="19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ht="19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ht="19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ht="19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ht="19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ht="19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ht="19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ht="19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ht="19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ht="19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ht="19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</row>
    <row r="924" ht="19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</row>
    <row r="925" ht="19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</row>
    <row r="926" ht="19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</row>
    <row r="927" ht="19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</row>
    <row r="928" ht="19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</row>
    <row r="929" ht="19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</row>
    <row r="930" ht="19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</row>
    <row r="931" ht="19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</row>
    <row r="932" ht="19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</row>
    <row r="933" ht="19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</row>
    <row r="934" ht="19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</row>
    <row r="935" ht="19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</row>
    <row r="936" ht="19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</row>
    <row r="937" ht="19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</row>
    <row r="938" ht="19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</row>
    <row r="939" ht="19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</row>
    <row r="940" ht="19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</row>
    <row r="941" ht="19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</row>
    <row r="942" ht="19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</row>
    <row r="943" ht="19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</row>
    <row r="944" ht="19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</row>
    <row r="945" ht="19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</row>
    <row r="946" ht="19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</row>
    <row r="947" ht="19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</row>
    <row r="948" ht="19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</row>
    <row r="949" ht="19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</row>
    <row r="950" ht="19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</row>
    <row r="951" ht="19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</row>
    <row r="952" ht="19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</row>
    <row r="953" ht="19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</row>
    <row r="954" ht="19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</row>
    <row r="955" ht="19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</row>
    <row r="956" ht="19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</row>
    <row r="957" ht="19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</row>
    <row r="958" ht="19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</row>
    <row r="959" ht="19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</row>
    <row r="960" ht="19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</row>
    <row r="961" ht="19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</row>
    <row r="962" ht="19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</row>
    <row r="963" ht="19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</row>
    <row r="964" ht="19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</row>
    <row r="965" ht="19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</row>
    <row r="966" ht="19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</row>
    <row r="967" ht="19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</row>
    <row r="968" ht="19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</row>
    <row r="969" ht="19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</row>
    <row r="970" ht="19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</row>
    <row r="971" ht="19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</row>
    <row r="972" ht="19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</row>
    <row r="973" ht="19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</row>
    <row r="974" ht="19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</row>
    <row r="975" ht="19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</row>
    <row r="976" ht="19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</row>
    <row r="977" ht="19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</row>
    <row r="978" ht="19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</row>
    <row r="979" ht="19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</row>
    <row r="980" ht="19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</row>
    <row r="981" ht="19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</row>
    <row r="982" ht="19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</row>
    <row r="983" ht="19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</row>
    <row r="984" ht="19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</row>
    <row r="985" ht="19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</row>
    <row r="986" ht="19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</row>
    <row r="987" ht="19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</row>
    <row r="988" ht="19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</row>
    <row r="989" ht="19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</row>
    <row r="990" ht="19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</row>
    <row r="991" ht="19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</row>
    <row r="992" ht="19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</row>
    <row r="993" ht="19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</row>
    <row r="994" ht="19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</row>
    <row r="995" ht="19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</row>
    <row r="996" ht="19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</row>
    <row r="997" ht="19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</row>
    <row r="998" ht="19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</row>
    <row r="999" ht="19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</row>
    <row r="1000" ht="19.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4.75"/>
    <col customWidth="1" min="23" max="27" width="3.0"/>
    <col customWidth="1" min="28" max="28" width="4.13"/>
    <col customWidth="1" min="29" max="29" width="4.0"/>
    <col customWidth="1" min="30" max="33" width="3.0"/>
    <col customWidth="1" min="34" max="34" width="11.63"/>
    <col customWidth="1" min="35" max="35" width="9.38"/>
    <col customWidth="1" min="36" max="36" width="3.0"/>
    <col customWidth="1" min="37" max="37" width="6.5"/>
    <col customWidth="1" min="38" max="40" width="3.0"/>
    <col customWidth="1" min="41" max="41" width="11.5"/>
    <col customWidth="1" min="42" max="52" width="3.0"/>
  </cols>
  <sheetData>
    <row r="1"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AH1" s="4"/>
      <c r="AI1" s="4"/>
    </row>
    <row r="2">
      <c r="A2" s="2">
        <v>0.0</v>
      </c>
      <c r="B2" s="3">
        <f t="shared" ref="B2:V2" si="1">B$1*$A2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  <c r="I2" s="3">
        <f t="shared" si="1"/>
        <v>0</v>
      </c>
      <c r="J2" s="3">
        <f t="shared" si="1"/>
        <v>0</v>
      </c>
      <c r="K2" s="3">
        <f t="shared" si="1"/>
        <v>0</v>
      </c>
      <c r="L2" s="3">
        <f t="shared" si="1"/>
        <v>0</v>
      </c>
      <c r="M2" s="3">
        <f t="shared" si="1"/>
        <v>0</v>
      </c>
      <c r="N2" s="3">
        <f t="shared" si="1"/>
        <v>0</v>
      </c>
      <c r="O2" s="3">
        <f t="shared" si="1"/>
        <v>0</v>
      </c>
      <c r="P2" s="3">
        <f t="shared" si="1"/>
        <v>0</v>
      </c>
      <c r="Q2" s="3">
        <f t="shared" si="1"/>
        <v>0</v>
      </c>
      <c r="R2" s="3">
        <f t="shared" si="1"/>
        <v>0</v>
      </c>
      <c r="S2" s="3">
        <f t="shared" si="1"/>
        <v>0</v>
      </c>
      <c r="T2" s="3">
        <f t="shared" si="1"/>
        <v>0</v>
      </c>
      <c r="U2" s="3">
        <f t="shared" si="1"/>
        <v>0</v>
      </c>
      <c r="V2" s="3">
        <f t="shared" si="1"/>
        <v>0</v>
      </c>
      <c r="AH2" s="4"/>
      <c r="AI2" s="4"/>
    </row>
    <row r="3">
      <c r="A3" s="2">
        <v>1.0</v>
      </c>
      <c r="B3" s="3">
        <f t="shared" ref="B3:V3" si="2">B$1*$A3</f>
        <v>0</v>
      </c>
      <c r="C3" s="3">
        <f t="shared" si="2"/>
        <v>1</v>
      </c>
      <c r="D3" s="3">
        <f t="shared" si="2"/>
        <v>2</v>
      </c>
      <c r="E3" s="3">
        <f t="shared" si="2"/>
        <v>3</v>
      </c>
      <c r="F3" s="3">
        <f t="shared" si="2"/>
        <v>4</v>
      </c>
      <c r="G3" s="3">
        <f t="shared" si="2"/>
        <v>5</v>
      </c>
      <c r="H3" s="3">
        <f t="shared" si="2"/>
        <v>6</v>
      </c>
      <c r="I3" s="3">
        <f t="shared" si="2"/>
        <v>7</v>
      </c>
      <c r="J3" s="3">
        <f t="shared" si="2"/>
        <v>8</v>
      </c>
      <c r="K3" s="3">
        <f t="shared" si="2"/>
        <v>9</v>
      </c>
      <c r="L3" s="3">
        <f t="shared" si="2"/>
        <v>10</v>
      </c>
      <c r="M3" s="3">
        <f t="shared" si="2"/>
        <v>11</v>
      </c>
      <c r="N3" s="3">
        <f t="shared" si="2"/>
        <v>12</v>
      </c>
      <c r="O3" s="3">
        <f t="shared" si="2"/>
        <v>13</v>
      </c>
      <c r="P3" s="3">
        <f t="shared" si="2"/>
        <v>14</v>
      </c>
      <c r="Q3" s="3">
        <f t="shared" si="2"/>
        <v>15</v>
      </c>
      <c r="R3" s="3">
        <f t="shared" si="2"/>
        <v>16</v>
      </c>
      <c r="S3" s="3">
        <f t="shared" si="2"/>
        <v>17</v>
      </c>
      <c r="T3" s="3">
        <f t="shared" si="2"/>
        <v>18</v>
      </c>
      <c r="U3" s="3">
        <f t="shared" si="2"/>
        <v>19</v>
      </c>
      <c r="V3" s="3">
        <f t="shared" si="2"/>
        <v>20</v>
      </c>
      <c r="AH3" s="6">
        <f>23/51</f>
        <v>0.4509803922</v>
      </c>
      <c r="AI3" s="6">
        <f>9/20</f>
        <v>0.45</v>
      </c>
    </row>
    <row r="4">
      <c r="A4" s="2">
        <v>2.0</v>
      </c>
      <c r="B4" s="3">
        <f t="shared" ref="B4:V4" si="3">B$1*$A4</f>
        <v>0</v>
      </c>
      <c r="C4" s="3">
        <f t="shared" si="3"/>
        <v>2</v>
      </c>
      <c r="D4" s="3">
        <f t="shared" si="3"/>
        <v>4</v>
      </c>
      <c r="E4" s="3">
        <f t="shared" si="3"/>
        <v>6</v>
      </c>
      <c r="F4" s="3">
        <f t="shared" si="3"/>
        <v>8</v>
      </c>
      <c r="G4" s="3">
        <f t="shared" si="3"/>
        <v>10</v>
      </c>
      <c r="H4" s="3">
        <f t="shared" si="3"/>
        <v>12</v>
      </c>
      <c r="I4" s="3">
        <f t="shared" si="3"/>
        <v>14</v>
      </c>
      <c r="J4" s="3">
        <f t="shared" si="3"/>
        <v>16</v>
      </c>
      <c r="K4" s="3">
        <f t="shared" si="3"/>
        <v>18</v>
      </c>
      <c r="L4" s="3">
        <f t="shared" si="3"/>
        <v>20</v>
      </c>
      <c r="M4" s="3">
        <f t="shared" si="3"/>
        <v>22</v>
      </c>
      <c r="N4" s="3">
        <f t="shared" si="3"/>
        <v>24</v>
      </c>
      <c r="O4" s="3">
        <f t="shared" si="3"/>
        <v>26</v>
      </c>
      <c r="P4" s="3">
        <f t="shared" si="3"/>
        <v>28</v>
      </c>
      <c r="Q4" s="3">
        <f t="shared" si="3"/>
        <v>30</v>
      </c>
      <c r="R4" s="3">
        <f t="shared" si="3"/>
        <v>32</v>
      </c>
      <c r="S4" s="3">
        <f t="shared" si="3"/>
        <v>34</v>
      </c>
      <c r="T4" s="3">
        <f t="shared" si="3"/>
        <v>36</v>
      </c>
      <c r="U4" s="3">
        <f t="shared" si="3"/>
        <v>38</v>
      </c>
      <c r="V4" s="3">
        <f t="shared" si="3"/>
        <v>40</v>
      </c>
      <c r="AB4" s="3">
        <v>51.0</v>
      </c>
      <c r="AC4" s="3">
        <v>20.0</v>
      </c>
      <c r="AE4" s="3">
        <v>22.0</v>
      </c>
      <c r="AF4" s="3">
        <v>8.0</v>
      </c>
      <c r="AH4" s="4">
        <f t="shared" ref="AH4:AI4" si="4">AE4/AB4</f>
        <v>0.431372549</v>
      </c>
      <c r="AI4" s="4">
        <f t="shared" si="4"/>
        <v>0.4</v>
      </c>
      <c r="AK4" s="5">
        <f>(AE4+AF4)/(AB4+AC4)</f>
        <v>0.4225352113</v>
      </c>
    </row>
    <row r="5">
      <c r="A5" s="2">
        <v>3.0</v>
      </c>
      <c r="B5" s="3">
        <f t="shared" ref="B5:V5" si="5">B$1*$A5</f>
        <v>0</v>
      </c>
      <c r="C5" s="3">
        <f t="shared" si="5"/>
        <v>3</v>
      </c>
      <c r="D5" s="3">
        <f t="shared" si="5"/>
        <v>6</v>
      </c>
      <c r="E5" s="3">
        <f t="shared" si="5"/>
        <v>9</v>
      </c>
      <c r="F5" s="3">
        <f t="shared" si="5"/>
        <v>12</v>
      </c>
      <c r="G5" s="3">
        <f t="shared" si="5"/>
        <v>15</v>
      </c>
      <c r="H5" s="3">
        <f t="shared" si="5"/>
        <v>18</v>
      </c>
      <c r="I5" s="3">
        <f t="shared" si="5"/>
        <v>21</v>
      </c>
      <c r="J5" s="3">
        <f t="shared" si="5"/>
        <v>24</v>
      </c>
      <c r="K5" s="3">
        <f t="shared" si="5"/>
        <v>27</v>
      </c>
      <c r="L5" s="3">
        <f t="shared" si="5"/>
        <v>30</v>
      </c>
      <c r="M5" s="3">
        <f t="shared" si="5"/>
        <v>33</v>
      </c>
      <c r="N5" s="3">
        <f t="shared" si="5"/>
        <v>36</v>
      </c>
      <c r="O5" s="7">
        <f t="shared" si="5"/>
        <v>39</v>
      </c>
      <c r="P5" s="3">
        <f t="shared" si="5"/>
        <v>42</v>
      </c>
      <c r="Q5" s="3">
        <f t="shared" si="5"/>
        <v>45</v>
      </c>
      <c r="R5" s="3">
        <f t="shared" si="5"/>
        <v>48</v>
      </c>
      <c r="S5" s="3">
        <f t="shared" si="5"/>
        <v>51</v>
      </c>
      <c r="T5" s="3">
        <f t="shared" si="5"/>
        <v>54</v>
      </c>
      <c r="U5" s="3">
        <f t="shared" si="5"/>
        <v>57</v>
      </c>
      <c r="V5" s="3">
        <f t="shared" si="5"/>
        <v>60</v>
      </c>
      <c r="AB5" s="5">
        <f t="shared" ref="AB5:AC5" si="6">AB4*0.423</f>
        <v>21.573</v>
      </c>
      <c r="AC5" s="5">
        <f t="shared" si="6"/>
        <v>8.46</v>
      </c>
      <c r="AH5" s="8">
        <f>21/51</f>
        <v>0.4117647059</v>
      </c>
      <c r="AI5" s="6">
        <f>7/20</f>
        <v>0.35</v>
      </c>
    </row>
    <row r="6">
      <c r="A6" s="2">
        <v>4.0</v>
      </c>
      <c r="B6" s="3">
        <f t="shared" ref="B6:V6" si="7">B$1*$A6</f>
        <v>0</v>
      </c>
      <c r="C6" s="3">
        <f t="shared" si="7"/>
        <v>4</v>
      </c>
      <c r="D6" s="3">
        <f t="shared" si="7"/>
        <v>8</v>
      </c>
      <c r="E6" s="3">
        <f t="shared" si="7"/>
        <v>12</v>
      </c>
      <c r="F6" s="3">
        <f t="shared" si="7"/>
        <v>16</v>
      </c>
      <c r="G6" s="3">
        <f t="shared" si="7"/>
        <v>20</v>
      </c>
      <c r="H6" s="3">
        <f t="shared" si="7"/>
        <v>24</v>
      </c>
      <c r="I6" s="3">
        <f t="shared" si="7"/>
        <v>28</v>
      </c>
      <c r="J6" s="3">
        <f t="shared" si="7"/>
        <v>32</v>
      </c>
      <c r="K6" s="3">
        <f t="shared" si="7"/>
        <v>36</v>
      </c>
      <c r="L6" s="3">
        <f t="shared" si="7"/>
        <v>40</v>
      </c>
      <c r="M6" s="3">
        <f t="shared" si="7"/>
        <v>44</v>
      </c>
      <c r="N6" s="3">
        <f t="shared" si="7"/>
        <v>48</v>
      </c>
      <c r="O6" s="3">
        <f t="shared" si="7"/>
        <v>52</v>
      </c>
      <c r="P6" s="3">
        <f t="shared" si="7"/>
        <v>56</v>
      </c>
      <c r="Q6" s="3">
        <f t="shared" si="7"/>
        <v>60</v>
      </c>
      <c r="R6" s="3">
        <f t="shared" si="7"/>
        <v>64</v>
      </c>
      <c r="S6" s="3">
        <f t="shared" si="7"/>
        <v>68</v>
      </c>
      <c r="T6" s="3">
        <f t="shared" si="7"/>
        <v>72</v>
      </c>
      <c r="U6" s="3">
        <f t="shared" si="7"/>
        <v>76</v>
      </c>
      <c r="V6" s="3">
        <f t="shared" si="7"/>
        <v>80</v>
      </c>
      <c r="AH6" s="4"/>
      <c r="AI6" s="4"/>
    </row>
    <row r="7">
      <c r="A7" s="2">
        <v>5.0</v>
      </c>
      <c r="B7" s="3">
        <f t="shared" ref="B7:V7" si="8">B$1*$A7</f>
        <v>0</v>
      </c>
      <c r="C7" s="3">
        <f t="shared" si="8"/>
        <v>5</v>
      </c>
      <c r="D7" s="3">
        <f t="shared" si="8"/>
        <v>10</v>
      </c>
      <c r="E7" s="3">
        <f t="shared" si="8"/>
        <v>15</v>
      </c>
      <c r="F7" s="3">
        <f t="shared" si="8"/>
        <v>20</v>
      </c>
      <c r="G7" s="3">
        <f t="shared" si="8"/>
        <v>25</v>
      </c>
      <c r="H7" s="3">
        <f t="shared" si="8"/>
        <v>30</v>
      </c>
      <c r="I7" s="3">
        <f t="shared" si="8"/>
        <v>35</v>
      </c>
      <c r="J7" s="3">
        <f t="shared" si="8"/>
        <v>40</v>
      </c>
      <c r="K7" s="3">
        <f t="shared" si="8"/>
        <v>45</v>
      </c>
      <c r="L7" s="3">
        <f t="shared" si="8"/>
        <v>50</v>
      </c>
      <c r="M7" s="3">
        <f t="shared" si="8"/>
        <v>55</v>
      </c>
      <c r="N7" s="3">
        <f t="shared" si="8"/>
        <v>60</v>
      </c>
      <c r="O7" s="3">
        <f t="shared" si="8"/>
        <v>65</v>
      </c>
      <c r="P7" s="3">
        <f t="shared" si="8"/>
        <v>70</v>
      </c>
      <c r="Q7" s="3">
        <f t="shared" si="8"/>
        <v>75</v>
      </c>
      <c r="R7" s="3">
        <f t="shared" si="8"/>
        <v>80</v>
      </c>
      <c r="S7" s="3">
        <f t="shared" si="8"/>
        <v>85</v>
      </c>
      <c r="T7" s="3">
        <f t="shared" si="8"/>
        <v>90</v>
      </c>
      <c r="U7" s="3">
        <f t="shared" si="8"/>
        <v>95</v>
      </c>
      <c r="V7" s="3">
        <f t="shared" si="8"/>
        <v>100</v>
      </c>
      <c r="AH7" s="4"/>
      <c r="AI7" s="4"/>
    </row>
    <row r="8">
      <c r="A8" s="2">
        <v>6.0</v>
      </c>
      <c r="B8" s="3">
        <f t="shared" ref="B8:V8" si="9">B$1*$A8</f>
        <v>0</v>
      </c>
      <c r="C8" s="3">
        <f t="shared" si="9"/>
        <v>6</v>
      </c>
      <c r="D8" s="3">
        <f t="shared" si="9"/>
        <v>12</v>
      </c>
      <c r="E8" s="3">
        <f t="shared" si="9"/>
        <v>18</v>
      </c>
      <c r="F8" s="3">
        <f t="shared" si="9"/>
        <v>24</v>
      </c>
      <c r="G8" s="3">
        <f t="shared" si="9"/>
        <v>30</v>
      </c>
      <c r="H8" s="3">
        <f t="shared" si="9"/>
        <v>36</v>
      </c>
      <c r="I8" s="3">
        <f t="shared" si="9"/>
        <v>42</v>
      </c>
      <c r="J8" s="3">
        <f t="shared" si="9"/>
        <v>48</v>
      </c>
      <c r="K8" s="3">
        <f t="shared" si="9"/>
        <v>54</v>
      </c>
      <c r="L8" s="3">
        <f t="shared" si="9"/>
        <v>60</v>
      </c>
      <c r="M8" s="3">
        <f t="shared" si="9"/>
        <v>66</v>
      </c>
      <c r="N8" s="3">
        <f t="shared" si="9"/>
        <v>72</v>
      </c>
      <c r="O8" s="3">
        <f t="shared" si="9"/>
        <v>78</v>
      </c>
      <c r="P8" s="3">
        <f t="shared" si="9"/>
        <v>84</v>
      </c>
      <c r="Q8" s="3">
        <f t="shared" si="9"/>
        <v>90</v>
      </c>
      <c r="R8" s="3">
        <f t="shared" si="9"/>
        <v>96</v>
      </c>
      <c r="S8" s="3">
        <f t="shared" si="9"/>
        <v>102</v>
      </c>
      <c r="T8" s="3">
        <f t="shared" si="9"/>
        <v>108</v>
      </c>
      <c r="U8" s="3">
        <f t="shared" si="9"/>
        <v>114</v>
      </c>
      <c r="V8" s="3">
        <f t="shared" si="9"/>
        <v>120</v>
      </c>
      <c r="AB8" s="3">
        <v>33.0</v>
      </c>
      <c r="AC8" s="3">
        <v>32.0</v>
      </c>
      <c r="AE8" s="11">
        <v>12.0</v>
      </c>
      <c r="AF8" s="3">
        <v>15.0</v>
      </c>
      <c r="AH8" s="4">
        <f t="shared" ref="AH8:AI8" si="10">AE8/AB$8</f>
        <v>0.3636363636</v>
      </c>
      <c r="AI8" s="4">
        <f t="shared" si="10"/>
        <v>0.46875</v>
      </c>
      <c r="AK8" s="5">
        <f t="shared" ref="AK8:AK11" si="14">(AE8+AF8)/(AB$8+AC$8)</f>
        <v>0.4153846154</v>
      </c>
    </row>
    <row r="9">
      <c r="A9" s="2">
        <v>7.0</v>
      </c>
      <c r="B9" s="3">
        <f t="shared" ref="B9:V9" si="11">B$1*$A9</f>
        <v>0</v>
      </c>
      <c r="C9" s="3">
        <f t="shared" si="11"/>
        <v>7</v>
      </c>
      <c r="D9" s="3">
        <f t="shared" si="11"/>
        <v>14</v>
      </c>
      <c r="E9" s="3">
        <f t="shared" si="11"/>
        <v>21</v>
      </c>
      <c r="F9" s="3">
        <f t="shared" si="11"/>
        <v>28</v>
      </c>
      <c r="G9" s="3">
        <f t="shared" si="11"/>
        <v>35</v>
      </c>
      <c r="H9" s="3">
        <f t="shared" si="11"/>
        <v>42</v>
      </c>
      <c r="I9" s="3">
        <f t="shared" si="11"/>
        <v>49</v>
      </c>
      <c r="J9" s="3">
        <f t="shared" si="11"/>
        <v>56</v>
      </c>
      <c r="K9" s="3">
        <f t="shared" si="11"/>
        <v>63</v>
      </c>
      <c r="L9" s="3">
        <f t="shared" si="11"/>
        <v>70</v>
      </c>
      <c r="M9" s="3">
        <f t="shared" si="11"/>
        <v>77</v>
      </c>
      <c r="N9" s="7">
        <f t="shared" si="11"/>
        <v>84</v>
      </c>
      <c r="O9" s="3">
        <f t="shared" si="11"/>
        <v>91</v>
      </c>
      <c r="P9" s="3">
        <f t="shared" si="11"/>
        <v>98</v>
      </c>
      <c r="Q9" s="3">
        <f t="shared" si="11"/>
        <v>105</v>
      </c>
      <c r="R9" s="3">
        <f t="shared" si="11"/>
        <v>112</v>
      </c>
      <c r="S9" s="3">
        <f t="shared" si="11"/>
        <v>119</v>
      </c>
      <c r="T9" s="3">
        <f t="shared" si="11"/>
        <v>126</v>
      </c>
      <c r="U9" s="3">
        <f t="shared" si="11"/>
        <v>133</v>
      </c>
      <c r="V9" s="3">
        <f t="shared" si="11"/>
        <v>140</v>
      </c>
      <c r="AB9" s="5">
        <f t="shared" ref="AB9:AC9" si="12">AB8*0.423</f>
        <v>13.959</v>
      </c>
      <c r="AC9" s="5">
        <f t="shared" si="12"/>
        <v>13.536</v>
      </c>
      <c r="AE9" s="11">
        <v>13.0</v>
      </c>
      <c r="AF9" s="3">
        <v>14.0</v>
      </c>
      <c r="AH9" s="4">
        <f t="shared" ref="AH9:AI9" si="13">AE9/AB$8</f>
        <v>0.3939393939</v>
      </c>
      <c r="AI9" s="4">
        <f t="shared" si="13"/>
        <v>0.4375</v>
      </c>
      <c r="AK9" s="5">
        <f t="shared" si="14"/>
        <v>0.4153846154</v>
      </c>
    </row>
    <row r="10">
      <c r="A10" s="2">
        <v>8.0</v>
      </c>
      <c r="B10" s="3">
        <f t="shared" ref="B10:V10" si="15">B$1*$A10</f>
        <v>0</v>
      </c>
      <c r="C10" s="3">
        <f t="shared" si="15"/>
        <v>8</v>
      </c>
      <c r="D10" s="3">
        <f t="shared" si="15"/>
        <v>16</v>
      </c>
      <c r="E10" s="3">
        <f t="shared" si="15"/>
        <v>24</v>
      </c>
      <c r="F10" s="3">
        <f t="shared" si="15"/>
        <v>32</v>
      </c>
      <c r="G10" s="3">
        <f t="shared" si="15"/>
        <v>40</v>
      </c>
      <c r="H10" s="3">
        <f t="shared" si="15"/>
        <v>48</v>
      </c>
      <c r="I10" s="3">
        <f t="shared" si="15"/>
        <v>56</v>
      </c>
      <c r="J10" s="3">
        <f t="shared" si="15"/>
        <v>64</v>
      </c>
      <c r="K10" s="3">
        <f t="shared" si="15"/>
        <v>72</v>
      </c>
      <c r="L10" s="3">
        <f t="shared" si="15"/>
        <v>80</v>
      </c>
      <c r="M10" s="3">
        <f t="shared" si="15"/>
        <v>88</v>
      </c>
      <c r="N10" s="3">
        <f t="shared" si="15"/>
        <v>96</v>
      </c>
      <c r="O10" s="3">
        <f t="shared" si="15"/>
        <v>104</v>
      </c>
      <c r="P10" s="3">
        <f t="shared" si="15"/>
        <v>112</v>
      </c>
      <c r="Q10" s="3">
        <f t="shared" si="15"/>
        <v>120</v>
      </c>
      <c r="R10" s="3">
        <f t="shared" si="15"/>
        <v>128</v>
      </c>
      <c r="S10" s="3">
        <f t="shared" si="15"/>
        <v>136</v>
      </c>
      <c r="T10" s="3">
        <f t="shared" si="15"/>
        <v>144</v>
      </c>
      <c r="U10" s="3">
        <f t="shared" si="15"/>
        <v>152</v>
      </c>
      <c r="V10" s="3">
        <f t="shared" si="15"/>
        <v>160</v>
      </c>
      <c r="AE10" s="11">
        <v>14.0</v>
      </c>
      <c r="AF10" s="3">
        <v>13.0</v>
      </c>
      <c r="AH10" s="4">
        <f t="shared" ref="AH10:AI10" si="16">AE10/AB$8</f>
        <v>0.4242424242</v>
      </c>
      <c r="AI10" s="4">
        <f t="shared" si="16"/>
        <v>0.40625</v>
      </c>
      <c r="AK10" s="5">
        <f t="shared" si="14"/>
        <v>0.4153846154</v>
      </c>
    </row>
    <row r="11">
      <c r="A11" s="2">
        <v>9.0</v>
      </c>
      <c r="B11" s="3">
        <f t="shared" ref="B11:V11" si="17">B$1*$A11</f>
        <v>0</v>
      </c>
      <c r="C11" s="3">
        <f t="shared" si="17"/>
        <v>9</v>
      </c>
      <c r="D11" s="3">
        <f t="shared" si="17"/>
        <v>18</v>
      </c>
      <c r="E11" s="3">
        <f t="shared" si="17"/>
        <v>27</v>
      </c>
      <c r="F11" s="3">
        <f t="shared" si="17"/>
        <v>36</v>
      </c>
      <c r="G11" s="3">
        <f t="shared" si="17"/>
        <v>45</v>
      </c>
      <c r="H11" s="3">
        <f t="shared" si="17"/>
        <v>54</v>
      </c>
      <c r="I11" s="3">
        <f t="shared" si="17"/>
        <v>63</v>
      </c>
      <c r="J11" s="3">
        <f t="shared" si="17"/>
        <v>72</v>
      </c>
      <c r="K11" s="3">
        <f t="shared" si="17"/>
        <v>81</v>
      </c>
      <c r="L11" s="3">
        <f t="shared" si="17"/>
        <v>90</v>
      </c>
      <c r="M11" s="7">
        <f t="shared" si="17"/>
        <v>99</v>
      </c>
      <c r="N11" s="3">
        <f t="shared" si="17"/>
        <v>108</v>
      </c>
      <c r="O11" s="3">
        <f t="shared" si="17"/>
        <v>117</v>
      </c>
      <c r="P11" s="3">
        <f t="shared" si="17"/>
        <v>126</v>
      </c>
      <c r="Q11" s="3">
        <f t="shared" si="17"/>
        <v>135</v>
      </c>
      <c r="R11" s="3">
        <f t="shared" si="17"/>
        <v>144</v>
      </c>
      <c r="S11" s="3">
        <f t="shared" si="17"/>
        <v>153</v>
      </c>
      <c r="T11" s="3">
        <f t="shared" si="17"/>
        <v>162</v>
      </c>
      <c r="U11" s="3">
        <f t="shared" si="17"/>
        <v>171</v>
      </c>
      <c r="V11" s="3">
        <f t="shared" si="17"/>
        <v>180</v>
      </c>
      <c r="AE11" s="11">
        <v>15.0</v>
      </c>
      <c r="AF11" s="3">
        <v>12.0</v>
      </c>
      <c r="AH11" s="4">
        <f t="shared" ref="AH11:AI11" si="18">AE11/AB$8</f>
        <v>0.4545454545</v>
      </c>
      <c r="AI11" s="4">
        <f t="shared" si="18"/>
        <v>0.375</v>
      </c>
      <c r="AK11" s="5">
        <f t="shared" si="14"/>
        <v>0.4153846154</v>
      </c>
    </row>
    <row r="12">
      <c r="A12" s="2">
        <v>10.0</v>
      </c>
      <c r="B12" s="3">
        <f t="shared" ref="B12:V12" si="19">B$1*$A12</f>
        <v>0</v>
      </c>
      <c r="C12" s="3">
        <f t="shared" si="19"/>
        <v>10</v>
      </c>
      <c r="D12" s="3">
        <f t="shared" si="19"/>
        <v>20</v>
      </c>
      <c r="E12" s="3">
        <f t="shared" si="19"/>
        <v>30</v>
      </c>
      <c r="F12" s="3">
        <f t="shared" si="19"/>
        <v>40</v>
      </c>
      <c r="G12" s="3">
        <f t="shared" si="19"/>
        <v>50</v>
      </c>
      <c r="H12" s="3">
        <f t="shared" si="19"/>
        <v>60</v>
      </c>
      <c r="I12" s="3">
        <f t="shared" si="19"/>
        <v>70</v>
      </c>
      <c r="J12" s="3">
        <f t="shared" si="19"/>
        <v>80</v>
      </c>
      <c r="K12" s="3">
        <f t="shared" si="19"/>
        <v>90</v>
      </c>
      <c r="L12" s="3">
        <f t="shared" si="19"/>
        <v>100</v>
      </c>
      <c r="M12" s="3">
        <f t="shared" si="19"/>
        <v>110</v>
      </c>
      <c r="N12" s="3">
        <f t="shared" si="19"/>
        <v>120</v>
      </c>
      <c r="O12" s="3">
        <f t="shared" si="19"/>
        <v>130</v>
      </c>
      <c r="P12" s="3">
        <f t="shared" si="19"/>
        <v>140</v>
      </c>
      <c r="Q12" s="3">
        <f t="shared" si="19"/>
        <v>150</v>
      </c>
      <c r="R12" s="3">
        <f t="shared" si="19"/>
        <v>160</v>
      </c>
      <c r="S12" s="3">
        <f t="shared" si="19"/>
        <v>170</v>
      </c>
      <c r="T12" s="3">
        <f t="shared" si="19"/>
        <v>180</v>
      </c>
      <c r="U12" s="3">
        <f t="shared" si="19"/>
        <v>190</v>
      </c>
      <c r="V12" s="3">
        <f t="shared" si="19"/>
        <v>200</v>
      </c>
      <c r="AH12" s="4"/>
      <c r="AI12" s="4"/>
    </row>
    <row r="13">
      <c r="A13" s="2">
        <v>11.0</v>
      </c>
      <c r="B13" s="3">
        <f t="shared" ref="B13:V13" si="20">B$1*$A13</f>
        <v>0</v>
      </c>
      <c r="C13" s="3">
        <f t="shared" si="20"/>
        <v>11</v>
      </c>
      <c r="D13" s="3">
        <f t="shared" si="20"/>
        <v>22</v>
      </c>
      <c r="E13" s="3">
        <f t="shared" si="20"/>
        <v>33</v>
      </c>
      <c r="F13" s="3">
        <f t="shared" si="20"/>
        <v>44</v>
      </c>
      <c r="G13" s="3">
        <f t="shared" si="20"/>
        <v>55</v>
      </c>
      <c r="H13" s="3">
        <f t="shared" si="20"/>
        <v>66</v>
      </c>
      <c r="I13" s="3">
        <f t="shared" si="20"/>
        <v>77</v>
      </c>
      <c r="J13" s="3">
        <f t="shared" si="20"/>
        <v>88</v>
      </c>
      <c r="K13" s="3">
        <f t="shared" si="20"/>
        <v>99</v>
      </c>
      <c r="L13" s="12">
        <f t="shared" si="20"/>
        <v>110</v>
      </c>
      <c r="M13" s="3">
        <f t="shared" si="20"/>
        <v>121</v>
      </c>
      <c r="N13" s="3">
        <f t="shared" si="20"/>
        <v>132</v>
      </c>
      <c r="O13" s="3">
        <f t="shared" si="20"/>
        <v>143</v>
      </c>
      <c r="P13" s="3">
        <f t="shared" si="20"/>
        <v>154</v>
      </c>
      <c r="Q13" s="3">
        <f t="shared" si="20"/>
        <v>165</v>
      </c>
      <c r="R13" s="3">
        <f t="shared" si="20"/>
        <v>176</v>
      </c>
      <c r="S13" s="3">
        <f t="shared" si="20"/>
        <v>187</v>
      </c>
      <c r="T13" s="3">
        <f t="shared" si="20"/>
        <v>198</v>
      </c>
      <c r="U13" s="3">
        <f t="shared" si="20"/>
        <v>209</v>
      </c>
      <c r="V13" s="3">
        <f t="shared" si="20"/>
        <v>220</v>
      </c>
      <c r="AH13" s="4"/>
      <c r="AI13" s="4"/>
    </row>
    <row r="14">
      <c r="A14" s="2">
        <v>12.0</v>
      </c>
      <c r="B14" s="3">
        <f t="shared" ref="B14:V14" si="21">B$1*$A14</f>
        <v>0</v>
      </c>
      <c r="C14" s="3">
        <f t="shared" si="21"/>
        <v>12</v>
      </c>
      <c r="D14" s="3">
        <f t="shared" si="21"/>
        <v>24</v>
      </c>
      <c r="E14" s="3">
        <f t="shared" si="21"/>
        <v>36</v>
      </c>
      <c r="F14" s="3">
        <f t="shared" si="21"/>
        <v>48</v>
      </c>
      <c r="G14" s="3">
        <f t="shared" si="21"/>
        <v>60</v>
      </c>
      <c r="H14" s="3">
        <f t="shared" si="21"/>
        <v>72</v>
      </c>
      <c r="I14" s="3">
        <f t="shared" si="21"/>
        <v>84</v>
      </c>
      <c r="J14" s="3">
        <f t="shared" si="21"/>
        <v>96</v>
      </c>
      <c r="K14" s="3">
        <f t="shared" si="21"/>
        <v>108</v>
      </c>
      <c r="L14" s="3">
        <f t="shared" si="21"/>
        <v>120</v>
      </c>
      <c r="M14" s="3">
        <f t="shared" si="21"/>
        <v>132</v>
      </c>
      <c r="N14" s="3">
        <f t="shared" si="21"/>
        <v>144</v>
      </c>
      <c r="O14" s="3">
        <f t="shared" si="21"/>
        <v>156</v>
      </c>
      <c r="P14" s="3">
        <f t="shared" si="21"/>
        <v>168</v>
      </c>
      <c r="Q14" s="3">
        <f t="shared" si="21"/>
        <v>180</v>
      </c>
      <c r="R14" s="3">
        <f t="shared" si="21"/>
        <v>192</v>
      </c>
      <c r="S14" s="3">
        <f t="shared" si="21"/>
        <v>204</v>
      </c>
      <c r="T14" s="3">
        <f t="shared" si="21"/>
        <v>216</v>
      </c>
      <c r="U14" s="3">
        <f t="shared" si="21"/>
        <v>228</v>
      </c>
      <c r="V14" s="3">
        <f t="shared" si="21"/>
        <v>240</v>
      </c>
      <c r="AH14" s="4"/>
      <c r="AI14" s="4"/>
    </row>
    <row r="15">
      <c r="A15" s="2">
        <v>13.0</v>
      </c>
      <c r="B15" s="3">
        <f t="shared" ref="B15:V15" si="22">B$1*$A15</f>
        <v>0</v>
      </c>
      <c r="C15" s="3">
        <f t="shared" si="22"/>
        <v>13</v>
      </c>
      <c r="D15" s="3">
        <f t="shared" si="22"/>
        <v>26</v>
      </c>
      <c r="E15" s="3">
        <f t="shared" si="22"/>
        <v>39</v>
      </c>
      <c r="F15" s="3">
        <f t="shared" si="22"/>
        <v>52</v>
      </c>
      <c r="G15" s="3">
        <f t="shared" si="22"/>
        <v>65</v>
      </c>
      <c r="H15" s="3">
        <f t="shared" si="22"/>
        <v>78</v>
      </c>
      <c r="I15" s="3">
        <f t="shared" si="22"/>
        <v>91</v>
      </c>
      <c r="J15" s="3">
        <f t="shared" si="22"/>
        <v>104</v>
      </c>
      <c r="K15" s="12">
        <f t="shared" si="22"/>
        <v>117</v>
      </c>
      <c r="L15" s="3">
        <f t="shared" si="22"/>
        <v>130</v>
      </c>
      <c r="M15" s="3">
        <f t="shared" si="22"/>
        <v>143</v>
      </c>
      <c r="N15" s="3">
        <f t="shared" si="22"/>
        <v>156</v>
      </c>
      <c r="O15" s="13">
        <f t="shared" si="22"/>
        <v>169</v>
      </c>
      <c r="P15" s="3">
        <f t="shared" si="22"/>
        <v>182</v>
      </c>
      <c r="Q15" s="3">
        <f t="shared" si="22"/>
        <v>195</v>
      </c>
      <c r="R15" s="3">
        <f t="shared" si="22"/>
        <v>208</v>
      </c>
      <c r="S15" s="3">
        <f t="shared" si="22"/>
        <v>221</v>
      </c>
      <c r="T15" s="3">
        <f t="shared" si="22"/>
        <v>234</v>
      </c>
      <c r="U15" s="3">
        <f t="shared" si="22"/>
        <v>247</v>
      </c>
      <c r="V15" s="3">
        <f t="shared" si="22"/>
        <v>260</v>
      </c>
      <c r="AB15" s="3">
        <v>53.0</v>
      </c>
      <c r="AC15" s="3">
        <v>19.0</v>
      </c>
      <c r="AE15" s="3">
        <v>22.0</v>
      </c>
      <c r="AF15" s="3">
        <v>8.0</v>
      </c>
      <c r="AH15" s="4">
        <f t="shared" ref="AH15:AI15" si="23">AE15/AB15</f>
        <v>0.4150943396</v>
      </c>
      <c r="AI15" s="4">
        <f t="shared" si="23"/>
        <v>0.4210526316</v>
      </c>
      <c r="AK15" s="5">
        <f>(AE15+AF15)/(AB$15+AC$15)</f>
        <v>0.4166666667</v>
      </c>
    </row>
    <row r="16">
      <c r="A16" s="2">
        <v>14.0</v>
      </c>
      <c r="B16" s="3">
        <f t="shared" ref="B16:V16" si="24">B$1*$A16</f>
        <v>0</v>
      </c>
      <c r="C16" s="3">
        <f t="shared" si="24"/>
        <v>14</v>
      </c>
      <c r="D16" s="3">
        <f t="shared" si="24"/>
        <v>28</v>
      </c>
      <c r="E16" s="3">
        <f t="shared" si="24"/>
        <v>42</v>
      </c>
      <c r="F16" s="3">
        <f t="shared" si="24"/>
        <v>56</v>
      </c>
      <c r="G16" s="3">
        <f t="shared" si="24"/>
        <v>70</v>
      </c>
      <c r="H16" s="3">
        <f t="shared" si="24"/>
        <v>84</v>
      </c>
      <c r="I16" s="3">
        <f t="shared" si="24"/>
        <v>98</v>
      </c>
      <c r="J16" s="12">
        <f t="shared" si="24"/>
        <v>112</v>
      </c>
      <c r="K16" s="3">
        <f t="shared" si="24"/>
        <v>126</v>
      </c>
      <c r="L16" s="3">
        <f t="shared" si="24"/>
        <v>140</v>
      </c>
      <c r="M16" s="3">
        <f t="shared" si="24"/>
        <v>154</v>
      </c>
      <c r="N16" s="13">
        <f t="shared" si="24"/>
        <v>168</v>
      </c>
      <c r="O16" s="13">
        <f t="shared" si="24"/>
        <v>182</v>
      </c>
      <c r="P16" s="3">
        <f t="shared" si="24"/>
        <v>196</v>
      </c>
      <c r="Q16" s="3">
        <f t="shared" si="24"/>
        <v>210</v>
      </c>
      <c r="R16" s="3">
        <f t="shared" si="24"/>
        <v>224</v>
      </c>
      <c r="S16" s="3">
        <f t="shared" si="24"/>
        <v>238</v>
      </c>
      <c r="T16" s="3">
        <f t="shared" si="24"/>
        <v>252</v>
      </c>
      <c r="U16" s="3">
        <f t="shared" si="24"/>
        <v>266</v>
      </c>
      <c r="V16" s="3">
        <f t="shared" si="24"/>
        <v>280</v>
      </c>
      <c r="AB16" s="5">
        <f t="shared" ref="AB16:AC16" si="25">AB15*0.423</f>
        <v>22.419</v>
      </c>
      <c r="AC16" s="5">
        <f t="shared" si="25"/>
        <v>8.037</v>
      </c>
      <c r="AH16" s="4"/>
      <c r="AI16" s="4"/>
    </row>
    <row r="17">
      <c r="A17" s="2">
        <v>15.0</v>
      </c>
      <c r="B17" s="3">
        <f t="shared" ref="B17:V17" si="26">B$1*$A17</f>
        <v>0</v>
      </c>
      <c r="C17" s="3">
        <f t="shared" si="26"/>
        <v>15</v>
      </c>
      <c r="D17" s="3">
        <f t="shared" si="26"/>
        <v>30</v>
      </c>
      <c r="E17" s="3">
        <f t="shared" si="26"/>
        <v>45</v>
      </c>
      <c r="F17" s="3">
        <f t="shared" si="26"/>
        <v>60</v>
      </c>
      <c r="G17" s="3">
        <f t="shared" si="26"/>
        <v>75</v>
      </c>
      <c r="H17" s="3">
        <f t="shared" si="26"/>
        <v>90</v>
      </c>
      <c r="I17" s="12">
        <f t="shared" si="26"/>
        <v>105</v>
      </c>
      <c r="J17" s="3">
        <f t="shared" si="26"/>
        <v>120</v>
      </c>
      <c r="K17" s="3">
        <f t="shared" si="26"/>
        <v>135</v>
      </c>
      <c r="L17" s="3">
        <f t="shared" si="26"/>
        <v>150</v>
      </c>
      <c r="M17" s="3">
        <f t="shared" si="26"/>
        <v>165</v>
      </c>
      <c r="N17" s="13">
        <f t="shared" si="26"/>
        <v>180</v>
      </c>
      <c r="O17" s="13">
        <f t="shared" si="26"/>
        <v>195</v>
      </c>
      <c r="P17" s="3">
        <f t="shared" si="26"/>
        <v>210</v>
      </c>
      <c r="Q17" s="3">
        <f t="shared" si="26"/>
        <v>225</v>
      </c>
      <c r="R17" s="3">
        <f t="shared" si="26"/>
        <v>240</v>
      </c>
      <c r="S17" s="3">
        <f t="shared" si="26"/>
        <v>255</v>
      </c>
      <c r="T17" s="3">
        <f t="shared" si="26"/>
        <v>270</v>
      </c>
      <c r="U17" s="3">
        <f t="shared" si="26"/>
        <v>285</v>
      </c>
      <c r="V17" s="3">
        <f t="shared" si="26"/>
        <v>300</v>
      </c>
      <c r="AH17" s="4"/>
      <c r="AI17" s="4"/>
    </row>
    <row r="18">
      <c r="A18" s="2">
        <v>16.0</v>
      </c>
      <c r="B18" s="3">
        <f t="shared" ref="B18:V18" si="27">B$1*$A18</f>
        <v>0</v>
      </c>
      <c r="C18" s="3">
        <f t="shared" si="27"/>
        <v>16</v>
      </c>
      <c r="D18" s="3">
        <f t="shared" si="27"/>
        <v>32</v>
      </c>
      <c r="E18" s="3">
        <f t="shared" si="27"/>
        <v>48</v>
      </c>
      <c r="F18" s="3">
        <f t="shared" si="27"/>
        <v>64</v>
      </c>
      <c r="G18" s="3">
        <f t="shared" si="27"/>
        <v>80</v>
      </c>
      <c r="H18" s="7">
        <f t="shared" si="27"/>
        <v>96</v>
      </c>
      <c r="I18" s="3">
        <f t="shared" si="27"/>
        <v>112</v>
      </c>
      <c r="J18" s="3">
        <f t="shared" si="27"/>
        <v>128</v>
      </c>
      <c r="K18" s="3">
        <f t="shared" si="27"/>
        <v>144</v>
      </c>
      <c r="L18" s="3">
        <f t="shared" si="27"/>
        <v>160</v>
      </c>
      <c r="M18" s="13">
        <f t="shared" si="27"/>
        <v>176</v>
      </c>
      <c r="N18" s="13">
        <f t="shared" si="27"/>
        <v>192</v>
      </c>
      <c r="O18" s="13">
        <f t="shared" si="27"/>
        <v>208</v>
      </c>
      <c r="P18" s="3">
        <f t="shared" si="27"/>
        <v>224</v>
      </c>
      <c r="Q18" s="3">
        <f t="shared" si="27"/>
        <v>240</v>
      </c>
      <c r="R18" s="3">
        <f t="shared" si="27"/>
        <v>256</v>
      </c>
      <c r="S18" s="3">
        <f t="shared" si="27"/>
        <v>272</v>
      </c>
      <c r="T18" s="3">
        <f t="shared" si="27"/>
        <v>288</v>
      </c>
      <c r="U18" s="3">
        <f t="shared" si="27"/>
        <v>304</v>
      </c>
      <c r="V18" s="3">
        <f t="shared" si="27"/>
        <v>320</v>
      </c>
      <c r="AH18" s="4"/>
      <c r="AI18" s="4"/>
    </row>
    <row r="19">
      <c r="A19" s="2">
        <v>17.0</v>
      </c>
      <c r="B19" s="3">
        <f t="shared" ref="B19:V19" si="28">B$1*$A19</f>
        <v>0</v>
      </c>
      <c r="C19" s="3">
        <f t="shared" si="28"/>
        <v>17</v>
      </c>
      <c r="D19" s="3">
        <f t="shared" si="28"/>
        <v>34</v>
      </c>
      <c r="E19" s="3">
        <f t="shared" si="28"/>
        <v>51</v>
      </c>
      <c r="F19" s="3">
        <f t="shared" si="28"/>
        <v>68</v>
      </c>
      <c r="G19" s="7">
        <f t="shared" si="28"/>
        <v>85</v>
      </c>
      <c r="H19" s="3">
        <f t="shared" si="28"/>
        <v>102</v>
      </c>
      <c r="I19" s="3">
        <f t="shared" si="28"/>
        <v>119</v>
      </c>
      <c r="J19" s="3">
        <f t="shared" si="28"/>
        <v>136</v>
      </c>
      <c r="K19" s="3">
        <f t="shared" si="28"/>
        <v>153</v>
      </c>
      <c r="L19" s="13">
        <f t="shared" si="28"/>
        <v>170</v>
      </c>
      <c r="M19" s="13">
        <f t="shared" si="28"/>
        <v>187</v>
      </c>
      <c r="N19" s="13">
        <f t="shared" si="28"/>
        <v>204</v>
      </c>
      <c r="O19" s="13">
        <f t="shared" si="28"/>
        <v>221</v>
      </c>
      <c r="P19" s="13">
        <f t="shared" si="28"/>
        <v>238</v>
      </c>
      <c r="Q19" s="13">
        <f t="shared" si="28"/>
        <v>255</v>
      </c>
      <c r="R19" s="3">
        <f t="shared" si="28"/>
        <v>272</v>
      </c>
      <c r="S19" s="3">
        <f t="shared" si="28"/>
        <v>289</v>
      </c>
      <c r="T19" s="3">
        <f t="shared" si="28"/>
        <v>306</v>
      </c>
      <c r="U19" s="3">
        <f t="shared" si="28"/>
        <v>323</v>
      </c>
      <c r="V19" s="3">
        <f t="shared" si="28"/>
        <v>340</v>
      </c>
      <c r="AB19" s="3">
        <v>73.0</v>
      </c>
      <c r="AC19" s="3">
        <v>12.0</v>
      </c>
      <c r="AE19" s="3">
        <v>32.0</v>
      </c>
      <c r="AF19" s="3">
        <v>6.0</v>
      </c>
      <c r="AH19" s="4">
        <f t="shared" ref="AH19:AH27" si="31">AE19/73</f>
        <v>0.4383561644</v>
      </c>
      <c r="AI19" s="4">
        <f t="shared" ref="AI19:AI27" si="32">AF19/12</f>
        <v>0.5</v>
      </c>
      <c r="AK19" s="5">
        <f t="shared" ref="AK19:AK27" si="33">(AE19+AF19)/(AB$19+AC$19)</f>
        <v>0.4470588235</v>
      </c>
    </row>
    <row r="20">
      <c r="A20" s="2">
        <v>18.0</v>
      </c>
      <c r="B20" s="3">
        <f t="shared" ref="B20:V20" si="29">B$1*$A20</f>
        <v>0</v>
      </c>
      <c r="C20" s="3">
        <f t="shared" si="29"/>
        <v>18</v>
      </c>
      <c r="D20" s="3">
        <f t="shared" si="29"/>
        <v>36</v>
      </c>
      <c r="E20" s="7">
        <f t="shared" si="29"/>
        <v>54</v>
      </c>
      <c r="F20" s="3">
        <f t="shared" si="29"/>
        <v>72</v>
      </c>
      <c r="G20" s="3">
        <f t="shared" si="29"/>
        <v>90</v>
      </c>
      <c r="H20" s="3">
        <f t="shared" si="29"/>
        <v>108</v>
      </c>
      <c r="I20" s="3">
        <f t="shared" si="29"/>
        <v>126</v>
      </c>
      <c r="J20" s="3">
        <f t="shared" si="29"/>
        <v>144</v>
      </c>
      <c r="K20" s="13">
        <f t="shared" si="29"/>
        <v>162</v>
      </c>
      <c r="L20" s="13">
        <f t="shared" si="29"/>
        <v>180</v>
      </c>
      <c r="M20" s="13">
        <f t="shared" si="29"/>
        <v>198</v>
      </c>
      <c r="N20" s="13">
        <f t="shared" si="29"/>
        <v>216</v>
      </c>
      <c r="O20" s="13">
        <f t="shared" si="29"/>
        <v>234</v>
      </c>
      <c r="P20" s="13">
        <f t="shared" si="29"/>
        <v>252</v>
      </c>
      <c r="Q20" s="13">
        <f t="shared" si="29"/>
        <v>270</v>
      </c>
      <c r="R20" s="13">
        <f t="shared" si="29"/>
        <v>288</v>
      </c>
      <c r="S20" s="3">
        <f t="shared" si="29"/>
        <v>306</v>
      </c>
      <c r="T20" s="3">
        <f t="shared" si="29"/>
        <v>324</v>
      </c>
      <c r="U20" s="3">
        <f t="shared" si="29"/>
        <v>342</v>
      </c>
      <c r="V20" s="3">
        <f t="shared" si="29"/>
        <v>360</v>
      </c>
      <c r="AB20" s="5">
        <f t="shared" ref="AB20:AC20" si="30">AB19*0.423</f>
        <v>30.879</v>
      </c>
      <c r="AC20" s="5">
        <f t="shared" si="30"/>
        <v>5.076</v>
      </c>
      <c r="AE20" s="3">
        <v>33.0</v>
      </c>
      <c r="AF20" s="3">
        <v>6.0</v>
      </c>
      <c r="AH20" s="4">
        <f t="shared" si="31"/>
        <v>0.4520547945</v>
      </c>
      <c r="AI20" s="4">
        <f t="shared" si="32"/>
        <v>0.5</v>
      </c>
      <c r="AK20" s="5">
        <f t="shared" si="33"/>
        <v>0.4588235294</v>
      </c>
    </row>
    <row r="21">
      <c r="A21" s="2">
        <v>19.0</v>
      </c>
      <c r="B21" s="7">
        <f t="shared" ref="B21:V21" si="34">B$1*$A21</f>
        <v>0</v>
      </c>
      <c r="C21" s="7">
        <f t="shared" si="34"/>
        <v>19</v>
      </c>
      <c r="D21" s="3">
        <f t="shared" si="34"/>
        <v>38</v>
      </c>
      <c r="E21" s="3">
        <f t="shared" si="34"/>
        <v>57</v>
      </c>
      <c r="F21" s="3">
        <f t="shared" si="34"/>
        <v>76</v>
      </c>
      <c r="G21" s="3">
        <f t="shared" si="34"/>
        <v>95</v>
      </c>
      <c r="H21" s="3">
        <f t="shared" si="34"/>
        <v>114</v>
      </c>
      <c r="I21" s="3">
        <f t="shared" si="34"/>
        <v>133</v>
      </c>
      <c r="J21" s="3">
        <f t="shared" si="34"/>
        <v>152</v>
      </c>
      <c r="K21" s="13">
        <f t="shared" si="34"/>
        <v>171</v>
      </c>
      <c r="L21" s="13">
        <f t="shared" si="34"/>
        <v>190</v>
      </c>
      <c r="M21" s="13">
        <f t="shared" si="34"/>
        <v>209</v>
      </c>
      <c r="N21" s="13">
        <f t="shared" si="34"/>
        <v>228</v>
      </c>
      <c r="O21" s="13">
        <f t="shared" si="34"/>
        <v>247</v>
      </c>
      <c r="P21" s="13">
        <f t="shared" si="34"/>
        <v>266</v>
      </c>
      <c r="Q21" s="13">
        <f t="shared" si="34"/>
        <v>285</v>
      </c>
      <c r="R21" s="13">
        <f t="shared" si="34"/>
        <v>304</v>
      </c>
      <c r="S21" s="13">
        <f t="shared" si="34"/>
        <v>323</v>
      </c>
      <c r="T21" s="13">
        <f t="shared" si="34"/>
        <v>342</v>
      </c>
      <c r="U21" s="3">
        <f t="shared" si="34"/>
        <v>361</v>
      </c>
      <c r="V21" s="3">
        <f t="shared" si="34"/>
        <v>380</v>
      </c>
      <c r="AE21" s="3">
        <v>31.0</v>
      </c>
      <c r="AF21" s="3">
        <v>5.0</v>
      </c>
      <c r="AH21" s="4">
        <f t="shared" si="31"/>
        <v>0.4246575342</v>
      </c>
      <c r="AI21" s="4">
        <f t="shared" si="32"/>
        <v>0.4166666667</v>
      </c>
      <c r="AK21" s="5">
        <f t="shared" si="33"/>
        <v>0.4235294118</v>
      </c>
    </row>
    <row r="22">
      <c r="A22" s="2">
        <v>20.0</v>
      </c>
      <c r="B22" s="3">
        <f t="shared" ref="B22:V22" si="35">B$1*$A22</f>
        <v>0</v>
      </c>
      <c r="C22" s="3">
        <f t="shared" si="35"/>
        <v>20</v>
      </c>
      <c r="D22" s="3">
        <f t="shared" si="35"/>
        <v>40</v>
      </c>
      <c r="E22" s="3">
        <f t="shared" si="35"/>
        <v>60</v>
      </c>
      <c r="F22" s="3">
        <f t="shared" si="35"/>
        <v>80</v>
      </c>
      <c r="G22" s="3">
        <f t="shared" si="35"/>
        <v>100</v>
      </c>
      <c r="H22" s="3">
        <f t="shared" si="35"/>
        <v>120</v>
      </c>
      <c r="I22" s="3">
        <f t="shared" si="35"/>
        <v>140</v>
      </c>
      <c r="J22" s="3">
        <f t="shared" si="35"/>
        <v>160</v>
      </c>
      <c r="K22" s="3">
        <f t="shared" si="35"/>
        <v>180</v>
      </c>
      <c r="L22" s="3">
        <f t="shared" si="35"/>
        <v>200</v>
      </c>
      <c r="M22" s="13">
        <f t="shared" si="35"/>
        <v>220</v>
      </c>
      <c r="N22" s="13">
        <f t="shared" si="35"/>
        <v>240</v>
      </c>
      <c r="O22" s="13">
        <f t="shared" si="35"/>
        <v>260</v>
      </c>
      <c r="P22" s="13">
        <f t="shared" si="35"/>
        <v>280</v>
      </c>
      <c r="Q22" s="13">
        <f t="shared" si="35"/>
        <v>300</v>
      </c>
      <c r="R22" s="13">
        <f t="shared" si="35"/>
        <v>320</v>
      </c>
      <c r="S22" s="13">
        <f t="shared" si="35"/>
        <v>340</v>
      </c>
      <c r="T22" s="13">
        <f t="shared" si="35"/>
        <v>360</v>
      </c>
      <c r="U22" s="3">
        <f t="shared" si="35"/>
        <v>380</v>
      </c>
      <c r="V22" s="3">
        <f t="shared" si="35"/>
        <v>400</v>
      </c>
      <c r="AE22" s="3">
        <v>32.0</v>
      </c>
      <c r="AF22" s="3">
        <v>5.0</v>
      </c>
      <c r="AH22" s="4">
        <f t="shared" si="31"/>
        <v>0.4383561644</v>
      </c>
      <c r="AI22" s="4">
        <f t="shared" si="32"/>
        <v>0.4166666667</v>
      </c>
      <c r="AK22" s="5">
        <f t="shared" si="33"/>
        <v>0.4352941176</v>
      </c>
    </row>
    <row r="23">
      <c r="A23" s="2">
        <v>21.0</v>
      </c>
      <c r="B23" s="3">
        <f t="shared" ref="B23:V23" si="36">B$1*$A23</f>
        <v>0</v>
      </c>
      <c r="C23" s="3">
        <f t="shared" si="36"/>
        <v>21</v>
      </c>
      <c r="D23" s="3">
        <f t="shared" si="36"/>
        <v>42</v>
      </c>
      <c r="E23" s="3">
        <f t="shared" si="36"/>
        <v>63</v>
      </c>
      <c r="F23" s="3">
        <f t="shared" si="36"/>
        <v>84</v>
      </c>
      <c r="G23" s="3">
        <f t="shared" si="36"/>
        <v>105</v>
      </c>
      <c r="H23" s="3">
        <f t="shared" si="36"/>
        <v>126</v>
      </c>
      <c r="I23" s="3">
        <f t="shared" si="36"/>
        <v>147</v>
      </c>
      <c r="J23" s="3">
        <f t="shared" si="36"/>
        <v>168</v>
      </c>
      <c r="K23" s="3">
        <f t="shared" si="36"/>
        <v>189</v>
      </c>
      <c r="L23" s="3">
        <f t="shared" si="36"/>
        <v>210</v>
      </c>
      <c r="M23" s="3">
        <f t="shared" si="36"/>
        <v>231</v>
      </c>
      <c r="N23" s="13">
        <f t="shared" si="36"/>
        <v>252</v>
      </c>
      <c r="O23" s="13">
        <f t="shared" si="36"/>
        <v>273</v>
      </c>
      <c r="P23" s="13">
        <f t="shared" si="36"/>
        <v>294</v>
      </c>
      <c r="Q23" s="13">
        <f t="shared" si="36"/>
        <v>315</v>
      </c>
      <c r="R23" s="13">
        <f t="shared" si="36"/>
        <v>336</v>
      </c>
      <c r="S23" s="13">
        <f t="shared" si="36"/>
        <v>357</v>
      </c>
      <c r="T23" s="3">
        <f t="shared" si="36"/>
        <v>378</v>
      </c>
      <c r="U23" s="3">
        <f t="shared" si="36"/>
        <v>399</v>
      </c>
      <c r="V23" s="3">
        <f t="shared" si="36"/>
        <v>420</v>
      </c>
      <c r="AE23" s="3">
        <v>33.0</v>
      </c>
      <c r="AF23" s="3">
        <v>5.0</v>
      </c>
      <c r="AH23" s="4">
        <f t="shared" si="31"/>
        <v>0.4520547945</v>
      </c>
      <c r="AI23" s="4">
        <f t="shared" si="32"/>
        <v>0.4166666667</v>
      </c>
      <c r="AK23" s="5">
        <f t="shared" si="33"/>
        <v>0.4470588235</v>
      </c>
    </row>
    <row r="24">
      <c r="A24" s="2">
        <v>22.0</v>
      </c>
      <c r="B24" s="3">
        <f t="shared" ref="B24:V24" si="37">B$1*$A24</f>
        <v>0</v>
      </c>
      <c r="C24" s="3">
        <f t="shared" si="37"/>
        <v>22</v>
      </c>
      <c r="D24" s="3">
        <f t="shared" si="37"/>
        <v>44</v>
      </c>
      <c r="E24" s="3">
        <f t="shared" si="37"/>
        <v>66</v>
      </c>
      <c r="F24" s="3">
        <f t="shared" si="37"/>
        <v>88</v>
      </c>
      <c r="G24" s="3">
        <f t="shared" si="37"/>
        <v>110</v>
      </c>
      <c r="H24" s="3">
        <f t="shared" si="37"/>
        <v>132</v>
      </c>
      <c r="I24" s="3">
        <f t="shared" si="37"/>
        <v>154</v>
      </c>
      <c r="J24" s="3">
        <f t="shared" si="37"/>
        <v>176</v>
      </c>
      <c r="K24" s="3">
        <f t="shared" si="37"/>
        <v>198</v>
      </c>
      <c r="L24" s="3">
        <f t="shared" si="37"/>
        <v>220</v>
      </c>
      <c r="M24" s="3">
        <f t="shared" si="37"/>
        <v>242</v>
      </c>
      <c r="N24" s="3">
        <f t="shared" si="37"/>
        <v>264</v>
      </c>
      <c r="O24" s="3">
        <f t="shared" si="37"/>
        <v>286</v>
      </c>
      <c r="P24" s="13">
        <f t="shared" si="37"/>
        <v>308</v>
      </c>
      <c r="Q24" s="13">
        <f t="shared" si="37"/>
        <v>330</v>
      </c>
      <c r="R24" s="13">
        <f t="shared" si="37"/>
        <v>352</v>
      </c>
      <c r="S24" s="3">
        <f t="shared" si="37"/>
        <v>374</v>
      </c>
      <c r="T24" s="3">
        <f t="shared" si="37"/>
        <v>396</v>
      </c>
      <c r="U24" s="3">
        <f t="shared" si="37"/>
        <v>418</v>
      </c>
      <c r="V24" s="3">
        <f t="shared" si="37"/>
        <v>440</v>
      </c>
      <c r="AE24" s="3">
        <v>34.0</v>
      </c>
      <c r="AF24" s="3">
        <v>5.0</v>
      </c>
      <c r="AH24" s="4">
        <f t="shared" si="31"/>
        <v>0.4657534247</v>
      </c>
      <c r="AI24" s="4">
        <f t="shared" si="32"/>
        <v>0.4166666667</v>
      </c>
      <c r="AK24" s="5">
        <f t="shared" si="33"/>
        <v>0.4588235294</v>
      </c>
    </row>
    <row r="25">
      <c r="A25" s="2">
        <v>23.0</v>
      </c>
      <c r="B25" s="3">
        <f t="shared" ref="B25:V25" si="38">B$1*$A25</f>
        <v>0</v>
      </c>
      <c r="C25" s="3">
        <f t="shared" si="38"/>
        <v>23</v>
      </c>
      <c r="D25" s="3">
        <f t="shared" si="38"/>
        <v>46</v>
      </c>
      <c r="E25" s="3">
        <f t="shared" si="38"/>
        <v>69</v>
      </c>
      <c r="F25" s="3">
        <f t="shared" si="38"/>
        <v>92</v>
      </c>
      <c r="G25" s="3">
        <f t="shared" si="38"/>
        <v>115</v>
      </c>
      <c r="H25" s="3">
        <f t="shared" si="38"/>
        <v>138</v>
      </c>
      <c r="I25" s="3">
        <f t="shared" si="38"/>
        <v>161</v>
      </c>
      <c r="J25" s="3">
        <f t="shared" si="38"/>
        <v>184</v>
      </c>
      <c r="K25" s="3">
        <f t="shared" si="38"/>
        <v>207</v>
      </c>
      <c r="L25" s="3">
        <f t="shared" si="38"/>
        <v>230</v>
      </c>
      <c r="M25" s="3">
        <f t="shared" si="38"/>
        <v>253</v>
      </c>
      <c r="N25" s="3">
        <f t="shared" si="38"/>
        <v>276</v>
      </c>
      <c r="O25" s="3">
        <f t="shared" si="38"/>
        <v>299</v>
      </c>
      <c r="P25" s="13">
        <f t="shared" si="38"/>
        <v>322</v>
      </c>
      <c r="Q25" s="13">
        <f t="shared" si="38"/>
        <v>345</v>
      </c>
      <c r="R25" s="3">
        <f t="shared" si="38"/>
        <v>368</v>
      </c>
      <c r="S25" s="3">
        <f t="shared" si="38"/>
        <v>391</v>
      </c>
      <c r="T25" s="3">
        <f t="shared" si="38"/>
        <v>414</v>
      </c>
      <c r="U25" s="3">
        <f t="shared" si="38"/>
        <v>437</v>
      </c>
      <c r="V25" s="12">
        <f t="shared" si="38"/>
        <v>460</v>
      </c>
      <c r="AE25" s="3">
        <v>35.0</v>
      </c>
      <c r="AF25" s="3">
        <v>5.0</v>
      </c>
      <c r="AH25" s="4">
        <f t="shared" si="31"/>
        <v>0.4794520548</v>
      </c>
      <c r="AI25" s="4">
        <f t="shared" si="32"/>
        <v>0.4166666667</v>
      </c>
      <c r="AK25" s="5">
        <f t="shared" si="33"/>
        <v>0.4705882353</v>
      </c>
    </row>
    <row r="26">
      <c r="A26" s="2">
        <v>24.0</v>
      </c>
      <c r="B26" s="3">
        <f t="shared" ref="B26:V26" si="39">B$1*$A26</f>
        <v>0</v>
      </c>
      <c r="C26" s="3">
        <f t="shared" si="39"/>
        <v>24</v>
      </c>
      <c r="D26" s="3">
        <f t="shared" si="39"/>
        <v>48</v>
      </c>
      <c r="E26" s="3">
        <f t="shared" si="39"/>
        <v>72</v>
      </c>
      <c r="F26" s="3">
        <f t="shared" si="39"/>
        <v>96</v>
      </c>
      <c r="G26" s="3">
        <f t="shared" si="39"/>
        <v>120</v>
      </c>
      <c r="H26" s="3">
        <f t="shared" si="39"/>
        <v>144</v>
      </c>
      <c r="I26" s="3">
        <f t="shared" si="39"/>
        <v>168</v>
      </c>
      <c r="J26" s="3">
        <f t="shared" si="39"/>
        <v>192</v>
      </c>
      <c r="K26" s="3">
        <f t="shared" si="39"/>
        <v>216</v>
      </c>
      <c r="L26" s="3">
        <f t="shared" si="39"/>
        <v>240</v>
      </c>
      <c r="M26" s="3">
        <f t="shared" si="39"/>
        <v>264</v>
      </c>
      <c r="N26" s="3">
        <f t="shared" si="39"/>
        <v>288</v>
      </c>
      <c r="O26" s="3">
        <f t="shared" si="39"/>
        <v>312</v>
      </c>
      <c r="P26" s="13">
        <f t="shared" si="39"/>
        <v>336</v>
      </c>
      <c r="Q26" s="13">
        <f t="shared" si="39"/>
        <v>360</v>
      </c>
      <c r="R26" s="3">
        <f t="shared" si="39"/>
        <v>384</v>
      </c>
      <c r="S26" s="3">
        <f t="shared" si="39"/>
        <v>408</v>
      </c>
      <c r="T26" s="3">
        <f t="shared" si="39"/>
        <v>432</v>
      </c>
      <c r="U26" s="12">
        <f t="shared" si="39"/>
        <v>456</v>
      </c>
      <c r="V26" s="3">
        <f t="shared" si="39"/>
        <v>480</v>
      </c>
      <c r="AE26" s="3">
        <v>36.0</v>
      </c>
      <c r="AF26" s="3">
        <v>5.0</v>
      </c>
      <c r="AH26" s="4">
        <f t="shared" si="31"/>
        <v>0.4931506849</v>
      </c>
      <c r="AI26" s="4">
        <f t="shared" si="32"/>
        <v>0.4166666667</v>
      </c>
      <c r="AK26" s="5">
        <f t="shared" si="33"/>
        <v>0.4823529412</v>
      </c>
    </row>
    <row r="27">
      <c r="A27" s="2">
        <v>25.0</v>
      </c>
      <c r="B27" s="3">
        <f t="shared" ref="B27:V27" si="40">B$1*$A27</f>
        <v>0</v>
      </c>
      <c r="C27" s="3">
        <f t="shared" si="40"/>
        <v>25</v>
      </c>
      <c r="D27" s="3">
        <f t="shared" si="40"/>
        <v>50</v>
      </c>
      <c r="E27" s="3">
        <f t="shared" si="40"/>
        <v>75</v>
      </c>
      <c r="F27" s="3">
        <f t="shared" si="40"/>
        <v>100</v>
      </c>
      <c r="G27" s="3">
        <f t="shared" si="40"/>
        <v>125</v>
      </c>
      <c r="H27" s="3">
        <f t="shared" si="40"/>
        <v>150</v>
      </c>
      <c r="I27" s="3">
        <f t="shared" si="40"/>
        <v>175</v>
      </c>
      <c r="J27" s="3">
        <f t="shared" si="40"/>
        <v>200</v>
      </c>
      <c r="K27" s="3">
        <f t="shared" si="40"/>
        <v>225</v>
      </c>
      <c r="L27" s="3">
        <f t="shared" si="40"/>
        <v>250</v>
      </c>
      <c r="M27" s="3">
        <f t="shared" si="40"/>
        <v>275</v>
      </c>
      <c r="N27" s="3">
        <f t="shared" si="40"/>
        <v>300</v>
      </c>
      <c r="O27" s="3">
        <f t="shared" si="40"/>
        <v>325</v>
      </c>
      <c r="P27" s="13">
        <f t="shared" si="40"/>
        <v>350</v>
      </c>
      <c r="Q27" s="3">
        <f t="shared" si="40"/>
        <v>375</v>
      </c>
      <c r="R27" s="3">
        <f t="shared" si="40"/>
        <v>400</v>
      </c>
      <c r="S27" s="3">
        <f t="shared" si="40"/>
        <v>425</v>
      </c>
      <c r="T27" s="12">
        <f t="shared" si="40"/>
        <v>450</v>
      </c>
      <c r="U27" s="3">
        <f t="shared" si="40"/>
        <v>475</v>
      </c>
      <c r="V27" s="3">
        <f t="shared" si="40"/>
        <v>500</v>
      </c>
      <c r="AE27" s="3">
        <v>37.0</v>
      </c>
      <c r="AF27" s="3">
        <v>5.0</v>
      </c>
      <c r="AH27" s="4">
        <f t="shared" si="31"/>
        <v>0.5068493151</v>
      </c>
      <c r="AI27" s="4">
        <f t="shared" si="32"/>
        <v>0.4166666667</v>
      </c>
      <c r="AK27" s="5">
        <f t="shared" si="33"/>
        <v>0.4941176471</v>
      </c>
    </row>
    <row r="28">
      <c r="A28" s="2">
        <v>26.0</v>
      </c>
      <c r="B28" s="3">
        <f t="shared" ref="B28:V28" si="41">B$1*$A28</f>
        <v>0</v>
      </c>
      <c r="C28" s="3">
        <f t="shared" si="41"/>
        <v>26</v>
      </c>
      <c r="D28" s="3">
        <f t="shared" si="41"/>
        <v>52</v>
      </c>
      <c r="E28" s="3">
        <f t="shared" si="41"/>
        <v>78</v>
      </c>
      <c r="F28" s="3">
        <f t="shared" si="41"/>
        <v>104</v>
      </c>
      <c r="G28" s="3">
        <f t="shared" si="41"/>
        <v>130</v>
      </c>
      <c r="H28" s="3">
        <f t="shared" si="41"/>
        <v>156</v>
      </c>
      <c r="I28" s="3">
        <f t="shared" si="41"/>
        <v>182</v>
      </c>
      <c r="J28" s="3">
        <f t="shared" si="41"/>
        <v>208</v>
      </c>
      <c r="K28" s="3">
        <f t="shared" si="41"/>
        <v>234</v>
      </c>
      <c r="L28" s="3">
        <f t="shared" si="41"/>
        <v>260</v>
      </c>
      <c r="M28" s="3">
        <f t="shared" si="41"/>
        <v>286</v>
      </c>
      <c r="N28" s="3">
        <f t="shared" si="41"/>
        <v>312</v>
      </c>
      <c r="O28" s="3">
        <f t="shared" si="41"/>
        <v>338</v>
      </c>
      <c r="P28" s="3">
        <f t="shared" si="41"/>
        <v>364</v>
      </c>
      <c r="Q28" s="3">
        <f t="shared" si="41"/>
        <v>390</v>
      </c>
      <c r="R28" s="3">
        <f t="shared" si="41"/>
        <v>416</v>
      </c>
      <c r="S28" s="3">
        <f t="shared" si="41"/>
        <v>442</v>
      </c>
      <c r="T28" s="3">
        <f t="shared" si="41"/>
        <v>468</v>
      </c>
      <c r="U28" s="3">
        <f t="shared" si="41"/>
        <v>494</v>
      </c>
      <c r="V28" s="3">
        <f t="shared" si="41"/>
        <v>520</v>
      </c>
      <c r="AH28" s="4"/>
      <c r="AI28" s="4"/>
    </row>
    <row r="29">
      <c r="A29" s="2">
        <v>27.0</v>
      </c>
      <c r="B29" s="3">
        <f t="shared" ref="B29:V29" si="42">B$1*$A29</f>
        <v>0</v>
      </c>
      <c r="C29" s="3">
        <f t="shared" si="42"/>
        <v>27</v>
      </c>
      <c r="D29" s="3">
        <f t="shared" si="42"/>
        <v>54</v>
      </c>
      <c r="E29" s="3">
        <f t="shared" si="42"/>
        <v>81</v>
      </c>
      <c r="F29" s="3">
        <f t="shared" si="42"/>
        <v>108</v>
      </c>
      <c r="G29" s="3">
        <f t="shared" si="42"/>
        <v>135</v>
      </c>
      <c r="H29" s="3">
        <f t="shared" si="42"/>
        <v>162</v>
      </c>
      <c r="I29" s="3">
        <f t="shared" si="42"/>
        <v>189</v>
      </c>
      <c r="J29" s="3">
        <f t="shared" si="42"/>
        <v>216</v>
      </c>
      <c r="K29" s="3">
        <f t="shared" si="42"/>
        <v>243</v>
      </c>
      <c r="L29" s="3">
        <f t="shared" si="42"/>
        <v>270</v>
      </c>
      <c r="M29" s="3">
        <f t="shared" si="42"/>
        <v>297</v>
      </c>
      <c r="N29" s="3">
        <f t="shared" si="42"/>
        <v>324</v>
      </c>
      <c r="O29" s="3">
        <f t="shared" si="42"/>
        <v>351</v>
      </c>
      <c r="P29" s="3">
        <f t="shared" si="42"/>
        <v>378</v>
      </c>
      <c r="Q29" s="3">
        <f t="shared" si="42"/>
        <v>405</v>
      </c>
      <c r="R29" s="3">
        <f t="shared" si="42"/>
        <v>432</v>
      </c>
      <c r="S29" s="12">
        <f t="shared" si="42"/>
        <v>459</v>
      </c>
      <c r="T29" s="3">
        <f t="shared" si="42"/>
        <v>486</v>
      </c>
      <c r="U29" s="3">
        <f t="shared" si="42"/>
        <v>513</v>
      </c>
      <c r="V29" s="3">
        <f t="shared" si="42"/>
        <v>540</v>
      </c>
      <c r="AB29" s="3">
        <v>45.0</v>
      </c>
      <c r="AC29" s="3">
        <v>23.0</v>
      </c>
      <c r="AE29" s="3">
        <v>18.0</v>
      </c>
      <c r="AF29" s="3">
        <v>10.0</v>
      </c>
      <c r="AH29" s="4">
        <f t="shared" ref="AH29:AH31" si="45">AE29/45</f>
        <v>0.4</v>
      </c>
      <c r="AI29" s="4">
        <f t="shared" ref="AI29:AI31" si="46">AF29/23</f>
        <v>0.4347826087</v>
      </c>
      <c r="AK29" s="5">
        <f t="shared" ref="AK29:AK31" si="47">(AE29+AF29)/(AB$29+AC$29)</f>
        <v>0.4117647059</v>
      </c>
    </row>
    <row r="30">
      <c r="A30" s="2">
        <v>28.0</v>
      </c>
      <c r="B30" s="3">
        <f t="shared" ref="B30:V30" si="43">B$1*$A30</f>
        <v>0</v>
      </c>
      <c r="C30" s="3">
        <f t="shared" si="43"/>
        <v>28</v>
      </c>
      <c r="D30" s="3">
        <f t="shared" si="43"/>
        <v>56</v>
      </c>
      <c r="E30" s="3">
        <f t="shared" si="43"/>
        <v>84</v>
      </c>
      <c r="F30" s="3">
        <f t="shared" si="43"/>
        <v>112</v>
      </c>
      <c r="G30" s="3">
        <f t="shared" si="43"/>
        <v>140</v>
      </c>
      <c r="H30" s="3">
        <f t="shared" si="43"/>
        <v>168</v>
      </c>
      <c r="I30" s="3">
        <f t="shared" si="43"/>
        <v>196</v>
      </c>
      <c r="J30" s="3">
        <f t="shared" si="43"/>
        <v>224</v>
      </c>
      <c r="K30" s="3">
        <f t="shared" si="43"/>
        <v>252</v>
      </c>
      <c r="L30" s="3">
        <f t="shared" si="43"/>
        <v>280</v>
      </c>
      <c r="M30" s="3">
        <f t="shared" si="43"/>
        <v>308</v>
      </c>
      <c r="N30" s="3">
        <f t="shared" si="43"/>
        <v>336</v>
      </c>
      <c r="O30" s="3">
        <f t="shared" si="43"/>
        <v>364</v>
      </c>
      <c r="P30" s="3">
        <f t="shared" si="43"/>
        <v>392</v>
      </c>
      <c r="Q30" s="3">
        <f t="shared" si="43"/>
        <v>420</v>
      </c>
      <c r="R30" s="3">
        <f t="shared" si="43"/>
        <v>448</v>
      </c>
      <c r="S30" s="3">
        <f t="shared" si="43"/>
        <v>476</v>
      </c>
      <c r="T30" s="3">
        <f t="shared" si="43"/>
        <v>504</v>
      </c>
      <c r="U30" s="3">
        <f t="shared" si="43"/>
        <v>532</v>
      </c>
      <c r="V30" s="3">
        <f t="shared" si="43"/>
        <v>560</v>
      </c>
      <c r="AB30" s="5">
        <f t="shared" ref="AB30:AC30" si="44">AB29*0.423</f>
        <v>19.035</v>
      </c>
      <c r="AC30" s="5">
        <f t="shared" si="44"/>
        <v>9.729</v>
      </c>
      <c r="AE30" s="3">
        <v>19.0</v>
      </c>
      <c r="AF30" s="3">
        <v>10.0</v>
      </c>
      <c r="AH30" s="4">
        <f t="shared" si="45"/>
        <v>0.4222222222</v>
      </c>
      <c r="AI30" s="4">
        <f t="shared" si="46"/>
        <v>0.4347826087</v>
      </c>
      <c r="AK30" s="5">
        <f t="shared" si="47"/>
        <v>0.4264705882</v>
      </c>
    </row>
    <row r="31">
      <c r="A31" s="2">
        <v>29.0</v>
      </c>
      <c r="B31" s="3">
        <f t="shared" ref="B31:V31" si="48">B$1*$A31</f>
        <v>0</v>
      </c>
      <c r="C31" s="3">
        <f t="shared" si="48"/>
        <v>29</v>
      </c>
      <c r="D31" s="3">
        <f t="shared" si="48"/>
        <v>58</v>
      </c>
      <c r="E31" s="3">
        <f t="shared" si="48"/>
        <v>87</v>
      </c>
      <c r="F31" s="3">
        <f t="shared" si="48"/>
        <v>116</v>
      </c>
      <c r="G31" s="3">
        <f t="shared" si="48"/>
        <v>145</v>
      </c>
      <c r="H31" s="3">
        <f t="shared" si="48"/>
        <v>174</v>
      </c>
      <c r="I31" s="3">
        <f t="shared" si="48"/>
        <v>203</v>
      </c>
      <c r="J31" s="3">
        <f t="shared" si="48"/>
        <v>232</v>
      </c>
      <c r="K31" s="3">
        <f t="shared" si="48"/>
        <v>261</v>
      </c>
      <c r="L31" s="3">
        <f t="shared" si="48"/>
        <v>290</v>
      </c>
      <c r="M31" s="3">
        <f t="shared" si="48"/>
        <v>319</v>
      </c>
      <c r="N31" s="3">
        <f t="shared" si="48"/>
        <v>348</v>
      </c>
      <c r="O31" s="3">
        <f t="shared" si="48"/>
        <v>377</v>
      </c>
      <c r="P31" s="3">
        <f t="shared" si="48"/>
        <v>406</v>
      </c>
      <c r="Q31" s="3">
        <f t="shared" si="48"/>
        <v>435</v>
      </c>
      <c r="R31" s="7">
        <f t="shared" si="48"/>
        <v>464</v>
      </c>
      <c r="S31" s="3">
        <f t="shared" si="48"/>
        <v>493</v>
      </c>
      <c r="T31" s="3">
        <f t="shared" si="48"/>
        <v>522</v>
      </c>
      <c r="U31" s="3">
        <f t="shared" si="48"/>
        <v>551</v>
      </c>
      <c r="V31" s="3">
        <f t="shared" si="48"/>
        <v>580</v>
      </c>
      <c r="AE31" s="3">
        <v>20.0</v>
      </c>
      <c r="AF31" s="3">
        <v>9.0</v>
      </c>
      <c r="AH31" s="4">
        <f t="shared" si="45"/>
        <v>0.4444444444</v>
      </c>
      <c r="AI31" s="4">
        <f t="shared" si="46"/>
        <v>0.3913043478</v>
      </c>
      <c r="AK31" s="5">
        <f t="shared" si="47"/>
        <v>0.4264705882</v>
      </c>
    </row>
    <row r="32">
      <c r="A32" s="2">
        <v>30.0</v>
      </c>
      <c r="B32" s="3">
        <f t="shared" ref="B32:V32" si="49">B$1*$A32</f>
        <v>0</v>
      </c>
      <c r="C32" s="3">
        <f t="shared" si="49"/>
        <v>30</v>
      </c>
      <c r="D32" s="3">
        <f t="shared" si="49"/>
        <v>60</v>
      </c>
      <c r="E32" s="3">
        <f t="shared" si="49"/>
        <v>90</v>
      </c>
      <c r="F32" s="3">
        <f t="shared" si="49"/>
        <v>120</v>
      </c>
      <c r="G32" s="3">
        <f t="shared" si="49"/>
        <v>150</v>
      </c>
      <c r="H32" s="3">
        <f t="shared" si="49"/>
        <v>180</v>
      </c>
      <c r="I32" s="3">
        <f t="shared" si="49"/>
        <v>210</v>
      </c>
      <c r="J32" s="3">
        <f t="shared" si="49"/>
        <v>240</v>
      </c>
      <c r="K32" s="3">
        <f t="shared" si="49"/>
        <v>270</v>
      </c>
      <c r="L32" s="3">
        <f t="shared" si="49"/>
        <v>300</v>
      </c>
      <c r="M32" s="3">
        <f t="shared" si="49"/>
        <v>330</v>
      </c>
      <c r="N32" s="3">
        <f t="shared" si="49"/>
        <v>360</v>
      </c>
      <c r="O32" s="3">
        <f t="shared" si="49"/>
        <v>390</v>
      </c>
      <c r="P32" s="3">
        <f t="shared" si="49"/>
        <v>420</v>
      </c>
      <c r="Q32" s="3">
        <f t="shared" si="49"/>
        <v>450</v>
      </c>
      <c r="R32" s="3">
        <f t="shared" si="49"/>
        <v>480</v>
      </c>
      <c r="S32" s="3">
        <f t="shared" si="49"/>
        <v>510</v>
      </c>
      <c r="T32" s="3">
        <f t="shared" si="49"/>
        <v>540</v>
      </c>
      <c r="U32" s="3">
        <f t="shared" si="49"/>
        <v>570</v>
      </c>
      <c r="V32" s="3">
        <f t="shared" si="49"/>
        <v>600</v>
      </c>
      <c r="AH32" s="4"/>
      <c r="AI32" s="4"/>
    </row>
    <row r="33">
      <c r="A33" s="2">
        <v>31.0</v>
      </c>
      <c r="B33" s="3">
        <f t="shared" ref="B33:V33" si="50">B$1*$A33</f>
        <v>0</v>
      </c>
      <c r="C33" s="3">
        <f t="shared" si="50"/>
        <v>31</v>
      </c>
      <c r="D33" s="3">
        <f t="shared" si="50"/>
        <v>62</v>
      </c>
      <c r="E33" s="3">
        <f t="shared" si="50"/>
        <v>93</v>
      </c>
      <c r="F33" s="3">
        <f t="shared" si="50"/>
        <v>124</v>
      </c>
      <c r="G33" s="3">
        <f t="shared" si="50"/>
        <v>155</v>
      </c>
      <c r="H33" s="3">
        <f t="shared" si="50"/>
        <v>186</v>
      </c>
      <c r="I33" s="3">
        <f t="shared" si="50"/>
        <v>217</v>
      </c>
      <c r="J33" s="3">
        <f t="shared" si="50"/>
        <v>248</v>
      </c>
      <c r="K33" s="3">
        <f t="shared" si="50"/>
        <v>279</v>
      </c>
      <c r="L33" s="3">
        <f t="shared" si="50"/>
        <v>310</v>
      </c>
      <c r="M33" s="3">
        <f t="shared" si="50"/>
        <v>341</v>
      </c>
      <c r="N33" s="3">
        <f t="shared" si="50"/>
        <v>372</v>
      </c>
      <c r="O33" s="3">
        <f t="shared" si="50"/>
        <v>403</v>
      </c>
      <c r="P33" s="3">
        <f t="shared" si="50"/>
        <v>434</v>
      </c>
      <c r="Q33" s="7">
        <f t="shared" si="50"/>
        <v>465</v>
      </c>
      <c r="R33" s="3">
        <f t="shared" si="50"/>
        <v>496</v>
      </c>
      <c r="S33" s="3">
        <f t="shared" si="50"/>
        <v>527</v>
      </c>
      <c r="T33" s="3">
        <f t="shared" si="50"/>
        <v>558</v>
      </c>
      <c r="U33" s="3">
        <f t="shared" si="50"/>
        <v>589</v>
      </c>
      <c r="V33" s="3">
        <f t="shared" si="50"/>
        <v>620</v>
      </c>
      <c r="AH33" s="4"/>
      <c r="AI33" s="4"/>
    </row>
    <row r="34">
      <c r="A34" s="2">
        <v>32.0</v>
      </c>
      <c r="B34" s="3">
        <f t="shared" ref="B34:V34" si="51">B$1*$A34</f>
        <v>0</v>
      </c>
      <c r="C34" s="3">
        <f t="shared" si="51"/>
        <v>32</v>
      </c>
      <c r="D34" s="3">
        <f t="shared" si="51"/>
        <v>64</v>
      </c>
      <c r="E34" s="3">
        <f t="shared" si="51"/>
        <v>96</v>
      </c>
      <c r="F34" s="3">
        <f t="shared" si="51"/>
        <v>128</v>
      </c>
      <c r="G34" s="3">
        <f t="shared" si="51"/>
        <v>160</v>
      </c>
      <c r="H34" s="3">
        <f t="shared" si="51"/>
        <v>192</v>
      </c>
      <c r="I34" s="3">
        <f t="shared" si="51"/>
        <v>224</v>
      </c>
      <c r="J34" s="3">
        <f t="shared" si="51"/>
        <v>256</v>
      </c>
      <c r="K34" s="3">
        <f t="shared" si="51"/>
        <v>288</v>
      </c>
      <c r="L34" s="3">
        <f t="shared" si="51"/>
        <v>320</v>
      </c>
      <c r="M34" s="3">
        <f t="shared" si="51"/>
        <v>352</v>
      </c>
      <c r="N34" s="3">
        <f t="shared" si="51"/>
        <v>384</v>
      </c>
      <c r="O34" s="3">
        <f t="shared" si="51"/>
        <v>416</v>
      </c>
      <c r="P34" s="3">
        <f t="shared" si="51"/>
        <v>448</v>
      </c>
      <c r="Q34" s="3">
        <f t="shared" si="51"/>
        <v>480</v>
      </c>
      <c r="R34" s="3">
        <f t="shared" si="51"/>
        <v>512</v>
      </c>
      <c r="S34" s="3">
        <f t="shared" si="51"/>
        <v>544</v>
      </c>
      <c r="T34" s="3">
        <f t="shared" si="51"/>
        <v>576</v>
      </c>
      <c r="U34" s="3">
        <f t="shared" si="51"/>
        <v>608</v>
      </c>
      <c r="V34" s="3">
        <f t="shared" si="51"/>
        <v>640</v>
      </c>
      <c r="AH34" s="4"/>
      <c r="AI34" s="4"/>
    </row>
    <row r="35">
      <c r="A35" s="2">
        <v>33.0</v>
      </c>
      <c r="B35" s="3">
        <f t="shared" ref="B35:V35" si="52">B$1*$A35</f>
        <v>0</v>
      </c>
      <c r="C35" s="3">
        <f t="shared" si="52"/>
        <v>33</v>
      </c>
      <c r="D35" s="3">
        <f t="shared" si="52"/>
        <v>66</v>
      </c>
      <c r="E35" s="3">
        <f t="shared" si="52"/>
        <v>99</v>
      </c>
      <c r="F35" s="3">
        <f t="shared" si="52"/>
        <v>132</v>
      </c>
      <c r="G35" s="3">
        <f t="shared" si="52"/>
        <v>165</v>
      </c>
      <c r="H35" s="3">
        <f t="shared" si="52"/>
        <v>198</v>
      </c>
      <c r="I35" s="3">
        <f t="shared" si="52"/>
        <v>231</v>
      </c>
      <c r="J35" s="3">
        <f t="shared" si="52"/>
        <v>264</v>
      </c>
      <c r="K35" s="3">
        <f t="shared" si="52"/>
        <v>297</v>
      </c>
      <c r="L35" s="3">
        <f t="shared" si="52"/>
        <v>330</v>
      </c>
      <c r="M35" s="3">
        <f t="shared" si="52"/>
        <v>363</v>
      </c>
      <c r="N35" s="3">
        <f t="shared" si="52"/>
        <v>396</v>
      </c>
      <c r="O35" s="3">
        <f t="shared" si="52"/>
        <v>429</v>
      </c>
      <c r="P35" s="3">
        <f t="shared" si="52"/>
        <v>462</v>
      </c>
      <c r="Q35" s="3">
        <f t="shared" si="52"/>
        <v>495</v>
      </c>
      <c r="R35" s="3">
        <f t="shared" si="52"/>
        <v>528</v>
      </c>
      <c r="S35" s="3">
        <f t="shared" si="52"/>
        <v>561</v>
      </c>
      <c r="T35" s="3">
        <f t="shared" si="52"/>
        <v>594</v>
      </c>
      <c r="U35" s="3">
        <f t="shared" si="52"/>
        <v>627</v>
      </c>
      <c r="V35" s="3">
        <f t="shared" si="52"/>
        <v>660</v>
      </c>
      <c r="AH35" s="4"/>
      <c r="AI35" s="4"/>
    </row>
    <row r="36">
      <c r="A36" s="2">
        <v>34.0</v>
      </c>
      <c r="B36" s="3">
        <f t="shared" ref="B36:V36" si="53">B$1*$A36</f>
        <v>0</v>
      </c>
      <c r="C36" s="3">
        <f t="shared" si="53"/>
        <v>34</v>
      </c>
      <c r="D36" s="3">
        <f t="shared" si="53"/>
        <v>68</v>
      </c>
      <c r="E36" s="3">
        <f t="shared" si="53"/>
        <v>102</v>
      </c>
      <c r="F36" s="3">
        <f t="shared" si="53"/>
        <v>136</v>
      </c>
      <c r="G36" s="3">
        <f t="shared" si="53"/>
        <v>170</v>
      </c>
      <c r="H36" s="3">
        <f t="shared" si="53"/>
        <v>204</v>
      </c>
      <c r="I36" s="3">
        <f t="shared" si="53"/>
        <v>238</v>
      </c>
      <c r="J36" s="3">
        <f t="shared" si="53"/>
        <v>272</v>
      </c>
      <c r="K36" s="3">
        <f t="shared" si="53"/>
        <v>306</v>
      </c>
      <c r="L36" s="3">
        <f t="shared" si="53"/>
        <v>340</v>
      </c>
      <c r="M36" s="3">
        <f t="shared" si="53"/>
        <v>374</v>
      </c>
      <c r="N36" s="3">
        <f t="shared" si="53"/>
        <v>408</v>
      </c>
      <c r="O36" s="3">
        <f t="shared" si="53"/>
        <v>442</v>
      </c>
      <c r="P36" s="3">
        <f t="shared" si="53"/>
        <v>476</v>
      </c>
      <c r="Q36" s="3">
        <f t="shared" si="53"/>
        <v>510</v>
      </c>
      <c r="R36" s="3">
        <f t="shared" si="53"/>
        <v>544</v>
      </c>
      <c r="S36" s="3">
        <f t="shared" si="53"/>
        <v>578</v>
      </c>
      <c r="T36" s="3">
        <f t="shared" si="53"/>
        <v>612</v>
      </c>
      <c r="U36" s="3">
        <f t="shared" si="53"/>
        <v>646</v>
      </c>
      <c r="V36" s="3">
        <f t="shared" si="53"/>
        <v>680</v>
      </c>
      <c r="AH36" s="4"/>
      <c r="AI36" s="4"/>
    </row>
    <row r="37">
      <c r="A37" s="2">
        <v>35.0</v>
      </c>
      <c r="B37" s="3">
        <f t="shared" ref="B37:V37" si="54">B$1*$A37</f>
        <v>0</v>
      </c>
      <c r="C37" s="3">
        <f t="shared" si="54"/>
        <v>35</v>
      </c>
      <c r="D37" s="3">
        <f t="shared" si="54"/>
        <v>70</v>
      </c>
      <c r="E37" s="3">
        <f t="shared" si="54"/>
        <v>105</v>
      </c>
      <c r="F37" s="3">
        <f t="shared" si="54"/>
        <v>140</v>
      </c>
      <c r="G37" s="3">
        <f t="shared" si="54"/>
        <v>175</v>
      </c>
      <c r="H37" s="3">
        <f t="shared" si="54"/>
        <v>210</v>
      </c>
      <c r="I37" s="3">
        <f t="shared" si="54"/>
        <v>245</v>
      </c>
      <c r="J37" s="3">
        <f t="shared" si="54"/>
        <v>280</v>
      </c>
      <c r="K37" s="3">
        <f t="shared" si="54"/>
        <v>315</v>
      </c>
      <c r="L37" s="3">
        <f t="shared" si="54"/>
        <v>350</v>
      </c>
      <c r="M37" s="3">
        <f t="shared" si="54"/>
        <v>385</v>
      </c>
      <c r="N37" s="3">
        <f t="shared" si="54"/>
        <v>420</v>
      </c>
      <c r="O37" s="3">
        <f t="shared" si="54"/>
        <v>455</v>
      </c>
      <c r="P37" s="7">
        <f t="shared" si="54"/>
        <v>490</v>
      </c>
      <c r="Q37" s="3">
        <f t="shared" si="54"/>
        <v>525</v>
      </c>
      <c r="R37" s="3">
        <f t="shared" si="54"/>
        <v>560</v>
      </c>
      <c r="S37" s="3">
        <f t="shared" si="54"/>
        <v>595</v>
      </c>
      <c r="T37" s="3">
        <f t="shared" si="54"/>
        <v>630</v>
      </c>
      <c r="U37" s="3">
        <f t="shared" si="54"/>
        <v>665</v>
      </c>
      <c r="V37" s="3">
        <f t="shared" si="54"/>
        <v>700</v>
      </c>
      <c r="AH37" s="4"/>
      <c r="AI37" s="4"/>
    </row>
    <row r="38">
      <c r="A38" s="2">
        <v>36.0</v>
      </c>
      <c r="B38" s="3">
        <f t="shared" ref="B38:V38" si="55">B$1*$A38</f>
        <v>0</v>
      </c>
      <c r="C38" s="3">
        <f t="shared" si="55"/>
        <v>36</v>
      </c>
      <c r="D38" s="3">
        <f t="shared" si="55"/>
        <v>72</v>
      </c>
      <c r="E38" s="3">
        <f t="shared" si="55"/>
        <v>108</v>
      </c>
      <c r="F38" s="3">
        <f t="shared" si="55"/>
        <v>144</v>
      </c>
      <c r="G38" s="3">
        <f t="shared" si="55"/>
        <v>180</v>
      </c>
      <c r="H38" s="3">
        <f t="shared" si="55"/>
        <v>216</v>
      </c>
      <c r="I38" s="3">
        <f t="shared" si="55"/>
        <v>252</v>
      </c>
      <c r="J38" s="3">
        <f t="shared" si="55"/>
        <v>288</v>
      </c>
      <c r="K38" s="3">
        <f t="shared" si="55"/>
        <v>324</v>
      </c>
      <c r="L38" s="3">
        <f t="shared" si="55"/>
        <v>360</v>
      </c>
      <c r="M38" s="3">
        <f t="shared" si="55"/>
        <v>396</v>
      </c>
      <c r="N38" s="3">
        <f t="shared" si="55"/>
        <v>432</v>
      </c>
      <c r="O38" s="3">
        <f t="shared" si="55"/>
        <v>468</v>
      </c>
      <c r="P38" s="3">
        <f t="shared" si="55"/>
        <v>504</v>
      </c>
      <c r="Q38" s="3">
        <f t="shared" si="55"/>
        <v>540</v>
      </c>
      <c r="R38" s="3">
        <f t="shared" si="55"/>
        <v>576</v>
      </c>
      <c r="S38" s="3">
        <f t="shared" si="55"/>
        <v>612</v>
      </c>
      <c r="T38" s="3">
        <f t="shared" si="55"/>
        <v>648</v>
      </c>
      <c r="U38" s="3">
        <f t="shared" si="55"/>
        <v>684</v>
      </c>
      <c r="V38" s="3">
        <f t="shared" si="55"/>
        <v>720</v>
      </c>
      <c r="AH38" s="4"/>
      <c r="AI38" s="4"/>
    </row>
    <row r="39">
      <c r="A39" s="2">
        <v>37.0</v>
      </c>
      <c r="B39" s="3">
        <f t="shared" ref="B39:V39" si="56">B$1*$A39</f>
        <v>0</v>
      </c>
      <c r="C39" s="3">
        <f t="shared" si="56"/>
        <v>37</v>
      </c>
      <c r="D39" s="3">
        <f t="shared" si="56"/>
        <v>74</v>
      </c>
      <c r="E39" s="3">
        <f t="shared" si="56"/>
        <v>111</v>
      </c>
      <c r="F39" s="3">
        <f t="shared" si="56"/>
        <v>148</v>
      </c>
      <c r="G39" s="3">
        <f t="shared" si="56"/>
        <v>185</v>
      </c>
      <c r="H39" s="3">
        <f t="shared" si="56"/>
        <v>222</v>
      </c>
      <c r="I39" s="3">
        <f t="shared" si="56"/>
        <v>259</v>
      </c>
      <c r="J39" s="3">
        <f t="shared" si="56"/>
        <v>296</v>
      </c>
      <c r="K39" s="3">
        <f t="shared" si="56"/>
        <v>333</v>
      </c>
      <c r="L39" s="3">
        <f t="shared" si="56"/>
        <v>370</v>
      </c>
      <c r="M39" s="3">
        <f t="shared" si="56"/>
        <v>407</v>
      </c>
      <c r="N39" s="3">
        <f t="shared" si="56"/>
        <v>444</v>
      </c>
      <c r="O39" s="3">
        <f t="shared" si="56"/>
        <v>481</v>
      </c>
      <c r="P39" s="3">
        <f t="shared" si="56"/>
        <v>518</v>
      </c>
      <c r="Q39" s="3">
        <f t="shared" si="56"/>
        <v>555</v>
      </c>
      <c r="R39" s="3">
        <f t="shared" si="56"/>
        <v>592</v>
      </c>
      <c r="S39" s="3">
        <f t="shared" si="56"/>
        <v>629</v>
      </c>
      <c r="T39" s="3">
        <f t="shared" si="56"/>
        <v>666</v>
      </c>
      <c r="U39" s="3">
        <f t="shared" si="56"/>
        <v>703</v>
      </c>
      <c r="V39" s="3">
        <f t="shared" si="56"/>
        <v>740</v>
      </c>
      <c r="AH39" s="4"/>
      <c r="AI39" s="4"/>
    </row>
    <row r="40">
      <c r="A40" s="2">
        <v>38.0</v>
      </c>
      <c r="B40" s="3">
        <f t="shared" ref="B40:V40" si="57">B$1*$A40</f>
        <v>0</v>
      </c>
      <c r="C40" s="3">
        <f t="shared" si="57"/>
        <v>38</v>
      </c>
      <c r="D40" s="3">
        <f t="shared" si="57"/>
        <v>76</v>
      </c>
      <c r="E40" s="3">
        <f t="shared" si="57"/>
        <v>114</v>
      </c>
      <c r="F40" s="3">
        <f t="shared" si="57"/>
        <v>152</v>
      </c>
      <c r="G40" s="3">
        <f t="shared" si="57"/>
        <v>190</v>
      </c>
      <c r="H40" s="3">
        <f t="shared" si="57"/>
        <v>228</v>
      </c>
      <c r="I40" s="3">
        <f t="shared" si="57"/>
        <v>266</v>
      </c>
      <c r="J40" s="3">
        <f t="shared" si="57"/>
        <v>304</v>
      </c>
      <c r="K40" s="3">
        <f t="shared" si="57"/>
        <v>342</v>
      </c>
      <c r="L40" s="3">
        <f t="shared" si="57"/>
        <v>380</v>
      </c>
      <c r="M40" s="3">
        <f t="shared" si="57"/>
        <v>418</v>
      </c>
      <c r="N40" s="3">
        <f t="shared" si="57"/>
        <v>456</v>
      </c>
      <c r="O40" s="3">
        <f t="shared" si="57"/>
        <v>494</v>
      </c>
      <c r="P40" s="3">
        <f t="shared" si="57"/>
        <v>532</v>
      </c>
      <c r="Q40" s="3">
        <f t="shared" si="57"/>
        <v>570</v>
      </c>
      <c r="R40" s="3">
        <f t="shared" si="57"/>
        <v>608</v>
      </c>
      <c r="S40" s="3">
        <f t="shared" si="57"/>
        <v>646</v>
      </c>
      <c r="T40" s="3">
        <f t="shared" si="57"/>
        <v>684</v>
      </c>
      <c r="U40" s="3">
        <f t="shared" si="57"/>
        <v>722</v>
      </c>
      <c r="V40" s="3">
        <f t="shared" si="57"/>
        <v>760</v>
      </c>
      <c r="AH40" s="4"/>
      <c r="AI40" s="4"/>
    </row>
    <row r="41">
      <c r="AH41" s="4"/>
      <c r="AI41" s="4"/>
    </row>
    <row r="42">
      <c r="B42" s="2">
        <v>0.0</v>
      </c>
      <c r="C42" s="2">
        <v>1.0</v>
      </c>
      <c r="D42" s="2">
        <v>2.0</v>
      </c>
      <c r="E42" s="2">
        <v>3.0</v>
      </c>
      <c r="F42" s="2">
        <v>4.0</v>
      </c>
      <c r="G42" s="2">
        <v>5.0</v>
      </c>
      <c r="H42" s="2">
        <v>6.0</v>
      </c>
      <c r="I42" s="2">
        <v>7.0</v>
      </c>
      <c r="J42" s="2">
        <v>8.0</v>
      </c>
      <c r="K42" s="2">
        <v>9.0</v>
      </c>
      <c r="L42" s="2">
        <v>10.0</v>
      </c>
      <c r="M42" s="2">
        <v>11.0</v>
      </c>
      <c r="N42" s="2">
        <v>12.0</v>
      </c>
      <c r="O42" s="2">
        <v>13.0</v>
      </c>
      <c r="P42" s="2">
        <v>14.0</v>
      </c>
      <c r="Q42" s="2">
        <v>15.0</v>
      </c>
      <c r="R42" s="2">
        <v>16.0</v>
      </c>
      <c r="S42" s="2">
        <v>17.0</v>
      </c>
      <c r="T42" s="2">
        <v>18.0</v>
      </c>
      <c r="U42" s="2">
        <v>19.0</v>
      </c>
      <c r="V42" s="2">
        <v>20.0</v>
      </c>
      <c r="AH42" s="4"/>
      <c r="AI42" s="4"/>
    </row>
    <row r="43">
      <c r="A43" s="2">
        <v>0.0</v>
      </c>
      <c r="B43" s="3">
        <f t="shared" ref="B43:V43" si="58">(27-B$1)*$A43+B$1*(38-$A43)</f>
        <v>0</v>
      </c>
      <c r="C43" s="3">
        <f t="shared" si="58"/>
        <v>38</v>
      </c>
      <c r="D43" s="3">
        <f t="shared" si="58"/>
        <v>76</v>
      </c>
      <c r="E43" s="3">
        <f t="shared" si="58"/>
        <v>114</v>
      </c>
      <c r="F43" s="3">
        <f t="shared" si="58"/>
        <v>152</v>
      </c>
      <c r="G43" s="3">
        <f t="shared" si="58"/>
        <v>190</v>
      </c>
      <c r="H43" s="3">
        <f t="shared" si="58"/>
        <v>228</v>
      </c>
      <c r="I43" s="3">
        <f t="shared" si="58"/>
        <v>266</v>
      </c>
      <c r="J43" s="3">
        <f t="shared" si="58"/>
        <v>304</v>
      </c>
      <c r="K43" s="3">
        <f t="shared" si="58"/>
        <v>342</v>
      </c>
      <c r="L43" s="3">
        <f t="shared" si="58"/>
        <v>380</v>
      </c>
      <c r="M43" s="3">
        <f t="shared" si="58"/>
        <v>418</v>
      </c>
      <c r="N43" s="3">
        <f t="shared" si="58"/>
        <v>456</v>
      </c>
      <c r="O43" s="3">
        <f t="shared" si="58"/>
        <v>494</v>
      </c>
      <c r="P43" s="3">
        <f t="shared" si="58"/>
        <v>532</v>
      </c>
      <c r="Q43" s="3">
        <f t="shared" si="58"/>
        <v>570</v>
      </c>
      <c r="R43" s="3">
        <f t="shared" si="58"/>
        <v>608</v>
      </c>
      <c r="S43" s="3">
        <f t="shared" si="58"/>
        <v>646</v>
      </c>
      <c r="T43" s="3">
        <f t="shared" si="58"/>
        <v>684</v>
      </c>
      <c r="U43" s="3">
        <f t="shared" si="58"/>
        <v>722</v>
      </c>
      <c r="V43" s="3">
        <f t="shared" si="58"/>
        <v>760</v>
      </c>
      <c r="AH43" s="4"/>
      <c r="AI43" s="4"/>
    </row>
    <row r="44">
      <c r="A44" s="2">
        <v>1.0</v>
      </c>
      <c r="B44" s="3">
        <f t="shared" ref="B44:V44" si="59">(27-B$1)*$A44+B$1*(38-$A44)</f>
        <v>27</v>
      </c>
      <c r="C44" s="3">
        <f t="shared" si="59"/>
        <v>63</v>
      </c>
      <c r="D44" s="3">
        <f t="shared" si="59"/>
        <v>99</v>
      </c>
      <c r="E44" s="3">
        <f t="shared" si="59"/>
        <v>135</v>
      </c>
      <c r="F44" s="3">
        <f t="shared" si="59"/>
        <v>171</v>
      </c>
      <c r="G44" s="3">
        <f t="shared" si="59"/>
        <v>207</v>
      </c>
      <c r="H44" s="3">
        <f t="shared" si="59"/>
        <v>243</v>
      </c>
      <c r="I44" s="3">
        <f t="shared" si="59"/>
        <v>279</v>
      </c>
      <c r="J44" s="3">
        <f t="shared" si="59"/>
        <v>315</v>
      </c>
      <c r="K44" s="3">
        <f t="shared" si="59"/>
        <v>351</v>
      </c>
      <c r="L44" s="3">
        <f t="shared" si="59"/>
        <v>387</v>
      </c>
      <c r="M44" s="3">
        <f t="shared" si="59"/>
        <v>423</v>
      </c>
      <c r="N44" s="3">
        <f t="shared" si="59"/>
        <v>459</v>
      </c>
      <c r="O44" s="3">
        <f t="shared" si="59"/>
        <v>495</v>
      </c>
      <c r="P44" s="3">
        <f t="shared" si="59"/>
        <v>531</v>
      </c>
      <c r="Q44" s="3">
        <f t="shared" si="59"/>
        <v>567</v>
      </c>
      <c r="R44" s="3">
        <f t="shared" si="59"/>
        <v>603</v>
      </c>
      <c r="S44" s="3">
        <f t="shared" si="59"/>
        <v>639</v>
      </c>
      <c r="T44" s="3">
        <f t="shared" si="59"/>
        <v>675</v>
      </c>
      <c r="U44" s="3">
        <f t="shared" si="59"/>
        <v>711</v>
      </c>
      <c r="V44" s="3">
        <f t="shared" si="59"/>
        <v>747</v>
      </c>
      <c r="AH44" s="4"/>
      <c r="AI44" s="4"/>
    </row>
    <row r="45">
      <c r="A45" s="2">
        <v>2.0</v>
      </c>
      <c r="B45" s="3">
        <f t="shared" ref="B45:V45" si="60">(27-B$1)*$A45+B$1*(38-$A45)</f>
        <v>54</v>
      </c>
      <c r="C45" s="3">
        <f t="shared" si="60"/>
        <v>88</v>
      </c>
      <c r="D45" s="3">
        <f t="shared" si="60"/>
        <v>122</v>
      </c>
      <c r="E45" s="3">
        <f t="shared" si="60"/>
        <v>156</v>
      </c>
      <c r="F45" s="3">
        <f t="shared" si="60"/>
        <v>190</v>
      </c>
      <c r="G45" s="3">
        <f t="shared" si="60"/>
        <v>224</v>
      </c>
      <c r="H45" s="3">
        <f t="shared" si="60"/>
        <v>258</v>
      </c>
      <c r="I45" s="3">
        <f t="shared" si="60"/>
        <v>292</v>
      </c>
      <c r="J45" s="3">
        <f t="shared" si="60"/>
        <v>326</v>
      </c>
      <c r="K45" s="3">
        <f t="shared" si="60"/>
        <v>360</v>
      </c>
      <c r="L45" s="3">
        <f t="shared" si="60"/>
        <v>394</v>
      </c>
      <c r="M45" s="3">
        <f t="shared" si="60"/>
        <v>428</v>
      </c>
      <c r="N45" s="3">
        <f t="shared" si="60"/>
        <v>462</v>
      </c>
      <c r="O45" s="3">
        <f t="shared" si="60"/>
        <v>496</v>
      </c>
      <c r="P45" s="3">
        <f t="shared" si="60"/>
        <v>530</v>
      </c>
      <c r="Q45" s="3">
        <f t="shared" si="60"/>
        <v>564</v>
      </c>
      <c r="R45" s="3">
        <f t="shared" si="60"/>
        <v>598</v>
      </c>
      <c r="S45" s="3">
        <f t="shared" si="60"/>
        <v>632</v>
      </c>
      <c r="T45" s="3">
        <f t="shared" si="60"/>
        <v>666</v>
      </c>
      <c r="U45" s="3">
        <f t="shared" si="60"/>
        <v>700</v>
      </c>
      <c r="V45" s="3">
        <f t="shared" si="60"/>
        <v>734</v>
      </c>
      <c r="AH45" s="4"/>
      <c r="AI45" s="4"/>
    </row>
    <row r="46">
      <c r="A46" s="2">
        <v>3.0</v>
      </c>
      <c r="B46" s="3">
        <f t="shared" ref="B46:V46" si="61">(27-B$1)*$A46+B$1*(38-$A46)</f>
        <v>81</v>
      </c>
      <c r="C46" s="3">
        <f t="shared" si="61"/>
        <v>113</v>
      </c>
      <c r="D46" s="3">
        <f t="shared" si="61"/>
        <v>145</v>
      </c>
      <c r="E46" s="3">
        <f t="shared" si="61"/>
        <v>177</v>
      </c>
      <c r="F46" s="3">
        <f t="shared" si="61"/>
        <v>209</v>
      </c>
      <c r="G46" s="3">
        <f t="shared" si="61"/>
        <v>241</v>
      </c>
      <c r="H46" s="3">
        <f t="shared" si="61"/>
        <v>273</v>
      </c>
      <c r="I46" s="3">
        <f t="shared" si="61"/>
        <v>305</v>
      </c>
      <c r="J46" s="3">
        <f t="shared" si="61"/>
        <v>337</v>
      </c>
      <c r="K46" s="3">
        <f t="shared" si="61"/>
        <v>369</v>
      </c>
      <c r="L46" s="3">
        <f t="shared" si="61"/>
        <v>401</v>
      </c>
      <c r="M46" s="3">
        <f t="shared" si="61"/>
        <v>433</v>
      </c>
      <c r="N46" s="3">
        <f t="shared" si="61"/>
        <v>465</v>
      </c>
      <c r="O46" s="7">
        <f t="shared" si="61"/>
        <v>497</v>
      </c>
      <c r="P46" s="3">
        <f t="shared" si="61"/>
        <v>529</v>
      </c>
      <c r="Q46" s="3">
        <f t="shared" si="61"/>
        <v>561</v>
      </c>
      <c r="R46" s="3">
        <f t="shared" si="61"/>
        <v>593</v>
      </c>
      <c r="S46" s="3">
        <f t="shared" si="61"/>
        <v>625</v>
      </c>
      <c r="T46" s="3">
        <f t="shared" si="61"/>
        <v>657</v>
      </c>
      <c r="U46" s="3">
        <f t="shared" si="61"/>
        <v>689</v>
      </c>
      <c r="V46" s="3">
        <f t="shared" si="61"/>
        <v>721</v>
      </c>
      <c r="AH46" s="4"/>
      <c r="AI46" s="4"/>
    </row>
    <row r="47">
      <c r="A47" s="2">
        <v>4.0</v>
      </c>
      <c r="B47" s="3">
        <f t="shared" ref="B47:V47" si="62">(27-B$1)*$A47+B$1*(38-$A47)</f>
        <v>108</v>
      </c>
      <c r="C47" s="3">
        <f t="shared" si="62"/>
        <v>138</v>
      </c>
      <c r="D47" s="3">
        <f t="shared" si="62"/>
        <v>168</v>
      </c>
      <c r="E47" s="3">
        <f t="shared" si="62"/>
        <v>198</v>
      </c>
      <c r="F47" s="3">
        <f t="shared" si="62"/>
        <v>228</v>
      </c>
      <c r="G47" s="3">
        <f t="shared" si="62"/>
        <v>258</v>
      </c>
      <c r="H47" s="3">
        <f t="shared" si="62"/>
        <v>288</v>
      </c>
      <c r="I47" s="3">
        <f t="shared" si="62"/>
        <v>318</v>
      </c>
      <c r="J47" s="3">
        <f t="shared" si="62"/>
        <v>348</v>
      </c>
      <c r="K47" s="3">
        <f t="shared" si="62"/>
        <v>378</v>
      </c>
      <c r="L47" s="3">
        <f t="shared" si="62"/>
        <v>408</v>
      </c>
      <c r="M47" s="3">
        <f t="shared" si="62"/>
        <v>438</v>
      </c>
      <c r="N47" s="3">
        <f t="shared" si="62"/>
        <v>468</v>
      </c>
      <c r="O47" s="3">
        <f t="shared" si="62"/>
        <v>498</v>
      </c>
      <c r="P47" s="3">
        <f t="shared" si="62"/>
        <v>528</v>
      </c>
      <c r="Q47" s="3">
        <f t="shared" si="62"/>
        <v>558</v>
      </c>
      <c r="R47" s="3">
        <f t="shared" si="62"/>
        <v>588</v>
      </c>
      <c r="S47" s="3">
        <f t="shared" si="62"/>
        <v>618</v>
      </c>
      <c r="T47" s="3">
        <f t="shared" si="62"/>
        <v>648</v>
      </c>
      <c r="U47" s="3">
        <f t="shared" si="62"/>
        <v>678</v>
      </c>
      <c r="V47" s="3">
        <f t="shared" si="62"/>
        <v>708</v>
      </c>
      <c r="AH47" s="4"/>
      <c r="AI47" s="4"/>
    </row>
    <row r="48">
      <c r="A48" s="2">
        <v>5.0</v>
      </c>
      <c r="B48" s="3">
        <f t="shared" ref="B48:V48" si="63">(27-B$1)*$A48+B$1*(38-$A48)</f>
        <v>135</v>
      </c>
      <c r="C48" s="3">
        <f t="shared" si="63"/>
        <v>163</v>
      </c>
      <c r="D48" s="3">
        <f t="shared" si="63"/>
        <v>191</v>
      </c>
      <c r="E48" s="3">
        <f t="shared" si="63"/>
        <v>219</v>
      </c>
      <c r="F48" s="3">
        <f t="shared" si="63"/>
        <v>247</v>
      </c>
      <c r="G48" s="3">
        <f t="shared" si="63"/>
        <v>275</v>
      </c>
      <c r="H48" s="3">
        <f t="shared" si="63"/>
        <v>303</v>
      </c>
      <c r="I48" s="3">
        <f t="shared" si="63"/>
        <v>331</v>
      </c>
      <c r="J48" s="3">
        <f t="shared" si="63"/>
        <v>359</v>
      </c>
      <c r="K48" s="3">
        <f t="shared" si="63"/>
        <v>387</v>
      </c>
      <c r="L48" s="3">
        <f t="shared" si="63"/>
        <v>415</v>
      </c>
      <c r="M48" s="3">
        <f t="shared" si="63"/>
        <v>443</v>
      </c>
      <c r="N48" s="3">
        <f t="shared" si="63"/>
        <v>471</v>
      </c>
      <c r="O48" s="3">
        <f t="shared" si="63"/>
        <v>499</v>
      </c>
      <c r="P48" s="3">
        <f t="shared" si="63"/>
        <v>527</v>
      </c>
      <c r="Q48" s="3">
        <f t="shared" si="63"/>
        <v>555</v>
      </c>
      <c r="R48" s="3">
        <f t="shared" si="63"/>
        <v>583</v>
      </c>
      <c r="S48" s="3">
        <f t="shared" si="63"/>
        <v>611</v>
      </c>
      <c r="T48" s="3">
        <f t="shared" si="63"/>
        <v>639</v>
      </c>
      <c r="U48" s="3">
        <f t="shared" si="63"/>
        <v>667</v>
      </c>
      <c r="V48" s="3">
        <f t="shared" si="63"/>
        <v>695</v>
      </c>
      <c r="AH48" s="4"/>
      <c r="AI48" s="4"/>
    </row>
    <row r="49">
      <c r="A49" s="2">
        <v>6.0</v>
      </c>
      <c r="B49" s="3">
        <f t="shared" ref="B49:V49" si="64">(27-B$1)*$A49+B$1*(38-$A49)</f>
        <v>162</v>
      </c>
      <c r="C49" s="3">
        <f t="shared" si="64"/>
        <v>188</v>
      </c>
      <c r="D49" s="3">
        <f t="shared" si="64"/>
        <v>214</v>
      </c>
      <c r="E49" s="3">
        <f t="shared" si="64"/>
        <v>240</v>
      </c>
      <c r="F49" s="3">
        <f t="shared" si="64"/>
        <v>266</v>
      </c>
      <c r="G49" s="3">
        <f t="shared" si="64"/>
        <v>292</v>
      </c>
      <c r="H49" s="3">
        <f t="shared" si="64"/>
        <v>318</v>
      </c>
      <c r="I49" s="3">
        <f t="shared" si="64"/>
        <v>344</v>
      </c>
      <c r="J49" s="3">
        <f t="shared" si="64"/>
        <v>370</v>
      </c>
      <c r="K49" s="3">
        <f t="shared" si="64"/>
        <v>396</v>
      </c>
      <c r="L49" s="3">
        <f t="shared" si="64"/>
        <v>422</v>
      </c>
      <c r="M49" s="3">
        <f t="shared" si="64"/>
        <v>448</v>
      </c>
      <c r="N49" s="3">
        <f t="shared" si="64"/>
        <v>474</v>
      </c>
      <c r="O49" s="3">
        <f t="shared" si="64"/>
        <v>500</v>
      </c>
      <c r="P49" s="3">
        <f t="shared" si="64"/>
        <v>526</v>
      </c>
      <c r="Q49" s="3">
        <f t="shared" si="64"/>
        <v>552</v>
      </c>
      <c r="R49" s="3">
        <f t="shared" si="64"/>
        <v>578</v>
      </c>
      <c r="S49" s="3">
        <f t="shared" si="64"/>
        <v>604</v>
      </c>
      <c r="T49" s="3">
        <f t="shared" si="64"/>
        <v>630</v>
      </c>
      <c r="U49" s="3">
        <f t="shared" si="64"/>
        <v>656</v>
      </c>
      <c r="V49" s="3">
        <f t="shared" si="64"/>
        <v>682</v>
      </c>
      <c r="AH49" s="4"/>
      <c r="AI49" s="4"/>
    </row>
    <row r="50">
      <c r="A50" s="2">
        <v>7.0</v>
      </c>
      <c r="B50" s="3">
        <f t="shared" ref="B50:V50" si="65">(27-B$1)*$A50+B$1*(38-$A50)</f>
        <v>189</v>
      </c>
      <c r="C50" s="3">
        <f t="shared" si="65"/>
        <v>213</v>
      </c>
      <c r="D50" s="3">
        <f t="shared" si="65"/>
        <v>237</v>
      </c>
      <c r="E50" s="3">
        <f t="shared" si="65"/>
        <v>261</v>
      </c>
      <c r="F50" s="3">
        <f t="shared" si="65"/>
        <v>285</v>
      </c>
      <c r="G50" s="3">
        <f t="shared" si="65"/>
        <v>309</v>
      </c>
      <c r="H50" s="3">
        <f t="shared" si="65"/>
        <v>333</v>
      </c>
      <c r="I50" s="3">
        <f t="shared" si="65"/>
        <v>357</v>
      </c>
      <c r="J50" s="3">
        <f t="shared" si="65"/>
        <v>381</v>
      </c>
      <c r="K50" s="3">
        <f t="shared" si="65"/>
        <v>405</v>
      </c>
      <c r="L50" s="3">
        <f t="shared" si="65"/>
        <v>429</v>
      </c>
      <c r="M50" s="3">
        <f t="shared" si="65"/>
        <v>453</v>
      </c>
      <c r="N50" s="7">
        <f t="shared" si="65"/>
        <v>477</v>
      </c>
      <c r="O50" s="3">
        <f t="shared" si="65"/>
        <v>501</v>
      </c>
      <c r="P50" s="3">
        <f t="shared" si="65"/>
        <v>525</v>
      </c>
      <c r="Q50" s="3">
        <f t="shared" si="65"/>
        <v>549</v>
      </c>
      <c r="R50" s="3">
        <f t="shared" si="65"/>
        <v>573</v>
      </c>
      <c r="S50" s="3">
        <f t="shared" si="65"/>
        <v>597</v>
      </c>
      <c r="T50" s="3">
        <f t="shared" si="65"/>
        <v>621</v>
      </c>
      <c r="U50" s="3">
        <f t="shared" si="65"/>
        <v>645</v>
      </c>
      <c r="V50" s="3">
        <f t="shared" si="65"/>
        <v>669</v>
      </c>
      <c r="AH50" s="4"/>
      <c r="AI50" s="4"/>
    </row>
    <row r="51">
      <c r="A51" s="2">
        <v>8.0</v>
      </c>
      <c r="B51" s="3">
        <f t="shared" ref="B51:V51" si="66">(27-B$1)*$A51+B$1*(38-$A51)</f>
        <v>216</v>
      </c>
      <c r="C51" s="3">
        <f t="shared" si="66"/>
        <v>238</v>
      </c>
      <c r="D51" s="3">
        <f t="shared" si="66"/>
        <v>260</v>
      </c>
      <c r="E51" s="3">
        <f t="shared" si="66"/>
        <v>282</v>
      </c>
      <c r="F51" s="3">
        <f t="shared" si="66"/>
        <v>304</v>
      </c>
      <c r="G51" s="3">
        <f t="shared" si="66"/>
        <v>326</v>
      </c>
      <c r="H51" s="3">
        <f t="shared" si="66"/>
        <v>348</v>
      </c>
      <c r="I51" s="3">
        <f t="shared" si="66"/>
        <v>370</v>
      </c>
      <c r="J51" s="3">
        <f t="shared" si="66"/>
        <v>392</v>
      </c>
      <c r="K51" s="3">
        <f t="shared" si="66"/>
        <v>414</v>
      </c>
      <c r="L51" s="3">
        <f t="shared" si="66"/>
        <v>436</v>
      </c>
      <c r="M51" s="3">
        <f t="shared" si="66"/>
        <v>458</v>
      </c>
      <c r="N51" s="3">
        <f t="shared" si="66"/>
        <v>480</v>
      </c>
      <c r="O51" s="3">
        <f t="shared" si="66"/>
        <v>502</v>
      </c>
      <c r="P51" s="3">
        <f t="shared" si="66"/>
        <v>524</v>
      </c>
      <c r="Q51" s="3">
        <f t="shared" si="66"/>
        <v>546</v>
      </c>
      <c r="R51" s="3">
        <f t="shared" si="66"/>
        <v>568</v>
      </c>
      <c r="S51" s="3">
        <f t="shared" si="66"/>
        <v>590</v>
      </c>
      <c r="T51" s="3">
        <f t="shared" si="66"/>
        <v>612</v>
      </c>
      <c r="U51" s="3">
        <f t="shared" si="66"/>
        <v>634</v>
      </c>
      <c r="V51" s="3">
        <f t="shared" si="66"/>
        <v>656</v>
      </c>
      <c r="AH51" s="4"/>
      <c r="AI51" s="4"/>
    </row>
    <row r="52">
      <c r="A52" s="2">
        <v>9.0</v>
      </c>
      <c r="B52" s="3">
        <f t="shared" ref="B52:V52" si="67">(27-B$1)*$A52+B$1*(38-$A52)</f>
        <v>243</v>
      </c>
      <c r="C52" s="3">
        <f t="shared" si="67"/>
        <v>263</v>
      </c>
      <c r="D52" s="3">
        <f t="shared" si="67"/>
        <v>283</v>
      </c>
      <c r="E52" s="3">
        <f t="shared" si="67"/>
        <v>303</v>
      </c>
      <c r="F52" s="3">
        <f t="shared" si="67"/>
        <v>323</v>
      </c>
      <c r="G52" s="3">
        <f t="shared" si="67"/>
        <v>343</v>
      </c>
      <c r="H52" s="3">
        <f t="shared" si="67"/>
        <v>363</v>
      </c>
      <c r="I52" s="3">
        <f t="shared" si="67"/>
        <v>383</v>
      </c>
      <c r="J52" s="3">
        <f t="shared" si="67"/>
        <v>403</v>
      </c>
      <c r="K52" s="3">
        <f t="shared" si="67"/>
        <v>423</v>
      </c>
      <c r="L52" s="3">
        <f t="shared" si="67"/>
        <v>443</v>
      </c>
      <c r="M52" s="7">
        <f t="shared" si="67"/>
        <v>463</v>
      </c>
      <c r="N52" s="3">
        <f t="shared" si="67"/>
        <v>483</v>
      </c>
      <c r="O52" s="3">
        <f t="shared" si="67"/>
        <v>503</v>
      </c>
      <c r="P52" s="3">
        <f t="shared" si="67"/>
        <v>523</v>
      </c>
      <c r="Q52" s="3">
        <f t="shared" si="67"/>
        <v>543</v>
      </c>
      <c r="R52" s="3">
        <f t="shared" si="67"/>
        <v>563</v>
      </c>
      <c r="S52" s="3">
        <f t="shared" si="67"/>
        <v>583</v>
      </c>
      <c r="T52" s="3">
        <f t="shared" si="67"/>
        <v>603</v>
      </c>
      <c r="U52" s="3">
        <f t="shared" si="67"/>
        <v>623</v>
      </c>
      <c r="V52" s="3">
        <f t="shared" si="67"/>
        <v>643</v>
      </c>
      <c r="AH52" s="4"/>
      <c r="AI52" s="4"/>
    </row>
    <row r="53">
      <c r="A53" s="2">
        <v>10.0</v>
      </c>
      <c r="B53" s="3">
        <f t="shared" ref="B53:V53" si="68">(27-B$1)*$A53+B$1*(38-$A53)</f>
        <v>270</v>
      </c>
      <c r="C53" s="3">
        <f t="shared" si="68"/>
        <v>288</v>
      </c>
      <c r="D53" s="3">
        <f t="shared" si="68"/>
        <v>306</v>
      </c>
      <c r="E53" s="3">
        <f t="shared" si="68"/>
        <v>324</v>
      </c>
      <c r="F53" s="3">
        <f t="shared" si="68"/>
        <v>342</v>
      </c>
      <c r="G53" s="3">
        <f t="shared" si="68"/>
        <v>360</v>
      </c>
      <c r="H53" s="3">
        <f t="shared" si="68"/>
        <v>378</v>
      </c>
      <c r="I53" s="3">
        <f t="shared" si="68"/>
        <v>396</v>
      </c>
      <c r="J53" s="3">
        <f t="shared" si="68"/>
        <v>414</v>
      </c>
      <c r="K53" s="3">
        <f t="shared" si="68"/>
        <v>432</v>
      </c>
      <c r="L53" s="3">
        <f t="shared" si="68"/>
        <v>450</v>
      </c>
      <c r="M53" s="3">
        <f t="shared" si="68"/>
        <v>468</v>
      </c>
      <c r="N53" s="3">
        <f t="shared" si="68"/>
        <v>486</v>
      </c>
      <c r="O53" s="3">
        <f t="shared" si="68"/>
        <v>504</v>
      </c>
      <c r="P53" s="3">
        <f t="shared" si="68"/>
        <v>522</v>
      </c>
      <c r="Q53" s="3">
        <f t="shared" si="68"/>
        <v>540</v>
      </c>
      <c r="R53" s="3">
        <f t="shared" si="68"/>
        <v>558</v>
      </c>
      <c r="S53" s="3">
        <f t="shared" si="68"/>
        <v>576</v>
      </c>
      <c r="T53" s="3">
        <f t="shared" si="68"/>
        <v>594</v>
      </c>
      <c r="U53" s="3">
        <f t="shared" si="68"/>
        <v>612</v>
      </c>
      <c r="V53" s="3">
        <f t="shared" si="68"/>
        <v>630</v>
      </c>
      <c r="AH53" s="4"/>
      <c r="AI53" s="4"/>
    </row>
    <row r="54">
      <c r="A54" s="2">
        <v>11.0</v>
      </c>
      <c r="B54" s="3">
        <f t="shared" ref="B54:V54" si="69">(27-B$1)*$A54+B$1*(38-$A54)</f>
        <v>297</v>
      </c>
      <c r="C54" s="3">
        <f t="shared" si="69"/>
        <v>313</v>
      </c>
      <c r="D54" s="3">
        <f t="shared" si="69"/>
        <v>329</v>
      </c>
      <c r="E54" s="3">
        <f t="shared" si="69"/>
        <v>345</v>
      </c>
      <c r="F54" s="3">
        <f t="shared" si="69"/>
        <v>361</v>
      </c>
      <c r="G54" s="3">
        <f t="shared" si="69"/>
        <v>377</v>
      </c>
      <c r="H54" s="3">
        <f t="shared" si="69"/>
        <v>393</v>
      </c>
      <c r="I54" s="3">
        <f t="shared" si="69"/>
        <v>409</v>
      </c>
      <c r="J54" s="3">
        <f t="shared" si="69"/>
        <v>425</v>
      </c>
      <c r="K54" s="3">
        <f t="shared" si="69"/>
        <v>441</v>
      </c>
      <c r="L54" s="12">
        <f t="shared" si="69"/>
        <v>457</v>
      </c>
      <c r="M54" s="3">
        <f t="shared" si="69"/>
        <v>473</v>
      </c>
      <c r="N54" s="3">
        <f t="shared" si="69"/>
        <v>489</v>
      </c>
      <c r="O54" s="3">
        <f t="shared" si="69"/>
        <v>505</v>
      </c>
      <c r="P54" s="3">
        <f t="shared" si="69"/>
        <v>521</v>
      </c>
      <c r="Q54" s="3">
        <f t="shared" si="69"/>
        <v>537</v>
      </c>
      <c r="R54" s="3">
        <f t="shared" si="69"/>
        <v>553</v>
      </c>
      <c r="S54" s="3">
        <f t="shared" si="69"/>
        <v>569</v>
      </c>
      <c r="T54" s="3">
        <f t="shared" si="69"/>
        <v>585</v>
      </c>
      <c r="U54" s="3">
        <f t="shared" si="69"/>
        <v>601</v>
      </c>
      <c r="V54" s="3">
        <f t="shared" si="69"/>
        <v>617</v>
      </c>
      <c r="AH54" s="4"/>
      <c r="AI54" s="4"/>
    </row>
    <row r="55">
      <c r="A55" s="2">
        <v>12.0</v>
      </c>
      <c r="B55" s="3">
        <f t="shared" ref="B55:V55" si="70">(27-B$1)*$A55+B$1*(38-$A55)</f>
        <v>324</v>
      </c>
      <c r="C55" s="3">
        <f t="shared" si="70"/>
        <v>338</v>
      </c>
      <c r="D55" s="3">
        <f t="shared" si="70"/>
        <v>352</v>
      </c>
      <c r="E55" s="3">
        <f t="shared" si="70"/>
        <v>366</v>
      </c>
      <c r="F55" s="3">
        <f t="shared" si="70"/>
        <v>380</v>
      </c>
      <c r="G55" s="3">
        <f t="shared" si="70"/>
        <v>394</v>
      </c>
      <c r="H55" s="3">
        <f t="shared" si="70"/>
        <v>408</v>
      </c>
      <c r="I55" s="3">
        <f t="shared" si="70"/>
        <v>422</v>
      </c>
      <c r="J55" s="3">
        <f t="shared" si="70"/>
        <v>436</v>
      </c>
      <c r="K55" s="3">
        <f t="shared" si="70"/>
        <v>450</v>
      </c>
      <c r="L55" s="3">
        <f t="shared" si="70"/>
        <v>464</v>
      </c>
      <c r="M55" s="3">
        <f t="shared" si="70"/>
        <v>478</v>
      </c>
      <c r="N55" s="3">
        <f t="shared" si="70"/>
        <v>492</v>
      </c>
      <c r="O55" s="3">
        <f t="shared" si="70"/>
        <v>506</v>
      </c>
      <c r="P55" s="3">
        <f t="shared" si="70"/>
        <v>520</v>
      </c>
      <c r="Q55" s="3">
        <f t="shared" si="70"/>
        <v>534</v>
      </c>
      <c r="R55" s="3">
        <f t="shared" si="70"/>
        <v>548</v>
      </c>
      <c r="S55" s="3">
        <f t="shared" si="70"/>
        <v>562</v>
      </c>
      <c r="T55" s="3">
        <f t="shared" si="70"/>
        <v>576</v>
      </c>
      <c r="U55" s="3">
        <f t="shared" si="70"/>
        <v>590</v>
      </c>
      <c r="V55" s="3">
        <f t="shared" si="70"/>
        <v>604</v>
      </c>
      <c r="AH55" s="4"/>
      <c r="AI55" s="4"/>
    </row>
    <row r="56">
      <c r="A56" s="2">
        <v>13.0</v>
      </c>
      <c r="B56" s="3">
        <f t="shared" ref="B56:V56" si="71">(27-B$1)*$A56+B$1*(38-$A56)</f>
        <v>351</v>
      </c>
      <c r="C56" s="3">
        <f t="shared" si="71"/>
        <v>363</v>
      </c>
      <c r="D56" s="3">
        <f t="shared" si="71"/>
        <v>375</v>
      </c>
      <c r="E56" s="3">
        <f t="shared" si="71"/>
        <v>387</v>
      </c>
      <c r="F56" s="3">
        <f t="shared" si="71"/>
        <v>399</v>
      </c>
      <c r="G56" s="3">
        <f t="shared" si="71"/>
        <v>411</v>
      </c>
      <c r="H56" s="3">
        <f t="shared" si="71"/>
        <v>423</v>
      </c>
      <c r="I56" s="3">
        <f t="shared" si="71"/>
        <v>435</v>
      </c>
      <c r="J56" s="3">
        <f t="shared" si="71"/>
        <v>447</v>
      </c>
      <c r="K56" s="12">
        <f t="shared" si="71"/>
        <v>459</v>
      </c>
      <c r="L56" s="3">
        <f t="shared" si="71"/>
        <v>471</v>
      </c>
      <c r="M56" s="3">
        <f t="shared" si="71"/>
        <v>483</v>
      </c>
      <c r="N56" s="3">
        <f t="shared" si="71"/>
        <v>495</v>
      </c>
      <c r="O56" s="13">
        <f t="shared" si="71"/>
        <v>507</v>
      </c>
      <c r="P56" s="3">
        <f t="shared" si="71"/>
        <v>519</v>
      </c>
      <c r="Q56" s="3">
        <f t="shared" si="71"/>
        <v>531</v>
      </c>
      <c r="R56" s="3">
        <f t="shared" si="71"/>
        <v>543</v>
      </c>
      <c r="S56" s="3">
        <f t="shared" si="71"/>
        <v>555</v>
      </c>
      <c r="T56" s="3">
        <f t="shared" si="71"/>
        <v>567</v>
      </c>
      <c r="U56" s="3">
        <f t="shared" si="71"/>
        <v>579</v>
      </c>
      <c r="V56" s="3">
        <f t="shared" si="71"/>
        <v>591</v>
      </c>
      <c r="AH56" s="4"/>
      <c r="AI56" s="4"/>
    </row>
    <row r="57">
      <c r="A57" s="2">
        <v>14.0</v>
      </c>
      <c r="B57" s="3">
        <f t="shared" ref="B57:V57" si="72">(27-B$1)*$A57+B$1*(38-$A57)</f>
        <v>378</v>
      </c>
      <c r="C57" s="3">
        <f t="shared" si="72"/>
        <v>388</v>
      </c>
      <c r="D57" s="3">
        <f t="shared" si="72"/>
        <v>398</v>
      </c>
      <c r="E57" s="3">
        <f t="shared" si="72"/>
        <v>408</v>
      </c>
      <c r="F57" s="3">
        <f t="shared" si="72"/>
        <v>418</v>
      </c>
      <c r="G57" s="3">
        <f t="shared" si="72"/>
        <v>428</v>
      </c>
      <c r="H57" s="3">
        <f t="shared" si="72"/>
        <v>438</v>
      </c>
      <c r="I57" s="3">
        <f t="shared" si="72"/>
        <v>448</v>
      </c>
      <c r="J57" s="12">
        <f t="shared" si="72"/>
        <v>458</v>
      </c>
      <c r="K57" s="3">
        <f t="shared" si="72"/>
        <v>468</v>
      </c>
      <c r="L57" s="3">
        <f t="shared" si="72"/>
        <v>478</v>
      </c>
      <c r="M57" s="3">
        <f t="shared" si="72"/>
        <v>488</v>
      </c>
      <c r="N57" s="13">
        <f t="shared" si="72"/>
        <v>498</v>
      </c>
      <c r="O57" s="13">
        <f t="shared" si="72"/>
        <v>508</v>
      </c>
      <c r="P57" s="3">
        <f t="shared" si="72"/>
        <v>518</v>
      </c>
      <c r="Q57" s="3">
        <f t="shared" si="72"/>
        <v>528</v>
      </c>
      <c r="R57" s="3">
        <f t="shared" si="72"/>
        <v>538</v>
      </c>
      <c r="S57" s="3">
        <f t="shared" si="72"/>
        <v>548</v>
      </c>
      <c r="T57" s="3">
        <f t="shared" si="72"/>
        <v>558</v>
      </c>
      <c r="U57" s="3">
        <f t="shared" si="72"/>
        <v>568</v>
      </c>
      <c r="V57" s="3">
        <f t="shared" si="72"/>
        <v>578</v>
      </c>
      <c r="AH57" s="4"/>
      <c r="AI57" s="4"/>
    </row>
    <row r="58">
      <c r="A58" s="2">
        <v>15.0</v>
      </c>
      <c r="B58" s="3">
        <f t="shared" ref="B58:V58" si="73">(27-B$1)*$A58+B$1*(38-$A58)</f>
        <v>405</v>
      </c>
      <c r="C58" s="3">
        <f t="shared" si="73"/>
        <v>413</v>
      </c>
      <c r="D58" s="3">
        <f t="shared" si="73"/>
        <v>421</v>
      </c>
      <c r="E58" s="3">
        <f t="shared" si="73"/>
        <v>429</v>
      </c>
      <c r="F58" s="3">
        <f t="shared" si="73"/>
        <v>437</v>
      </c>
      <c r="G58" s="3">
        <f t="shared" si="73"/>
        <v>445</v>
      </c>
      <c r="H58" s="3">
        <f t="shared" si="73"/>
        <v>453</v>
      </c>
      <c r="I58" s="12">
        <f t="shared" si="73"/>
        <v>461</v>
      </c>
      <c r="J58" s="3">
        <f t="shared" si="73"/>
        <v>469</v>
      </c>
      <c r="K58" s="3">
        <f t="shared" si="73"/>
        <v>477</v>
      </c>
      <c r="L58" s="3">
        <f t="shared" si="73"/>
        <v>485</v>
      </c>
      <c r="M58" s="3">
        <f t="shared" si="73"/>
        <v>493</v>
      </c>
      <c r="N58" s="13">
        <f t="shared" si="73"/>
        <v>501</v>
      </c>
      <c r="O58" s="13">
        <f t="shared" si="73"/>
        <v>509</v>
      </c>
      <c r="P58" s="3">
        <f t="shared" si="73"/>
        <v>517</v>
      </c>
      <c r="Q58" s="3">
        <f t="shared" si="73"/>
        <v>525</v>
      </c>
      <c r="R58" s="3">
        <f t="shared" si="73"/>
        <v>533</v>
      </c>
      <c r="S58" s="3">
        <f t="shared" si="73"/>
        <v>541</v>
      </c>
      <c r="T58" s="3">
        <f t="shared" si="73"/>
        <v>549</v>
      </c>
      <c r="U58" s="3">
        <f t="shared" si="73"/>
        <v>557</v>
      </c>
      <c r="V58" s="3">
        <f t="shared" si="73"/>
        <v>565</v>
      </c>
      <c r="AH58" s="4"/>
      <c r="AI58" s="4"/>
    </row>
    <row r="59">
      <c r="A59" s="2">
        <v>16.0</v>
      </c>
      <c r="B59" s="3">
        <f t="shared" ref="B59:V59" si="74">(27-B$1)*$A59+B$1*(38-$A59)</f>
        <v>432</v>
      </c>
      <c r="C59" s="3">
        <f t="shared" si="74"/>
        <v>438</v>
      </c>
      <c r="D59" s="3">
        <f t="shared" si="74"/>
        <v>444</v>
      </c>
      <c r="E59" s="3">
        <f t="shared" si="74"/>
        <v>450</v>
      </c>
      <c r="F59" s="3">
        <f t="shared" si="74"/>
        <v>456</v>
      </c>
      <c r="G59" s="3">
        <f t="shared" si="74"/>
        <v>462</v>
      </c>
      <c r="H59" s="7">
        <f t="shared" si="74"/>
        <v>468</v>
      </c>
      <c r="I59" s="3">
        <f t="shared" si="74"/>
        <v>474</v>
      </c>
      <c r="J59" s="3">
        <f t="shared" si="74"/>
        <v>480</v>
      </c>
      <c r="K59" s="3">
        <f t="shared" si="74"/>
        <v>486</v>
      </c>
      <c r="L59" s="3">
        <f t="shared" si="74"/>
        <v>492</v>
      </c>
      <c r="M59" s="13">
        <f t="shared" si="74"/>
        <v>498</v>
      </c>
      <c r="N59" s="13">
        <f t="shared" si="74"/>
        <v>504</v>
      </c>
      <c r="O59" s="13">
        <f t="shared" si="74"/>
        <v>510</v>
      </c>
      <c r="P59" s="3">
        <f t="shared" si="74"/>
        <v>516</v>
      </c>
      <c r="Q59" s="3">
        <f t="shared" si="74"/>
        <v>522</v>
      </c>
      <c r="R59" s="3">
        <f t="shared" si="74"/>
        <v>528</v>
      </c>
      <c r="S59" s="3">
        <f t="shared" si="74"/>
        <v>534</v>
      </c>
      <c r="T59" s="3">
        <f t="shared" si="74"/>
        <v>540</v>
      </c>
      <c r="U59" s="3">
        <f t="shared" si="74"/>
        <v>546</v>
      </c>
      <c r="V59" s="3">
        <f t="shared" si="74"/>
        <v>552</v>
      </c>
      <c r="AH59" s="4"/>
      <c r="AI59" s="4"/>
    </row>
    <row r="60">
      <c r="A60" s="2">
        <v>17.0</v>
      </c>
      <c r="B60" s="3">
        <f t="shared" ref="B60:V60" si="75">(27-B$1)*$A60+B$1*(38-$A60)</f>
        <v>459</v>
      </c>
      <c r="C60" s="3">
        <f t="shared" si="75"/>
        <v>463</v>
      </c>
      <c r="D60" s="3">
        <f t="shared" si="75"/>
        <v>467</v>
      </c>
      <c r="E60" s="3">
        <f t="shared" si="75"/>
        <v>471</v>
      </c>
      <c r="F60" s="3">
        <f t="shared" si="75"/>
        <v>475</v>
      </c>
      <c r="G60" s="7">
        <f t="shared" si="75"/>
        <v>479</v>
      </c>
      <c r="H60" s="3">
        <f t="shared" si="75"/>
        <v>483</v>
      </c>
      <c r="I60" s="3">
        <f t="shared" si="75"/>
        <v>487</v>
      </c>
      <c r="J60" s="3">
        <f t="shared" si="75"/>
        <v>491</v>
      </c>
      <c r="K60" s="3">
        <f t="shared" si="75"/>
        <v>495</v>
      </c>
      <c r="L60" s="13">
        <f t="shared" si="75"/>
        <v>499</v>
      </c>
      <c r="M60" s="13">
        <f t="shared" si="75"/>
        <v>503</v>
      </c>
      <c r="N60" s="13">
        <f t="shared" si="75"/>
        <v>507</v>
      </c>
      <c r="O60" s="13">
        <f t="shared" si="75"/>
        <v>511</v>
      </c>
      <c r="P60" s="13">
        <f t="shared" si="75"/>
        <v>515</v>
      </c>
      <c r="Q60" s="13">
        <f t="shared" si="75"/>
        <v>519</v>
      </c>
      <c r="R60" s="3">
        <f t="shared" si="75"/>
        <v>523</v>
      </c>
      <c r="S60" s="3">
        <f t="shared" si="75"/>
        <v>527</v>
      </c>
      <c r="T60" s="3">
        <f t="shared" si="75"/>
        <v>531</v>
      </c>
      <c r="U60" s="3">
        <f t="shared" si="75"/>
        <v>535</v>
      </c>
      <c r="V60" s="3">
        <f t="shared" si="75"/>
        <v>539</v>
      </c>
      <c r="AH60" s="4"/>
      <c r="AI60" s="4"/>
    </row>
    <row r="61">
      <c r="A61" s="2">
        <v>18.0</v>
      </c>
      <c r="B61" s="3">
        <f t="shared" ref="B61:V61" si="76">(27-B$1)*$A61+B$1*(38-$A61)</f>
        <v>486</v>
      </c>
      <c r="C61" s="3">
        <f t="shared" si="76"/>
        <v>488</v>
      </c>
      <c r="D61" s="3">
        <f t="shared" si="76"/>
        <v>490</v>
      </c>
      <c r="E61" s="7">
        <f t="shared" si="76"/>
        <v>492</v>
      </c>
      <c r="F61" s="3">
        <f t="shared" si="76"/>
        <v>494</v>
      </c>
      <c r="G61" s="3">
        <f t="shared" si="76"/>
        <v>496</v>
      </c>
      <c r="H61" s="3">
        <f t="shared" si="76"/>
        <v>498</v>
      </c>
      <c r="I61" s="3">
        <f t="shared" si="76"/>
        <v>500</v>
      </c>
      <c r="J61" s="3">
        <f t="shared" si="76"/>
        <v>502</v>
      </c>
      <c r="K61" s="13">
        <f t="shared" si="76"/>
        <v>504</v>
      </c>
      <c r="L61" s="13">
        <f t="shared" si="76"/>
        <v>506</v>
      </c>
      <c r="M61" s="13">
        <f t="shared" si="76"/>
        <v>508</v>
      </c>
      <c r="N61" s="13">
        <f t="shared" si="76"/>
        <v>510</v>
      </c>
      <c r="O61" s="13">
        <f t="shared" si="76"/>
        <v>512</v>
      </c>
      <c r="P61" s="13">
        <f t="shared" si="76"/>
        <v>514</v>
      </c>
      <c r="Q61" s="13">
        <f t="shared" si="76"/>
        <v>516</v>
      </c>
      <c r="R61" s="13">
        <f t="shared" si="76"/>
        <v>518</v>
      </c>
      <c r="S61" s="3">
        <f t="shared" si="76"/>
        <v>520</v>
      </c>
      <c r="T61" s="3">
        <f t="shared" si="76"/>
        <v>522</v>
      </c>
      <c r="U61" s="3">
        <f t="shared" si="76"/>
        <v>524</v>
      </c>
      <c r="V61" s="3">
        <f t="shared" si="76"/>
        <v>526</v>
      </c>
      <c r="AH61" s="4"/>
      <c r="AI61" s="4"/>
    </row>
    <row r="62">
      <c r="A62" s="2">
        <v>19.0</v>
      </c>
      <c r="B62" s="7">
        <f t="shared" ref="B62:V62" si="77">(27-B$1)*$A62+B$1*(38-$A62)</f>
        <v>513</v>
      </c>
      <c r="C62" s="7">
        <f t="shared" si="77"/>
        <v>513</v>
      </c>
      <c r="D62" s="3">
        <f t="shared" si="77"/>
        <v>513</v>
      </c>
      <c r="E62" s="3">
        <f t="shared" si="77"/>
        <v>513</v>
      </c>
      <c r="F62" s="3">
        <f t="shared" si="77"/>
        <v>513</v>
      </c>
      <c r="G62" s="3">
        <f t="shared" si="77"/>
        <v>513</v>
      </c>
      <c r="H62" s="3">
        <f t="shared" si="77"/>
        <v>513</v>
      </c>
      <c r="I62" s="3">
        <f t="shared" si="77"/>
        <v>513</v>
      </c>
      <c r="J62" s="3">
        <f t="shared" si="77"/>
        <v>513</v>
      </c>
      <c r="K62" s="13">
        <f t="shared" si="77"/>
        <v>513</v>
      </c>
      <c r="L62" s="13">
        <f t="shared" si="77"/>
        <v>513</v>
      </c>
      <c r="M62" s="13">
        <f t="shared" si="77"/>
        <v>513</v>
      </c>
      <c r="N62" s="13">
        <f t="shared" si="77"/>
        <v>513</v>
      </c>
      <c r="O62" s="13">
        <f t="shared" si="77"/>
        <v>513</v>
      </c>
      <c r="P62" s="13">
        <f t="shared" si="77"/>
        <v>513</v>
      </c>
      <c r="Q62" s="13">
        <f t="shared" si="77"/>
        <v>513</v>
      </c>
      <c r="R62" s="13">
        <f t="shared" si="77"/>
        <v>513</v>
      </c>
      <c r="S62" s="13">
        <f t="shared" si="77"/>
        <v>513</v>
      </c>
      <c r="T62" s="13">
        <f t="shared" si="77"/>
        <v>513</v>
      </c>
      <c r="U62" s="3">
        <f t="shared" si="77"/>
        <v>513</v>
      </c>
      <c r="V62" s="3">
        <f t="shared" si="77"/>
        <v>513</v>
      </c>
      <c r="AH62" s="4"/>
      <c r="AI62" s="4"/>
    </row>
    <row r="63">
      <c r="A63" s="2">
        <v>20.0</v>
      </c>
      <c r="B63" s="3">
        <f t="shared" ref="B63:V63" si="78">(27-B$1)*$A63+B$1*(38-$A63)</f>
        <v>540</v>
      </c>
      <c r="C63" s="3">
        <f t="shared" si="78"/>
        <v>538</v>
      </c>
      <c r="D63" s="3">
        <f t="shared" si="78"/>
        <v>536</v>
      </c>
      <c r="E63" s="3">
        <f t="shared" si="78"/>
        <v>534</v>
      </c>
      <c r="F63" s="3">
        <f t="shared" si="78"/>
        <v>532</v>
      </c>
      <c r="G63" s="3">
        <f t="shared" si="78"/>
        <v>530</v>
      </c>
      <c r="H63" s="3">
        <f t="shared" si="78"/>
        <v>528</v>
      </c>
      <c r="I63" s="3">
        <f t="shared" si="78"/>
        <v>526</v>
      </c>
      <c r="J63" s="3">
        <f t="shared" si="78"/>
        <v>524</v>
      </c>
      <c r="K63" s="3">
        <f t="shared" si="78"/>
        <v>522</v>
      </c>
      <c r="L63" s="3">
        <f t="shared" si="78"/>
        <v>520</v>
      </c>
      <c r="M63" s="13">
        <f t="shared" si="78"/>
        <v>518</v>
      </c>
      <c r="N63" s="13">
        <f t="shared" si="78"/>
        <v>516</v>
      </c>
      <c r="O63" s="13">
        <f t="shared" si="78"/>
        <v>514</v>
      </c>
      <c r="P63" s="13">
        <f t="shared" si="78"/>
        <v>512</v>
      </c>
      <c r="Q63" s="13">
        <f t="shared" si="78"/>
        <v>510</v>
      </c>
      <c r="R63" s="13">
        <f t="shared" si="78"/>
        <v>508</v>
      </c>
      <c r="S63" s="13">
        <f t="shared" si="78"/>
        <v>506</v>
      </c>
      <c r="T63" s="13">
        <f t="shared" si="78"/>
        <v>504</v>
      </c>
      <c r="U63" s="3">
        <f t="shared" si="78"/>
        <v>502</v>
      </c>
      <c r="V63" s="3">
        <f t="shared" si="78"/>
        <v>500</v>
      </c>
      <c r="AH63" s="4"/>
      <c r="AI63" s="4"/>
    </row>
    <row r="64">
      <c r="A64" s="2">
        <v>21.0</v>
      </c>
      <c r="B64" s="3">
        <f t="shared" ref="B64:V64" si="79">(27-B$1)*$A64+B$1*(38-$A64)</f>
        <v>567</v>
      </c>
      <c r="C64" s="3">
        <f t="shared" si="79"/>
        <v>563</v>
      </c>
      <c r="D64" s="3">
        <f t="shared" si="79"/>
        <v>559</v>
      </c>
      <c r="E64" s="3">
        <f t="shared" si="79"/>
        <v>555</v>
      </c>
      <c r="F64" s="3">
        <f t="shared" si="79"/>
        <v>551</v>
      </c>
      <c r="G64" s="3">
        <f t="shared" si="79"/>
        <v>547</v>
      </c>
      <c r="H64" s="3">
        <f t="shared" si="79"/>
        <v>543</v>
      </c>
      <c r="I64" s="3">
        <f t="shared" si="79"/>
        <v>539</v>
      </c>
      <c r="J64" s="3">
        <f t="shared" si="79"/>
        <v>535</v>
      </c>
      <c r="K64" s="3">
        <f t="shared" si="79"/>
        <v>531</v>
      </c>
      <c r="L64" s="3">
        <f t="shared" si="79"/>
        <v>527</v>
      </c>
      <c r="M64" s="3">
        <f t="shared" si="79"/>
        <v>523</v>
      </c>
      <c r="N64" s="13">
        <f t="shared" si="79"/>
        <v>519</v>
      </c>
      <c r="O64" s="13">
        <f t="shared" si="79"/>
        <v>515</v>
      </c>
      <c r="P64" s="13">
        <f t="shared" si="79"/>
        <v>511</v>
      </c>
      <c r="Q64" s="13">
        <f t="shared" si="79"/>
        <v>507</v>
      </c>
      <c r="R64" s="13">
        <f t="shared" si="79"/>
        <v>503</v>
      </c>
      <c r="S64" s="13">
        <f t="shared" si="79"/>
        <v>499</v>
      </c>
      <c r="T64" s="3">
        <f t="shared" si="79"/>
        <v>495</v>
      </c>
      <c r="U64" s="3">
        <f t="shared" si="79"/>
        <v>491</v>
      </c>
      <c r="V64" s="3">
        <f t="shared" si="79"/>
        <v>487</v>
      </c>
      <c r="AH64" s="4"/>
      <c r="AI64" s="4"/>
    </row>
    <row r="65">
      <c r="A65" s="2">
        <v>22.0</v>
      </c>
      <c r="B65" s="3">
        <f t="shared" ref="B65:V65" si="80">(27-B$1)*$A65+B$1*(38-$A65)</f>
        <v>594</v>
      </c>
      <c r="C65" s="3">
        <f t="shared" si="80"/>
        <v>588</v>
      </c>
      <c r="D65" s="3">
        <f t="shared" si="80"/>
        <v>582</v>
      </c>
      <c r="E65" s="3">
        <f t="shared" si="80"/>
        <v>576</v>
      </c>
      <c r="F65" s="3">
        <f t="shared" si="80"/>
        <v>570</v>
      </c>
      <c r="G65" s="3">
        <f t="shared" si="80"/>
        <v>564</v>
      </c>
      <c r="H65" s="3">
        <f t="shared" si="80"/>
        <v>558</v>
      </c>
      <c r="I65" s="3">
        <f t="shared" si="80"/>
        <v>552</v>
      </c>
      <c r="J65" s="3">
        <f t="shared" si="80"/>
        <v>546</v>
      </c>
      <c r="K65" s="3">
        <f t="shared" si="80"/>
        <v>540</v>
      </c>
      <c r="L65" s="3">
        <f t="shared" si="80"/>
        <v>534</v>
      </c>
      <c r="M65" s="3">
        <f t="shared" si="80"/>
        <v>528</v>
      </c>
      <c r="N65" s="3">
        <f t="shared" si="80"/>
        <v>522</v>
      </c>
      <c r="O65" s="3">
        <f t="shared" si="80"/>
        <v>516</v>
      </c>
      <c r="P65" s="13">
        <f t="shared" si="80"/>
        <v>510</v>
      </c>
      <c r="Q65" s="13">
        <f t="shared" si="80"/>
        <v>504</v>
      </c>
      <c r="R65" s="13">
        <f t="shared" si="80"/>
        <v>498</v>
      </c>
      <c r="S65" s="3">
        <f t="shared" si="80"/>
        <v>492</v>
      </c>
      <c r="T65" s="3">
        <f t="shared" si="80"/>
        <v>486</v>
      </c>
      <c r="U65" s="3">
        <f t="shared" si="80"/>
        <v>480</v>
      </c>
      <c r="V65" s="3">
        <f t="shared" si="80"/>
        <v>474</v>
      </c>
      <c r="AH65" s="4"/>
      <c r="AI65" s="4"/>
    </row>
    <row r="66">
      <c r="A66" s="2">
        <v>23.0</v>
      </c>
      <c r="B66" s="3">
        <f t="shared" ref="B66:V66" si="81">(27-B$1)*$A66+B$1*(38-$A66)</f>
        <v>621</v>
      </c>
      <c r="C66" s="3">
        <f t="shared" si="81"/>
        <v>613</v>
      </c>
      <c r="D66" s="3">
        <f t="shared" si="81"/>
        <v>605</v>
      </c>
      <c r="E66" s="3">
        <f t="shared" si="81"/>
        <v>597</v>
      </c>
      <c r="F66" s="3">
        <f t="shared" si="81"/>
        <v>589</v>
      </c>
      <c r="G66" s="3">
        <f t="shared" si="81"/>
        <v>581</v>
      </c>
      <c r="H66" s="3">
        <f t="shared" si="81"/>
        <v>573</v>
      </c>
      <c r="I66" s="3">
        <f t="shared" si="81"/>
        <v>565</v>
      </c>
      <c r="J66" s="3">
        <f t="shared" si="81"/>
        <v>557</v>
      </c>
      <c r="K66" s="3">
        <f t="shared" si="81"/>
        <v>549</v>
      </c>
      <c r="L66" s="3">
        <f t="shared" si="81"/>
        <v>541</v>
      </c>
      <c r="M66" s="3">
        <f t="shared" si="81"/>
        <v>533</v>
      </c>
      <c r="N66" s="3">
        <f t="shared" si="81"/>
        <v>525</v>
      </c>
      <c r="O66" s="3">
        <f t="shared" si="81"/>
        <v>517</v>
      </c>
      <c r="P66" s="13">
        <f t="shared" si="81"/>
        <v>509</v>
      </c>
      <c r="Q66" s="13">
        <f t="shared" si="81"/>
        <v>501</v>
      </c>
      <c r="R66" s="3">
        <f t="shared" si="81"/>
        <v>493</v>
      </c>
      <c r="S66" s="3">
        <f t="shared" si="81"/>
        <v>485</v>
      </c>
      <c r="T66" s="3">
        <f t="shared" si="81"/>
        <v>477</v>
      </c>
      <c r="U66" s="3">
        <f t="shared" si="81"/>
        <v>469</v>
      </c>
      <c r="V66" s="12">
        <f t="shared" si="81"/>
        <v>461</v>
      </c>
      <c r="AH66" s="4"/>
      <c r="AI66" s="4"/>
    </row>
    <row r="67">
      <c r="A67" s="2">
        <v>24.0</v>
      </c>
      <c r="B67" s="3">
        <f t="shared" ref="B67:V67" si="82">(27-B$1)*$A67+B$1*(38-$A67)</f>
        <v>648</v>
      </c>
      <c r="C67" s="3">
        <f t="shared" si="82"/>
        <v>638</v>
      </c>
      <c r="D67" s="3">
        <f t="shared" si="82"/>
        <v>628</v>
      </c>
      <c r="E67" s="3">
        <f t="shared" si="82"/>
        <v>618</v>
      </c>
      <c r="F67" s="3">
        <f t="shared" si="82"/>
        <v>608</v>
      </c>
      <c r="G67" s="3">
        <f t="shared" si="82"/>
        <v>598</v>
      </c>
      <c r="H67" s="3">
        <f t="shared" si="82"/>
        <v>588</v>
      </c>
      <c r="I67" s="3">
        <f t="shared" si="82"/>
        <v>578</v>
      </c>
      <c r="J67" s="3">
        <f t="shared" si="82"/>
        <v>568</v>
      </c>
      <c r="K67" s="3">
        <f t="shared" si="82"/>
        <v>558</v>
      </c>
      <c r="L67" s="3">
        <f t="shared" si="82"/>
        <v>548</v>
      </c>
      <c r="M67" s="3">
        <f t="shared" si="82"/>
        <v>538</v>
      </c>
      <c r="N67" s="3">
        <f t="shared" si="82"/>
        <v>528</v>
      </c>
      <c r="O67" s="3">
        <f t="shared" si="82"/>
        <v>518</v>
      </c>
      <c r="P67" s="13">
        <f t="shared" si="82"/>
        <v>508</v>
      </c>
      <c r="Q67" s="13">
        <f t="shared" si="82"/>
        <v>498</v>
      </c>
      <c r="R67" s="3">
        <f t="shared" si="82"/>
        <v>488</v>
      </c>
      <c r="S67" s="3">
        <f t="shared" si="82"/>
        <v>478</v>
      </c>
      <c r="T67" s="3">
        <f t="shared" si="82"/>
        <v>468</v>
      </c>
      <c r="U67" s="12">
        <f t="shared" si="82"/>
        <v>458</v>
      </c>
      <c r="V67" s="3">
        <f t="shared" si="82"/>
        <v>448</v>
      </c>
      <c r="AH67" s="4"/>
      <c r="AI67" s="4"/>
    </row>
    <row r="68">
      <c r="A68" s="2">
        <v>25.0</v>
      </c>
      <c r="B68" s="3">
        <f t="shared" ref="B68:V68" si="83">(27-B$1)*$A68+B$1*(38-$A68)</f>
        <v>675</v>
      </c>
      <c r="C68" s="3">
        <f t="shared" si="83"/>
        <v>663</v>
      </c>
      <c r="D68" s="3">
        <f t="shared" si="83"/>
        <v>651</v>
      </c>
      <c r="E68" s="3">
        <f t="shared" si="83"/>
        <v>639</v>
      </c>
      <c r="F68" s="3">
        <f t="shared" si="83"/>
        <v>627</v>
      </c>
      <c r="G68" s="3">
        <f t="shared" si="83"/>
        <v>615</v>
      </c>
      <c r="H68" s="3">
        <f t="shared" si="83"/>
        <v>603</v>
      </c>
      <c r="I68" s="3">
        <f t="shared" si="83"/>
        <v>591</v>
      </c>
      <c r="J68" s="3">
        <f t="shared" si="83"/>
        <v>579</v>
      </c>
      <c r="K68" s="3">
        <f t="shared" si="83"/>
        <v>567</v>
      </c>
      <c r="L68" s="3">
        <f t="shared" si="83"/>
        <v>555</v>
      </c>
      <c r="M68" s="3">
        <f t="shared" si="83"/>
        <v>543</v>
      </c>
      <c r="N68" s="3">
        <f t="shared" si="83"/>
        <v>531</v>
      </c>
      <c r="O68" s="3">
        <f t="shared" si="83"/>
        <v>519</v>
      </c>
      <c r="P68" s="13">
        <f t="shared" si="83"/>
        <v>507</v>
      </c>
      <c r="Q68" s="3">
        <f t="shared" si="83"/>
        <v>495</v>
      </c>
      <c r="R68" s="3">
        <f t="shared" si="83"/>
        <v>483</v>
      </c>
      <c r="S68" s="3">
        <f t="shared" si="83"/>
        <v>471</v>
      </c>
      <c r="T68" s="12">
        <f t="shared" si="83"/>
        <v>459</v>
      </c>
      <c r="U68" s="3">
        <f t="shared" si="83"/>
        <v>447</v>
      </c>
      <c r="V68" s="3">
        <f t="shared" si="83"/>
        <v>435</v>
      </c>
      <c r="AH68" s="4"/>
      <c r="AI68" s="4"/>
    </row>
    <row r="69">
      <c r="A69" s="2">
        <v>26.0</v>
      </c>
      <c r="B69" s="3">
        <f t="shared" ref="B69:V69" si="84">(27-B$1)*$A69+B$1*(38-$A69)</f>
        <v>702</v>
      </c>
      <c r="C69" s="3">
        <f t="shared" si="84"/>
        <v>688</v>
      </c>
      <c r="D69" s="3">
        <f t="shared" si="84"/>
        <v>674</v>
      </c>
      <c r="E69" s="3">
        <f t="shared" si="84"/>
        <v>660</v>
      </c>
      <c r="F69" s="3">
        <f t="shared" si="84"/>
        <v>646</v>
      </c>
      <c r="G69" s="3">
        <f t="shared" si="84"/>
        <v>632</v>
      </c>
      <c r="H69" s="3">
        <f t="shared" si="84"/>
        <v>618</v>
      </c>
      <c r="I69" s="3">
        <f t="shared" si="84"/>
        <v>604</v>
      </c>
      <c r="J69" s="3">
        <f t="shared" si="84"/>
        <v>590</v>
      </c>
      <c r="K69" s="3">
        <f t="shared" si="84"/>
        <v>576</v>
      </c>
      <c r="L69" s="3">
        <f t="shared" si="84"/>
        <v>562</v>
      </c>
      <c r="M69" s="3">
        <f t="shared" si="84"/>
        <v>548</v>
      </c>
      <c r="N69" s="3">
        <f t="shared" si="84"/>
        <v>534</v>
      </c>
      <c r="O69" s="3">
        <f t="shared" si="84"/>
        <v>520</v>
      </c>
      <c r="P69" s="3">
        <f t="shared" si="84"/>
        <v>506</v>
      </c>
      <c r="Q69" s="3">
        <f t="shared" si="84"/>
        <v>492</v>
      </c>
      <c r="R69" s="3">
        <f t="shared" si="84"/>
        <v>478</v>
      </c>
      <c r="S69" s="3">
        <f t="shared" si="84"/>
        <v>464</v>
      </c>
      <c r="T69" s="3">
        <f t="shared" si="84"/>
        <v>450</v>
      </c>
      <c r="U69" s="3">
        <f t="shared" si="84"/>
        <v>436</v>
      </c>
      <c r="V69" s="3">
        <f t="shared" si="84"/>
        <v>422</v>
      </c>
      <c r="AH69" s="4"/>
      <c r="AI69" s="4"/>
    </row>
    <row r="70">
      <c r="A70" s="2">
        <v>27.0</v>
      </c>
      <c r="B70" s="3">
        <f t="shared" ref="B70:V70" si="85">(27-B$1)*$A70+B$1*(38-$A70)</f>
        <v>729</v>
      </c>
      <c r="C70" s="3">
        <f t="shared" si="85"/>
        <v>713</v>
      </c>
      <c r="D70" s="3">
        <f t="shared" si="85"/>
        <v>697</v>
      </c>
      <c r="E70" s="3">
        <f t="shared" si="85"/>
        <v>681</v>
      </c>
      <c r="F70" s="3">
        <f t="shared" si="85"/>
        <v>665</v>
      </c>
      <c r="G70" s="3">
        <f t="shared" si="85"/>
        <v>649</v>
      </c>
      <c r="H70" s="3">
        <f t="shared" si="85"/>
        <v>633</v>
      </c>
      <c r="I70" s="3">
        <f t="shared" si="85"/>
        <v>617</v>
      </c>
      <c r="J70" s="3">
        <f t="shared" si="85"/>
        <v>601</v>
      </c>
      <c r="K70" s="3">
        <f t="shared" si="85"/>
        <v>585</v>
      </c>
      <c r="L70" s="3">
        <f t="shared" si="85"/>
        <v>569</v>
      </c>
      <c r="M70" s="3">
        <f t="shared" si="85"/>
        <v>553</v>
      </c>
      <c r="N70" s="3">
        <f t="shared" si="85"/>
        <v>537</v>
      </c>
      <c r="O70" s="3">
        <f t="shared" si="85"/>
        <v>521</v>
      </c>
      <c r="P70" s="3">
        <f t="shared" si="85"/>
        <v>505</v>
      </c>
      <c r="Q70" s="3">
        <f t="shared" si="85"/>
        <v>489</v>
      </c>
      <c r="R70" s="3">
        <f t="shared" si="85"/>
        <v>473</v>
      </c>
      <c r="S70" s="12">
        <f t="shared" si="85"/>
        <v>457</v>
      </c>
      <c r="T70" s="3">
        <f t="shared" si="85"/>
        <v>441</v>
      </c>
      <c r="U70" s="3">
        <f t="shared" si="85"/>
        <v>425</v>
      </c>
      <c r="V70" s="3">
        <f t="shared" si="85"/>
        <v>409</v>
      </c>
      <c r="AH70" s="4"/>
      <c r="AI70" s="4"/>
    </row>
    <row r="71">
      <c r="A71" s="2">
        <v>28.0</v>
      </c>
      <c r="B71" s="3">
        <f t="shared" ref="B71:V71" si="86">(27-B$1)*$A71+B$1*(38-$A71)</f>
        <v>756</v>
      </c>
      <c r="C71" s="3">
        <f t="shared" si="86"/>
        <v>738</v>
      </c>
      <c r="D71" s="3">
        <f t="shared" si="86"/>
        <v>720</v>
      </c>
      <c r="E71" s="3">
        <f t="shared" si="86"/>
        <v>702</v>
      </c>
      <c r="F71" s="3">
        <f t="shared" si="86"/>
        <v>684</v>
      </c>
      <c r="G71" s="3">
        <f t="shared" si="86"/>
        <v>666</v>
      </c>
      <c r="H71" s="3">
        <f t="shared" si="86"/>
        <v>648</v>
      </c>
      <c r="I71" s="3">
        <f t="shared" si="86"/>
        <v>630</v>
      </c>
      <c r="J71" s="3">
        <f t="shared" si="86"/>
        <v>612</v>
      </c>
      <c r="K71" s="3">
        <f t="shared" si="86"/>
        <v>594</v>
      </c>
      <c r="L71" s="3">
        <f t="shared" si="86"/>
        <v>576</v>
      </c>
      <c r="M71" s="3">
        <f t="shared" si="86"/>
        <v>558</v>
      </c>
      <c r="N71" s="3">
        <f t="shared" si="86"/>
        <v>540</v>
      </c>
      <c r="O71" s="3">
        <f t="shared" si="86"/>
        <v>522</v>
      </c>
      <c r="P71" s="3">
        <f t="shared" si="86"/>
        <v>504</v>
      </c>
      <c r="Q71" s="3">
        <f t="shared" si="86"/>
        <v>486</v>
      </c>
      <c r="R71" s="3">
        <f t="shared" si="86"/>
        <v>468</v>
      </c>
      <c r="S71" s="3">
        <f t="shared" si="86"/>
        <v>450</v>
      </c>
      <c r="T71" s="3">
        <f t="shared" si="86"/>
        <v>432</v>
      </c>
      <c r="U71" s="3">
        <f t="shared" si="86"/>
        <v>414</v>
      </c>
      <c r="V71" s="3">
        <f t="shared" si="86"/>
        <v>396</v>
      </c>
      <c r="AH71" s="4"/>
      <c r="AI71" s="4"/>
    </row>
    <row r="72">
      <c r="A72" s="2">
        <v>29.0</v>
      </c>
      <c r="B72" s="3">
        <f t="shared" ref="B72:V72" si="87">(27-B$1)*$A72+B$1*(38-$A72)</f>
        <v>783</v>
      </c>
      <c r="C72" s="3">
        <f t="shared" si="87"/>
        <v>763</v>
      </c>
      <c r="D72" s="3">
        <f t="shared" si="87"/>
        <v>743</v>
      </c>
      <c r="E72" s="3">
        <f t="shared" si="87"/>
        <v>723</v>
      </c>
      <c r="F72" s="3">
        <f t="shared" si="87"/>
        <v>703</v>
      </c>
      <c r="G72" s="3">
        <f t="shared" si="87"/>
        <v>683</v>
      </c>
      <c r="H72" s="3">
        <f t="shared" si="87"/>
        <v>663</v>
      </c>
      <c r="I72" s="3">
        <f t="shared" si="87"/>
        <v>643</v>
      </c>
      <c r="J72" s="3">
        <f t="shared" si="87"/>
        <v>623</v>
      </c>
      <c r="K72" s="3">
        <f t="shared" si="87"/>
        <v>603</v>
      </c>
      <c r="L72" s="3">
        <f t="shared" si="87"/>
        <v>583</v>
      </c>
      <c r="M72" s="3">
        <f t="shared" si="87"/>
        <v>563</v>
      </c>
      <c r="N72" s="3">
        <f t="shared" si="87"/>
        <v>543</v>
      </c>
      <c r="O72" s="3">
        <f t="shared" si="87"/>
        <v>523</v>
      </c>
      <c r="P72" s="3">
        <f t="shared" si="87"/>
        <v>503</v>
      </c>
      <c r="Q72" s="3">
        <f t="shared" si="87"/>
        <v>483</v>
      </c>
      <c r="R72" s="7">
        <f t="shared" si="87"/>
        <v>463</v>
      </c>
      <c r="S72" s="3">
        <f t="shared" si="87"/>
        <v>443</v>
      </c>
      <c r="T72" s="3">
        <f t="shared" si="87"/>
        <v>423</v>
      </c>
      <c r="U72" s="3">
        <f t="shared" si="87"/>
        <v>403</v>
      </c>
      <c r="V72" s="3">
        <f t="shared" si="87"/>
        <v>383</v>
      </c>
      <c r="AH72" s="4"/>
      <c r="AI72" s="4"/>
    </row>
    <row r="73">
      <c r="A73" s="2">
        <v>30.0</v>
      </c>
      <c r="B73" s="3">
        <f t="shared" ref="B73:V73" si="88">(27-B$1)*$A73+B$1*(38-$A73)</f>
        <v>810</v>
      </c>
      <c r="C73" s="3">
        <f t="shared" si="88"/>
        <v>788</v>
      </c>
      <c r="D73" s="3">
        <f t="shared" si="88"/>
        <v>766</v>
      </c>
      <c r="E73" s="3">
        <f t="shared" si="88"/>
        <v>744</v>
      </c>
      <c r="F73" s="3">
        <f t="shared" si="88"/>
        <v>722</v>
      </c>
      <c r="G73" s="3">
        <f t="shared" si="88"/>
        <v>700</v>
      </c>
      <c r="H73" s="3">
        <f t="shared" si="88"/>
        <v>678</v>
      </c>
      <c r="I73" s="3">
        <f t="shared" si="88"/>
        <v>656</v>
      </c>
      <c r="J73" s="3">
        <f t="shared" si="88"/>
        <v>634</v>
      </c>
      <c r="K73" s="3">
        <f t="shared" si="88"/>
        <v>612</v>
      </c>
      <c r="L73" s="3">
        <f t="shared" si="88"/>
        <v>590</v>
      </c>
      <c r="M73" s="3">
        <f t="shared" si="88"/>
        <v>568</v>
      </c>
      <c r="N73" s="3">
        <f t="shared" si="88"/>
        <v>546</v>
      </c>
      <c r="O73" s="3">
        <f t="shared" si="88"/>
        <v>524</v>
      </c>
      <c r="P73" s="3">
        <f t="shared" si="88"/>
        <v>502</v>
      </c>
      <c r="Q73" s="3">
        <f t="shared" si="88"/>
        <v>480</v>
      </c>
      <c r="R73" s="3">
        <f t="shared" si="88"/>
        <v>458</v>
      </c>
      <c r="S73" s="3">
        <f t="shared" si="88"/>
        <v>436</v>
      </c>
      <c r="T73" s="3">
        <f t="shared" si="88"/>
        <v>414</v>
      </c>
      <c r="U73" s="3">
        <f t="shared" si="88"/>
        <v>392</v>
      </c>
      <c r="V73" s="3">
        <f t="shared" si="88"/>
        <v>370</v>
      </c>
      <c r="AH73" s="4"/>
      <c r="AI73" s="4"/>
    </row>
    <row r="74">
      <c r="A74" s="2">
        <v>31.0</v>
      </c>
      <c r="B74" s="3">
        <f t="shared" ref="B74:V74" si="89">(27-B$1)*$A74+B$1*(38-$A74)</f>
        <v>837</v>
      </c>
      <c r="C74" s="3">
        <f t="shared" si="89"/>
        <v>813</v>
      </c>
      <c r="D74" s="3">
        <f t="shared" si="89"/>
        <v>789</v>
      </c>
      <c r="E74" s="3">
        <f t="shared" si="89"/>
        <v>765</v>
      </c>
      <c r="F74" s="3">
        <f t="shared" si="89"/>
        <v>741</v>
      </c>
      <c r="G74" s="3">
        <f t="shared" si="89"/>
        <v>717</v>
      </c>
      <c r="H74" s="3">
        <f t="shared" si="89"/>
        <v>693</v>
      </c>
      <c r="I74" s="3">
        <f t="shared" si="89"/>
        <v>669</v>
      </c>
      <c r="J74" s="3">
        <f t="shared" si="89"/>
        <v>645</v>
      </c>
      <c r="K74" s="3">
        <f t="shared" si="89"/>
        <v>621</v>
      </c>
      <c r="L74" s="3">
        <f t="shared" si="89"/>
        <v>597</v>
      </c>
      <c r="M74" s="3">
        <f t="shared" si="89"/>
        <v>573</v>
      </c>
      <c r="N74" s="3">
        <f t="shared" si="89"/>
        <v>549</v>
      </c>
      <c r="O74" s="3">
        <f t="shared" si="89"/>
        <v>525</v>
      </c>
      <c r="P74" s="3">
        <f t="shared" si="89"/>
        <v>501</v>
      </c>
      <c r="Q74" s="7">
        <f t="shared" si="89"/>
        <v>477</v>
      </c>
      <c r="R74" s="3">
        <f t="shared" si="89"/>
        <v>453</v>
      </c>
      <c r="S74" s="3">
        <f t="shared" si="89"/>
        <v>429</v>
      </c>
      <c r="T74" s="3">
        <f t="shared" si="89"/>
        <v>405</v>
      </c>
      <c r="U74" s="3">
        <f t="shared" si="89"/>
        <v>381</v>
      </c>
      <c r="V74" s="3">
        <f t="shared" si="89"/>
        <v>357</v>
      </c>
      <c r="AH74" s="4"/>
      <c r="AI74" s="4"/>
    </row>
    <row r="75">
      <c r="A75" s="2">
        <v>32.0</v>
      </c>
      <c r="B75" s="3">
        <f t="shared" ref="B75:V75" si="90">(27-B$1)*$A75+B$1*(38-$A75)</f>
        <v>864</v>
      </c>
      <c r="C75" s="3">
        <f t="shared" si="90"/>
        <v>838</v>
      </c>
      <c r="D75" s="3">
        <f t="shared" si="90"/>
        <v>812</v>
      </c>
      <c r="E75" s="3">
        <f t="shared" si="90"/>
        <v>786</v>
      </c>
      <c r="F75" s="3">
        <f t="shared" si="90"/>
        <v>760</v>
      </c>
      <c r="G75" s="3">
        <f t="shared" si="90"/>
        <v>734</v>
      </c>
      <c r="H75" s="3">
        <f t="shared" si="90"/>
        <v>708</v>
      </c>
      <c r="I75" s="3">
        <f t="shared" si="90"/>
        <v>682</v>
      </c>
      <c r="J75" s="3">
        <f t="shared" si="90"/>
        <v>656</v>
      </c>
      <c r="K75" s="3">
        <f t="shared" si="90"/>
        <v>630</v>
      </c>
      <c r="L75" s="3">
        <f t="shared" si="90"/>
        <v>604</v>
      </c>
      <c r="M75" s="3">
        <f t="shared" si="90"/>
        <v>578</v>
      </c>
      <c r="N75" s="3">
        <f t="shared" si="90"/>
        <v>552</v>
      </c>
      <c r="O75" s="3">
        <f t="shared" si="90"/>
        <v>526</v>
      </c>
      <c r="P75" s="3">
        <f t="shared" si="90"/>
        <v>500</v>
      </c>
      <c r="Q75" s="3">
        <f t="shared" si="90"/>
        <v>474</v>
      </c>
      <c r="R75" s="3">
        <f t="shared" si="90"/>
        <v>448</v>
      </c>
      <c r="S75" s="3">
        <f t="shared" si="90"/>
        <v>422</v>
      </c>
      <c r="T75" s="3">
        <f t="shared" si="90"/>
        <v>396</v>
      </c>
      <c r="U75" s="3">
        <f t="shared" si="90"/>
        <v>370</v>
      </c>
      <c r="V75" s="3">
        <f t="shared" si="90"/>
        <v>344</v>
      </c>
      <c r="AH75" s="4"/>
      <c r="AI75" s="4"/>
    </row>
    <row r="76">
      <c r="A76" s="2">
        <v>33.0</v>
      </c>
      <c r="B76" s="3">
        <f t="shared" ref="B76:V76" si="91">(27-B$1)*$A76+B$1*(38-$A76)</f>
        <v>891</v>
      </c>
      <c r="C76" s="3">
        <f t="shared" si="91"/>
        <v>863</v>
      </c>
      <c r="D76" s="3">
        <f t="shared" si="91"/>
        <v>835</v>
      </c>
      <c r="E76" s="3">
        <f t="shared" si="91"/>
        <v>807</v>
      </c>
      <c r="F76" s="3">
        <f t="shared" si="91"/>
        <v>779</v>
      </c>
      <c r="G76" s="3">
        <f t="shared" si="91"/>
        <v>751</v>
      </c>
      <c r="H76" s="3">
        <f t="shared" si="91"/>
        <v>723</v>
      </c>
      <c r="I76" s="3">
        <f t="shared" si="91"/>
        <v>695</v>
      </c>
      <c r="J76" s="3">
        <f t="shared" si="91"/>
        <v>667</v>
      </c>
      <c r="K76" s="3">
        <f t="shared" si="91"/>
        <v>639</v>
      </c>
      <c r="L76" s="3">
        <f t="shared" si="91"/>
        <v>611</v>
      </c>
      <c r="M76" s="3">
        <f t="shared" si="91"/>
        <v>583</v>
      </c>
      <c r="N76" s="3">
        <f t="shared" si="91"/>
        <v>555</v>
      </c>
      <c r="O76" s="3">
        <f t="shared" si="91"/>
        <v>527</v>
      </c>
      <c r="P76" s="3">
        <f t="shared" si="91"/>
        <v>499</v>
      </c>
      <c r="Q76" s="3">
        <f t="shared" si="91"/>
        <v>471</v>
      </c>
      <c r="R76" s="3">
        <f t="shared" si="91"/>
        <v>443</v>
      </c>
      <c r="S76" s="3">
        <f t="shared" si="91"/>
        <v>415</v>
      </c>
      <c r="T76" s="3">
        <f t="shared" si="91"/>
        <v>387</v>
      </c>
      <c r="U76" s="3">
        <f t="shared" si="91"/>
        <v>359</v>
      </c>
      <c r="V76" s="3">
        <f t="shared" si="91"/>
        <v>331</v>
      </c>
      <c r="AH76" s="4"/>
      <c r="AI76" s="4"/>
    </row>
    <row r="77">
      <c r="A77" s="2">
        <v>34.0</v>
      </c>
      <c r="B77" s="3">
        <f t="shared" ref="B77:V77" si="92">(27-B$1)*$A77+B$1*(38-$A77)</f>
        <v>918</v>
      </c>
      <c r="C77" s="3">
        <f t="shared" si="92"/>
        <v>888</v>
      </c>
      <c r="D77" s="3">
        <f t="shared" si="92"/>
        <v>858</v>
      </c>
      <c r="E77" s="3">
        <f t="shared" si="92"/>
        <v>828</v>
      </c>
      <c r="F77" s="3">
        <f t="shared" si="92"/>
        <v>798</v>
      </c>
      <c r="G77" s="3">
        <f t="shared" si="92"/>
        <v>768</v>
      </c>
      <c r="H77" s="3">
        <f t="shared" si="92"/>
        <v>738</v>
      </c>
      <c r="I77" s="3">
        <f t="shared" si="92"/>
        <v>708</v>
      </c>
      <c r="J77" s="3">
        <f t="shared" si="92"/>
        <v>678</v>
      </c>
      <c r="K77" s="3">
        <f t="shared" si="92"/>
        <v>648</v>
      </c>
      <c r="L77" s="3">
        <f t="shared" si="92"/>
        <v>618</v>
      </c>
      <c r="M77" s="3">
        <f t="shared" si="92"/>
        <v>588</v>
      </c>
      <c r="N77" s="3">
        <f t="shared" si="92"/>
        <v>558</v>
      </c>
      <c r="O77" s="3">
        <f t="shared" si="92"/>
        <v>528</v>
      </c>
      <c r="P77" s="3">
        <f t="shared" si="92"/>
        <v>498</v>
      </c>
      <c r="Q77" s="3">
        <f t="shared" si="92"/>
        <v>468</v>
      </c>
      <c r="R77" s="3">
        <f t="shared" si="92"/>
        <v>438</v>
      </c>
      <c r="S77" s="3">
        <f t="shared" si="92"/>
        <v>408</v>
      </c>
      <c r="T77" s="3">
        <f t="shared" si="92"/>
        <v>378</v>
      </c>
      <c r="U77" s="3">
        <f t="shared" si="92"/>
        <v>348</v>
      </c>
      <c r="V77" s="3">
        <f t="shared" si="92"/>
        <v>318</v>
      </c>
      <c r="AH77" s="4"/>
      <c r="AI77" s="4"/>
    </row>
    <row r="78">
      <c r="A78" s="2">
        <v>35.0</v>
      </c>
      <c r="B78" s="3">
        <f t="shared" ref="B78:V78" si="93">(27-B$1)*$A78+B$1*(38-$A78)</f>
        <v>945</v>
      </c>
      <c r="C78" s="3">
        <f t="shared" si="93"/>
        <v>913</v>
      </c>
      <c r="D78" s="3">
        <f t="shared" si="93"/>
        <v>881</v>
      </c>
      <c r="E78" s="3">
        <f t="shared" si="93"/>
        <v>849</v>
      </c>
      <c r="F78" s="3">
        <f t="shared" si="93"/>
        <v>817</v>
      </c>
      <c r="G78" s="3">
        <f t="shared" si="93"/>
        <v>785</v>
      </c>
      <c r="H78" s="3">
        <f t="shared" si="93"/>
        <v>753</v>
      </c>
      <c r="I78" s="3">
        <f t="shared" si="93"/>
        <v>721</v>
      </c>
      <c r="J78" s="3">
        <f t="shared" si="93"/>
        <v>689</v>
      </c>
      <c r="K78" s="3">
        <f t="shared" si="93"/>
        <v>657</v>
      </c>
      <c r="L78" s="3">
        <f t="shared" si="93"/>
        <v>625</v>
      </c>
      <c r="M78" s="3">
        <f t="shared" si="93"/>
        <v>593</v>
      </c>
      <c r="N78" s="3">
        <f t="shared" si="93"/>
        <v>561</v>
      </c>
      <c r="O78" s="3">
        <f t="shared" si="93"/>
        <v>529</v>
      </c>
      <c r="P78" s="7">
        <f t="shared" si="93"/>
        <v>497</v>
      </c>
      <c r="Q78" s="3">
        <f t="shared" si="93"/>
        <v>465</v>
      </c>
      <c r="R78" s="3">
        <f t="shared" si="93"/>
        <v>433</v>
      </c>
      <c r="S78" s="3">
        <f t="shared" si="93"/>
        <v>401</v>
      </c>
      <c r="T78" s="3">
        <f t="shared" si="93"/>
        <v>369</v>
      </c>
      <c r="U78" s="3">
        <f t="shared" si="93"/>
        <v>337</v>
      </c>
      <c r="V78" s="3">
        <f t="shared" si="93"/>
        <v>305</v>
      </c>
      <c r="AH78" s="4"/>
      <c r="AI78" s="4"/>
    </row>
    <row r="79">
      <c r="A79" s="2">
        <v>36.0</v>
      </c>
      <c r="B79" s="3">
        <f t="shared" ref="B79:V79" si="94">(27-B$1)*$A79+B$1*(38-$A79)</f>
        <v>972</v>
      </c>
      <c r="C79" s="3">
        <f t="shared" si="94"/>
        <v>938</v>
      </c>
      <c r="D79" s="3">
        <f t="shared" si="94"/>
        <v>904</v>
      </c>
      <c r="E79" s="3">
        <f t="shared" si="94"/>
        <v>870</v>
      </c>
      <c r="F79" s="3">
        <f t="shared" si="94"/>
        <v>836</v>
      </c>
      <c r="G79" s="3">
        <f t="shared" si="94"/>
        <v>802</v>
      </c>
      <c r="H79" s="3">
        <f t="shared" si="94"/>
        <v>768</v>
      </c>
      <c r="I79" s="3">
        <f t="shared" si="94"/>
        <v>734</v>
      </c>
      <c r="J79" s="3">
        <f t="shared" si="94"/>
        <v>700</v>
      </c>
      <c r="K79" s="3">
        <f t="shared" si="94"/>
        <v>666</v>
      </c>
      <c r="L79" s="3">
        <f t="shared" si="94"/>
        <v>632</v>
      </c>
      <c r="M79" s="3">
        <f t="shared" si="94"/>
        <v>598</v>
      </c>
      <c r="N79" s="3">
        <f t="shared" si="94"/>
        <v>564</v>
      </c>
      <c r="O79" s="3">
        <f t="shared" si="94"/>
        <v>530</v>
      </c>
      <c r="P79" s="3">
        <f t="shared" si="94"/>
        <v>496</v>
      </c>
      <c r="Q79" s="3">
        <f t="shared" si="94"/>
        <v>462</v>
      </c>
      <c r="R79" s="3">
        <f t="shared" si="94"/>
        <v>428</v>
      </c>
      <c r="S79" s="3">
        <f t="shared" si="94"/>
        <v>394</v>
      </c>
      <c r="T79" s="3">
        <f t="shared" si="94"/>
        <v>360</v>
      </c>
      <c r="U79" s="3">
        <f t="shared" si="94"/>
        <v>326</v>
      </c>
      <c r="V79" s="3">
        <f t="shared" si="94"/>
        <v>292</v>
      </c>
      <c r="AH79" s="4"/>
      <c r="AI79" s="4"/>
    </row>
    <row r="80">
      <c r="A80" s="2">
        <v>37.0</v>
      </c>
      <c r="B80" s="3">
        <f t="shared" ref="B80:V80" si="95">(27-B$1)*$A80+B$1*(38-$A80)</f>
        <v>999</v>
      </c>
      <c r="C80" s="3">
        <f t="shared" si="95"/>
        <v>963</v>
      </c>
      <c r="D80" s="3">
        <f t="shared" si="95"/>
        <v>927</v>
      </c>
      <c r="E80" s="3">
        <f t="shared" si="95"/>
        <v>891</v>
      </c>
      <c r="F80" s="3">
        <f t="shared" si="95"/>
        <v>855</v>
      </c>
      <c r="G80" s="3">
        <f t="shared" si="95"/>
        <v>819</v>
      </c>
      <c r="H80" s="3">
        <f t="shared" si="95"/>
        <v>783</v>
      </c>
      <c r="I80" s="3">
        <f t="shared" si="95"/>
        <v>747</v>
      </c>
      <c r="J80" s="3">
        <f t="shared" si="95"/>
        <v>711</v>
      </c>
      <c r="K80" s="3">
        <f t="shared" si="95"/>
        <v>675</v>
      </c>
      <c r="L80" s="3">
        <f t="shared" si="95"/>
        <v>639</v>
      </c>
      <c r="M80" s="3">
        <f t="shared" si="95"/>
        <v>603</v>
      </c>
      <c r="N80" s="3">
        <f t="shared" si="95"/>
        <v>567</v>
      </c>
      <c r="O80" s="3">
        <f t="shared" si="95"/>
        <v>531</v>
      </c>
      <c r="P80" s="3">
        <f t="shared" si="95"/>
        <v>495</v>
      </c>
      <c r="Q80" s="3">
        <f t="shared" si="95"/>
        <v>459</v>
      </c>
      <c r="R80" s="3">
        <f t="shared" si="95"/>
        <v>423</v>
      </c>
      <c r="S80" s="3">
        <f t="shared" si="95"/>
        <v>387</v>
      </c>
      <c r="T80" s="3">
        <f t="shared" si="95"/>
        <v>351</v>
      </c>
      <c r="U80" s="3">
        <f t="shared" si="95"/>
        <v>315</v>
      </c>
      <c r="V80" s="3">
        <f t="shared" si="95"/>
        <v>279</v>
      </c>
      <c r="AH80" s="4"/>
      <c r="AI80" s="4"/>
    </row>
    <row r="81">
      <c r="A81" s="2">
        <v>38.0</v>
      </c>
      <c r="B81" s="3">
        <f t="shared" ref="B81:V81" si="96">(27-B$1)*$A81+B$1*(38-$A81)</f>
        <v>1026</v>
      </c>
      <c r="C81" s="3">
        <f t="shared" si="96"/>
        <v>988</v>
      </c>
      <c r="D81" s="3">
        <f t="shared" si="96"/>
        <v>950</v>
      </c>
      <c r="E81" s="3">
        <f t="shared" si="96"/>
        <v>912</v>
      </c>
      <c r="F81" s="3">
        <f t="shared" si="96"/>
        <v>874</v>
      </c>
      <c r="G81" s="3">
        <f t="shared" si="96"/>
        <v>836</v>
      </c>
      <c r="H81" s="3">
        <f t="shared" si="96"/>
        <v>798</v>
      </c>
      <c r="I81" s="3">
        <f t="shared" si="96"/>
        <v>760</v>
      </c>
      <c r="J81" s="3">
        <f t="shared" si="96"/>
        <v>722</v>
      </c>
      <c r="K81" s="3">
        <f t="shared" si="96"/>
        <v>684</v>
      </c>
      <c r="L81" s="3">
        <f t="shared" si="96"/>
        <v>646</v>
      </c>
      <c r="M81" s="3">
        <f t="shared" si="96"/>
        <v>608</v>
      </c>
      <c r="N81" s="3">
        <f t="shared" si="96"/>
        <v>570</v>
      </c>
      <c r="O81" s="3">
        <f t="shared" si="96"/>
        <v>532</v>
      </c>
      <c r="P81" s="3">
        <f t="shared" si="96"/>
        <v>494</v>
      </c>
      <c r="Q81" s="3">
        <f t="shared" si="96"/>
        <v>456</v>
      </c>
      <c r="R81" s="3">
        <f t="shared" si="96"/>
        <v>418</v>
      </c>
      <c r="S81" s="3">
        <f t="shared" si="96"/>
        <v>380</v>
      </c>
      <c r="T81" s="3">
        <f t="shared" si="96"/>
        <v>342</v>
      </c>
      <c r="U81" s="3">
        <f t="shared" si="96"/>
        <v>304</v>
      </c>
      <c r="V81" s="3">
        <f t="shared" si="96"/>
        <v>266</v>
      </c>
      <c r="AH81" s="4"/>
      <c r="AI81" s="4"/>
    </row>
    <row r="82">
      <c r="AH82" s="4"/>
      <c r="AI82" s="4"/>
    </row>
    <row r="83">
      <c r="AH83" s="4"/>
      <c r="AI83" s="4"/>
    </row>
    <row r="84">
      <c r="AH84" s="4"/>
      <c r="AI84" s="4"/>
    </row>
    <row r="85">
      <c r="AH85" s="4"/>
      <c r="AI85" s="4"/>
    </row>
    <row r="86">
      <c r="AH86" s="4"/>
      <c r="AI86" s="4"/>
    </row>
    <row r="87">
      <c r="AH87" s="4"/>
      <c r="AI87" s="4"/>
    </row>
    <row r="88">
      <c r="AH88" s="4"/>
      <c r="AI88" s="4"/>
    </row>
    <row r="89">
      <c r="AH89" s="4"/>
      <c r="AI89" s="4"/>
    </row>
    <row r="90">
      <c r="AH90" s="4"/>
      <c r="AI90" s="4"/>
    </row>
    <row r="91">
      <c r="AH91" s="4"/>
      <c r="AI91" s="4"/>
    </row>
    <row r="92">
      <c r="AH92" s="4"/>
      <c r="AI92" s="4"/>
    </row>
    <row r="93">
      <c r="AH93" s="4"/>
      <c r="AI93" s="4"/>
    </row>
    <row r="94">
      <c r="AH94" s="4"/>
      <c r="AI94" s="4"/>
    </row>
    <row r="95">
      <c r="AH95" s="4"/>
      <c r="AI95" s="4"/>
    </row>
    <row r="96">
      <c r="AH96" s="4"/>
      <c r="AI96" s="4"/>
    </row>
    <row r="97">
      <c r="AH97" s="4"/>
      <c r="AI97" s="4"/>
    </row>
    <row r="98">
      <c r="AH98" s="4"/>
      <c r="AI98" s="4"/>
    </row>
    <row r="99">
      <c r="AH99" s="4"/>
      <c r="AI99" s="4"/>
    </row>
    <row r="100">
      <c r="AH100" s="4"/>
      <c r="AI100" s="4"/>
    </row>
    <row r="101">
      <c r="AH101" s="4"/>
      <c r="AI101" s="4"/>
    </row>
    <row r="102">
      <c r="AH102" s="4"/>
      <c r="AI102" s="4"/>
    </row>
    <row r="103">
      <c r="AH103" s="4"/>
      <c r="AI103" s="4"/>
    </row>
    <row r="104">
      <c r="AH104" s="4"/>
      <c r="AI104" s="4"/>
    </row>
    <row r="105">
      <c r="AH105" s="4"/>
      <c r="AI105" s="4"/>
    </row>
    <row r="106">
      <c r="AH106" s="4"/>
      <c r="AI106" s="4"/>
    </row>
    <row r="107">
      <c r="AH107" s="4"/>
      <c r="AI107" s="4"/>
    </row>
    <row r="108">
      <c r="AH108" s="4"/>
      <c r="AI108" s="4"/>
    </row>
    <row r="109">
      <c r="AH109" s="4"/>
      <c r="AI109" s="4"/>
    </row>
    <row r="110">
      <c r="AH110" s="4"/>
      <c r="AI110" s="4"/>
    </row>
    <row r="111">
      <c r="AH111" s="4"/>
      <c r="AI111" s="4"/>
    </row>
    <row r="112">
      <c r="AH112" s="4"/>
      <c r="AI112" s="4"/>
    </row>
    <row r="113">
      <c r="AH113" s="4"/>
      <c r="AI113" s="4"/>
    </row>
    <row r="114">
      <c r="AH114" s="4"/>
      <c r="AI114" s="4"/>
    </row>
    <row r="115">
      <c r="AH115" s="4"/>
      <c r="AI115" s="4"/>
    </row>
    <row r="116">
      <c r="AH116" s="4"/>
      <c r="AI116" s="4"/>
    </row>
    <row r="117">
      <c r="AH117" s="4"/>
      <c r="AI117" s="4"/>
    </row>
    <row r="118">
      <c r="AH118" s="4"/>
      <c r="AI118" s="4"/>
    </row>
    <row r="119">
      <c r="AH119" s="4"/>
      <c r="AI119" s="4"/>
    </row>
    <row r="120">
      <c r="AH120" s="4"/>
      <c r="AI120" s="4"/>
    </row>
    <row r="121">
      <c r="AH121" s="4"/>
      <c r="AI121" s="4"/>
    </row>
    <row r="122">
      <c r="AH122" s="4"/>
      <c r="AI122" s="4"/>
    </row>
    <row r="123">
      <c r="AH123" s="4"/>
      <c r="AI123" s="4"/>
    </row>
    <row r="124">
      <c r="AH124" s="4"/>
      <c r="AI124" s="4"/>
    </row>
    <row r="125">
      <c r="AH125" s="4"/>
      <c r="AI125" s="4"/>
    </row>
    <row r="126">
      <c r="AH126" s="4"/>
      <c r="AI126" s="4"/>
    </row>
    <row r="127">
      <c r="AH127" s="4"/>
      <c r="AI127" s="4"/>
    </row>
    <row r="128">
      <c r="AH128" s="4"/>
      <c r="AI128" s="4"/>
    </row>
    <row r="129">
      <c r="AH129" s="4"/>
      <c r="AI129" s="4"/>
    </row>
    <row r="130">
      <c r="AH130" s="4"/>
      <c r="AI130" s="4"/>
    </row>
    <row r="131">
      <c r="AH131" s="4"/>
      <c r="AI131" s="4"/>
    </row>
    <row r="132">
      <c r="AH132" s="4"/>
      <c r="AI132" s="4"/>
    </row>
    <row r="133">
      <c r="AH133" s="4"/>
      <c r="AI133" s="4"/>
    </row>
    <row r="134">
      <c r="AH134" s="4"/>
      <c r="AI134" s="4"/>
    </row>
    <row r="135">
      <c r="AH135" s="4"/>
      <c r="AI135" s="4"/>
    </row>
    <row r="136">
      <c r="AH136" s="4"/>
      <c r="AI136" s="4"/>
    </row>
    <row r="137">
      <c r="AH137" s="4"/>
      <c r="AI137" s="4"/>
    </row>
    <row r="138">
      <c r="AH138" s="4"/>
      <c r="AI138" s="4"/>
    </row>
    <row r="139">
      <c r="AH139" s="4"/>
      <c r="AI139" s="4"/>
    </row>
    <row r="140">
      <c r="AH140" s="4"/>
      <c r="AI140" s="4"/>
    </row>
    <row r="141">
      <c r="AH141" s="4"/>
      <c r="AI141" s="4"/>
    </row>
    <row r="142">
      <c r="AH142" s="4"/>
      <c r="AI142" s="4"/>
    </row>
    <row r="143">
      <c r="AH143" s="4"/>
      <c r="AI143" s="4"/>
    </row>
    <row r="144">
      <c r="AH144" s="4"/>
      <c r="AI144" s="4"/>
    </row>
    <row r="145">
      <c r="AH145" s="4"/>
      <c r="AI145" s="4"/>
    </row>
    <row r="146">
      <c r="AH146" s="4"/>
      <c r="AI146" s="4"/>
    </row>
    <row r="147">
      <c r="AH147" s="4"/>
      <c r="AI147" s="4"/>
    </row>
    <row r="148">
      <c r="AH148" s="4"/>
      <c r="AI148" s="4"/>
    </row>
    <row r="149">
      <c r="AH149" s="4"/>
      <c r="AI149" s="4"/>
    </row>
    <row r="150">
      <c r="AH150" s="4"/>
      <c r="AI150" s="4"/>
    </row>
    <row r="151">
      <c r="AH151" s="4"/>
      <c r="AI151" s="4"/>
    </row>
    <row r="152">
      <c r="AH152" s="4"/>
      <c r="AI152" s="4"/>
    </row>
    <row r="153">
      <c r="AH153" s="4"/>
      <c r="AI153" s="4"/>
    </row>
    <row r="154">
      <c r="AH154" s="4"/>
      <c r="AI154" s="4"/>
    </row>
    <row r="155">
      <c r="AH155" s="4"/>
      <c r="AI155" s="4"/>
    </row>
    <row r="156">
      <c r="AH156" s="4"/>
      <c r="AI156" s="4"/>
    </row>
    <row r="157">
      <c r="AH157" s="4"/>
      <c r="AI157" s="4"/>
    </row>
    <row r="158">
      <c r="AH158" s="4"/>
      <c r="AI158" s="4"/>
    </row>
    <row r="159">
      <c r="AH159" s="4"/>
      <c r="AI159" s="4"/>
    </row>
    <row r="160">
      <c r="AH160" s="4"/>
      <c r="AI160" s="4"/>
    </row>
    <row r="161">
      <c r="AH161" s="4"/>
      <c r="AI161" s="4"/>
    </row>
    <row r="162">
      <c r="AH162" s="4"/>
      <c r="AI162" s="4"/>
    </row>
    <row r="163">
      <c r="AH163" s="4"/>
      <c r="AI163" s="4"/>
    </row>
    <row r="164">
      <c r="AH164" s="4"/>
      <c r="AI164" s="4"/>
    </row>
    <row r="165">
      <c r="AH165" s="4"/>
      <c r="AI165" s="4"/>
    </row>
    <row r="166">
      <c r="AH166" s="4"/>
      <c r="AI166" s="4"/>
    </row>
    <row r="167">
      <c r="AH167" s="4"/>
      <c r="AI167" s="4"/>
    </row>
    <row r="168">
      <c r="AH168" s="4"/>
      <c r="AI168" s="4"/>
    </row>
    <row r="169">
      <c r="AH169" s="4"/>
      <c r="AI169" s="4"/>
    </row>
    <row r="170">
      <c r="AH170" s="4"/>
      <c r="AI170" s="4"/>
    </row>
    <row r="171">
      <c r="AH171" s="4"/>
      <c r="AI171" s="4"/>
    </row>
    <row r="172">
      <c r="AH172" s="4"/>
      <c r="AI172" s="4"/>
    </row>
    <row r="173">
      <c r="AH173" s="4"/>
      <c r="AI173" s="4"/>
    </row>
    <row r="174">
      <c r="AH174" s="4"/>
      <c r="AI174" s="4"/>
    </row>
    <row r="175">
      <c r="AH175" s="4"/>
      <c r="AI175" s="4"/>
    </row>
    <row r="176">
      <c r="AH176" s="4"/>
      <c r="AI176" s="4"/>
    </row>
    <row r="177">
      <c r="AH177" s="4"/>
      <c r="AI177" s="4"/>
    </row>
    <row r="178">
      <c r="AH178" s="4"/>
      <c r="AI178" s="4"/>
    </row>
    <row r="179">
      <c r="AH179" s="4"/>
      <c r="AI179" s="4"/>
    </row>
    <row r="180">
      <c r="AH180" s="4"/>
      <c r="AI180" s="4"/>
    </row>
    <row r="181">
      <c r="AH181" s="4"/>
      <c r="AI181" s="4"/>
    </row>
    <row r="182">
      <c r="AH182" s="4"/>
      <c r="AI182" s="4"/>
    </row>
    <row r="183">
      <c r="AH183" s="4"/>
      <c r="AI183" s="4"/>
    </row>
    <row r="184">
      <c r="AH184" s="4"/>
      <c r="AI184" s="4"/>
    </row>
    <row r="185">
      <c r="AH185" s="4"/>
      <c r="AI185" s="4"/>
    </row>
    <row r="186">
      <c r="AH186" s="4"/>
      <c r="AI186" s="4"/>
    </row>
    <row r="187">
      <c r="AH187" s="4"/>
      <c r="AI187" s="4"/>
    </row>
    <row r="188">
      <c r="AH188" s="4"/>
      <c r="AI188" s="4"/>
    </row>
    <row r="189">
      <c r="AH189" s="4"/>
      <c r="AI189" s="4"/>
    </row>
    <row r="190">
      <c r="AH190" s="4"/>
      <c r="AI190" s="4"/>
    </row>
    <row r="191">
      <c r="AH191" s="4"/>
      <c r="AI191" s="4"/>
    </row>
    <row r="192">
      <c r="AH192" s="4"/>
      <c r="AI192" s="4"/>
    </row>
    <row r="193">
      <c r="AH193" s="4"/>
      <c r="AI193" s="4"/>
    </row>
    <row r="194">
      <c r="AH194" s="4"/>
      <c r="AI194" s="4"/>
    </row>
    <row r="195">
      <c r="AH195" s="4"/>
      <c r="AI195" s="4"/>
    </row>
    <row r="196">
      <c r="AH196" s="4"/>
      <c r="AI196" s="4"/>
    </row>
    <row r="197">
      <c r="AH197" s="4"/>
      <c r="AI197" s="4"/>
    </row>
    <row r="198">
      <c r="AH198" s="4"/>
      <c r="AI198" s="4"/>
    </row>
    <row r="199">
      <c r="AH199" s="4"/>
      <c r="AI199" s="4"/>
    </row>
    <row r="200">
      <c r="AH200" s="4"/>
      <c r="AI200" s="4"/>
    </row>
    <row r="201">
      <c r="AH201" s="4"/>
      <c r="AI201" s="4"/>
    </row>
    <row r="202">
      <c r="AH202" s="4"/>
      <c r="AI202" s="4"/>
    </row>
    <row r="203">
      <c r="AH203" s="4"/>
      <c r="AI203" s="4"/>
    </row>
    <row r="204">
      <c r="AH204" s="4"/>
      <c r="AI204" s="4"/>
    </row>
    <row r="205">
      <c r="AH205" s="4"/>
      <c r="AI205" s="4"/>
    </row>
    <row r="206">
      <c r="AH206" s="4"/>
      <c r="AI206" s="4"/>
    </row>
    <row r="207">
      <c r="AH207" s="4"/>
      <c r="AI207" s="4"/>
    </row>
    <row r="208">
      <c r="AH208" s="4"/>
      <c r="AI208" s="4"/>
    </row>
    <row r="209">
      <c r="AH209" s="4"/>
      <c r="AI209" s="4"/>
    </row>
    <row r="210">
      <c r="AH210" s="4"/>
      <c r="AI210" s="4"/>
    </row>
    <row r="211">
      <c r="AH211" s="4"/>
      <c r="AI211" s="4"/>
    </row>
    <row r="212">
      <c r="AH212" s="4"/>
      <c r="AI212" s="4"/>
    </row>
    <row r="213">
      <c r="AH213" s="4"/>
      <c r="AI213" s="4"/>
    </row>
    <row r="214">
      <c r="AH214" s="4"/>
      <c r="AI214" s="4"/>
    </row>
    <row r="215">
      <c r="AH215" s="4"/>
      <c r="AI215" s="4"/>
    </row>
    <row r="216">
      <c r="AH216" s="4"/>
      <c r="AI216" s="4"/>
    </row>
    <row r="217">
      <c r="AH217" s="4"/>
      <c r="AI217" s="4"/>
    </row>
    <row r="218">
      <c r="AH218" s="4"/>
      <c r="AI218" s="4"/>
    </row>
    <row r="219">
      <c r="AH219" s="4"/>
      <c r="AI219" s="4"/>
    </row>
    <row r="220">
      <c r="AH220" s="4"/>
      <c r="AI220" s="4"/>
    </row>
    <row r="221">
      <c r="AH221" s="4"/>
      <c r="AI221" s="4"/>
    </row>
    <row r="222">
      <c r="AH222" s="4"/>
      <c r="AI222" s="4"/>
    </row>
    <row r="223">
      <c r="AH223" s="4"/>
      <c r="AI223" s="4"/>
    </row>
    <row r="224">
      <c r="AH224" s="4"/>
      <c r="AI224" s="4"/>
    </row>
    <row r="225">
      <c r="AH225" s="4"/>
      <c r="AI225" s="4"/>
    </row>
    <row r="226">
      <c r="AH226" s="4"/>
      <c r="AI226" s="4"/>
    </row>
    <row r="227">
      <c r="AH227" s="4"/>
      <c r="AI227" s="4"/>
    </row>
    <row r="228">
      <c r="AH228" s="4"/>
      <c r="AI228" s="4"/>
    </row>
    <row r="229">
      <c r="AH229" s="4"/>
      <c r="AI229" s="4"/>
    </row>
    <row r="230">
      <c r="AH230" s="4"/>
      <c r="AI230" s="4"/>
    </row>
    <row r="231">
      <c r="AH231" s="4"/>
      <c r="AI231" s="4"/>
    </row>
    <row r="232">
      <c r="AH232" s="4"/>
      <c r="AI232" s="4"/>
    </row>
    <row r="233">
      <c r="AH233" s="4"/>
      <c r="AI233" s="4"/>
    </row>
    <row r="234">
      <c r="AH234" s="4"/>
      <c r="AI234" s="4"/>
    </row>
    <row r="235">
      <c r="AH235" s="4"/>
      <c r="AI235" s="4"/>
    </row>
    <row r="236">
      <c r="AH236" s="4"/>
      <c r="AI236" s="4"/>
    </row>
    <row r="237">
      <c r="AH237" s="4"/>
      <c r="AI237" s="4"/>
    </row>
    <row r="238">
      <c r="AH238" s="4"/>
      <c r="AI238" s="4"/>
    </row>
    <row r="239">
      <c r="AH239" s="4"/>
      <c r="AI239" s="4"/>
    </row>
    <row r="240">
      <c r="AH240" s="4"/>
      <c r="AI240" s="4"/>
    </row>
    <row r="241">
      <c r="AH241" s="4"/>
      <c r="AI241" s="4"/>
    </row>
    <row r="242">
      <c r="AH242" s="4"/>
      <c r="AI242" s="4"/>
    </row>
    <row r="243">
      <c r="AH243" s="4"/>
      <c r="AI243" s="4"/>
    </row>
    <row r="244">
      <c r="AH244" s="4"/>
      <c r="AI244" s="4"/>
    </row>
    <row r="245">
      <c r="AH245" s="4"/>
      <c r="AI245" s="4"/>
    </row>
    <row r="246">
      <c r="AH246" s="4"/>
      <c r="AI246" s="4"/>
    </row>
    <row r="247">
      <c r="AH247" s="4"/>
      <c r="AI247" s="4"/>
    </row>
    <row r="248">
      <c r="AH248" s="4"/>
      <c r="AI248" s="4"/>
    </row>
    <row r="249">
      <c r="AH249" s="4"/>
      <c r="AI249" s="4"/>
    </row>
    <row r="250">
      <c r="AH250" s="4"/>
      <c r="AI250" s="4"/>
    </row>
    <row r="251">
      <c r="AH251" s="4"/>
      <c r="AI251" s="4"/>
    </row>
    <row r="252">
      <c r="AH252" s="4"/>
      <c r="AI252" s="4"/>
    </row>
    <row r="253">
      <c r="AH253" s="4"/>
      <c r="AI253" s="4"/>
    </row>
    <row r="254">
      <c r="AH254" s="4"/>
      <c r="AI254" s="4"/>
    </row>
    <row r="255">
      <c r="AH255" s="4"/>
      <c r="AI255" s="4"/>
    </row>
    <row r="256">
      <c r="AH256" s="4"/>
      <c r="AI256" s="4"/>
    </row>
    <row r="257">
      <c r="AH257" s="4"/>
      <c r="AI257" s="4"/>
    </row>
    <row r="258">
      <c r="AH258" s="4"/>
      <c r="AI258" s="4"/>
    </row>
    <row r="259">
      <c r="AH259" s="4"/>
      <c r="AI259" s="4"/>
    </row>
    <row r="260">
      <c r="AH260" s="4"/>
      <c r="AI260" s="4"/>
    </row>
    <row r="261">
      <c r="AH261" s="4"/>
      <c r="AI261" s="4"/>
    </row>
    <row r="262">
      <c r="AH262" s="4"/>
      <c r="AI262" s="4"/>
    </row>
    <row r="263">
      <c r="AH263" s="4"/>
      <c r="AI263" s="4"/>
    </row>
    <row r="264">
      <c r="AH264" s="4"/>
      <c r="AI264" s="4"/>
    </row>
    <row r="265">
      <c r="AH265" s="4"/>
      <c r="AI265" s="4"/>
    </row>
    <row r="266">
      <c r="AH266" s="4"/>
      <c r="AI266" s="4"/>
    </row>
    <row r="267">
      <c r="AH267" s="4"/>
      <c r="AI267" s="4"/>
    </row>
    <row r="268">
      <c r="AH268" s="4"/>
      <c r="AI268" s="4"/>
    </row>
    <row r="269">
      <c r="AH269" s="4"/>
      <c r="AI269" s="4"/>
    </row>
    <row r="270">
      <c r="AH270" s="4"/>
      <c r="AI270" s="4"/>
    </row>
    <row r="271">
      <c r="AH271" s="4"/>
      <c r="AI271" s="4"/>
    </row>
    <row r="272">
      <c r="AH272" s="4"/>
      <c r="AI272" s="4"/>
    </row>
    <row r="273">
      <c r="AH273" s="4"/>
      <c r="AI273" s="4"/>
    </row>
    <row r="274">
      <c r="AH274" s="4"/>
      <c r="AI274" s="4"/>
    </row>
    <row r="275">
      <c r="AH275" s="4"/>
      <c r="AI275" s="4"/>
    </row>
    <row r="276">
      <c r="AH276" s="4"/>
      <c r="AI276" s="4"/>
    </row>
    <row r="277">
      <c r="AH277" s="4"/>
      <c r="AI277" s="4"/>
    </row>
    <row r="278">
      <c r="AH278" s="4"/>
      <c r="AI278" s="4"/>
    </row>
    <row r="279">
      <c r="AH279" s="4"/>
      <c r="AI279" s="4"/>
    </row>
    <row r="280">
      <c r="AH280" s="4"/>
      <c r="AI280" s="4"/>
    </row>
    <row r="281">
      <c r="AH281" s="4"/>
      <c r="AI281" s="4"/>
    </row>
    <row r="282">
      <c r="AH282" s="4"/>
      <c r="AI282" s="4"/>
    </row>
    <row r="283">
      <c r="AH283" s="4"/>
      <c r="AI283" s="4"/>
    </row>
    <row r="284">
      <c r="AH284" s="4"/>
      <c r="AI284" s="4"/>
    </row>
    <row r="285">
      <c r="AH285" s="4"/>
      <c r="AI285" s="4"/>
    </row>
    <row r="286">
      <c r="AH286" s="4"/>
      <c r="AI286" s="4"/>
    </row>
    <row r="287">
      <c r="AH287" s="4"/>
      <c r="AI287" s="4"/>
    </row>
    <row r="288">
      <c r="AH288" s="4"/>
      <c r="AI288" s="4"/>
    </row>
    <row r="289">
      <c r="AH289" s="4"/>
      <c r="AI289" s="4"/>
    </row>
    <row r="290">
      <c r="AH290" s="4"/>
      <c r="AI290" s="4"/>
    </row>
    <row r="291">
      <c r="AH291" s="4"/>
      <c r="AI291" s="4"/>
    </row>
    <row r="292">
      <c r="AH292" s="4"/>
      <c r="AI292" s="4"/>
    </row>
    <row r="293">
      <c r="AH293" s="4"/>
      <c r="AI293" s="4"/>
    </row>
    <row r="294">
      <c r="AH294" s="4"/>
      <c r="AI294" s="4"/>
    </row>
    <row r="295">
      <c r="AH295" s="4"/>
      <c r="AI295" s="4"/>
    </row>
    <row r="296">
      <c r="AH296" s="4"/>
      <c r="AI296" s="4"/>
    </row>
    <row r="297">
      <c r="AH297" s="4"/>
      <c r="AI297" s="4"/>
    </row>
    <row r="298">
      <c r="AH298" s="4"/>
      <c r="AI298" s="4"/>
    </row>
    <row r="299">
      <c r="AH299" s="4"/>
      <c r="AI299" s="4"/>
    </row>
    <row r="300">
      <c r="AH300" s="4"/>
      <c r="AI300" s="4"/>
    </row>
    <row r="301">
      <c r="AH301" s="4"/>
      <c r="AI301" s="4"/>
    </row>
    <row r="302">
      <c r="AH302" s="4"/>
      <c r="AI302" s="4"/>
    </row>
    <row r="303">
      <c r="AH303" s="4"/>
      <c r="AI303" s="4"/>
    </row>
    <row r="304">
      <c r="AH304" s="4"/>
      <c r="AI304" s="4"/>
    </row>
    <row r="305">
      <c r="AH305" s="4"/>
      <c r="AI305" s="4"/>
    </row>
    <row r="306">
      <c r="AH306" s="4"/>
      <c r="AI306" s="4"/>
    </row>
    <row r="307">
      <c r="AH307" s="4"/>
      <c r="AI307" s="4"/>
    </row>
    <row r="308">
      <c r="AH308" s="4"/>
      <c r="AI308" s="4"/>
    </row>
    <row r="309">
      <c r="AH309" s="4"/>
      <c r="AI309" s="4"/>
    </row>
    <row r="310">
      <c r="AH310" s="4"/>
      <c r="AI310" s="4"/>
    </row>
    <row r="311">
      <c r="AH311" s="4"/>
      <c r="AI311" s="4"/>
    </row>
    <row r="312">
      <c r="AH312" s="4"/>
      <c r="AI312" s="4"/>
    </row>
    <row r="313">
      <c r="AH313" s="4"/>
      <c r="AI313" s="4"/>
    </row>
    <row r="314">
      <c r="AH314" s="4"/>
      <c r="AI314" s="4"/>
    </row>
    <row r="315">
      <c r="AH315" s="4"/>
      <c r="AI315" s="4"/>
    </row>
    <row r="316">
      <c r="AH316" s="4"/>
      <c r="AI316" s="4"/>
    </row>
    <row r="317">
      <c r="AH317" s="4"/>
      <c r="AI317" s="4"/>
    </row>
    <row r="318">
      <c r="AH318" s="4"/>
      <c r="AI318" s="4"/>
    </row>
    <row r="319">
      <c r="AH319" s="4"/>
      <c r="AI319" s="4"/>
    </row>
    <row r="320">
      <c r="AH320" s="4"/>
      <c r="AI320" s="4"/>
    </row>
    <row r="321">
      <c r="AH321" s="4"/>
      <c r="AI321" s="4"/>
    </row>
    <row r="322">
      <c r="AH322" s="4"/>
      <c r="AI322" s="4"/>
    </row>
    <row r="323">
      <c r="AH323" s="4"/>
      <c r="AI323" s="4"/>
    </row>
    <row r="324">
      <c r="AH324" s="4"/>
      <c r="AI324" s="4"/>
    </row>
    <row r="325">
      <c r="AH325" s="4"/>
      <c r="AI325" s="4"/>
    </row>
    <row r="326">
      <c r="AH326" s="4"/>
      <c r="AI326" s="4"/>
    </row>
    <row r="327">
      <c r="AH327" s="4"/>
      <c r="AI327" s="4"/>
    </row>
    <row r="328">
      <c r="AH328" s="4"/>
      <c r="AI328" s="4"/>
    </row>
    <row r="329">
      <c r="AH329" s="4"/>
      <c r="AI329" s="4"/>
    </row>
    <row r="330">
      <c r="AH330" s="4"/>
      <c r="AI330" s="4"/>
    </row>
    <row r="331">
      <c r="AH331" s="4"/>
      <c r="AI331" s="4"/>
    </row>
    <row r="332">
      <c r="AH332" s="4"/>
      <c r="AI332" s="4"/>
    </row>
    <row r="333">
      <c r="AH333" s="4"/>
      <c r="AI333" s="4"/>
    </row>
    <row r="334">
      <c r="AH334" s="4"/>
      <c r="AI334" s="4"/>
    </row>
    <row r="335">
      <c r="AH335" s="4"/>
      <c r="AI335" s="4"/>
    </row>
    <row r="336">
      <c r="AH336" s="4"/>
      <c r="AI336" s="4"/>
    </row>
    <row r="337">
      <c r="AH337" s="4"/>
      <c r="AI337" s="4"/>
    </row>
    <row r="338">
      <c r="AH338" s="4"/>
      <c r="AI338" s="4"/>
    </row>
    <row r="339">
      <c r="AH339" s="4"/>
      <c r="AI339" s="4"/>
    </row>
    <row r="340">
      <c r="AH340" s="4"/>
      <c r="AI340" s="4"/>
    </row>
    <row r="341">
      <c r="AH341" s="4"/>
      <c r="AI341" s="4"/>
    </row>
    <row r="342">
      <c r="AH342" s="4"/>
      <c r="AI342" s="4"/>
    </row>
    <row r="343">
      <c r="AH343" s="4"/>
      <c r="AI343" s="4"/>
    </row>
    <row r="344">
      <c r="AH344" s="4"/>
      <c r="AI344" s="4"/>
    </row>
    <row r="345">
      <c r="AH345" s="4"/>
      <c r="AI345" s="4"/>
    </row>
    <row r="346">
      <c r="AH346" s="4"/>
      <c r="AI346" s="4"/>
    </row>
    <row r="347">
      <c r="AH347" s="4"/>
      <c r="AI347" s="4"/>
    </row>
    <row r="348">
      <c r="AH348" s="4"/>
      <c r="AI348" s="4"/>
    </row>
    <row r="349">
      <c r="AH349" s="4"/>
      <c r="AI349" s="4"/>
    </row>
    <row r="350">
      <c r="AH350" s="4"/>
      <c r="AI350" s="4"/>
    </row>
    <row r="351">
      <c r="AH351" s="4"/>
      <c r="AI351" s="4"/>
    </row>
    <row r="352">
      <c r="AH352" s="4"/>
      <c r="AI352" s="4"/>
    </row>
    <row r="353">
      <c r="AH353" s="4"/>
      <c r="AI353" s="4"/>
    </row>
    <row r="354">
      <c r="AH354" s="4"/>
      <c r="AI354" s="4"/>
    </row>
    <row r="355">
      <c r="AH355" s="4"/>
      <c r="AI355" s="4"/>
    </row>
    <row r="356">
      <c r="AH356" s="4"/>
      <c r="AI356" s="4"/>
    </row>
    <row r="357">
      <c r="AH357" s="4"/>
      <c r="AI357" s="4"/>
    </row>
    <row r="358">
      <c r="AH358" s="4"/>
      <c r="AI358" s="4"/>
    </row>
    <row r="359">
      <c r="AH359" s="4"/>
      <c r="AI359" s="4"/>
    </row>
    <row r="360">
      <c r="AH360" s="4"/>
      <c r="AI360" s="4"/>
    </row>
    <row r="361">
      <c r="AH361" s="4"/>
      <c r="AI361" s="4"/>
    </row>
    <row r="362">
      <c r="AH362" s="4"/>
      <c r="AI362" s="4"/>
    </row>
    <row r="363">
      <c r="AH363" s="4"/>
      <c r="AI363" s="4"/>
    </row>
    <row r="364">
      <c r="AH364" s="4"/>
      <c r="AI364" s="4"/>
    </row>
    <row r="365">
      <c r="AH365" s="4"/>
      <c r="AI365" s="4"/>
    </row>
    <row r="366">
      <c r="AH366" s="4"/>
      <c r="AI366" s="4"/>
    </row>
    <row r="367">
      <c r="AH367" s="4"/>
      <c r="AI367" s="4"/>
    </row>
    <row r="368">
      <c r="AH368" s="4"/>
      <c r="AI368" s="4"/>
    </row>
    <row r="369">
      <c r="AH369" s="4"/>
      <c r="AI369" s="4"/>
    </row>
    <row r="370">
      <c r="AH370" s="4"/>
      <c r="AI370" s="4"/>
    </row>
    <row r="371">
      <c r="AH371" s="4"/>
      <c r="AI371" s="4"/>
    </row>
    <row r="372">
      <c r="AH372" s="4"/>
      <c r="AI372" s="4"/>
    </row>
    <row r="373">
      <c r="AH373" s="4"/>
      <c r="AI373" s="4"/>
    </row>
    <row r="374">
      <c r="AH374" s="4"/>
      <c r="AI374" s="4"/>
    </row>
    <row r="375">
      <c r="AH375" s="4"/>
      <c r="AI375" s="4"/>
    </row>
    <row r="376">
      <c r="AH376" s="4"/>
      <c r="AI376" s="4"/>
    </row>
    <row r="377">
      <c r="AH377" s="4"/>
      <c r="AI377" s="4"/>
    </row>
    <row r="378">
      <c r="AH378" s="4"/>
      <c r="AI378" s="4"/>
    </row>
    <row r="379">
      <c r="AH379" s="4"/>
      <c r="AI379" s="4"/>
    </row>
    <row r="380">
      <c r="AH380" s="4"/>
      <c r="AI380" s="4"/>
    </row>
    <row r="381">
      <c r="AH381" s="4"/>
      <c r="AI381" s="4"/>
    </row>
    <row r="382">
      <c r="AH382" s="4"/>
      <c r="AI382" s="4"/>
    </row>
    <row r="383">
      <c r="AH383" s="4"/>
      <c r="AI383" s="4"/>
    </row>
    <row r="384">
      <c r="AH384" s="4"/>
      <c r="AI384" s="4"/>
    </row>
    <row r="385">
      <c r="AH385" s="4"/>
      <c r="AI385" s="4"/>
    </row>
    <row r="386">
      <c r="AH386" s="4"/>
      <c r="AI386" s="4"/>
    </row>
    <row r="387">
      <c r="AH387" s="4"/>
      <c r="AI387" s="4"/>
    </row>
    <row r="388">
      <c r="AH388" s="4"/>
      <c r="AI388" s="4"/>
    </row>
    <row r="389">
      <c r="AH389" s="4"/>
      <c r="AI389" s="4"/>
    </row>
    <row r="390">
      <c r="AH390" s="4"/>
      <c r="AI390" s="4"/>
    </row>
    <row r="391">
      <c r="AH391" s="4"/>
      <c r="AI391" s="4"/>
    </row>
    <row r="392">
      <c r="AH392" s="4"/>
      <c r="AI392" s="4"/>
    </row>
    <row r="393">
      <c r="AH393" s="4"/>
      <c r="AI393" s="4"/>
    </row>
    <row r="394">
      <c r="AH394" s="4"/>
      <c r="AI394" s="4"/>
    </row>
    <row r="395">
      <c r="AH395" s="4"/>
      <c r="AI395" s="4"/>
    </row>
    <row r="396">
      <c r="AH396" s="4"/>
      <c r="AI396" s="4"/>
    </row>
    <row r="397">
      <c r="AH397" s="4"/>
      <c r="AI397" s="4"/>
    </row>
    <row r="398">
      <c r="AH398" s="4"/>
      <c r="AI398" s="4"/>
    </row>
    <row r="399">
      <c r="AH399" s="4"/>
      <c r="AI399" s="4"/>
    </row>
    <row r="400">
      <c r="AH400" s="4"/>
      <c r="AI400" s="4"/>
    </row>
    <row r="401">
      <c r="AH401" s="4"/>
      <c r="AI401" s="4"/>
    </row>
    <row r="402">
      <c r="AH402" s="4"/>
      <c r="AI402" s="4"/>
    </row>
    <row r="403">
      <c r="AH403" s="4"/>
      <c r="AI403" s="4"/>
    </row>
    <row r="404">
      <c r="AH404" s="4"/>
      <c r="AI404" s="4"/>
    </row>
    <row r="405">
      <c r="AH405" s="4"/>
      <c r="AI405" s="4"/>
    </row>
    <row r="406">
      <c r="AH406" s="4"/>
      <c r="AI406" s="4"/>
    </row>
    <row r="407">
      <c r="AH407" s="4"/>
      <c r="AI407" s="4"/>
    </row>
    <row r="408">
      <c r="AH408" s="4"/>
      <c r="AI408" s="4"/>
    </row>
    <row r="409">
      <c r="AH409" s="4"/>
      <c r="AI409" s="4"/>
    </row>
    <row r="410">
      <c r="AH410" s="4"/>
      <c r="AI410" s="4"/>
    </row>
    <row r="411">
      <c r="AH411" s="4"/>
      <c r="AI411" s="4"/>
    </row>
    <row r="412">
      <c r="AH412" s="4"/>
      <c r="AI412" s="4"/>
    </row>
    <row r="413">
      <c r="AH413" s="4"/>
      <c r="AI413" s="4"/>
    </row>
    <row r="414">
      <c r="AH414" s="4"/>
      <c r="AI414" s="4"/>
    </row>
    <row r="415">
      <c r="AH415" s="4"/>
      <c r="AI415" s="4"/>
    </row>
    <row r="416">
      <c r="AH416" s="4"/>
      <c r="AI416" s="4"/>
    </row>
    <row r="417">
      <c r="AH417" s="4"/>
      <c r="AI417" s="4"/>
    </row>
    <row r="418">
      <c r="AH418" s="4"/>
      <c r="AI418" s="4"/>
    </row>
    <row r="419">
      <c r="AH419" s="4"/>
      <c r="AI419" s="4"/>
    </row>
    <row r="420">
      <c r="AH420" s="4"/>
      <c r="AI420" s="4"/>
    </row>
    <row r="421">
      <c r="AH421" s="4"/>
      <c r="AI421" s="4"/>
    </row>
    <row r="422">
      <c r="AH422" s="4"/>
      <c r="AI422" s="4"/>
    </row>
    <row r="423">
      <c r="AH423" s="4"/>
      <c r="AI423" s="4"/>
    </row>
    <row r="424">
      <c r="AH424" s="4"/>
      <c r="AI424" s="4"/>
    </row>
    <row r="425">
      <c r="AH425" s="4"/>
      <c r="AI425" s="4"/>
    </row>
    <row r="426">
      <c r="AH426" s="4"/>
      <c r="AI426" s="4"/>
    </row>
    <row r="427">
      <c r="AH427" s="4"/>
      <c r="AI427" s="4"/>
    </row>
    <row r="428">
      <c r="AH428" s="4"/>
      <c r="AI428" s="4"/>
    </row>
    <row r="429">
      <c r="AH429" s="4"/>
      <c r="AI429" s="4"/>
    </row>
    <row r="430">
      <c r="AH430" s="4"/>
      <c r="AI430" s="4"/>
    </row>
    <row r="431">
      <c r="AH431" s="4"/>
      <c r="AI431" s="4"/>
    </row>
    <row r="432">
      <c r="AH432" s="4"/>
      <c r="AI432" s="4"/>
    </row>
    <row r="433">
      <c r="AH433" s="4"/>
      <c r="AI433" s="4"/>
    </row>
    <row r="434">
      <c r="AH434" s="4"/>
      <c r="AI434" s="4"/>
    </row>
    <row r="435">
      <c r="AH435" s="4"/>
      <c r="AI435" s="4"/>
    </row>
    <row r="436">
      <c r="AH436" s="4"/>
      <c r="AI436" s="4"/>
    </row>
    <row r="437">
      <c r="AH437" s="4"/>
      <c r="AI437" s="4"/>
    </row>
    <row r="438">
      <c r="AH438" s="4"/>
      <c r="AI438" s="4"/>
    </row>
    <row r="439">
      <c r="AH439" s="4"/>
      <c r="AI439" s="4"/>
    </row>
    <row r="440">
      <c r="AH440" s="4"/>
      <c r="AI440" s="4"/>
    </row>
    <row r="441">
      <c r="AH441" s="4"/>
      <c r="AI441" s="4"/>
    </row>
    <row r="442">
      <c r="AH442" s="4"/>
      <c r="AI442" s="4"/>
    </row>
    <row r="443">
      <c r="AH443" s="4"/>
      <c r="AI443" s="4"/>
    </row>
    <row r="444">
      <c r="AH444" s="4"/>
      <c r="AI444" s="4"/>
    </row>
    <row r="445">
      <c r="AH445" s="4"/>
      <c r="AI445" s="4"/>
    </row>
    <row r="446">
      <c r="AH446" s="4"/>
      <c r="AI446" s="4"/>
    </row>
    <row r="447">
      <c r="AH447" s="4"/>
      <c r="AI447" s="4"/>
    </row>
    <row r="448">
      <c r="AH448" s="4"/>
      <c r="AI448" s="4"/>
    </row>
    <row r="449">
      <c r="AH449" s="4"/>
      <c r="AI449" s="4"/>
    </row>
    <row r="450">
      <c r="AH450" s="4"/>
      <c r="AI450" s="4"/>
    </row>
    <row r="451">
      <c r="AH451" s="4"/>
      <c r="AI451" s="4"/>
    </row>
    <row r="452">
      <c r="AH452" s="4"/>
      <c r="AI452" s="4"/>
    </row>
    <row r="453">
      <c r="AH453" s="4"/>
      <c r="AI453" s="4"/>
    </row>
    <row r="454">
      <c r="AH454" s="4"/>
      <c r="AI454" s="4"/>
    </row>
    <row r="455">
      <c r="AH455" s="4"/>
      <c r="AI455" s="4"/>
    </row>
    <row r="456">
      <c r="AH456" s="4"/>
      <c r="AI456" s="4"/>
    </row>
    <row r="457">
      <c r="AH457" s="4"/>
      <c r="AI457" s="4"/>
    </row>
    <row r="458">
      <c r="AH458" s="4"/>
      <c r="AI458" s="4"/>
    </row>
    <row r="459">
      <c r="AH459" s="4"/>
      <c r="AI459" s="4"/>
    </row>
    <row r="460">
      <c r="AH460" s="4"/>
      <c r="AI460" s="4"/>
    </row>
    <row r="461">
      <c r="AH461" s="4"/>
      <c r="AI461" s="4"/>
    </row>
    <row r="462">
      <c r="AH462" s="4"/>
      <c r="AI462" s="4"/>
    </row>
    <row r="463">
      <c r="AH463" s="4"/>
      <c r="AI463" s="4"/>
    </row>
    <row r="464">
      <c r="AH464" s="4"/>
      <c r="AI464" s="4"/>
    </row>
    <row r="465">
      <c r="AH465" s="4"/>
      <c r="AI465" s="4"/>
    </row>
    <row r="466">
      <c r="AH466" s="4"/>
      <c r="AI466" s="4"/>
    </row>
    <row r="467">
      <c r="AH467" s="4"/>
      <c r="AI467" s="4"/>
    </row>
    <row r="468">
      <c r="AH468" s="4"/>
      <c r="AI468" s="4"/>
    </row>
    <row r="469">
      <c r="AH469" s="4"/>
      <c r="AI469" s="4"/>
    </row>
    <row r="470">
      <c r="AH470" s="4"/>
      <c r="AI470" s="4"/>
    </row>
    <row r="471">
      <c r="AH471" s="4"/>
      <c r="AI471" s="4"/>
    </row>
    <row r="472">
      <c r="AH472" s="4"/>
      <c r="AI472" s="4"/>
    </row>
    <row r="473">
      <c r="AH473" s="4"/>
      <c r="AI473" s="4"/>
    </row>
    <row r="474">
      <c r="AH474" s="4"/>
      <c r="AI474" s="4"/>
    </row>
    <row r="475">
      <c r="AH475" s="4"/>
      <c r="AI475" s="4"/>
    </row>
    <row r="476">
      <c r="AH476" s="4"/>
      <c r="AI476" s="4"/>
    </row>
    <row r="477">
      <c r="AH477" s="4"/>
      <c r="AI477" s="4"/>
    </row>
    <row r="478">
      <c r="AH478" s="4"/>
      <c r="AI478" s="4"/>
    </row>
    <row r="479">
      <c r="AH479" s="4"/>
      <c r="AI479" s="4"/>
    </row>
    <row r="480">
      <c r="AH480" s="4"/>
      <c r="AI480" s="4"/>
    </row>
    <row r="481">
      <c r="AH481" s="4"/>
      <c r="AI481" s="4"/>
    </row>
    <row r="482">
      <c r="AH482" s="4"/>
      <c r="AI482" s="4"/>
    </row>
    <row r="483">
      <c r="AH483" s="4"/>
      <c r="AI483" s="4"/>
    </row>
    <row r="484">
      <c r="AH484" s="4"/>
      <c r="AI484" s="4"/>
    </row>
    <row r="485">
      <c r="AH485" s="4"/>
      <c r="AI485" s="4"/>
    </row>
    <row r="486">
      <c r="AH486" s="4"/>
      <c r="AI486" s="4"/>
    </row>
    <row r="487">
      <c r="AH487" s="4"/>
      <c r="AI487" s="4"/>
    </row>
    <row r="488">
      <c r="AH488" s="4"/>
      <c r="AI488" s="4"/>
    </row>
    <row r="489">
      <c r="AH489" s="4"/>
      <c r="AI489" s="4"/>
    </row>
    <row r="490">
      <c r="AH490" s="4"/>
      <c r="AI490" s="4"/>
    </row>
    <row r="491">
      <c r="AH491" s="4"/>
      <c r="AI491" s="4"/>
    </row>
    <row r="492">
      <c r="AH492" s="4"/>
      <c r="AI492" s="4"/>
    </row>
    <row r="493">
      <c r="AH493" s="4"/>
      <c r="AI493" s="4"/>
    </row>
    <row r="494">
      <c r="AH494" s="4"/>
      <c r="AI494" s="4"/>
    </row>
    <row r="495">
      <c r="AH495" s="4"/>
      <c r="AI495" s="4"/>
    </row>
    <row r="496">
      <c r="AH496" s="4"/>
      <c r="AI496" s="4"/>
    </row>
    <row r="497">
      <c r="AH497" s="4"/>
      <c r="AI497" s="4"/>
    </row>
    <row r="498">
      <c r="AH498" s="4"/>
      <c r="AI498" s="4"/>
    </row>
    <row r="499">
      <c r="AH499" s="4"/>
      <c r="AI499" s="4"/>
    </row>
    <row r="500">
      <c r="AH500" s="4"/>
      <c r="AI500" s="4"/>
    </row>
    <row r="501">
      <c r="AH501" s="4"/>
      <c r="AI501" s="4"/>
    </row>
    <row r="502">
      <c r="AH502" s="4"/>
      <c r="AI502" s="4"/>
    </row>
    <row r="503">
      <c r="AH503" s="4"/>
      <c r="AI503" s="4"/>
    </row>
    <row r="504">
      <c r="AH504" s="4"/>
      <c r="AI504" s="4"/>
    </row>
    <row r="505">
      <c r="AH505" s="4"/>
      <c r="AI505" s="4"/>
    </row>
    <row r="506">
      <c r="AH506" s="4"/>
      <c r="AI506" s="4"/>
    </row>
    <row r="507">
      <c r="AH507" s="4"/>
      <c r="AI507" s="4"/>
    </row>
    <row r="508">
      <c r="AH508" s="4"/>
      <c r="AI508" s="4"/>
    </row>
    <row r="509">
      <c r="AH509" s="4"/>
      <c r="AI509" s="4"/>
    </row>
    <row r="510">
      <c r="AH510" s="4"/>
      <c r="AI510" s="4"/>
    </row>
    <row r="511">
      <c r="AH511" s="4"/>
      <c r="AI511" s="4"/>
    </row>
    <row r="512">
      <c r="AH512" s="4"/>
      <c r="AI512" s="4"/>
    </row>
    <row r="513">
      <c r="AH513" s="4"/>
      <c r="AI513" s="4"/>
    </row>
    <row r="514">
      <c r="AH514" s="4"/>
      <c r="AI514" s="4"/>
    </row>
    <row r="515">
      <c r="AH515" s="4"/>
      <c r="AI515" s="4"/>
    </row>
    <row r="516">
      <c r="AH516" s="4"/>
      <c r="AI516" s="4"/>
    </row>
    <row r="517">
      <c r="AH517" s="4"/>
      <c r="AI517" s="4"/>
    </row>
    <row r="518">
      <c r="AH518" s="4"/>
      <c r="AI518" s="4"/>
    </row>
    <row r="519">
      <c r="AH519" s="4"/>
      <c r="AI519" s="4"/>
    </row>
    <row r="520">
      <c r="AH520" s="4"/>
      <c r="AI520" s="4"/>
    </row>
    <row r="521">
      <c r="AH521" s="4"/>
      <c r="AI521" s="4"/>
    </row>
    <row r="522">
      <c r="AH522" s="4"/>
      <c r="AI522" s="4"/>
    </row>
    <row r="523">
      <c r="AH523" s="4"/>
      <c r="AI523" s="4"/>
    </row>
    <row r="524">
      <c r="AH524" s="4"/>
      <c r="AI524" s="4"/>
    </row>
    <row r="525">
      <c r="AH525" s="4"/>
      <c r="AI525" s="4"/>
    </row>
    <row r="526">
      <c r="AH526" s="4"/>
      <c r="AI526" s="4"/>
    </row>
    <row r="527">
      <c r="AH527" s="4"/>
      <c r="AI527" s="4"/>
    </row>
    <row r="528">
      <c r="AH528" s="4"/>
      <c r="AI528" s="4"/>
    </row>
    <row r="529">
      <c r="AH529" s="4"/>
      <c r="AI529" s="4"/>
    </row>
    <row r="530">
      <c r="AH530" s="4"/>
      <c r="AI530" s="4"/>
    </row>
    <row r="531">
      <c r="AH531" s="4"/>
      <c r="AI531" s="4"/>
    </row>
    <row r="532">
      <c r="AH532" s="4"/>
      <c r="AI532" s="4"/>
    </row>
    <row r="533">
      <c r="AH533" s="4"/>
      <c r="AI533" s="4"/>
    </row>
    <row r="534">
      <c r="AH534" s="4"/>
      <c r="AI534" s="4"/>
    </row>
    <row r="535">
      <c r="AH535" s="4"/>
      <c r="AI535" s="4"/>
    </row>
    <row r="536">
      <c r="AH536" s="4"/>
      <c r="AI536" s="4"/>
    </row>
    <row r="537">
      <c r="AH537" s="4"/>
      <c r="AI537" s="4"/>
    </row>
    <row r="538">
      <c r="AH538" s="4"/>
      <c r="AI538" s="4"/>
    </row>
    <row r="539">
      <c r="AH539" s="4"/>
      <c r="AI539" s="4"/>
    </row>
    <row r="540">
      <c r="AH540" s="4"/>
      <c r="AI540" s="4"/>
    </row>
    <row r="541">
      <c r="AH541" s="4"/>
      <c r="AI541" s="4"/>
    </row>
    <row r="542">
      <c r="AH542" s="4"/>
      <c r="AI542" s="4"/>
    </row>
    <row r="543">
      <c r="AH543" s="4"/>
      <c r="AI543" s="4"/>
    </row>
    <row r="544">
      <c r="AH544" s="4"/>
      <c r="AI544" s="4"/>
    </row>
    <row r="545">
      <c r="AH545" s="4"/>
      <c r="AI545" s="4"/>
    </row>
    <row r="546">
      <c r="AH546" s="4"/>
      <c r="AI546" s="4"/>
    </row>
    <row r="547">
      <c r="AH547" s="4"/>
      <c r="AI547" s="4"/>
    </row>
    <row r="548">
      <c r="AH548" s="4"/>
      <c r="AI548" s="4"/>
    </row>
    <row r="549">
      <c r="AH549" s="4"/>
      <c r="AI549" s="4"/>
    </row>
    <row r="550">
      <c r="AH550" s="4"/>
      <c r="AI550" s="4"/>
    </row>
    <row r="551">
      <c r="AH551" s="4"/>
      <c r="AI551" s="4"/>
    </row>
    <row r="552">
      <c r="AH552" s="4"/>
      <c r="AI552" s="4"/>
    </row>
    <row r="553">
      <c r="AH553" s="4"/>
      <c r="AI553" s="4"/>
    </row>
    <row r="554">
      <c r="AH554" s="4"/>
      <c r="AI554" s="4"/>
    </row>
    <row r="555">
      <c r="AH555" s="4"/>
      <c r="AI555" s="4"/>
    </row>
    <row r="556">
      <c r="AH556" s="4"/>
      <c r="AI556" s="4"/>
    </row>
    <row r="557">
      <c r="AH557" s="4"/>
      <c r="AI557" s="4"/>
    </row>
    <row r="558">
      <c r="AH558" s="4"/>
      <c r="AI558" s="4"/>
    </row>
    <row r="559">
      <c r="AH559" s="4"/>
      <c r="AI559" s="4"/>
    </row>
    <row r="560">
      <c r="AH560" s="4"/>
      <c r="AI560" s="4"/>
    </row>
    <row r="561">
      <c r="AH561" s="4"/>
      <c r="AI561" s="4"/>
    </row>
    <row r="562">
      <c r="AH562" s="4"/>
      <c r="AI562" s="4"/>
    </row>
    <row r="563">
      <c r="AH563" s="4"/>
      <c r="AI563" s="4"/>
    </row>
    <row r="564">
      <c r="AH564" s="4"/>
      <c r="AI564" s="4"/>
    </row>
    <row r="565">
      <c r="AH565" s="4"/>
      <c r="AI565" s="4"/>
    </row>
    <row r="566">
      <c r="AH566" s="4"/>
      <c r="AI566" s="4"/>
    </row>
    <row r="567">
      <c r="AH567" s="4"/>
      <c r="AI567" s="4"/>
    </row>
    <row r="568">
      <c r="AH568" s="4"/>
      <c r="AI568" s="4"/>
    </row>
    <row r="569">
      <c r="AH569" s="4"/>
      <c r="AI569" s="4"/>
    </row>
    <row r="570">
      <c r="AH570" s="4"/>
      <c r="AI570" s="4"/>
    </row>
    <row r="571">
      <c r="AH571" s="4"/>
      <c r="AI571" s="4"/>
    </row>
    <row r="572">
      <c r="AH572" s="4"/>
      <c r="AI572" s="4"/>
    </row>
    <row r="573">
      <c r="AH573" s="4"/>
      <c r="AI573" s="4"/>
    </row>
    <row r="574">
      <c r="AH574" s="4"/>
      <c r="AI574" s="4"/>
    </row>
    <row r="575">
      <c r="AH575" s="4"/>
      <c r="AI575" s="4"/>
    </row>
    <row r="576">
      <c r="AH576" s="4"/>
      <c r="AI576" s="4"/>
    </row>
    <row r="577">
      <c r="AH577" s="4"/>
      <c r="AI577" s="4"/>
    </row>
    <row r="578">
      <c r="AH578" s="4"/>
      <c r="AI578" s="4"/>
    </row>
    <row r="579">
      <c r="AH579" s="4"/>
      <c r="AI579" s="4"/>
    </row>
    <row r="580">
      <c r="AH580" s="4"/>
      <c r="AI580" s="4"/>
    </row>
    <row r="581">
      <c r="AH581" s="4"/>
      <c r="AI581" s="4"/>
    </row>
    <row r="582">
      <c r="AH582" s="4"/>
      <c r="AI582" s="4"/>
    </row>
    <row r="583">
      <c r="AH583" s="4"/>
      <c r="AI583" s="4"/>
    </row>
    <row r="584">
      <c r="AH584" s="4"/>
      <c r="AI584" s="4"/>
    </row>
    <row r="585">
      <c r="AH585" s="4"/>
      <c r="AI585" s="4"/>
    </row>
    <row r="586">
      <c r="AH586" s="4"/>
      <c r="AI586" s="4"/>
    </row>
    <row r="587">
      <c r="AH587" s="4"/>
      <c r="AI587" s="4"/>
    </row>
    <row r="588">
      <c r="AH588" s="4"/>
      <c r="AI588" s="4"/>
    </row>
    <row r="589">
      <c r="AH589" s="4"/>
      <c r="AI589" s="4"/>
    </row>
    <row r="590">
      <c r="AH590" s="4"/>
      <c r="AI590" s="4"/>
    </row>
    <row r="591">
      <c r="AH591" s="4"/>
      <c r="AI591" s="4"/>
    </row>
    <row r="592">
      <c r="AH592" s="4"/>
      <c r="AI592" s="4"/>
    </row>
    <row r="593">
      <c r="AH593" s="4"/>
      <c r="AI593" s="4"/>
    </row>
    <row r="594">
      <c r="AH594" s="4"/>
      <c r="AI594" s="4"/>
    </row>
    <row r="595">
      <c r="AH595" s="4"/>
      <c r="AI595" s="4"/>
    </row>
    <row r="596">
      <c r="AH596" s="4"/>
      <c r="AI596" s="4"/>
    </row>
    <row r="597">
      <c r="AH597" s="4"/>
      <c r="AI597" s="4"/>
    </row>
    <row r="598">
      <c r="AH598" s="4"/>
      <c r="AI598" s="4"/>
    </row>
    <row r="599">
      <c r="AH599" s="4"/>
      <c r="AI599" s="4"/>
    </row>
    <row r="600">
      <c r="AH600" s="4"/>
      <c r="AI600" s="4"/>
    </row>
    <row r="601">
      <c r="AH601" s="4"/>
      <c r="AI601" s="4"/>
    </row>
    <row r="602">
      <c r="AH602" s="4"/>
      <c r="AI602" s="4"/>
    </row>
    <row r="603">
      <c r="AH603" s="4"/>
      <c r="AI603" s="4"/>
    </row>
    <row r="604">
      <c r="AH604" s="4"/>
      <c r="AI604" s="4"/>
    </row>
    <row r="605">
      <c r="AH605" s="4"/>
      <c r="AI605" s="4"/>
    </row>
    <row r="606">
      <c r="AH606" s="4"/>
      <c r="AI606" s="4"/>
    </row>
    <row r="607">
      <c r="AH607" s="4"/>
      <c r="AI607" s="4"/>
    </row>
    <row r="608">
      <c r="AH608" s="4"/>
      <c r="AI608" s="4"/>
    </row>
    <row r="609">
      <c r="AH609" s="4"/>
      <c r="AI609" s="4"/>
    </row>
    <row r="610">
      <c r="AH610" s="4"/>
      <c r="AI610" s="4"/>
    </row>
    <row r="611">
      <c r="AH611" s="4"/>
      <c r="AI611" s="4"/>
    </row>
    <row r="612">
      <c r="AH612" s="4"/>
      <c r="AI612" s="4"/>
    </row>
    <row r="613">
      <c r="AH613" s="4"/>
      <c r="AI613" s="4"/>
    </row>
    <row r="614">
      <c r="AH614" s="4"/>
      <c r="AI614" s="4"/>
    </row>
    <row r="615">
      <c r="AH615" s="4"/>
      <c r="AI615" s="4"/>
    </row>
    <row r="616">
      <c r="AH616" s="4"/>
      <c r="AI616" s="4"/>
    </row>
    <row r="617">
      <c r="AH617" s="4"/>
      <c r="AI617" s="4"/>
    </row>
    <row r="618">
      <c r="AH618" s="4"/>
      <c r="AI618" s="4"/>
    </row>
    <row r="619">
      <c r="AH619" s="4"/>
      <c r="AI619" s="4"/>
    </row>
    <row r="620">
      <c r="AH620" s="4"/>
      <c r="AI620" s="4"/>
    </row>
    <row r="621">
      <c r="AH621" s="4"/>
      <c r="AI621" s="4"/>
    </row>
    <row r="622">
      <c r="AH622" s="4"/>
      <c r="AI622" s="4"/>
    </row>
    <row r="623">
      <c r="AH623" s="4"/>
      <c r="AI623" s="4"/>
    </row>
    <row r="624">
      <c r="AH624" s="4"/>
      <c r="AI624" s="4"/>
    </row>
    <row r="625">
      <c r="AH625" s="4"/>
      <c r="AI625" s="4"/>
    </row>
    <row r="626">
      <c r="AH626" s="4"/>
      <c r="AI626" s="4"/>
    </row>
    <row r="627">
      <c r="AH627" s="4"/>
      <c r="AI627" s="4"/>
    </row>
    <row r="628">
      <c r="AH628" s="4"/>
      <c r="AI628" s="4"/>
    </row>
    <row r="629">
      <c r="AH629" s="4"/>
      <c r="AI629" s="4"/>
    </row>
    <row r="630">
      <c r="AH630" s="4"/>
      <c r="AI630" s="4"/>
    </row>
    <row r="631">
      <c r="AH631" s="4"/>
      <c r="AI631" s="4"/>
    </row>
    <row r="632">
      <c r="AH632" s="4"/>
      <c r="AI632" s="4"/>
    </row>
    <row r="633">
      <c r="AH633" s="4"/>
      <c r="AI633" s="4"/>
    </row>
    <row r="634">
      <c r="AH634" s="4"/>
      <c r="AI634" s="4"/>
    </row>
    <row r="635">
      <c r="AH635" s="4"/>
      <c r="AI635" s="4"/>
    </row>
    <row r="636">
      <c r="AH636" s="4"/>
      <c r="AI636" s="4"/>
    </row>
    <row r="637">
      <c r="AH637" s="4"/>
      <c r="AI637" s="4"/>
    </row>
    <row r="638">
      <c r="AH638" s="4"/>
      <c r="AI638" s="4"/>
    </row>
    <row r="639">
      <c r="AH639" s="4"/>
      <c r="AI639" s="4"/>
    </row>
    <row r="640">
      <c r="AH640" s="4"/>
      <c r="AI640" s="4"/>
    </row>
    <row r="641">
      <c r="AH641" s="4"/>
      <c r="AI641" s="4"/>
    </row>
    <row r="642">
      <c r="AH642" s="4"/>
      <c r="AI642" s="4"/>
    </row>
    <row r="643">
      <c r="AH643" s="4"/>
      <c r="AI643" s="4"/>
    </row>
    <row r="644">
      <c r="AH644" s="4"/>
      <c r="AI644" s="4"/>
    </row>
    <row r="645">
      <c r="AH645" s="4"/>
      <c r="AI645" s="4"/>
    </row>
    <row r="646">
      <c r="AH646" s="4"/>
      <c r="AI646" s="4"/>
    </row>
    <row r="647">
      <c r="AH647" s="4"/>
      <c r="AI647" s="4"/>
    </row>
    <row r="648">
      <c r="AH648" s="4"/>
      <c r="AI648" s="4"/>
    </row>
    <row r="649">
      <c r="AH649" s="4"/>
      <c r="AI649" s="4"/>
    </row>
    <row r="650">
      <c r="AH650" s="4"/>
      <c r="AI650" s="4"/>
    </row>
    <row r="651">
      <c r="AH651" s="4"/>
      <c r="AI651" s="4"/>
    </row>
    <row r="652">
      <c r="AH652" s="4"/>
      <c r="AI652" s="4"/>
    </row>
    <row r="653">
      <c r="AH653" s="4"/>
      <c r="AI653" s="4"/>
    </row>
    <row r="654">
      <c r="AH654" s="4"/>
      <c r="AI654" s="4"/>
    </row>
    <row r="655">
      <c r="AH655" s="4"/>
      <c r="AI655" s="4"/>
    </row>
    <row r="656">
      <c r="AH656" s="4"/>
      <c r="AI656" s="4"/>
    </row>
    <row r="657">
      <c r="AH657" s="4"/>
      <c r="AI657" s="4"/>
    </row>
    <row r="658">
      <c r="AH658" s="4"/>
      <c r="AI658" s="4"/>
    </row>
    <row r="659">
      <c r="AH659" s="4"/>
      <c r="AI659" s="4"/>
    </row>
    <row r="660">
      <c r="AH660" s="4"/>
      <c r="AI660" s="4"/>
    </row>
    <row r="661">
      <c r="AH661" s="4"/>
      <c r="AI661" s="4"/>
    </row>
    <row r="662">
      <c r="AH662" s="4"/>
      <c r="AI662" s="4"/>
    </row>
    <row r="663">
      <c r="AH663" s="4"/>
      <c r="AI663" s="4"/>
    </row>
    <row r="664">
      <c r="AH664" s="4"/>
      <c r="AI664" s="4"/>
    </row>
    <row r="665">
      <c r="AH665" s="4"/>
      <c r="AI665" s="4"/>
    </row>
    <row r="666">
      <c r="AH666" s="4"/>
      <c r="AI666" s="4"/>
    </row>
    <row r="667">
      <c r="AH667" s="4"/>
      <c r="AI667" s="4"/>
    </row>
    <row r="668">
      <c r="AH668" s="4"/>
      <c r="AI668" s="4"/>
    </row>
    <row r="669">
      <c r="AH669" s="4"/>
      <c r="AI669" s="4"/>
    </row>
    <row r="670">
      <c r="AH670" s="4"/>
      <c r="AI670" s="4"/>
    </row>
    <row r="671">
      <c r="AH671" s="4"/>
      <c r="AI671" s="4"/>
    </row>
    <row r="672">
      <c r="AH672" s="4"/>
      <c r="AI672" s="4"/>
    </row>
    <row r="673">
      <c r="AH673" s="4"/>
      <c r="AI673" s="4"/>
    </row>
    <row r="674">
      <c r="AH674" s="4"/>
      <c r="AI674" s="4"/>
    </row>
    <row r="675">
      <c r="AH675" s="4"/>
      <c r="AI675" s="4"/>
    </row>
    <row r="676">
      <c r="AH676" s="4"/>
      <c r="AI676" s="4"/>
    </row>
    <row r="677">
      <c r="AH677" s="4"/>
      <c r="AI677" s="4"/>
    </row>
    <row r="678">
      <c r="AH678" s="4"/>
      <c r="AI678" s="4"/>
    </row>
    <row r="679">
      <c r="AH679" s="4"/>
      <c r="AI679" s="4"/>
    </row>
    <row r="680">
      <c r="AH680" s="4"/>
      <c r="AI680" s="4"/>
    </row>
    <row r="681">
      <c r="AH681" s="4"/>
      <c r="AI681" s="4"/>
    </row>
    <row r="682">
      <c r="AH682" s="4"/>
      <c r="AI682" s="4"/>
    </row>
    <row r="683">
      <c r="AH683" s="4"/>
      <c r="AI683" s="4"/>
    </row>
    <row r="684">
      <c r="AH684" s="4"/>
      <c r="AI684" s="4"/>
    </row>
    <row r="685">
      <c r="AH685" s="4"/>
      <c r="AI685" s="4"/>
    </row>
    <row r="686">
      <c r="AH686" s="4"/>
      <c r="AI686" s="4"/>
    </row>
    <row r="687">
      <c r="AH687" s="4"/>
      <c r="AI687" s="4"/>
    </row>
    <row r="688">
      <c r="AH688" s="4"/>
      <c r="AI688" s="4"/>
    </row>
    <row r="689">
      <c r="AH689" s="4"/>
      <c r="AI689" s="4"/>
    </row>
    <row r="690">
      <c r="AH690" s="4"/>
      <c r="AI690" s="4"/>
    </row>
    <row r="691">
      <c r="AH691" s="4"/>
      <c r="AI691" s="4"/>
    </row>
    <row r="692">
      <c r="AH692" s="4"/>
      <c r="AI692" s="4"/>
    </row>
    <row r="693">
      <c r="AH693" s="4"/>
      <c r="AI693" s="4"/>
    </row>
    <row r="694">
      <c r="AH694" s="4"/>
      <c r="AI694" s="4"/>
    </row>
    <row r="695">
      <c r="AH695" s="4"/>
      <c r="AI695" s="4"/>
    </row>
    <row r="696">
      <c r="AH696" s="4"/>
      <c r="AI696" s="4"/>
    </row>
    <row r="697">
      <c r="AH697" s="4"/>
      <c r="AI697" s="4"/>
    </row>
    <row r="698">
      <c r="AH698" s="4"/>
      <c r="AI698" s="4"/>
    </row>
    <row r="699">
      <c r="AH699" s="4"/>
      <c r="AI699" s="4"/>
    </row>
    <row r="700">
      <c r="AH700" s="4"/>
      <c r="AI700" s="4"/>
    </row>
    <row r="701">
      <c r="AH701" s="4"/>
      <c r="AI701" s="4"/>
    </row>
    <row r="702">
      <c r="AH702" s="4"/>
      <c r="AI702" s="4"/>
    </row>
    <row r="703">
      <c r="AH703" s="4"/>
      <c r="AI703" s="4"/>
    </row>
    <row r="704">
      <c r="AH704" s="4"/>
      <c r="AI704" s="4"/>
    </row>
    <row r="705">
      <c r="AH705" s="4"/>
      <c r="AI705" s="4"/>
    </row>
    <row r="706">
      <c r="AH706" s="4"/>
      <c r="AI706" s="4"/>
    </row>
    <row r="707">
      <c r="AH707" s="4"/>
      <c r="AI707" s="4"/>
    </row>
    <row r="708">
      <c r="AH708" s="4"/>
      <c r="AI708" s="4"/>
    </row>
    <row r="709">
      <c r="AH709" s="4"/>
      <c r="AI709" s="4"/>
    </row>
    <row r="710">
      <c r="AH710" s="4"/>
      <c r="AI710" s="4"/>
    </row>
    <row r="711">
      <c r="AH711" s="4"/>
      <c r="AI711" s="4"/>
    </row>
    <row r="712">
      <c r="AH712" s="4"/>
      <c r="AI712" s="4"/>
    </row>
    <row r="713">
      <c r="AH713" s="4"/>
      <c r="AI713" s="4"/>
    </row>
    <row r="714">
      <c r="AH714" s="4"/>
      <c r="AI714" s="4"/>
    </row>
    <row r="715">
      <c r="AH715" s="4"/>
      <c r="AI715" s="4"/>
    </row>
    <row r="716">
      <c r="AH716" s="4"/>
      <c r="AI716" s="4"/>
    </row>
    <row r="717">
      <c r="AH717" s="4"/>
      <c r="AI717" s="4"/>
    </row>
    <row r="718">
      <c r="AH718" s="4"/>
      <c r="AI718" s="4"/>
    </row>
    <row r="719">
      <c r="AH719" s="4"/>
      <c r="AI719" s="4"/>
    </row>
    <row r="720">
      <c r="AH720" s="4"/>
      <c r="AI720" s="4"/>
    </row>
    <row r="721">
      <c r="AH721" s="4"/>
      <c r="AI721" s="4"/>
    </row>
    <row r="722">
      <c r="AH722" s="4"/>
      <c r="AI722" s="4"/>
    </row>
    <row r="723">
      <c r="AH723" s="4"/>
      <c r="AI723" s="4"/>
    </row>
    <row r="724">
      <c r="AH724" s="4"/>
      <c r="AI724" s="4"/>
    </row>
    <row r="725">
      <c r="AH725" s="4"/>
      <c r="AI725" s="4"/>
    </row>
    <row r="726">
      <c r="AH726" s="4"/>
      <c r="AI726" s="4"/>
    </row>
    <row r="727">
      <c r="AH727" s="4"/>
      <c r="AI727" s="4"/>
    </row>
    <row r="728">
      <c r="AH728" s="4"/>
      <c r="AI728" s="4"/>
    </row>
    <row r="729">
      <c r="AH729" s="4"/>
      <c r="AI729" s="4"/>
    </row>
    <row r="730">
      <c r="AH730" s="4"/>
      <c r="AI730" s="4"/>
    </row>
    <row r="731">
      <c r="AH731" s="4"/>
      <c r="AI731" s="4"/>
    </row>
    <row r="732">
      <c r="AH732" s="4"/>
      <c r="AI732" s="4"/>
    </row>
    <row r="733">
      <c r="AH733" s="4"/>
      <c r="AI733" s="4"/>
    </row>
    <row r="734">
      <c r="AH734" s="4"/>
      <c r="AI734" s="4"/>
    </row>
    <row r="735">
      <c r="AH735" s="4"/>
      <c r="AI735" s="4"/>
    </row>
    <row r="736">
      <c r="AH736" s="4"/>
      <c r="AI736" s="4"/>
    </row>
    <row r="737">
      <c r="AH737" s="4"/>
      <c r="AI737" s="4"/>
    </row>
    <row r="738">
      <c r="AH738" s="4"/>
      <c r="AI738" s="4"/>
    </row>
    <row r="739">
      <c r="AH739" s="4"/>
      <c r="AI739" s="4"/>
    </row>
    <row r="740">
      <c r="AH740" s="4"/>
      <c r="AI740" s="4"/>
    </row>
    <row r="741">
      <c r="AH741" s="4"/>
      <c r="AI741" s="4"/>
    </row>
    <row r="742">
      <c r="AH742" s="4"/>
      <c r="AI742" s="4"/>
    </row>
    <row r="743">
      <c r="AH743" s="4"/>
      <c r="AI743" s="4"/>
    </row>
    <row r="744">
      <c r="AH744" s="4"/>
      <c r="AI744" s="4"/>
    </row>
    <row r="745">
      <c r="AH745" s="4"/>
      <c r="AI745" s="4"/>
    </row>
    <row r="746">
      <c r="AH746" s="4"/>
      <c r="AI746" s="4"/>
    </row>
    <row r="747">
      <c r="AH747" s="4"/>
      <c r="AI747" s="4"/>
    </row>
    <row r="748">
      <c r="AH748" s="4"/>
      <c r="AI748" s="4"/>
    </row>
    <row r="749">
      <c r="AH749" s="4"/>
      <c r="AI749" s="4"/>
    </row>
    <row r="750">
      <c r="AH750" s="4"/>
      <c r="AI750" s="4"/>
    </row>
    <row r="751">
      <c r="AH751" s="4"/>
      <c r="AI751" s="4"/>
    </row>
    <row r="752">
      <c r="AH752" s="4"/>
      <c r="AI752" s="4"/>
    </row>
    <row r="753">
      <c r="AH753" s="4"/>
      <c r="AI753" s="4"/>
    </row>
    <row r="754">
      <c r="AH754" s="4"/>
      <c r="AI754" s="4"/>
    </row>
    <row r="755">
      <c r="AH755" s="4"/>
      <c r="AI755" s="4"/>
    </row>
    <row r="756">
      <c r="AH756" s="4"/>
      <c r="AI756" s="4"/>
    </row>
    <row r="757">
      <c r="AH757" s="4"/>
      <c r="AI757" s="4"/>
    </row>
    <row r="758">
      <c r="AH758" s="4"/>
      <c r="AI758" s="4"/>
    </row>
    <row r="759">
      <c r="AH759" s="4"/>
      <c r="AI759" s="4"/>
    </row>
    <row r="760">
      <c r="AH760" s="4"/>
      <c r="AI760" s="4"/>
    </row>
    <row r="761">
      <c r="AH761" s="4"/>
      <c r="AI761" s="4"/>
    </row>
    <row r="762">
      <c r="AH762" s="4"/>
      <c r="AI762" s="4"/>
    </row>
    <row r="763">
      <c r="AH763" s="4"/>
      <c r="AI763" s="4"/>
    </row>
    <row r="764">
      <c r="AH764" s="4"/>
      <c r="AI764" s="4"/>
    </row>
    <row r="765">
      <c r="AH765" s="4"/>
      <c r="AI765" s="4"/>
    </row>
    <row r="766">
      <c r="AH766" s="4"/>
      <c r="AI766" s="4"/>
    </row>
    <row r="767">
      <c r="AH767" s="4"/>
      <c r="AI767" s="4"/>
    </row>
    <row r="768">
      <c r="AH768" s="4"/>
      <c r="AI768" s="4"/>
    </row>
    <row r="769">
      <c r="AH769" s="4"/>
      <c r="AI769" s="4"/>
    </row>
    <row r="770">
      <c r="AH770" s="4"/>
      <c r="AI770" s="4"/>
    </row>
    <row r="771">
      <c r="AH771" s="4"/>
      <c r="AI771" s="4"/>
    </row>
    <row r="772">
      <c r="AH772" s="4"/>
      <c r="AI772" s="4"/>
    </row>
    <row r="773">
      <c r="AH773" s="4"/>
      <c r="AI773" s="4"/>
    </row>
    <row r="774">
      <c r="AH774" s="4"/>
      <c r="AI774" s="4"/>
    </row>
    <row r="775">
      <c r="AH775" s="4"/>
      <c r="AI775" s="4"/>
    </row>
    <row r="776">
      <c r="AH776" s="4"/>
      <c r="AI776" s="4"/>
    </row>
    <row r="777">
      <c r="AH777" s="4"/>
      <c r="AI777" s="4"/>
    </row>
    <row r="778">
      <c r="AH778" s="4"/>
      <c r="AI778" s="4"/>
    </row>
    <row r="779">
      <c r="AH779" s="4"/>
      <c r="AI779" s="4"/>
    </row>
    <row r="780">
      <c r="AH780" s="4"/>
      <c r="AI780" s="4"/>
    </row>
    <row r="781">
      <c r="AH781" s="4"/>
      <c r="AI781" s="4"/>
    </row>
    <row r="782">
      <c r="AH782" s="4"/>
      <c r="AI782" s="4"/>
    </row>
    <row r="783">
      <c r="AH783" s="4"/>
      <c r="AI783" s="4"/>
    </row>
    <row r="784">
      <c r="AH784" s="4"/>
      <c r="AI784" s="4"/>
    </row>
    <row r="785">
      <c r="AH785" s="4"/>
      <c r="AI785" s="4"/>
    </row>
    <row r="786">
      <c r="AH786" s="4"/>
      <c r="AI786" s="4"/>
    </row>
    <row r="787">
      <c r="AH787" s="4"/>
      <c r="AI787" s="4"/>
    </row>
    <row r="788">
      <c r="AH788" s="4"/>
      <c r="AI788" s="4"/>
    </row>
    <row r="789">
      <c r="AH789" s="4"/>
      <c r="AI789" s="4"/>
    </row>
    <row r="790">
      <c r="AH790" s="4"/>
      <c r="AI790" s="4"/>
    </row>
    <row r="791">
      <c r="AH791" s="4"/>
      <c r="AI791" s="4"/>
    </row>
    <row r="792">
      <c r="AH792" s="4"/>
      <c r="AI792" s="4"/>
    </row>
    <row r="793">
      <c r="AH793" s="4"/>
      <c r="AI793" s="4"/>
    </row>
    <row r="794">
      <c r="AH794" s="4"/>
      <c r="AI794" s="4"/>
    </row>
    <row r="795">
      <c r="AH795" s="4"/>
      <c r="AI795" s="4"/>
    </row>
    <row r="796">
      <c r="AH796" s="4"/>
      <c r="AI796" s="4"/>
    </row>
    <row r="797">
      <c r="AH797" s="4"/>
      <c r="AI797" s="4"/>
    </row>
    <row r="798">
      <c r="AH798" s="4"/>
      <c r="AI798" s="4"/>
    </row>
    <row r="799">
      <c r="AH799" s="4"/>
      <c r="AI799" s="4"/>
    </row>
    <row r="800">
      <c r="AH800" s="4"/>
      <c r="AI800" s="4"/>
    </row>
    <row r="801">
      <c r="AH801" s="4"/>
      <c r="AI801" s="4"/>
    </row>
    <row r="802">
      <c r="AH802" s="4"/>
      <c r="AI802" s="4"/>
    </row>
    <row r="803">
      <c r="AH803" s="4"/>
      <c r="AI803" s="4"/>
    </row>
    <row r="804">
      <c r="AH804" s="4"/>
      <c r="AI804" s="4"/>
    </row>
    <row r="805">
      <c r="AH805" s="4"/>
      <c r="AI805" s="4"/>
    </row>
    <row r="806">
      <c r="AH806" s="4"/>
      <c r="AI806" s="4"/>
    </row>
    <row r="807">
      <c r="AH807" s="4"/>
      <c r="AI807" s="4"/>
    </row>
    <row r="808">
      <c r="AH808" s="4"/>
      <c r="AI808" s="4"/>
    </row>
    <row r="809">
      <c r="AH809" s="4"/>
      <c r="AI809" s="4"/>
    </row>
    <row r="810">
      <c r="AH810" s="4"/>
      <c r="AI810" s="4"/>
    </row>
    <row r="811">
      <c r="AH811" s="4"/>
      <c r="AI811" s="4"/>
    </row>
    <row r="812">
      <c r="AH812" s="4"/>
      <c r="AI812" s="4"/>
    </row>
    <row r="813">
      <c r="AH813" s="4"/>
      <c r="AI813" s="4"/>
    </row>
    <row r="814">
      <c r="AH814" s="4"/>
      <c r="AI814" s="4"/>
    </row>
    <row r="815">
      <c r="AH815" s="4"/>
      <c r="AI815" s="4"/>
    </row>
    <row r="816">
      <c r="AH816" s="4"/>
      <c r="AI816" s="4"/>
    </row>
    <row r="817">
      <c r="AH817" s="4"/>
      <c r="AI817" s="4"/>
    </row>
    <row r="818">
      <c r="AH818" s="4"/>
      <c r="AI818" s="4"/>
    </row>
    <row r="819">
      <c r="AH819" s="4"/>
      <c r="AI819" s="4"/>
    </row>
    <row r="820">
      <c r="AH820" s="4"/>
      <c r="AI820" s="4"/>
    </row>
    <row r="821">
      <c r="AH821" s="4"/>
      <c r="AI821" s="4"/>
    </row>
    <row r="822">
      <c r="AH822" s="4"/>
      <c r="AI822" s="4"/>
    </row>
    <row r="823">
      <c r="AH823" s="4"/>
      <c r="AI823" s="4"/>
    </row>
    <row r="824">
      <c r="AH824" s="4"/>
      <c r="AI824" s="4"/>
    </row>
    <row r="825">
      <c r="AH825" s="4"/>
      <c r="AI825" s="4"/>
    </row>
    <row r="826">
      <c r="AH826" s="4"/>
      <c r="AI826" s="4"/>
    </row>
    <row r="827">
      <c r="AH827" s="4"/>
      <c r="AI827" s="4"/>
    </row>
    <row r="828">
      <c r="AH828" s="4"/>
      <c r="AI828" s="4"/>
    </row>
    <row r="829">
      <c r="AH829" s="4"/>
      <c r="AI829" s="4"/>
    </row>
    <row r="830">
      <c r="AH830" s="4"/>
      <c r="AI830" s="4"/>
    </row>
    <row r="831">
      <c r="AH831" s="4"/>
      <c r="AI831" s="4"/>
    </row>
    <row r="832">
      <c r="AH832" s="4"/>
      <c r="AI832" s="4"/>
    </row>
    <row r="833">
      <c r="AH833" s="4"/>
      <c r="AI833" s="4"/>
    </row>
    <row r="834">
      <c r="AH834" s="4"/>
      <c r="AI834" s="4"/>
    </row>
    <row r="835">
      <c r="AH835" s="4"/>
      <c r="AI835" s="4"/>
    </row>
    <row r="836">
      <c r="AH836" s="4"/>
      <c r="AI836" s="4"/>
    </row>
    <row r="837">
      <c r="AH837" s="4"/>
      <c r="AI837" s="4"/>
    </row>
    <row r="838">
      <c r="AH838" s="4"/>
      <c r="AI838" s="4"/>
    </row>
    <row r="839">
      <c r="AH839" s="4"/>
      <c r="AI839" s="4"/>
    </row>
    <row r="840">
      <c r="AH840" s="4"/>
      <c r="AI840" s="4"/>
    </row>
    <row r="841">
      <c r="AH841" s="4"/>
      <c r="AI841" s="4"/>
    </row>
    <row r="842">
      <c r="AH842" s="4"/>
      <c r="AI842" s="4"/>
    </row>
    <row r="843">
      <c r="AH843" s="4"/>
      <c r="AI843" s="4"/>
    </row>
    <row r="844">
      <c r="AH844" s="4"/>
      <c r="AI844" s="4"/>
    </row>
    <row r="845">
      <c r="AH845" s="4"/>
      <c r="AI845" s="4"/>
    </row>
    <row r="846">
      <c r="AH846" s="4"/>
      <c r="AI846" s="4"/>
    </row>
    <row r="847">
      <c r="AH847" s="4"/>
      <c r="AI847" s="4"/>
    </row>
    <row r="848">
      <c r="AH848" s="4"/>
      <c r="AI848" s="4"/>
    </row>
    <row r="849">
      <c r="AH849" s="4"/>
      <c r="AI849" s="4"/>
    </row>
    <row r="850">
      <c r="AH850" s="4"/>
      <c r="AI850" s="4"/>
    </row>
    <row r="851">
      <c r="AH851" s="4"/>
      <c r="AI851" s="4"/>
    </row>
    <row r="852">
      <c r="AH852" s="4"/>
      <c r="AI852" s="4"/>
    </row>
    <row r="853">
      <c r="AH853" s="4"/>
      <c r="AI853" s="4"/>
    </row>
    <row r="854">
      <c r="AH854" s="4"/>
      <c r="AI854" s="4"/>
    </row>
    <row r="855">
      <c r="AH855" s="4"/>
      <c r="AI855" s="4"/>
    </row>
    <row r="856">
      <c r="AH856" s="4"/>
      <c r="AI856" s="4"/>
    </row>
    <row r="857">
      <c r="AH857" s="4"/>
      <c r="AI857" s="4"/>
    </row>
    <row r="858">
      <c r="AH858" s="4"/>
      <c r="AI858" s="4"/>
    </row>
    <row r="859">
      <c r="AH859" s="4"/>
      <c r="AI859" s="4"/>
    </row>
    <row r="860">
      <c r="AH860" s="4"/>
      <c r="AI860" s="4"/>
    </row>
    <row r="861">
      <c r="AH861" s="4"/>
      <c r="AI861" s="4"/>
    </row>
    <row r="862">
      <c r="AH862" s="4"/>
      <c r="AI862" s="4"/>
    </row>
    <row r="863">
      <c r="AH863" s="4"/>
      <c r="AI863" s="4"/>
    </row>
    <row r="864">
      <c r="AH864" s="4"/>
      <c r="AI864" s="4"/>
    </row>
    <row r="865">
      <c r="AH865" s="4"/>
      <c r="AI865" s="4"/>
    </row>
    <row r="866">
      <c r="AH866" s="4"/>
      <c r="AI866" s="4"/>
    </row>
    <row r="867">
      <c r="AH867" s="4"/>
      <c r="AI867" s="4"/>
    </row>
    <row r="868">
      <c r="AH868" s="4"/>
      <c r="AI868" s="4"/>
    </row>
    <row r="869">
      <c r="AH869" s="4"/>
      <c r="AI869" s="4"/>
    </row>
    <row r="870">
      <c r="AH870" s="4"/>
      <c r="AI870" s="4"/>
    </row>
    <row r="871">
      <c r="AH871" s="4"/>
      <c r="AI871" s="4"/>
    </row>
    <row r="872">
      <c r="AH872" s="4"/>
      <c r="AI872" s="4"/>
    </row>
    <row r="873">
      <c r="AH873" s="4"/>
      <c r="AI873" s="4"/>
    </row>
    <row r="874">
      <c r="AH874" s="4"/>
      <c r="AI874" s="4"/>
    </row>
    <row r="875">
      <c r="AH875" s="4"/>
      <c r="AI875" s="4"/>
    </row>
    <row r="876">
      <c r="AH876" s="4"/>
      <c r="AI876" s="4"/>
    </row>
    <row r="877">
      <c r="AH877" s="4"/>
      <c r="AI877" s="4"/>
    </row>
    <row r="878">
      <c r="AH878" s="4"/>
      <c r="AI878" s="4"/>
    </row>
    <row r="879">
      <c r="AH879" s="4"/>
      <c r="AI879" s="4"/>
    </row>
    <row r="880">
      <c r="AH880" s="4"/>
      <c r="AI880" s="4"/>
    </row>
    <row r="881">
      <c r="AH881" s="4"/>
      <c r="AI881" s="4"/>
    </row>
    <row r="882">
      <c r="AH882" s="4"/>
      <c r="AI882" s="4"/>
    </row>
    <row r="883">
      <c r="AH883" s="4"/>
      <c r="AI883" s="4"/>
    </row>
    <row r="884">
      <c r="AH884" s="4"/>
      <c r="AI884" s="4"/>
    </row>
    <row r="885">
      <c r="AH885" s="4"/>
      <c r="AI885" s="4"/>
    </row>
    <row r="886">
      <c r="AH886" s="4"/>
      <c r="AI886" s="4"/>
    </row>
    <row r="887">
      <c r="AH887" s="4"/>
      <c r="AI887" s="4"/>
    </row>
    <row r="888">
      <c r="AH888" s="4"/>
      <c r="AI888" s="4"/>
    </row>
    <row r="889">
      <c r="AH889" s="4"/>
      <c r="AI889" s="4"/>
    </row>
    <row r="890">
      <c r="AH890" s="4"/>
      <c r="AI890" s="4"/>
    </row>
    <row r="891">
      <c r="AH891" s="4"/>
      <c r="AI891" s="4"/>
    </row>
    <row r="892">
      <c r="AH892" s="4"/>
      <c r="AI892" s="4"/>
    </row>
    <row r="893">
      <c r="AH893" s="4"/>
      <c r="AI893" s="4"/>
    </row>
    <row r="894">
      <c r="AH894" s="4"/>
      <c r="AI894" s="4"/>
    </row>
    <row r="895">
      <c r="AH895" s="4"/>
      <c r="AI895" s="4"/>
    </row>
    <row r="896">
      <c r="AH896" s="4"/>
      <c r="AI896" s="4"/>
    </row>
    <row r="897">
      <c r="AH897" s="4"/>
      <c r="AI897" s="4"/>
    </row>
    <row r="898">
      <c r="AH898" s="4"/>
      <c r="AI898" s="4"/>
    </row>
    <row r="899">
      <c r="AH899" s="4"/>
      <c r="AI899" s="4"/>
    </row>
    <row r="900">
      <c r="AH900" s="4"/>
      <c r="AI900" s="4"/>
    </row>
    <row r="901">
      <c r="AH901" s="4"/>
      <c r="AI901" s="4"/>
    </row>
    <row r="902">
      <c r="AH902" s="4"/>
      <c r="AI902" s="4"/>
    </row>
    <row r="903">
      <c r="AH903" s="4"/>
      <c r="AI903" s="4"/>
    </row>
    <row r="904">
      <c r="AH904" s="4"/>
      <c r="AI904" s="4"/>
    </row>
    <row r="905">
      <c r="AH905" s="4"/>
      <c r="AI905" s="4"/>
    </row>
    <row r="906">
      <c r="AH906" s="4"/>
      <c r="AI906" s="4"/>
    </row>
    <row r="907">
      <c r="AH907" s="4"/>
      <c r="AI907" s="4"/>
    </row>
    <row r="908">
      <c r="AH908" s="4"/>
      <c r="AI908" s="4"/>
    </row>
    <row r="909">
      <c r="AH909" s="4"/>
      <c r="AI909" s="4"/>
    </row>
    <row r="910">
      <c r="AH910" s="4"/>
      <c r="AI910" s="4"/>
    </row>
    <row r="911">
      <c r="AH911" s="4"/>
      <c r="AI911" s="4"/>
    </row>
    <row r="912">
      <c r="AH912" s="4"/>
      <c r="AI912" s="4"/>
    </row>
    <row r="913">
      <c r="AH913" s="4"/>
      <c r="AI913" s="4"/>
    </row>
    <row r="914">
      <c r="AH914" s="4"/>
      <c r="AI914" s="4"/>
    </row>
    <row r="915">
      <c r="AH915" s="4"/>
      <c r="AI915" s="4"/>
    </row>
    <row r="916">
      <c r="AH916" s="4"/>
      <c r="AI916" s="4"/>
    </row>
    <row r="917">
      <c r="AH917" s="4"/>
      <c r="AI917" s="4"/>
    </row>
    <row r="918">
      <c r="AH918" s="4"/>
      <c r="AI918" s="4"/>
    </row>
    <row r="919">
      <c r="AH919" s="4"/>
      <c r="AI919" s="4"/>
    </row>
    <row r="920">
      <c r="AH920" s="4"/>
      <c r="AI920" s="4"/>
    </row>
    <row r="921">
      <c r="AH921" s="4"/>
      <c r="AI921" s="4"/>
    </row>
    <row r="922">
      <c r="AH922" s="4"/>
      <c r="AI922" s="4"/>
    </row>
    <row r="923">
      <c r="AH923" s="4"/>
      <c r="AI923" s="4"/>
    </row>
    <row r="924">
      <c r="AH924" s="4"/>
      <c r="AI924" s="4"/>
    </row>
    <row r="925">
      <c r="AH925" s="4"/>
      <c r="AI925" s="4"/>
    </row>
    <row r="926">
      <c r="AH926" s="4"/>
      <c r="AI926" s="4"/>
    </row>
    <row r="927">
      <c r="AH927" s="4"/>
      <c r="AI927" s="4"/>
    </row>
    <row r="928">
      <c r="AH928" s="4"/>
      <c r="AI928" s="4"/>
    </row>
    <row r="929">
      <c r="AH929" s="4"/>
      <c r="AI929" s="4"/>
    </row>
    <row r="930">
      <c r="AH930" s="4"/>
      <c r="AI930" s="4"/>
    </row>
    <row r="931">
      <c r="AH931" s="4"/>
      <c r="AI931" s="4"/>
    </row>
    <row r="932">
      <c r="AH932" s="4"/>
      <c r="AI932" s="4"/>
    </row>
    <row r="933">
      <c r="AH933" s="4"/>
      <c r="AI933" s="4"/>
    </row>
    <row r="934">
      <c r="AH934" s="4"/>
      <c r="AI934" s="4"/>
    </row>
    <row r="935">
      <c r="AH935" s="4"/>
      <c r="AI935" s="4"/>
    </row>
    <row r="936">
      <c r="AH936" s="4"/>
      <c r="AI936" s="4"/>
    </row>
    <row r="937">
      <c r="AH937" s="4"/>
      <c r="AI937" s="4"/>
    </row>
    <row r="938">
      <c r="AH938" s="4"/>
      <c r="AI938" s="4"/>
    </row>
    <row r="939">
      <c r="AH939" s="4"/>
      <c r="AI939" s="4"/>
    </row>
    <row r="940">
      <c r="AH940" s="4"/>
      <c r="AI940" s="4"/>
    </row>
    <row r="941">
      <c r="AH941" s="4"/>
      <c r="AI941" s="4"/>
    </row>
    <row r="942">
      <c r="AH942" s="4"/>
      <c r="AI942" s="4"/>
    </row>
    <row r="943">
      <c r="AH943" s="4"/>
      <c r="AI943" s="4"/>
    </row>
    <row r="944">
      <c r="AH944" s="4"/>
      <c r="AI944" s="4"/>
    </row>
    <row r="945">
      <c r="AH945" s="4"/>
      <c r="AI945" s="4"/>
    </row>
    <row r="946">
      <c r="AH946" s="4"/>
      <c r="AI946" s="4"/>
    </row>
    <row r="947">
      <c r="AH947" s="4"/>
      <c r="AI947" s="4"/>
    </row>
    <row r="948">
      <c r="AH948" s="4"/>
      <c r="AI948" s="4"/>
    </row>
    <row r="949">
      <c r="AH949" s="4"/>
      <c r="AI949" s="4"/>
    </row>
    <row r="950">
      <c r="AH950" s="4"/>
      <c r="AI950" s="4"/>
    </row>
    <row r="951">
      <c r="AH951" s="4"/>
      <c r="AI951" s="4"/>
    </row>
    <row r="952">
      <c r="AH952" s="4"/>
      <c r="AI952" s="4"/>
    </row>
    <row r="953">
      <c r="AH953" s="4"/>
      <c r="AI953" s="4"/>
    </row>
    <row r="954">
      <c r="AH954" s="4"/>
      <c r="AI954" s="4"/>
    </row>
    <row r="955">
      <c r="AH955" s="4"/>
      <c r="AI955" s="4"/>
    </row>
    <row r="956">
      <c r="AH956" s="4"/>
      <c r="AI956" s="4"/>
    </row>
    <row r="957">
      <c r="AH957" s="4"/>
      <c r="AI957" s="4"/>
    </row>
    <row r="958">
      <c r="AH958" s="4"/>
      <c r="AI958" s="4"/>
    </row>
    <row r="959">
      <c r="AH959" s="4"/>
      <c r="AI959" s="4"/>
    </row>
    <row r="960">
      <c r="AH960" s="4"/>
      <c r="AI960" s="4"/>
    </row>
    <row r="961">
      <c r="AH961" s="4"/>
      <c r="AI961" s="4"/>
    </row>
    <row r="962">
      <c r="AH962" s="4"/>
      <c r="AI962" s="4"/>
    </row>
    <row r="963">
      <c r="AH963" s="4"/>
      <c r="AI963" s="4"/>
    </row>
    <row r="964">
      <c r="AH964" s="4"/>
      <c r="AI964" s="4"/>
    </row>
    <row r="965">
      <c r="AH965" s="4"/>
      <c r="AI965" s="4"/>
    </row>
    <row r="966">
      <c r="AH966" s="4"/>
      <c r="AI966" s="4"/>
    </row>
    <row r="967">
      <c r="AH967" s="4"/>
      <c r="AI967" s="4"/>
    </row>
    <row r="968">
      <c r="AH968" s="4"/>
      <c r="AI968" s="4"/>
    </row>
    <row r="969">
      <c r="AH969" s="4"/>
      <c r="AI969" s="4"/>
    </row>
    <row r="970">
      <c r="AH970" s="4"/>
      <c r="AI970" s="4"/>
    </row>
    <row r="971">
      <c r="AH971" s="4"/>
      <c r="AI971" s="4"/>
    </row>
    <row r="972">
      <c r="AH972" s="4"/>
      <c r="AI972" s="4"/>
    </row>
    <row r="973">
      <c r="AH973" s="4"/>
      <c r="AI973" s="4"/>
    </row>
    <row r="974">
      <c r="AH974" s="4"/>
      <c r="AI974" s="4"/>
    </row>
    <row r="975">
      <c r="AH975" s="4"/>
      <c r="AI975" s="4"/>
    </row>
    <row r="976">
      <c r="AH976" s="4"/>
      <c r="AI976" s="4"/>
    </row>
    <row r="977">
      <c r="AH977" s="4"/>
      <c r="AI977" s="4"/>
    </row>
    <row r="978">
      <c r="AH978" s="4"/>
      <c r="AI978" s="4"/>
    </row>
    <row r="979">
      <c r="AH979" s="4"/>
      <c r="AI979" s="4"/>
    </row>
    <row r="980">
      <c r="AH980" s="4"/>
      <c r="AI980" s="4"/>
    </row>
    <row r="981">
      <c r="AH981" s="4"/>
      <c r="AI981" s="4"/>
    </row>
    <row r="982">
      <c r="AH982" s="4"/>
      <c r="AI982" s="4"/>
    </row>
    <row r="983">
      <c r="AH983" s="4"/>
      <c r="AI983" s="4"/>
    </row>
    <row r="984">
      <c r="AH984" s="4"/>
      <c r="AI984" s="4"/>
    </row>
    <row r="985">
      <c r="AH985" s="4"/>
      <c r="AI985" s="4"/>
    </row>
    <row r="986">
      <c r="AH986" s="4"/>
      <c r="AI986" s="4"/>
    </row>
    <row r="987">
      <c r="AH987" s="4"/>
      <c r="AI987" s="4"/>
    </row>
    <row r="988">
      <c r="AH988" s="4"/>
      <c r="AI988" s="4"/>
    </row>
    <row r="989">
      <c r="AH989" s="4"/>
      <c r="AI989" s="4"/>
    </row>
    <row r="990">
      <c r="AH990" s="4"/>
      <c r="AI990" s="4"/>
    </row>
    <row r="991">
      <c r="AH991" s="4"/>
      <c r="AI991" s="4"/>
    </row>
    <row r="992">
      <c r="AH992" s="4"/>
      <c r="AI992" s="4"/>
    </row>
    <row r="993">
      <c r="AH993" s="4"/>
      <c r="AI993" s="4"/>
    </row>
    <row r="994">
      <c r="AH994" s="4"/>
      <c r="AI994" s="4"/>
    </row>
    <row r="995">
      <c r="AH995" s="4"/>
      <c r="AI995" s="4"/>
    </row>
    <row r="996">
      <c r="AH996" s="4"/>
      <c r="AI996" s="4"/>
    </row>
    <row r="997">
      <c r="AH997" s="4"/>
      <c r="AI997" s="4"/>
    </row>
    <row r="998">
      <c r="AH998" s="4"/>
      <c r="AI998" s="4"/>
    </row>
    <row r="999">
      <c r="AH999" s="4"/>
      <c r="AI999" s="4"/>
    </row>
    <row r="1000">
      <c r="AH1000" s="4"/>
      <c r="AI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3.75"/>
  </cols>
  <sheetData>
    <row r="1">
      <c r="B1" s="3" t="s">
        <v>0</v>
      </c>
    </row>
    <row r="2">
      <c r="I2" s="5">
        <f>sqrt(3)</f>
        <v>1.732050808</v>
      </c>
      <c r="J2" s="3">
        <f>1/I2</f>
        <v>0.5773502692</v>
      </c>
    </row>
    <row r="3">
      <c r="B3" s="3" t="s">
        <v>1</v>
      </c>
      <c r="C3" s="3" t="s">
        <v>2</v>
      </c>
      <c r="D3" s="3" t="s">
        <v>3</v>
      </c>
      <c r="F3" s="3" t="s">
        <v>4</v>
      </c>
      <c r="G3" s="3" t="s">
        <v>5</v>
      </c>
    </row>
    <row r="4">
      <c r="B4" s="3">
        <v>1.0</v>
      </c>
      <c r="C4" s="3">
        <v>2.0</v>
      </c>
      <c r="D4" s="5">
        <f t="shared" ref="D4:D12" si="1">C4*sqrt(3)</f>
        <v>3.464101615</v>
      </c>
    </row>
    <row r="5">
      <c r="B5" s="3">
        <v>2.0</v>
      </c>
      <c r="C5" s="5">
        <f t="shared" ref="C5:C13" si="2">floor(D4,1)</f>
        <v>3</v>
      </c>
      <c r="D5" s="5">
        <f t="shared" si="1"/>
        <v>5.196152423</v>
      </c>
      <c r="F5" s="5">
        <f t="shared" ref="F5:F13" si="3">C4</f>
        <v>2</v>
      </c>
      <c r="G5" s="5">
        <f t="shared" ref="G5:G13" si="4">C5-F5</f>
        <v>1</v>
      </c>
      <c r="I5" s="5">
        <f t="shared" ref="I5:I13" si="5">G5/F5</f>
        <v>0.5</v>
      </c>
      <c r="J5" s="5">
        <f t="shared" ref="J5:J13" si="6">(G5+1)/F5</f>
        <v>1</v>
      </c>
      <c r="K5" s="5">
        <f t="shared" ref="K5:K13" si="7">F5*(sqrt(3)-1)</f>
        <v>1.464101615</v>
      </c>
      <c r="M5" s="3">
        <v>47.0</v>
      </c>
      <c r="N5" s="5">
        <f t="shared" ref="N5:N13" si="8">M5*$J$2</f>
        <v>27.13546265</v>
      </c>
      <c r="O5" s="5">
        <f t="shared" ref="O5:O13" si="9">M5*$I$2</f>
        <v>81.40638796</v>
      </c>
    </row>
    <row r="6">
      <c r="B6" s="3">
        <v>3.0</v>
      </c>
      <c r="C6" s="5">
        <f t="shared" si="2"/>
        <v>5</v>
      </c>
      <c r="D6" s="5">
        <f t="shared" si="1"/>
        <v>8.660254038</v>
      </c>
      <c r="F6" s="5">
        <f t="shared" si="3"/>
        <v>3</v>
      </c>
      <c r="G6" s="5">
        <f t="shared" si="4"/>
        <v>2</v>
      </c>
      <c r="H6" s="5">
        <f t="shared" ref="H6:H13" si="10">G6/G5</f>
        <v>2</v>
      </c>
      <c r="I6" s="5">
        <f t="shared" si="5"/>
        <v>0.6666666667</v>
      </c>
      <c r="J6" s="5">
        <f t="shared" si="6"/>
        <v>1</v>
      </c>
      <c r="K6" s="5">
        <f t="shared" si="7"/>
        <v>2.196152423</v>
      </c>
      <c r="M6" s="3">
        <v>65.0</v>
      </c>
      <c r="N6" s="5">
        <f t="shared" si="8"/>
        <v>37.5277675</v>
      </c>
      <c r="O6" s="5">
        <f t="shared" si="9"/>
        <v>112.5833025</v>
      </c>
    </row>
    <row r="7">
      <c r="B7" s="3">
        <v>4.0</v>
      </c>
      <c r="C7" s="5">
        <f t="shared" si="2"/>
        <v>8</v>
      </c>
      <c r="D7" s="5">
        <f t="shared" si="1"/>
        <v>13.85640646</v>
      </c>
      <c r="F7" s="5">
        <f t="shared" si="3"/>
        <v>5</v>
      </c>
      <c r="G7" s="5">
        <f t="shared" si="4"/>
        <v>3</v>
      </c>
      <c r="H7" s="5">
        <f t="shared" si="10"/>
        <v>1.5</v>
      </c>
      <c r="I7" s="5">
        <f t="shared" si="5"/>
        <v>0.6</v>
      </c>
      <c r="J7" s="5">
        <f t="shared" si="6"/>
        <v>0.8</v>
      </c>
      <c r="K7" s="5">
        <f t="shared" si="7"/>
        <v>3.660254038</v>
      </c>
      <c r="M7" s="3">
        <v>27.0</v>
      </c>
      <c r="N7" s="5">
        <f t="shared" si="8"/>
        <v>15.58845727</v>
      </c>
      <c r="O7" s="5">
        <f t="shared" si="9"/>
        <v>46.7653718</v>
      </c>
    </row>
    <row r="8">
      <c r="B8" s="3">
        <v>5.0</v>
      </c>
      <c r="C8" s="5">
        <f t="shared" si="2"/>
        <v>13</v>
      </c>
      <c r="D8" s="5">
        <f t="shared" si="1"/>
        <v>22.5166605</v>
      </c>
      <c r="F8" s="5">
        <f t="shared" si="3"/>
        <v>8</v>
      </c>
      <c r="G8" s="5">
        <f t="shared" si="4"/>
        <v>5</v>
      </c>
      <c r="H8" s="5">
        <f t="shared" si="10"/>
        <v>1.666666667</v>
      </c>
      <c r="I8" s="5">
        <f t="shared" si="5"/>
        <v>0.625</v>
      </c>
      <c r="J8" s="5">
        <f t="shared" si="6"/>
        <v>0.75</v>
      </c>
      <c r="K8" s="5">
        <f t="shared" si="7"/>
        <v>5.856406461</v>
      </c>
      <c r="M8" s="3">
        <v>38.0</v>
      </c>
      <c r="N8" s="5">
        <f t="shared" si="8"/>
        <v>21.93931023</v>
      </c>
      <c r="O8" s="5">
        <f t="shared" si="9"/>
        <v>65.81793069</v>
      </c>
    </row>
    <row r="9">
      <c r="B9" s="3">
        <v>6.0</v>
      </c>
      <c r="C9" s="5">
        <f t="shared" si="2"/>
        <v>22</v>
      </c>
      <c r="D9" s="5">
        <f t="shared" si="1"/>
        <v>38.10511777</v>
      </c>
      <c r="F9" s="5">
        <f t="shared" si="3"/>
        <v>13</v>
      </c>
      <c r="G9" s="5">
        <f t="shared" si="4"/>
        <v>9</v>
      </c>
      <c r="H9" s="5">
        <f t="shared" si="10"/>
        <v>1.8</v>
      </c>
      <c r="I9" s="5">
        <f t="shared" si="5"/>
        <v>0.6923076923</v>
      </c>
      <c r="J9" s="5">
        <f t="shared" si="6"/>
        <v>0.7692307692</v>
      </c>
      <c r="K9" s="5">
        <f t="shared" si="7"/>
        <v>9.516660498</v>
      </c>
      <c r="M9" s="3">
        <v>22.0</v>
      </c>
      <c r="N9" s="5">
        <f t="shared" si="8"/>
        <v>12.70170592</v>
      </c>
      <c r="O9" s="5">
        <f t="shared" si="9"/>
        <v>38.10511777</v>
      </c>
    </row>
    <row r="10">
      <c r="B10" s="3">
        <v>7.0</v>
      </c>
      <c r="C10" s="5">
        <f t="shared" si="2"/>
        <v>38</v>
      </c>
      <c r="D10" s="5">
        <f t="shared" si="1"/>
        <v>65.81793069</v>
      </c>
      <c r="F10" s="5">
        <f t="shared" si="3"/>
        <v>22</v>
      </c>
      <c r="G10" s="5">
        <f t="shared" si="4"/>
        <v>16</v>
      </c>
      <c r="H10" s="5">
        <f t="shared" si="10"/>
        <v>1.777777778</v>
      </c>
      <c r="I10" s="5">
        <f t="shared" si="5"/>
        <v>0.7272727273</v>
      </c>
      <c r="J10" s="5">
        <f t="shared" si="6"/>
        <v>0.7727272727</v>
      </c>
      <c r="K10" s="5">
        <f t="shared" si="7"/>
        <v>16.10511777</v>
      </c>
      <c r="M10" s="3">
        <v>16.0</v>
      </c>
      <c r="N10" s="5">
        <f t="shared" si="8"/>
        <v>9.237604307</v>
      </c>
      <c r="O10" s="5">
        <f t="shared" si="9"/>
        <v>27.71281292</v>
      </c>
    </row>
    <row r="11">
      <c r="B11" s="3">
        <v>8.0</v>
      </c>
      <c r="C11" s="5">
        <f t="shared" si="2"/>
        <v>65</v>
      </c>
      <c r="D11" s="5">
        <f t="shared" si="1"/>
        <v>112.5833025</v>
      </c>
      <c r="F11" s="5">
        <f t="shared" si="3"/>
        <v>38</v>
      </c>
      <c r="G11" s="5">
        <f t="shared" si="4"/>
        <v>27</v>
      </c>
      <c r="H11" s="5">
        <f t="shared" si="10"/>
        <v>1.6875</v>
      </c>
      <c r="I11" s="5">
        <f t="shared" si="5"/>
        <v>0.7105263158</v>
      </c>
      <c r="J11" s="5">
        <f t="shared" si="6"/>
        <v>0.7368421053</v>
      </c>
      <c r="K11" s="5">
        <f t="shared" si="7"/>
        <v>27.81793069</v>
      </c>
      <c r="M11" s="3">
        <v>19.0</v>
      </c>
      <c r="N11" s="5">
        <f t="shared" si="8"/>
        <v>10.96965511</v>
      </c>
      <c r="O11" s="5">
        <f t="shared" si="9"/>
        <v>32.90896534</v>
      </c>
    </row>
    <row r="12">
      <c r="B12" s="3">
        <v>9.0</v>
      </c>
      <c r="C12" s="5">
        <f t="shared" si="2"/>
        <v>112</v>
      </c>
      <c r="D12" s="8">
        <f t="shared" si="1"/>
        <v>193.9896904</v>
      </c>
      <c r="F12" s="5">
        <f t="shared" si="3"/>
        <v>65</v>
      </c>
      <c r="G12" s="5">
        <f t="shared" si="4"/>
        <v>47</v>
      </c>
      <c r="H12" s="5">
        <f t="shared" si="10"/>
        <v>1.740740741</v>
      </c>
      <c r="I12" s="5">
        <f t="shared" si="5"/>
        <v>0.7230769231</v>
      </c>
      <c r="J12" s="5">
        <f t="shared" si="6"/>
        <v>0.7384615385</v>
      </c>
      <c r="K12" s="5">
        <f t="shared" si="7"/>
        <v>47.58330249</v>
      </c>
      <c r="M12" s="3">
        <v>32.0</v>
      </c>
      <c r="N12" s="5">
        <f t="shared" si="8"/>
        <v>18.47520861</v>
      </c>
      <c r="O12" s="5">
        <f t="shared" si="9"/>
        <v>55.42562584</v>
      </c>
    </row>
    <row r="13">
      <c r="B13" s="3">
        <v>10.0</v>
      </c>
      <c r="C13" s="5">
        <f t="shared" si="2"/>
        <v>193</v>
      </c>
      <c r="F13" s="5">
        <f t="shared" si="3"/>
        <v>112</v>
      </c>
      <c r="G13" s="5">
        <f t="shared" si="4"/>
        <v>81</v>
      </c>
      <c r="H13" s="5">
        <f t="shared" si="10"/>
        <v>1.723404255</v>
      </c>
      <c r="I13" s="5">
        <f t="shared" si="5"/>
        <v>0.7232142857</v>
      </c>
      <c r="J13" s="5">
        <f t="shared" si="6"/>
        <v>0.7321428571</v>
      </c>
      <c r="K13" s="5">
        <f t="shared" si="7"/>
        <v>81.98969045</v>
      </c>
      <c r="M13" s="3">
        <v>33.0</v>
      </c>
      <c r="N13" s="5">
        <f t="shared" si="8"/>
        <v>19.05255888</v>
      </c>
      <c r="O13" s="5">
        <f t="shared" si="9"/>
        <v>57.15767665</v>
      </c>
    </row>
    <row r="15">
      <c r="I15" s="5">
        <f>max(I5:I13)</f>
        <v>0.7272727273</v>
      </c>
      <c r="J15" s="5">
        <f>min(J5:J13)</f>
        <v>0.7321428571</v>
      </c>
    </row>
    <row r="23">
      <c r="E23" s="3">
        <v>0.45</v>
      </c>
      <c r="F23" s="3">
        <v>0.4</v>
      </c>
      <c r="G23" s="3">
        <v>0.42</v>
      </c>
      <c r="K23" s="3">
        <v>1.0</v>
      </c>
      <c r="L23" s="5">
        <f t="shared" ref="L23:L123" si="12">K23/sqrt(3)</f>
        <v>0.5773502692</v>
      </c>
      <c r="M23" s="5">
        <f t="shared" ref="M23:M123" si="13">floor(L23,1)</f>
        <v>0</v>
      </c>
      <c r="N23" s="5">
        <f t="shared" ref="N23:N123" si="14">round(L23,0)</f>
        <v>1</v>
      </c>
      <c r="O23" s="5">
        <f t="shared" ref="O23:O123" si="15">CEILING(L23,1)</f>
        <v>1</v>
      </c>
    </row>
    <row r="24">
      <c r="C24" s="3">
        <v>7.0</v>
      </c>
      <c r="D24" s="5">
        <f t="shared" ref="D24:D55" si="16">floor(C24/2,1)</f>
        <v>3</v>
      </c>
      <c r="E24" s="5">
        <f t="shared" ref="E24:G24" si="11">CEILING($C24*E$23,1)</f>
        <v>4</v>
      </c>
      <c r="F24" s="5">
        <f t="shared" si="11"/>
        <v>3</v>
      </c>
      <c r="G24" s="5">
        <f t="shared" si="11"/>
        <v>3</v>
      </c>
      <c r="K24" s="3">
        <v>2.0</v>
      </c>
      <c r="L24" s="5">
        <f t="shared" si="12"/>
        <v>1.154700538</v>
      </c>
      <c r="M24" s="5">
        <f t="shared" si="13"/>
        <v>1</v>
      </c>
      <c r="N24" s="5">
        <f t="shared" si="14"/>
        <v>1</v>
      </c>
      <c r="O24" s="5">
        <f t="shared" si="15"/>
        <v>2</v>
      </c>
    </row>
    <row r="25">
      <c r="C25" s="3">
        <v>8.0</v>
      </c>
      <c r="D25" s="5">
        <f t="shared" si="16"/>
        <v>4</v>
      </c>
      <c r="E25" s="5">
        <f t="shared" ref="E25:G25" si="17">CEILING($C25*E$23,1)</f>
        <v>4</v>
      </c>
      <c r="F25" s="5">
        <f t="shared" si="17"/>
        <v>4</v>
      </c>
      <c r="G25" s="5">
        <f t="shared" si="17"/>
        <v>4</v>
      </c>
      <c r="K25" s="3">
        <v>3.0</v>
      </c>
      <c r="L25" s="5">
        <f t="shared" si="12"/>
        <v>1.732050808</v>
      </c>
      <c r="M25" s="5">
        <f t="shared" si="13"/>
        <v>1</v>
      </c>
      <c r="N25" s="5">
        <f t="shared" si="14"/>
        <v>2</v>
      </c>
      <c r="O25" s="5">
        <f t="shared" si="15"/>
        <v>2</v>
      </c>
    </row>
    <row r="26">
      <c r="C26" s="3">
        <v>9.0</v>
      </c>
      <c r="D26" s="5">
        <f t="shared" si="16"/>
        <v>4</v>
      </c>
      <c r="E26" s="5">
        <f t="shared" ref="E26:G26" si="18">CEILING($C26*E$23,1)</f>
        <v>5</v>
      </c>
      <c r="F26" s="5">
        <f t="shared" si="18"/>
        <v>4</v>
      </c>
      <c r="G26" s="5">
        <f t="shared" si="18"/>
        <v>4</v>
      </c>
      <c r="K26" s="3">
        <v>4.0</v>
      </c>
      <c r="L26" s="5">
        <f t="shared" si="12"/>
        <v>2.309401077</v>
      </c>
      <c r="M26" s="5">
        <f t="shared" si="13"/>
        <v>2</v>
      </c>
      <c r="N26" s="5">
        <f t="shared" si="14"/>
        <v>2</v>
      </c>
      <c r="O26" s="5">
        <f t="shared" si="15"/>
        <v>3</v>
      </c>
    </row>
    <row r="27">
      <c r="C27" s="3">
        <v>10.0</v>
      </c>
      <c r="D27" s="5">
        <f t="shared" si="16"/>
        <v>5</v>
      </c>
      <c r="E27" s="5">
        <f t="shared" ref="E27:G27" si="19">CEILING($C27*E$23,1)</f>
        <v>5</v>
      </c>
      <c r="F27" s="5">
        <f t="shared" si="19"/>
        <v>4</v>
      </c>
      <c r="G27" s="5">
        <f t="shared" si="19"/>
        <v>5</v>
      </c>
      <c r="K27" s="3">
        <v>5.0</v>
      </c>
      <c r="L27" s="5">
        <f t="shared" si="12"/>
        <v>2.886751346</v>
      </c>
      <c r="M27" s="5">
        <f t="shared" si="13"/>
        <v>2</v>
      </c>
      <c r="N27" s="5">
        <f t="shared" si="14"/>
        <v>3</v>
      </c>
      <c r="O27" s="5">
        <f t="shared" si="15"/>
        <v>3</v>
      </c>
    </row>
    <row r="28">
      <c r="C28" s="3">
        <v>11.0</v>
      </c>
      <c r="D28" s="5">
        <f t="shared" si="16"/>
        <v>5</v>
      </c>
      <c r="E28" s="5">
        <f t="shared" ref="E28:G28" si="20">CEILING($C28*E$23,1)</f>
        <v>5</v>
      </c>
      <c r="F28" s="5">
        <f t="shared" si="20"/>
        <v>5</v>
      </c>
      <c r="G28" s="5">
        <f t="shared" si="20"/>
        <v>5</v>
      </c>
      <c r="K28" s="3">
        <v>6.0</v>
      </c>
      <c r="L28" s="5">
        <f t="shared" si="12"/>
        <v>3.464101615</v>
      </c>
      <c r="M28" s="5">
        <f t="shared" si="13"/>
        <v>3</v>
      </c>
      <c r="N28" s="5">
        <f t="shared" si="14"/>
        <v>3</v>
      </c>
      <c r="O28" s="5">
        <f t="shared" si="15"/>
        <v>4</v>
      </c>
    </row>
    <row r="29">
      <c r="C29" s="3">
        <v>12.0</v>
      </c>
      <c r="D29" s="5">
        <f t="shared" si="16"/>
        <v>6</v>
      </c>
      <c r="E29" s="5">
        <f t="shared" ref="E29:G29" si="21">CEILING($C29*E$23,1)</f>
        <v>6</v>
      </c>
      <c r="F29" s="5">
        <f t="shared" si="21"/>
        <v>5</v>
      </c>
      <c r="G29" s="5">
        <f t="shared" si="21"/>
        <v>6</v>
      </c>
      <c r="I29" s="5">
        <f>8/19</f>
        <v>0.4210526316</v>
      </c>
      <c r="K29" s="3">
        <v>7.0</v>
      </c>
      <c r="L29" s="5">
        <f t="shared" si="12"/>
        <v>4.041451884</v>
      </c>
      <c r="M29" s="5">
        <f t="shared" si="13"/>
        <v>4</v>
      </c>
      <c r="N29" s="5">
        <f t="shared" si="14"/>
        <v>4</v>
      </c>
      <c r="O29" s="5">
        <f t="shared" si="15"/>
        <v>5</v>
      </c>
    </row>
    <row r="30">
      <c r="C30" s="3">
        <v>13.0</v>
      </c>
      <c r="D30" s="5">
        <f t="shared" si="16"/>
        <v>6</v>
      </c>
      <c r="E30" s="5">
        <f t="shared" ref="E30:G30" si="22">CEILING($C30*E$23,1)</f>
        <v>6</v>
      </c>
      <c r="F30" s="5">
        <f t="shared" si="22"/>
        <v>6</v>
      </c>
      <c r="G30" s="5">
        <f t="shared" si="22"/>
        <v>6</v>
      </c>
      <c r="I30" s="5">
        <f>7/15</f>
        <v>0.4666666667</v>
      </c>
      <c r="K30" s="3">
        <v>8.0</v>
      </c>
      <c r="L30" s="5">
        <f t="shared" si="12"/>
        <v>4.618802154</v>
      </c>
      <c r="M30" s="5">
        <f t="shared" si="13"/>
        <v>4</v>
      </c>
      <c r="N30" s="5">
        <f t="shared" si="14"/>
        <v>5</v>
      </c>
      <c r="O30" s="5">
        <f t="shared" si="15"/>
        <v>5</v>
      </c>
    </row>
    <row r="31">
      <c r="C31" s="3">
        <v>14.0</v>
      </c>
      <c r="D31" s="5">
        <f t="shared" si="16"/>
        <v>7</v>
      </c>
      <c r="E31" s="5">
        <f t="shared" ref="E31:G31" si="23">CEILING($C31*E$23,1)</f>
        <v>7</v>
      </c>
      <c r="F31" s="5">
        <f t="shared" si="23"/>
        <v>6</v>
      </c>
      <c r="G31" s="5">
        <f t="shared" si="23"/>
        <v>6</v>
      </c>
      <c r="K31" s="3">
        <v>9.0</v>
      </c>
      <c r="L31" s="5">
        <f t="shared" si="12"/>
        <v>5.196152423</v>
      </c>
      <c r="M31" s="5">
        <f t="shared" si="13"/>
        <v>5</v>
      </c>
      <c r="N31" s="5">
        <f t="shared" si="14"/>
        <v>5</v>
      </c>
      <c r="O31" s="5">
        <f t="shared" si="15"/>
        <v>6</v>
      </c>
    </row>
    <row r="32">
      <c r="C32" s="3">
        <v>15.0</v>
      </c>
      <c r="D32" s="5">
        <f t="shared" si="16"/>
        <v>7</v>
      </c>
      <c r="E32" s="5">
        <f t="shared" ref="E32:G32" si="24">CEILING($C32*E$23,1)</f>
        <v>7</v>
      </c>
      <c r="F32" s="5">
        <f t="shared" si="24"/>
        <v>6</v>
      </c>
      <c r="G32" s="5">
        <f t="shared" si="24"/>
        <v>7</v>
      </c>
      <c r="K32" s="3">
        <v>10.0</v>
      </c>
      <c r="L32" s="5">
        <f t="shared" si="12"/>
        <v>5.773502692</v>
      </c>
      <c r="M32" s="5">
        <f t="shared" si="13"/>
        <v>5</v>
      </c>
      <c r="N32" s="5">
        <f t="shared" si="14"/>
        <v>6</v>
      </c>
      <c r="O32" s="5">
        <f t="shared" si="15"/>
        <v>6</v>
      </c>
    </row>
    <row r="33">
      <c r="C33" s="3">
        <v>16.0</v>
      </c>
      <c r="D33" s="5">
        <f t="shared" si="16"/>
        <v>8</v>
      </c>
      <c r="E33" s="5">
        <f t="shared" ref="E33:G33" si="25">CEILING($C33*E$23,1)</f>
        <v>8</v>
      </c>
      <c r="F33" s="5">
        <f t="shared" si="25"/>
        <v>7</v>
      </c>
      <c r="G33" s="5">
        <f t="shared" si="25"/>
        <v>7</v>
      </c>
      <c r="K33" s="3">
        <v>11.0</v>
      </c>
      <c r="L33" s="5">
        <f t="shared" si="12"/>
        <v>6.350852961</v>
      </c>
      <c r="M33" s="5">
        <f t="shared" si="13"/>
        <v>6</v>
      </c>
      <c r="N33" s="5">
        <f t="shared" si="14"/>
        <v>6</v>
      </c>
      <c r="O33" s="5">
        <f t="shared" si="15"/>
        <v>7</v>
      </c>
    </row>
    <row r="34">
      <c r="C34" s="3">
        <v>17.0</v>
      </c>
      <c r="D34" s="5">
        <f t="shared" si="16"/>
        <v>8</v>
      </c>
      <c r="E34" s="5">
        <f t="shared" ref="E34:G34" si="26">CEILING($C34*E$23,1)</f>
        <v>8</v>
      </c>
      <c r="F34" s="5">
        <f t="shared" si="26"/>
        <v>7</v>
      </c>
      <c r="G34" s="5">
        <f t="shared" si="26"/>
        <v>8</v>
      </c>
      <c r="K34" s="3">
        <v>12.0</v>
      </c>
      <c r="L34" s="5">
        <f t="shared" si="12"/>
        <v>6.92820323</v>
      </c>
      <c r="M34" s="5">
        <f t="shared" si="13"/>
        <v>6</v>
      </c>
      <c r="N34" s="5">
        <f t="shared" si="14"/>
        <v>7</v>
      </c>
      <c r="O34" s="5">
        <f t="shared" si="15"/>
        <v>7</v>
      </c>
    </row>
    <row r="35">
      <c r="C35" s="3">
        <v>18.0</v>
      </c>
      <c r="D35" s="5">
        <f t="shared" si="16"/>
        <v>9</v>
      </c>
      <c r="E35" s="5">
        <f t="shared" ref="E35:G35" si="27">CEILING($C35*E$23,1)</f>
        <v>9</v>
      </c>
      <c r="F35" s="5">
        <f t="shared" si="27"/>
        <v>8</v>
      </c>
      <c r="G35" s="5">
        <f t="shared" si="27"/>
        <v>8</v>
      </c>
      <c r="K35" s="3">
        <v>13.0</v>
      </c>
      <c r="L35" s="5">
        <f t="shared" si="12"/>
        <v>7.505553499</v>
      </c>
      <c r="M35" s="5">
        <f t="shared" si="13"/>
        <v>7</v>
      </c>
      <c r="N35" s="5">
        <f t="shared" si="14"/>
        <v>8</v>
      </c>
      <c r="O35" s="5">
        <f t="shared" si="15"/>
        <v>8</v>
      </c>
    </row>
    <row r="36">
      <c r="C36" s="3">
        <v>19.0</v>
      </c>
      <c r="D36" s="5">
        <f t="shared" si="16"/>
        <v>9</v>
      </c>
      <c r="E36" s="5">
        <f t="shared" ref="E36:G36" si="28">CEILING($C36*E$23,1)</f>
        <v>9</v>
      </c>
      <c r="F36" s="5">
        <f t="shared" si="28"/>
        <v>8</v>
      </c>
      <c r="G36" s="5">
        <f t="shared" si="28"/>
        <v>8</v>
      </c>
      <c r="K36" s="3">
        <v>14.0</v>
      </c>
      <c r="L36" s="5">
        <f t="shared" si="12"/>
        <v>8.082903769</v>
      </c>
      <c r="M36" s="5">
        <f t="shared" si="13"/>
        <v>8</v>
      </c>
      <c r="N36" s="5">
        <f t="shared" si="14"/>
        <v>8</v>
      </c>
      <c r="O36" s="5">
        <f t="shared" si="15"/>
        <v>9</v>
      </c>
    </row>
    <row r="37">
      <c r="C37" s="3">
        <v>20.0</v>
      </c>
      <c r="D37" s="5">
        <f t="shared" si="16"/>
        <v>10</v>
      </c>
      <c r="E37" s="5">
        <f t="shared" ref="E37:G37" si="29">CEILING($C37*E$23,1)</f>
        <v>9</v>
      </c>
      <c r="F37" s="5">
        <f t="shared" si="29"/>
        <v>8</v>
      </c>
      <c r="G37" s="5">
        <f t="shared" si="29"/>
        <v>9</v>
      </c>
      <c r="K37" s="3">
        <v>15.0</v>
      </c>
      <c r="L37" s="5">
        <f t="shared" si="12"/>
        <v>8.660254038</v>
      </c>
      <c r="M37" s="5">
        <f t="shared" si="13"/>
        <v>8</v>
      </c>
      <c r="N37" s="5">
        <f t="shared" si="14"/>
        <v>9</v>
      </c>
      <c r="O37" s="5">
        <f t="shared" si="15"/>
        <v>9</v>
      </c>
    </row>
    <row r="38">
      <c r="C38" s="3">
        <v>21.0</v>
      </c>
      <c r="D38" s="5">
        <f t="shared" si="16"/>
        <v>10</v>
      </c>
      <c r="E38" s="5">
        <f t="shared" ref="E38:G38" si="30">CEILING($C38*E$23,1)</f>
        <v>10</v>
      </c>
      <c r="F38" s="5">
        <f t="shared" si="30"/>
        <v>9</v>
      </c>
      <c r="G38" s="5">
        <f t="shared" si="30"/>
        <v>9</v>
      </c>
      <c r="K38" s="3">
        <v>16.0</v>
      </c>
      <c r="L38" s="5">
        <f t="shared" si="12"/>
        <v>9.237604307</v>
      </c>
      <c r="M38" s="5">
        <f t="shared" si="13"/>
        <v>9</v>
      </c>
      <c r="N38" s="5">
        <f t="shared" si="14"/>
        <v>9</v>
      </c>
      <c r="O38" s="5">
        <f t="shared" si="15"/>
        <v>10</v>
      </c>
    </row>
    <row r="39">
      <c r="C39" s="3">
        <v>22.0</v>
      </c>
      <c r="D39" s="5">
        <f t="shared" si="16"/>
        <v>11</v>
      </c>
      <c r="E39" s="5">
        <f t="shared" ref="E39:G39" si="31">CEILING($C39*E$23,1)</f>
        <v>10</v>
      </c>
      <c r="F39" s="5">
        <f t="shared" si="31"/>
        <v>9</v>
      </c>
      <c r="G39" s="5">
        <f t="shared" si="31"/>
        <v>10</v>
      </c>
      <c r="K39" s="3">
        <v>17.0</v>
      </c>
      <c r="L39" s="5">
        <f t="shared" si="12"/>
        <v>9.814954576</v>
      </c>
      <c r="M39" s="5">
        <f t="shared" si="13"/>
        <v>9</v>
      </c>
      <c r="N39" s="5">
        <f t="shared" si="14"/>
        <v>10</v>
      </c>
      <c r="O39" s="5">
        <f t="shared" si="15"/>
        <v>10</v>
      </c>
    </row>
    <row r="40">
      <c r="C40" s="3">
        <v>23.0</v>
      </c>
      <c r="D40" s="5">
        <f t="shared" si="16"/>
        <v>11</v>
      </c>
      <c r="E40" s="5">
        <f t="shared" ref="E40:G40" si="32">CEILING($C40*E$23,1)</f>
        <v>11</v>
      </c>
      <c r="F40" s="5">
        <f t="shared" si="32"/>
        <v>10</v>
      </c>
      <c r="G40" s="5">
        <f t="shared" si="32"/>
        <v>10</v>
      </c>
      <c r="K40" s="3">
        <v>18.0</v>
      </c>
      <c r="L40" s="5">
        <f t="shared" si="12"/>
        <v>10.39230485</v>
      </c>
      <c r="M40" s="5">
        <f t="shared" si="13"/>
        <v>10</v>
      </c>
      <c r="N40" s="5">
        <f t="shared" si="14"/>
        <v>10</v>
      </c>
      <c r="O40" s="5">
        <f t="shared" si="15"/>
        <v>11</v>
      </c>
    </row>
    <row r="41">
      <c r="C41" s="3">
        <v>24.0</v>
      </c>
      <c r="D41" s="5">
        <f t="shared" si="16"/>
        <v>12</v>
      </c>
      <c r="E41" s="5">
        <f t="shared" ref="E41:G41" si="33">CEILING($C41*E$23,1)</f>
        <v>11</v>
      </c>
      <c r="F41" s="5">
        <f t="shared" si="33"/>
        <v>10</v>
      </c>
      <c r="G41" s="5">
        <f t="shared" si="33"/>
        <v>11</v>
      </c>
      <c r="K41" s="3">
        <v>19.0</v>
      </c>
      <c r="L41" s="5">
        <f t="shared" si="12"/>
        <v>10.96965511</v>
      </c>
      <c r="M41" s="5">
        <f t="shared" si="13"/>
        <v>10</v>
      </c>
      <c r="N41" s="5">
        <f t="shared" si="14"/>
        <v>11</v>
      </c>
      <c r="O41" s="5">
        <f t="shared" si="15"/>
        <v>11</v>
      </c>
    </row>
    <row r="42">
      <c r="C42" s="3">
        <v>25.0</v>
      </c>
      <c r="D42" s="5">
        <f t="shared" si="16"/>
        <v>12</v>
      </c>
      <c r="E42" s="5">
        <f t="shared" ref="E42:G42" si="34">CEILING($C42*E$23,1)</f>
        <v>12</v>
      </c>
      <c r="F42" s="5">
        <f t="shared" si="34"/>
        <v>10</v>
      </c>
      <c r="G42" s="5">
        <f t="shared" si="34"/>
        <v>11</v>
      </c>
      <c r="K42" s="3">
        <v>20.0</v>
      </c>
      <c r="L42" s="5">
        <f t="shared" si="12"/>
        <v>11.54700538</v>
      </c>
      <c r="M42" s="5">
        <f t="shared" si="13"/>
        <v>11</v>
      </c>
      <c r="N42" s="5">
        <f t="shared" si="14"/>
        <v>12</v>
      </c>
      <c r="O42" s="5">
        <f t="shared" si="15"/>
        <v>12</v>
      </c>
    </row>
    <row r="43">
      <c r="C43" s="3">
        <v>26.0</v>
      </c>
      <c r="D43" s="5">
        <f t="shared" si="16"/>
        <v>13</v>
      </c>
      <c r="E43" s="5">
        <f t="shared" ref="E43:G43" si="35">CEILING($C43*E$23,1)</f>
        <v>12</v>
      </c>
      <c r="F43" s="5">
        <f t="shared" si="35"/>
        <v>11</v>
      </c>
      <c r="G43" s="5">
        <f t="shared" si="35"/>
        <v>11</v>
      </c>
      <c r="K43" s="3">
        <v>21.0</v>
      </c>
      <c r="L43" s="5">
        <f t="shared" si="12"/>
        <v>12.12435565</v>
      </c>
      <c r="M43" s="5">
        <f t="shared" si="13"/>
        <v>12</v>
      </c>
      <c r="N43" s="5">
        <f t="shared" si="14"/>
        <v>12</v>
      </c>
      <c r="O43" s="5">
        <f t="shared" si="15"/>
        <v>13</v>
      </c>
    </row>
    <row r="44">
      <c r="C44" s="3">
        <v>27.0</v>
      </c>
      <c r="D44" s="5">
        <f t="shared" si="16"/>
        <v>13</v>
      </c>
      <c r="E44" s="5">
        <f t="shared" ref="E44:G44" si="36">CEILING($C44*E$23,1)</f>
        <v>13</v>
      </c>
      <c r="F44" s="5">
        <f t="shared" si="36"/>
        <v>11</v>
      </c>
      <c r="G44" s="5">
        <f t="shared" si="36"/>
        <v>12</v>
      </c>
      <c r="K44" s="3">
        <v>22.0</v>
      </c>
      <c r="L44" s="5">
        <f t="shared" si="12"/>
        <v>12.70170592</v>
      </c>
      <c r="M44" s="5">
        <f t="shared" si="13"/>
        <v>12</v>
      </c>
      <c r="N44" s="5">
        <f t="shared" si="14"/>
        <v>13</v>
      </c>
      <c r="O44" s="5">
        <f t="shared" si="15"/>
        <v>13</v>
      </c>
    </row>
    <row r="45">
      <c r="C45" s="3">
        <v>28.0</v>
      </c>
      <c r="D45" s="5">
        <f t="shared" si="16"/>
        <v>14</v>
      </c>
      <c r="E45" s="5">
        <f t="shared" ref="E45:G45" si="37">CEILING($C45*E$23,1)</f>
        <v>13</v>
      </c>
      <c r="F45" s="5">
        <f t="shared" si="37"/>
        <v>12</v>
      </c>
      <c r="G45" s="5">
        <f t="shared" si="37"/>
        <v>12</v>
      </c>
      <c r="K45" s="3">
        <v>23.0</v>
      </c>
      <c r="L45" s="5">
        <f t="shared" si="12"/>
        <v>13.27905619</v>
      </c>
      <c r="M45" s="5">
        <f t="shared" si="13"/>
        <v>13</v>
      </c>
      <c r="N45" s="5">
        <f t="shared" si="14"/>
        <v>13</v>
      </c>
      <c r="O45" s="5">
        <f t="shared" si="15"/>
        <v>14</v>
      </c>
    </row>
    <row r="46">
      <c r="C46" s="3">
        <v>29.0</v>
      </c>
      <c r="D46" s="5">
        <f t="shared" si="16"/>
        <v>14</v>
      </c>
      <c r="E46" s="5">
        <f t="shared" ref="E46:G46" si="38">CEILING($C46*E$23,1)</f>
        <v>14</v>
      </c>
      <c r="F46" s="5">
        <f t="shared" si="38"/>
        <v>12</v>
      </c>
      <c r="G46" s="5">
        <f t="shared" si="38"/>
        <v>13</v>
      </c>
      <c r="K46" s="3">
        <v>24.0</v>
      </c>
      <c r="L46" s="5">
        <f t="shared" si="12"/>
        <v>13.85640646</v>
      </c>
      <c r="M46" s="5">
        <f t="shared" si="13"/>
        <v>13</v>
      </c>
      <c r="N46" s="5">
        <f t="shared" si="14"/>
        <v>14</v>
      </c>
      <c r="O46" s="5">
        <f t="shared" si="15"/>
        <v>14</v>
      </c>
    </row>
    <row r="47">
      <c r="C47" s="3">
        <v>30.0</v>
      </c>
      <c r="D47" s="5">
        <f t="shared" si="16"/>
        <v>15</v>
      </c>
      <c r="E47" s="5">
        <f t="shared" ref="E47:G47" si="39">CEILING($C47*E$23,1)</f>
        <v>14</v>
      </c>
      <c r="F47" s="5">
        <f t="shared" si="39"/>
        <v>12</v>
      </c>
      <c r="G47" s="5">
        <f t="shared" si="39"/>
        <v>13</v>
      </c>
      <c r="K47" s="3">
        <v>25.0</v>
      </c>
      <c r="L47" s="5">
        <f t="shared" si="12"/>
        <v>14.43375673</v>
      </c>
      <c r="M47" s="5">
        <f t="shared" si="13"/>
        <v>14</v>
      </c>
      <c r="N47" s="5">
        <f t="shared" si="14"/>
        <v>14</v>
      </c>
      <c r="O47" s="5">
        <f t="shared" si="15"/>
        <v>15</v>
      </c>
    </row>
    <row r="48">
      <c r="C48" s="3">
        <v>31.0</v>
      </c>
      <c r="D48" s="5">
        <f t="shared" si="16"/>
        <v>15</v>
      </c>
      <c r="E48" s="5">
        <f t="shared" ref="E48:G48" si="40">CEILING($C48*E$23,1)</f>
        <v>14</v>
      </c>
      <c r="F48" s="5">
        <f t="shared" si="40"/>
        <v>13</v>
      </c>
      <c r="G48" s="5">
        <f t="shared" si="40"/>
        <v>14</v>
      </c>
      <c r="K48" s="3">
        <v>26.0</v>
      </c>
      <c r="L48" s="5">
        <f t="shared" si="12"/>
        <v>15.011107</v>
      </c>
      <c r="M48" s="5">
        <f t="shared" si="13"/>
        <v>15</v>
      </c>
      <c r="N48" s="5">
        <f t="shared" si="14"/>
        <v>15</v>
      </c>
      <c r="O48" s="5">
        <f t="shared" si="15"/>
        <v>16</v>
      </c>
    </row>
    <row r="49">
      <c r="C49" s="3">
        <v>32.0</v>
      </c>
      <c r="D49" s="5">
        <f t="shared" si="16"/>
        <v>16</v>
      </c>
      <c r="E49" s="5">
        <f t="shared" ref="E49:G49" si="41">CEILING($C49*E$23,1)</f>
        <v>15</v>
      </c>
      <c r="F49" s="5">
        <f t="shared" si="41"/>
        <v>13</v>
      </c>
      <c r="G49" s="5">
        <f t="shared" si="41"/>
        <v>14</v>
      </c>
      <c r="K49" s="3">
        <v>27.0</v>
      </c>
      <c r="L49" s="5">
        <f t="shared" si="12"/>
        <v>15.58845727</v>
      </c>
      <c r="M49" s="5">
        <f t="shared" si="13"/>
        <v>15</v>
      </c>
      <c r="N49" s="5">
        <f t="shared" si="14"/>
        <v>16</v>
      </c>
      <c r="O49" s="5">
        <f t="shared" si="15"/>
        <v>16</v>
      </c>
    </row>
    <row r="50">
      <c r="C50" s="3">
        <v>33.0</v>
      </c>
      <c r="D50" s="5">
        <f t="shared" si="16"/>
        <v>16</v>
      </c>
      <c r="E50" s="5">
        <f t="shared" ref="E50:G50" si="42">CEILING($C50*E$23,1)</f>
        <v>15</v>
      </c>
      <c r="F50" s="5">
        <f t="shared" si="42"/>
        <v>14</v>
      </c>
      <c r="G50" s="5">
        <f t="shared" si="42"/>
        <v>14</v>
      </c>
      <c r="K50" s="3">
        <v>28.0</v>
      </c>
      <c r="L50" s="5">
        <f t="shared" si="12"/>
        <v>16.16580754</v>
      </c>
      <c r="M50" s="5">
        <f t="shared" si="13"/>
        <v>16</v>
      </c>
      <c r="N50" s="5">
        <f t="shared" si="14"/>
        <v>16</v>
      </c>
      <c r="O50" s="5">
        <f t="shared" si="15"/>
        <v>17</v>
      </c>
    </row>
    <row r="51">
      <c r="C51" s="3">
        <v>34.0</v>
      </c>
      <c r="D51" s="5">
        <f t="shared" si="16"/>
        <v>17</v>
      </c>
      <c r="E51" s="5">
        <f t="shared" ref="E51:G51" si="43">CEILING($C51*E$23,1)</f>
        <v>16</v>
      </c>
      <c r="F51" s="5">
        <f t="shared" si="43"/>
        <v>14</v>
      </c>
      <c r="G51" s="5">
        <f t="shared" si="43"/>
        <v>15</v>
      </c>
      <c r="K51" s="3">
        <v>29.0</v>
      </c>
      <c r="L51" s="5">
        <f t="shared" si="12"/>
        <v>16.74315781</v>
      </c>
      <c r="M51" s="5">
        <f t="shared" si="13"/>
        <v>16</v>
      </c>
      <c r="N51" s="5">
        <f t="shared" si="14"/>
        <v>17</v>
      </c>
      <c r="O51" s="5">
        <f t="shared" si="15"/>
        <v>17</v>
      </c>
    </row>
    <row r="52">
      <c r="C52" s="3">
        <v>35.0</v>
      </c>
      <c r="D52" s="5">
        <f t="shared" si="16"/>
        <v>17</v>
      </c>
      <c r="E52" s="5">
        <f t="shared" ref="E52:G52" si="44">CEILING($C52*E$23,1)</f>
        <v>16</v>
      </c>
      <c r="F52" s="5">
        <f t="shared" si="44"/>
        <v>14</v>
      </c>
      <c r="G52" s="5">
        <f t="shared" si="44"/>
        <v>15</v>
      </c>
      <c r="K52" s="3">
        <v>30.0</v>
      </c>
      <c r="L52" s="5">
        <f t="shared" si="12"/>
        <v>17.32050808</v>
      </c>
      <c r="M52" s="5">
        <f t="shared" si="13"/>
        <v>17</v>
      </c>
      <c r="N52" s="5">
        <f t="shared" si="14"/>
        <v>17</v>
      </c>
      <c r="O52" s="5">
        <f t="shared" si="15"/>
        <v>18</v>
      </c>
    </row>
    <row r="53">
      <c r="C53" s="3">
        <v>36.0</v>
      </c>
      <c r="D53" s="5">
        <f t="shared" si="16"/>
        <v>18</v>
      </c>
      <c r="E53" s="5">
        <f t="shared" ref="E53:G53" si="45">CEILING($C53*E$23,1)</f>
        <v>17</v>
      </c>
      <c r="F53" s="5">
        <f t="shared" si="45"/>
        <v>15</v>
      </c>
      <c r="G53" s="5">
        <f t="shared" si="45"/>
        <v>16</v>
      </c>
      <c r="K53" s="3">
        <v>31.0</v>
      </c>
      <c r="L53" s="5">
        <f t="shared" si="12"/>
        <v>17.89785834</v>
      </c>
      <c r="M53" s="5">
        <f t="shared" si="13"/>
        <v>17</v>
      </c>
      <c r="N53" s="5">
        <f t="shared" si="14"/>
        <v>18</v>
      </c>
      <c r="O53" s="5">
        <f t="shared" si="15"/>
        <v>18</v>
      </c>
    </row>
    <row r="54">
      <c r="C54" s="3">
        <v>37.0</v>
      </c>
      <c r="D54" s="5">
        <f t="shared" si="16"/>
        <v>18</v>
      </c>
      <c r="E54" s="5">
        <f t="shared" ref="E54:G54" si="46">CEILING($C54*E$23,1)</f>
        <v>17</v>
      </c>
      <c r="F54" s="5">
        <f t="shared" si="46"/>
        <v>15</v>
      </c>
      <c r="G54" s="5">
        <f t="shared" si="46"/>
        <v>16</v>
      </c>
      <c r="K54" s="3">
        <v>32.0</v>
      </c>
      <c r="L54" s="5">
        <f t="shared" si="12"/>
        <v>18.47520861</v>
      </c>
      <c r="M54" s="5">
        <f t="shared" si="13"/>
        <v>18</v>
      </c>
      <c r="N54" s="5">
        <f t="shared" si="14"/>
        <v>18</v>
      </c>
      <c r="O54" s="5">
        <f t="shared" si="15"/>
        <v>19</v>
      </c>
    </row>
    <row r="55">
      <c r="C55" s="3">
        <v>38.0</v>
      </c>
      <c r="D55" s="5">
        <f t="shared" si="16"/>
        <v>19</v>
      </c>
      <c r="E55" s="5">
        <f t="shared" ref="E55:G55" si="47">CEILING($C55*E$23,1)</f>
        <v>18</v>
      </c>
      <c r="F55" s="5">
        <f t="shared" si="47"/>
        <v>16</v>
      </c>
      <c r="G55" s="5">
        <f t="shared" si="47"/>
        <v>16</v>
      </c>
      <c r="K55" s="3">
        <v>33.0</v>
      </c>
      <c r="L55" s="5">
        <f t="shared" si="12"/>
        <v>19.05255888</v>
      </c>
      <c r="M55" s="5">
        <f t="shared" si="13"/>
        <v>19</v>
      </c>
      <c r="N55" s="5">
        <f t="shared" si="14"/>
        <v>19</v>
      </c>
      <c r="O55" s="5">
        <f t="shared" si="15"/>
        <v>20</v>
      </c>
    </row>
    <row r="56">
      <c r="K56" s="3">
        <v>34.0</v>
      </c>
      <c r="L56" s="5">
        <f t="shared" si="12"/>
        <v>19.62990915</v>
      </c>
      <c r="M56" s="5">
        <f t="shared" si="13"/>
        <v>19</v>
      </c>
      <c r="N56" s="5">
        <f t="shared" si="14"/>
        <v>20</v>
      </c>
      <c r="O56" s="5">
        <f t="shared" si="15"/>
        <v>20</v>
      </c>
    </row>
    <row r="57">
      <c r="K57" s="3">
        <v>35.0</v>
      </c>
      <c r="L57" s="5">
        <f t="shared" si="12"/>
        <v>20.20725942</v>
      </c>
      <c r="M57" s="5">
        <f t="shared" si="13"/>
        <v>20</v>
      </c>
      <c r="N57" s="5">
        <f t="shared" si="14"/>
        <v>20</v>
      </c>
      <c r="O57" s="5">
        <f t="shared" si="15"/>
        <v>21</v>
      </c>
    </row>
    <row r="58">
      <c r="K58" s="3">
        <v>36.0</v>
      </c>
      <c r="L58" s="5">
        <f t="shared" si="12"/>
        <v>20.78460969</v>
      </c>
      <c r="M58" s="5">
        <f t="shared" si="13"/>
        <v>20</v>
      </c>
      <c r="N58" s="5">
        <f t="shared" si="14"/>
        <v>21</v>
      </c>
      <c r="O58" s="5">
        <f t="shared" si="15"/>
        <v>21</v>
      </c>
    </row>
    <row r="59">
      <c r="K59" s="3">
        <v>37.0</v>
      </c>
      <c r="L59" s="5">
        <f t="shared" si="12"/>
        <v>21.36195996</v>
      </c>
      <c r="M59" s="5">
        <f t="shared" si="13"/>
        <v>21</v>
      </c>
      <c r="N59" s="5">
        <f t="shared" si="14"/>
        <v>21</v>
      </c>
      <c r="O59" s="5">
        <f t="shared" si="15"/>
        <v>22</v>
      </c>
    </row>
    <row r="60">
      <c r="D60" s="3">
        <v>1.0</v>
      </c>
      <c r="F60" s="5">
        <f t="shared" ref="F60:F90" si="48">D60/2</f>
        <v>0.5</v>
      </c>
      <c r="G60" s="5">
        <f t="shared" ref="G60:G90" si="49">floor(F60,1)</f>
        <v>0</v>
      </c>
      <c r="K60" s="3">
        <v>38.0</v>
      </c>
      <c r="L60" s="5">
        <f t="shared" si="12"/>
        <v>21.93931023</v>
      </c>
      <c r="M60" s="5">
        <f t="shared" si="13"/>
        <v>21</v>
      </c>
      <c r="N60" s="5">
        <f t="shared" si="14"/>
        <v>22</v>
      </c>
      <c r="O60" s="5">
        <f t="shared" si="15"/>
        <v>22</v>
      </c>
    </row>
    <row r="61">
      <c r="D61" s="3">
        <v>2.0</v>
      </c>
      <c r="F61" s="5">
        <f t="shared" si="48"/>
        <v>1</v>
      </c>
      <c r="G61" s="5">
        <f t="shared" si="49"/>
        <v>1</v>
      </c>
      <c r="K61" s="3">
        <v>39.0</v>
      </c>
      <c r="L61" s="5">
        <f t="shared" si="12"/>
        <v>22.5166605</v>
      </c>
      <c r="M61" s="5">
        <f t="shared" si="13"/>
        <v>22</v>
      </c>
      <c r="N61" s="5">
        <f t="shared" si="14"/>
        <v>23</v>
      </c>
      <c r="O61" s="5">
        <f t="shared" si="15"/>
        <v>23</v>
      </c>
    </row>
    <row r="62">
      <c r="D62" s="14">
        <v>3.0</v>
      </c>
      <c r="E62" s="14">
        <v>1.0</v>
      </c>
      <c r="F62" s="15">
        <f t="shared" si="48"/>
        <v>1.5</v>
      </c>
      <c r="G62" s="15">
        <f t="shared" si="49"/>
        <v>1</v>
      </c>
      <c r="K62" s="3">
        <v>40.0</v>
      </c>
      <c r="L62" s="5">
        <f t="shared" si="12"/>
        <v>23.09401077</v>
      </c>
      <c r="M62" s="5">
        <f t="shared" si="13"/>
        <v>23</v>
      </c>
      <c r="N62" s="5">
        <f t="shared" si="14"/>
        <v>23</v>
      </c>
      <c r="O62" s="5">
        <f t="shared" si="15"/>
        <v>24</v>
      </c>
    </row>
    <row r="63">
      <c r="D63" s="3">
        <v>4.0</v>
      </c>
      <c r="E63" s="3">
        <v>2.0</v>
      </c>
      <c r="F63" s="5">
        <f t="shared" si="48"/>
        <v>2</v>
      </c>
      <c r="G63" s="5">
        <f t="shared" si="49"/>
        <v>2</v>
      </c>
      <c r="K63" s="3">
        <v>41.0</v>
      </c>
      <c r="L63" s="5">
        <f t="shared" si="12"/>
        <v>23.67136104</v>
      </c>
      <c r="M63" s="5">
        <f t="shared" si="13"/>
        <v>23</v>
      </c>
      <c r="N63" s="5">
        <f t="shared" si="14"/>
        <v>24</v>
      </c>
      <c r="O63" s="5">
        <f t="shared" si="15"/>
        <v>24</v>
      </c>
    </row>
    <row r="64">
      <c r="D64" s="14">
        <v>5.0</v>
      </c>
      <c r="E64" s="14">
        <v>3.0</v>
      </c>
      <c r="F64" s="15">
        <f t="shared" si="48"/>
        <v>2.5</v>
      </c>
      <c r="G64" s="15">
        <f t="shared" si="49"/>
        <v>2</v>
      </c>
      <c r="K64" s="3">
        <v>42.0</v>
      </c>
      <c r="L64" s="5">
        <f t="shared" si="12"/>
        <v>24.24871131</v>
      </c>
      <c r="M64" s="5">
        <f t="shared" si="13"/>
        <v>24</v>
      </c>
      <c r="N64" s="5">
        <f t="shared" si="14"/>
        <v>24</v>
      </c>
      <c r="O64" s="5">
        <f t="shared" si="15"/>
        <v>25</v>
      </c>
    </row>
    <row r="65">
      <c r="D65" s="3">
        <v>6.0</v>
      </c>
      <c r="E65" s="3">
        <v>3.0</v>
      </c>
      <c r="F65" s="5">
        <f t="shared" si="48"/>
        <v>3</v>
      </c>
      <c r="G65" s="5">
        <f t="shared" si="49"/>
        <v>3</v>
      </c>
      <c r="K65" s="3">
        <v>43.0</v>
      </c>
      <c r="L65" s="5">
        <f t="shared" si="12"/>
        <v>24.82606158</v>
      </c>
      <c r="M65" s="5">
        <f t="shared" si="13"/>
        <v>24</v>
      </c>
      <c r="N65" s="5">
        <f t="shared" si="14"/>
        <v>25</v>
      </c>
      <c r="O65" s="5">
        <f t="shared" si="15"/>
        <v>25</v>
      </c>
    </row>
    <row r="66">
      <c r="D66" s="3">
        <v>7.0</v>
      </c>
      <c r="E66" s="3">
        <v>3.0</v>
      </c>
      <c r="F66" s="5">
        <f t="shared" si="48"/>
        <v>3.5</v>
      </c>
      <c r="G66" s="5">
        <f t="shared" si="49"/>
        <v>3</v>
      </c>
      <c r="K66" s="3">
        <v>44.0</v>
      </c>
      <c r="L66" s="5">
        <f t="shared" si="12"/>
        <v>25.40341184</v>
      </c>
      <c r="M66" s="5">
        <f t="shared" si="13"/>
        <v>25</v>
      </c>
      <c r="N66" s="5">
        <f t="shared" si="14"/>
        <v>25</v>
      </c>
      <c r="O66" s="5">
        <f t="shared" si="15"/>
        <v>26</v>
      </c>
    </row>
    <row r="67">
      <c r="D67" s="3">
        <v>8.0</v>
      </c>
      <c r="E67" s="3">
        <v>4.0</v>
      </c>
      <c r="F67" s="5">
        <f t="shared" si="48"/>
        <v>4</v>
      </c>
      <c r="G67" s="5">
        <f t="shared" si="49"/>
        <v>4</v>
      </c>
      <c r="K67" s="3">
        <v>45.0</v>
      </c>
      <c r="L67" s="5">
        <f t="shared" si="12"/>
        <v>25.98076211</v>
      </c>
      <c r="M67" s="5">
        <f t="shared" si="13"/>
        <v>25</v>
      </c>
      <c r="N67" s="5">
        <f t="shared" si="14"/>
        <v>26</v>
      </c>
      <c r="O67" s="5">
        <f t="shared" si="15"/>
        <v>26</v>
      </c>
    </row>
    <row r="68">
      <c r="D68" s="14">
        <v>9.0</v>
      </c>
      <c r="E68" s="14">
        <v>5.0</v>
      </c>
      <c r="F68" s="15">
        <f t="shared" si="48"/>
        <v>4.5</v>
      </c>
      <c r="G68" s="15">
        <f t="shared" si="49"/>
        <v>4</v>
      </c>
      <c r="K68" s="3">
        <v>46.0</v>
      </c>
      <c r="L68" s="5">
        <f t="shared" si="12"/>
        <v>26.55811238</v>
      </c>
      <c r="M68" s="5">
        <f t="shared" si="13"/>
        <v>26</v>
      </c>
      <c r="N68" s="5">
        <f t="shared" si="14"/>
        <v>27</v>
      </c>
      <c r="O68" s="5">
        <f t="shared" si="15"/>
        <v>27</v>
      </c>
    </row>
    <row r="69">
      <c r="D69" s="3">
        <v>10.0</v>
      </c>
      <c r="E69" s="3">
        <v>6.0</v>
      </c>
      <c r="F69" s="5">
        <f t="shared" si="48"/>
        <v>5</v>
      </c>
      <c r="G69" s="5">
        <f t="shared" si="49"/>
        <v>5</v>
      </c>
      <c r="K69" s="3">
        <v>47.0</v>
      </c>
      <c r="L69" s="5">
        <f t="shared" si="12"/>
        <v>27.13546265</v>
      </c>
      <c r="M69" s="5">
        <f t="shared" si="13"/>
        <v>27</v>
      </c>
      <c r="N69" s="5">
        <f t="shared" si="14"/>
        <v>27</v>
      </c>
      <c r="O69" s="5">
        <f t="shared" si="15"/>
        <v>28</v>
      </c>
    </row>
    <row r="70">
      <c r="D70" s="3">
        <v>11.0</v>
      </c>
      <c r="E70" s="3">
        <v>6.0</v>
      </c>
      <c r="F70" s="5">
        <f t="shared" si="48"/>
        <v>5.5</v>
      </c>
      <c r="G70" s="5">
        <f t="shared" si="49"/>
        <v>5</v>
      </c>
      <c r="K70" s="3">
        <v>48.0</v>
      </c>
      <c r="L70" s="5">
        <f t="shared" si="12"/>
        <v>27.71281292</v>
      </c>
      <c r="M70" s="5">
        <f t="shared" si="13"/>
        <v>27</v>
      </c>
      <c r="N70" s="5">
        <f t="shared" si="14"/>
        <v>28</v>
      </c>
      <c r="O70" s="5">
        <f t="shared" si="15"/>
        <v>28</v>
      </c>
    </row>
    <row r="71">
      <c r="D71" s="3">
        <v>12.0</v>
      </c>
      <c r="E71" s="3">
        <v>7.0</v>
      </c>
      <c r="F71" s="5">
        <f t="shared" si="48"/>
        <v>6</v>
      </c>
      <c r="G71" s="5">
        <f t="shared" si="49"/>
        <v>6</v>
      </c>
      <c r="K71" s="3">
        <v>49.0</v>
      </c>
      <c r="L71" s="5">
        <f t="shared" si="12"/>
        <v>28.29016319</v>
      </c>
      <c r="M71" s="5">
        <f t="shared" si="13"/>
        <v>28</v>
      </c>
      <c r="N71" s="5">
        <f t="shared" si="14"/>
        <v>28</v>
      </c>
      <c r="O71" s="5">
        <f t="shared" si="15"/>
        <v>29</v>
      </c>
    </row>
    <row r="72">
      <c r="D72" s="3">
        <v>13.0</v>
      </c>
      <c r="E72" s="3">
        <v>7.0</v>
      </c>
      <c r="F72" s="5">
        <f t="shared" si="48"/>
        <v>6.5</v>
      </c>
      <c r="G72" s="5">
        <f t="shared" si="49"/>
        <v>6</v>
      </c>
      <c r="K72" s="3">
        <v>50.0</v>
      </c>
      <c r="L72" s="5">
        <f t="shared" si="12"/>
        <v>28.86751346</v>
      </c>
      <c r="M72" s="5">
        <f t="shared" si="13"/>
        <v>28</v>
      </c>
      <c r="N72" s="5">
        <f t="shared" si="14"/>
        <v>29</v>
      </c>
      <c r="O72" s="5">
        <f t="shared" si="15"/>
        <v>29</v>
      </c>
    </row>
    <row r="73">
      <c r="D73" s="3">
        <v>14.0</v>
      </c>
      <c r="E73" s="3">
        <v>7.0</v>
      </c>
      <c r="F73" s="5">
        <f t="shared" si="48"/>
        <v>7</v>
      </c>
      <c r="G73" s="5">
        <f t="shared" si="49"/>
        <v>7</v>
      </c>
      <c r="K73" s="3">
        <v>51.0</v>
      </c>
      <c r="L73" s="5">
        <f t="shared" si="12"/>
        <v>29.44486373</v>
      </c>
      <c r="M73" s="5">
        <f t="shared" si="13"/>
        <v>29</v>
      </c>
      <c r="N73" s="5">
        <f t="shared" si="14"/>
        <v>29</v>
      </c>
      <c r="O73" s="5">
        <f t="shared" si="15"/>
        <v>30</v>
      </c>
    </row>
    <row r="74">
      <c r="D74" s="3">
        <v>15.0</v>
      </c>
      <c r="E74" s="3">
        <v>7.0</v>
      </c>
      <c r="F74" s="5">
        <f t="shared" si="48"/>
        <v>7.5</v>
      </c>
      <c r="G74" s="5">
        <f t="shared" si="49"/>
        <v>7</v>
      </c>
      <c r="K74" s="3">
        <v>52.0</v>
      </c>
      <c r="L74" s="5">
        <f t="shared" si="12"/>
        <v>30.022214</v>
      </c>
      <c r="M74" s="5">
        <f t="shared" si="13"/>
        <v>30</v>
      </c>
      <c r="N74" s="5">
        <f t="shared" si="14"/>
        <v>30</v>
      </c>
      <c r="O74" s="5">
        <f t="shared" si="15"/>
        <v>31</v>
      </c>
    </row>
    <row r="75">
      <c r="D75" s="3">
        <v>16.0</v>
      </c>
      <c r="E75" s="3">
        <v>8.0</v>
      </c>
      <c r="F75" s="5">
        <f t="shared" si="48"/>
        <v>8</v>
      </c>
      <c r="G75" s="5">
        <f t="shared" si="49"/>
        <v>8</v>
      </c>
      <c r="K75" s="3">
        <v>53.0</v>
      </c>
      <c r="L75" s="5">
        <f t="shared" si="12"/>
        <v>30.59956427</v>
      </c>
      <c r="M75" s="5">
        <f t="shared" si="13"/>
        <v>30</v>
      </c>
      <c r="N75" s="5">
        <f t="shared" si="14"/>
        <v>31</v>
      </c>
      <c r="O75" s="5">
        <f t="shared" si="15"/>
        <v>31</v>
      </c>
    </row>
    <row r="76">
      <c r="D76" s="14">
        <v>17.0</v>
      </c>
      <c r="E76" s="14">
        <v>9.0</v>
      </c>
      <c r="F76" s="15">
        <f t="shared" si="48"/>
        <v>8.5</v>
      </c>
      <c r="G76" s="15">
        <f t="shared" si="49"/>
        <v>8</v>
      </c>
      <c r="K76" s="3">
        <v>54.0</v>
      </c>
      <c r="L76" s="5">
        <f t="shared" si="12"/>
        <v>31.17691454</v>
      </c>
      <c r="M76" s="5">
        <f t="shared" si="13"/>
        <v>31</v>
      </c>
      <c r="N76" s="5">
        <f t="shared" si="14"/>
        <v>31</v>
      </c>
      <c r="O76" s="5">
        <f t="shared" si="15"/>
        <v>32</v>
      </c>
    </row>
    <row r="77">
      <c r="D77" s="3">
        <v>18.0</v>
      </c>
      <c r="F77" s="5">
        <f t="shared" si="48"/>
        <v>9</v>
      </c>
      <c r="G77" s="5">
        <f t="shared" si="49"/>
        <v>9</v>
      </c>
      <c r="K77" s="3">
        <v>55.0</v>
      </c>
      <c r="L77" s="5">
        <f t="shared" si="12"/>
        <v>31.75426481</v>
      </c>
      <c r="M77" s="5">
        <f t="shared" si="13"/>
        <v>31</v>
      </c>
      <c r="N77" s="5">
        <f t="shared" si="14"/>
        <v>32</v>
      </c>
      <c r="O77" s="5">
        <f t="shared" si="15"/>
        <v>32</v>
      </c>
    </row>
    <row r="78">
      <c r="D78" s="3">
        <v>19.0</v>
      </c>
      <c r="F78" s="5">
        <f t="shared" si="48"/>
        <v>9.5</v>
      </c>
      <c r="G78" s="5">
        <f t="shared" si="49"/>
        <v>9</v>
      </c>
      <c r="K78" s="3">
        <v>56.0</v>
      </c>
      <c r="L78" s="5">
        <f t="shared" si="12"/>
        <v>32.33161507</v>
      </c>
      <c r="M78" s="5">
        <f t="shared" si="13"/>
        <v>32</v>
      </c>
      <c r="N78" s="5">
        <f t="shared" si="14"/>
        <v>32</v>
      </c>
      <c r="O78" s="5">
        <f t="shared" si="15"/>
        <v>33</v>
      </c>
    </row>
    <row r="79">
      <c r="D79" s="3">
        <v>20.0</v>
      </c>
      <c r="F79" s="5">
        <f t="shared" si="48"/>
        <v>10</v>
      </c>
      <c r="G79" s="5">
        <f t="shared" si="49"/>
        <v>10</v>
      </c>
      <c r="K79" s="3">
        <v>57.0</v>
      </c>
      <c r="L79" s="5">
        <f t="shared" si="12"/>
        <v>32.90896534</v>
      </c>
      <c r="M79" s="5">
        <f t="shared" si="13"/>
        <v>32</v>
      </c>
      <c r="N79" s="5">
        <f t="shared" si="14"/>
        <v>33</v>
      </c>
      <c r="O79" s="5">
        <f t="shared" si="15"/>
        <v>33</v>
      </c>
    </row>
    <row r="80">
      <c r="F80" s="5">
        <f t="shared" si="48"/>
        <v>0</v>
      </c>
      <c r="G80" s="5">
        <f t="shared" si="49"/>
        <v>0</v>
      </c>
      <c r="K80" s="3">
        <v>58.0</v>
      </c>
      <c r="L80" s="5">
        <f t="shared" si="12"/>
        <v>33.48631561</v>
      </c>
      <c r="M80" s="5">
        <f t="shared" si="13"/>
        <v>33</v>
      </c>
      <c r="N80" s="5">
        <f t="shared" si="14"/>
        <v>33</v>
      </c>
      <c r="O80" s="5">
        <f t="shared" si="15"/>
        <v>34</v>
      </c>
    </row>
    <row r="81">
      <c r="D81" s="3">
        <v>123.0</v>
      </c>
      <c r="F81" s="5">
        <f t="shared" si="48"/>
        <v>61.5</v>
      </c>
      <c r="G81" s="5">
        <f t="shared" si="49"/>
        <v>61</v>
      </c>
      <c r="K81" s="3">
        <v>59.0</v>
      </c>
      <c r="L81" s="5">
        <f t="shared" si="12"/>
        <v>34.06366588</v>
      </c>
      <c r="M81" s="5">
        <f t="shared" si="13"/>
        <v>34</v>
      </c>
      <c r="N81" s="5">
        <f t="shared" si="14"/>
        <v>34</v>
      </c>
      <c r="O81" s="5">
        <f t="shared" si="15"/>
        <v>35</v>
      </c>
    </row>
    <row r="82">
      <c r="D82" s="3">
        <v>124.0</v>
      </c>
      <c r="F82" s="5">
        <f t="shared" si="48"/>
        <v>62</v>
      </c>
      <c r="G82" s="5">
        <f t="shared" si="49"/>
        <v>62</v>
      </c>
      <c r="K82" s="3">
        <v>60.0</v>
      </c>
      <c r="L82" s="5">
        <f t="shared" si="12"/>
        <v>34.64101615</v>
      </c>
      <c r="M82" s="5">
        <f t="shared" si="13"/>
        <v>34</v>
      </c>
      <c r="N82" s="5">
        <f t="shared" si="14"/>
        <v>35</v>
      </c>
      <c r="O82" s="5">
        <f t="shared" si="15"/>
        <v>35</v>
      </c>
    </row>
    <row r="83">
      <c r="D83" s="3">
        <v>125.0</v>
      </c>
      <c r="F83" s="5">
        <f t="shared" si="48"/>
        <v>62.5</v>
      </c>
      <c r="G83" s="5">
        <f t="shared" si="49"/>
        <v>62</v>
      </c>
      <c r="K83" s="3">
        <v>61.0</v>
      </c>
      <c r="L83" s="5">
        <f t="shared" si="12"/>
        <v>35.21836642</v>
      </c>
      <c r="M83" s="5">
        <f t="shared" si="13"/>
        <v>35</v>
      </c>
      <c r="N83" s="5">
        <f t="shared" si="14"/>
        <v>35</v>
      </c>
      <c r="O83" s="5">
        <f t="shared" si="15"/>
        <v>36</v>
      </c>
    </row>
    <row r="84">
      <c r="D84" s="3">
        <v>126.0</v>
      </c>
      <c r="F84" s="5">
        <f t="shared" si="48"/>
        <v>63</v>
      </c>
      <c r="G84" s="5">
        <f t="shared" si="49"/>
        <v>63</v>
      </c>
      <c r="K84" s="3">
        <v>62.0</v>
      </c>
      <c r="L84" s="5">
        <f t="shared" si="12"/>
        <v>35.79571669</v>
      </c>
      <c r="M84" s="5">
        <f t="shared" si="13"/>
        <v>35</v>
      </c>
      <c r="N84" s="5">
        <f t="shared" si="14"/>
        <v>36</v>
      </c>
      <c r="O84" s="5">
        <f t="shared" si="15"/>
        <v>36</v>
      </c>
    </row>
    <row r="85">
      <c r="D85" s="3">
        <v>127.0</v>
      </c>
      <c r="F85" s="5">
        <f t="shared" si="48"/>
        <v>63.5</v>
      </c>
      <c r="G85" s="5">
        <f t="shared" si="49"/>
        <v>63</v>
      </c>
      <c r="K85" s="3">
        <v>63.0</v>
      </c>
      <c r="L85" s="5">
        <f t="shared" si="12"/>
        <v>36.37306696</v>
      </c>
      <c r="M85" s="5">
        <f t="shared" si="13"/>
        <v>36</v>
      </c>
      <c r="N85" s="5">
        <f t="shared" si="14"/>
        <v>36</v>
      </c>
      <c r="O85" s="5">
        <f t="shared" si="15"/>
        <v>37</v>
      </c>
    </row>
    <row r="86">
      <c r="D86" s="3">
        <v>128.0</v>
      </c>
      <c r="F86" s="5">
        <f t="shared" si="48"/>
        <v>64</v>
      </c>
      <c r="G86" s="5">
        <f t="shared" si="49"/>
        <v>64</v>
      </c>
      <c r="K86" s="3">
        <v>64.0</v>
      </c>
      <c r="L86" s="5">
        <f t="shared" si="12"/>
        <v>36.95041723</v>
      </c>
      <c r="M86" s="5">
        <f t="shared" si="13"/>
        <v>36</v>
      </c>
      <c r="N86" s="5">
        <f t="shared" si="14"/>
        <v>37</v>
      </c>
      <c r="O86" s="5">
        <f t="shared" si="15"/>
        <v>37</v>
      </c>
    </row>
    <row r="87">
      <c r="D87" s="3">
        <v>129.0</v>
      </c>
      <c r="F87" s="5">
        <f t="shared" si="48"/>
        <v>64.5</v>
      </c>
      <c r="G87" s="5">
        <f t="shared" si="49"/>
        <v>64</v>
      </c>
      <c r="K87" s="3">
        <v>65.0</v>
      </c>
      <c r="L87" s="5">
        <f t="shared" si="12"/>
        <v>37.5277675</v>
      </c>
      <c r="M87" s="5">
        <f t="shared" si="13"/>
        <v>37</v>
      </c>
      <c r="N87" s="5">
        <f t="shared" si="14"/>
        <v>38</v>
      </c>
      <c r="O87" s="5">
        <f t="shared" si="15"/>
        <v>38</v>
      </c>
    </row>
    <row r="88">
      <c r="D88" s="3">
        <v>130.0</v>
      </c>
      <c r="F88" s="5">
        <f t="shared" si="48"/>
        <v>65</v>
      </c>
      <c r="G88" s="5">
        <f t="shared" si="49"/>
        <v>65</v>
      </c>
      <c r="K88" s="3">
        <v>66.0</v>
      </c>
      <c r="L88" s="5">
        <f t="shared" si="12"/>
        <v>38.10511777</v>
      </c>
      <c r="M88" s="5">
        <f t="shared" si="13"/>
        <v>38</v>
      </c>
      <c r="N88" s="5">
        <f t="shared" si="14"/>
        <v>38</v>
      </c>
      <c r="O88" s="5">
        <f t="shared" si="15"/>
        <v>39</v>
      </c>
    </row>
    <row r="89">
      <c r="D89" s="3">
        <v>131.0</v>
      </c>
      <c r="F89" s="5">
        <f t="shared" si="48"/>
        <v>65.5</v>
      </c>
      <c r="G89" s="5">
        <f t="shared" si="49"/>
        <v>65</v>
      </c>
      <c r="K89" s="3">
        <v>67.0</v>
      </c>
      <c r="L89" s="5">
        <f t="shared" si="12"/>
        <v>38.68246804</v>
      </c>
      <c r="M89" s="5">
        <f t="shared" si="13"/>
        <v>38</v>
      </c>
      <c r="N89" s="5">
        <f t="shared" si="14"/>
        <v>39</v>
      </c>
      <c r="O89" s="5">
        <f t="shared" si="15"/>
        <v>39</v>
      </c>
    </row>
    <row r="90">
      <c r="D90" s="3">
        <v>132.0</v>
      </c>
      <c r="F90" s="5">
        <f t="shared" si="48"/>
        <v>66</v>
      </c>
      <c r="G90" s="5">
        <f t="shared" si="49"/>
        <v>66</v>
      </c>
      <c r="K90" s="3">
        <v>68.0</v>
      </c>
      <c r="L90" s="5">
        <f t="shared" si="12"/>
        <v>39.2598183</v>
      </c>
      <c r="M90" s="5">
        <f t="shared" si="13"/>
        <v>39</v>
      </c>
      <c r="N90" s="5">
        <f t="shared" si="14"/>
        <v>39</v>
      </c>
      <c r="O90" s="5">
        <f t="shared" si="15"/>
        <v>40</v>
      </c>
    </row>
    <row r="91">
      <c r="K91" s="3">
        <v>69.0</v>
      </c>
      <c r="L91" s="5">
        <f t="shared" si="12"/>
        <v>39.83716857</v>
      </c>
      <c r="M91" s="5">
        <f t="shared" si="13"/>
        <v>39</v>
      </c>
      <c r="N91" s="5">
        <f t="shared" si="14"/>
        <v>40</v>
      </c>
      <c r="O91" s="5">
        <f t="shared" si="15"/>
        <v>40</v>
      </c>
    </row>
    <row r="92">
      <c r="K92" s="3">
        <v>70.0</v>
      </c>
      <c r="L92" s="5">
        <f t="shared" si="12"/>
        <v>40.41451884</v>
      </c>
      <c r="M92" s="5">
        <f t="shared" si="13"/>
        <v>40</v>
      </c>
      <c r="N92" s="5">
        <f t="shared" si="14"/>
        <v>40</v>
      </c>
      <c r="O92" s="5">
        <f t="shared" si="15"/>
        <v>41</v>
      </c>
    </row>
    <row r="93">
      <c r="K93" s="3">
        <v>71.0</v>
      </c>
      <c r="L93" s="5">
        <f t="shared" si="12"/>
        <v>40.99186911</v>
      </c>
      <c r="M93" s="5">
        <f t="shared" si="13"/>
        <v>40</v>
      </c>
      <c r="N93" s="5">
        <f t="shared" si="14"/>
        <v>41</v>
      </c>
      <c r="O93" s="5">
        <f t="shared" si="15"/>
        <v>41</v>
      </c>
    </row>
    <row r="94">
      <c r="K94" s="3">
        <v>72.0</v>
      </c>
      <c r="L94" s="5">
        <f t="shared" si="12"/>
        <v>41.56921938</v>
      </c>
      <c r="M94" s="5">
        <f t="shared" si="13"/>
        <v>41</v>
      </c>
      <c r="N94" s="5">
        <f t="shared" si="14"/>
        <v>42</v>
      </c>
      <c r="O94" s="5">
        <f t="shared" si="15"/>
        <v>42</v>
      </c>
    </row>
    <row r="95">
      <c r="K95" s="3">
        <v>73.0</v>
      </c>
      <c r="L95" s="5">
        <f t="shared" si="12"/>
        <v>42.14656965</v>
      </c>
      <c r="M95" s="5">
        <f t="shared" si="13"/>
        <v>42</v>
      </c>
      <c r="N95" s="5">
        <f t="shared" si="14"/>
        <v>42</v>
      </c>
      <c r="O95" s="5">
        <f t="shared" si="15"/>
        <v>43</v>
      </c>
    </row>
    <row r="96">
      <c r="K96" s="3">
        <v>74.0</v>
      </c>
      <c r="L96" s="5">
        <f t="shared" si="12"/>
        <v>42.72391992</v>
      </c>
      <c r="M96" s="5">
        <f t="shared" si="13"/>
        <v>42</v>
      </c>
      <c r="N96" s="5">
        <f t="shared" si="14"/>
        <v>43</v>
      </c>
      <c r="O96" s="5">
        <f t="shared" si="15"/>
        <v>43</v>
      </c>
    </row>
    <row r="97">
      <c r="D97" s="5">
        <f>26/38</f>
        <v>0.6842105263</v>
      </c>
      <c r="F97" s="5">
        <f>(37+26)/(65+45)</f>
        <v>0.5727272727</v>
      </c>
      <c r="G97" s="3">
        <f>38/22</f>
        <v>1.727272727</v>
      </c>
      <c r="K97" s="3">
        <v>75.0</v>
      </c>
      <c r="L97" s="5">
        <f t="shared" si="12"/>
        <v>43.30127019</v>
      </c>
      <c r="M97" s="5">
        <f t="shared" si="13"/>
        <v>43</v>
      </c>
      <c r="N97" s="5">
        <f t="shared" si="14"/>
        <v>43</v>
      </c>
      <c r="O97" s="5">
        <f t="shared" si="15"/>
        <v>44</v>
      </c>
    </row>
    <row r="98">
      <c r="D98" s="3">
        <f>46/65</f>
        <v>0.7076923077</v>
      </c>
      <c r="K98" s="3">
        <v>76.0</v>
      </c>
      <c r="L98" s="5">
        <f t="shared" si="12"/>
        <v>43.87862046</v>
      </c>
      <c r="M98" s="5">
        <f t="shared" si="13"/>
        <v>43</v>
      </c>
      <c r="N98" s="5">
        <f t="shared" si="14"/>
        <v>44</v>
      </c>
      <c r="O98" s="5">
        <f t="shared" si="15"/>
        <v>44</v>
      </c>
    </row>
    <row r="99">
      <c r="D99" s="5">
        <f>38/65</f>
        <v>0.5846153846</v>
      </c>
      <c r="F99" s="3">
        <f>(26+13)*(65+45)/(37+26)</f>
        <v>68.0952381</v>
      </c>
      <c r="K99" s="3">
        <v>77.0</v>
      </c>
      <c r="L99" s="5">
        <f t="shared" si="12"/>
        <v>44.45597073</v>
      </c>
      <c r="M99" s="5">
        <f t="shared" si="13"/>
        <v>44</v>
      </c>
      <c r="N99" s="5">
        <f t="shared" si="14"/>
        <v>44</v>
      </c>
      <c r="O99" s="5">
        <f t="shared" si="15"/>
        <v>45</v>
      </c>
    </row>
    <row r="100">
      <c r="K100" s="3">
        <v>78.0</v>
      </c>
      <c r="L100" s="5">
        <f t="shared" si="12"/>
        <v>45.033321</v>
      </c>
      <c r="M100" s="5">
        <f t="shared" si="13"/>
        <v>45</v>
      </c>
      <c r="N100" s="5">
        <f t="shared" si="14"/>
        <v>45</v>
      </c>
      <c r="O100" s="5">
        <f t="shared" si="15"/>
        <v>46</v>
      </c>
    </row>
    <row r="101">
      <c r="D101" s="5">
        <f>45/65</f>
        <v>0.6923076923</v>
      </c>
      <c r="F101" s="5">
        <f>26*sqrt(3)</f>
        <v>45.033321</v>
      </c>
      <c r="K101" s="3">
        <v>79.0</v>
      </c>
      <c r="L101" s="5">
        <f t="shared" si="12"/>
        <v>45.61067127</v>
      </c>
      <c r="M101" s="5">
        <f t="shared" si="13"/>
        <v>45</v>
      </c>
      <c r="N101" s="5">
        <f t="shared" si="14"/>
        <v>46</v>
      </c>
      <c r="O101" s="5">
        <f t="shared" si="15"/>
        <v>46</v>
      </c>
    </row>
    <row r="102">
      <c r="D102" s="5">
        <f>26/37</f>
        <v>0.7027027027</v>
      </c>
      <c r="K102" s="3">
        <v>80.0</v>
      </c>
      <c r="L102" s="5">
        <f t="shared" si="12"/>
        <v>46.18802154</v>
      </c>
      <c r="M102" s="5">
        <f t="shared" si="13"/>
        <v>46</v>
      </c>
      <c r="N102" s="5">
        <f t="shared" si="14"/>
        <v>46</v>
      </c>
      <c r="O102" s="5">
        <f t="shared" si="15"/>
        <v>47</v>
      </c>
    </row>
    <row r="103">
      <c r="K103" s="3">
        <v>81.0</v>
      </c>
      <c r="L103" s="5">
        <f t="shared" si="12"/>
        <v>46.7653718</v>
      </c>
      <c r="M103" s="5">
        <f t="shared" si="13"/>
        <v>46</v>
      </c>
      <c r="N103" s="5">
        <f t="shared" si="14"/>
        <v>47</v>
      </c>
      <c r="O103" s="5">
        <f t="shared" si="15"/>
        <v>47</v>
      </c>
    </row>
    <row r="104">
      <c r="K104" s="3">
        <v>82.0</v>
      </c>
      <c r="L104" s="5">
        <f t="shared" si="12"/>
        <v>47.34272207</v>
      </c>
      <c r="M104" s="5">
        <f t="shared" si="13"/>
        <v>47</v>
      </c>
      <c r="N104" s="5">
        <f t="shared" si="14"/>
        <v>47</v>
      </c>
      <c r="O104" s="5">
        <f t="shared" si="15"/>
        <v>48</v>
      </c>
    </row>
    <row r="105">
      <c r="K105" s="3">
        <v>83.0</v>
      </c>
      <c r="L105" s="5">
        <f t="shared" si="12"/>
        <v>47.92007234</v>
      </c>
      <c r="M105" s="5">
        <f t="shared" si="13"/>
        <v>47</v>
      </c>
      <c r="N105" s="5">
        <f t="shared" si="14"/>
        <v>48</v>
      </c>
      <c r="O105" s="5">
        <f t="shared" si="15"/>
        <v>48</v>
      </c>
    </row>
    <row r="106">
      <c r="K106" s="3">
        <v>84.0</v>
      </c>
      <c r="L106" s="5">
        <f t="shared" si="12"/>
        <v>48.49742261</v>
      </c>
      <c r="M106" s="5">
        <f t="shared" si="13"/>
        <v>48</v>
      </c>
      <c r="N106" s="5">
        <f t="shared" si="14"/>
        <v>48</v>
      </c>
      <c r="O106" s="5">
        <f t="shared" si="15"/>
        <v>49</v>
      </c>
    </row>
    <row r="107">
      <c r="K107" s="3">
        <v>85.0</v>
      </c>
      <c r="L107" s="5">
        <f t="shared" si="12"/>
        <v>49.07477288</v>
      </c>
      <c r="M107" s="5">
        <f t="shared" si="13"/>
        <v>49</v>
      </c>
      <c r="N107" s="5">
        <f t="shared" si="14"/>
        <v>49</v>
      </c>
      <c r="O107" s="5">
        <f t="shared" si="15"/>
        <v>50</v>
      </c>
    </row>
    <row r="108">
      <c r="K108" s="3">
        <v>86.0</v>
      </c>
      <c r="L108" s="5">
        <f t="shared" si="12"/>
        <v>49.65212315</v>
      </c>
      <c r="M108" s="5">
        <f t="shared" si="13"/>
        <v>49</v>
      </c>
      <c r="N108" s="5">
        <f t="shared" si="14"/>
        <v>50</v>
      </c>
      <c r="O108" s="5">
        <f t="shared" si="15"/>
        <v>50</v>
      </c>
    </row>
    <row r="109">
      <c r="K109" s="3">
        <v>87.0</v>
      </c>
      <c r="L109" s="5">
        <f t="shared" si="12"/>
        <v>50.22947342</v>
      </c>
      <c r="M109" s="5">
        <f t="shared" si="13"/>
        <v>50</v>
      </c>
      <c r="N109" s="5">
        <f t="shared" si="14"/>
        <v>50</v>
      </c>
      <c r="O109" s="5">
        <f t="shared" si="15"/>
        <v>51</v>
      </c>
    </row>
    <row r="110">
      <c r="K110" s="3">
        <v>88.0</v>
      </c>
      <c r="L110" s="5">
        <f t="shared" si="12"/>
        <v>50.80682369</v>
      </c>
      <c r="M110" s="5">
        <f t="shared" si="13"/>
        <v>50</v>
      </c>
      <c r="N110" s="5">
        <f t="shared" si="14"/>
        <v>51</v>
      </c>
      <c r="O110" s="5">
        <f t="shared" si="15"/>
        <v>51</v>
      </c>
    </row>
    <row r="111">
      <c r="K111" s="3">
        <v>89.0</v>
      </c>
      <c r="L111" s="5">
        <f t="shared" si="12"/>
        <v>51.38417396</v>
      </c>
      <c r="M111" s="5">
        <f t="shared" si="13"/>
        <v>51</v>
      </c>
      <c r="N111" s="5">
        <f t="shared" si="14"/>
        <v>51</v>
      </c>
      <c r="O111" s="5">
        <f t="shared" si="15"/>
        <v>52</v>
      </c>
    </row>
    <row r="112">
      <c r="K112" s="3">
        <v>90.0</v>
      </c>
      <c r="L112" s="5">
        <f t="shared" si="12"/>
        <v>51.96152423</v>
      </c>
      <c r="M112" s="5">
        <f t="shared" si="13"/>
        <v>51</v>
      </c>
      <c r="N112" s="5">
        <f t="shared" si="14"/>
        <v>52</v>
      </c>
      <c r="O112" s="5">
        <f t="shared" si="15"/>
        <v>52</v>
      </c>
    </row>
    <row r="113">
      <c r="K113" s="3">
        <v>91.0</v>
      </c>
      <c r="L113" s="5">
        <f t="shared" si="12"/>
        <v>52.5388745</v>
      </c>
      <c r="M113" s="5">
        <f t="shared" si="13"/>
        <v>52</v>
      </c>
      <c r="N113" s="5">
        <f t="shared" si="14"/>
        <v>53</v>
      </c>
      <c r="O113" s="5">
        <f t="shared" si="15"/>
        <v>53</v>
      </c>
    </row>
    <row r="114">
      <c r="K114" s="3">
        <v>92.0</v>
      </c>
      <c r="L114" s="5">
        <f t="shared" si="12"/>
        <v>53.11622477</v>
      </c>
      <c r="M114" s="5">
        <f t="shared" si="13"/>
        <v>53</v>
      </c>
      <c r="N114" s="5">
        <f t="shared" si="14"/>
        <v>53</v>
      </c>
      <c r="O114" s="5">
        <f t="shared" si="15"/>
        <v>54</v>
      </c>
    </row>
    <row r="115">
      <c r="K115" s="3">
        <v>93.0</v>
      </c>
      <c r="L115" s="5">
        <f t="shared" si="12"/>
        <v>53.69357503</v>
      </c>
      <c r="M115" s="5">
        <f t="shared" si="13"/>
        <v>53</v>
      </c>
      <c r="N115" s="5">
        <f t="shared" si="14"/>
        <v>54</v>
      </c>
      <c r="O115" s="5">
        <f t="shared" si="15"/>
        <v>54</v>
      </c>
    </row>
    <row r="116">
      <c r="K116" s="3">
        <v>94.0</v>
      </c>
      <c r="L116" s="5">
        <f t="shared" si="12"/>
        <v>54.2709253</v>
      </c>
      <c r="M116" s="5">
        <f t="shared" si="13"/>
        <v>54</v>
      </c>
      <c r="N116" s="5">
        <f t="shared" si="14"/>
        <v>54</v>
      </c>
      <c r="O116" s="5">
        <f t="shared" si="15"/>
        <v>55</v>
      </c>
    </row>
    <row r="117">
      <c r="K117" s="3">
        <v>95.0</v>
      </c>
      <c r="L117" s="5">
        <f t="shared" si="12"/>
        <v>54.84827557</v>
      </c>
      <c r="M117" s="5">
        <f t="shared" si="13"/>
        <v>54</v>
      </c>
      <c r="N117" s="5">
        <f t="shared" si="14"/>
        <v>55</v>
      </c>
      <c r="O117" s="5">
        <f t="shared" si="15"/>
        <v>55</v>
      </c>
    </row>
    <row r="118">
      <c r="K118" s="3">
        <v>96.0</v>
      </c>
      <c r="L118" s="5">
        <f t="shared" si="12"/>
        <v>55.42562584</v>
      </c>
      <c r="M118" s="5">
        <f t="shared" si="13"/>
        <v>55</v>
      </c>
      <c r="N118" s="5">
        <f t="shared" si="14"/>
        <v>55</v>
      </c>
      <c r="O118" s="5">
        <f t="shared" si="15"/>
        <v>56</v>
      </c>
    </row>
    <row r="119">
      <c r="K119" s="3">
        <v>97.0</v>
      </c>
      <c r="L119" s="5">
        <f t="shared" si="12"/>
        <v>56.00297611</v>
      </c>
      <c r="M119" s="5">
        <f t="shared" si="13"/>
        <v>56</v>
      </c>
      <c r="N119" s="5">
        <f t="shared" si="14"/>
        <v>56</v>
      </c>
      <c r="O119" s="5">
        <f t="shared" si="15"/>
        <v>57</v>
      </c>
    </row>
    <row r="120">
      <c r="K120" s="3">
        <v>98.0</v>
      </c>
      <c r="L120" s="5">
        <f t="shared" si="12"/>
        <v>56.58032638</v>
      </c>
      <c r="M120" s="5">
        <f t="shared" si="13"/>
        <v>56</v>
      </c>
      <c r="N120" s="5">
        <f t="shared" si="14"/>
        <v>57</v>
      </c>
      <c r="O120" s="5">
        <f t="shared" si="15"/>
        <v>57</v>
      </c>
    </row>
    <row r="121">
      <c r="K121" s="3">
        <v>99.0</v>
      </c>
      <c r="L121" s="5">
        <f t="shared" si="12"/>
        <v>57.15767665</v>
      </c>
      <c r="M121" s="5">
        <f t="shared" si="13"/>
        <v>57</v>
      </c>
      <c r="N121" s="5">
        <f t="shared" si="14"/>
        <v>57</v>
      </c>
      <c r="O121" s="5">
        <f t="shared" si="15"/>
        <v>58</v>
      </c>
    </row>
    <row r="122">
      <c r="K122" s="3">
        <v>100.0</v>
      </c>
      <c r="L122" s="5">
        <f t="shared" si="12"/>
        <v>57.73502692</v>
      </c>
      <c r="M122" s="5">
        <f t="shared" si="13"/>
        <v>57</v>
      </c>
      <c r="N122" s="5">
        <f t="shared" si="14"/>
        <v>58</v>
      </c>
      <c r="O122" s="5">
        <f t="shared" si="15"/>
        <v>58</v>
      </c>
    </row>
    <row r="123">
      <c r="K123" s="3">
        <v>101.0</v>
      </c>
      <c r="L123" s="5">
        <f t="shared" si="12"/>
        <v>58.31237719</v>
      </c>
      <c r="M123" s="5">
        <f t="shared" si="13"/>
        <v>58</v>
      </c>
      <c r="N123" s="5">
        <f t="shared" si="14"/>
        <v>58</v>
      </c>
      <c r="O123" s="5">
        <f t="shared" si="15"/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63"/>
    <col customWidth="1" min="4" max="4" width="2.88"/>
  </cols>
  <sheetData>
    <row r="1">
      <c r="A1" s="1">
        <v>4.111111111111111</v>
      </c>
      <c r="B1" s="5">
        <f t="shared" ref="B1:B16" si="1">5-A1</f>
        <v>0.8888888889</v>
      </c>
      <c r="C1" s="3">
        <v>17.0</v>
      </c>
      <c r="D1" s="5">
        <f t="shared" ref="D1:D16" si="2">C1-16</f>
        <v>1</v>
      </c>
      <c r="E1" s="5">
        <f t="shared" ref="E1:E16" si="3">B1</f>
        <v>0.8888888889</v>
      </c>
      <c r="F1" s="5">
        <f t="shared" ref="F1:F16" si="4">34/(C1+1) - 1</f>
        <v>0.8888888889</v>
      </c>
    </row>
    <row r="2">
      <c r="A2" s="1">
        <v>4.2105263157894735</v>
      </c>
      <c r="B2" s="5">
        <f t="shared" si="1"/>
        <v>0.7894736842</v>
      </c>
      <c r="C2" s="3">
        <v>18.0</v>
      </c>
      <c r="D2" s="5">
        <f t="shared" si="2"/>
        <v>2</v>
      </c>
      <c r="E2" s="5">
        <f t="shared" si="3"/>
        <v>0.7894736842</v>
      </c>
      <c r="F2" s="5">
        <f t="shared" si="4"/>
        <v>0.7894736842</v>
      </c>
    </row>
    <row r="3">
      <c r="A3" s="1">
        <v>4.3</v>
      </c>
      <c r="B3" s="5">
        <f t="shared" si="1"/>
        <v>0.7</v>
      </c>
      <c r="C3" s="3">
        <v>19.0</v>
      </c>
      <c r="D3" s="5">
        <f t="shared" si="2"/>
        <v>3</v>
      </c>
      <c r="E3" s="5">
        <f t="shared" si="3"/>
        <v>0.7</v>
      </c>
      <c r="F3" s="5">
        <f t="shared" si="4"/>
        <v>0.7</v>
      </c>
    </row>
    <row r="4">
      <c r="A4" s="1">
        <v>4.380952380952381</v>
      </c>
      <c r="B4" s="5">
        <f t="shared" si="1"/>
        <v>0.619047619</v>
      </c>
      <c r="C4" s="3">
        <v>20.0</v>
      </c>
      <c r="D4" s="5">
        <f t="shared" si="2"/>
        <v>4</v>
      </c>
      <c r="E4" s="5">
        <f t="shared" si="3"/>
        <v>0.619047619</v>
      </c>
      <c r="F4" s="5">
        <f t="shared" si="4"/>
        <v>0.619047619</v>
      </c>
    </row>
    <row r="5">
      <c r="A5" s="1">
        <v>4.454545454545455</v>
      </c>
      <c r="B5" s="5">
        <f t="shared" si="1"/>
        <v>0.5454545455</v>
      </c>
      <c r="C5" s="3">
        <v>21.0</v>
      </c>
      <c r="D5" s="5">
        <f t="shared" si="2"/>
        <v>5</v>
      </c>
      <c r="E5" s="5">
        <f t="shared" si="3"/>
        <v>0.5454545455</v>
      </c>
      <c r="F5" s="5">
        <f t="shared" si="4"/>
        <v>0.5454545455</v>
      </c>
    </row>
    <row r="6">
      <c r="A6" s="1">
        <v>4.521739130434782</v>
      </c>
      <c r="B6" s="5">
        <f t="shared" si="1"/>
        <v>0.4782608696</v>
      </c>
      <c r="C6" s="3">
        <v>22.0</v>
      </c>
      <c r="D6" s="5">
        <f t="shared" si="2"/>
        <v>6</v>
      </c>
      <c r="E6" s="5">
        <f t="shared" si="3"/>
        <v>0.4782608696</v>
      </c>
      <c r="F6" s="5">
        <f t="shared" si="4"/>
        <v>0.4782608696</v>
      </c>
    </row>
    <row r="7">
      <c r="A7" s="1">
        <v>4.583333333333333</v>
      </c>
      <c r="B7" s="5">
        <f t="shared" si="1"/>
        <v>0.4166666667</v>
      </c>
      <c r="C7" s="3">
        <v>23.0</v>
      </c>
      <c r="D7" s="5">
        <f t="shared" si="2"/>
        <v>7</v>
      </c>
      <c r="E7" s="5">
        <f t="shared" si="3"/>
        <v>0.4166666667</v>
      </c>
      <c r="F7" s="5">
        <f t="shared" si="4"/>
        <v>0.4166666667</v>
      </c>
    </row>
    <row r="8">
      <c r="A8" s="1">
        <v>4.64</v>
      </c>
      <c r="B8" s="5">
        <f t="shared" si="1"/>
        <v>0.36</v>
      </c>
      <c r="C8" s="3">
        <v>24.0</v>
      </c>
      <c r="D8" s="5">
        <f t="shared" si="2"/>
        <v>8</v>
      </c>
      <c r="E8" s="5">
        <f t="shared" si="3"/>
        <v>0.36</v>
      </c>
      <c r="F8" s="5">
        <f t="shared" si="4"/>
        <v>0.36</v>
      </c>
    </row>
    <row r="9">
      <c r="A9" s="1">
        <v>4.6923076923076925</v>
      </c>
      <c r="B9" s="5">
        <f t="shared" si="1"/>
        <v>0.3076923077</v>
      </c>
      <c r="C9" s="3">
        <v>25.0</v>
      </c>
      <c r="D9" s="5">
        <f t="shared" si="2"/>
        <v>9</v>
      </c>
      <c r="E9" s="5">
        <f t="shared" si="3"/>
        <v>0.3076923077</v>
      </c>
      <c r="F9" s="5">
        <f t="shared" si="4"/>
        <v>0.3076923077</v>
      </c>
    </row>
    <row r="10">
      <c r="A10" s="1">
        <v>4.7407407407407405</v>
      </c>
      <c r="B10" s="5">
        <f t="shared" si="1"/>
        <v>0.2592592593</v>
      </c>
      <c r="C10" s="3">
        <v>26.0</v>
      </c>
      <c r="D10" s="5">
        <f t="shared" si="2"/>
        <v>10</v>
      </c>
      <c r="E10" s="5">
        <f t="shared" si="3"/>
        <v>0.2592592593</v>
      </c>
      <c r="F10" s="5">
        <f t="shared" si="4"/>
        <v>0.2592592593</v>
      </c>
    </row>
    <row r="11">
      <c r="A11" s="1">
        <v>4.785714285714286</v>
      </c>
      <c r="B11" s="5">
        <f t="shared" si="1"/>
        <v>0.2142857143</v>
      </c>
      <c r="C11" s="3">
        <v>27.0</v>
      </c>
      <c r="D11" s="5">
        <f t="shared" si="2"/>
        <v>11</v>
      </c>
      <c r="E11" s="5">
        <f t="shared" si="3"/>
        <v>0.2142857143</v>
      </c>
      <c r="F11" s="5">
        <f t="shared" si="4"/>
        <v>0.2142857143</v>
      </c>
    </row>
    <row r="12">
      <c r="A12" s="1">
        <v>4.827586206896552</v>
      </c>
      <c r="B12" s="5">
        <f t="shared" si="1"/>
        <v>0.1724137931</v>
      </c>
      <c r="C12" s="3">
        <v>28.0</v>
      </c>
      <c r="D12" s="5">
        <f t="shared" si="2"/>
        <v>12</v>
      </c>
      <c r="E12" s="5">
        <f t="shared" si="3"/>
        <v>0.1724137931</v>
      </c>
      <c r="F12" s="5">
        <f t="shared" si="4"/>
        <v>0.1724137931</v>
      </c>
    </row>
    <row r="13">
      <c r="A13" s="1">
        <v>4.866666666666666</v>
      </c>
      <c r="B13" s="5">
        <f t="shared" si="1"/>
        <v>0.1333333333</v>
      </c>
      <c r="C13" s="3">
        <v>29.0</v>
      </c>
      <c r="D13" s="5">
        <f t="shared" si="2"/>
        <v>13</v>
      </c>
      <c r="E13" s="5">
        <f t="shared" si="3"/>
        <v>0.1333333333</v>
      </c>
      <c r="F13" s="5">
        <f t="shared" si="4"/>
        <v>0.1333333333</v>
      </c>
    </row>
    <row r="14">
      <c r="A14" s="1">
        <v>4.903225806451613</v>
      </c>
      <c r="B14" s="5">
        <f t="shared" si="1"/>
        <v>0.09677419355</v>
      </c>
      <c r="C14" s="3">
        <v>30.0</v>
      </c>
      <c r="D14" s="5">
        <f t="shared" si="2"/>
        <v>14</v>
      </c>
      <c r="E14" s="5">
        <f t="shared" si="3"/>
        <v>0.09677419355</v>
      </c>
      <c r="F14" s="5">
        <f t="shared" si="4"/>
        <v>0.09677419355</v>
      </c>
    </row>
    <row r="15">
      <c r="A15" s="1">
        <v>4.9375</v>
      </c>
      <c r="B15" s="5">
        <f t="shared" si="1"/>
        <v>0.0625</v>
      </c>
      <c r="C15" s="3">
        <v>31.0</v>
      </c>
      <c r="D15" s="5">
        <f t="shared" si="2"/>
        <v>15</v>
      </c>
      <c r="E15" s="5">
        <f t="shared" si="3"/>
        <v>0.0625</v>
      </c>
      <c r="F15" s="5">
        <f t="shared" si="4"/>
        <v>0.0625</v>
      </c>
    </row>
    <row r="16">
      <c r="A16" s="1">
        <v>4.96969696969697</v>
      </c>
      <c r="B16" s="5">
        <f t="shared" si="1"/>
        <v>0.0303030303</v>
      </c>
      <c r="C16" s="3">
        <v>32.0</v>
      </c>
      <c r="D16" s="5">
        <f t="shared" si="2"/>
        <v>16</v>
      </c>
      <c r="E16" s="5">
        <f t="shared" si="3"/>
        <v>0.0303030303</v>
      </c>
      <c r="F16" s="5">
        <f t="shared" si="4"/>
        <v>0.0303030303</v>
      </c>
    </row>
    <row r="19">
      <c r="E19" s="3" t="s">
        <v>6</v>
      </c>
      <c r="G19" s="3" t="s">
        <v>7</v>
      </c>
      <c r="I19" s="3" t="s">
        <v>8</v>
      </c>
      <c r="J19" s="3" t="s">
        <v>9</v>
      </c>
    </row>
    <row r="20">
      <c r="A20" s="1">
        <v>3.2</v>
      </c>
      <c r="B20" s="3">
        <v>9.0</v>
      </c>
      <c r="C20" s="5">
        <f t="shared" ref="C20:C27" si="5">4-A20</f>
        <v>0.8</v>
      </c>
      <c r="E20" s="9">
        <f t="shared" ref="E20:E27" si="6">18/(B20+1) - 1</f>
        <v>0.8</v>
      </c>
    </row>
    <row r="21">
      <c r="A21" s="1">
        <v>3.3636363636363638</v>
      </c>
      <c r="B21" s="3">
        <v>10.0</v>
      </c>
      <c r="C21" s="5">
        <f t="shared" si="5"/>
        <v>0.6363636364</v>
      </c>
      <c r="E21" s="9">
        <f t="shared" si="6"/>
        <v>0.6363636364</v>
      </c>
    </row>
    <row r="22">
      <c r="A22" s="1">
        <v>3.5</v>
      </c>
      <c r="B22" s="3">
        <v>11.0</v>
      </c>
      <c r="C22" s="5">
        <f t="shared" si="5"/>
        <v>0.5</v>
      </c>
      <c r="E22" s="9">
        <f t="shared" si="6"/>
        <v>0.5</v>
      </c>
      <c r="I22" s="3" t="s">
        <v>10</v>
      </c>
    </row>
    <row r="23">
      <c r="A23" s="1">
        <v>3.6153846153846154</v>
      </c>
      <c r="B23" s="3">
        <v>12.0</v>
      </c>
      <c r="C23" s="5">
        <f t="shared" si="5"/>
        <v>0.3846153846</v>
      </c>
      <c r="E23" s="9">
        <f t="shared" si="6"/>
        <v>0.3846153846</v>
      </c>
    </row>
    <row r="24">
      <c r="A24" s="1">
        <v>3.7142857142857144</v>
      </c>
      <c r="B24" s="3">
        <v>13.0</v>
      </c>
      <c r="C24" s="5">
        <f t="shared" si="5"/>
        <v>0.2857142857</v>
      </c>
      <c r="E24" s="9">
        <f t="shared" si="6"/>
        <v>0.2857142857</v>
      </c>
    </row>
    <row r="25">
      <c r="A25" s="1">
        <v>3.8</v>
      </c>
      <c r="B25" s="3">
        <v>14.0</v>
      </c>
      <c r="C25" s="5">
        <f t="shared" si="5"/>
        <v>0.2</v>
      </c>
      <c r="E25" s="9">
        <f t="shared" si="6"/>
        <v>0.2</v>
      </c>
    </row>
    <row r="26">
      <c r="A26" s="1">
        <v>3.875</v>
      </c>
      <c r="B26" s="3">
        <v>15.0</v>
      </c>
      <c r="C26" s="5">
        <f t="shared" si="5"/>
        <v>0.125</v>
      </c>
      <c r="E26" s="9">
        <f t="shared" si="6"/>
        <v>0.125</v>
      </c>
    </row>
    <row r="27">
      <c r="A27" s="1">
        <v>3.9411764705882355</v>
      </c>
      <c r="B27" s="3">
        <v>16.0</v>
      </c>
      <c r="C27" s="5">
        <f t="shared" si="5"/>
        <v>0.05882352941</v>
      </c>
      <c r="E27" s="9">
        <f t="shared" si="6"/>
        <v>0.05882352941</v>
      </c>
    </row>
    <row r="31">
      <c r="A31" s="10">
        <v>4.078431372549019</v>
      </c>
      <c r="B31" s="3">
        <v>16.0</v>
      </c>
      <c r="C31" s="5">
        <f t="shared" ref="C31:C46" si="7">5-A31</f>
        <v>0.9215686275</v>
      </c>
      <c r="E31" s="5">
        <f t="shared" ref="E31:E46" si="8">(95/3-B31)/(B31+1)</f>
        <v>0.9215686275</v>
      </c>
    </row>
    <row r="32">
      <c r="A32" s="10">
        <v>4.185185185185185</v>
      </c>
      <c r="B32" s="3">
        <v>17.0</v>
      </c>
      <c r="C32" s="5">
        <f t="shared" si="7"/>
        <v>0.8148148148</v>
      </c>
      <c r="E32" s="5">
        <f t="shared" si="8"/>
        <v>0.8148148148</v>
      </c>
    </row>
    <row r="33">
      <c r="A33" s="10">
        <v>4.280701754385965</v>
      </c>
      <c r="B33" s="3">
        <v>18.0</v>
      </c>
      <c r="C33" s="5">
        <f t="shared" si="7"/>
        <v>0.7192982456</v>
      </c>
      <c r="E33" s="5">
        <f t="shared" si="8"/>
        <v>0.7192982456</v>
      </c>
    </row>
    <row r="34">
      <c r="A34" s="10">
        <v>4.366666666666667</v>
      </c>
      <c r="B34" s="3">
        <v>19.0</v>
      </c>
      <c r="C34" s="5">
        <f t="shared" si="7"/>
        <v>0.6333333333</v>
      </c>
      <c r="E34" s="5">
        <f t="shared" si="8"/>
        <v>0.6333333333</v>
      </c>
    </row>
    <row r="35">
      <c r="A35" s="10">
        <v>4.444444444444445</v>
      </c>
      <c r="B35" s="3">
        <v>20.0</v>
      </c>
      <c r="C35" s="5">
        <f t="shared" si="7"/>
        <v>0.5555555556</v>
      </c>
      <c r="E35" s="5">
        <f t="shared" si="8"/>
        <v>0.5555555556</v>
      </c>
    </row>
    <row r="36">
      <c r="A36" s="10">
        <v>4.515151515151516</v>
      </c>
      <c r="B36" s="3">
        <v>21.0</v>
      </c>
      <c r="C36" s="5">
        <f t="shared" si="7"/>
        <v>0.4848484848</v>
      </c>
      <c r="E36" s="5">
        <f t="shared" si="8"/>
        <v>0.4848484848</v>
      </c>
    </row>
    <row r="37">
      <c r="A37" s="10">
        <v>4.579710144927536</v>
      </c>
      <c r="B37" s="3">
        <v>22.0</v>
      </c>
      <c r="C37" s="5">
        <f t="shared" si="7"/>
        <v>0.4202898551</v>
      </c>
      <c r="E37" s="5">
        <f t="shared" si="8"/>
        <v>0.4202898551</v>
      </c>
    </row>
    <row r="38">
      <c r="A38" s="10">
        <v>4.638888888888889</v>
      </c>
      <c r="B38" s="3">
        <v>23.0</v>
      </c>
      <c r="C38" s="5">
        <f t="shared" si="7"/>
        <v>0.3611111111</v>
      </c>
      <c r="E38" s="5">
        <f t="shared" si="8"/>
        <v>0.3611111111</v>
      </c>
    </row>
    <row r="39">
      <c r="A39" s="10">
        <v>4.693333333333333</v>
      </c>
      <c r="B39" s="3">
        <v>24.0</v>
      </c>
      <c r="C39" s="5">
        <f t="shared" si="7"/>
        <v>0.3066666667</v>
      </c>
      <c r="E39" s="5">
        <f t="shared" si="8"/>
        <v>0.3066666667</v>
      </c>
    </row>
    <row r="40">
      <c r="A40" s="10">
        <v>4.743589743589744</v>
      </c>
      <c r="B40" s="3">
        <v>25.0</v>
      </c>
      <c r="C40" s="5">
        <f t="shared" si="7"/>
        <v>0.2564102564</v>
      </c>
      <c r="E40" s="5">
        <f t="shared" si="8"/>
        <v>0.2564102564</v>
      </c>
    </row>
    <row r="41">
      <c r="A41" s="10">
        <v>4.790123456790123</v>
      </c>
      <c r="B41" s="3">
        <v>26.0</v>
      </c>
      <c r="C41" s="5">
        <f t="shared" si="7"/>
        <v>0.2098765432</v>
      </c>
      <c r="E41" s="5">
        <f t="shared" si="8"/>
        <v>0.2098765432</v>
      </c>
    </row>
    <row r="42">
      <c r="A42" s="10">
        <v>4.833333333333333</v>
      </c>
      <c r="B42" s="3">
        <v>27.0</v>
      </c>
      <c r="C42" s="5">
        <f t="shared" si="7"/>
        <v>0.1666666667</v>
      </c>
      <c r="E42" s="5">
        <f t="shared" si="8"/>
        <v>0.1666666667</v>
      </c>
    </row>
    <row r="43">
      <c r="A43" s="10">
        <v>4.873563218390805</v>
      </c>
      <c r="B43" s="3">
        <v>28.0</v>
      </c>
      <c r="C43" s="5">
        <f t="shared" si="7"/>
        <v>0.1264367816</v>
      </c>
      <c r="E43" s="5">
        <f t="shared" si="8"/>
        <v>0.1264367816</v>
      </c>
    </row>
    <row r="44">
      <c r="A44" s="10">
        <v>4.911111111111111</v>
      </c>
      <c r="B44" s="3">
        <v>29.0</v>
      </c>
      <c r="C44" s="5">
        <f t="shared" si="7"/>
        <v>0.08888888889</v>
      </c>
      <c r="E44" s="5">
        <f t="shared" si="8"/>
        <v>0.08888888889</v>
      </c>
    </row>
    <row r="45">
      <c r="A45" s="10">
        <v>4.946236559139785</v>
      </c>
      <c r="B45" s="3">
        <v>30.0</v>
      </c>
      <c r="C45" s="5">
        <f t="shared" si="7"/>
        <v>0.05376344086</v>
      </c>
      <c r="E45" s="5">
        <f t="shared" si="8"/>
        <v>0.05376344086</v>
      </c>
    </row>
    <row r="46">
      <c r="A46" s="10">
        <v>4.979166666666667</v>
      </c>
      <c r="B46" s="3">
        <v>31.0</v>
      </c>
      <c r="C46" s="5">
        <f t="shared" si="7"/>
        <v>0.02083333333</v>
      </c>
      <c r="E46" s="5">
        <f t="shared" si="8"/>
        <v>0.02083333333</v>
      </c>
    </row>
    <row r="48">
      <c r="A48" s="1">
        <v>5.040404040404041</v>
      </c>
      <c r="B48" s="3">
        <v>32.0</v>
      </c>
      <c r="C48" s="5">
        <f t="shared" ref="C48:C70" si="9">6-A48</f>
        <v>0.9595959596</v>
      </c>
      <c r="E48" s="5">
        <f t="shared" ref="E48:E70" si="10">((64*3-1)/3-B48)/(B48+1)</f>
        <v>0.9595959596</v>
      </c>
    </row>
    <row r="49">
      <c r="A49" s="1">
        <v>5.098039215686274</v>
      </c>
      <c r="B49" s="3">
        <v>33.0</v>
      </c>
      <c r="C49" s="5">
        <f t="shared" si="9"/>
        <v>0.9019607843</v>
      </c>
      <c r="E49" s="5">
        <f t="shared" si="10"/>
        <v>0.9019607843</v>
      </c>
    </row>
    <row r="50">
      <c r="A50" s="1">
        <v>5.152380952380953</v>
      </c>
      <c r="B50" s="3">
        <v>34.0</v>
      </c>
      <c r="C50" s="5">
        <f t="shared" si="9"/>
        <v>0.8476190476</v>
      </c>
      <c r="E50" s="5">
        <f t="shared" si="10"/>
        <v>0.8476190476</v>
      </c>
    </row>
    <row r="51">
      <c r="A51" s="1">
        <v>5.203703703703704</v>
      </c>
      <c r="B51" s="3">
        <v>35.0</v>
      </c>
      <c r="C51" s="5">
        <f t="shared" si="9"/>
        <v>0.7962962963</v>
      </c>
      <c r="E51" s="5">
        <f t="shared" si="10"/>
        <v>0.7962962963</v>
      </c>
    </row>
    <row r="52">
      <c r="A52" s="1">
        <v>5.252252252252252</v>
      </c>
      <c r="B52" s="3">
        <v>36.0</v>
      </c>
      <c r="C52" s="5">
        <f t="shared" si="9"/>
        <v>0.7477477477</v>
      </c>
      <c r="E52" s="5">
        <f t="shared" si="10"/>
        <v>0.7477477477</v>
      </c>
    </row>
    <row r="53">
      <c r="A53" s="1">
        <v>5.298245614035087</v>
      </c>
      <c r="B53" s="3">
        <v>37.0</v>
      </c>
      <c r="C53" s="5">
        <f t="shared" si="9"/>
        <v>0.701754386</v>
      </c>
      <c r="E53" s="5">
        <f t="shared" si="10"/>
        <v>0.701754386</v>
      </c>
    </row>
    <row r="54">
      <c r="A54" s="1">
        <v>5.3418803418803416</v>
      </c>
      <c r="B54" s="3">
        <v>38.0</v>
      </c>
      <c r="C54" s="5">
        <f t="shared" si="9"/>
        <v>0.6581196581</v>
      </c>
      <c r="E54" s="5">
        <f t="shared" si="10"/>
        <v>0.6581196581</v>
      </c>
    </row>
    <row r="55">
      <c r="A55" s="1">
        <v>5.383333333333333</v>
      </c>
      <c r="B55" s="3">
        <v>39.0</v>
      </c>
      <c r="C55" s="5">
        <f t="shared" si="9"/>
        <v>0.6166666667</v>
      </c>
      <c r="E55" s="5">
        <f t="shared" si="10"/>
        <v>0.6166666667</v>
      </c>
    </row>
    <row r="56">
      <c r="A56" s="1">
        <v>5.4227642276422765</v>
      </c>
      <c r="B56" s="3">
        <v>40.0</v>
      </c>
      <c r="C56" s="5">
        <f t="shared" si="9"/>
        <v>0.5772357724</v>
      </c>
      <c r="E56" s="5">
        <f t="shared" si="10"/>
        <v>0.5772357724</v>
      </c>
    </row>
    <row r="57">
      <c r="A57" s="1">
        <v>5.4603174603174605</v>
      </c>
      <c r="B57" s="3">
        <v>41.0</v>
      </c>
      <c r="C57" s="5">
        <f t="shared" si="9"/>
        <v>0.5396825397</v>
      </c>
      <c r="E57" s="5">
        <f t="shared" si="10"/>
        <v>0.5396825397</v>
      </c>
    </row>
    <row r="58">
      <c r="A58" s="1">
        <v>5.496124031007752</v>
      </c>
      <c r="B58" s="3">
        <v>42.0</v>
      </c>
      <c r="C58" s="5">
        <f t="shared" si="9"/>
        <v>0.503875969</v>
      </c>
      <c r="E58" s="5">
        <f t="shared" si="10"/>
        <v>0.503875969</v>
      </c>
    </row>
    <row r="59">
      <c r="A59" s="1">
        <v>5.53030303030303</v>
      </c>
      <c r="B59" s="3">
        <v>43.0</v>
      </c>
      <c r="C59" s="5">
        <f t="shared" si="9"/>
        <v>0.4696969697</v>
      </c>
      <c r="E59" s="5">
        <f t="shared" si="10"/>
        <v>0.4696969697</v>
      </c>
    </row>
    <row r="60">
      <c r="A60" s="1">
        <v>5.562962962962963</v>
      </c>
      <c r="B60" s="3">
        <v>44.0</v>
      </c>
      <c r="C60" s="5">
        <f t="shared" si="9"/>
        <v>0.437037037</v>
      </c>
      <c r="E60" s="5">
        <f t="shared" si="10"/>
        <v>0.437037037</v>
      </c>
    </row>
    <row r="61">
      <c r="A61" s="1">
        <v>5.594202898550725</v>
      </c>
      <c r="B61" s="3">
        <v>45.0</v>
      </c>
      <c r="C61" s="5">
        <f t="shared" si="9"/>
        <v>0.4057971014</v>
      </c>
      <c r="E61" s="5">
        <f t="shared" si="10"/>
        <v>0.4057971014</v>
      </c>
    </row>
    <row r="62">
      <c r="A62" s="1">
        <v>5.624113475177305</v>
      </c>
      <c r="B62" s="3">
        <v>46.0</v>
      </c>
      <c r="C62" s="5">
        <f t="shared" si="9"/>
        <v>0.3758865248</v>
      </c>
      <c r="E62" s="5">
        <f t="shared" si="10"/>
        <v>0.3758865248</v>
      </c>
    </row>
    <row r="63">
      <c r="A63" s="1">
        <v>5.652777777777778</v>
      </c>
      <c r="B63" s="3">
        <v>47.0</v>
      </c>
      <c r="C63" s="5">
        <f t="shared" si="9"/>
        <v>0.3472222222</v>
      </c>
      <c r="E63" s="5">
        <f t="shared" si="10"/>
        <v>0.3472222222</v>
      </c>
    </row>
    <row r="64">
      <c r="A64" s="1">
        <v>5.680272108843537</v>
      </c>
      <c r="B64" s="3">
        <v>48.0</v>
      </c>
      <c r="C64" s="5">
        <f t="shared" si="9"/>
        <v>0.3197278912</v>
      </c>
      <c r="E64" s="5">
        <f t="shared" si="10"/>
        <v>0.3197278912</v>
      </c>
    </row>
    <row r="65">
      <c r="A65" s="1">
        <v>5.706666666666667</v>
      </c>
      <c r="B65" s="3">
        <v>49.0</v>
      </c>
      <c r="C65" s="5">
        <f t="shared" si="9"/>
        <v>0.2933333333</v>
      </c>
      <c r="E65" s="5">
        <f t="shared" si="10"/>
        <v>0.2933333333</v>
      </c>
    </row>
    <row r="66">
      <c r="A66" s="1">
        <v>5.73202614379085</v>
      </c>
      <c r="B66" s="3">
        <v>50.0</v>
      </c>
      <c r="C66" s="5">
        <f t="shared" si="9"/>
        <v>0.2679738562</v>
      </c>
      <c r="E66" s="5">
        <f t="shared" si="10"/>
        <v>0.2679738562</v>
      </c>
    </row>
    <row r="67">
      <c r="A67" s="1">
        <v>5.756410256410256</v>
      </c>
      <c r="B67" s="3">
        <v>51.0</v>
      </c>
      <c r="C67" s="5">
        <f t="shared" si="9"/>
        <v>0.2435897436</v>
      </c>
      <c r="E67" s="5">
        <f t="shared" si="10"/>
        <v>0.2435897436</v>
      </c>
    </row>
    <row r="68">
      <c r="A68" s="1">
        <v>5.779874213836478</v>
      </c>
      <c r="B68" s="3">
        <v>52.0</v>
      </c>
      <c r="C68" s="5">
        <f t="shared" si="9"/>
        <v>0.2201257862</v>
      </c>
      <c r="E68" s="5">
        <f t="shared" si="10"/>
        <v>0.2201257862</v>
      </c>
    </row>
    <row r="69">
      <c r="A69" s="1">
        <v>5.802469135802469</v>
      </c>
      <c r="B69" s="3">
        <v>53.0</v>
      </c>
      <c r="C69" s="5">
        <f t="shared" si="9"/>
        <v>0.1975308642</v>
      </c>
      <c r="E69" s="5">
        <f t="shared" si="10"/>
        <v>0.1975308642</v>
      </c>
    </row>
    <row r="70">
      <c r="A70" s="1">
        <v>5.824242424242424</v>
      </c>
      <c r="B70" s="3">
        <v>54.0</v>
      </c>
      <c r="C70" s="5">
        <f t="shared" si="9"/>
        <v>0.1757575758</v>
      </c>
      <c r="E70" s="5">
        <f t="shared" si="10"/>
        <v>0.1757575758</v>
      </c>
    </row>
    <row r="74">
      <c r="A74" s="1">
        <v>4.071428571428571</v>
      </c>
      <c r="B74" s="3">
        <v>13.0</v>
      </c>
      <c r="C74" s="5">
        <f t="shared" ref="C74:C88" si="11">5-A74</f>
        <v>0.9285714286</v>
      </c>
    </row>
    <row r="75">
      <c r="A75" s="1">
        <v>4.133333333333333</v>
      </c>
      <c r="B75" s="3">
        <v>14.0</v>
      </c>
      <c r="C75" s="5">
        <f t="shared" si="11"/>
        <v>0.8666666667</v>
      </c>
    </row>
    <row r="76">
      <c r="A76" s="1">
        <v>4.1875</v>
      </c>
      <c r="B76" s="3">
        <v>15.0</v>
      </c>
      <c r="C76" s="5">
        <f t="shared" si="11"/>
        <v>0.8125</v>
      </c>
    </row>
    <row r="77">
      <c r="A77" s="1">
        <v>4.294117647058823</v>
      </c>
      <c r="B77" s="3">
        <v>16.0</v>
      </c>
      <c r="C77" s="5">
        <f t="shared" si="11"/>
        <v>0.7058823529</v>
      </c>
    </row>
    <row r="78">
      <c r="A78" s="1">
        <v>4.388888888888889</v>
      </c>
      <c r="B78" s="3">
        <v>17.0</v>
      </c>
      <c r="C78" s="5">
        <f t="shared" si="11"/>
        <v>0.6111111111</v>
      </c>
    </row>
    <row r="79">
      <c r="A79" s="1">
        <v>4.473684210526316</v>
      </c>
      <c r="B79" s="3">
        <v>18.0</v>
      </c>
      <c r="C79" s="5">
        <f t="shared" si="11"/>
        <v>0.5263157895</v>
      </c>
    </row>
    <row r="80">
      <c r="A80" s="1">
        <v>4.55</v>
      </c>
      <c r="B80" s="3">
        <v>19.0</v>
      </c>
      <c r="C80" s="5">
        <f t="shared" si="11"/>
        <v>0.45</v>
      </c>
    </row>
    <row r="81">
      <c r="A81" s="1">
        <v>4.619047619047619</v>
      </c>
      <c r="B81" s="3">
        <v>20.0</v>
      </c>
      <c r="C81" s="5">
        <f t="shared" si="11"/>
        <v>0.380952381</v>
      </c>
    </row>
    <row r="82">
      <c r="A82" s="1">
        <v>4.681818181818182</v>
      </c>
      <c r="B82" s="3">
        <v>21.0</v>
      </c>
      <c r="C82" s="5">
        <f t="shared" si="11"/>
        <v>0.3181818182</v>
      </c>
    </row>
    <row r="83">
      <c r="A83" s="1">
        <v>4.739130434782608</v>
      </c>
      <c r="B83" s="3">
        <v>22.0</v>
      </c>
      <c r="C83" s="5">
        <f t="shared" si="11"/>
        <v>0.2608695652</v>
      </c>
    </row>
    <row r="84">
      <c r="A84" s="1">
        <v>4.791666666666667</v>
      </c>
      <c r="B84" s="3">
        <v>23.0</v>
      </c>
      <c r="C84" s="5">
        <f t="shared" si="11"/>
        <v>0.2083333333</v>
      </c>
    </row>
    <row r="85">
      <c r="A85" s="1">
        <v>4.84</v>
      </c>
      <c r="B85" s="3">
        <v>24.0</v>
      </c>
      <c r="C85" s="5">
        <f t="shared" si="11"/>
        <v>0.16</v>
      </c>
    </row>
    <row r="86">
      <c r="A86" s="1">
        <v>4.884615384615385</v>
      </c>
      <c r="B86" s="3">
        <v>25.0</v>
      </c>
      <c r="C86" s="5">
        <f t="shared" si="11"/>
        <v>0.1153846154</v>
      </c>
    </row>
    <row r="87">
      <c r="A87" s="1">
        <v>4.907407407407407</v>
      </c>
      <c r="B87" s="3">
        <v>26.0</v>
      </c>
      <c r="C87" s="5">
        <f t="shared" si="11"/>
        <v>0.09259259259</v>
      </c>
    </row>
    <row r="88">
      <c r="A88" s="1">
        <v>4.928571428571429</v>
      </c>
      <c r="B88" s="3">
        <v>27.0</v>
      </c>
      <c r="C88" s="5">
        <f t="shared" si="11"/>
        <v>0.07142857143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K1" s="5">
        <f>16/9</f>
        <v>1.777777778</v>
      </c>
      <c r="L1" s="5">
        <f t="shared" ref="L1:L4" si="1">K1^2</f>
        <v>3.160493827</v>
      </c>
    </row>
    <row r="2">
      <c r="A2" s="3">
        <v>1.0</v>
      </c>
      <c r="B2" s="5">
        <f t="shared" ref="B2:B23" si="2">(3/4)^A2</f>
        <v>0.75</v>
      </c>
      <c r="C2" s="3">
        <f t="shared" ref="C2:C23" si="3">1-B2</f>
        <v>0.25</v>
      </c>
      <c r="D2" s="5">
        <f t="shared" ref="D2:D23" si="4">(2/3)^A2</f>
        <v>0.6666666667</v>
      </c>
      <c r="E2" s="5">
        <f t="shared" ref="E2:E23" si="5">(1/2)^A2</f>
        <v>0.5</v>
      </c>
      <c r="F2" s="5">
        <f t="shared" ref="F2:F23" si="6">(1/4)^A2</f>
        <v>0.25</v>
      </c>
      <c r="I2" s="5">
        <f>39/58</f>
        <v>0.6724137931</v>
      </c>
      <c r="K2" s="5">
        <f>45/17</f>
        <v>2.647058824</v>
      </c>
      <c r="L2" s="5">
        <f t="shared" si="1"/>
        <v>7.006920415</v>
      </c>
      <c r="M2" s="5">
        <f>sqrt(6)</f>
        <v>2.449489743</v>
      </c>
      <c r="N2" s="5">
        <f>sqrt(7)</f>
        <v>2.645751311</v>
      </c>
    </row>
    <row r="3">
      <c r="A3" s="3">
        <v>2.0</v>
      </c>
      <c r="B3" s="5">
        <f t="shared" si="2"/>
        <v>0.5625</v>
      </c>
      <c r="C3" s="3">
        <f t="shared" si="3"/>
        <v>0.4375</v>
      </c>
      <c r="D3" s="5">
        <f t="shared" si="4"/>
        <v>0.4444444444</v>
      </c>
      <c r="E3" s="5">
        <f t="shared" si="5"/>
        <v>0.25</v>
      </c>
      <c r="F3" s="5">
        <f t="shared" si="6"/>
        <v>0.0625</v>
      </c>
      <c r="I3" s="5">
        <f>25/38</f>
        <v>0.6578947368</v>
      </c>
      <c r="K3" s="3">
        <f>126/33</f>
        <v>3.818181818</v>
      </c>
      <c r="L3" s="5">
        <f t="shared" si="1"/>
        <v>14.5785124</v>
      </c>
    </row>
    <row r="4">
      <c r="A4" s="3">
        <v>3.0</v>
      </c>
      <c r="B4" s="5">
        <f t="shared" si="2"/>
        <v>0.421875</v>
      </c>
      <c r="C4" s="3">
        <f t="shared" si="3"/>
        <v>0.578125</v>
      </c>
      <c r="D4" s="5">
        <f t="shared" si="4"/>
        <v>0.2962962963</v>
      </c>
      <c r="E4" s="5">
        <f t="shared" si="5"/>
        <v>0.125</v>
      </c>
      <c r="F4" s="5">
        <f t="shared" si="6"/>
        <v>0.015625</v>
      </c>
      <c r="I4" s="5">
        <f>14/27</f>
        <v>0.5185185185</v>
      </c>
      <c r="K4" s="5">
        <f>361/65</f>
        <v>5.553846154</v>
      </c>
      <c r="L4" s="5">
        <f t="shared" si="1"/>
        <v>30.8452071</v>
      </c>
    </row>
    <row r="5">
      <c r="A5" s="3">
        <v>4.0</v>
      </c>
      <c r="B5" s="5">
        <f t="shared" si="2"/>
        <v>0.31640625</v>
      </c>
      <c r="C5" s="3">
        <f t="shared" si="3"/>
        <v>0.68359375</v>
      </c>
      <c r="D5" s="5">
        <f t="shared" si="4"/>
        <v>0.1975308642</v>
      </c>
      <c r="E5" s="5">
        <f t="shared" si="5"/>
        <v>0.0625</v>
      </c>
      <c r="F5" s="5">
        <f t="shared" si="6"/>
        <v>0.00390625</v>
      </c>
      <c r="I5" s="5">
        <f>8/27</f>
        <v>0.2962962963</v>
      </c>
      <c r="O5" s="3">
        <v>16.0</v>
      </c>
      <c r="Q5" s="3">
        <v>45.0</v>
      </c>
      <c r="S5" s="3">
        <v>126.0</v>
      </c>
    </row>
    <row r="6">
      <c r="A6" s="3">
        <v>5.0</v>
      </c>
      <c r="B6" s="5">
        <f t="shared" si="2"/>
        <v>0.2373046875</v>
      </c>
      <c r="C6" s="3">
        <f t="shared" si="3"/>
        <v>0.7626953125</v>
      </c>
      <c r="D6" s="5">
        <f t="shared" si="4"/>
        <v>0.1316872428</v>
      </c>
      <c r="E6" s="5">
        <f t="shared" si="5"/>
        <v>0.03125</v>
      </c>
      <c r="F6" s="5">
        <f t="shared" si="6"/>
        <v>0.0009765625</v>
      </c>
      <c r="I6" s="5">
        <f>9/27</f>
        <v>0.3333333333</v>
      </c>
      <c r="K6" s="3">
        <v>9.0</v>
      </c>
      <c r="L6" s="5">
        <f t="shared" ref="L6:L25" si="7">K6*sqrt(K6/2)</f>
        <v>19.09188309</v>
      </c>
      <c r="N6" s="3">
        <v>8.0</v>
      </c>
      <c r="O6" s="5">
        <f t="shared" ref="O6:O8" si="8">O$5/N6</f>
        <v>2</v>
      </c>
      <c r="P6" s="3">
        <v>16.0</v>
      </c>
      <c r="Q6" s="5">
        <f t="shared" ref="Q6:Q9" si="9">Q$5/P6</f>
        <v>2.8125</v>
      </c>
      <c r="R6" s="3">
        <v>32.0</v>
      </c>
      <c r="S6" s="5">
        <f t="shared" ref="S6:S11" si="10">S$5/R6</f>
        <v>3.9375</v>
      </c>
    </row>
    <row r="7">
      <c r="A7" s="3">
        <v>6.0</v>
      </c>
      <c r="B7" s="5">
        <f t="shared" si="2"/>
        <v>0.1779785156</v>
      </c>
      <c r="C7" s="3">
        <f t="shared" si="3"/>
        <v>0.8220214844</v>
      </c>
      <c r="D7" s="5">
        <f t="shared" si="4"/>
        <v>0.0877914952</v>
      </c>
      <c r="E7" s="5">
        <f t="shared" si="5"/>
        <v>0.015625</v>
      </c>
      <c r="F7" s="5">
        <f t="shared" si="6"/>
        <v>0.000244140625</v>
      </c>
      <c r="K7" s="3">
        <v>2.0</v>
      </c>
      <c r="L7" s="5">
        <f t="shared" si="7"/>
        <v>2</v>
      </c>
      <c r="N7" s="3">
        <v>14.0</v>
      </c>
      <c r="O7" s="5">
        <f t="shared" si="8"/>
        <v>1.142857143</v>
      </c>
      <c r="P7" s="3">
        <v>30.0</v>
      </c>
      <c r="Q7" s="5">
        <f t="shared" si="9"/>
        <v>1.5</v>
      </c>
      <c r="R7" s="3">
        <v>62.0</v>
      </c>
      <c r="S7" s="5">
        <f t="shared" si="10"/>
        <v>2.032258065</v>
      </c>
    </row>
    <row r="8">
      <c r="A8" s="3">
        <v>7.0</v>
      </c>
      <c r="B8" s="5">
        <f t="shared" si="2"/>
        <v>0.1334838867</v>
      </c>
      <c r="C8" s="3">
        <f t="shared" si="3"/>
        <v>0.8665161133</v>
      </c>
      <c r="D8" s="5">
        <f t="shared" si="4"/>
        <v>0.05852766347</v>
      </c>
      <c r="E8" s="5">
        <f t="shared" si="5"/>
        <v>0.0078125</v>
      </c>
      <c r="F8" s="5">
        <f t="shared" si="6"/>
        <v>0.00006103515625</v>
      </c>
      <c r="K8" s="3">
        <v>3.0</v>
      </c>
      <c r="L8" s="5">
        <f t="shared" si="7"/>
        <v>3.674234614</v>
      </c>
      <c r="N8" s="3">
        <v>15.0</v>
      </c>
      <c r="O8" s="5">
        <f t="shared" si="8"/>
        <v>1.066666667</v>
      </c>
      <c r="P8" s="3">
        <v>36.0</v>
      </c>
      <c r="Q8" s="5">
        <f t="shared" si="9"/>
        <v>1.25</v>
      </c>
      <c r="R8" s="3">
        <v>81.0</v>
      </c>
      <c r="S8" s="5">
        <f t="shared" si="10"/>
        <v>1.555555556</v>
      </c>
    </row>
    <row r="9">
      <c r="A9" s="3">
        <v>8.0</v>
      </c>
      <c r="B9" s="5">
        <f t="shared" si="2"/>
        <v>0.100112915</v>
      </c>
      <c r="C9" s="3">
        <f t="shared" si="3"/>
        <v>0.899887085</v>
      </c>
      <c r="D9" s="5">
        <f t="shared" si="4"/>
        <v>0.03901844231</v>
      </c>
      <c r="E9" s="5">
        <f t="shared" si="5"/>
        <v>0.00390625</v>
      </c>
      <c r="F9" s="5">
        <f t="shared" si="6"/>
        <v>0.00001525878906</v>
      </c>
      <c r="K9" s="3">
        <v>4.0</v>
      </c>
      <c r="L9" s="5">
        <f t="shared" si="7"/>
        <v>5.656854249</v>
      </c>
      <c r="P9" s="3">
        <v>40.0</v>
      </c>
      <c r="Q9" s="5">
        <f t="shared" si="9"/>
        <v>1.125</v>
      </c>
      <c r="R9" s="3">
        <v>96.0</v>
      </c>
      <c r="S9" s="5">
        <f t="shared" si="10"/>
        <v>1.3125</v>
      </c>
    </row>
    <row r="10">
      <c r="A10" s="3">
        <v>9.0</v>
      </c>
      <c r="B10" s="5">
        <f t="shared" si="2"/>
        <v>0.07508468628</v>
      </c>
      <c r="C10" s="3">
        <f t="shared" si="3"/>
        <v>0.9249153137</v>
      </c>
      <c r="D10" s="5">
        <f t="shared" si="4"/>
        <v>0.02601229487</v>
      </c>
      <c r="E10" s="5">
        <f t="shared" si="5"/>
        <v>0.001953125</v>
      </c>
      <c r="F10" s="5">
        <f t="shared" si="6"/>
        <v>0.000003814697266</v>
      </c>
      <c r="K10" s="3">
        <v>5.0</v>
      </c>
      <c r="L10" s="5">
        <f t="shared" si="7"/>
        <v>7.90569415</v>
      </c>
      <c r="R10" s="3">
        <v>110.0</v>
      </c>
      <c r="S10" s="5">
        <f t="shared" si="10"/>
        <v>1.145454545</v>
      </c>
    </row>
    <row r="11">
      <c r="A11" s="3">
        <v>10.0</v>
      </c>
      <c r="B11" s="5">
        <f t="shared" si="2"/>
        <v>0.05631351471</v>
      </c>
      <c r="C11" s="3">
        <f t="shared" si="3"/>
        <v>0.9436864853</v>
      </c>
      <c r="D11" s="5">
        <f t="shared" si="4"/>
        <v>0.01734152992</v>
      </c>
      <c r="E11" s="5">
        <f t="shared" si="5"/>
        <v>0.0009765625</v>
      </c>
      <c r="F11" s="5">
        <f t="shared" si="6"/>
        <v>0.0000009536743164</v>
      </c>
      <c r="K11" s="3">
        <v>6.0</v>
      </c>
      <c r="L11" s="5">
        <f t="shared" si="7"/>
        <v>10.39230485</v>
      </c>
      <c r="R11" s="3">
        <v>114.0</v>
      </c>
      <c r="S11" s="5">
        <f t="shared" si="10"/>
        <v>1.105263158</v>
      </c>
    </row>
    <row r="12">
      <c r="A12" s="3">
        <v>11.0</v>
      </c>
      <c r="B12" s="5">
        <f t="shared" si="2"/>
        <v>0.04223513603</v>
      </c>
      <c r="C12" s="3">
        <f t="shared" si="3"/>
        <v>0.957764864</v>
      </c>
      <c r="D12" s="5">
        <f t="shared" si="4"/>
        <v>0.01156101994</v>
      </c>
      <c r="E12" s="5">
        <f t="shared" si="5"/>
        <v>0.00048828125</v>
      </c>
      <c r="F12" s="5">
        <f t="shared" si="6"/>
        <v>0.0000002384185791</v>
      </c>
      <c r="K12" s="3">
        <v>7.0</v>
      </c>
      <c r="L12" s="5">
        <f t="shared" si="7"/>
        <v>13.09580085</v>
      </c>
    </row>
    <row r="13">
      <c r="A13" s="3">
        <v>12.0</v>
      </c>
      <c r="B13" s="5">
        <f t="shared" si="2"/>
        <v>0.03167635202</v>
      </c>
      <c r="C13" s="3">
        <f t="shared" si="3"/>
        <v>0.968323648</v>
      </c>
      <c r="D13" s="5">
        <f t="shared" si="4"/>
        <v>0.007707346629</v>
      </c>
      <c r="E13" s="5">
        <f t="shared" si="5"/>
        <v>0.000244140625</v>
      </c>
      <c r="F13" s="5">
        <f t="shared" si="6"/>
        <v>0.00000005960464478</v>
      </c>
      <c r="K13" s="3">
        <v>8.0</v>
      </c>
      <c r="L13" s="5">
        <f t="shared" si="7"/>
        <v>16</v>
      </c>
    </row>
    <row r="14">
      <c r="A14" s="3">
        <v>13.0</v>
      </c>
      <c r="B14" s="5">
        <f t="shared" si="2"/>
        <v>0.02375726402</v>
      </c>
      <c r="C14" s="3">
        <f t="shared" si="3"/>
        <v>0.976242736</v>
      </c>
      <c r="D14" s="5">
        <f t="shared" si="4"/>
        <v>0.005138231086</v>
      </c>
      <c r="E14" s="5">
        <f t="shared" si="5"/>
        <v>0.0001220703125</v>
      </c>
      <c r="F14" s="5">
        <f t="shared" si="6"/>
        <v>0.00000001490116119</v>
      </c>
      <c r="K14" s="3">
        <v>9.0</v>
      </c>
      <c r="L14" s="5">
        <f t="shared" si="7"/>
        <v>19.09188309</v>
      </c>
      <c r="N14" s="3">
        <v>2.0</v>
      </c>
      <c r="O14" s="5">
        <f t="shared" ref="O14:O17" si="11">O6^$N14</f>
        <v>4</v>
      </c>
      <c r="Q14" s="5">
        <f t="shared" ref="Q14:Q17" si="12">Q6^$N14</f>
        <v>7.91015625</v>
      </c>
      <c r="S14" s="5">
        <f t="shared" ref="S14:S17" si="13">S6^$N14</f>
        <v>15.50390625</v>
      </c>
    </row>
    <row r="15">
      <c r="A15" s="3">
        <v>14.0</v>
      </c>
      <c r="B15" s="5">
        <f t="shared" si="2"/>
        <v>0.01781794801</v>
      </c>
      <c r="C15" s="3">
        <f t="shared" si="3"/>
        <v>0.982182052</v>
      </c>
      <c r="D15" s="5">
        <f t="shared" si="4"/>
        <v>0.003425487391</v>
      </c>
      <c r="E15" s="5">
        <f t="shared" si="5"/>
        <v>0.00006103515625</v>
      </c>
      <c r="F15" s="5">
        <f t="shared" si="6"/>
        <v>0.000000003725290298</v>
      </c>
      <c r="K15" s="3">
        <v>10.0</v>
      </c>
      <c r="L15" s="5">
        <f t="shared" si="7"/>
        <v>22.36067977</v>
      </c>
      <c r="N15" s="3">
        <v>10.0</v>
      </c>
      <c r="O15" s="5">
        <f t="shared" si="11"/>
        <v>3.801189052</v>
      </c>
      <c r="Q15" s="5">
        <f t="shared" si="12"/>
        <v>57.66503906</v>
      </c>
      <c r="S15" s="5">
        <f t="shared" si="13"/>
        <v>1201.679234</v>
      </c>
    </row>
    <row r="16">
      <c r="A16" s="3">
        <v>15.0</v>
      </c>
      <c r="B16" s="5">
        <f t="shared" si="2"/>
        <v>0.01336346101</v>
      </c>
      <c r="C16" s="3">
        <f t="shared" si="3"/>
        <v>0.986636539</v>
      </c>
      <c r="D16" s="5">
        <f t="shared" si="4"/>
        <v>0.002283658261</v>
      </c>
      <c r="E16" s="5">
        <f t="shared" si="5"/>
        <v>0.00003051757813</v>
      </c>
      <c r="F16" s="5">
        <f t="shared" si="6"/>
        <v>0.0000000009313225746</v>
      </c>
      <c r="K16" s="3">
        <v>11.0</v>
      </c>
      <c r="L16" s="5">
        <f t="shared" si="7"/>
        <v>25.79728668</v>
      </c>
      <c r="N16" s="3">
        <v>10.0</v>
      </c>
      <c r="O16" s="5">
        <f t="shared" si="11"/>
        <v>1.906721379</v>
      </c>
      <c r="Q16" s="5">
        <f t="shared" si="12"/>
        <v>9.313225746</v>
      </c>
      <c r="S16" s="5">
        <f t="shared" si="13"/>
        <v>82.95742487</v>
      </c>
    </row>
    <row r="17">
      <c r="A17" s="3">
        <v>16.0</v>
      </c>
      <c r="B17" s="5">
        <f t="shared" si="2"/>
        <v>0.01002259576</v>
      </c>
      <c r="C17" s="3">
        <f t="shared" si="3"/>
        <v>0.9899774042</v>
      </c>
      <c r="D17" s="5">
        <f t="shared" si="4"/>
        <v>0.00152243884</v>
      </c>
      <c r="E17" s="5">
        <f t="shared" si="5"/>
        <v>0.00001525878906</v>
      </c>
      <c r="F17" s="5">
        <f t="shared" si="6"/>
        <v>0.0000000002328306437</v>
      </c>
      <c r="K17" s="3">
        <v>12.0</v>
      </c>
      <c r="L17" s="5">
        <f t="shared" si="7"/>
        <v>29.39387691</v>
      </c>
      <c r="N17" s="3">
        <v>8.0</v>
      </c>
      <c r="O17" s="5">
        <f t="shared" si="11"/>
        <v>0</v>
      </c>
      <c r="Q17" s="5">
        <f t="shared" si="12"/>
        <v>2.565784514</v>
      </c>
      <c r="S17" s="5">
        <f t="shared" si="13"/>
        <v>8.80632069</v>
      </c>
    </row>
    <row r="18">
      <c r="A18" s="3">
        <v>17.0</v>
      </c>
      <c r="B18" s="5">
        <f t="shared" si="2"/>
        <v>0.007516946818</v>
      </c>
      <c r="C18" s="3">
        <f t="shared" si="3"/>
        <v>0.9924830532</v>
      </c>
      <c r="D18" s="5">
        <f t="shared" si="4"/>
        <v>0.001014959227</v>
      </c>
      <c r="E18" s="5">
        <f t="shared" si="5"/>
        <v>0.000007629394531</v>
      </c>
      <c r="F18" s="5">
        <f t="shared" si="6"/>
        <v>0</v>
      </c>
      <c r="K18" s="3">
        <v>13.0</v>
      </c>
      <c r="L18" s="5">
        <f t="shared" si="7"/>
        <v>33.14362684</v>
      </c>
      <c r="N18" s="3">
        <v>10.0</v>
      </c>
      <c r="Q18" s="5">
        <f t="shared" ref="Q18:Q19" si="14">Q10^2</f>
        <v>0</v>
      </c>
      <c r="S18" s="5">
        <f t="shared" ref="S18:S20" si="15">S10^2</f>
        <v>1.312066116</v>
      </c>
    </row>
    <row r="19">
      <c r="A19" s="3">
        <v>18.0</v>
      </c>
      <c r="B19" s="5">
        <f t="shared" si="2"/>
        <v>0.005637710114</v>
      </c>
      <c r="C19" s="3">
        <f t="shared" si="3"/>
        <v>0.9943622899</v>
      </c>
      <c r="D19" s="5">
        <f t="shared" si="4"/>
        <v>0.0006766394846</v>
      </c>
      <c r="E19" s="5">
        <f t="shared" si="5"/>
        <v>0.000003814697266</v>
      </c>
      <c r="F19" s="5">
        <f t="shared" si="6"/>
        <v>0</v>
      </c>
      <c r="K19" s="3">
        <v>14.0</v>
      </c>
      <c r="L19" s="5">
        <f t="shared" si="7"/>
        <v>37.04051835</v>
      </c>
      <c r="N19" s="3">
        <v>12.0</v>
      </c>
      <c r="Q19" s="5">
        <f t="shared" si="14"/>
        <v>0</v>
      </c>
      <c r="S19" s="5">
        <f t="shared" si="15"/>
        <v>1.221606648</v>
      </c>
    </row>
    <row r="20">
      <c r="A20" s="3">
        <v>19.0</v>
      </c>
      <c r="B20" s="5">
        <f t="shared" si="2"/>
        <v>0.004228282585</v>
      </c>
      <c r="C20" s="3">
        <f t="shared" si="3"/>
        <v>0.9957717174</v>
      </c>
      <c r="D20" s="5">
        <f t="shared" si="4"/>
        <v>0.0004510929897</v>
      </c>
      <c r="E20" s="5">
        <f t="shared" si="5"/>
        <v>0.000001907348633</v>
      </c>
      <c r="F20" s="5">
        <f t="shared" si="6"/>
        <v>0</v>
      </c>
      <c r="K20" s="3">
        <v>15.0</v>
      </c>
      <c r="L20" s="5">
        <f t="shared" si="7"/>
        <v>41.07919181</v>
      </c>
      <c r="S20" s="5">
        <f t="shared" si="15"/>
        <v>0</v>
      </c>
    </row>
    <row r="21">
      <c r="A21" s="3">
        <v>20.0</v>
      </c>
      <c r="B21" s="5">
        <f t="shared" si="2"/>
        <v>0.003171211939</v>
      </c>
      <c r="C21" s="3">
        <f t="shared" si="3"/>
        <v>0.9968287881</v>
      </c>
      <c r="D21" s="5">
        <f t="shared" si="4"/>
        <v>0.0003007286598</v>
      </c>
      <c r="E21" s="5">
        <f t="shared" si="5"/>
        <v>0.0000009536743164</v>
      </c>
      <c r="F21" s="5">
        <f t="shared" si="6"/>
        <v>0</v>
      </c>
      <c r="K21" s="3">
        <v>16.0</v>
      </c>
      <c r="L21" s="5">
        <f t="shared" si="7"/>
        <v>45.254834</v>
      </c>
    </row>
    <row r="22">
      <c r="A22" s="3">
        <v>21.0</v>
      </c>
      <c r="B22" s="5">
        <f t="shared" si="2"/>
        <v>0.002378408954</v>
      </c>
      <c r="C22" s="3">
        <f t="shared" si="3"/>
        <v>0.997621591</v>
      </c>
      <c r="D22" s="5">
        <f t="shared" si="4"/>
        <v>0.0002004857732</v>
      </c>
      <c r="E22" s="5">
        <f t="shared" si="5"/>
        <v>0.0000004768371582</v>
      </c>
      <c r="F22" s="5">
        <f t="shared" si="6"/>
        <v>0</v>
      </c>
      <c r="K22" s="3">
        <v>17.0</v>
      </c>
      <c r="L22" s="5">
        <f t="shared" si="7"/>
        <v>49.56309111</v>
      </c>
      <c r="O22" s="5">
        <f>(1/log(2,3))</f>
        <v>1.584962501</v>
      </c>
    </row>
    <row r="23">
      <c r="A23" s="3">
        <v>22.0</v>
      </c>
      <c r="B23" s="5">
        <f t="shared" si="2"/>
        <v>0.001783806716</v>
      </c>
      <c r="C23" s="3">
        <f t="shared" si="3"/>
        <v>0.9982161933</v>
      </c>
      <c r="D23" s="5">
        <f t="shared" si="4"/>
        <v>0.0001336571821</v>
      </c>
      <c r="E23" s="5">
        <f t="shared" si="5"/>
        <v>0.0000002384185791</v>
      </c>
      <c r="F23" s="5">
        <f t="shared" si="6"/>
        <v>0</v>
      </c>
      <c r="K23" s="3">
        <v>18.0</v>
      </c>
      <c r="L23" s="5">
        <f t="shared" si="7"/>
        <v>54</v>
      </c>
    </row>
    <row r="24">
      <c r="K24" s="3">
        <v>19.0</v>
      </c>
      <c r="L24" s="5">
        <f t="shared" si="7"/>
        <v>58.56193303</v>
      </c>
      <c r="P24" s="10" t="s">
        <v>11</v>
      </c>
    </row>
    <row r="25">
      <c r="K25" s="3">
        <v>20.0</v>
      </c>
      <c r="L25" s="5">
        <f t="shared" si="7"/>
        <v>63.2455532</v>
      </c>
      <c r="P25" s="10" t="s">
        <v>12</v>
      </c>
    </row>
    <row r="27">
      <c r="P27" s="10" t="s">
        <v>13</v>
      </c>
    </row>
    <row r="29">
      <c r="L29" s="10" t="s">
        <v>13</v>
      </c>
    </row>
    <row r="31">
      <c r="O31" s="10" t="s">
        <v>14</v>
      </c>
      <c r="R31" s="5">
        <f>243/220</f>
        <v>1.104545455</v>
      </c>
    </row>
    <row r="32">
      <c r="L32" s="16">
        <f>+2*(B1:CZ1*A2:A103)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88"/>
    <col customWidth="1" min="2" max="3" width="4.75"/>
    <col customWidth="1" min="4" max="5" width="2.88"/>
    <col customWidth="1" min="6" max="6" width="8.0"/>
    <col customWidth="1" min="7" max="7" width="7.63"/>
    <col customWidth="1" min="8" max="8" width="4.13"/>
    <col customWidth="1" min="9" max="63" width="3.0"/>
    <col customWidth="1" min="64" max="83" width="4.13"/>
  </cols>
  <sheetData>
    <row r="1">
      <c r="A1" s="2" t="s">
        <v>1</v>
      </c>
      <c r="B1" s="2" t="s">
        <v>15</v>
      </c>
      <c r="C1" s="2" t="s">
        <v>16</v>
      </c>
      <c r="D1" s="2" t="s">
        <v>4</v>
      </c>
      <c r="E1" s="2" t="s">
        <v>5</v>
      </c>
      <c r="F1" s="22" t="s">
        <v>17</v>
      </c>
      <c r="G1" s="2" t="s">
        <v>18</v>
      </c>
      <c r="H1" s="2" t="s">
        <v>19</v>
      </c>
      <c r="I1" s="17"/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>
        <v>32.0</v>
      </c>
      <c r="AP1" s="2">
        <v>33.0</v>
      </c>
      <c r="AQ1" s="2">
        <v>34.0</v>
      </c>
      <c r="AR1" s="2">
        <v>35.0</v>
      </c>
      <c r="AS1" s="2">
        <v>36.0</v>
      </c>
      <c r="AT1" s="2">
        <v>37.0</v>
      </c>
      <c r="AU1" s="2">
        <v>38.0</v>
      </c>
      <c r="AV1" s="2">
        <v>39.0</v>
      </c>
      <c r="AW1" s="2">
        <v>40.0</v>
      </c>
      <c r="AX1" s="2">
        <v>41.0</v>
      </c>
      <c r="AY1" s="2">
        <v>42.0</v>
      </c>
      <c r="AZ1" s="2">
        <v>43.0</v>
      </c>
      <c r="BA1" s="2">
        <v>44.0</v>
      </c>
      <c r="BB1" s="2">
        <v>45.0</v>
      </c>
      <c r="BC1" s="2">
        <v>46.0</v>
      </c>
      <c r="BD1" s="2">
        <v>47.0</v>
      </c>
      <c r="BE1" s="2">
        <v>48.0</v>
      </c>
      <c r="BF1" s="2">
        <v>49.0</v>
      </c>
      <c r="BG1" s="2">
        <v>50.0</v>
      </c>
      <c r="BH1" s="2">
        <v>51.0</v>
      </c>
      <c r="BI1" s="2">
        <v>52.0</v>
      </c>
      <c r="BJ1" s="2">
        <v>53.0</v>
      </c>
      <c r="BK1" s="2">
        <v>54.0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>
      <c r="A2" s="3">
        <v>1.0</v>
      </c>
      <c r="B2" s="3">
        <v>2.0</v>
      </c>
      <c r="C2" s="3">
        <v>6.0</v>
      </c>
      <c r="D2" s="3">
        <v>2.0</v>
      </c>
      <c r="E2" s="3">
        <v>1.0</v>
      </c>
      <c r="F2" s="11">
        <f t="shared" ref="F2:F1480" si="1">B2/C2</f>
        <v>0.3333333333</v>
      </c>
      <c r="G2" s="5">
        <f t="shared" ref="G2:G1480" si="2">A2-F2</f>
        <v>0.6666666667</v>
      </c>
      <c r="H2" s="3">
        <v>2.0</v>
      </c>
      <c r="I2" s="2">
        <v>1.0</v>
      </c>
      <c r="J2" s="10" t="str">
        <f>IFERROR(__xludf.DUMMYFUNCTION("ifna(QUERY($A$2:$G$2000, ""select G where D="" &amp; J$1 &amp; "" and E="" &amp; $I2), QUERY($A$2:$G$2000, ""select G where E="" &amp; J$1 &amp; "" and D="" &amp; $I2))"),"#N/A")</f>
        <v>#N/A</v>
      </c>
      <c r="K2" s="10">
        <f>IFERROR(__xludf.DUMMYFUNCTION("ifna(QUERY($A$2:$G$2000, ""select G where D="" &amp; K$1 &amp; "" and E="" &amp; $I2), QUERY($A$2:$G$2000, ""select G where E="" &amp; K$1 &amp; "" and D="" &amp; $I2))"),0.6666666666666667)</f>
        <v>0.6666666667</v>
      </c>
      <c r="L2" s="10">
        <f>IFERROR(__xludf.DUMMYFUNCTION("ifna(QUERY($A$2:$G$2000, ""select G where D="" &amp; L$1 &amp; "" and E="" &amp; $I2), QUERY($A$2:$G$2000, ""select G where E="" &amp; L$1 &amp; "" and D="" &amp; $I2))"),1.5)</f>
        <v>1.5</v>
      </c>
      <c r="M2" s="10">
        <f>IFERROR(__xludf.DUMMYFUNCTION("ifna(QUERY($A$2:$G$2000, ""select G where D="" &amp; M$1 &amp; "" and E="" &amp; $I2), QUERY($A$2:$G$2000, ""select G where E="" &amp; M$1 &amp; "" and D="" &amp; $I2))"),1.8)</f>
        <v>1.8</v>
      </c>
      <c r="N2" s="10">
        <f>IFERROR(__xludf.DUMMYFUNCTION("ifna(QUERY($A$2:$G$2000, ""select G where D="" &amp; N$1 &amp; "" and E="" &amp; $I2), QUERY($A$2:$G$2000, ""select G where E="" &amp; N$1 &amp; "" and D="" &amp; $I2))"),2.3333333333333335)</f>
        <v>2.333333333</v>
      </c>
      <c r="O2" s="10">
        <f>IFERROR(__xludf.DUMMYFUNCTION("ifna(QUERY($A$2:$G$2000, ""select G where D="" &amp; O$1 &amp; "" and E="" &amp; $I2), QUERY($A$2:$G$2000, ""select G where E="" &amp; O$1 &amp; "" and D="" &amp; $I2))"),2.5714285714285716)</f>
        <v>2.571428571</v>
      </c>
      <c r="P2" s="10">
        <f>IFERROR(__xludf.DUMMYFUNCTION("ifna(QUERY($A$2:$G$2000, ""select G where D="" &amp; P$1 &amp; "" and E="" &amp; $I2), QUERY($A$2:$G$2000, ""select G where E="" &amp; P$1 &amp; "" and D="" &amp; $I2))"),2.75)</f>
        <v>2.75</v>
      </c>
      <c r="Q2" s="10">
        <f>IFERROR(__xludf.DUMMYFUNCTION("ifna(QUERY($A$2:$G$2000, ""select G where D="" &amp; Q$1 &amp; "" and E="" &amp; $I2), QUERY($A$2:$G$2000, ""select G where E="" &amp; Q$1 &amp; "" and D="" &amp; $I2))"),2.888888888888889)</f>
        <v>2.888888889</v>
      </c>
      <c r="R2" s="10">
        <f>IFERROR(__xludf.DUMMYFUNCTION("ifna(QUERY($A$2:$G$2000, ""select G where D="" &amp; R$1 &amp; "" and E="" &amp; $I2), QUERY($A$2:$G$2000, ""select G where E="" &amp; R$1 &amp; "" and D="" &amp; $I2))"),3.2)</f>
        <v>3.2</v>
      </c>
      <c r="S2" s="10">
        <f>IFERROR(__xludf.DUMMYFUNCTION("ifna(QUERY($A$2:$G$2000, ""select G where D="" &amp; S$1 &amp; "" and E="" &amp; $I2), QUERY($A$2:$G$2000, ""select G where E="" &amp; S$1 &amp; "" and D="" &amp; $I2))"),3.3636363636363638)</f>
        <v>3.363636364</v>
      </c>
      <c r="T2" s="10">
        <f>IFERROR(__xludf.DUMMYFUNCTION("ifna(QUERY($A$2:$G$2000, ""select G where D="" &amp; T$1 &amp; "" and E="" &amp; $I2), QUERY($A$2:$G$2000, ""select G where E="" &amp; T$1 &amp; "" and D="" &amp; $I2))"),3.5)</f>
        <v>3.5</v>
      </c>
      <c r="U2" s="10">
        <f>IFERROR(__xludf.DUMMYFUNCTION("ifna(QUERY($A$2:$G$2000, ""select G where D="" &amp; U$1 &amp; "" and E="" &amp; $I2), QUERY($A$2:$G$2000, ""select G where E="" &amp; U$1 &amp; "" and D="" &amp; $I2))"),3.6153846153846154)</f>
        <v>3.615384615</v>
      </c>
      <c r="V2" s="10">
        <f>IFERROR(__xludf.DUMMYFUNCTION("ifna(QUERY($A$2:$G$2000, ""select G where D="" &amp; V$1 &amp; "" and E="" &amp; $I2), QUERY($A$2:$G$2000, ""select G where E="" &amp; V$1 &amp; "" and D="" &amp; $I2))"),3.7142857142857144)</f>
        <v>3.714285714</v>
      </c>
      <c r="W2" s="10">
        <f>IFERROR(__xludf.DUMMYFUNCTION("ifna(QUERY($A$2:$G$2000, ""select G where D="" &amp; W$1 &amp; "" and E="" &amp; $I2), QUERY($A$2:$G$2000, ""select G where E="" &amp; W$1 &amp; "" and D="" &amp; $I2))"),3.8)</f>
        <v>3.8</v>
      </c>
      <c r="X2" s="10">
        <f>IFERROR(__xludf.DUMMYFUNCTION("ifna(QUERY($A$2:$G$2000, ""select G where D="" &amp; X$1 &amp; "" and E="" &amp; $I2), QUERY($A$2:$G$2000, ""select G where E="" &amp; X$1 &amp; "" and D="" &amp; $I2))"),3.875)</f>
        <v>3.875</v>
      </c>
      <c r="Y2" s="10">
        <f>IFERROR(__xludf.DUMMYFUNCTION("ifna(QUERY($A$2:$G$2000, ""select G where D="" &amp; Y$1 &amp; "" and E="" &amp; $I2), QUERY($A$2:$G$2000, ""select G where E="" &amp; Y$1 &amp; "" and D="" &amp; $I2))"),3.9411764705882355)</f>
        <v>3.941176471</v>
      </c>
      <c r="Z2" s="10">
        <f>IFERROR(__xludf.DUMMYFUNCTION("ifna(QUERY($A$2:$G$2000, ""select G where D="" &amp; Z$1 &amp; "" and E="" &amp; $I2), QUERY($A$2:$G$2000, ""select G where E="" &amp; Z$1 &amp; "" and D="" &amp; $I2))"),4.111111111111111)</f>
        <v>4.111111111</v>
      </c>
      <c r="AA2" s="10">
        <f>IFERROR(__xludf.DUMMYFUNCTION("ifna(QUERY($A$2:$G$2000, ""select G where D="" &amp; AA$1 &amp; "" and E="" &amp; $I2), QUERY($A$2:$G$2000, ""select G where E="" &amp; AA$1 &amp; "" and D="" &amp; $I2))"),4.2105263157894735)</f>
        <v>4.210526316</v>
      </c>
      <c r="AB2" s="10">
        <f>IFERROR(__xludf.DUMMYFUNCTION("ifna(QUERY($A$2:$G$2000, ""select G where D="" &amp; AB$1 &amp; "" and E="" &amp; $I2), QUERY($A$2:$G$2000, ""select G where E="" &amp; AB$1 &amp; "" and D="" &amp; $I2))"),4.3)</f>
        <v>4.3</v>
      </c>
      <c r="AC2" s="10">
        <f>IFERROR(__xludf.DUMMYFUNCTION("ifna(QUERY($A$2:$G$2000, ""select G where D="" &amp; AC$1 &amp; "" and E="" &amp; $I2), QUERY($A$2:$G$2000, ""select G where E="" &amp; AC$1 &amp; "" and D="" &amp; $I2))"),4.380952380952381)</f>
        <v>4.380952381</v>
      </c>
      <c r="AD2" s="10">
        <f>IFERROR(__xludf.DUMMYFUNCTION("ifna(QUERY($A$2:$G$2000, ""select G where D="" &amp; AD$1 &amp; "" and E="" &amp; $I2), QUERY($A$2:$G$2000, ""select G where E="" &amp; AD$1 &amp; "" and D="" &amp; $I2))"),4.454545454545455)</f>
        <v>4.454545455</v>
      </c>
      <c r="AE2" s="10">
        <f>IFERROR(__xludf.DUMMYFUNCTION("ifna(QUERY($A$2:$G$2000, ""select G where D="" &amp; AE$1 &amp; "" and E="" &amp; $I2), QUERY($A$2:$G$2000, ""select G where E="" &amp; AE$1 &amp; "" and D="" &amp; $I2))"),4.521739130434782)</f>
        <v>4.52173913</v>
      </c>
      <c r="AF2" s="10">
        <f>IFERROR(__xludf.DUMMYFUNCTION("ifna(QUERY($A$2:$G$2000, ""select G where D="" &amp; AF$1 &amp; "" and E="" &amp; $I2), QUERY($A$2:$G$2000, ""select G where E="" &amp; AF$1 &amp; "" and D="" &amp; $I2))"),4.583333333333333)</f>
        <v>4.583333333</v>
      </c>
      <c r="AG2" s="10">
        <f>IFERROR(__xludf.DUMMYFUNCTION("ifna(QUERY($A$2:$G$2000, ""select G where D="" &amp; AG$1 &amp; "" and E="" &amp; $I2), QUERY($A$2:$G$2000, ""select G where E="" &amp; AG$1 &amp; "" and D="" &amp; $I2))"),4.64)</f>
        <v>4.64</v>
      </c>
      <c r="AH2" s="10">
        <f>IFERROR(__xludf.DUMMYFUNCTION("ifna(QUERY($A$2:$G$2000, ""select G where D="" &amp; AH$1 &amp; "" and E="" &amp; $I2), QUERY($A$2:$G$2000, ""select G where E="" &amp; AH$1 &amp; "" and D="" &amp; $I2))"),4.6923076923076925)</f>
        <v>4.692307692</v>
      </c>
      <c r="AI2" s="10">
        <f>IFERROR(__xludf.DUMMYFUNCTION("ifna(QUERY($A$2:$G$2000, ""select G where D="" &amp; AI$1 &amp; "" and E="" &amp; $I2), QUERY($A$2:$G$2000, ""select G where E="" &amp; AI$1 &amp; "" and D="" &amp; $I2))"),4.7407407407407405)</f>
        <v>4.740740741</v>
      </c>
      <c r="AJ2" s="10">
        <f>IFERROR(__xludf.DUMMYFUNCTION("ifna(QUERY($A$2:$G$2000, ""select G where D="" &amp; AJ$1 &amp; "" and E="" &amp; $I2), QUERY($A$2:$G$2000, ""select G where E="" &amp; AJ$1 &amp; "" and D="" &amp; $I2))"),4.785714285714286)</f>
        <v>4.785714286</v>
      </c>
      <c r="AK2" s="10">
        <f>IFERROR(__xludf.DUMMYFUNCTION("ifna(QUERY($A$2:$G$2000, ""select G where D="" &amp; AK$1 &amp; "" and E="" &amp; $I2), QUERY($A$2:$G$2000, ""select G where E="" &amp; AK$1 &amp; "" and D="" &amp; $I2))"),4.827586206896552)</f>
        <v>4.827586207</v>
      </c>
      <c r="AL2" s="10">
        <f>IFERROR(__xludf.DUMMYFUNCTION("ifna(QUERY($A$2:$G$2000, ""select G where D="" &amp; AL$1 &amp; "" and E="" &amp; $I2), QUERY($A$2:$G$2000, ""select G where E="" &amp; AL$1 &amp; "" and D="" &amp; $I2))"),4.866666666666666)</f>
        <v>4.866666667</v>
      </c>
      <c r="AM2" s="10">
        <f>IFERROR(__xludf.DUMMYFUNCTION("ifna(QUERY($A$2:$G$2000, ""select G where D="" &amp; AM$1 &amp; "" and E="" &amp; $I2), QUERY($A$2:$G$2000, ""select G where E="" &amp; AM$1 &amp; "" and D="" &amp; $I2))"),4.903225806451613)</f>
        <v>4.903225806</v>
      </c>
      <c r="AN2" s="10">
        <f>IFERROR(__xludf.DUMMYFUNCTION("ifna(QUERY($A$2:$G$2000, ""select G where D="" &amp; AN$1 &amp; "" and E="" &amp; $I2), QUERY($A$2:$G$2000, ""select G where E="" &amp; AN$1 &amp; "" and D="" &amp; $I2))"),4.9375)</f>
        <v>4.9375</v>
      </c>
      <c r="AO2" s="10">
        <f>IFERROR(__xludf.DUMMYFUNCTION("ifna(QUERY($A$2:$G$2000, ""select G where D="" &amp; AO$1 &amp; "" and E="" &amp; $I2), QUERY($A$2:$G$2000, ""select G where E="" &amp; AO$1 &amp; "" and D="" &amp; $I2))"),4.96969696969697)</f>
        <v>4.96969697</v>
      </c>
      <c r="AP2" s="10">
        <f>IFERROR(__xludf.DUMMYFUNCTION("ifna(QUERY($A$2:$G$2000, ""select G where D="" &amp; AP$1 &amp; "" and E="" &amp; $I2), QUERY($A$2:$G$2000, ""select G where E="" &amp; AP$1 &amp; "" and D="" &amp; $I2))"),5.0588235294117645)</f>
        <v>5.058823529</v>
      </c>
      <c r="AQ2" s="10">
        <f>IFERROR(__xludf.DUMMYFUNCTION("ifna(QUERY($A$2:$G$2000, ""select G where D="" &amp; AQ$1 &amp; "" and E="" &amp; $I2), QUERY($A$2:$G$2000, ""select G where E="" &amp; AQ$1 &amp; "" and D="" &amp; $I2))"),5.114285714285714)</f>
        <v>5.114285714</v>
      </c>
      <c r="AR2" s="10">
        <f>IFERROR(__xludf.DUMMYFUNCTION("ifna(QUERY($A$2:$G$2000, ""select G where D="" &amp; AR$1 &amp; "" and E="" &amp; $I2), QUERY($A$2:$G$2000, ""select G where E="" &amp; AR$1 &amp; "" and D="" &amp; $I2))"),5.166666666666667)</f>
        <v>5.166666667</v>
      </c>
      <c r="AS2" s="10">
        <f>IFERROR(__xludf.DUMMYFUNCTION("ifna(QUERY($A$2:$G$2000, ""select G where D="" &amp; AS$1 &amp; "" and E="" &amp; $I2), QUERY($A$2:$G$2000, ""select G where E="" &amp; AS$1 &amp; "" and D="" &amp; $I2))"),5.216216216216216)</f>
        <v>5.216216216</v>
      </c>
      <c r="AT2" s="10">
        <f>IFERROR(__xludf.DUMMYFUNCTION("ifna(QUERY($A$2:$G$2000, ""select G where D="" &amp; AT$1 &amp; "" and E="" &amp; $I2), QUERY($A$2:$G$2000, ""select G where E="" &amp; AT$1 &amp; "" and D="" &amp; $I2))"),5.2631578947368425)</f>
        <v>5.263157895</v>
      </c>
      <c r="AU2" s="10">
        <f>IFERROR(__xludf.DUMMYFUNCTION("ifna(QUERY($A$2:$G$2000, ""select G where D="" &amp; AU$1 &amp; "" and E="" &amp; $I2), QUERY($A$2:$G$2000, ""select G where E="" &amp; AU$1 &amp; "" and D="" &amp; $I2))"),5.3076923076923075)</f>
        <v>5.307692308</v>
      </c>
      <c r="AV2" s="10">
        <f>IFERROR(__xludf.DUMMYFUNCTION("ifna(QUERY($A$2:$G$2000, ""select G where D="" &amp; AV$1 &amp; "" and E="" &amp; $I2), QUERY($A$2:$G$2000, ""select G where E="" &amp; AV$1 &amp; "" and D="" &amp; $I2))"),5.35)</f>
        <v>5.35</v>
      </c>
      <c r="AW2" s="10">
        <f>IFERROR(__xludf.DUMMYFUNCTION("ifna(QUERY($A$2:$G$2000, ""select G where D="" &amp; AW$1 &amp; "" and E="" &amp; $I2), QUERY($A$2:$G$2000, ""select G where E="" &amp; AW$1 &amp; "" and D="" &amp; $I2))"),5.390243902439025)</f>
        <v>5.390243902</v>
      </c>
      <c r="AX2" s="10">
        <f>IFERROR(__xludf.DUMMYFUNCTION("ifna(QUERY($A$2:$G$2000, ""select G where D="" &amp; AX$1 &amp; "" and E="" &amp; $I2), QUERY($A$2:$G$2000, ""select G where E="" &amp; AX$1 &amp; "" and D="" &amp; $I2))"),5.428571428571429)</f>
        <v>5.428571429</v>
      </c>
      <c r="AY2" s="10">
        <f>IFERROR(__xludf.DUMMYFUNCTION("ifna(QUERY($A$2:$G$2000, ""select G where D="" &amp; AY$1 &amp; "" and E="" &amp; $I2), QUERY($A$2:$G$2000, ""select G where E="" &amp; AY$1 &amp; "" and D="" &amp; $I2))"),5.465116279069767)</f>
        <v>5.465116279</v>
      </c>
      <c r="AZ2" s="10">
        <f>IFERROR(__xludf.DUMMYFUNCTION("ifna(QUERY($A$2:$G$2000, ""select G where D="" &amp; AZ$1 &amp; "" and E="" &amp; $I2), QUERY($A$2:$G$2000, ""select G where E="" &amp; AZ$1 &amp; "" and D="" &amp; $I2))"),5.5)</f>
        <v>5.5</v>
      </c>
      <c r="BA2" s="10">
        <f>IFERROR(__xludf.DUMMYFUNCTION("ifna(QUERY($A$2:$G$2000, ""select G where D="" &amp; BA$1 &amp; "" and E="" &amp; $I2), QUERY($A$2:$G$2000, ""select G where E="" &amp; BA$1 &amp; "" and D="" &amp; $I2))"),5.533333333333333)</f>
        <v>5.533333333</v>
      </c>
      <c r="BB2" s="10">
        <f>IFERROR(__xludf.DUMMYFUNCTION("ifna(QUERY($A$2:$G$2000, ""select G where D="" &amp; BB$1 &amp; "" and E="" &amp; $I2), QUERY($A$2:$G$2000, ""select G where E="" &amp; BB$1 &amp; "" and D="" &amp; $I2))"),5.565217391304348)</f>
        <v>5.565217391</v>
      </c>
      <c r="BC2" s="10">
        <f>IFERROR(__xludf.DUMMYFUNCTION("ifna(QUERY($A$2:$G$2000, ""select G where D="" &amp; BC$1 &amp; "" and E="" &amp; $I2), QUERY($A$2:$G$2000, ""select G where E="" &amp; BC$1 &amp; "" and D="" &amp; $I2))"),5.595744680851064)</f>
        <v>5.595744681</v>
      </c>
      <c r="BD2" s="10">
        <f>IFERROR(__xludf.DUMMYFUNCTION("ifna(QUERY($A$2:$G$2000, ""select G where D="" &amp; BD$1 &amp; "" and E="" &amp; $I2), QUERY($A$2:$G$2000, ""select G where E="" &amp; BD$1 &amp; "" and D="" &amp; $I2))"),5.625)</f>
        <v>5.625</v>
      </c>
      <c r="BE2" s="10">
        <f>IFERROR(__xludf.DUMMYFUNCTION("ifna(QUERY($A$2:$G$2000, ""select G where D="" &amp; BE$1 &amp; "" and E="" &amp; $I2), QUERY($A$2:$G$2000, ""select G where E="" &amp; BE$1 &amp; "" and D="" &amp; $I2))"),5.653061224489796)</f>
        <v>5.653061224</v>
      </c>
      <c r="BF2" s="10">
        <f>IFERROR(__xludf.DUMMYFUNCTION("ifna(QUERY($A$2:$G$2000, ""select G where D="" &amp; BF$1 &amp; "" and E="" &amp; $I2), QUERY($A$2:$G$2000, ""select G where E="" &amp; BF$1 &amp; "" and D="" &amp; $I2))"),5.68)</f>
        <v>5.68</v>
      </c>
      <c r="BG2" s="10">
        <f>IFERROR(__xludf.DUMMYFUNCTION("ifna(QUERY($A$2:$G$2000, ""select G where D="" &amp; BG$1 &amp; "" and E="" &amp; $I2), QUERY($A$2:$G$2000, ""select G where E="" &amp; BG$1 &amp; "" and D="" &amp; $I2))"),5.705882352941177)</f>
        <v>5.705882353</v>
      </c>
      <c r="BH2" s="10">
        <f>IFERROR(__xludf.DUMMYFUNCTION("ifna(QUERY($A$2:$G$2000, ""select G where D="" &amp; BH$1 &amp; "" and E="" &amp; $I2), QUERY($A$2:$G$2000, ""select G where E="" &amp; BH$1 &amp; "" and D="" &amp; $I2))"),5.730769230769231)</f>
        <v>5.730769231</v>
      </c>
      <c r="BI2" s="10">
        <f>IFERROR(__xludf.DUMMYFUNCTION("ifna(QUERY($A$2:$G$2000, ""select G where D="" &amp; BI$1 &amp; "" and E="" &amp; $I2), QUERY($A$2:$G$2000, ""select G where E="" &amp; BI$1 &amp; "" and D="" &amp; $I2))"),5.754716981132075)</f>
        <v>5.754716981</v>
      </c>
      <c r="BJ2" s="10">
        <f>IFERROR(__xludf.DUMMYFUNCTION("ifna(QUERY($A$2:$G$2000, ""select G where D="" &amp; BJ$1 &amp; "" and E="" &amp; $I2), QUERY($A$2:$G$2000, ""select G where E="" &amp; BJ$1 &amp; "" and D="" &amp; $I2))"),5.777777777777778)</f>
        <v>5.777777778</v>
      </c>
      <c r="BK2" s="10">
        <f>IFERROR(__xludf.DUMMYFUNCTION("ifna(QUERY($A$2:$G$2000, ""select G where D="" &amp; BK$1 &amp; "" and E="" &amp; $I2), QUERY($A$2:$G$2000, ""select G where E="" &amp; BK$1 &amp; "" and D="" &amp; $I2))"),5.8)</f>
        <v>5.8</v>
      </c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</row>
    <row r="3">
      <c r="A3" s="3">
        <v>2.0</v>
      </c>
      <c r="B3" s="3">
        <v>5.0</v>
      </c>
      <c r="C3" s="3">
        <v>9.0</v>
      </c>
      <c r="D3" s="3">
        <v>2.0</v>
      </c>
      <c r="E3" s="3">
        <v>2.0</v>
      </c>
      <c r="F3" s="11">
        <f t="shared" si="1"/>
        <v>0.5555555556</v>
      </c>
      <c r="G3" s="5">
        <f t="shared" si="2"/>
        <v>1.444444444</v>
      </c>
      <c r="H3" s="3">
        <v>3.0</v>
      </c>
      <c r="I3" s="2">
        <v>2.0</v>
      </c>
      <c r="J3" s="10">
        <f>IFERROR(__xludf.DUMMYFUNCTION("ifna(QUERY($A$2:$G$2000, ""select G where D="" &amp; J$1 &amp; "" and E="" &amp; $I3), QUERY($A$2:$G$2000, ""select G where E="" &amp; J$1 &amp; "" and D="" &amp; $I3))"),0.6666666666666667)</f>
        <v>0.6666666667</v>
      </c>
      <c r="K3" s="10">
        <f>IFERROR(__xludf.DUMMYFUNCTION("ifna(QUERY($A$2:$G$2000, ""select G where D="" &amp; K$1 &amp; "" and E="" &amp; $I3), QUERY($A$2:$G$2000, ""select G where E="" &amp; K$1 &amp; "" and D="" &amp; $I3))"),1.4444444444444444)</f>
        <v>1.444444444</v>
      </c>
      <c r="L3" s="10">
        <f>IFERROR(__xludf.DUMMYFUNCTION("ifna(QUERY($A$2:$G$2000, ""select G where D="" &amp; L$1 &amp; "" and E="" &amp; $I3), QUERY($A$2:$G$2000, ""select G where E="" &amp; L$1 &amp; "" and D="" &amp; $I3))"),1.8333333333333333)</f>
        <v>1.833333333</v>
      </c>
      <c r="M3" s="10">
        <f>IFERROR(__xludf.DUMMYFUNCTION("ifna(QUERY($A$2:$G$2000, ""select G where D="" &amp; M$1 &amp; "" and E="" &amp; $I3), QUERY($A$2:$G$2000, ""select G where E="" &amp; M$1 &amp; "" and D="" &amp; $I3))"),2.2666666666666666)</f>
        <v>2.266666667</v>
      </c>
      <c r="N3" s="10">
        <f>IFERROR(__xludf.DUMMYFUNCTION("ifna(QUERY($A$2:$G$2000, ""select G where D="" &amp; N$1 &amp; "" and E="" &amp; $I3), QUERY($A$2:$G$2000, ""select G where E="" &amp; N$1 &amp; "" and D="" &amp; $I3))"),2.5555555555555554)</f>
        <v>2.555555556</v>
      </c>
      <c r="O3" s="10">
        <f>IFERROR(__xludf.DUMMYFUNCTION("ifna(QUERY($A$2:$G$2000, ""select G where D="" &amp; O$1 &amp; "" and E="" &amp; $I3), QUERY($A$2:$G$2000, ""select G where E="" &amp; O$1 &amp; "" and D="" &amp; $I3))"),2.761904761904762)</f>
        <v>2.761904762</v>
      </c>
      <c r="P3" s="10">
        <f>IFERROR(__xludf.DUMMYFUNCTION("ifna(QUERY($A$2:$G$2000, ""select G where D="" &amp; P$1 &amp; "" and E="" &amp; $I3), QUERY($A$2:$G$2000, ""select G where E="" &amp; P$1 &amp; "" and D="" &amp; $I3))"),2.9166666666666665)</f>
        <v>2.916666667</v>
      </c>
      <c r="Q3" s="10">
        <f>IFERROR(__xludf.DUMMYFUNCTION("ifna(QUERY($A$2:$G$2000, ""select G where D="" &amp; Q$1 &amp; "" and E="" &amp; $I3), QUERY($A$2:$G$2000, ""select G where E="" &amp; Q$1 &amp; "" and D="" &amp; $I3))"),3.148148148148148)</f>
        <v>3.148148148</v>
      </c>
      <c r="R3" s="10">
        <f>IFERROR(__xludf.DUMMYFUNCTION("ifna(QUERY($A$2:$G$2000, ""select G where D="" &amp; R$1 &amp; "" and E="" &amp; $I3), QUERY($A$2:$G$2000, ""select G where E="" &amp; R$1 &amp; "" and D="" &amp; $I3))"),3.3333333333333335)</f>
        <v>3.333333333</v>
      </c>
      <c r="S3" s="10">
        <f>IFERROR(__xludf.DUMMYFUNCTION("ifna(QUERY($A$2:$G$2000, ""select G where D="" &amp; S$1 &amp; "" and E="" &amp; $I3), QUERY($A$2:$G$2000, ""select G where E="" &amp; S$1 &amp; "" and D="" &amp; $I3))"),3.484848484848485)</f>
        <v>3.484848485</v>
      </c>
      <c r="T3" s="10">
        <f>IFERROR(__xludf.DUMMYFUNCTION("ifna(QUERY($A$2:$G$2000, ""select G where D="" &amp; T$1 &amp; "" and E="" &amp; $I3), QUERY($A$2:$G$2000, ""select G where E="" &amp; T$1 &amp; "" and D="" &amp; $I3))"),3.611111111111111)</f>
        <v>3.611111111</v>
      </c>
      <c r="U3" s="10">
        <f>IFERROR(__xludf.DUMMYFUNCTION("ifna(QUERY($A$2:$G$2000, ""select G where D="" &amp; U$1 &amp; "" and E="" &amp; $I3), QUERY($A$2:$G$2000, ""select G where E="" &amp; U$1 &amp; "" and D="" &amp; $I3))"),3.717948717948718)</f>
        <v>3.717948718</v>
      </c>
      <c r="V3" s="10">
        <f>IFERROR(__xludf.DUMMYFUNCTION("ifna(QUERY($A$2:$G$2000, ""select G where D="" &amp; V$1 &amp; "" and E="" &amp; $I3), QUERY($A$2:$G$2000, ""select G where E="" &amp; V$1 &amp; "" and D="" &amp; $I3))"),3.8095238095238093)</f>
        <v>3.80952381</v>
      </c>
      <c r="W3" s="10">
        <f>IFERROR(__xludf.DUMMYFUNCTION("ifna(QUERY($A$2:$G$2000, ""select G where D="" &amp; W$1 &amp; "" and E="" &amp; $I3), QUERY($A$2:$G$2000, ""select G where E="" &amp; W$1 &amp; "" and D="" &amp; $I3))"),3.888888888888889)</f>
        <v>3.888888889</v>
      </c>
      <c r="X3" s="10">
        <f>IFERROR(__xludf.DUMMYFUNCTION("ifna(QUERY($A$2:$G$2000, ""select G where D="" &amp; X$1 &amp; "" and E="" &amp; $I3), QUERY($A$2:$G$2000, ""select G where E="" &amp; X$1 &amp; "" and D="" &amp; $I3))"),3.9583333333333335)</f>
        <v>3.958333333</v>
      </c>
      <c r="Y3" s="10">
        <f>IFERROR(__xludf.DUMMYFUNCTION("ifna(QUERY($A$2:$G$2000, ""select G where D="" &amp; Y$1 &amp; "" and E="" &amp; $I3), QUERY($A$2:$G$2000, ""select G where E="" &amp; Y$1 &amp; "" and D="" &amp; $I3))"),4.078431372549019)</f>
        <v>4.078431373</v>
      </c>
      <c r="Z3" s="10">
        <f>IFERROR(__xludf.DUMMYFUNCTION("ifna(QUERY($A$2:$G$2000, ""select G where D="" &amp; Z$1 &amp; "" and E="" &amp; $I3), QUERY($A$2:$G$2000, ""select G where E="" &amp; Z$1 &amp; "" and D="" &amp; $I3))"),4.185185185185185)</f>
        <v>4.185185185</v>
      </c>
      <c r="AA3" s="10">
        <f>IFERROR(__xludf.DUMMYFUNCTION("ifna(QUERY($A$2:$G$2000, ""select G where D="" &amp; AA$1 &amp; "" and E="" &amp; $I3), QUERY($A$2:$G$2000, ""select G where E="" &amp; AA$1 &amp; "" and D="" &amp; $I3))"),4.280701754385965)</f>
        <v>4.280701754</v>
      </c>
      <c r="AB3" s="10">
        <f>IFERROR(__xludf.DUMMYFUNCTION("ifna(QUERY($A$2:$G$2000, ""select G where D="" &amp; AB$1 &amp; "" and E="" &amp; $I3), QUERY($A$2:$G$2000, ""select G where E="" &amp; AB$1 &amp; "" and D="" &amp; $I3))"),4.366666666666667)</f>
        <v>4.366666667</v>
      </c>
      <c r="AC3" s="10">
        <f>IFERROR(__xludf.DUMMYFUNCTION("ifna(QUERY($A$2:$G$2000, ""select G where D="" &amp; AC$1 &amp; "" and E="" &amp; $I3), QUERY($A$2:$G$2000, ""select G where E="" &amp; AC$1 &amp; "" and D="" &amp; $I3))"),4.444444444444445)</f>
        <v>4.444444444</v>
      </c>
      <c r="AD3" s="10">
        <f>IFERROR(__xludf.DUMMYFUNCTION("ifna(QUERY($A$2:$G$2000, ""select G where D="" &amp; AD$1 &amp; "" and E="" &amp; $I3), QUERY($A$2:$G$2000, ""select G where E="" &amp; AD$1 &amp; "" and D="" &amp; $I3))"),4.515151515151516)</f>
        <v>4.515151515</v>
      </c>
      <c r="AE3" s="10">
        <f>IFERROR(__xludf.DUMMYFUNCTION("ifna(QUERY($A$2:$G$2000, ""select G where D="" &amp; AE$1 &amp; "" and E="" &amp; $I3), QUERY($A$2:$G$2000, ""select G where E="" &amp; AE$1 &amp; "" and D="" &amp; $I3))"),4.579710144927536)</f>
        <v>4.579710145</v>
      </c>
      <c r="AF3" s="10">
        <f>IFERROR(__xludf.DUMMYFUNCTION("ifna(QUERY($A$2:$G$2000, ""select G where D="" &amp; AF$1 &amp; "" and E="" &amp; $I3), QUERY($A$2:$G$2000, ""select G where E="" &amp; AF$1 &amp; "" and D="" &amp; $I3))"),4.638888888888889)</f>
        <v>4.638888889</v>
      </c>
      <c r="AG3" s="10">
        <f>IFERROR(__xludf.DUMMYFUNCTION("ifna(QUERY($A$2:$G$2000, ""select G where D="" &amp; AG$1 &amp; "" and E="" &amp; $I3), QUERY($A$2:$G$2000, ""select G where E="" &amp; AG$1 &amp; "" and D="" &amp; $I3))"),4.693333333333333)</f>
        <v>4.693333333</v>
      </c>
      <c r="AH3" s="10">
        <f>IFERROR(__xludf.DUMMYFUNCTION("ifna(QUERY($A$2:$G$2000, ""select G where D="" &amp; AH$1 &amp; "" and E="" &amp; $I3), QUERY($A$2:$G$2000, ""select G where E="" &amp; AH$1 &amp; "" and D="" &amp; $I3))"),4.743589743589744)</f>
        <v>4.743589744</v>
      </c>
      <c r="AI3" s="10">
        <f>IFERROR(__xludf.DUMMYFUNCTION("ifna(QUERY($A$2:$G$2000, ""select G where D="" &amp; AI$1 &amp; "" and E="" &amp; $I3), QUERY($A$2:$G$2000, ""select G where E="" &amp; AI$1 &amp; "" and D="" &amp; $I3))"),4.790123456790123)</f>
        <v>4.790123457</v>
      </c>
      <c r="AJ3" s="10">
        <f>IFERROR(__xludf.DUMMYFUNCTION("ifna(QUERY($A$2:$G$2000, ""select G where D="" &amp; AJ$1 &amp; "" and E="" &amp; $I3), QUERY($A$2:$G$2000, ""select G where E="" &amp; AJ$1 &amp; "" and D="" &amp; $I3))"),4.833333333333333)</f>
        <v>4.833333333</v>
      </c>
      <c r="AK3" s="10">
        <f>IFERROR(__xludf.DUMMYFUNCTION("ifna(QUERY($A$2:$G$2000, ""select G where D="" &amp; AK$1 &amp; "" and E="" &amp; $I3), QUERY($A$2:$G$2000, ""select G where E="" &amp; AK$1 &amp; "" and D="" &amp; $I3))"),4.873563218390805)</f>
        <v>4.873563218</v>
      </c>
      <c r="AL3" s="10">
        <f>IFERROR(__xludf.DUMMYFUNCTION("ifna(QUERY($A$2:$G$2000, ""select G where D="" &amp; AL$1 &amp; "" and E="" &amp; $I3), QUERY($A$2:$G$2000, ""select G where E="" &amp; AL$1 &amp; "" and D="" &amp; $I3))"),4.911111111111111)</f>
        <v>4.911111111</v>
      </c>
      <c r="AM3" s="10">
        <f>IFERROR(__xludf.DUMMYFUNCTION("ifna(QUERY($A$2:$G$2000, ""select G where D="" &amp; AM$1 &amp; "" and E="" &amp; $I3), QUERY($A$2:$G$2000, ""select G where E="" &amp; AM$1 &amp; "" and D="" &amp; $I3))"),4.946236559139785)</f>
        <v>4.946236559</v>
      </c>
      <c r="AN3" s="10">
        <f>IFERROR(__xludf.DUMMYFUNCTION("ifna(QUERY($A$2:$G$2000, ""select G where D="" &amp; AN$1 &amp; "" and E="" &amp; $I3), QUERY($A$2:$G$2000, ""select G where E="" &amp; AN$1 &amp; "" and D="" &amp; $I3))"),4.979166666666667)</f>
        <v>4.979166667</v>
      </c>
      <c r="AO3" s="10">
        <f>IFERROR(__xludf.DUMMYFUNCTION("ifna(QUERY($A$2:$G$2000, ""select G where D="" &amp; AO$1 &amp; "" and E="" &amp; $I3), QUERY($A$2:$G$2000, ""select G where E="" &amp; AO$1 &amp; "" and D="" &amp; $I3))"),5.040404040404041)</f>
        <v>5.04040404</v>
      </c>
      <c r="AP3" s="10">
        <f>IFERROR(__xludf.DUMMYFUNCTION("ifna(QUERY($A$2:$G$2000, ""select G where D="" &amp; AP$1 &amp; "" and E="" &amp; $I3), QUERY($A$2:$G$2000, ""select G where E="" &amp; AP$1 &amp; "" and D="" &amp; $I3))"),5.098039215686274)</f>
        <v>5.098039216</v>
      </c>
      <c r="AQ3" s="10">
        <f>IFERROR(__xludf.DUMMYFUNCTION("ifna(QUERY($A$2:$G$2000, ""select G where D="" &amp; AQ$1 &amp; "" and E="" &amp; $I3), QUERY($A$2:$G$2000, ""select G where E="" &amp; AQ$1 &amp; "" and D="" &amp; $I3))"),5.152380952380953)</f>
        <v>5.152380952</v>
      </c>
      <c r="AR3" s="10">
        <f>IFERROR(__xludf.DUMMYFUNCTION("ifna(QUERY($A$2:$G$2000, ""select G where D="" &amp; AR$1 &amp; "" and E="" &amp; $I3), QUERY($A$2:$G$2000, ""select G where E="" &amp; AR$1 &amp; "" and D="" &amp; $I3))"),5.203703703703704)</f>
        <v>5.203703704</v>
      </c>
      <c r="AS3" s="10">
        <f>IFERROR(__xludf.DUMMYFUNCTION("ifna(QUERY($A$2:$G$2000, ""select G where D="" &amp; AS$1 &amp; "" and E="" &amp; $I3), QUERY($A$2:$G$2000, ""select G where E="" &amp; AS$1 &amp; "" and D="" &amp; $I3))"),5.252252252252252)</f>
        <v>5.252252252</v>
      </c>
      <c r="AT3" s="10">
        <f>IFERROR(__xludf.DUMMYFUNCTION("ifna(QUERY($A$2:$G$2000, ""select G where D="" &amp; AT$1 &amp; "" and E="" &amp; $I3), QUERY($A$2:$G$2000, ""select G where E="" &amp; AT$1 &amp; "" and D="" &amp; $I3))"),5.298245614035087)</f>
        <v>5.298245614</v>
      </c>
      <c r="AU3" s="10">
        <f>IFERROR(__xludf.DUMMYFUNCTION("ifna(QUERY($A$2:$G$2000, ""select G where D="" &amp; AU$1 &amp; "" and E="" &amp; $I3), QUERY($A$2:$G$2000, ""select G where E="" &amp; AU$1 &amp; "" and D="" &amp; $I3))"),5.3418803418803416)</f>
        <v>5.341880342</v>
      </c>
      <c r="AV3" s="10">
        <f>IFERROR(__xludf.DUMMYFUNCTION("ifna(QUERY($A$2:$G$2000, ""select G where D="" &amp; AV$1 &amp; "" and E="" &amp; $I3), QUERY($A$2:$G$2000, ""select G where E="" &amp; AV$1 &amp; "" and D="" &amp; $I3))"),5.383333333333333)</f>
        <v>5.383333333</v>
      </c>
      <c r="AW3" s="10">
        <f>IFERROR(__xludf.DUMMYFUNCTION("ifna(QUERY($A$2:$G$2000, ""select G where D="" &amp; AW$1 &amp; "" and E="" &amp; $I3), QUERY($A$2:$G$2000, ""select G where E="" &amp; AW$1 &amp; "" and D="" &amp; $I3))"),5.4227642276422765)</f>
        <v>5.422764228</v>
      </c>
      <c r="AX3" s="10">
        <f>IFERROR(__xludf.DUMMYFUNCTION("ifna(QUERY($A$2:$G$2000, ""select G where D="" &amp; AX$1 &amp; "" and E="" &amp; $I3), QUERY($A$2:$G$2000, ""select G where E="" &amp; AX$1 &amp; "" and D="" &amp; $I3))"),5.4603174603174605)</f>
        <v>5.46031746</v>
      </c>
      <c r="AY3" s="10">
        <f>IFERROR(__xludf.DUMMYFUNCTION("ifna(QUERY($A$2:$G$2000, ""select G where D="" &amp; AY$1 &amp; "" and E="" &amp; $I3), QUERY($A$2:$G$2000, ""select G where E="" &amp; AY$1 &amp; "" and D="" &amp; $I3))"),5.496124031007752)</f>
        <v>5.496124031</v>
      </c>
      <c r="AZ3" s="10">
        <f>IFERROR(__xludf.DUMMYFUNCTION("ifna(QUERY($A$2:$G$2000, ""select G where D="" &amp; AZ$1 &amp; "" and E="" &amp; $I3), QUERY($A$2:$G$2000, ""select G where E="" &amp; AZ$1 &amp; "" and D="" &amp; $I3))"),5.53030303030303)</f>
        <v>5.53030303</v>
      </c>
      <c r="BA3" s="10">
        <f>IFERROR(__xludf.DUMMYFUNCTION("ifna(QUERY($A$2:$G$2000, ""select G where D="" &amp; BA$1 &amp; "" and E="" &amp; $I3), QUERY($A$2:$G$2000, ""select G where E="" &amp; BA$1 &amp; "" and D="" &amp; $I3))"),5.562962962962963)</f>
        <v>5.562962963</v>
      </c>
      <c r="BB3" s="10">
        <f>IFERROR(__xludf.DUMMYFUNCTION("ifna(QUERY($A$2:$G$2000, ""select G where D="" &amp; BB$1 &amp; "" and E="" &amp; $I3), QUERY($A$2:$G$2000, ""select G where E="" &amp; BB$1 &amp; "" and D="" &amp; $I3))"),5.594202898550725)</f>
        <v>5.594202899</v>
      </c>
      <c r="BC3" s="10">
        <f>IFERROR(__xludf.DUMMYFUNCTION("ifna(QUERY($A$2:$G$2000, ""select G where D="" &amp; BC$1 &amp; "" and E="" &amp; $I3), QUERY($A$2:$G$2000, ""select G where E="" &amp; BC$1 &amp; "" and D="" &amp; $I3))"),5.624113475177305)</f>
        <v>5.624113475</v>
      </c>
      <c r="BD3" s="10">
        <f>IFERROR(__xludf.DUMMYFUNCTION("ifna(QUERY($A$2:$G$2000, ""select G where D="" &amp; BD$1 &amp; "" and E="" &amp; $I3), QUERY($A$2:$G$2000, ""select G where E="" &amp; BD$1 &amp; "" and D="" &amp; $I3))"),5.652777777777778)</f>
        <v>5.652777778</v>
      </c>
      <c r="BE3" s="10">
        <f>IFERROR(__xludf.DUMMYFUNCTION("ifna(QUERY($A$2:$G$2000, ""select G where D="" &amp; BE$1 &amp; "" and E="" &amp; $I3), QUERY($A$2:$G$2000, ""select G where E="" &amp; BE$1 &amp; "" and D="" &amp; $I3))"),5.680272108843537)</f>
        <v>5.680272109</v>
      </c>
      <c r="BF3" s="10">
        <f>IFERROR(__xludf.DUMMYFUNCTION("ifna(QUERY($A$2:$G$2000, ""select G where D="" &amp; BF$1 &amp; "" and E="" &amp; $I3), QUERY($A$2:$G$2000, ""select G where E="" &amp; BF$1 &amp; "" and D="" &amp; $I3))"),5.706666666666667)</f>
        <v>5.706666667</v>
      </c>
      <c r="BG3" s="10">
        <f>IFERROR(__xludf.DUMMYFUNCTION("ifna(QUERY($A$2:$G$2000, ""select G where D="" &amp; BG$1 &amp; "" and E="" &amp; $I3), QUERY($A$2:$G$2000, ""select G where E="" &amp; BG$1 &amp; "" and D="" &amp; $I3))"),5.73202614379085)</f>
        <v>5.732026144</v>
      </c>
      <c r="BH3" s="10">
        <f>IFERROR(__xludf.DUMMYFUNCTION("ifna(QUERY($A$2:$G$2000, ""select G where D="" &amp; BH$1 &amp; "" and E="" &amp; $I3), QUERY($A$2:$G$2000, ""select G where E="" &amp; BH$1 &amp; "" and D="" &amp; $I3))"),5.756410256410256)</f>
        <v>5.756410256</v>
      </c>
      <c r="BI3" s="10">
        <f>IFERROR(__xludf.DUMMYFUNCTION("ifna(QUERY($A$2:$G$2000, ""select G where D="" &amp; BI$1 &amp; "" and E="" &amp; $I3), QUERY($A$2:$G$2000, ""select G where E="" &amp; BI$1 &amp; "" and D="" &amp; $I3))"),5.779874213836478)</f>
        <v>5.779874214</v>
      </c>
      <c r="BJ3" s="10">
        <f>IFERROR(__xludf.DUMMYFUNCTION("ifna(QUERY($A$2:$G$2000, ""select G where D="" &amp; BJ$1 &amp; "" and E="" &amp; $I3), QUERY($A$2:$G$2000, ""select G where E="" &amp; BJ$1 &amp; "" and D="" &amp; $I3))"),5.802469135802469)</f>
        <v>5.802469136</v>
      </c>
      <c r="BK3" s="10">
        <f>IFERROR(__xludf.DUMMYFUNCTION("ifna(QUERY($A$2:$G$2000, ""select G where D="" &amp; BK$1 &amp; "" and E="" &amp; $I3), QUERY($A$2:$G$2000, ""select G where E="" &amp; BK$1 &amp; "" and D="" &amp; $I3))"),5.824242424242424)</f>
        <v>5.824242424</v>
      </c>
      <c r="BL3" s="10"/>
      <c r="BM3" s="10"/>
      <c r="BN3" s="10"/>
      <c r="BO3" s="10"/>
    </row>
    <row r="4">
      <c r="A4" s="3">
        <v>2.0</v>
      </c>
      <c r="B4" s="3">
        <v>4.0</v>
      </c>
      <c r="C4" s="3">
        <v>8.0</v>
      </c>
      <c r="D4" s="3">
        <v>3.0</v>
      </c>
      <c r="E4" s="3">
        <v>1.0</v>
      </c>
      <c r="F4" s="11">
        <f t="shared" si="1"/>
        <v>0.5</v>
      </c>
      <c r="G4" s="5">
        <f t="shared" si="2"/>
        <v>1.5</v>
      </c>
      <c r="H4" s="3">
        <v>4.0</v>
      </c>
      <c r="I4" s="2">
        <v>3.0</v>
      </c>
      <c r="J4" s="10">
        <f>IFERROR(__xludf.DUMMYFUNCTION("ifna(QUERY($A$2:$G$2000, ""select G where D="" &amp; J$1 &amp; "" and E="" &amp; $I4), QUERY($A$2:$G$2000, ""select G where E="" &amp; J$1 &amp; "" and D="" &amp; $I4))"),1.5)</f>
        <v>1.5</v>
      </c>
      <c r="K4" s="10">
        <f>IFERROR(__xludf.DUMMYFUNCTION("ifna(QUERY($A$2:$G$2000, ""select G where D="" &amp; K$1 &amp; "" and E="" &amp; $I4), QUERY($A$2:$G$2000, ""select G where E="" &amp; K$1 &amp; "" and D="" &amp; $I4))"),1.8333333333333333)</f>
        <v>1.833333333</v>
      </c>
      <c r="L4" s="10">
        <f>IFERROR(__xludf.DUMMYFUNCTION("ifna(QUERY($A$2:$G$2000, ""select G where D="" &amp; L$1 &amp; "" and E="" &amp; $I4), QUERY($A$2:$G$2000, ""select G where E="" &amp; L$1 &amp; "" and D="" &amp; $I4))"),2.25)</f>
        <v>2.25</v>
      </c>
      <c r="M4" s="10">
        <f>IFERROR(__xludf.DUMMYFUNCTION("ifna(QUERY($A$2:$G$2000, ""select G where D="" &amp; M$1 &amp; "" and E="" &amp; $I4), QUERY($A$2:$G$2000, ""select G where E="" &amp; M$1 &amp; "" and D="" &amp; $I4))"),2.6)</f>
        <v>2.6</v>
      </c>
      <c r="N4" s="10">
        <f>IFERROR(__xludf.DUMMYFUNCTION("ifna(QUERY($A$2:$G$2000, ""select G where D="" &amp; N$1 &amp; "" and E="" &amp; $I4), QUERY($A$2:$G$2000, ""select G where E="" &amp; N$1 &amp; "" and D="" &amp; $I4))"),2.8333333333333335)</f>
        <v>2.833333333</v>
      </c>
      <c r="O4" s="10">
        <f>IFERROR(__xludf.DUMMYFUNCTION("ifna(QUERY($A$2:$G$2000, ""select G where D="" &amp; O$1 &amp; "" and E="" &amp; $I4), QUERY($A$2:$G$2000, ""select G where E="" &amp; O$1 &amp; "" and D="" &amp; $I4))"),3.142857142857143)</f>
        <v>3.142857143</v>
      </c>
      <c r="P4" s="10">
        <f>IFERROR(__xludf.DUMMYFUNCTION("ifna(QUERY($A$2:$G$2000, ""select G where D="" &amp; P$1 &amp; "" and E="" &amp; $I4), QUERY($A$2:$G$2000, ""select G where E="" &amp; P$1 &amp; "" and D="" &amp; $I4))"),3.25)</f>
        <v>3.25</v>
      </c>
      <c r="Q4" s="10">
        <f>IFERROR(__xludf.DUMMYFUNCTION("ifna(QUERY($A$2:$G$2000, ""select G where D="" &amp; Q$1 &amp; "" and E="" &amp; $I4), QUERY($A$2:$G$2000, ""select G where E="" &amp; Q$1 &amp; "" and D="" &amp; $I4))"),3.4444444444444446)</f>
        <v>3.444444444</v>
      </c>
      <c r="R4" s="10">
        <f>IFERROR(__xludf.DUMMYFUNCTION("ifna(QUERY($A$2:$G$2000, ""select G where D="" &amp; R$1 &amp; "" and E="" &amp; $I4), QUERY($A$2:$G$2000, ""select G where E="" &amp; R$1 &amp; "" and D="" &amp; $I4))"),3.6)</f>
        <v>3.6</v>
      </c>
      <c r="S4" s="10">
        <f>IFERROR(__xludf.DUMMYFUNCTION("ifna(QUERY($A$2:$G$2000, ""select G where D="" &amp; S$1 &amp; "" and E="" &amp; $I4), QUERY($A$2:$G$2000, ""select G where E="" &amp; S$1 &amp; "" and D="" &amp; $I4))"),3.7272727272727275)</f>
        <v>3.727272727</v>
      </c>
      <c r="T4" s="10">
        <f>IFERROR(__xludf.DUMMYFUNCTION("ifna(QUERY($A$2:$G$2000, ""select G where D="" &amp; T$1 &amp; "" and E="" &amp; $I4), QUERY($A$2:$G$2000, ""select G where E="" &amp; T$1 &amp; "" and D="" &amp; $I4))"),3.8333333333333335)</f>
        <v>3.833333333</v>
      </c>
      <c r="U4" s="10">
        <f>IFERROR(__xludf.DUMMYFUNCTION("ifna(QUERY($A$2:$G$2000, ""select G where D="" &amp; U$1 &amp; "" and E="" &amp; $I4), QUERY($A$2:$G$2000, ""select G where E="" &amp; U$1 &amp; "" and D="" &amp; $I4))"),3.8846153846153846)</f>
        <v>3.884615385</v>
      </c>
      <c r="V4" s="10">
        <f>IFERROR(__xludf.DUMMYFUNCTION("ifna(QUERY($A$2:$G$2000, ""select G where D="" &amp; V$1 &amp; "" and E="" &amp; $I4), QUERY($A$2:$G$2000, ""select G where E="" &amp; V$1 &amp; "" and D="" &amp; $I4))"),4.071428571428571)</f>
        <v>4.071428571</v>
      </c>
      <c r="W4" s="10">
        <f>IFERROR(__xludf.DUMMYFUNCTION("ifna(QUERY($A$2:$G$2000, ""select G where D="" &amp; W$1 &amp; "" and E="" &amp; $I4), QUERY($A$2:$G$2000, ""select G where E="" &amp; W$1 &amp; "" and D="" &amp; $I4))"),4.133333333333333)</f>
        <v>4.133333333</v>
      </c>
      <c r="X4" s="10">
        <f>IFERROR(__xludf.DUMMYFUNCTION("ifna(QUERY($A$2:$G$2000, ""select G where D="" &amp; X$1 &amp; "" and E="" &amp; $I4), QUERY($A$2:$G$2000, ""select G where E="" &amp; X$1 &amp; "" and D="" &amp; $I4))"),4.1875)</f>
        <v>4.1875</v>
      </c>
      <c r="Y4" s="10">
        <f>IFERROR(__xludf.DUMMYFUNCTION("ifna(QUERY($A$2:$G$2000, ""select G where D="" &amp; Y$1 &amp; "" and E="" &amp; $I4), QUERY($A$2:$G$2000, ""select G where E="" &amp; Y$1 &amp; "" and D="" &amp; $I4))"),4.294117647058823)</f>
        <v>4.294117647</v>
      </c>
      <c r="Z4" s="10">
        <f>IFERROR(__xludf.DUMMYFUNCTION("ifna(QUERY($A$2:$G$2000, ""select G where D="" &amp; Z$1 &amp; "" and E="" &amp; $I4), QUERY($A$2:$G$2000, ""select G where E="" &amp; Z$1 &amp; "" and D="" &amp; $I4))"),4.388888888888889)</f>
        <v>4.388888889</v>
      </c>
      <c r="AA4" s="10">
        <f>IFERROR(__xludf.DUMMYFUNCTION("ifna(QUERY($A$2:$G$2000, ""select G where D="" &amp; AA$1 &amp; "" and E="" &amp; $I4), QUERY($A$2:$G$2000, ""select G where E="" &amp; AA$1 &amp; "" and D="" &amp; $I4))"),4.473684210526316)</f>
        <v>4.473684211</v>
      </c>
      <c r="AB4" s="10">
        <f>IFERROR(__xludf.DUMMYFUNCTION("ifna(QUERY($A$2:$G$2000, ""select G where D="" &amp; AB$1 &amp; "" and E="" &amp; $I4), QUERY($A$2:$G$2000, ""select G where E="" &amp; AB$1 &amp; "" and D="" &amp; $I4))"),4.55)</f>
        <v>4.55</v>
      </c>
      <c r="AC4" s="10">
        <f>IFERROR(__xludf.DUMMYFUNCTION("ifna(QUERY($A$2:$G$2000, ""select G where D="" &amp; AC$1 &amp; "" and E="" &amp; $I4), QUERY($A$2:$G$2000, ""select G where E="" &amp; AC$1 &amp; "" and D="" &amp; $I4))"),4.619047619047619)</f>
        <v>4.619047619</v>
      </c>
      <c r="AD4" s="10">
        <f>IFERROR(__xludf.DUMMYFUNCTION("ifna(QUERY($A$2:$G$2000, ""select G where D="" &amp; AD$1 &amp; "" and E="" &amp; $I4), QUERY($A$2:$G$2000, ""select G where E="" &amp; AD$1 &amp; "" and D="" &amp; $I4))"),4.681818181818182)</f>
        <v>4.681818182</v>
      </c>
      <c r="AE4" s="10">
        <f>IFERROR(__xludf.DUMMYFUNCTION("ifna(QUERY($A$2:$G$2000, ""select G where D="" &amp; AE$1 &amp; "" and E="" &amp; $I4), QUERY($A$2:$G$2000, ""select G where E="" &amp; AE$1 &amp; "" and D="" &amp; $I4))"),4.739130434782608)</f>
        <v>4.739130435</v>
      </c>
      <c r="AF4" s="10">
        <f>IFERROR(__xludf.DUMMYFUNCTION("ifna(QUERY($A$2:$G$2000, ""select G where D="" &amp; AF$1 &amp; "" and E="" &amp; $I4), QUERY($A$2:$G$2000, ""select G where E="" &amp; AF$1 &amp; "" and D="" &amp; $I4))"),4.791666666666667)</f>
        <v>4.791666667</v>
      </c>
      <c r="AG4" s="10">
        <f>IFERROR(__xludf.DUMMYFUNCTION("ifna(QUERY($A$2:$G$2000, ""select G where D="" &amp; AG$1 &amp; "" and E="" &amp; $I4), QUERY($A$2:$G$2000, ""select G where E="" &amp; AG$1 &amp; "" and D="" &amp; $I4))"),4.84)</f>
        <v>4.84</v>
      </c>
      <c r="AH4" s="10">
        <f>IFERROR(__xludf.DUMMYFUNCTION("ifna(QUERY($A$2:$G$2000, ""select G where D="" &amp; AH$1 &amp; "" and E="" &amp; $I4), QUERY($A$2:$G$2000, ""select G where E="" &amp; AH$1 &amp; "" and D="" &amp; $I4))"),4.884615384615385)</f>
        <v>4.884615385</v>
      </c>
      <c r="AI4" s="10">
        <f>IFERROR(__xludf.DUMMYFUNCTION("ifna(QUERY($A$2:$G$2000, ""select G where D="" &amp; AI$1 &amp; "" and E="" &amp; $I4), QUERY($A$2:$G$2000, ""select G where E="" &amp; AI$1 &amp; "" and D="" &amp; $I4))"),4.907407407407407)</f>
        <v>4.907407407</v>
      </c>
      <c r="AJ4" s="10">
        <f>IFERROR(__xludf.DUMMYFUNCTION("ifna(QUERY($A$2:$G$2000, ""select G where D="" &amp; AJ$1 &amp; "" and E="" &amp; $I4), QUERY($A$2:$G$2000, ""select G where E="" &amp; AJ$1 &amp; "" and D="" &amp; $I4))"),4.928571428571429)</f>
        <v>4.928571429</v>
      </c>
      <c r="AK4" s="10">
        <f>IFERROR(__xludf.DUMMYFUNCTION("ifna(QUERY($A$2:$G$2000, ""select G where D="" &amp; AK$1 &amp; "" and E="" &amp; $I4), QUERY($A$2:$G$2000, ""select G where E="" &amp; AK$1 &amp; "" and D="" &amp; $I4))"),5.0344827586206895)</f>
        <v>5.034482759</v>
      </c>
      <c r="AL4" s="10">
        <f>IFERROR(__xludf.DUMMYFUNCTION("ifna(QUERY($A$2:$G$2000, ""select G where D="" &amp; AL$1 &amp; "" and E="" &amp; $I4), QUERY($A$2:$G$2000, ""select G where E="" &amp; AL$1 &amp; "" and D="" &amp; $I4))"),5.066666666666666)</f>
        <v>5.066666667</v>
      </c>
      <c r="AM4" s="10">
        <f>IFERROR(__xludf.DUMMYFUNCTION("ifna(QUERY($A$2:$G$2000, ""select G where D="" &amp; AM$1 &amp; "" and E="" &amp; $I4), QUERY($A$2:$G$2000, ""select G where E="" &amp; AM$1 &amp; "" and D="" &amp; $I4))"),5.096774193548387)</f>
        <v>5.096774194</v>
      </c>
      <c r="AN4" s="10">
        <f>IFERROR(__xludf.DUMMYFUNCTION("ifna(QUERY($A$2:$G$2000, ""select G where D="" &amp; AN$1 &amp; "" and E="" &amp; $I4), QUERY($A$2:$G$2000, ""select G where E="" &amp; AN$1 &amp; "" and D="" &amp; $I4))"),5.125)</f>
        <v>5.125</v>
      </c>
      <c r="AO4" s="10">
        <f>IFERROR(__xludf.DUMMYFUNCTION("ifna(QUERY($A$2:$G$2000, ""select G where D="" &amp; AO$1 &amp; "" and E="" &amp; $I4), QUERY($A$2:$G$2000, ""select G where E="" &amp; AO$1 &amp; "" and D="" &amp; $I4))"),5.181818181818182)</f>
        <v>5.181818182</v>
      </c>
      <c r="AP4" s="10">
        <f>IFERROR(__xludf.DUMMYFUNCTION("ifna(QUERY($A$2:$G$2000, ""select G where D="" &amp; AP$1 &amp; "" and E="" &amp; $I4), QUERY($A$2:$G$2000, ""select G where E="" &amp; AP$1 &amp; "" and D="" &amp; $I4))"),5.235294117647059)</f>
        <v>5.235294118</v>
      </c>
      <c r="AQ4" s="10">
        <f>IFERROR(__xludf.DUMMYFUNCTION("ifna(QUERY($A$2:$G$2000, ""select G where D="" &amp; AQ$1 &amp; "" and E="" &amp; $I4), QUERY($A$2:$G$2000, ""select G where E="" &amp; AQ$1 &amp; "" and D="" &amp; $I4))"),5.285714285714286)</f>
        <v>5.285714286</v>
      </c>
      <c r="AR4" s="10">
        <f>IFERROR(__xludf.DUMMYFUNCTION("ifna(QUERY($A$2:$G$2000, ""select G where D="" &amp; AR$1 &amp; "" and E="" &amp; $I4), QUERY($A$2:$G$2000, ""select G where E="" &amp; AR$1 &amp; "" and D="" &amp; $I4))"),5.333333333333333)</f>
        <v>5.333333333</v>
      </c>
      <c r="AS4" s="10">
        <f>IFERROR(__xludf.DUMMYFUNCTION("ifna(QUERY($A$2:$G$2000, ""select G where D="" &amp; AS$1 &amp; "" and E="" &amp; $I4), QUERY($A$2:$G$2000, ""select G where E="" &amp; AS$1 &amp; "" and D="" &amp; $I4))"),5.378378378378378)</f>
        <v>5.378378378</v>
      </c>
      <c r="AT4" s="10">
        <f>IFERROR(__xludf.DUMMYFUNCTION("ifna(QUERY($A$2:$G$2000, ""select G where D="" &amp; AT$1 &amp; "" and E="" &amp; $I4), QUERY($A$2:$G$2000, ""select G where E="" &amp; AT$1 &amp; "" and D="" &amp; $I4))"),5.421052631578947)</f>
        <v>5.421052632</v>
      </c>
      <c r="AU4" s="10">
        <f>IFERROR(__xludf.DUMMYFUNCTION("ifna(QUERY($A$2:$G$2000, ""select G where D="" &amp; AU$1 &amp; "" and E="" &amp; $I4), QUERY($A$2:$G$2000, ""select G where E="" &amp; AU$1 &amp; "" and D="" &amp; $I4))"),5.461538461538462)</f>
        <v>5.461538462</v>
      </c>
      <c r="AV4" s="10">
        <f>IFERROR(__xludf.DUMMYFUNCTION("ifna(QUERY($A$2:$G$2000, ""select G where D="" &amp; AV$1 &amp; "" and E="" &amp; $I4), QUERY($A$2:$G$2000, ""select G where E="" &amp; AV$1 &amp; "" and D="" &amp; $I4))"),5.5)</f>
        <v>5.5</v>
      </c>
      <c r="AW4" s="10">
        <f>IFERROR(__xludf.DUMMYFUNCTION("ifna(QUERY($A$2:$G$2000, ""select G where D="" &amp; AW$1 &amp; "" and E="" &amp; $I4), QUERY($A$2:$G$2000, ""select G where E="" &amp; AW$1 &amp; "" and D="" &amp; $I4))"),5.536585365853658)</f>
        <v>5.536585366</v>
      </c>
      <c r="AX4" s="10">
        <f>IFERROR(__xludf.DUMMYFUNCTION("ifna(QUERY($A$2:$G$2000, ""select G where D="" &amp; AX$1 &amp; "" and E="" &amp; $I4), QUERY($A$2:$G$2000, ""select G where E="" &amp; AX$1 &amp; "" and D="" &amp; $I4))"),5.571428571428571)</f>
        <v>5.571428571</v>
      </c>
      <c r="AY4" s="10">
        <f>IFERROR(__xludf.DUMMYFUNCTION("ifna(QUERY($A$2:$G$2000, ""select G where D="" &amp; AY$1 &amp; "" and E="" &amp; $I4), QUERY($A$2:$G$2000, ""select G where E="" &amp; AY$1 &amp; "" and D="" &amp; $I4))"),5.604651162790698)</f>
        <v>5.604651163</v>
      </c>
      <c r="AZ4" s="10">
        <f>IFERROR(__xludf.DUMMYFUNCTION("ifna(QUERY($A$2:$G$2000, ""select G where D="" &amp; AZ$1 &amp; "" and E="" &amp; $I4), QUERY($A$2:$G$2000, ""select G where E="" &amp; AZ$1 &amp; "" and D="" &amp; $I4))"),5.636363636363637)</f>
        <v>5.636363636</v>
      </c>
      <c r="BA4" s="10">
        <f>IFERROR(__xludf.DUMMYFUNCTION("ifna(QUERY($A$2:$G$2000, ""select G where D="" &amp; BA$1 &amp; "" and E="" &amp; $I4), QUERY($A$2:$G$2000, ""select G where E="" &amp; BA$1 &amp; "" and D="" &amp; $I4))"),5.666666666666667)</f>
        <v>5.666666667</v>
      </c>
      <c r="BB4" s="10">
        <f>IFERROR(__xludf.DUMMYFUNCTION("ifna(QUERY($A$2:$G$2000, ""select G where D="" &amp; BB$1 &amp; "" and E="" &amp; $I4), QUERY($A$2:$G$2000, ""select G where E="" &amp; BB$1 &amp; "" and D="" &amp; $I4))"),5.695652173913043)</f>
        <v>5.695652174</v>
      </c>
      <c r="BC4" s="10">
        <f>IFERROR(__xludf.DUMMYFUNCTION("ifna(QUERY($A$2:$G$2000, ""select G where D="" &amp; BC$1 &amp; "" and E="" &amp; $I4), QUERY($A$2:$G$2000, ""select G where E="" &amp; BC$1 &amp; "" and D="" &amp; $I4))"),5.723404255319149)</f>
        <v>5.723404255</v>
      </c>
      <c r="BD4" s="10">
        <f>IFERROR(__xludf.DUMMYFUNCTION("ifna(QUERY($A$2:$G$2000, ""select G where D="" &amp; BD$1 &amp; "" and E="" &amp; $I4), QUERY($A$2:$G$2000, ""select G where E="" &amp; BD$1 &amp; "" and D="" &amp; $I4))"),5.75)</f>
        <v>5.75</v>
      </c>
      <c r="BE4" s="10">
        <f>IFERROR(__xludf.DUMMYFUNCTION("ifna(QUERY($A$2:$G$2000, ""select G where D="" &amp; BE$1 &amp; "" and E="" &amp; $I4), QUERY($A$2:$G$2000, ""select G where E="" &amp; BE$1 &amp; "" and D="" &amp; $I4))"),5.775510204081633)</f>
        <v>5.775510204</v>
      </c>
      <c r="BF4" s="10">
        <f>IFERROR(__xludf.DUMMYFUNCTION("ifna(QUERY($A$2:$G$2000, ""select G where D="" &amp; BF$1 &amp; "" and E="" &amp; $I4), QUERY($A$2:$G$2000, ""select G where E="" &amp; BF$1 &amp; "" and D="" &amp; $I4))"),5.8)</f>
        <v>5.8</v>
      </c>
      <c r="BG4" s="10">
        <f>IFERROR(__xludf.DUMMYFUNCTION("ifna(QUERY($A$2:$G$2000, ""select G where D="" &amp; BG$1 &amp; "" and E="" &amp; $I4), QUERY($A$2:$G$2000, ""select G where E="" &amp; BG$1 &amp; "" and D="" &amp; $I4))"),5.823529411764706)</f>
        <v>5.823529412</v>
      </c>
      <c r="BH4" s="10">
        <f>IFERROR(__xludf.DUMMYFUNCTION("ifna(QUERY($A$2:$G$2000, ""select G where D="" &amp; BH$1 &amp; "" and E="" &amp; $I4), QUERY($A$2:$G$2000, ""select G where E="" &amp; BH$1 &amp; "" and D="" &amp; $I4))"),5.846153846153846)</f>
        <v>5.846153846</v>
      </c>
      <c r="BI4" s="10">
        <f>IFERROR(__xludf.DUMMYFUNCTION("ifna(QUERY($A$2:$G$2000, ""select G where D="" &amp; BI$1 &amp; "" and E="" &amp; $I4), QUERY($A$2:$G$2000, ""select G where E="" &amp; BI$1 &amp; "" and D="" &amp; $I4))"),5.867924528301887)</f>
        <v>5.867924528</v>
      </c>
      <c r="BJ4" s="10">
        <f>IFERROR(__xludf.DUMMYFUNCTION("ifna(QUERY($A$2:$G$2000, ""select G where D="" &amp; BJ$1 &amp; "" and E="" &amp; $I4), QUERY($A$2:$G$2000, ""select G where E="" &amp; BJ$1 &amp; "" and D="" &amp; $I4))"),5.888888888888889)</f>
        <v>5.888888889</v>
      </c>
      <c r="BK4" s="10">
        <f>IFERROR(__xludf.DUMMYFUNCTION("ifna(QUERY($A$2:$G$2000, ""select G where D="" &amp; BK$1 &amp; "" and E="" &amp; $I4), QUERY($A$2:$G$2000, ""select G where E="" &amp; BK$1 &amp; "" and D="" &amp; $I4))"),5.909090909090909)</f>
        <v>5.909090909</v>
      </c>
      <c r="BL4" s="10"/>
      <c r="BM4" s="10"/>
      <c r="BN4" s="10"/>
      <c r="BO4" s="10"/>
    </row>
    <row r="5">
      <c r="A5" s="3">
        <v>2.0</v>
      </c>
      <c r="B5" s="3">
        <v>2.0</v>
      </c>
      <c r="C5" s="3">
        <v>12.0</v>
      </c>
      <c r="D5" s="3">
        <v>3.0</v>
      </c>
      <c r="E5" s="3">
        <v>2.0</v>
      </c>
      <c r="F5" s="11">
        <f t="shared" si="1"/>
        <v>0.1666666667</v>
      </c>
      <c r="G5" s="5">
        <f t="shared" si="2"/>
        <v>1.833333333</v>
      </c>
      <c r="H5" s="3">
        <v>5.0</v>
      </c>
      <c r="I5" s="2">
        <v>4.0</v>
      </c>
      <c r="J5" s="10">
        <f>IFERROR(__xludf.DUMMYFUNCTION("ifna(QUERY($A$2:$G$2000, ""select G where D="" &amp; J$1 &amp; "" and E="" &amp; $I5), QUERY($A$2:$G$2000, ""select G where E="" &amp; J$1 &amp; "" and D="" &amp; $I5))"),1.8)</f>
        <v>1.8</v>
      </c>
      <c r="K5" s="10">
        <f>IFERROR(__xludf.DUMMYFUNCTION("ifna(QUERY($A$2:$G$2000, ""select G where D="" &amp; K$1 &amp; "" and E="" &amp; $I5), QUERY($A$2:$G$2000, ""select G where E="" &amp; K$1 &amp; "" and D="" &amp; $I5))"),2.2666666666666666)</f>
        <v>2.266666667</v>
      </c>
      <c r="L5" s="10">
        <f>IFERROR(__xludf.DUMMYFUNCTION("ifna(QUERY($A$2:$G$2000, ""select G where D="" &amp; L$1 &amp; "" and E="" &amp; $I5), QUERY($A$2:$G$2000, ""select G where E="" &amp; L$1 &amp; "" and D="" &amp; $I5))"),2.6)</f>
        <v>2.6</v>
      </c>
      <c r="M5" s="10">
        <f>IFERROR(__xludf.DUMMYFUNCTION("ifna(QUERY($A$2:$G$2000, ""select G where D="" &amp; M$1 &amp; "" and E="" &amp; $I5), QUERY($A$2:$G$2000, ""select G where E="" &amp; M$1 &amp; "" and D="" &amp; $I5))"),2.84)</f>
        <v>2.84</v>
      </c>
      <c r="N5" s="10">
        <f>IFERROR(__xludf.DUMMYFUNCTION("ifna(QUERY($A$2:$G$2000, ""select G where D="" &amp; N$1 &amp; "" and E="" &amp; $I5), QUERY($A$2:$G$2000, ""select G where E="" &amp; N$1 &amp; "" and D="" &amp; $I5))"),3.1333333333333333)</f>
        <v>3.133333333</v>
      </c>
      <c r="O5" s="10">
        <f>IFERROR(__xludf.DUMMYFUNCTION("ifna(QUERY($A$2:$G$2000, ""select G where D="" &amp; O$1 &amp; "" and E="" &amp; $I5), QUERY($A$2:$G$2000, ""select G where E="" &amp; O$1 &amp; "" and D="" &amp; $I5))"),3.342857142857143)</f>
        <v>3.342857143</v>
      </c>
      <c r="P5" s="10">
        <f>IFERROR(__xludf.DUMMYFUNCTION("ifna(QUERY($A$2:$G$2000, ""select G where D="" &amp; P$1 &amp; "" and E="" &amp; $I5), QUERY($A$2:$G$2000, ""select G where E="" &amp; P$1 &amp; "" and D="" &amp; $I5))"),3.5)</f>
        <v>3.5</v>
      </c>
      <c r="Q5" s="10">
        <f>IFERROR(__xludf.DUMMYFUNCTION("ifna(QUERY($A$2:$G$2000, ""select G where D="" &amp; Q$1 &amp; "" and E="" &amp; $I5), QUERY($A$2:$G$2000, ""select G where E="" &amp; Q$1 &amp; "" and D="" &amp; $I5))"),3.6666666666666665)</f>
        <v>3.666666667</v>
      </c>
      <c r="R5" s="10">
        <f>IFERROR(__xludf.DUMMYFUNCTION("ifna(QUERY($A$2:$G$2000, ""select G where D="" &amp; R$1 &amp; "" and E="" &amp; $I5), QUERY($A$2:$G$2000, ""select G where E="" &amp; R$1 &amp; "" and D="" &amp; $I5))"),3.8)</f>
        <v>3.8</v>
      </c>
      <c r="S5" s="10">
        <f>IFERROR(__xludf.DUMMYFUNCTION("ifna(QUERY($A$2:$G$2000, ""select G where D="" &amp; S$1 &amp; "" and E="" &amp; $I5), QUERY($A$2:$G$2000, ""select G where E="" &amp; S$1 &amp; "" and D="" &amp; $I5))"),3.909090909090909)</f>
        <v>3.909090909</v>
      </c>
      <c r="T5" s="10">
        <f>IFERROR(__xludf.DUMMYFUNCTION("ifna(QUERY($A$2:$G$2000, ""select G where D="" &amp; T$1 &amp; "" and E="" &amp; $I5), QUERY($A$2:$G$2000, ""select G where E="" &amp; T$1 &amp; "" and D="" &amp; $I5))"),4.066666666666666)</f>
        <v>4.066666667</v>
      </c>
      <c r="U5" s="10">
        <f>IFERROR(__xludf.DUMMYFUNCTION("ifna(QUERY($A$2:$G$2000, ""select G where D="" &amp; U$1 &amp; "" and E="" &amp; $I5), QUERY($A$2:$G$2000, ""select G where E="" &amp; U$1 &amp; "" and D="" &amp; $I5))"),4.123076923076923)</f>
        <v>4.123076923</v>
      </c>
      <c r="V5" s="10">
        <f>IFERROR(__xludf.DUMMYFUNCTION("ifna(QUERY($A$2:$G$2000, ""select G where D="" &amp; V$1 &amp; "" and E="" &amp; $I5), QUERY($A$2:$G$2000, ""select G where E="" &amp; V$1 &amp; "" and D="" &amp; $I5))"),4.228571428571429)</f>
        <v>4.228571429</v>
      </c>
      <c r="W5" s="10">
        <f>IFERROR(__xludf.DUMMYFUNCTION("ifna(QUERY($A$2:$G$2000, ""select G where D="" &amp; W$1 &amp; "" and E="" &amp; $I5), QUERY($A$2:$G$2000, ""select G where E="" &amp; W$1 &amp; "" and D="" &amp; $I5))"),4.32)</f>
        <v>4.32</v>
      </c>
      <c r="X5" s="10">
        <f>IFERROR(__xludf.DUMMYFUNCTION("ifna(QUERY($A$2:$G$2000, ""select G where D="" &amp; X$1 &amp; "" and E="" &amp; $I5), QUERY($A$2:$G$2000, ""select G where E="" &amp; X$1 &amp; "" and D="" &amp; $I5))"),4.4)</f>
        <v>4.4</v>
      </c>
      <c r="Y5" s="10">
        <f>IFERROR(__xludf.DUMMYFUNCTION("ifna(QUERY($A$2:$G$2000, ""select G where D="" &amp; Y$1 &amp; "" and E="" &amp; $I5), QUERY($A$2:$G$2000, ""select G where E="" &amp; Y$1 &amp; "" and D="" &amp; $I5))"),4.4941176470588236)</f>
        <v>4.494117647</v>
      </c>
      <c r="Z5" s="10">
        <f>IFERROR(__xludf.DUMMYFUNCTION("ifna(QUERY($A$2:$G$2000, ""select G where D="" &amp; Z$1 &amp; "" and E="" &amp; $I5), QUERY($A$2:$G$2000, ""select G where E="" &amp; Z$1 &amp; "" and D="" &amp; $I5))"),4.5777777777777775)</f>
        <v>4.577777778</v>
      </c>
      <c r="AA5" s="10">
        <f>IFERROR(__xludf.DUMMYFUNCTION("ifna(QUERY($A$2:$G$2000, ""select G where D="" &amp; AA$1 &amp; "" and E="" &amp; $I5), QUERY($A$2:$G$2000, ""select G where E="" &amp; AA$1 &amp; "" and D="" &amp; $I5))"),4.652631578947369)</f>
        <v>4.652631579</v>
      </c>
      <c r="AB5" s="10">
        <f>IFERROR(__xludf.DUMMYFUNCTION("ifna(QUERY($A$2:$G$2000, ""select G where D="" &amp; AB$1 &amp; "" and E="" &amp; $I5), QUERY($A$2:$G$2000, ""select G where E="" &amp; AB$1 &amp; "" and D="" &amp; $I5))"),4.72)</f>
        <v>4.72</v>
      </c>
      <c r="AC5" s="10">
        <f>IFERROR(__xludf.DUMMYFUNCTION("ifna(QUERY($A$2:$G$2000, ""select G where D="" &amp; AC$1 &amp; "" and E="" &amp; $I5), QUERY($A$2:$G$2000, ""select G where E="" &amp; AC$1 &amp; "" and D="" &amp; $I5))"),4.780952380952381)</f>
        <v>4.780952381</v>
      </c>
      <c r="AD5" s="10">
        <f>IFERROR(__xludf.DUMMYFUNCTION("ifna(QUERY($A$2:$G$2000, ""select G where D="" &amp; AD$1 &amp; "" and E="" &amp; $I5), QUERY($A$2:$G$2000, ""select G where E="" &amp; AD$1 &amp; "" and D="" &amp; $I5))"),4.836363636363636)</f>
        <v>4.836363636</v>
      </c>
      <c r="AE5" s="10">
        <f>IFERROR(__xludf.DUMMYFUNCTION("ifna(QUERY($A$2:$G$2000, ""select G where D="" &amp; AE$1 &amp; "" and E="" &amp; $I5), QUERY($A$2:$G$2000, ""select G where E="" &amp; AE$1 &amp; "" and D="" &amp; $I5))"),4.869565217391305)</f>
        <v>4.869565217</v>
      </c>
      <c r="AF5" s="10">
        <f>IFERROR(__xludf.DUMMYFUNCTION("ifna(QUERY($A$2:$G$2000, ""select G where D="" &amp; AF$1 &amp; "" and E="" &amp; $I5), QUERY($A$2:$G$2000, ""select G where E="" &amp; AF$1 &amp; "" and D="" &amp; $I5))"),4.9)</f>
        <v>4.9</v>
      </c>
      <c r="AG5" s="10">
        <f>IFERROR(__xludf.DUMMYFUNCTION("ifna(QUERY($A$2:$G$2000, ""select G where D="" &amp; AG$1 &amp; "" and E="" &amp; $I5), QUERY($A$2:$G$2000, ""select G where E="" &amp; AG$1 &amp; "" and D="" &amp; $I5))"),4.96)</f>
        <v>4.96</v>
      </c>
      <c r="AH5" s="10">
        <f>IFERROR(__xludf.DUMMYFUNCTION("ifna(QUERY($A$2:$G$2000, ""select G where D="" &amp; AH$1 &amp; "" and E="" &amp; $I5), QUERY($A$2:$G$2000, ""select G where E="" &amp; AH$1 &amp; "" and D="" &amp; $I5))"),5.030769230769231)</f>
        <v>5.030769231</v>
      </c>
      <c r="AI5" s="10">
        <f>IFERROR(__xludf.DUMMYFUNCTION("ifna(QUERY($A$2:$G$2000, ""select G where D="" &amp; AI$1 &amp; "" and E="" &amp; $I5), QUERY($A$2:$G$2000, ""select G where E="" &amp; AI$1 &amp; "" and D="" &amp; $I5))"),5.059259259259259)</f>
        <v>5.059259259</v>
      </c>
      <c r="AJ5" s="10">
        <f>IFERROR(__xludf.DUMMYFUNCTION("ifna(QUERY($A$2:$G$2000, ""select G where D="" &amp; AJ$1 &amp; "" and E="" &amp; $I5), QUERY($A$2:$G$2000, ""select G where E="" &amp; AJ$1 &amp; "" and D="" &amp; $I5))"),5.085714285714285)</f>
        <v>5.085714286</v>
      </c>
      <c r="AK5" s="10">
        <f>IFERROR(__xludf.DUMMYFUNCTION("ifna(QUERY($A$2:$G$2000, ""select G where D="" &amp; AK$1 &amp; "" and E="" &amp; $I5), QUERY($A$2:$G$2000, ""select G where E="" &amp; AK$1 &amp; "" and D="" &amp; $I5))"),5.137931034482759)</f>
        <v>5.137931034</v>
      </c>
      <c r="AL5" s="10">
        <f>IFERROR(__xludf.DUMMYFUNCTION("ifna(QUERY($A$2:$G$2000, ""select G where D="" &amp; AL$1 &amp; "" and E="" &amp; $I5), QUERY($A$2:$G$2000, ""select G where E="" &amp; AL$1 &amp; "" and D="" &amp; $I5))"),5.1866666666666665)</f>
        <v>5.186666667</v>
      </c>
      <c r="AM5" s="10">
        <f>IFERROR(__xludf.DUMMYFUNCTION("ifna(QUERY($A$2:$G$2000, ""select G where D="" &amp; AM$1 &amp; "" and E="" &amp; $I5), QUERY($A$2:$G$2000, ""select G where E="" &amp; AM$1 &amp; "" and D="" &amp; $I5))"),5.232258064516129)</f>
        <v>5.232258065</v>
      </c>
      <c r="AN5" s="10">
        <f>IFERROR(__xludf.DUMMYFUNCTION("ifna(QUERY($A$2:$G$2000, ""select G where D="" &amp; AN$1 &amp; "" and E="" &amp; $I5), QUERY($A$2:$G$2000, ""select G where E="" &amp; AN$1 &amp; "" and D="" &amp; $I5))"),5.275)</f>
        <v>5.275</v>
      </c>
      <c r="AO5" s="10">
        <f>IFERROR(__xludf.DUMMYFUNCTION("ifna(QUERY($A$2:$G$2000, ""select G where D="" &amp; AO$1 &amp; "" and E="" &amp; $I5), QUERY($A$2:$G$2000, ""select G where E="" &amp; AO$1 &amp; "" and D="" &amp; $I5))"),5.327272727272727)</f>
        <v>5.327272727</v>
      </c>
      <c r="AP5" s="10">
        <f>IFERROR(__xludf.DUMMYFUNCTION("ifna(QUERY($A$2:$G$2000, ""select G where D="" &amp; AP$1 &amp; "" and E="" &amp; $I5), QUERY($A$2:$G$2000, ""select G where E="" &amp; AP$1 &amp; "" and D="" &amp; $I5))"),5.376470588235295)</f>
        <v>5.376470588</v>
      </c>
      <c r="AQ5" s="10">
        <f>IFERROR(__xludf.DUMMYFUNCTION("ifna(QUERY($A$2:$G$2000, ""select G where D="" &amp; AQ$1 &amp; "" and E="" &amp; $I5), QUERY($A$2:$G$2000, ""select G where E="" &amp; AQ$1 &amp; "" and D="" &amp; $I5))"),5.422857142857143)</f>
        <v>5.422857143</v>
      </c>
      <c r="AR5" s="10">
        <f>IFERROR(__xludf.DUMMYFUNCTION("ifna(QUERY($A$2:$G$2000, ""select G where D="" &amp; AR$1 &amp; "" and E="" &amp; $I5), QUERY($A$2:$G$2000, ""select G where E="" &amp; AR$1 &amp; "" and D="" &amp; $I5))"),5.466666666666667)</f>
        <v>5.466666667</v>
      </c>
      <c r="AS5" s="10">
        <f>IFERROR(__xludf.DUMMYFUNCTION("ifna(QUERY($A$2:$G$2000, ""select G where D="" &amp; AS$1 &amp; "" and E="" &amp; $I5), QUERY($A$2:$G$2000, ""select G where E="" &amp; AS$1 &amp; "" and D="" &amp; $I5))"),5.508108108108108)</f>
        <v>5.508108108</v>
      </c>
      <c r="AT5" s="10">
        <f>IFERROR(__xludf.DUMMYFUNCTION("ifna(QUERY($A$2:$G$2000, ""select G where D="" &amp; AT$1 &amp; "" and E="" &amp; $I5), QUERY($A$2:$G$2000, ""select G where E="" &amp; AT$1 &amp; "" and D="" &amp; $I5))"),5.5473684210526315)</f>
        <v>5.547368421</v>
      </c>
      <c r="AU5" s="10">
        <f>IFERROR(__xludf.DUMMYFUNCTION("ifna(QUERY($A$2:$G$2000, ""select G where D="" &amp; AU$1 &amp; "" and E="" &amp; $I5), QUERY($A$2:$G$2000, ""select G where E="" &amp; AU$1 &amp; "" and D="" &amp; $I5))"),5.584615384615384)</f>
        <v>5.584615385</v>
      </c>
      <c r="AV5" s="10">
        <f>IFERROR(__xludf.DUMMYFUNCTION("ifna(QUERY($A$2:$G$2000, ""select G where D="" &amp; AV$1 &amp; "" and E="" &amp; $I5), QUERY($A$2:$G$2000, ""select G where E="" &amp; AV$1 &amp; "" and D="" &amp; $I5))"),5.62)</f>
        <v>5.62</v>
      </c>
      <c r="AW5" s="10">
        <f>IFERROR(__xludf.DUMMYFUNCTION("ifna(QUERY($A$2:$G$2000, ""select G where D="" &amp; AW$1 &amp; "" and E="" &amp; $I5), QUERY($A$2:$G$2000, ""select G where E="" &amp; AW$1 &amp; "" and D="" &amp; $I5))"),5.6536585365853655)</f>
        <v>5.653658537</v>
      </c>
      <c r="AX5" s="10">
        <f>IFERROR(__xludf.DUMMYFUNCTION("ifna(QUERY($A$2:$G$2000, ""select G where D="" &amp; AX$1 &amp; "" and E="" &amp; $I5), QUERY($A$2:$G$2000, ""select G where E="" &amp; AX$1 &amp; "" and D="" &amp; $I5))"),5.685714285714286)</f>
        <v>5.685714286</v>
      </c>
      <c r="AY5" s="10">
        <f>IFERROR(__xludf.DUMMYFUNCTION("ifna(QUERY($A$2:$G$2000, ""select G where D="" &amp; AY$1 &amp; "" and E="" &amp; $I5), QUERY($A$2:$G$2000, ""select G where E="" &amp; AY$1 &amp; "" and D="" &amp; $I5))"),5.716279069767442)</f>
        <v>5.71627907</v>
      </c>
      <c r="AZ5" s="10">
        <f>IFERROR(__xludf.DUMMYFUNCTION("ifna(QUERY($A$2:$G$2000, ""select G where D="" &amp; AZ$1 &amp; "" and E="" &amp; $I5), QUERY($A$2:$G$2000, ""select G where E="" &amp; AZ$1 &amp; "" and D="" &amp; $I5))"),5.745454545454545)</f>
        <v>5.745454545</v>
      </c>
      <c r="BA5" s="10">
        <f>IFERROR(__xludf.DUMMYFUNCTION("ifna(QUERY($A$2:$G$2000, ""select G where D="" &amp; BA$1 &amp; "" and E="" &amp; $I5), QUERY($A$2:$G$2000, ""select G where E="" &amp; BA$1 &amp; "" and D="" &amp; $I5))"),5.773333333333333)</f>
        <v>5.773333333</v>
      </c>
      <c r="BB5" s="10">
        <f>IFERROR(__xludf.DUMMYFUNCTION("ifna(QUERY($A$2:$G$2000, ""select G where D="" &amp; BB$1 &amp; "" and E="" &amp; $I5), QUERY($A$2:$G$2000, ""select G where E="" &amp; BB$1 &amp; "" and D="" &amp; $I5))"),5.8)</f>
        <v>5.8</v>
      </c>
      <c r="BC5" s="10">
        <f>IFERROR(__xludf.DUMMYFUNCTION("ifna(QUERY($A$2:$G$2000, ""select G where D="" &amp; BC$1 &amp; "" and E="" &amp; $I5), QUERY($A$2:$G$2000, ""select G where E="" &amp; BC$1 &amp; "" and D="" &amp; $I5))"),5.825531914893617)</f>
        <v>5.825531915</v>
      </c>
      <c r="BD5" s="10">
        <f>IFERROR(__xludf.DUMMYFUNCTION("ifna(QUERY($A$2:$G$2000, ""select G where D="" &amp; BD$1 &amp; "" and E="" &amp; $I5), QUERY($A$2:$G$2000, ""select G where E="" &amp; BD$1 &amp; "" and D="" &amp; $I5))"),5.85)</f>
        <v>5.85</v>
      </c>
      <c r="BE5" s="10">
        <f>IFERROR(__xludf.DUMMYFUNCTION("ifna(QUERY($A$2:$G$2000, ""select G where D="" &amp; BE$1 &amp; "" and E="" &amp; $I5), QUERY($A$2:$G$2000, ""select G where E="" &amp; BE$1 &amp; "" and D="" &amp; $I5))"),5.873469387755102)</f>
        <v>5.873469388</v>
      </c>
      <c r="BF5" s="10">
        <f>IFERROR(__xludf.DUMMYFUNCTION("ifna(QUERY($A$2:$G$2000, ""select G where D="" &amp; BF$1 &amp; "" and E="" &amp; $I5), QUERY($A$2:$G$2000, ""select G where E="" &amp; BF$1 &amp; "" and D="" &amp; $I5))"),5.896)</f>
        <v>5.896</v>
      </c>
      <c r="BG5" s="10">
        <f>IFERROR(__xludf.DUMMYFUNCTION("ifna(QUERY($A$2:$G$2000, ""select G where D="" &amp; BG$1 &amp; "" and E="" &amp; $I5), QUERY($A$2:$G$2000, ""select G where E="" &amp; BG$1 &amp; "" and D="" &amp; $I5))"),5.909803921568628)</f>
        <v>5.909803922</v>
      </c>
      <c r="BH5" s="10">
        <f>IFERROR(__xludf.DUMMYFUNCTION("ifna(QUERY($A$2:$G$2000, ""select G where D="" &amp; BH$1 &amp; "" and E="" &amp; $I5), QUERY($A$2:$G$2000, ""select G where E="" &amp; BH$1 &amp; "" and D="" &amp; $I5))"),5.923076923076923)</f>
        <v>5.923076923</v>
      </c>
      <c r="BI5" s="10">
        <f>IFERROR(__xludf.DUMMYFUNCTION("ifna(QUERY($A$2:$G$2000, ""select G where D="" &amp; BI$1 &amp; "" and E="" &amp; $I5), QUERY($A$2:$G$2000, ""select G where E="" &amp; BI$1 &amp; "" and D="" &amp; $I5))"),5.935849056603773)</f>
        <v>5.935849057</v>
      </c>
      <c r="BJ5" s="10">
        <f>IFERROR(__xludf.DUMMYFUNCTION("ifna(QUERY($A$2:$G$2000, ""select G where D="" &amp; BJ$1 &amp; "" and E="" &amp; $I5), QUERY($A$2:$G$2000, ""select G where E="" &amp; BJ$1 &amp; "" and D="" &amp; $I5))"),5.948148148148148)</f>
        <v>5.948148148</v>
      </c>
      <c r="BK5" s="10">
        <f>IFERROR(__xludf.DUMMYFUNCTION("ifna(QUERY($A$2:$G$2000, ""select G where D="" &amp; BK$1 &amp; "" and E="" &amp; $I5), QUERY($A$2:$G$2000, ""select G where E="" &amp; BK$1 &amp; "" and D="" &amp; $I5))"),5.974545454545455)</f>
        <v>5.974545455</v>
      </c>
      <c r="BL5" s="10"/>
      <c r="BM5" s="10"/>
      <c r="BN5" s="10"/>
      <c r="BO5" s="10"/>
    </row>
    <row r="6">
      <c r="A6" s="3">
        <v>2.0</v>
      </c>
      <c r="B6" s="3">
        <v>2.0</v>
      </c>
      <c r="C6" s="3">
        <v>10.0</v>
      </c>
      <c r="D6" s="3">
        <v>4.0</v>
      </c>
      <c r="E6" s="3">
        <v>1.0</v>
      </c>
      <c r="F6" s="11">
        <f t="shared" si="1"/>
        <v>0.2</v>
      </c>
      <c r="G6" s="5">
        <f t="shared" si="2"/>
        <v>1.8</v>
      </c>
      <c r="H6" s="3">
        <v>6.0</v>
      </c>
      <c r="I6" s="2">
        <v>5.0</v>
      </c>
      <c r="J6" s="10">
        <f>IFERROR(__xludf.DUMMYFUNCTION("ifna(QUERY($A$2:$G$2000, ""select G where D="" &amp; J$1 &amp; "" and E="" &amp; $I6), QUERY($A$2:$G$2000, ""select G where E="" &amp; J$1 &amp; "" and D="" &amp; $I6))"),2.3333333333333335)</f>
        <v>2.333333333</v>
      </c>
      <c r="K6" s="10">
        <f>IFERROR(__xludf.DUMMYFUNCTION("ifna(QUERY($A$2:$G$2000, ""select G where D="" &amp; K$1 &amp; "" and E="" &amp; $I6), QUERY($A$2:$G$2000, ""select G where E="" &amp; K$1 &amp; "" and D="" &amp; $I6))"),2.5555555555555554)</f>
        <v>2.555555556</v>
      </c>
      <c r="L6" s="10">
        <f>IFERROR(__xludf.DUMMYFUNCTION("ifna(QUERY($A$2:$G$2000, ""select G where D="" &amp; L$1 &amp; "" and E="" &amp; $I6), QUERY($A$2:$G$2000, ""select G where E="" &amp; L$1 &amp; "" and D="" &amp; $I6))"),2.8333333333333335)</f>
        <v>2.833333333</v>
      </c>
      <c r="M6" s="10">
        <f>IFERROR(__xludf.DUMMYFUNCTION("ifna(QUERY($A$2:$G$2000, ""select G where D="" &amp; M$1 &amp; "" and E="" &amp; $I6), QUERY($A$2:$G$2000, ""select G where E="" &amp; M$1 &amp; "" and D="" &amp; $I6))"),3.1333333333333333)</f>
        <v>3.133333333</v>
      </c>
      <c r="N6" s="10">
        <f>IFERROR(__xludf.DUMMYFUNCTION("ifna(QUERY($A$2:$G$2000, ""select G where D="" &amp; N$1 &amp; "" and E="" &amp; $I6), QUERY($A$2:$G$2000, ""select G where E="" &amp; N$1 &amp; "" and D="" &amp; $I6))"),3.3333333333333335)</f>
        <v>3.333333333</v>
      </c>
      <c r="O6" s="10">
        <f>IFERROR(__xludf.DUMMYFUNCTION("ifna(QUERY($A$2:$G$2000, ""select G where D="" &amp; O$1 &amp; "" and E="" &amp; $I6), QUERY($A$2:$G$2000, ""select G where E="" &amp; O$1 &amp; "" and D="" &amp; $I6))"),3.5714285714285716)</f>
        <v>3.571428571</v>
      </c>
      <c r="P6" s="10">
        <f>IFERROR(__xludf.DUMMYFUNCTION("ifna(QUERY($A$2:$G$2000, ""select G where D="" &amp; P$1 &amp; "" and E="" &amp; $I6), QUERY($A$2:$G$2000, ""select G where E="" &amp; P$1 &amp; "" and D="" &amp; $I6))"),3.75)</f>
        <v>3.75</v>
      </c>
      <c r="Q6" s="10">
        <f>IFERROR(__xludf.DUMMYFUNCTION("ifna(QUERY($A$2:$G$2000, ""select G where D="" &amp; Q$1 &amp; "" and E="" &amp; $I6), QUERY($A$2:$G$2000, ""select G where E="" &amp; Q$1 &amp; "" and D="" &amp; $I6))"),3.851851851851852)</f>
        <v>3.851851852</v>
      </c>
      <c r="R6" s="10">
        <f>IFERROR(__xludf.DUMMYFUNCTION("ifna(QUERY($A$2:$G$2000, ""select G where D="" &amp; R$1 &amp; "" and E="" &amp; $I6), QUERY($A$2:$G$2000, ""select G where E="" &amp; R$1 &amp; "" and D="" &amp; $I6))"),3.933333333333333)</f>
        <v>3.933333333</v>
      </c>
      <c r="S6" s="10">
        <f>IFERROR(__xludf.DUMMYFUNCTION("ifna(QUERY($A$2:$G$2000, ""select G where D="" &amp; S$1 &amp; "" and E="" &amp; $I6), QUERY($A$2:$G$2000, ""select G where E="" &amp; S$1 &amp; "" and D="" &amp; $I6))"),4.0606060606060606)</f>
        <v>4.060606061</v>
      </c>
      <c r="T6" s="10">
        <f>IFERROR(__xludf.DUMMYFUNCTION("ifna(QUERY($A$2:$G$2000, ""select G where D="" &amp; T$1 &amp; "" and E="" &amp; $I6), QUERY($A$2:$G$2000, ""select G where E="" &amp; T$1 &amp; "" and D="" &amp; $I6))"),4.166666666666667)</f>
        <v>4.166666667</v>
      </c>
      <c r="U6" s="10">
        <f>IFERROR(__xludf.DUMMYFUNCTION("ifna(QUERY($A$2:$G$2000, ""select G where D="" &amp; U$1 &amp; "" and E="" &amp; $I6), QUERY($A$2:$G$2000, ""select G where E="" &amp; U$1 &amp; "" and D="" &amp; $I6))"),4.256410256410256)</f>
        <v>4.256410256</v>
      </c>
      <c r="V6" s="10">
        <f>IFERROR(__xludf.DUMMYFUNCTION("ifna(QUERY($A$2:$G$2000, ""select G where D="" &amp; V$1 &amp; "" and E="" &amp; $I6), QUERY($A$2:$G$2000, ""select G where E="" &amp; V$1 &amp; "" and D="" &amp; $I6))"),4.380952380952381)</f>
        <v>4.380952381</v>
      </c>
      <c r="W6" s="10">
        <f>IFERROR(__xludf.DUMMYFUNCTION("ifna(QUERY($A$2:$G$2000, ""select G where D="" &amp; W$1 &amp; "" and E="" &amp; $I6), QUERY($A$2:$G$2000, ""select G where E="" &amp; W$1 &amp; "" and D="" &amp; $I6))"),4.488888888888889)</f>
        <v>4.488888889</v>
      </c>
      <c r="X6" s="10">
        <f>IFERROR(__xludf.DUMMYFUNCTION("ifna(QUERY($A$2:$G$2000, ""select G where D="" &amp; X$1 &amp; "" and E="" &amp; $I6), QUERY($A$2:$G$2000, ""select G where E="" &amp; X$1 &amp; "" and D="" &amp; $I6))"),4.583333333333333)</f>
        <v>4.583333333</v>
      </c>
      <c r="Y6" s="10">
        <f>IFERROR(__xludf.DUMMYFUNCTION("ifna(QUERY($A$2:$G$2000, ""select G where D="" &amp; Y$1 &amp; "" and E="" &amp; $I6), QUERY($A$2:$G$2000, ""select G where E="" &amp; Y$1 &amp; "" and D="" &amp; $I6))"),4.666666666666667)</f>
        <v>4.666666667</v>
      </c>
      <c r="Z6" s="10">
        <f>IFERROR(__xludf.DUMMYFUNCTION("ifna(QUERY($A$2:$G$2000, ""select G where D="" &amp; Z$1 &amp; "" and E="" &amp; $I6), QUERY($A$2:$G$2000, ""select G where E="" &amp; Z$1 &amp; "" and D="" &amp; $I6))"),4.7407407407407405)</f>
        <v>4.740740741</v>
      </c>
      <c r="AA6" s="10">
        <f>IFERROR(__xludf.DUMMYFUNCTION("ifna(QUERY($A$2:$G$2000, ""select G where D="" &amp; AA$1 &amp; "" and E="" &amp; $I6), QUERY($A$2:$G$2000, ""select G where E="" &amp; AA$1 &amp; "" and D="" &amp; $I6))"),4.807017543859649)</f>
        <v>4.807017544</v>
      </c>
      <c r="AB6" s="10">
        <f>IFERROR(__xludf.DUMMYFUNCTION("ifna(QUERY($A$2:$G$2000, ""select G where D="" &amp; AB$1 &amp; "" and E="" &amp; $I6), QUERY($A$2:$G$2000, ""select G where E="" &amp; AB$1 &amp; "" and D="" &amp; $I6))"),4.866666666666666)</f>
        <v>4.866666667</v>
      </c>
      <c r="AC6" s="10">
        <f>IFERROR(__xludf.DUMMYFUNCTION("ifna(QUERY($A$2:$G$2000, ""select G where D="" &amp; AC$1 &amp; "" and E="" &amp; $I6), QUERY($A$2:$G$2000, ""select G where E="" &amp; AC$1 &amp; "" and D="" &amp; $I6))"),4.904761904761905)</f>
        <v>4.904761905</v>
      </c>
      <c r="AD6" s="10">
        <f>IFERROR(__xludf.DUMMYFUNCTION("ifna(QUERY($A$2:$G$2000, ""select G where D="" &amp; AD$1 &amp; "" and E="" &amp; $I6), QUERY($A$2:$G$2000, ""select G where E="" &amp; AD$1 &amp; "" and D="" &amp; $I6))"),4.9393939393939394)</f>
        <v>4.939393939</v>
      </c>
      <c r="AE6" s="10">
        <f>IFERROR(__xludf.DUMMYFUNCTION("ifna(QUERY($A$2:$G$2000, ""select G where D="" &amp; AE$1 &amp; "" and E="" &amp; $I6), QUERY($A$2:$G$2000, ""select G where E="" &amp; AE$1 &amp; "" and D="" &amp; $I6))"),4.956521739130435)</f>
        <v>4.956521739</v>
      </c>
      <c r="AF6" s="10">
        <f>IFERROR(__xludf.DUMMYFUNCTION("ifna(QUERY($A$2:$G$2000, ""select G where D="" &amp; AF$1 &amp; "" and E="" &amp; $I6), QUERY($A$2:$G$2000, ""select G where E="" &amp; AF$1 &amp; "" and D="" &amp; $I6))"),5.027777777777778)</f>
        <v>5.027777778</v>
      </c>
      <c r="AG6" s="10">
        <f>IFERROR(__xludf.DUMMYFUNCTION("ifna(QUERY($A$2:$G$2000, ""select G where D="" &amp; AG$1 &amp; "" and E="" &amp; $I6), QUERY($A$2:$G$2000, ""select G where E="" &amp; AG$1 &amp; "" and D="" &amp; $I6))"),5.053333333333334)</f>
        <v>5.053333333</v>
      </c>
      <c r="AH6" s="10">
        <f>IFERROR(__xludf.DUMMYFUNCTION("ifna(QUERY($A$2:$G$2000, ""select G where D="" &amp; AH$1 &amp; "" and E="" &amp; $I6), QUERY($A$2:$G$2000, ""select G where E="" &amp; AH$1 &amp; "" and D="" &amp; $I6))"),5.102564102564102)</f>
        <v>5.102564103</v>
      </c>
      <c r="AI6" s="10">
        <f>IFERROR(__xludf.DUMMYFUNCTION("ifna(QUERY($A$2:$G$2000, ""select G where D="" &amp; AI$1 &amp; "" and E="" &amp; $I6), QUERY($A$2:$G$2000, ""select G where E="" &amp; AI$1 &amp; "" and D="" &amp; $I6))"),5.148148148148148)</f>
        <v>5.148148148</v>
      </c>
      <c r="AJ6" s="10">
        <f>IFERROR(__xludf.DUMMYFUNCTION("ifna(QUERY($A$2:$G$2000, ""select G where D="" &amp; AJ$1 &amp; "" and E="" &amp; $I6), QUERY($A$2:$G$2000, ""select G where E="" &amp; AJ$1 &amp; "" and D="" &amp; $I6))"),5.190476190476191)</f>
        <v>5.19047619</v>
      </c>
      <c r="AK6" s="10">
        <f>IFERROR(__xludf.DUMMYFUNCTION("ifna(QUERY($A$2:$G$2000, ""select G where D="" &amp; AK$1 &amp; "" and E="" &amp; $I6), QUERY($A$2:$G$2000, ""select G where E="" &amp; AK$1 &amp; "" and D="" &amp; $I6))"),5.252873563218391)</f>
        <v>5.252873563</v>
      </c>
      <c r="AL6" s="10">
        <f>IFERROR(__xludf.DUMMYFUNCTION("ifna(QUERY($A$2:$G$2000, ""select G where D="" &amp; AL$1 &amp; "" and E="" &amp; $I6), QUERY($A$2:$G$2000, ""select G where E="" &amp; AL$1 &amp; "" and D="" &amp; $I6))"),5.311111111111111)</f>
        <v>5.311111111</v>
      </c>
      <c r="AM6" s="10">
        <f>IFERROR(__xludf.DUMMYFUNCTION("ifna(QUERY($A$2:$G$2000, ""select G where D="" &amp; AM$1 &amp; "" and E="" &amp; $I6), QUERY($A$2:$G$2000, ""select G where E="" &amp; AM$1 &amp; "" and D="" &amp; $I6))"),5.365591397849462)</f>
        <v>5.365591398</v>
      </c>
      <c r="AN6" s="10">
        <f>IFERROR(__xludf.DUMMYFUNCTION("ifna(QUERY($A$2:$G$2000, ""select G where D="" &amp; AN$1 &amp; "" and E="" &amp; $I6), QUERY($A$2:$G$2000, ""select G where E="" &amp; AN$1 &amp; "" and D="" &amp; $I6))"),5.416666666666667)</f>
        <v>5.416666667</v>
      </c>
      <c r="AO6" s="10">
        <f>IFERROR(__xludf.DUMMYFUNCTION("ifna(QUERY($A$2:$G$2000, ""select G where D="" &amp; AO$1 &amp; "" and E="" &amp; $I6), QUERY($A$2:$G$2000, ""select G where E="" &amp; AO$1 &amp; "" and D="" &amp; $I6))"),5.4646464646464645)</f>
        <v>5.464646465</v>
      </c>
      <c r="AP6" s="10">
        <f>IFERROR(__xludf.DUMMYFUNCTION("ifna(QUERY($A$2:$G$2000, ""select G where D="" &amp; AP$1 &amp; "" and E="" &amp; $I6), QUERY($A$2:$G$2000, ""select G where E="" &amp; AP$1 &amp; "" and D="" &amp; $I6))"),5.509803921568627)</f>
        <v>5.509803922</v>
      </c>
      <c r="AQ6" s="10">
        <f>IFERROR(__xludf.DUMMYFUNCTION("ifna(QUERY($A$2:$G$2000, ""select G where D="" &amp; AQ$1 &amp; "" and E="" &amp; $I6), QUERY($A$2:$G$2000, ""select G where E="" &amp; AQ$1 &amp; "" and D="" &amp; $I6))"),5.552380952380952)</f>
        <v>5.552380952</v>
      </c>
      <c r="AR6" s="10">
        <f>IFERROR(__xludf.DUMMYFUNCTION("ifna(QUERY($A$2:$G$2000, ""select G where D="" &amp; AR$1 &amp; "" and E="" &amp; $I6), QUERY($A$2:$G$2000, ""select G where E="" &amp; AR$1 &amp; "" and D="" &amp; $I6))"),5.592592592592593)</f>
        <v>5.592592593</v>
      </c>
      <c r="AS6" s="10">
        <f>IFERROR(__xludf.DUMMYFUNCTION("ifna(QUERY($A$2:$G$2000, ""select G where D="" &amp; AS$1 &amp; "" and E="" &amp; $I6), QUERY($A$2:$G$2000, ""select G where E="" &amp; AS$1 &amp; "" and D="" &amp; $I6))"),5.63063063063063)</f>
        <v>5.630630631</v>
      </c>
      <c r="AT6" s="10">
        <f>IFERROR(__xludf.DUMMYFUNCTION("ifna(QUERY($A$2:$G$2000, ""select G where D="" &amp; AT$1 &amp; "" and E="" &amp; $I6), QUERY($A$2:$G$2000, ""select G where E="" &amp; AT$1 &amp; "" and D="" &amp; $I6))"),5.666666666666667)</f>
        <v>5.666666667</v>
      </c>
      <c r="AU6" s="10">
        <f>IFERROR(__xludf.DUMMYFUNCTION("ifna(QUERY($A$2:$G$2000, ""select G where D="" &amp; AU$1 &amp; "" and E="" &amp; $I6), QUERY($A$2:$G$2000, ""select G where E="" &amp; AU$1 &amp; "" and D="" &amp; $I6))"),5.700854700854701)</f>
        <v>5.700854701</v>
      </c>
      <c r="AV6" s="10">
        <f>IFERROR(__xludf.DUMMYFUNCTION("ifna(QUERY($A$2:$G$2000, ""select G where D="" &amp; AV$1 &amp; "" and E="" &amp; $I6), QUERY($A$2:$G$2000, ""select G where E="" &amp; AV$1 &amp; "" and D="" &amp; $I6))"),5.733333333333333)</f>
        <v>5.733333333</v>
      </c>
      <c r="AW6" s="10">
        <f>IFERROR(__xludf.DUMMYFUNCTION("ifna(QUERY($A$2:$G$2000, ""select G where D="" &amp; AW$1 &amp; "" and E="" &amp; $I6), QUERY($A$2:$G$2000, ""select G where E="" &amp; AW$1 &amp; "" and D="" &amp; $I6))"),5.764227642276423)</f>
        <v>5.764227642</v>
      </c>
      <c r="AX6" s="10">
        <f>IFERROR(__xludf.DUMMYFUNCTION("ifna(QUERY($A$2:$G$2000, ""select G where D="" &amp; AX$1 &amp; "" and E="" &amp; $I6), QUERY($A$2:$G$2000, ""select G where E="" &amp; AX$1 &amp; "" and D="" &amp; $I6))"),5.7936507936507935)</f>
        <v>5.793650794</v>
      </c>
      <c r="AY6" s="10">
        <f>IFERROR(__xludf.DUMMYFUNCTION("ifna(QUERY($A$2:$G$2000, ""select G where D="" &amp; AY$1 &amp; "" and E="" &amp; $I6), QUERY($A$2:$G$2000, ""select G where E="" &amp; AY$1 &amp; "" and D="" &amp; $I6))"),5.821705426356589)</f>
        <v>5.821705426</v>
      </c>
      <c r="AZ6" s="10">
        <f>IFERROR(__xludf.DUMMYFUNCTION("ifna(QUERY($A$2:$G$2000, ""select G where D="" &amp; AZ$1 &amp; "" and E="" &amp; $I6), QUERY($A$2:$G$2000, ""select G where E="" &amp; AZ$1 &amp; "" and D="" &amp; $I6))"),5.848484848484849)</f>
        <v>5.848484848</v>
      </c>
      <c r="BA6" s="10">
        <f>IFERROR(__xludf.DUMMYFUNCTION("ifna(QUERY($A$2:$G$2000, ""select G where D="" &amp; BA$1 &amp; "" and E="" &amp; $I6), QUERY($A$2:$G$2000, ""select G where E="" &amp; BA$1 &amp; "" and D="" &amp; $I6))"),5.874074074074074)</f>
        <v>5.874074074</v>
      </c>
      <c r="BB6" s="10">
        <f>IFERROR(__xludf.DUMMYFUNCTION("ifna(QUERY($A$2:$G$2000, ""select G where D="" &amp; BB$1 &amp; "" and E="" &amp; $I6), QUERY($A$2:$G$2000, ""select G where E="" &amp; BB$1 &amp; "" and D="" &amp; $I6))"),5.898550724637682)</f>
        <v>5.898550725</v>
      </c>
      <c r="BC6" s="10">
        <f>IFERROR(__xludf.DUMMYFUNCTION("ifna(QUERY($A$2:$G$2000, ""select G where D="" &amp; BC$1 &amp; "" and E="" &amp; $I6), QUERY($A$2:$G$2000, ""select G where E="" &amp; BC$1 &amp; "" and D="" &amp; $I6))"),5.914893617021277)</f>
        <v>5.914893617</v>
      </c>
      <c r="BD6" s="10">
        <f>IFERROR(__xludf.DUMMYFUNCTION("ifna(QUERY($A$2:$G$2000, ""select G where D="" &amp; BD$1 &amp; "" and E="" &amp; $I6), QUERY($A$2:$G$2000, ""select G where E="" &amp; BD$1 &amp; "" and D="" &amp; $I6))"),5.930555555555555)</f>
        <v>5.930555556</v>
      </c>
      <c r="BE6" s="10">
        <f>IFERROR(__xludf.DUMMYFUNCTION("ifna(QUERY($A$2:$G$2000, ""select G where D="" &amp; BE$1 &amp; "" and E="" &amp; $I6), QUERY($A$2:$G$2000, ""select G where E="" &amp; BE$1 &amp; "" and D="" &amp; $I6))"),5.945578231292517)</f>
        <v>5.945578231</v>
      </c>
      <c r="BF6" s="10">
        <f>IFERROR(__xludf.DUMMYFUNCTION("ifna(QUERY($A$2:$G$2000, ""select G where D="" &amp; BF$1 &amp; "" and E="" &amp; $I6), QUERY($A$2:$G$2000, ""select G where E="" &amp; BF$1 &amp; "" and D="" &amp; $I6))"),5.96)</f>
        <v>5.96</v>
      </c>
      <c r="BG6" s="10">
        <f>IFERROR(__xludf.DUMMYFUNCTION("ifna(QUERY($A$2:$G$2000, ""select G where D="" &amp; BG$1 &amp; "" and E="" &amp; $I6), QUERY($A$2:$G$2000, ""select G where E="" &amp; BG$1 &amp; "" and D="" &amp; $I6))"),5.967320261437909)</f>
        <v>5.967320261</v>
      </c>
      <c r="BH6" s="10">
        <f>IFERROR(__xludf.DUMMYFUNCTION("ifna(QUERY($A$2:$G$2000, ""select G where D="" &amp; BH$1 &amp; "" and E="" &amp; $I6), QUERY($A$2:$G$2000, ""select G where E="" &amp; BH$1 &amp; "" and D="" &amp; $I6))"),6.012820512820513)</f>
        <v>6.012820513</v>
      </c>
      <c r="BI6" s="10">
        <f>IFERROR(__xludf.DUMMYFUNCTION("ifna(QUERY($A$2:$G$2000, ""select G where D="" &amp; BI$1 &amp; "" and E="" &amp; $I6), QUERY($A$2:$G$2000, ""select G where E="" &amp; BI$1 &amp; "" and D="" &amp; $I6))"),6.0251572327044025)</f>
        <v>6.025157233</v>
      </c>
      <c r="BJ6" s="10">
        <f>IFERROR(__xludf.DUMMYFUNCTION("ifna(QUERY($A$2:$G$2000, ""select G where D="" &amp; BJ$1 &amp; "" and E="" &amp; $I6), QUERY($A$2:$G$2000, ""select G where E="" &amp; BJ$1 &amp; "" and D="" &amp; $I6))"),6.037037037037037)</f>
        <v>6.037037037</v>
      </c>
      <c r="BK6" s="10">
        <f>IFERROR(__xludf.DUMMYFUNCTION("ifna(QUERY($A$2:$G$2000, ""select G where D="" &amp; BK$1 &amp; "" and E="" &amp; $I6), QUERY($A$2:$G$2000, ""select G where E="" &amp; BK$1 &amp; "" and D="" &amp; $I6))"),6.048484848484849)</f>
        <v>6.048484848</v>
      </c>
      <c r="BL6" s="10"/>
      <c r="BM6" s="10"/>
      <c r="BN6" s="10"/>
      <c r="BO6" s="10"/>
    </row>
    <row r="7">
      <c r="A7" s="3">
        <v>3.0</v>
      </c>
      <c r="B7" s="3">
        <v>12.0</v>
      </c>
      <c r="C7" s="3">
        <v>16.0</v>
      </c>
      <c r="D7" s="3">
        <v>3.0</v>
      </c>
      <c r="E7" s="3">
        <v>3.0</v>
      </c>
      <c r="F7" s="11">
        <f t="shared" si="1"/>
        <v>0.75</v>
      </c>
      <c r="G7" s="5">
        <f t="shared" si="2"/>
        <v>2.25</v>
      </c>
      <c r="H7" s="3">
        <v>7.0</v>
      </c>
      <c r="I7" s="2">
        <v>6.0</v>
      </c>
      <c r="J7" s="10">
        <f>IFERROR(__xludf.DUMMYFUNCTION("ifna(QUERY($A$2:$G$2000, ""select G where D="" &amp; J$1 &amp; "" and E="" &amp; $I7), QUERY($A$2:$G$2000, ""select G where E="" &amp; J$1 &amp; "" and D="" &amp; $I7))"),2.5714285714285716)</f>
        <v>2.571428571</v>
      </c>
      <c r="K7" s="10">
        <f>IFERROR(__xludf.DUMMYFUNCTION("ifna(QUERY($A$2:$G$2000, ""select G where D="" &amp; K$1 &amp; "" and E="" &amp; $I7), QUERY($A$2:$G$2000, ""select G where E="" &amp; K$1 &amp; "" and D="" &amp; $I7))"),2.761904761904762)</f>
        <v>2.761904762</v>
      </c>
      <c r="L7" s="10">
        <f>IFERROR(__xludf.DUMMYFUNCTION("ifna(QUERY($A$2:$G$2000, ""select G where D="" &amp; L$1 &amp; "" and E="" &amp; $I7), QUERY($A$2:$G$2000, ""select G where E="" &amp; L$1 &amp; "" and D="" &amp; $I7))"),3.142857142857143)</f>
        <v>3.142857143</v>
      </c>
      <c r="M7" s="10">
        <f>IFERROR(__xludf.DUMMYFUNCTION("ifna(QUERY($A$2:$G$2000, ""select G where D="" &amp; M$1 &amp; "" and E="" &amp; $I7), QUERY($A$2:$G$2000, ""select G where E="" &amp; M$1 &amp; "" and D="" &amp; $I7))"),3.342857142857143)</f>
        <v>3.342857143</v>
      </c>
      <c r="N7" s="10">
        <f>IFERROR(__xludf.DUMMYFUNCTION("ifna(QUERY($A$2:$G$2000, ""select G where D="" &amp; N$1 &amp; "" and E="" &amp; $I7), QUERY($A$2:$G$2000, ""select G where E="" &amp; N$1 &amp; "" and D="" &amp; $I7))"),3.5714285714285716)</f>
        <v>3.571428571</v>
      </c>
      <c r="O7" s="10">
        <f>IFERROR(__xludf.DUMMYFUNCTION("ifna(QUERY($A$2:$G$2000, ""select G where D="" &amp; O$1 &amp; "" and E="" &amp; $I7), QUERY($A$2:$G$2000, ""select G where E="" &amp; O$1 &amp; "" and D="" &amp; $I7))"),3.7346938775510203)</f>
        <v>3.734693878</v>
      </c>
      <c r="P7" s="10">
        <f>IFERROR(__xludf.DUMMYFUNCTION("ifna(QUERY($A$2:$G$2000, ""select G where D="" &amp; P$1 &amp; "" and E="" &amp; $I7), QUERY($A$2:$G$2000, ""select G where E="" &amp; P$1 &amp; "" and D="" &amp; $I7))"),3.857142857142857)</f>
        <v>3.857142857</v>
      </c>
      <c r="Q7" s="10">
        <f>IFERROR(__xludf.DUMMYFUNCTION("ifna(QUERY($A$2:$G$2000, ""select G where D="" &amp; Q$1 &amp; "" and E="" &amp; $I7), QUERY($A$2:$G$2000, ""select G where E="" &amp; Q$1 &amp; "" and D="" &amp; $I7))"),4.063492063492063)</f>
        <v>4.063492063</v>
      </c>
      <c r="R7" s="10">
        <f>IFERROR(__xludf.DUMMYFUNCTION("ifna(QUERY($A$2:$G$2000, ""select G where D="" &amp; R$1 &amp; "" and E="" &amp; $I7), QUERY($A$2:$G$2000, ""select G where E="" &amp; R$1 &amp; "" and D="" &amp; $I7))"),4.114285714285714)</f>
        <v>4.114285714</v>
      </c>
      <c r="S7" s="10">
        <f>IFERROR(__xludf.DUMMYFUNCTION("ifna(QUERY($A$2:$G$2000, ""select G where D="" &amp; S$1 &amp; "" and E="" &amp; $I7), QUERY($A$2:$G$2000, ""select G where E="" &amp; S$1 &amp; "" and D="" &amp; $I7))"),4.207792207792208)</f>
        <v>4.207792208</v>
      </c>
      <c r="T7" s="10">
        <f>IFERROR(__xludf.DUMMYFUNCTION("ifna(QUERY($A$2:$G$2000, ""select G where D="" &amp; T$1 &amp; "" and E="" &amp; $I7), QUERY($A$2:$G$2000, ""select G where E="" &amp; T$1 &amp; "" and D="" &amp; $I7))"),4.333333333333333)</f>
        <v>4.333333333</v>
      </c>
      <c r="U7" s="10">
        <f>IFERROR(__xludf.DUMMYFUNCTION("ifna(QUERY($A$2:$G$2000, ""select G where D="" &amp; U$1 &amp; "" and E="" &amp; $I7), QUERY($A$2:$G$2000, ""select G where E="" &amp; U$1 &amp; "" and D="" &amp; $I7))"),4.43956043956044)</f>
        <v>4.43956044</v>
      </c>
      <c r="V7" s="10">
        <f>IFERROR(__xludf.DUMMYFUNCTION("ifna(QUERY($A$2:$G$2000, ""select G where D="" &amp; V$1 &amp; "" and E="" &amp; $I7), QUERY($A$2:$G$2000, ""select G where E="" &amp; V$1 &amp; "" and D="" &amp; $I7))"),4.551020408163265)</f>
        <v>4.551020408</v>
      </c>
      <c r="W7" s="10">
        <f>IFERROR(__xludf.DUMMYFUNCTION("ifna(QUERY($A$2:$G$2000, ""select G where D="" &amp; W$1 &amp; "" and E="" &amp; $I7), QUERY($A$2:$G$2000, ""select G where E="" &amp; W$1 &amp; "" and D="" &amp; $I7))"),4.647619047619048)</f>
        <v>4.647619048</v>
      </c>
      <c r="X7" s="10">
        <f>IFERROR(__xludf.DUMMYFUNCTION("ifna(QUERY($A$2:$G$2000, ""select G where D="" &amp; X$1 &amp; "" and E="" &amp; $I7), QUERY($A$2:$G$2000, ""select G where E="" &amp; X$1 &amp; "" and D="" &amp; $I7))"),4.732142857142857)</f>
        <v>4.732142857</v>
      </c>
      <c r="Y7" s="10">
        <f>IFERROR(__xludf.DUMMYFUNCTION("ifna(QUERY($A$2:$G$2000, ""select G where D="" &amp; Y$1 &amp; "" and E="" &amp; $I7), QUERY($A$2:$G$2000, ""select G where E="" &amp; Y$1 &amp; "" and D="" &amp; $I7))"),4.7899159663865545)</f>
        <v>4.789915966</v>
      </c>
      <c r="Z7" s="10">
        <f>IFERROR(__xludf.DUMMYFUNCTION("ifna(QUERY($A$2:$G$2000, ""select G where D="" &amp; Z$1 &amp; "" and E="" &amp; $I7), QUERY($A$2:$G$2000, ""select G where E="" &amp; Z$1 &amp; "" and D="" &amp; $I7))"),4.841269841269841)</f>
        <v>4.841269841</v>
      </c>
      <c r="AA7" s="10">
        <f>IFERROR(__xludf.DUMMYFUNCTION("ifna(QUERY($A$2:$G$2000, ""select G where D="" &amp; AA$1 &amp; "" and E="" &amp; $I7), QUERY($A$2:$G$2000, ""select G where E="" &amp; AA$1 &amp; "" and D="" &amp; $I7))"),4.887218045112782)</f>
        <v>4.887218045</v>
      </c>
      <c r="AB7" s="10">
        <f>IFERROR(__xludf.DUMMYFUNCTION("ifna(QUERY($A$2:$G$2000, ""select G where D="" &amp; AB$1 &amp; "" and E="" &amp; $I7), QUERY($A$2:$G$2000, ""select G where E="" &amp; AB$1 &amp; "" and D="" &amp; $I7))"),4.942857142857143)</f>
        <v>4.942857143</v>
      </c>
      <c r="AC7" s="10">
        <f>IFERROR(__xludf.DUMMYFUNCTION("ifna(QUERY($A$2:$G$2000, ""select G where D="" &amp; AC$1 &amp; "" and E="" &amp; $I7), QUERY($A$2:$G$2000, ""select G where E="" &amp; AC$1 &amp; "" and D="" &amp; $I7))"),5.0272108843537415)</f>
        <v>5.027210884</v>
      </c>
      <c r="AD7" s="10">
        <f>IFERROR(__xludf.DUMMYFUNCTION("ifna(QUERY($A$2:$G$2000, ""select G where D="" &amp; AD$1 &amp; "" and E="" &amp; $I7), QUERY($A$2:$G$2000, ""select G where E="" &amp; AD$1 &amp; "" and D="" &amp; $I7))"),5.051948051948052)</f>
        <v>5.051948052</v>
      </c>
      <c r="AE7" s="10">
        <f>IFERROR(__xludf.DUMMYFUNCTION("ifna(QUERY($A$2:$G$2000, ""select G where D="" &amp; AE$1 &amp; "" and E="" &amp; $I7), QUERY($A$2:$G$2000, ""select G where E="" &amp; AE$1 &amp; "" and D="" &amp; $I7))"),5.074534161490683)</f>
        <v>5.074534161</v>
      </c>
      <c r="AF7" s="10">
        <f>IFERROR(__xludf.DUMMYFUNCTION("ifna(QUERY($A$2:$G$2000, ""select G where D="" &amp; AF$1 &amp; "" and E="" &amp; $I7), QUERY($A$2:$G$2000, ""select G where E="" &amp; AF$1 &amp; "" and D="" &amp; $I7))"),5.119047619047619)</f>
        <v>5.119047619</v>
      </c>
      <c r="AG7" s="10">
        <f>IFERROR(__xludf.DUMMYFUNCTION("ifna(QUERY($A$2:$G$2000, ""select G where D="" &amp; AG$1 &amp; "" and E="" &amp; $I7), QUERY($A$2:$G$2000, ""select G where E="" &amp; AG$1 &amp; "" and D="" &amp; $I7))"),5.16)</f>
        <v>5.16</v>
      </c>
      <c r="AH7" s="10">
        <f>IFERROR(__xludf.DUMMYFUNCTION("ifna(QUERY($A$2:$G$2000, ""select G where D="" &amp; AH$1 &amp; "" and E="" &amp; $I7), QUERY($A$2:$G$2000, ""select G where E="" &amp; AH$1 &amp; "" and D="" &amp; $I7))"),5.21978021978022)</f>
        <v>5.21978022</v>
      </c>
      <c r="AI7" s="10">
        <f>IFERROR(__xludf.DUMMYFUNCTION("ifna(QUERY($A$2:$G$2000, ""select G where D="" &amp; AI$1 &amp; "" and E="" &amp; $I7), QUERY($A$2:$G$2000, ""select G where E="" &amp; AI$1 &amp; "" and D="" &amp; $I7))"),5.275132275132275)</f>
        <v>5.275132275</v>
      </c>
      <c r="AJ7" s="10">
        <f>IFERROR(__xludf.DUMMYFUNCTION("ifna(QUERY($A$2:$G$2000, ""select G where D="" &amp; AJ$1 &amp; "" and E="" &amp; $I7), QUERY($A$2:$G$2000, ""select G where E="" &amp; AJ$1 &amp; "" and D="" &amp; $I7))"),5.326530612244898)</f>
        <v>5.326530612</v>
      </c>
      <c r="AK7" s="10">
        <f>IFERROR(__xludf.DUMMYFUNCTION("ifna(QUERY($A$2:$G$2000, ""select G where D="" &amp; AK$1 &amp; "" and E="" &amp; $I7), QUERY($A$2:$G$2000, ""select G where E="" &amp; AK$1 &amp; "" and D="" &amp; $I7))"),5.384236453201971)</f>
        <v>5.384236453</v>
      </c>
      <c r="AL7" s="10">
        <f>IFERROR(__xludf.DUMMYFUNCTION("ifna(QUERY($A$2:$G$2000, ""select G where D="" &amp; AL$1 &amp; "" and E="" &amp; $I7), QUERY($A$2:$G$2000, ""select G where E="" &amp; AL$1 &amp; "" and D="" &amp; $I7))"),5.438095238095238)</f>
        <v>5.438095238</v>
      </c>
      <c r="AM7" s="10">
        <f>IFERROR(__xludf.DUMMYFUNCTION("ifna(QUERY($A$2:$G$2000, ""select G where D="" &amp; AM$1 &amp; "" and E="" &amp; $I7), QUERY($A$2:$G$2000, ""select G where E="" &amp; AM$1 &amp; "" and D="" &amp; $I7))"),5.488479262672811)</f>
        <v>5.488479263</v>
      </c>
      <c r="AN7" s="10">
        <f>IFERROR(__xludf.DUMMYFUNCTION("ifna(QUERY($A$2:$G$2000, ""select G where D="" &amp; AN$1 &amp; "" and E="" &amp; $I7), QUERY($A$2:$G$2000, ""select G where E="" &amp; AN$1 &amp; "" and D="" &amp; $I7))"),5.535714285714286)</f>
        <v>5.535714286</v>
      </c>
      <c r="AO7" s="10">
        <f>IFERROR(__xludf.DUMMYFUNCTION("ifna(QUERY($A$2:$G$2000, ""select G where D="" &amp; AO$1 &amp; "" and E="" &amp; $I7), QUERY($A$2:$G$2000, ""select G where E="" &amp; AO$1 &amp; "" and D="" &amp; $I7))"),5.58008658008658)</f>
        <v>5.58008658</v>
      </c>
      <c r="AP7" s="10">
        <f>IFERROR(__xludf.DUMMYFUNCTION("ifna(QUERY($A$2:$G$2000, ""select G where D="" &amp; AP$1 &amp; "" and E="" &amp; $I7), QUERY($A$2:$G$2000, ""select G where E="" &amp; AP$1 &amp; "" and D="" &amp; $I7))"),5.621848739495798)</f>
        <v>5.621848739</v>
      </c>
      <c r="AQ7" s="10">
        <f>IFERROR(__xludf.DUMMYFUNCTION("ifna(QUERY($A$2:$G$2000, ""select G where D="" &amp; AQ$1 &amp; "" and E="" &amp; $I7), QUERY($A$2:$G$2000, ""select G where E="" &amp; AQ$1 &amp; "" and D="" &amp; $I7))"),5.661224489795918)</f>
        <v>5.66122449</v>
      </c>
      <c r="AR7" s="10">
        <f>IFERROR(__xludf.DUMMYFUNCTION("ifna(QUERY($A$2:$G$2000, ""select G where D="" &amp; AR$1 &amp; "" and E="" &amp; $I7), QUERY($A$2:$G$2000, ""select G where E="" &amp; AR$1 &amp; "" and D="" &amp; $I7))"),5.698412698412699)</f>
        <v>5.698412698</v>
      </c>
      <c r="AS7" s="10">
        <f>IFERROR(__xludf.DUMMYFUNCTION("ifna(QUERY($A$2:$G$2000, ""select G where D="" &amp; AS$1 &amp; "" and E="" &amp; $I7), QUERY($A$2:$G$2000, ""select G where E="" &amp; AS$1 &amp; "" and D="" &amp; $I7))"),5.7335907335907335)</f>
        <v>5.733590734</v>
      </c>
      <c r="AT7" s="10">
        <f>IFERROR(__xludf.DUMMYFUNCTION("ifna(QUERY($A$2:$G$2000, ""select G where D="" &amp; AT$1 &amp; "" and E="" &amp; $I7), QUERY($A$2:$G$2000, ""select G where E="" &amp; AT$1 &amp; "" and D="" &amp; $I7))"),5.7669172932330826)</f>
        <v>5.766917293</v>
      </c>
      <c r="AU7" s="10">
        <f>IFERROR(__xludf.DUMMYFUNCTION("ifna(QUERY($A$2:$G$2000, ""select G where D="" &amp; AU$1 &amp; "" and E="" &amp; $I7), QUERY($A$2:$G$2000, ""select G where E="" &amp; AU$1 &amp; "" and D="" &amp; $I7))"),5.798534798534798)</f>
        <v>5.798534799</v>
      </c>
      <c r="AV7" s="10">
        <f>IFERROR(__xludf.DUMMYFUNCTION("ifna(QUERY($A$2:$G$2000, ""select G where D="" &amp; AV$1 &amp; "" and E="" &amp; $I7), QUERY($A$2:$G$2000, ""select G where E="" &amp; AV$1 &amp; "" and D="" &amp; $I7))"),5.828571428571428)</f>
        <v>5.828571429</v>
      </c>
      <c r="AW7" s="10">
        <f>IFERROR(__xludf.DUMMYFUNCTION("ifna(QUERY($A$2:$G$2000, ""select G where D="" &amp; AW$1 &amp; "" and E="" &amp; $I7), QUERY($A$2:$G$2000, ""select G where E="" &amp; AW$1 &amp; "" and D="" &amp; $I7))"),5.850174216027875)</f>
        <v>5.850174216</v>
      </c>
      <c r="AX7" s="10">
        <f>IFERROR(__xludf.DUMMYFUNCTION("ifna(QUERY($A$2:$G$2000, ""select G where D="" &amp; AX$1 &amp; "" and E="" &amp; $I7), QUERY($A$2:$G$2000, ""select G where E="" &amp; AX$1 &amp; "" and D="" &amp; $I7))"),5.870748299319728)</f>
        <v>5.870748299</v>
      </c>
      <c r="AY7" s="10">
        <f>IFERROR(__xludf.DUMMYFUNCTION("ifna(QUERY($A$2:$G$2000, ""select G where D="" &amp; AY$1 &amp; "" and E="" &amp; $I7), QUERY($A$2:$G$2000, ""select G where E="" &amp; AY$1 &amp; "" and D="" &amp; $I7))"),5.8903654485049834)</f>
        <v>5.890365449</v>
      </c>
      <c r="AZ7" s="10">
        <f>IFERROR(__xludf.DUMMYFUNCTION("ifna(QUERY($A$2:$G$2000, ""select G where D="" &amp; AZ$1 &amp; "" and E="" &amp; $I7), QUERY($A$2:$G$2000, ""select G where E="" &amp; AZ$1 &amp; "" and D="" &amp; $I7))"),5.909090909090909)</f>
        <v>5.909090909</v>
      </c>
      <c r="BA7" s="10">
        <f>IFERROR(__xludf.DUMMYFUNCTION("ifna(QUERY($A$2:$G$2000, ""select G where D="" &amp; BA$1 &amp; "" and E="" &amp; $I7), QUERY($A$2:$G$2000, ""select G where E="" &amp; BA$1 &amp; "" and D="" &amp; $I7))"),5.926984126984127)</f>
        <v>5.926984127</v>
      </c>
      <c r="BB7" s="10">
        <f>IFERROR(__xludf.DUMMYFUNCTION("ifna(QUERY($A$2:$G$2000, ""select G where D="" &amp; BB$1 &amp; "" and E="" &amp; $I7), QUERY($A$2:$G$2000, ""select G where E="" &amp; BB$1 &amp; "" and D="" &amp; $I7))"),5.944099378881988)</f>
        <v>5.944099379</v>
      </c>
      <c r="BC7" s="10">
        <f>IFERROR(__xludf.DUMMYFUNCTION("ifna(QUERY($A$2:$G$2000, ""select G where D="" &amp; BC$1 &amp; "" and E="" &amp; $I7), QUERY($A$2:$G$2000, ""select G where E="" &amp; BC$1 &amp; "" and D="" &amp; $I7))"),5.9878419452887535)</f>
        <v>5.987841945</v>
      </c>
      <c r="BD7" s="10">
        <f>IFERROR(__xludf.DUMMYFUNCTION("ifna(QUERY($A$2:$G$2000, ""select G where D="" &amp; BD$1 &amp; "" and E="" &amp; $I7), QUERY($A$2:$G$2000, ""select G where E="" &amp; BD$1 &amp; "" and D="" &amp; $I7))"),6.011904761904762)</f>
        <v>6.011904762</v>
      </c>
      <c r="BE7" s="10">
        <f>IFERROR(__xludf.DUMMYFUNCTION("ifna(QUERY($A$2:$G$2000, ""select G where D="" &amp; BE$1 &amp; "" and E="" &amp; $I7), QUERY($A$2:$G$2000, ""select G where E="" &amp; BE$1 &amp; "" and D="" &amp; $I7))"),6.02332361516035)</f>
        <v>6.023323615</v>
      </c>
      <c r="BF7" s="10">
        <f>IFERROR(__xludf.DUMMYFUNCTION("ifna(QUERY($A$2:$G$2000, ""select G where D="" &amp; BF$1 &amp; "" and E="" &amp; $I7), QUERY($A$2:$G$2000, ""select G where E="" &amp; BF$1 &amp; "" and D="" &amp; $I7))"),6.034285714285714)</f>
        <v>6.034285714</v>
      </c>
      <c r="BG7" s="10">
        <f>IFERROR(__xludf.DUMMYFUNCTION("ifna(QUERY($A$2:$G$2000, ""select G where D="" &amp; BG$1 &amp; "" and E="" &amp; $I7), QUERY($A$2:$G$2000, ""select G where E="" &amp; BG$1 &amp; "" and D="" &amp; $I7))"),6.044817927170868)</f>
        <v>6.044817927</v>
      </c>
      <c r="BH7" s="10">
        <f>IFERROR(__xludf.DUMMYFUNCTION("ifna(QUERY($A$2:$G$2000, ""select G where D="" &amp; BH$1 &amp; "" and E="" &amp; $I7), QUERY($A$2:$G$2000, ""select G where E="" &amp; BH$1 &amp; "" and D="" &amp; $I7))"),6.065934065934066)</f>
        <v>6.065934066</v>
      </c>
      <c r="BI7" s="10">
        <f>IFERROR(__xludf.DUMMYFUNCTION("ifna(QUERY($A$2:$G$2000, ""select G where D="" &amp; BI$1 &amp; "" and E="" &amp; $I7), QUERY($A$2:$G$2000, ""select G where E="" &amp; BI$1 &amp; "" and D="" &amp; $I7))"),6.086253369272237)</f>
        <v>6.086253369</v>
      </c>
      <c r="BJ7" s="10">
        <f>IFERROR(__xludf.DUMMYFUNCTION("ifna(QUERY($A$2:$G$2000, ""select G where D="" &amp; BJ$1 &amp; "" and E="" &amp; $I7), QUERY($A$2:$G$2000, ""select G where E="" &amp; BJ$1 &amp; "" and D="" &amp; $I7))"),6.105820105820106)</f>
        <v>6.105820106</v>
      </c>
      <c r="BK7" s="10">
        <f>IFERROR(__xludf.DUMMYFUNCTION("ifna(QUERY($A$2:$G$2000, ""select G where D="" &amp; BK$1 &amp; "" and E="" &amp; $I7), QUERY($A$2:$G$2000, ""select G where E="" &amp; BK$1 &amp; "" and D="" &amp; $I7))"),6.124675324675325)</f>
        <v>6.124675325</v>
      </c>
      <c r="BL7" s="10"/>
      <c r="BM7" s="10"/>
      <c r="BN7" s="10"/>
      <c r="BO7" s="10"/>
    </row>
    <row r="8">
      <c r="A8" s="3">
        <v>3.0</v>
      </c>
      <c r="B8" s="3">
        <v>11.0</v>
      </c>
      <c r="C8" s="3">
        <v>15.0</v>
      </c>
      <c r="D8" s="3">
        <v>4.0</v>
      </c>
      <c r="E8" s="3">
        <v>2.0</v>
      </c>
      <c r="F8" s="11">
        <f t="shared" si="1"/>
        <v>0.7333333333</v>
      </c>
      <c r="G8" s="5">
        <f t="shared" si="2"/>
        <v>2.266666667</v>
      </c>
      <c r="H8" s="3">
        <v>8.0</v>
      </c>
      <c r="I8" s="2">
        <v>7.0</v>
      </c>
      <c r="J8" s="10">
        <f>IFERROR(__xludf.DUMMYFUNCTION("ifna(QUERY($A$2:$G$2000, ""select G where D="" &amp; J$1 &amp; "" and E="" &amp; $I8), QUERY($A$2:$G$2000, ""select G where E="" &amp; J$1 &amp; "" and D="" &amp; $I8))"),2.75)</f>
        <v>2.75</v>
      </c>
      <c r="K8" s="10">
        <f>IFERROR(__xludf.DUMMYFUNCTION("ifna(QUERY($A$2:$G$2000, ""select G where D="" &amp; K$1 &amp; "" and E="" &amp; $I8), QUERY($A$2:$G$2000, ""select G where E="" &amp; K$1 &amp; "" and D="" &amp; $I8))"),2.9166666666666665)</f>
        <v>2.916666667</v>
      </c>
      <c r="L8" s="10">
        <f>IFERROR(__xludf.DUMMYFUNCTION("ifna(QUERY($A$2:$G$2000, ""select G where D="" &amp; L$1 &amp; "" and E="" &amp; $I8), QUERY($A$2:$G$2000, ""select G where E="" &amp; L$1 &amp; "" and D="" &amp; $I8))"),3.25)</f>
        <v>3.25</v>
      </c>
      <c r="M8" s="10">
        <f>IFERROR(__xludf.DUMMYFUNCTION("ifna(QUERY($A$2:$G$2000, ""select G where D="" &amp; M$1 &amp; "" and E="" &amp; $I8), QUERY($A$2:$G$2000, ""select G where E="" &amp; M$1 &amp; "" and D="" &amp; $I8))"),3.5)</f>
        <v>3.5</v>
      </c>
      <c r="N8" s="10">
        <f>IFERROR(__xludf.DUMMYFUNCTION("ifna(QUERY($A$2:$G$2000, ""select G where D="" &amp; N$1 &amp; "" and E="" &amp; $I8), QUERY($A$2:$G$2000, ""select G where E="" &amp; N$1 &amp; "" and D="" &amp; $I8))"),3.75)</f>
        <v>3.75</v>
      </c>
      <c r="O8" s="10">
        <f>IFERROR(__xludf.DUMMYFUNCTION("ifna(QUERY($A$2:$G$2000, ""select G where D="" &amp; O$1 &amp; "" and E="" &amp; $I8), QUERY($A$2:$G$2000, ""select G where E="" &amp; O$1 &amp; "" and D="" &amp; $I8))"),3.857142857142857)</f>
        <v>3.857142857</v>
      </c>
      <c r="P8" s="10">
        <f>IFERROR(__xludf.DUMMYFUNCTION("ifna(QUERY($A$2:$G$2000, ""select G where D="" &amp; P$1 &amp; "" and E="" &amp; $I8), QUERY($A$2:$G$2000, ""select G where E="" &amp; P$1 &amp; "" and D="" &amp; $I8))"),4.0625)</f>
        <v>4.0625</v>
      </c>
      <c r="Q8" s="10">
        <f>IFERROR(__xludf.DUMMYFUNCTION("ifna(QUERY($A$2:$G$2000, ""select G where D="" &amp; Q$1 &amp; "" and E="" &amp; $I8), QUERY($A$2:$G$2000, ""select G where E="" &amp; Q$1 &amp; "" and D="" &amp; $I8))"),4.166666666666667)</f>
        <v>4.166666667</v>
      </c>
      <c r="R8" s="10">
        <f>IFERROR(__xludf.DUMMYFUNCTION("ifna(QUERY($A$2:$G$2000, ""select G where D="" &amp; R$1 &amp; "" and E="" &amp; $I8), QUERY($A$2:$G$2000, ""select G where E="" &amp; R$1 &amp; "" and D="" &amp; $I8))"),4.25)</f>
        <v>4.25</v>
      </c>
      <c r="S8" s="10">
        <f>IFERROR(__xludf.DUMMYFUNCTION("ifna(QUERY($A$2:$G$2000, ""select G where D="" &amp; S$1 &amp; "" and E="" &amp; $I8), QUERY($A$2:$G$2000, ""select G where E="" &amp; S$1 &amp; "" and D="" &amp; $I8))"),4.363636363636363)</f>
        <v>4.363636364</v>
      </c>
      <c r="T8" s="10">
        <f>IFERROR(__xludf.DUMMYFUNCTION("ifna(QUERY($A$2:$G$2000, ""select G where D="" &amp; T$1 &amp; "" and E="" &amp; $I8), QUERY($A$2:$G$2000, ""select G where E="" &amp; T$1 &amp; "" and D="" &amp; $I8))"),4.5)</f>
        <v>4.5</v>
      </c>
      <c r="U8" s="10">
        <f>IFERROR(__xludf.DUMMYFUNCTION("ifna(QUERY($A$2:$G$2000, ""select G where D="" &amp; U$1 &amp; "" and E="" &amp; $I8), QUERY($A$2:$G$2000, ""select G where E="" &amp; U$1 &amp; "" and D="" &amp; $I8))"),4.615384615384615)</f>
        <v>4.615384615</v>
      </c>
      <c r="V8" s="10">
        <f>IFERROR(__xludf.DUMMYFUNCTION("ifna(QUERY($A$2:$G$2000, ""select G where D="" &amp; V$1 &amp; "" and E="" &amp; $I8), QUERY($A$2:$G$2000, ""select G where E="" &amp; V$1 &amp; "" and D="" &amp; $I8))"),4.714285714285714)</f>
        <v>4.714285714</v>
      </c>
      <c r="W8" s="10">
        <f>IFERROR(__xludf.DUMMYFUNCTION("ifna(QUERY($A$2:$G$2000, ""select G where D="" &amp; W$1 &amp; "" and E="" &amp; $I8), QUERY($A$2:$G$2000, ""select G where E="" &amp; W$1 &amp; "" and D="" &amp; $I8))"),4.783333333333333)</f>
        <v>4.783333333</v>
      </c>
      <c r="X8" s="10">
        <f>IFERROR(__xludf.DUMMYFUNCTION("ifna(QUERY($A$2:$G$2000, ""select G where D="" &amp; X$1 &amp; "" and E="" &amp; $I8), QUERY($A$2:$G$2000, ""select G where E="" &amp; X$1 &amp; "" and D="" &amp; $I8))"),4.84375)</f>
        <v>4.84375</v>
      </c>
      <c r="Y8" s="10">
        <f>IFERROR(__xludf.DUMMYFUNCTION("ifna(QUERY($A$2:$G$2000, ""select G where D="" &amp; Y$1 &amp; "" and E="" &amp; $I8), QUERY($A$2:$G$2000, ""select G where E="" &amp; Y$1 &amp; "" and D="" &amp; $I8))"),4.882352941176471)</f>
        <v>4.882352941</v>
      </c>
      <c r="Z8" s="10">
        <f>IFERROR(__xludf.DUMMYFUNCTION("ifna(QUERY($A$2:$G$2000, ""select G where D="" &amp; Z$1 &amp; "" and E="" &amp; $I8), QUERY($A$2:$G$2000, ""select G where E="" &amp; Z$1 &amp; "" and D="" &amp; $I8))"),4.972222222222222)</f>
        <v>4.972222222</v>
      </c>
      <c r="AA8" s="10">
        <f>IFERROR(__xludf.DUMMYFUNCTION("ifna(QUERY($A$2:$G$2000, ""select G where D="" &amp; AA$1 &amp; "" and E="" &amp; $I8), QUERY($A$2:$G$2000, ""select G where E="" &amp; AA$1 &amp; "" and D="" &amp; $I8))"),5.026315789473684)</f>
        <v>5.026315789</v>
      </c>
      <c r="AB8" s="10">
        <f>IFERROR(__xludf.DUMMYFUNCTION("ifna(QUERY($A$2:$G$2000, ""select G where D="" &amp; AB$1 &amp; "" and E="" &amp; $I8), QUERY($A$2:$G$2000, ""select G where E="" &amp; AB$1 &amp; "" and D="" &amp; $I8))"),5.05)</f>
        <v>5.05</v>
      </c>
      <c r="AC8" s="10">
        <f>IFERROR(__xludf.DUMMYFUNCTION("ifna(QUERY($A$2:$G$2000, ""select G where D="" &amp; AC$1 &amp; "" and E="" &amp; $I8), QUERY($A$2:$G$2000, ""select G where E="" &amp; AC$1 &amp; "" and D="" &amp; $I8))"),5.095238095238095)</f>
        <v>5.095238095</v>
      </c>
      <c r="AD8" s="10">
        <f>IFERROR(__xludf.DUMMYFUNCTION("ifna(QUERY($A$2:$G$2000, ""select G where D="" &amp; AD$1 &amp; "" and E="" &amp; $I8), QUERY($A$2:$G$2000, ""select G where E="" &amp; AD$1 &amp; "" and D="" &amp; $I8))"),5.136363636363637)</f>
        <v>5.136363636</v>
      </c>
      <c r="AE8" s="10">
        <f>IFERROR(__xludf.DUMMYFUNCTION("ifna(QUERY($A$2:$G$2000, ""select G where D="" &amp; AE$1 &amp; "" and E="" &amp; $I8), QUERY($A$2:$G$2000, ""select G where E="" &amp; AE$1 &amp; "" and D="" &amp; $I8))"),5.173913043478261)</f>
        <v>5.173913043</v>
      </c>
      <c r="AF8" s="10">
        <f>IFERROR(__xludf.DUMMYFUNCTION("ifna(QUERY($A$2:$G$2000, ""select G where D="" &amp; AF$1 &amp; "" and E="" &amp; $I8), QUERY($A$2:$G$2000, ""select G where E="" &amp; AF$1 &amp; "" and D="" &amp; $I8))"),5.229166666666667)</f>
        <v>5.229166667</v>
      </c>
      <c r="AG8" s="10">
        <f>IFERROR(__xludf.DUMMYFUNCTION("ifna(QUERY($A$2:$G$2000, ""select G where D="" &amp; AG$1 &amp; "" and E="" &amp; $I8), QUERY($A$2:$G$2000, ""select G where E="" &amp; AG$1 &amp; "" and D="" &amp; $I8))"),5.28)</f>
        <v>5.28</v>
      </c>
      <c r="AH8" s="10">
        <f>IFERROR(__xludf.DUMMYFUNCTION("ifna(QUERY($A$2:$G$2000, ""select G where D="" &amp; AH$1 &amp; "" and E="" &amp; $I8), QUERY($A$2:$G$2000, ""select G where E="" &amp; AH$1 &amp; "" and D="" &amp; $I8))"),5.346153846153846)</f>
        <v>5.346153846</v>
      </c>
      <c r="AI8" s="10">
        <f>IFERROR(__xludf.DUMMYFUNCTION("ifna(QUERY($A$2:$G$2000, ""select G where D="" &amp; AI$1 &amp; "" and E="" &amp; $I8), QUERY($A$2:$G$2000, ""select G where E="" &amp; AI$1 &amp; "" and D="" &amp; $I8))"),5.407407407407407)</f>
        <v>5.407407407</v>
      </c>
      <c r="AJ8" s="10">
        <f>IFERROR(__xludf.DUMMYFUNCTION("ifna(QUERY($A$2:$G$2000, ""select G where D="" &amp; AJ$1 &amp; "" and E="" &amp; $I8), QUERY($A$2:$G$2000, ""select G where E="" &amp; AJ$1 &amp; "" and D="" &amp; $I8))"),5.464285714285714)</f>
        <v>5.464285714</v>
      </c>
      <c r="AK8" s="10">
        <f>IFERROR(__xludf.DUMMYFUNCTION("ifna(QUERY($A$2:$G$2000, ""select G where D="" &amp; AK$1 &amp; "" and E="" &amp; $I8), QUERY($A$2:$G$2000, ""select G where E="" &amp; AK$1 &amp; "" and D="" &amp; $I8))"),5.517241379310345)</f>
        <v>5.517241379</v>
      </c>
      <c r="AL8" s="10">
        <f>IFERROR(__xludf.DUMMYFUNCTION("ifna(QUERY($A$2:$G$2000, ""select G where D="" &amp; AL$1 &amp; "" and E="" &amp; $I8), QUERY($A$2:$G$2000, ""select G where E="" &amp; AL$1 &amp; "" and D="" &amp; $I8))"),5.566666666666666)</f>
        <v>5.566666667</v>
      </c>
      <c r="AM8" s="10">
        <f>IFERROR(__xludf.DUMMYFUNCTION("ifna(QUERY($A$2:$G$2000, ""select G where D="" &amp; AM$1 &amp; "" and E="" &amp; $I8), QUERY($A$2:$G$2000, ""select G where E="" &amp; AM$1 &amp; "" and D="" &amp; $I8))"),5.612903225806452)</f>
        <v>5.612903226</v>
      </c>
      <c r="AN8" s="10">
        <f>IFERROR(__xludf.DUMMYFUNCTION("ifna(QUERY($A$2:$G$2000, ""select G where D="" &amp; AN$1 &amp; "" and E="" &amp; $I8), QUERY($A$2:$G$2000, ""select G where E="" &amp; AN$1 &amp; "" and D="" &amp; $I8))"),5.65625)</f>
        <v>5.65625</v>
      </c>
      <c r="AO8" s="10">
        <f>IFERROR(__xludf.DUMMYFUNCTION("ifna(QUERY($A$2:$G$2000, ""select G where D="" &amp; AO$1 &amp; "" and E="" &amp; $I8), QUERY($A$2:$G$2000, ""select G where E="" &amp; AO$1 &amp; "" and D="" &amp; $I8))"),5.696969696969697)</f>
        <v>5.696969697</v>
      </c>
      <c r="AP8" s="10">
        <f>IFERROR(__xludf.DUMMYFUNCTION("ifna(QUERY($A$2:$G$2000, ""select G where D="" &amp; AP$1 &amp; "" and E="" &amp; $I8), QUERY($A$2:$G$2000, ""select G where E="" &amp; AP$1 &amp; "" and D="" &amp; $I8))"),5.735294117647059)</f>
        <v>5.735294118</v>
      </c>
      <c r="AQ8" s="10">
        <f>IFERROR(__xludf.DUMMYFUNCTION("ifna(QUERY($A$2:$G$2000, ""select G where D="" &amp; AQ$1 &amp; "" and E="" &amp; $I8), QUERY($A$2:$G$2000, ""select G where E="" &amp; AQ$1 &amp; "" and D="" &amp; $I8))"),5.771428571428571)</f>
        <v>5.771428571</v>
      </c>
      <c r="AR8" s="10">
        <f>IFERROR(__xludf.DUMMYFUNCTION("ifna(QUERY($A$2:$G$2000, ""select G where D="" &amp; AR$1 &amp; "" and E="" &amp; $I8), QUERY($A$2:$G$2000, ""select G where E="" &amp; AR$1 &amp; "" and D="" &amp; $I8))"),5.805555555555555)</f>
        <v>5.805555556</v>
      </c>
      <c r="AS8" s="10">
        <f>IFERROR(__xludf.DUMMYFUNCTION("ifna(QUERY($A$2:$G$2000, ""select G where D="" &amp; AS$1 &amp; "" and E="" &amp; $I8), QUERY($A$2:$G$2000, ""select G where E="" &amp; AS$1 &amp; "" and D="" &amp; $I8))"),5.831081081081081)</f>
        <v>5.831081081</v>
      </c>
      <c r="AT8" s="10">
        <f>IFERROR(__xludf.DUMMYFUNCTION("ifna(QUERY($A$2:$G$2000, ""select G where D="" &amp; AT$1 &amp; "" and E="" &amp; $I8), QUERY($A$2:$G$2000, ""select G where E="" &amp; AT$1 &amp; "" and D="" &amp; $I8))"),5.855263157894737)</f>
        <v>5.855263158</v>
      </c>
      <c r="AU8" s="10">
        <f>IFERROR(__xludf.DUMMYFUNCTION("ifna(QUERY($A$2:$G$2000, ""select G where D="" &amp; AU$1 &amp; "" and E="" &amp; $I8), QUERY($A$2:$G$2000, ""select G where E="" &amp; AU$1 &amp; "" and D="" &amp; $I8))"),5.878205128205129)</f>
        <v>5.878205128</v>
      </c>
      <c r="AV8" s="10">
        <f>IFERROR(__xludf.DUMMYFUNCTION("ifna(QUERY($A$2:$G$2000, ""select G where D="" &amp; AV$1 &amp; "" and E="" &amp; $I8), QUERY($A$2:$G$2000, ""select G where E="" &amp; AV$1 &amp; "" and D="" &amp; $I8))"),5.9)</f>
        <v>5.9</v>
      </c>
      <c r="AW8" s="10">
        <f>IFERROR(__xludf.DUMMYFUNCTION("ifna(QUERY($A$2:$G$2000, ""select G where D="" &amp; AW$1 &amp; "" and E="" &amp; $I8), QUERY($A$2:$G$2000, ""select G where E="" &amp; AW$1 &amp; "" and D="" &amp; $I8))"),5.920731707317073)</f>
        <v>5.920731707</v>
      </c>
      <c r="AX8" s="10">
        <f>IFERROR(__xludf.DUMMYFUNCTION("ifna(QUERY($A$2:$G$2000, ""select G where D="" &amp; AX$1 &amp; "" and E="" &amp; $I8), QUERY($A$2:$G$2000, ""select G where E="" &amp; AX$1 &amp; "" and D="" &amp; $I8))"),5.958333333333333)</f>
        <v>5.958333333</v>
      </c>
      <c r="AY8" s="10">
        <f>IFERROR(__xludf.DUMMYFUNCTION("ifna(QUERY($A$2:$G$2000, ""select G where D="" &amp; AY$1 &amp; "" and E="" &amp; $I8), QUERY($A$2:$G$2000, ""select G where E="" &amp; AY$1 &amp; "" and D="" &amp; $I8))"),5.982558139534884)</f>
        <v>5.98255814</v>
      </c>
      <c r="AZ8" s="10">
        <f>IFERROR(__xludf.DUMMYFUNCTION("ifna(QUERY($A$2:$G$2000, ""select G where D="" &amp; AZ$1 &amp; "" and E="" &amp; $I8), QUERY($A$2:$G$2000, ""select G where E="" &amp; AZ$1 &amp; "" and D="" &amp; $I8))"),6.011363636363637)</f>
        <v>6.011363636</v>
      </c>
      <c r="BA8" s="10">
        <f>IFERROR(__xludf.DUMMYFUNCTION("ifna(QUERY($A$2:$G$2000, ""select G where D="" &amp; BA$1 &amp; "" and E="" &amp; $I8), QUERY($A$2:$G$2000, ""select G where E="" &amp; BA$1 &amp; "" and D="" &amp; $I8))"),6.022222222222222)</f>
        <v>6.022222222</v>
      </c>
      <c r="BB8" s="10">
        <f>IFERROR(__xludf.DUMMYFUNCTION("ifna(QUERY($A$2:$G$2000, ""select G where D="" &amp; BB$1 &amp; "" and E="" &amp; $I8), QUERY($A$2:$G$2000, ""select G where E="" &amp; BB$1 &amp; "" and D="" &amp; $I8))"),6.032608695652174)</f>
        <v>6.032608696</v>
      </c>
      <c r="BC8" s="10">
        <f>IFERROR(__xludf.DUMMYFUNCTION("ifna(QUERY($A$2:$G$2000, ""select G where D="" &amp; BC$1 &amp; "" and E="" &amp; $I8), QUERY($A$2:$G$2000, ""select G where E="" &amp; BC$1 &amp; "" and D="" &amp; $I8))"),6.042553191489362)</f>
        <v>6.042553191</v>
      </c>
      <c r="BD8" s="10">
        <f>IFERROR(__xludf.DUMMYFUNCTION("ifna(QUERY($A$2:$G$2000, ""select G where D="" &amp; BD$1 &amp; "" and E="" &amp; $I8), QUERY($A$2:$G$2000, ""select G where E="" &amp; BD$1 &amp; "" and D="" &amp; $I8))"),6.0625)</f>
        <v>6.0625</v>
      </c>
      <c r="BE8" s="10">
        <f>IFERROR(__xludf.DUMMYFUNCTION("ifna(QUERY($A$2:$G$2000, ""select G where D="" &amp; BE$1 &amp; "" and E="" &amp; $I8), QUERY($A$2:$G$2000, ""select G where E="" &amp; BE$1 &amp; "" and D="" &amp; $I8))"),6.081632653061225)</f>
        <v>6.081632653</v>
      </c>
      <c r="BF8" s="10">
        <f>IFERROR(__xludf.DUMMYFUNCTION("ifna(QUERY($A$2:$G$2000, ""select G where D="" &amp; BF$1 &amp; "" and E="" &amp; $I8), QUERY($A$2:$G$2000, ""select G where E="" &amp; BF$1 &amp; "" and D="" &amp; $I8))"),6.1)</f>
        <v>6.1</v>
      </c>
      <c r="BG8" s="10">
        <f>IFERROR(__xludf.DUMMYFUNCTION("ifna(QUERY($A$2:$G$2000, ""select G where D="" &amp; BG$1 &amp; "" and E="" &amp; $I8), QUERY($A$2:$G$2000, ""select G where E="" &amp; BG$1 &amp; "" and D="" &amp; $I8))"),6.117647058823529)</f>
        <v>6.117647059</v>
      </c>
      <c r="BH8" s="10">
        <f>IFERROR(__xludf.DUMMYFUNCTION("ifna(QUERY($A$2:$G$2000, ""select G where D="" &amp; BH$1 &amp; "" and E="" &amp; $I8), QUERY($A$2:$G$2000, ""select G where E="" &amp; BH$1 &amp; "" and D="" &amp; $I8))"),6.144230769230769)</f>
        <v>6.144230769</v>
      </c>
      <c r="BI8" s="10">
        <f>IFERROR(__xludf.DUMMYFUNCTION("ifna(QUERY($A$2:$G$2000, ""select G where D="" &amp; BI$1 &amp; "" and E="" &amp; $I8), QUERY($A$2:$G$2000, ""select G where E="" &amp; BI$1 &amp; "" and D="" &amp; $I8))"),6.169811320754717)</f>
        <v>6.169811321</v>
      </c>
      <c r="BJ8" s="10">
        <f>IFERROR(__xludf.DUMMYFUNCTION("ifna(QUERY($A$2:$G$2000, ""select G where D="" &amp; BJ$1 &amp; "" and E="" &amp; $I8), QUERY($A$2:$G$2000, ""select G where E="" &amp; BJ$1 &amp; "" and D="" &amp; $I8))"),6.194444444444445)</f>
        <v>6.194444444</v>
      </c>
      <c r="BK8" s="10">
        <f>IFERROR(__xludf.DUMMYFUNCTION("ifna(QUERY($A$2:$G$2000, ""select G where D="" &amp; BK$1 &amp; "" and E="" &amp; $I8), QUERY($A$2:$G$2000, ""select G where E="" &amp; BK$1 &amp; "" and D="" &amp; $I8))"),6.218181818181818)</f>
        <v>6.218181818</v>
      </c>
      <c r="BL8" s="10"/>
      <c r="BM8" s="10"/>
      <c r="BN8" s="10"/>
      <c r="BO8" s="10"/>
    </row>
    <row r="9">
      <c r="A9" s="3">
        <v>3.0</v>
      </c>
      <c r="B9" s="3">
        <v>8.0</v>
      </c>
      <c r="C9" s="3">
        <v>20.0</v>
      </c>
      <c r="D9" s="3">
        <v>4.0</v>
      </c>
      <c r="E9" s="3">
        <v>3.0</v>
      </c>
      <c r="F9" s="11">
        <f t="shared" si="1"/>
        <v>0.4</v>
      </c>
      <c r="G9" s="5">
        <f t="shared" si="2"/>
        <v>2.6</v>
      </c>
      <c r="H9" s="3">
        <v>9.0</v>
      </c>
      <c r="I9" s="2">
        <v>8.0</v>
      </c>
      <c r="J9" s="10">
        <f>IFERROR(__xludf.DUMMYFUNCTION("ifna(QUERY($A$2:$G$2000, ""select G where D="" &amp; J$1 &amp; "" and E="" &amp; $I9), QUERY($A$2:$G$2000, ""select G where E="" &amp; J$1 &amp; "" and D="" &amp; $I9))"),2.888888888888889)</f>
        <v>2.888888889</v>
      </c>
      <c r="K9" s="10">
        <f>IFERROR(__xludf.DUMMYFUNCTION("ifna(QUERY($A$2:$G$2000, ""select G where D="" &amp; K$1 &amp; "" and E="" &amp; $I9), QUERY($A$2:$G$2000, ""select G where E="" &amp; K$1 &amp; "" and D="" &amp; $I9))"),3.148148148148148)</f>
        <v>3.148148148</v>
      </c>
      <c r="L9" s="10">
        <f>IFERROR(__xludf.DUMMYFUNCTION("ifna(QUERY($A$2:$G$2000, ""select G where D="" &amp; L$1 &amp; "" and E="" &amp; $I9), QUERY($A$2:$G$2000, ""select G where E="" &amp; L$1 &amp; "" and D="" &amp; $I9))"),3.4444444444444446)</f>
        <v>3.444444444</v>
      </c>
      <c r="M9" s="10">
        <f>IFERROR(__xludf.DUMMYFUNCTION("ifna(QUERY($A$2:$G$2000, ""select G where D="" &amp; M$1 &amp; "" and E="" &amp; $I9), QUERY($A$2:$G$2000, ""select G where E="" &amp; M$1 &amp; "" and D="" &amp; $I9))"),3.6666666666666665)</f>
        <v>3.666666667</v>
      </c>
      <c r="N9" s="10">
        <f>IFERROR(__xludf.DUMMYFUNCTION("ifna(QUERY($A$2:$G$2000, ""select G where D="" &amp; N$1 &amp; "" and E="" &amp; $I9), QUERY($A$2:$G$2000, ""select G where E="" &amp; N$1 &amp; "" and D="" &amp; $I9))"),3.851851851851852)</f>
        <v>3.851851852</v>
      </c>
      <c r="O9" s="10">
        <f>IFERROR(__xludf.DUMMYFUNCTION("ifna(QUERY($A$2:$G$2000, ""select G where D="" &amp; O$1 &amp; "" and E="" &amp; $I9), QUERY($A$2:$G$2000, ""select G where E="" &amp; O$1 &amp; "" and D="" &amp; $I9))"),4.063492063492063)</f>
        <v>4.063492063</v>
      </c>
      <c r="P9" s="10">
        <f>IFERROR(__xludf.DUMMYFUNCTION("ifna(QUERY($A$2:$G$2000, ""select G where D="" &amp; P$1 &amp; "" and E="" &amp; $I9), QUERY($A$2:$G$2000, ""select G where E="" &amp; P$1 &amp; "" and D="" &amp; $I9))"),4.166666666666667)</f>
        <v>4.166666667</v>
      </c>
      <c r="Q9" s="10">
        <f>IFERROR(__xludf.DUMMYFUNCTION("ifna(QUERY($A$2:$G$2000, ""select G where D="" &amp; Q$1 &amp; "" and E="" &amp; $I9), QUERY($A$2:$G$2000, ""select G where E="" &amp; Q$1 &amp; "" and D="" &amp; $I9))"),4.296296296296296)</f>
        <v>4.296296296</v>
      </c>
      <c r="R9" s="10">
        <f>IFERROR(__xludf.DUMMYFUNCTION("ifna(QUERY($A$2:$G$2000, ""select G where D="" &amp; R$1 &amp; "" and E="" &amp; $I9), QUERY($A$2:$G$2000, ""select G where E="" &amp; R$1 &amp; "" and D="" &amp; $I9))"),4.4)</f>
        <v>4.4</v>
      </c>
      <c r="S9" s="10">
        <f>IFERROR(__xludf.DUMMYFUNCTION("ifna(QUERY($A$2:$G$2000, ""select G where D="" &amp; S$1 &amp; "" and E="" &amp; $I9), QUERY($A$2:$G$2000, ""select G where E="" &amp; S$1 &amp; "" and D="" &amp; $I9))"),4.525252525252525)</f>
        <v>4.525252525</v>
      </c>
      <c r="T9" s="10">
        <f>IFERROR(__xludf.DUMMYFUNCTION("ifna(QUERY($A$2:$G$2000, ""select G where D="" &amp; T$1 &amp; "" and E="" &amp; $I9), QUERY($A$2:$G$2000, ""select G where E="" &amp; T$1 &amp; "" and D="" &amp; $I9))"),4.648148148148148)</f>
        <v>4.648148148</v>
      </c>
      <c r="U9" s="10">
        <f>IFERROR(__xludf.DUMMYFUNCTION("ifna(QUERY($A$2:$G$2000, ""select G where D="" &amp; U$1 &amp; "" and E="" &amp; $I9), QUERY($A$2:$G$2000, ""select G where E="" &amp; U$1 &amp; "" and D="" &amp; $I9))"),4.735042735042735)</f>
        <v>4.735042735</v>
      </c>
      <c r="V9" s="10">
        <f>IFERROR(__xludf.DUMMYFUNCTION("ifna(QUERY($A$2:$G$2000, ""select G where D="" &amp; V$1 &amp; "" and E="" &amp; $I9), QUERY($A$2:$G$2000, ""select G where E="" &amp; V$1 &amp; "" and D="" &amp; $I9))"),4.809523809523809)</f>
        <v>4.80952381</v>
      </c>
      <c r="W9" s="10">
        <f>IFERROR(__xludf.DUMMYFUNCTION("ifna(QUERY($A$2:$G$2000, ""select G where D="" &amp; W$1 &amp; "" and E="" &amp; $I9), QUERY($A$2:$G$2000, ""select G where E="" &amp; W$1 &amp; "" and D="" &amp; $I9))"),4.859259259259259)</f>
        <v>4.859259259</v>
      </c>
      <c r="X9" s="10">
        <f>IFERROR(__xludf.DUMMYFUNCTION("ifna(QUERY($A$2:$G$2000, ""select G where D="" &amp; X$1 &amp; "" and E="" &amp; $I9), QUERY($A$2:$G$2000, ""select G where E="" &amp; X$1 &amp; "" and D="" &amp; $I9))"),4.930555555555555)</f>
        <v>4.930555556</v>
      </c>
      <c r="Y9" s="10">
        <f>IFERROR(__xludf.DUMMYFUNCTION("ifna(QUERY($A$2:$G$2000, ""select G where D="" &amp; Y$1 &amp; "" and E="" &amp; $I9), QUERY($A$2:$G$2000, ""select G where E="" &amp; Y$1 &amp; "" and D="" &amp; $I9))"),5.026143790849673)</f>
        <v>5.026143791</v>
      </c>
      <c r="Z9" s="10">
        <f>IFERROR(__xludf.DUMMYFUNCTION("ifna(QUERY($A$2:$G$2000, ""select G where D="" &amp; Z$1 &amp; "" and E="" &amp; $I9), QUERY($A$2:$G$2000, ""select G where E="" &amp; Z$1 &amp; "" and D="" &amp; $I9))"),5.049382716049383)</f>
        <v>5.049382716</v>
      </c>
      <c r="AA9" s="10">
        <f>IFERROR(__xludf.DUMMYFUNCTION("ifna(QUERY($A$2:$G$2000, ""select G where D="" &amp; AA$1 &amp; "" and E="" &amp; $I9), QUERY($A$2:$G$2000, ""select G where E="" &amp; AA$1 &amp; "" and D="" &amp; $I9))"),5.093567251461988)</f>
        <v>5.093567251</v>
      </c>
      <c r="AB9" s="10">
        <f>IFERROR(__xludf.DUMMYFUNCTION("ifna(QUERY($A$2:$G$2000, ""select G where D="" &amp; AB$1 &amp; "" and E="" &amp; $I9), QUERY($A$2:$G$2000, ""select G where E="" &amp; AB$1 &amp; "" and D="" &amp; $I9))"),5.133333333333333)</f>
        <v>5.133333333</v>
      </c>
      <c r="AC9" s="10">
        <f>IFERROR(__xludf.DUMMYFUNCTION("ifna(QUERY($A$2:$G$2000, ""select G where D="" &amp; AC$1 &amp; "" and E="" &amp; $I9), QUERY($A$2:$G$2000, ""select G where E="" &amp; AC$1 &amp; "" and D="" &amp; $I9))"),5.190476190476191)</f>
        <v>5.19047619</v>
      </c>
      <c r="AD9" s="10">
        <f>IFERROR(__xludf.DUMMYFUNCTION("ifna(QUERY($A$2:$G$2000, ""select G where D="" &amp; AD$1 &amp; "" and E="" &amp; $I9), QUERY($A$2:$G$2000, ""select G where E="" &amp; AD$1 &amp; "" and D="" &amp; $I9))"),5.242424242424242)</f>
        <v>5.242424242</v>
      </c>
      <c r="AE9" s="10">
        <f>IFERROR(__xludf.DUMMYFUNCTION("ifna(QUERY($A$2:$G$2000, ""select G where D="" &amp; AE$1 &amp; "" and E="" &amp; $I9), QUERY($A$2:$G$2000, ""select G where E="" &amp; AE$1 &amp; "" and D="" &amp; $I9))"),5.289855072463768)</f>
        <v>5.289855072</v>
      </c>
      <c r="AF9" s="10">
        <f>IFERROR(__xludf.DUMMYFUNCTION("ifna(QUERY($A$2:$G$2000, ""select G where D="" &amp; AF$1 &amp; "" and E="" &amp; $I9), QUERY($A$2:$G$2000, ""select G where E="" &amp; AF$1 &amp; "" and D="" &amp; $I9))"),5.351851851851852)</f>
        <v>5.351851852</v>
      </c>
      <c r="AG9" s="10">
        <f>IFERROR(__xludf.DUMMYFUNCTION("ifna(QUERY($A$2:$G$2000, ""select G where D="" &amp; AG$1 &amp; "" and E="" &amp; $I9), QUERY($A$2:$G$2000, ""select G where E="" &amp; AG$1 &amp; "" and D="" &amp; $I9))"),5.408888888888889)</f>
        <v>5.408888889</v>
      </c>
      <c r="AH9" s="10">
        <f>IFERROR(__xludf.DUMMYFUNCTION("ifna(QUERY($A$2:$G$2000, ""select G where D="" &amp; AH$1 &amp; "" and E="" &amp; $I9), QUERY($A$2:$G$2000, ""select G where E="" &amp; AH$1 &amp; "" and D="" &amp; $I9))"),5.47008547008547)</f>
        <v>5.47008547</v>
      </c>
      <c r="AI9" s="10">
        <f>IFERROR(__xludf.DUMMYFUNCTION("ifna(QUERY($A$2:$G$2000, ""select G where D="" &amp; AI$1 &amp; "" and E="" &amp; $I9), QUERY($A$2:$G$2000, ""select G where E="" &amp; AI$1 &amp; "" and D="" &amp; $I9))"),5.526748971193416)</f>
        <v>5.526748971</v>
      </c>
      <c r="AJ9" s="10">
        <f>IFERROR(__xludf.DUMMYFUNCTION("ifna(QUERY($A$2:$G$2000, ""select G where D="" &amp; AJ$1 &amp; "" and E="" &amp; $I9), QUERY($A$2:$G$2000, ""select G where E="" &amp; AJ$1 &amp; "" and D="" &amp; $I9))"),5.579365079365079)</f>
        <v>5.579365079</v>
      </c>
      <c r="AK9" s="10">
        <f>IFERROR(__xludf.DUMMYFUNCTION("ifna(QUERY($A$2:$G$2000, ""select G where D="" &amp; AK$1 &amp; "" and E="" &amp; $I9), QUERY($A$2:$G$2000, ""select G where E="" &amp; AK$1 &amp; "" and D="" &amp; $I9))"),5.628352490421456)</f>
        <v>5.62835249</v>
      </c>
      <c r="AL9" s="10">
        <f>IFERROR(__xludf.DUMMYFUNCTION("ifna(QUERY($A$2:$G$2000, ""select G where D="" &amp; AL$1 &amp; "" and E="" &amp; $I9), QUERY($A$2:$G$2000, ""select G where E="" &amp; AL$1 &amp; "" and D="" &amp; $I9))"),5.674074074074074)</f>
        <v>5.674074074</v>
      </c>
      <c r="AM9" s="10">
        <f>IFERROR(__xludf.DUMMYFUNCTION("ifna(QUERY($A$2:$G$2000, ""select G where D="" &amp; AM$1 &amp; "" and E="" &amp; $I9), QUERY($A$2:$G$2000, ""select G where E="" &amp; AM$1 &amp; "" and D="" &amp; $I9))"),5.7168458781362)</f>
        <v>5.716845878</v>
      </c>
      <c r="AN9" s="10">
        <f>IFERROR(__xludf.DUMMYFUNCTION("ifna(QUERY($A$2:$G$2000, ""select G where D="" &amp; AN$1 &amp; "" and E="" &amp; $I9), QUERY($A$2:$G$2000, ""select G where E="" &amp; AN$1 &amp; "" and D="" &amp; $I9))"),5.756944444444445)</f>
        <v>5.756944444</v>
      </c>
      <c r="AO9" s="10">
        <f>IFERROR(__xludf.DUMMYFUNCTION("ifna(QUERY($A$2:$G$2000, ""select G where D="" &amp; AO$1 &amp; "" and E="" &amp; $I9), QUERY($A$2:$G$2000, ""select G where E="" &amp; AO$1 &amp; "" and D="" &amp; $I9))"),5.787878787878788)</f>
        <v>5.787878788</v>
      </c>
      <c r="AP9" s="10">
        <f>IFERROR(__xludf.DUMMYFUNCTION("ifna(QUERY($A$2:$G$2000, ""select G where D="" &amp; AP$1 &amp; "" and E="" &amp; $I9), QUERY($A$2:$G$2000, ""select G where E="" &amp; AP$1 &amp; "" and D="" &amp; $I9))"),5.816993464052287)</f>
        <v>5.816993464</v>
      </c>
      <c r="AQ9" s="10">
        <f>IFERROR(__xludf.DUMMYFUNCTION("ifna(QUERY($A$2:$G$2000, ""select G where D="" &amp; AQ$1 &amp; "" and E="" &amp; $I9), QUERY($A$2:$G$2000, ""select G where E="" &amp; AQ$1 &amp; "" and D="" &amp; $I9))"),5.844444444444444)</f>
        <v>5.844444444</v>
      </c>
      <c r="AR9" s="10">
        <f>IFERROR(__xludf.DUMMYFUNCTION("ifna(QUERY($A$2:$G$2000, ""select G where D="" &amp; AR$1 &amp; "" and E="" &amp; $I9), QUERY($A$2:$G$2000, ""select G where E="" &amp; AR$1 &amp; "" and D="" &amp; $I9))"),5.87037037037037)</f>
        <v>5.87037037</v>
      </c>
      <c r="AS9" s="10">
        <f>IFERROR(__xludf.DUMMYFUNCTION("ifna(QUERY($A$2:$G$2000, ""select G where D="" &amp; AS$1 &amp; "" and E="" &amp; $I9), QUERY($A$2:$G$2000, ""select G where E="" &amp; AS$1 &amp; "" and D="" &amp; $I9))"),5.888888888888889)</f>
        <v>5.888888889</v>
      </c>
      <c r="AT9" s="10">
        <f>IFERROR(__xludf.DUMMYFUNCTION("ifna(QUERY($A$2:$G$2000, ""select G where D="" &amp; AT$1 &amp; "" and E="" &amp; $I9), QUERY($A$2:$G$2000, ""select G where E="" &amp; AT$1 &amp; "" and D="" &amp; $I9))"),5.912280701754386)</f>
        <v>5.912280702</v>
      </c>
      <c r="AU9" s="10">
        <f>IFERROR(__xludf.DUMMYFUNCTION("ifna(QUERY($A$2:$G$2000, ""select G where D="" &amp; AU$1 &amp; "" and E="" &amp; $I9), QUERY($A$2:$G$2000, ""select G where E="" &amp; AU$1 &amp; "" and D="" &amp; $I9))"),5.945868945868946)</f>
        <v>5.945868946</v>
      </c>
      <c r="AV9" s="10">
        <f>IFERROR(__xludf.DUMMYFUNCTION("ifna(QUERY($A$2:$G$2000, ""select G where D="" &amp; AV$1 &amp; "" and E="" &amp; $I9), QUERY($A$2:$G$2000, ""select G where E="" &amp; AV$1 &amp; "" and D="" &amp; $I9))"),6.011111111111111)</f>
        <v>6.011111111</v>
      </c>
      <c r="AW9" s="10">
        <f>IFERROR(__xludf.DUMMYFUNCTION("ifna(QUERY($A$2:$G$2000, ""select G where D="" &amp; AW$1 &amp; "" and E="" &amp; $I9), QUERY($A$2:$G$2000, ""select G where E="" &amp; AW$1 &amp; "" and D="" &amp; $I9))"),6.021680216802168)</f>
        <v>6.021680217</v>
      </c>
      <c r="AX9" s="10">
        <f>IFERROR(__xludf.DUMMYFUNCTION("ifna(QUERY($A$2:$G$2000, ""select G where D="" &amp; AX$1 &amp; "" and E="" &amp; $I9), QUERY($A$2:$G$2000, ""select G where E="" &amp; AX$1 &amp; "" and D="" &amp; $I9))"),6.031746031746032)</f>
        <v>6.031746032</v>
      </c>
      <c r="AY9" s="10">
        <f>IFERROR(__xludf.DUMMYFUNCTION("ifna(QUERY($A$2:$G$2000, ""select G where D="" &amp; AY$1 &amp; "" and E="" &amp; $I9), QUERY($A$2:$G$2000, ""select G where E="" &amp; AY$1 &amp; "" and D="" &amp; $I9))"),6.041343669250646)</f>
        <v>6.041343669</v>
      </c>
      <c r="AZ9" s="10">
        <f>IFERROR(__xludf.DUMMYFUNCTION("ifna(QUERY($A$2:$G$2000, ""select G where D="" &amp; AZ$1 &amp; "" and E="" &amp; $I9), QUERY($A$2:$G$2000, ""select G where E="" &amp; AZ$1 &amp; "" and D="" &amp; $I9))"),6.0606060606060606)</f>
        <v>6.060606061</v>
      </c>
      <c r="BA9" s="10">
        <f>IFERROR(__xludf.DUMMYFUNCTION("ifna(QUERY($A$2:$G$2000, ""select G where D="" &amp; BA$1 &amp; "" and E="" &amp; $I9), QUERY($A$2:$G$2000, ""select G where E="" &amp; BA$1 &amp; "" and D="" &amp; $I9))"),6.079012345679012)</f>
        <v>6.079012346</v>
      </c>
      <c r="BB9" s="10">
        <f>IFERROR(__xludf.DUMMYFUNCTION("ifna(QUERY($A$2:$G$2000, ""select G where D="" &amp; BB$1 &amp; "" and E="" &amp; $I9), QUERY($A$2:$G$2000, ""select G where E="" &amp; BB$1 &amp; "" and D="" &amp; $I9))"),6.096618357487923)</f>
        <v>6.096618357</v>
      </c>
      <c r="BC9" s="10">
        <f>IFERROR(__xludf.DUMMYFUNCTION("ifna(QUERY($A$2:$G$2000, ""select G where D="" &amp; BC$1 &amp; "" and E="" &amp; $I9), QUERY($A$2:$G$2000, ""select G where E="" &amp; BC$1 &amp; "" and D="" &amp; $I9))"),6.113475177304965)</f>
        <v>6.113475177</v>
      </c>
      <c r="BD9" s="10">
        <f>IFERROR(__xludf.DUMMYFUNCTION("ifna(QUERY($A$2:$G$2000, ""select G where D="" &amp; BD$1 &amp; "" and E="" &amp; $I9), QUERY($A$2:$G$2000, ""select G where E="" &amp; BD$1 &amp; "" and D="" &amp; $I9))"),6.138888888888889)</f>
        <v>6.138888889</v>
      </c>
      <c r="BE9" s="10">
        <f>IFERROR(__xludf.DUMMYFUNCTION("ifna(QUERY($A$2:$G$2000, ""select G where D="" &amp; BE$1 &amp; "" and E="" &amp; $I9), QUERY($A$2:$G$2000, ""select G where E="" &amp; BE$1 &amp; "" and D="" &amp; $I9))"),6.163265306122449)</f>
        <v>6.163265306</v>
      </c>
      <c r="BF9" s="10">
        <f>IFERROR(__xludf.DUMMYFUNCTION("ifna(QUERY($A$2:$G$2000, ""select G where D="" &amp; BF$1 &amp; "" and E="" &amp; $I9), QUERY($A$2:$G$2000, ""select G where E="" &amp; BF$1 &amp; "" and D="" &amp; $I9))"),6.1866666666666665)</f>
        <v>6.186666667</v>
      </c>
      <c r="BG9" s="10">
        <f>IFERROR(__xludf.DUMMYFUNCTION("ifna(QUERY($A$2:$G$2000, ""select G where D="" &amp; BG$1 &amp; "" and E="" &amp; $I9), QUERY($A$2:$G$2000, ""select G where E="" &amp; BG$1 &amp; "" and D="" &amp; $I9))"),6.209150326797386)</f>
        <v>6.209150327</v>
      </c>
      <c r="BH9" s="10">
        <f>IFERROR(__xludf.DUMMYFUNCTION("ifna(QUERY($A$2:$G$2000, ""select G where D="" &amp; BH$1 &amp; "" and E="" &amp; $I9), QUERY($A$2:$G$2000, ""select G where E="" &amp; BH$1 &amp; "" and D="" &amp; $I9))"),6.239316239316239)</f>
        <v>6.239316239</v>
      </c>
      <c r="BI9" s="10">
        <f>IFERROR(__xludf.DUMMYFUNCTION("ifna(QUERY($A$2:$G$2000, ""select G where D="" &amp; BI$1 &amp; "" and E="" &amp; $I9), QUERY($A$2:$G$2000, ""select G where E="" &amp; BI$1 &amp; "" and D="" &amp; $I9))"),6.268343815513627)</f>
        <v>6.268343816</v>
      </c>
      <c r="BJ9" s="10">
        <f>IFERROR(__xludf.DUMMYFUNCTION("ifna(QUERY($A$2:$G$2000, ""select G where D="" &amp; BJ$1 &amp; "" and E="" &amp; $I9), QUERY($A$2:$G$2000, ""select G where E="" &amp; BJ$1 &amp; "" and D="" &amp; $I9))"),6.296296296296296)</f>
        <v>6.296296296</v>
      </c>
      <c r="BK9" s="10">
        <f>IFERROR(__xludf.DUMMYFUNCTION("ifna(QUERY($A$2:$G$2000, ""select G where D="" &amp; BK$1 &amp; "" and E="" &amp; $I9), QUERY($A$2:$G$2000, ""select G where E="" &amp; BK$1 &amp; "" and D="" &amp; $I9))"),6.3232323232323235)</f>
        <v>6.323232323</v>
      </c>
      <c r="BL9" s="10"/>
      <c r="BM9" s="10"/>
      <c r="BN9" s="10"/>
      <c r="BO9" s="10"/>
    </row>
    <row r="10">
      <c r="A10" s="3">
        <v>3.0</v>
      </c>
      <c r="B10" s="3">
        <v>4.0</v>
      </c>
      <c r="C10" s="3">
        <v>25.0</v>
      </c>
      <c r="D10" s="3">
        <v>4.0</v>
      </c>
      <c r="E10" s="3">
        <v>4.0</v>
      </c>
      <c r="F10" s="11">
        <f t="shared" si="1"/>
        <v>0.16</v>
      </c>
      <c r="G10" s="5">
        <f t="shared" si="2"/>
        <v>2.84</v>
      </c>
      <c r="H10" s="3">
        <v>10.0</v>
      </c>
      <c r="I10" s="2">
        <v>9.0</v>
      </c>
      <c r="J10" s="10">
        <f>IFERROR(__xludf.DUMMYFUNCTION("ifna(QUERY($A$2:$G$2000, ""select G where D="" &amp; J$1 &amp; "" and E="" &amp; $I10), QUERY($A$2:$G$2000, ""select G where E="" &amp; J$1 &amp; "" and D="" &amp; $I10))"),3.2)</f>
        <v>3.2</v>
      </c>
      <c r="K10" s="10">
        <f>IFERROR(__xludf.DUMMYFUNCTION("ifna(QUERY($A$2:$G$2000, ""select G where D="" &amp; K$1 &amp; "" and E="" &amp; $I10), QUERY($A$2:$G$2000, ""select G where E="" &amp; K$1 &amp; "" and D="" &amp; $I10))"),3.3333333333333335)</f>
        <v>3.333333333</v>
      </c>
      <c r="L10" s="10">
        <f>IFERROR(__xludf.DUMMYFUNCTION("ifna(QUERY($A$2:$G$2000, ""select G where D="" &amp; L$1 &amp; "" and E="" &amp; $I10), QUERY($A$2:$G$2000, ""select G where E="" &amp; L$1 &amp; "" and D="" &amp; $I10))"),3.6)</f>
        <v>3.6</v>
      </c>
      <c r="M10" s="10">
        <f>IFERROR(__xludf.DUMMYFUNCTION("ifna(QUERY($A$2:$G$2000, ""select G where D="" &amp; M$1 &amp; "" and E="" &amp; $I10), QUERY($A$2:$G$2000, ""select G where E="" &amp; M$1 &amp; "" and D="" &amp; $I10))"),3.8)</f>
        <v>3.8</v>
      </c>
      <c r="N10" s="10">
        <f>IFERROR(__xludf.DUMMYFUNCTION("ifna(QUERY($A$2:$G$2000, ""select G where D="" &amp; N$1 &amp; "" and E="" &amp; $I10), QUERY($A$2:$G$2000, ""select G where E="" &amp; N$1 &amp; "" and D="" &amp; $I10))"),3.933333333333333)</f>
        <v>3.933333333</v>
      </c>
      <c r="O10" s="10">
        <f>IFERROR(__xludf.DUMMYFUNCTION("ifna(QUERY($A$2:$G$2000, ""select G where D="" &amp; O$1 &amp; "" and E="" &amp; $I10), QUERY($A$2:$G$2000, ""select G where E="" &amp; O$1 &amp; "" and D="" &amp; $I10))"),4.114285714285714)</f>
        <v>4.114285714</v>
      </c>
      <c r="P10" s="10">
        <f>IFERROR(__xludf.DUMMYFUNCTION("ifna(QUERY($A$2:$G$2000, ""select G where D="" &amp; P$1 &amp; "" and E="" &amp; $I10), QUERY($A$2:$G$2000, ""select G where E="" &amp; P$1 &amp; "" and D="" &amp; $I10))"),4.25)</f>
        <v>4.25</v>
      </c>
      <c r="Q10" s="10">
        <f>IFERROR(__xludf.DUMMYFUNCTION("ifna(QUERY($A$2:$G$2000, ""select G where D="" &amp; Q$1 &amp; "" and E="" &amp; $I10), QUERY($A$2:$G$2000, ""select G where E="" &amp; Q$1 &amp; "" and D="" &amp; $I10))"),4.4)</f>
        <v>4.4</v>
      </c>
      <c r="R10" s="10">
        <f>IFERROR(__xludf.DUMMYFUNCTION("ifna(QUERY($A$2:$G$2000, ""select G where D="" &amp; R$1 &amp; "" and E="" &amp; $I10), QUERY($A$2:$G$2000, ""select G where E="" &amp; R$1 &amp; "" and D="" &amp; $I10))"),4.52)</f>
        <v>4.52</v>
      </c>
      <c r="S10" s="10">
        <f>IFERROR(__xludf.DUMMYFUNCTION("ifna(QUERY($A$2:$G$2000, ""select G where D="" &amp; S$1 &amp; "" and E="" &amp; $I10), QUERY($A$2:$G$2000, ""select G where E="" &amp; S$1 &amp; "" and D="" &amp; $I10))"),4.654545454545454)</f>
        <v>4.654545455</v>
      </c>
      <c r="T10" s="10">
        <f>IFERROR(__xludf.DUMMYFUNCTION("ifna(QUERY($A$2:$G$2000, ""select G where D="" &amp; T$1 &amp; "" and E="" &amp; $I10), QUERY($A$2:$G$2000, ""select G where E="" &amp; T$1 &amp; "" and D="" &amp; $I10))"),4.766666666666667)</f>
        <v>4.766666667</v>
      </c>
      <c r="U10" s="10">
        <f>IFERROR(__xludf.DUMMYFUNCTION("ifna(QUERY($A$2:$G$2000, ""select G where D="" &amp; U$1 &amp; "" and E="" &amp; $I10), QUERY($A$2:$G$2000, ""select G where E="" &amp; U$1 &amp; "" and D="" &amp; $I10))"),4.8307692307692305)</f>
        <v>4.830769231</v>
      </c>
      <c r="V10" s="10">
        <f>IFERROR(__xludf.DUMMYFUNCTION("ifna(QUERY($A$2:$G$2000, ""select G where D="" &amp; V$1 &amp; "" and E="" &amp; $I10), QUERY($A$2:$G$2000, ""select G where E="" &amp; V$1 &amp; "" and D="" &amp; $I10))"),4.9)</f>
        <v>4.9</v>
      </c>
      <c r="W10" s="10">
        <f>IFERROR(__xludf.DUMMYFUNCTION("ifna(QUERY($A$2:$G$2000, ""select G where D="" &amp; W$1 &amp; "" and E="" &amp; $I10), QUERY($A$2:$G$2000, ""select G where E="" &amp; W$1 &amp; "" and D="" &amp; $I10))"),4.973333333333334)</f>
        <v>4.973333333</v>
      </c>
      <c r="X10" s="10">
        <f>IFERROR(__xludf.DUMMYFUNCTION("ifna(QUERY($A$2:$G$2000, ""select G where D="" &amp; X$1 &amp; "" and E="" &amp; $I10), QUERY($A$2:$G$2000, ""select G where E="" &amp; X$1 &amp; "" and D="" &amp; $I10))"),5.025)</f>
        <v>5.025</v>
      </c>
      <c r="Y10" s="10">
        <f>IFERROR(__xludf.DUMMYFUNCTION("ifna(QUERY($A$2:$G$2000, ""select G where D="" &amp; Y$1 &amp; "" and E="" &amp; $I10), QUERY($A$2:$G$2000, ""select G where E="" &amp; Y$1 &amp; "" and D="" &amp; $I10))"),5.070588235294117)</f>
        <v>5.070588235</v>
      </c>
      <c r="Z10" s="10">
        <f>IFERROR(__xludf.DUMMYFUNCTION("ifna(QUERY($A$2:$G$2000, ""select G where D="" &amp; Z$1 &amp; "" and E="" &amp; $I10), QUERY($A$2:$G$2000, ""select G where E="" &amp; Z$1 &amp; "" and D="" &amp; $I10))"),5.111111111111111)</f>
        <v>5.111111111</v>
      </c>
      <c r="AA10" s="10">
        <f>IFERROR(__xludf.DUMMYFUNCTION("ifna(QUERY($A$2:$G$2000, ""select G where D="" &amp; AA$1 &amp; "" and E="" &amp; $I10), QUERY($A$2:$G$2000, ""select G where E="" &amp; AA$1 &amp; "" and D="" &amp; $I10))"),5.168421052631579)</f>
        <v>5.168421053</v>
      </c>
      <c r="AB10" s="10">
        <f>IFERROR(__xludf.DUMMYFUNCTION("ifna(QUERY($A$2:$G$2000, ""select G where D="" &amp; AB$1 &amp; "" and E="" &amp; $I10), QUERY($A$2:$G$2000, ""select G where E="" &amp; AB$1 &amp; "" and D="" &amp; $I10))"),5.22)</f>
        <v>5.22</v>
      </c>
      <c r="AC10" s="10">
        <f>IFERROR(__xludf.DUMMYFUNCTION("ifna(QUERY($A$2:$G$2000, ""select G where D="" &amp; AC$1 &amp; "" and E="" &amp; $I10), QUERY($A$2:$G$2000, ""select G where E="" &amp; AC$1 &amp; "" and D="" &amp; $I10))"),5.285714285714286)</f>
        <v>5.285714286</v>
      </c>
      <c r="AD10" s="10">
        <f>IFERROR(__xludf.DUMMYFUNCTION("ifna(QUERY($A$2:$G$2000, ""select G where D="" &amp; AD$1 &amp; "" and E="" &amp; $I10), QUERY($A$2:$G$2000, ""select G where E="" &amp; AD$1 &amp; "" and D="" &amp; $I10))"),5.345454545454546)</f>
        <v>5.345454545</v>
      </c>
      <c r="AE10" s="10">
        <f>IFERROR(__xludf.DUMMYFUNCTION("ifna(QUERY($A$2:$G$2000, ""select G where D="" &amp; AE$1 &amp; "" and E="" &amp; $I10), QUERY($A$2:$G$2000, ""select G where E="" &amp; AE$1 &amp; "" and D="" &amp; $I10))"),5.4)</f>
        <v>5.4</v>
      </c>
      <c r="AF10" s="10">
        <f>IFERROR(__xludf.DUMMYFUNCTION("ifna(QUERY($A$2:$G$2000, ""select G where D="" &amp; AF$1 &amp; "" and E="" &amp; $I10), QUERY($A$2:$G$2000, ""select G where E="" &amp; AF$1 &amp; "" and D="" &amp; $I10))"),5.466666666666667)</f>
        <v>5.466666667</v>
      </c>
      <c r="AG10" s="10">
        <f>IFERROR(__xludf.DUMMYFUNCTION("ifna(QUERY($A$2:$G$2000, ""select G where D="" &amp; AG$1 &amp; "" and E="" &amp; $I10), QUERY($A$2:$G$2000, ""select G where E="" &amp; AG$1 &amp; "" and D="" &amp; $I10))"),5.5280000000000005)</f>
        <v>5.528</v>
      </c>
      <c r="AH10" s="10">
        <f>IFERROR(__xludf.DUMMYFUNCTION("ifna(QUERY($A$2:$G$2000, ""select G where D="" &amp; AH$1 &amp; "" and E="" &amp; $I10), QUERY($A$2:$G$2000, ""select G where E="" &amp; AH$1 &amp; "" and D="" &amp; $I10))"),5.584615384615384)</f>
        <v>5.584615385</v>
      </c>
      <c r="AI10" s="10">
        <f>IFERROR(__xludf.DUMMYFUNCTION("ifna(QUERY($A$2:$G$2000, ""select G where D="" &amp; AI$1 &amp; "" and E="" &amp; $I10), QUERY($A$2:$G$2000, ""select G where E="" &amp; AI$1 &amp; "" and D="" &amp; $I10))"),5.637037037037037)</f>
        <v>5.637037037</v>
      </c>
      <c r="AJ10" s="10">
        <f>IFERROR(__xludf.DUMMYFUNCTION("ifna(QUERY($A$2:$G$2000, ""select G where D="" &amp; AJ$1 &amp; "" and E="" &amp; $I10), QUERY($A$2:$G$2000, ""select G where E="" &amp; AJ$1 &amp; "" and D="" &amp; $I10))"),5.685714285714286)</f>
        <v>5.685714286</v>
      </c>
      <c r="AK10" s="10">
        <f>IFERROR(__xludf.DUMMYFUNCTION("ifna(QUERY($A$2:$G$2000, ""select G where D="" &amp; AK$1 &amp; "" and E="" &amp; $I10), QUERY($A$2:$G$2000, ""select G where E="" &amp; AK$1 &amp; "" and D="" &amp; $I10))"),5.731034482758621)</f>
        <v>5.731034483</v>
      </c>
      <c r="AL10" s="10">
        <f>IFERROR(__xludf.DUMMYFUNCTION("ifna(QUERY($A$2:$G$2000, ""select G where D="" &amp; AL$1 &amp; "" and E="" &amp; $I10), QUERY($A$2:$G$2000, ""select G where E="" &amp; AL$1 &amp; "" and D="" &amp; $I10))"),5.773333333333333)</f>
        <v>5.773333333</v>
      </c>
      <c r="AM10" s="10">
        <f>IFERROR(__xludf.DUMMYFUNCTION("ifna(QUERY($A$2:$G$2000, ""select G where D="" &amp; AM$1 &amp; "" and E="" &amp; $I10), QUERY($A$2:$G$2000, ""select G where E="" &amp; AM$1 &amp; "" and D="" &amp; $I10))"),5.806451612903226)</f>
        <v>5.806451613</v>
      </c>
      <c r="AN10" s="10">
        <f>IFERROR(__xludf.DUMMYFUNCTION("ifna(QUERY($A$2:$G$2000, ""select G where D="" &amp; AN$1 &amp; "" and E="" &amp; $I10), QUERY($A$2:$G$2000, ""select G where E="" &amp; AN$1 &amp; "" and D="" &amp; $I10))"),5.8375)</f>
        <v>5.8375</v>
      </c>
      <c r="AO10" s="10">
        <f>IFERROR(__xludf.DUMMYFUNCTION("ifna(QUERY($A$2:$G$2000, ""select G where D="" &amp; AO$1 &amp; "" and E="" &amp; $I10), QUERY($A$2:$G$2000, ""select G where E="" &amp; AO$1 &amp; "" and D="" &amp; $I10))"),5.86060606060606)</f>
        <v>5.860606061</v>
      </c>
      <c r="AP10" s="10">
        <f>IFERROR(__xludf.DUMMYFUNCTION("ifna(QUERY($A$2:$G$2000, ""select G where D="" &amp; AP$1 &amp; "" and E="" &amp; $I10), QUERY($A$2:$G$2000, ""select G where E="" &amp; AP$1 &amp; "" and D="" &amp; $I10))"),5.882352941176471)</f>
        <v>5.882352941</v>
      </c>
      <c r="AQ10" s="10">
        <f>IFERROR(__xludf.DUMMYFUNCTION("ifna(QUERY($A$2:$G$2000, ""select G where D="" &amp; AQ$1 &amp; "" and E="" &amp; $I10), QUERY($A$2:$G$2000, ""select G where E="" &amp; AQ$1 &amp; "" and D="" &amp; $I10))"),5.908571428571428)</f>
        <v>5.908571429</v>
      </c>
      <c r="AR10" s="10">
        <f>IFERROR(__xludf.DUMMYFUNCTION("ifna(QUERY($A$2:$G$2000, ""select G where D="" &amp; AR$1 &amp; "" and E="" &amp; $I10), QUERY($A$2:$G$2000, ""select G where E="" &amp; AR$1 &amp; "" and D="" &amp; $I10))"),5.95)</f>
        <v>5.95</v>
      </c>
      <c r="AS10" s="10">
        <f>IFERROR(__xludf.DUMMYFUNCTION("ifna(QUERY($A$2:$G$2000, ""select G where D="" &amp; AS$1 &amp; "" and E="" &amp; $I10), QUERY($A$2:$G$2000, ""select G where E="" &amp; AS$1 &amp; "" and D="" &amp; $I10))"),5.994594594594594)</f>
        <v>5.994594595</v>
      </c>
      <c r="AT10" s="10">
        <f>IFERROR(__xludf.DUMMYFUNCTION("ifna(QUERY($A$2:$G$2000, ""select G where D="" &amp; AT$1 &amp; "" and E="" &amp; $I10), QUERY($A$2:$G$2000, ""select G where E="" &amp; AT$1 &amp; "" and D="" &amp; $I10))"),6.010526315789473)</f>
        <v>6.010526316</v>
      </c>
      <c r="AU10" s="10">
        <f>IFERROR(__xludf.DUMMYFUNCTION("ifna(QUERY($A$2:$G$2000, ""select G where D="" &amp; AU$1 &amp; "" and E="" &amp; $I10), QUERY($A$2:$G$2000, ""select G where E="" &amp; AU$1 &amp; "" and D="" &amp; $I10))"),6.02051282051282)</f>
        <v>6.020512821</v>
      </c>
      <c r="AV10" s="10">
        <f>IFERROR(__xludf.DUMMYFUNCTION("ifna(QUERY($A$2:$G$2000, ""select G where D="" &amp; AV$1 &amp; "" and E="" &amp; $I10), QUERY($A$2:$G$2000, ""select G where E="" &amp; AV$1 &amp; "" and D="" &amp; $I10))"),6.04)</f>
        <v>6.04</v>
      </c>
      <c r="AW10" s="10">
        <f>IFERROR(__xludf.DUMMYFUNCTION("ifna(QUERY($A$2:$G$2000, ""select G where D="" &amp; AW$1 &amp; "" and E="" &amp; $I10), QUERY($A$2:$G$2000, ""select G where E="" &amp; AW$1 &amp; "" and D="" &amp; $I10))"),6.058536585365854)</f>
        <v>6.058536585</v>
      </c>
      <c r="AX10" s="10">
        <f>IFERROR(__xludf.DUMMYFUNCTION("ifna(QUERY($A$2:$G$2000, ""select G where D="" &amp; AX$1 &amp; "" and E="" &amp; $I10), QUERY($A$2:$G$2000, ""select G where E="" &amp; AX$1 &amp; "" and D="" &amp; $I10))"),6.076190476190476)</f>
        <v>6.076190476</v>
      </c>
      <c r="AY10" s="10">
        <f>IFERROR(__xludf.DUMMYFUNCTION("ifna(QUERY($A$2:$G$2000, ""select G where D="" &amp; AY$1 &amp; "" and E="" &amp; $I10), QUERY($A$2:$G$2000, ""select G where E="" &amp; AY$1 &amp; "" and D="" &amp; $I10))"),6.093023255813954)</f>
        <v>6.093023256</v>
      </c>
      <c r="AZ10" s="10">
        <f>IFERROR(__xludf.DUMMYFUNCTION("ifna(QUERY($A$2:$G$2000, ""select G where D="" &amp; AZ$1 &amp; "" and E="" &amp; $I10), QUERY($A$2:$G$2000, ""select G where E="" &amp; AZ$1 &amp; "" and D="" &amp; $I10))"),6.118181818181818)</f>
        <v>6.118181818</v>
      </c>
      <c r="BA10" s="10">
        <f>IFERROR(__xludf.DUMMYFUNCTION("ifna(QUERY($A$2:$G$2000, ""select G where D="" &amp; BA$1 &amp; "" and E="" &amp; $I10), QUERY($A$2:$G$2000, ""select G where E="" &amp; BA$1 &amp; "" and D="" &amp; $I10))"),6.142222222222222)</f>
        <v>6.142222222</v>
      </c>
      <c r="BB10" s="10">
        <f>IFERROR(__xludf.DUMMYFUNCTION("ifna(QUERY($A$2:$G$2000, ""select G where D="" &amp; BB$1 &amp; "" and E="" &amp; $I10), QUERY($A$2:$G$2000, ""select G where E="" &amp; BB$1 &amp; "" and D="" &amp; $I10))"),6.165217391304348)</f>
        <v>6.165217391</v>
      </c>
      <c r="BC10" s="10">
        <f>IFERROR(__xludf.DUMMYFUNCTION("ifna(QUERY($A$2:$G$2000, ""select G where D="" &amp; BC$1 &amp; "" and E="" &amp; $I10), QUERY($A$2:$G$2000, ""select G where E="" &amp; BC$1 &amp; "" and D="" &amp; $I10))"),6.187234042553191)</f>
        <v>6.187234043</v>
      </c>
      <c r="BD10" s="10">
        <f>IFERROR(__xludf.DUMMYFUNCTION("ifna(QUERY($A$2:$G$2000, ""select G where D="" &amp; BD$1 &amp; "" and E="" &amp; $I10), QUERY($A$2:$G$2000, ""select G where E="" &amp; BD$1 &amp; "" and D="" &amp; $I10))"),6.216666666666667)</f>
        <v>6.216666667</v>
      </c>
      <c r="BE10" s="10">
        <f>IFERROR(__xludf.DUMMYFUNCTION("ifna(QUERY($A$2:$G$2000, ""select G where D="" &amp; BE$1 &amp; "" and E="" &amp; $I10), QUERY($A$2:$G$2000, ""select G where E="" &amp; BE$1 &amp; "" and D="" &amp; $I10))"),6.244897959183674)</f>
        <v>6.244897959</v>
      </c>
      <c r="BF10" s="10">
        <f>IFERROR(__xludf.DUMMYFUNCTION("ifna(QUERY($A$2:$G$2000, ""select G where D="" &amp; BF$1 &amp; "" and E="" &amp; $I10), QUERY($A$2:$G$2000, ""select G where E="" &amp; BF$1 &amp; "" and D="" &amp; $I10))"),6.272)</f>
        <v>6.272</v>
      </c>
      <c r="BG10" s="10">
        <f>IFERROR(__xludf.DUMMYFUNCTION("ifna(QUERY($A$2:$G$2000, ""select G where D="" &amp; BG$1 &amp; "" and E="" &amp; $I10), QUERY($A$2:$G$2000, ""select G where E="" &amp; BG$1 &amp; "" and D="" &amp; $I10))"),6.298039215686274)</f>
        <v>6.298039216</v>
      </c>
      <c r="BH10" s="10">
        <f>IFERROR(__xludf.DUMMYFUNCTION("ifna(QUERY($A$2:$G$2000, ""select G where D="" &amp; BH$1 &amp; "" and E="" &amp; $I10), QUERY($A$2:$G$2000, ""select G where E="" &amp; BH$1 &amp; "" and D="" &amp; $I10))"),6.3307692307692305)</f>
        <v>6.330769231</v>
      </c>
      <c r="BI10" s="10">
        <f>IFERROR(__xludf.DUMMYFUNCTION("ifna(QUERY($A$2:$G$2000, ""select G where D="" &amp; BI$1 &amp; "" and E="" &amp; $I10), QUERY($A$2:$G$2000, ""select G where E="" &amp; BI$1 &amp; "" and D="" &amp; $I10))"),6.362264150943396)</f>
        <v>6.362264151</v>
      </c>
      <c r="BJ10" s="10">
        <f>IFERROR(__xludf.DUMMYFUNCTION("ifna(QUERY($A$2:$G$2000, ""select G where D="" &amp; BJ$1 &amp; "" and E="" &amp; $I10), QUERY($A$2:$G$2000, ""select G where E="" &amp; BJ$1 &amp; "" and D="" &amp; $I10))"),6.392592592592592)</f>
        <v>6.392592593</v>
      </c>
      <c r="BK10" s="10">
        <f>IFERROR(__xludf.DUMMYFUNCTION("ifna(QUERY($A$2:$G$2000, ""select G where D="" &amp; BK$1 &amp; "" and E="" &amp; $I10), QUERY($A$2:$G$2000, ""select G where E="" &amp; BK$1 &amp; "" and D="" &amp; $I10))"),6.421818181818182)</f>
        <v>6.421818182</v>
      </c>
      <c r="BL10" s="10"/>
      <c r="BM10" s="10"/>
      <c r="BN10" s="10"/>
      <c r="BO10" s="10"/>
    </row>
    <row r="11">
      <c r="A11" s="3">
        <v>3.0</v>
      </c>
      <c r="B11" s="3">
        <v>8.0</v>
      </c>
      <c r="C11" s="3">
        <v>12.0</v>
      </c>
      <c r="D11" s="3">
        <v>5.0</v>
      </c>
      <c r="E11" s="3">
        <v>1.0</v>
      </c>
      <c r="F11" s="11">
        <f t="shared" si="1"/>
        <v>0.6666666667</v>
      </c>
      <c r="G11" s="5">
        <f t="shared" si="2"/>
        <v>2.333333333</v>
      </c>
      <c r="H11" s="3">
        <v>11.0</v>
      </c>
      <c r="I11" s="2">
        <v>10.0</v>
      </c>
      <c r="J11" s="10">
        <f>IFERROR(__xludf.DUMMYFUNCTION("ifna(QUERY($A$2:$G$2000, ""select G where D="" &amp; J$1 &amp; "" and E="" &amp; $I11), QUERY($A$2:$G$2000, ""select G where E="" &amp; J$1 &amp; "" and D="" &amp; $I11))"),3.3636363636363638)</f>
        <v>3.363636364</v>
      </c>
      <c r="K11" s="10">
        <f>IFERROR(__xludf.DUMMYFUNCTION("ifna(QUERY($A$2:$G$2000, ""select G where D="" &amp; K$1 &amp; "" and E="" &amp; $I11), QUERY($A$2:$G$2000, ""select G where E="" &amp; K$1 &amp; "" and D="" &amp; $I11))"),3.484848484848485)</f>
        <v>3.484848485</v>
      </c>
      <c r="L11" s="10">
        <f>IFERROR(__xludf.DUMMYFUNCTION("ifna(QUERY($A$2:$G$2000, ""select G where D="" &amp; L$1 &amp; "" and E="" &amp; $I11), QUERY($A$2:$G$2000, ""select G where E="" &amp; L$1 &amp; "" and D="" &amp; $I11))"),3.7272727272727275)</f>
        <v>3.727272727</v>
      </c>
      <c r="M11" s="10">
        <f>IFERROR(__xludf.DUMMYFUNCTION("ifna(QUERY($A$2:$G$2000, ""select G where D="" &amp; M$1 &amp; "" and E="" &amp; $I11), QUERY($A$2:$G$2000, ""select G where E="" &amp; M$1 &amp; "" and D="" &amp; $I11))"),3.909090909090909)</f>
        <v>3.909090909</v>
      </c>
      <c r="N11" s="10">
        <f>IFERROR(__xludf.DUMMYFUNCTION("ifna(QUERY($A$2:$G$2000, ""select G where D="" &amp; N$1 &amp; "" and E="" &amp; $I11), QUERY($A$2:$G$2000, ""select G where E="" &amp; N$1 &amp; "" and D="" &amp; $I11))"),4.0606060606060606)</f>
        <v>4.060606061</v>
      </c>
      <c r="O11" s="10">
        <f>IFERROR(__xludf.DUMMYFUNCTION("ifna(QUERY($A$2:$G$2000, ""select G where D="" &amp; O$1 &amp; "" and E="" &amp; $I11), QUERY($A$2:$G$2000, ""select G where E="" &amp; O$1 &amp; "" and D="" &amp; $I11))"),4.207792207792208)</f>
        <v>4.207792208</v>
      </c>
      <c r="P11" s="10">
        <f>IFERROR(__xludf.DUMMYFUNCTION("ifna(QUERY($A$2:$G$2000, ""select G where D="" &amp; P$1 &amp; "" and E="" &amp; $I11), QUERY($A$2:$G$2000, ""select G where E="" &amp; P$1 &amp; "" and D="" &amp; $I11))"),4.363636363636363)</f>
        <v>4.363636364</v>
      </c>
      <c r="Q11" s="10">
        <f>IFERROR(__xludf.DUMMYFUNCTION("ifna(QUERY($A$2:$G$2000, ""select G where D="" &amp; Q$1 &amp; "" and E="" &amp; $I11), QUERY($A$2:$G$2000, ""select G where E="" &amp; Q$1 &amp; "" and D="" &amp; $I11))"),4.525252525252525)</f>
        <v>4.525252525</v>
      </c>
      <c r="R11" s="10">
        <f>IFERROR(__xludf.DUMMYFUNCTION("ifna(QUERY($A$2:$G$2000, ""select G where D="" &amp; R$1 &amp; "" and E="" &amp; $I11), QUERY($A$2:$G$2000, ""select G where E="" &amp; R$1 &amp; "" and D="" &amp; $I11))"),4.654545454545454)</f>
        <v>4.654545455</v>
      </c>
      <c r="S11" s="10">
        <f>IFERROR(__xludf.DUMMYFUNCTION("ifna(QUERY($A$2:$G$2000, ""select G where D="" &amp; S$1 &amp; "" and E="" &amp; $I11), QUERY($A$2:$G$2000, ""select G where E="" &amp; S$1 &amp; "" and D="" &amp; $I11))"),4.760330578512397)</f>
        <v>4.760330579</v>
      </c>
      <c r="T11" s="10">
        <f>IFERROR(__xludf.DUMMYFUNCTION("ifna(QUERY($A$2:$G$2000, ""select G where D="" &amp; T$1 &amp; "" and E="" &amp; $I11), QUERY($A$2:$G$2000, ""select G where E="" &amp; T$1 &amp; "" and D="" &amp; $I11))"),4.848484848484849)</f>
        <v>4.848484848</v>
      </c>
      <c r="U11" s="10">
        <f>IFERROR(__xludf.DUMMYFUNCTION("ifna(QUERY($A$2:$G$2000, ""select G where D="" &amp; U$1 &amp; "" and E="" &amp; $I11), QUERY($A$2:$G$2000, ""select G where E="" &amp; U$1 &amp; "" and D="" &amp; $I11))"),4.895104895104895)</f>
        <v>4.895104895</v>
      </c>
      <c r="V11" s="10">
        <f>IFERROR(__xludf.DUMMYFUNCTION("ifna(QUERY($A$2:$G$2000, ""select G where D="" &amp; V$1 &amp; "" and E="" &amp; $I11), QUERY($A$2:$G$2000, ""select G where E="" &amp; V$1 &amp; "" and D="" &amp; $I11))"),5.025974025974026)</f>
        <v>5.025974026</v>
      </c>
      <c r="W11" s="10">
        <f>IFERROR(__xludf.DUMMYFUNCTION("ifna(QUERY($A$2:$G$2000, ""select G where D="" &amp; W$1 &amp; "" and E="" &amp; $I11), QUERY($A$2:$G$2000, ""select G where E="" &amp; W$1 &amp; "" and D="" &amp; $I11))"),5.048484848484849)</f>
        <v>5.048484848</v>
      </c>
      <c r="X11" s="10">
        <f>IFERROR(__xludf.DUMMYFUNCTION("ifna(QUERY($A$2:$G$2000, ""select G where D="" &amp; X$1 &amp; "" and E="" &amp; $I11), QUERY($A$2:$G$2000, ""select G where E="" &amp; X$1 &amp; "" and D="" &amp; $I11))"),5.090909090909091)</f>
        <v>5.090909091</v>
      </c>
      <c r="Y11" s="10">
        <f>IFERROR(__xludf.DUMMYFUNCTION("ifna(QUERY($A$2:$G$2000, ""select G where D="" &amp; Y$1 &amp; "" and E="" &amp; $I11), QUERY($A$2:$G$2000, ""select G where E="" &amp; Y$1 &amp; "" and D="" &amp; $I11))"),5.149732620320855)</f>
        <v>5.14973262</v>
      </c>
      <c r="Z11" s="10">
        <f>IFERROR(__xludf.DUMMYFUNCTION("ifna(QUERY($A$2:$G$2000, ""select G where D="" &amp; Z$1 &amp; "" and E="" &amp; $I11), QUERY($A$2:$G$2000, ""select G where E="" &amp; Z$1 &amp; "" and D="" &amp; $I11))"),5.202020202020202)</f>
        <v>5.202020202</v>
      </c>
      <c r="AA11" s="10">
        <f>IFERROR(__xludf.DUMMYFUNCTION("ifna(QUERY($A$2:$G$2000, ""select G where D="" &amp; AA$1 &amp; "" and E="" &amp; $I11), QUERY($A$2:$G$2000, ""select G where E="" &amp; AA$1 &amp; "" and D="" &amp; $I11))"),5.267942583732057)</f>
        <v>5.267942584</v>
      </c>
      <c r="AB11" s="10">
        <f>IFERROR(__xludf.DUMMYFUNCTION("ifna(QUERY($A$2:$G$2000, ""select G where D="" &amp; AB$1 &amp; "" and E="" &amp; $I11), QUERY($A$2:$G$2000, ""select G where E="" &amp; AB$1 &amp; "" and D="" &amp; $I11))"),5.327272727272727)</f>
        <v>5.327272727</v>
      </c>
      <c r="AC11" s="10">
        <f>IFERROR(__xludf.DUMMYFUNCTION("ifna(QUERY($A$2:$G$2000, ""select G where D="" &amp; AC$1 &amp; "" and E="" &amp; $I11), QUERY($A$2:$G$2000, ""select G where E="" &amp; AC$1 &amp; "" and D="" &amp; $I11))"),5.3982683982683985)</f>
        <v>5.398268398</v>
      </c>
      <c r="AD11" s="10">
        <f>IFERROR(__xludf.DUMMYFUNCTION("ifna(QUERY($A$2:$G$2000, ""select G where D="" &amp; AD$1 &amp; "" and E="" &amp; $I11), QUERY($A$2:$G$2000, ""select G where E="" &amp; AD$1 &amp; "" and D="" &amp; $I11))"),5.462809917355372)</f>
        <v>5.462809917</v>
      </c>
      <c r="AE11" s="10">
        <f>IFERROR(__xludf.DUMMYFUNCTION("ifna(QUERY($A$2:$G$2000, ""select G where D="" &amp; AE$1 &amp; "" and E="" &amp; $I11), QUERY($A$2:$G$2000, ""select G where E="" &amp; AE$1 &amp; "" and D="" &amp; $I11))"),5.521739130434782)</f>
        <v>5.52173913</v>
      </c>
      <c r="AF11" s="10">
        <f>IFERROR(__xludf.DUMMYFUNCTION("ifna(QUERY($A$2:$G$2000, ""select G where D="" &amp; AF$1 &amp; "" and E="" &amp; $I11), QUERY($A$2:$G$2000, ""select G where E="" &amp; AF$1 &amp; "" and D="" &amp; $I11))"),5.583333333333333)</f>
        <v>5.583333333</v>
      </c>
      <c r="AG11" s="10">
        <f>IFERROR(__xludf.DUMMYFUNCTION("ifna(QUERY($A$2:$G$2000, ""select G where D="" &amp; AG$1 &amp; "" and E="" &amp; $I11), QUERY($A$2:$G$2000, ""select G where E="" &amp; AG$1 &amp; "" and D="" &amp; $I11))"),5.64)</f>
        <v>5.64</v>
      </c>
      <c r="AH11" s="10">
        <f>IFERROR(__xludf.DUMMYFUNCTION("ifna(QUERY($A$2:$G$2000, ""select G where D="" &amp; AH$1 &amp; "" and E="" &amp; $I11), QUERY($A$2:$G$2000, ""select G where E="" &amp; AH$1 &amp; "" and D="" &amp; $I11))"),5.6923076923076925)</f>
        <v>5.692307692</v>
      </c>
      <c r="AI11" s="10">
        <f>IFERROR(__xludf.DUMMYFUNCTION("ifna(QUERY($A$2:$G$2000, ""select G where D="" &amp; AI$1 &amp; "" and E="" &amp; $I11), QUERY($A$2:$G$2000, ""select G where E="" &amp; AI$1 &amp; "" and D="" &amp; $I11))"),5.7340067340067336)</f>
        <v>5.734006734</v>
      </c>
      <c r="AJ11" s="10">
        <f>IFERROR(__xludf.DUMMYFUNCTION("ifna(QUERY($A$2:$G$2000, ""select G where D="" &amp; AJ$1 &amp; "" and E="" &amp; $I11), QUERY($A$2:$G$2000, ""select G where E="" &amp; AJ$1 &amp; "" and D="" &amp; $I11))"),5.7727272727272725)</f>
        <v>5.772727273</v>
      </c>
      <c r="AK11" s="10">
        <f>IFERROR(__xludf.DUMMYFUNCTION("ifna(QUERY($A$2:$G$2000, ""select G where D="" &amp; AK$1 &amp; "" and E="" &amp; $I11), QUERY($A$2:$G$2000, ""select G where E="" &amp; AK$1 &amp; "" and D="" &amp; $I11))"),5.808777429467085)</f>
        <v>5.808777429</v>
      </c>
      <c r="AL11" s="10">
        <f>IFERROR(__xludf.DUMMYFUNCTION("ifna(QUERY($A$2:$G$2000, ""select G where D="" &amp; AL$1 &amp; "" and E="" &amp; $I11), QUERY($A$2:$G$2000, ""select G where E="" &amp; AL$1 &amp; "" and D="" &amp; $I11))"),5.842424242424243)</f>
        <v>5.842424242</v>
      </c>
      <c r="AM11" s="10">
        <f>IFERROR(__xludf.DUMMYFUNCTION("ifna(QUERY($A$2:$G$2000, ""select G where D="" &amp; AM$1 &amp; "" and E="" &amp; $I11), QUERY($A$2:$G$2000, ""select G where E="" &amp; AM$1 &amp; "" and D="" &amp; $I11))"),5.868035190615836)</f>
        <v>5.868035191</v>
      </c>
      <c r="AN11" s="10">
        <f>IFERROR(__xludf.DUMMYFUNCTION("ifna(QUERY($A$2:$G$2000, ""select G where D="" &amp; AN$1 &amp; "" and E="" &amp; $I11), QUERY($A$2:$G$2000, ""select G where E="" &amp; AN$1 &amp; "" and D="" &amp; $I11))"),5.8977272727272725)</f>
        <v>5.897727273</v>
      </c>
      <c r="AO11" s="10">
        <f>IFERROR(__xludf.DUMMYFUNCTION("ifna(QUERY($A$2:$G$2000, ""select G where D="" &amp; AO$1 &amp; "" and E="" &amp; $I11), QUERY($A$2:$G$2000, ""select G where E="" &amp; AO$1 &amp; "" and D="" &amp; $I11))"),5.920110192837465)</f>
        <v>5.920110193</v>
      </c>
      <c r="AP11" s="10">
        <f>IFERROR(__xludf.DUMMYFUNCTION("ifna(QUERY($A$2:$G$2000, ""select G where D="" &amp; AP$1 &amp; "" and E="" &amp; $I11), QUERY($A$2:$G$2000, ""select G where E="" &amp; AP$1 &amp; "" and D="" &amp; $I11))"),5.978609625668449)</f>
        <v>5.978609626</v>
      </c>
      <c r="AQ11" s="10">
        <f>IFERROR(__xludf.DUMMYFUNCTION("ifna(QUERY($A$2:$G$2000, ""select G where D="" &amp; AQ$1 &amp; "" and E="" &amp; $I11), QUERY($A$2:$G$2000, ""select G where E="" &amp; AQ$1 &amp; "" and D="" &amp; $I11))"),6.010389610389611)</f>
        <v>6.01038961</v>
      </c>
      <c r="AR11" s="10">
        <f>IFERROR(__xludf.DUMMYFUNCTION("ifna(QUERY($A$2:$G$2000, ""select G where D="" &amp; AR$1 &amp; "" and E="" &amp; $I11), QUERY($A$2:$G$2000, ""select G where E="" &amp; AR$1 &amp; "" and D="" &amp; $I11))"),6.02020202020202)</f>
        <v>6.02020202</v>
      </c>
      <c r="AS11" s="10">
        <f>IFERROR(__xludf.DUMMYFUNCTION("ifna(QUERY($A$2:$G$2000, ""select G where D="" &amp; AS$1 &amp; "" and E="" &amp; $I11), QUERY($A$2:$G$2000, ""select G where E="" &amp; AS$1 &amp; "" and D="" &amp; $I11))"),6.0294840294840295)</f>
        <v>6.029484029</v>
      </c>
      <c r="AT11" s="10">
        <f>IFERROR(__xludf.DUMMYFUNCTION("ifna(QUERY($A$2:$G$2000, ""select G where D="" &amp; AT$1 &amp; "" and E="" &amp; $I11), QUERY($A$2:$G$2000, ""select G where E="" &amp; AT$1 &amp; "" and D="" &amp; $I11))"),6.047846889952153)</f>
        <v>6.04784689</v>
      </c>
      <c r="AU11" s="10">
        <f>IFERROR(__xludf.DUMMYFUNCTION("ifna(QUERY($A$2:$G$2000, ""select G where D="" &amp; AU$1 &amp; "" and E="" &amp; $I11), QUERY($A$2:$G$2000, ""select G where E="" &amp; AU$1 &amp; "" and D="" &amp; $I11))"),6.065268065268065)</f>
        <v>6.065268065</v>
      </c>
      <c r="AV11" s="10">
        <f>IFERROR(__xludf.DUMMYFUNCTION("ifna(QUERY($A$2:$G$2000, ""select G where D="" &amp; AV$1 &amp; "" and E="" &amp; $I11), QUERY($A$2:$G$2000, ""select G where E="" &amp; AV$1 &amp; "" and D="" &amp; $I11))"),6.090909090909091)</f>
        <v>6.090909091</v>
      </c>
      <c r="AW11" s="10">
        <f>IFERROR(__xludf.DUMMYFUNCTION("ifna(QUERY($A$2:$G$2000, ""select G where D="" &amp; AW$1 &amp; "" and E="" &amp; $I11), QUERY($A$2:$G$2000, ""select G where E="" &amp; AW$1 &amp; "" and D="" &amp; $I11))"),6.11529933481153)</f>
        <v>6.115299335</v>
      </c>
      <c r="AX11" s="10">
        <f>IFERROR(__xludf.DUMMYFUNCTION("ifna(QUERY($A$2:$G$2000, ""select G where D="" &amp; AX$1 &amp; "" and E="" &amp; $I11), QUERY($A$2:$G$2000, ""select G where E="" &amp; AX$1 &amp; "" and D="" &amp; $I11))"),6.138528138528138)</f>
        <v>6.138528139</v>
      </c>
      <c r="AY11" s="10">
        <f>IFERROR(__xludf.DUMMYFUNCTION("ifna(QUERY($A$2:$G$2000, ""select G where D="" &amp; AY$1 &amp; "" and E="" &amp; $I11), QUERY($A$2:$G$2000, ""select G where E="" &amp; AY$1 &amp; "" and D="" &amp; $I11))"),6.160676532769556)</f>
        <v>6.160676533</v>
      </c>
      <c r="AZ11" s="10">
        <f>IFERROR(__xludf.DUMMYFUNCTION("ifna(QUERY($A$2:$G$2000, ""select G where D="" &amp; AZ$1 &amp; "" and E="" &amp; $I11), QUERY($A$2:$G$2000, ""select G where E="" &amp; AZ$1 &amp; "" and D="" &amp; $I11))"),6.190082644628099)</f>
        <v>6.190082645</v>
      </c>
      <c r="BA11" s="10">
        <f>IFERROR(__xludf.DUMMYFUNCTION("ifna(QUERY($A$2:$G$2000, ""select G where D="" &amp; BA$1 &amp; "" and E="" &amp; $I11), QUERY($A$2:$G$2000, ""select G where E="" &amp; BA$1 &amp; "" and D="" &amp; $I11))"),6.218181818181818)</f>
        <v>6.218181818</v>
      </c>
      <c r="BB11" s="10">
        <f>IFERROR(__xludf.DUMMYFUNCTION("ifna(QUERY($A$2:$G$2000, ""select G where D="" &amp; BB$1 &amp; "" and E="" &amp; $I11), QUERY($A$2:$G$2000, ""select G where E="" &amp; BB$1 &amp; "" and D="" &amp; $I11))"),6.24505928853755)</f>
        <v>6.245059289</v>
      </c>
      <c r="BC11" s="10">
        <f>IFERROR(__xludf.DUMMYFUNCTION("ifna(QUERY($A$2:$G$2000, ""select G where D="" &amp; BC$1 &amp; "" and E="" &amp; $I11), QUERY($A$2:$G$2000, ""select G where E="" &amp; BC$1 &amp; "" and D="" &amp; $I11))"),6.270793036750484)</f>
        <v>6.270793037</v>
      </c>
      <c r="BD11" s="10">
        <f>IFERROR(__xludf.DUMMYFUNCTION("ifna(QUERY($A$2:$G$2000, ""select G where D="" &amp; BD$1 &amp; "" and E="" &amp; $I11), QUERY($A$2:$G$2000, ""select G where E="" &amp; BD$1 &amp; "" and D="" &amp; $I11))"),6.303030303030303)</f>
        <v>6.303030303</v>
      </c>
      <c r="BE11" s="10">
        <f>IFERROR(__xludf.DUMMYFUNCTION("ifna(QUERY($A$2:$G$2000, ""select G where D="" &amp; BE$1 &amp; "" and E="" &amp; $I11), QUERY($A$2:$G$2000, ""select G where E="" &amp; BE$1 &amp; "" and D="" &amp; $I11))"),6.333951762523191)</f>
        <v>6.333951763</v>
      </c>
      <c r="BF11" s="10">
        <f>IFERROR(__xludf.DUMMYFUNCTION("ifna(QUERY($A$2:$G$2000, ""select G where D="" &amp; BF$1 &amp; "" and E="" &amp; $I11), QUERY($A$2:$G$2000, ""select G where E="" &amp; BF$1 &amp; "" and D="" &amp; $I11))"),6.363636363636363)</f>
        <v>6.363636364</v>
      </c>
      <c r="BG11" s="10">
        <f>IFERROR(__xludf.DUMMYFUNCTION("ifna(QUERY($A$2:$G$2000, ""select G where D="" &amp; BG$1 &amp; "" and E="" &amp; $I11), QUERY($A$2:$G$2000, ""select G where E="" &amp; BG$1 &amp; "" and D="" &amp; $I11))"),6.392156862745098)</f>
        <v>6.392156863</v>
      </c>
      <c r="BH11" s="10">
        <f>IFERROR(__xludf.DUMMYFUNCTION("ifna(QUERY($A$2:$G$2000, ""select G where D="" &amp; BH$1 &amp; "" and E="" &amp; $I11), QUERY($A$2:$G$2000, ""select G where E="" &amp; BH$1 &amp; "" and D="" &amp; $I11))"),6.423076923076923)</f>
        <v>6.423076923</v>
      </c>
      <c r="BI11" s="10">
        <f>IFERROR(__xludf.DUMMYFUNCTION("ifna(QUERY($A$2:$G$2000, ""select G where D="" &amp; BI$1 &amp; "" and E="" &amp; $I11), QUERY($A$2:$G$2000, ""select G where E="" &amp; BI$1 &amp; "" and D="" &amp; $I11))"),6.452830188679245)</f>
        <v>6.452830189</v>
      </c>
      <c r="BJ11" s="10">
        <f>IFERROR(__xludf.DUMMYFUNCTION("ifna(QUERY($A$2:$G$2000, ""select G where D="" &amp; BJ$1 &amp; "" and E="" &amp; $I11), QUERY($A$2:$G$2000, ""select G where E="" &amp; BJ$1 &amp; "" and D="" &amp; $I11))"),6.481481481481482)</f>
        <v>6.481481481</v>
      </c>
      <c r="BK11" s="10">
        <f>IFERROR(__xludf.DUMMYFUNCTION("ifna(QUERY($A$2:$G$2000, ""select G where D="" &amp; BK$1 &amp; "" and E="" &amp; $I11), QUERY($A$2:$G$2000, ""select G where E="" &amp; BK$1 &amp; "" and D="" &amp; $I11))"),6.509090909090909)</f>
        <v>6.509090909</v>
      </c>
      <c r="BL11" s="10"/>
      <c r="BM11" s="10"/>
      <c r="BN11" s="10"/>
      <c r="BO11" s="10"/>
    </row>
    <row r="12">
      <c r="A12" s="3">
        <v>3.0</v>
      </c>
      <c r="B12" s="3">
        <v>8.0</v>
      </c>
      <c r="C12" s="3">
        <v>18.0</v>
      </c>
      <c r="D12" s="3">
        <v>5.0</v>
      </c>
      <c r="E12" s="3">
        <v>2.0</v>
      </c>
      <c r="F12" s="11">
        <f t="shared" si="1"/>
        <v>0.4444444444</v>
      </c>
      <c r="G12" s="5">
        <f t="shared" si="2"/>
        <v>2.555555556</v>
      </c>
      <c r="H12" s="3">
        <v>12.0</v>
      </c>
      <c r="I12" s="2">
        <v>11.0</v>
      </c>
      <c r="J12" s="10">
        <f>IFERROR(__xludf.DUMMYFUNCTION("ifna(QUERY($A$2:$G$2000, ""select G where D="" &amp; J$1 &amp; "" and E="" &amp; $I12), QUERY($A$2:$G$2000, ""select G where E="" &amp; J$1 &amp; "" and D="" &amp; $I12))"),3.5)</f>
        <v>3.5</v>
      </c>
      <c r="K12" s="10">
        <f>IFERROR(__xludf.DUMMYFUNCTION("ifna(QUERY($A$2:$G$2000, ""select G where D="" &amp; K$1 &amp; "" and E="" &amp; $I12), QUERY($A$2:$G$2000, ""select G where E="" &amp; K$1 &amp; "" and D="" &amp; $I12))"),3.611111111111111)</f>
        <v>3.611111111</v>
      </c>
      <c r="L12" s="10">
        <f>IFERROR(__xludf.DUMMYFUNCTION("ifna(QUERY($A$2:$G$2000, ""select G where D="" &amp; L$1 &amp; "" and E="" &amp; $I12), QUERY($A$2:$G$2000, ""select G where E="" &amp; L$1 &amp; "" and D="" &amp; $I12))"),3.8333333333333335)</f>
        <v>3.833333333</v>
      </c>
      <c r="M12" s="10">
        <f>IFERROR(__xludf.DUMMYFUNCTION("ifna(QUERY($A$2:$G$2000, ""select G where D="" &amp; M$1 &amp; "" and E="" &amp; $I12), QUERY($A$2:$G$2000, ""select G where E="" &amp; M$1 &amp; "" and D="" &amp; $I12))"),4.066666666666666)</f>
        <v>4.066666667</v>
      </c>
      <c r="N12" s="10">
        <f>IFERROR(__xludf.DUMMYFUNCTION("ifna(QUERY($A$2:$G$2000, ""select G where D="" &amp; N$1 &amp; "" and E="" &amp; $I12), QUERY($A$2:$G$2000, ""select G where E="" &amp; N$1 &amp; "" and D="" &amp; $I12))"),4.166666666666667)</f>
        <v>4.166666667</v>
      </c>
      <c r="O12" s="10">
        <f>IFERROR(__xludf.DUMMYFUNCTION("ifna(QUERY($A$2:$G$2000, ""select G where D="" &amp; O$1 &amp; "" and E="" &amp; $I12), QUERY($A$2:$G$2000, ""select G where E="" &amp; O$1 &amp; "" and D="" &amp; $I12))"),4.333333333333333)</f>
        <v>4.333333333</v>
      </c>
      <c r="P12" s="10">
        <f>IFERROR(__xludf.DUMMYFUNCTION("ifna(QUERY($A$2:$G$2000, ""select G where D="" &amp; P$1 &amp; "" and E="" &amp; $I12), QUERY($A$2:$G$2000, ""select G where E="" &amp; P$1 &amp; "" and D="" &amp; $I12))"),4.5)</f>
        <v>4.5</v>
      </c>
      <c r="Q12" s="10">
        <f>IFERROR(__xludf.DUMMYFUNCTION("ifna(QUERY($A$2:$G$2000, ""select G where D="" &amp; Q$1 &amp; "" and E="" &amp; $I12), QUERY($A$2:$G$2000, ""select G where E="" &amp; Q$1 &amp; "" and D="" &amp; $I12))"),4.648148148148148)</f>
        <v>4.648148148</v>
      </c>
      <c r="R12" s="10">
        <f>IFERROR(__xludf.DUMMYFUNCTION("ifna(QUERY($A$2:$G$2000, ""select G where D="" &amp; R$1 &amp; "" and E="" &amp; $I12), QUERY($A$2:$G$2000, ""select G where E="" &amp; R$1 &amp; "" and D="" &amp; $I12))"),4.766666666666667)</f>
        <v>4.766666667</v>
      </c>
      <c r="S12" s="10">
        <f>IFERROR(__xludf.DUMMYFUNCTION("ifna(QUERY($A$2:$G$2000, ""select G where D="" &amp; S$1 &amp; "" and E="" &amp; $I12), QUERY($A$2:$G$2000, ""select G where E="" &amp; S$1 &amp; "" and D="" &amp; $I12))"),4.848484848484849)</f>
        <v>4.848484848</v>
      </c>
      <c r="T12" s="10">
        <f>IFERROR(__xludf.DUMMYFUNCTION("ifna(QUERY($A$2:$G$2000, ""select G where D="" &amp; T$1 &amp; "" and E="" &amp; $I12), QUERY($A$2:$G$2000, ""select G where E="" &amp; T$1 &amp; "" and D="" &amp; $I12))"),4.916666666666667)</f>
        <v>4.916666667</v>
      </c>
      <c r="U12" s="10">
        <f>IFERROR(__xludf.DUMMYFUNCTION("ifna(QUERY($A$2:$G$2000, ""select G where D="" &amp; U$1 &amp; "" and E="" &amp; $I12), QUERY($A$2:$G$2000, ""select G where E="" &amp; U$1 &amp; "" and D="" &amp; $I12))"),5.0256410256410255)</f>
        <v>5.025641026</v>
      </c>
      <c r="V12" s="10">
        <f>IFERROR(__xludf.DUMMYFUNCTION("ifna(QUERY($A$2:$G$2000, ""select G where D="" &amp; V$1 &amp; "" and E="" &amp; $I12), QUERY($A$2:$G$2000, ""select G where E="" &amp; V$1 &amp; "" and D="" &amp; $I12))"),5.071428571428571)</f>
        <v>5.071428571</v>
      </c>
      <c r="W12" s="10">
        <f>IFERROR(__xludf.DUMMYFUNCTION("ifna(QUERY($A$2:$G$2000, ""select G where D="" &amp; W$1 &amp; "" and E="" &amp; $I12), QUERY($A$2:$G$2000, ""select G where E="" &amp; W$1 &amp; "" and D="" &amp; $I12))"),5.111111111111111)</f>
        <v>5.111111111</v>
      </c>
      <c r="X12" s="10">
        <f>IFERROR(__xludf.DUMMYFUNCTION("ifna(QUERY($A$2:$G$2000, ""select G where D="" &amp; X$1 &amp; "" and E="" &amp; $I12), QUERY($A$2:$G$2000, ""select G where E="" &amp; X$1 &amp; "" and D="" &amp; $I12))"),5.166666666666667)</f>
        <v>5.166666667</v>
      </c>
      <c r="Y12" s="10">
        <f>IFERROR(__xludf.DUMMYFUNCTION("ifna(QUERY($A$2:$G$2000, ""select G where D="" &amp; Y$1 &amp; "" and E="" &amp; $I12), QUERY($A$2:$G$2000, ""select G where E="" &amp; Y$1 &amp; "" and D="" &amp; $I12))"),5.235294117647059)</f>
        <v>5.235294118</v>
      </c>
      <c r="Z12" s="10">
        <f>IFERROR(__xludf.DUMMYFUNCTION("ifna(QUERY($A$2:$G$2000, ""select G where D="" &amp; Z$1 &amp; "" and E="" &amp; $I12), QUERY($A$2:$G$2000, ""select G where E="" &amp; Z$1 &amp; "" and D="" &amp; $I12))"),5.296296296296296)</f>
        <v>5.296296296</v>
      </c>
      <c r="AA12" s="10">
        <f>IFERROR(__xludf.DUMMYFUNCTION("ifna(QUERY($A$2:$G$2000, ""select G where D="" &amp; AA$1 &amp; "" and E="" &amp; $I12), QUERY($A$2:$G$2000, ""select G where E="" &amp; AA$1 &amp; "" and D="" &amp; $I12))"),5.368421052631579)</f>
        <v>5.368421053</v>
      </c>
      <c r="AB12" s="10">
        <f>IFERROR(__xludf.DUMMYFUNCTION("ifna(QUERY($A$2:$G$2000, ""select G where D="" &amp; AB$1 &amp; "" and E="" &amp; $I12), QUERY($A$2:$G$2000, ""select G where E="" &amp; AB$1 &amp; "" and D="" &amp; $I12))"),5.433333333333334)</f>
        <v>5.433333333</v>
      </c>
      <c r="AC12" s="10">
        <f>IFERROR(__xludf.DUMMYFUNCTION("ifna(QUERY($A$2:$G$2000, ""select G where D="" &amp; AC$1 &amp; "" and E="" &amp; $I12), QUERY($A$2:$G$2000, ""select G where E="" &amp; AC$1 &amp; "" and D="" &amp; $I12))"),5.507936507936508)</f>
        <v>5.507936508</v>
      </c>
      <c r="AD12" s="10">
        <f>IFERROR(__xludf.DUMMYFUNCTION("ifna(QUERY($A$2:$G$2000, ""select G where D="" &amp; AD$1 &amp; "" and E="" &amp; $I12), QUERY($A$2:$G$2000, ""select G where E="" &amp; AD$1 &amp; "" and D="" &amp; $I12))"),5.575757575757576)</f>
        <v>5.575757576</v>
      </c>
      <c r="AE12" s="10">
        <f>IFERROR(__xludf.DUMMYFUNCTION("ifna(QUERY($A$2:$G$2000, ""select G where D="" &amp; AE$1 &amp; "" and E="" &amp; $I12), QUERY($A$2:$G$2000, ""select G where E="" &amp; AE$1 &amp; "" and D="" &amp; $I12))"),5.63768115942029)</f>
        <v>5.637681159</v>
      </c>
      <c r="AF12" s="10">
        <f>IFERROR(__xludf.DUMMYFUNCTION("ifna(QUERY($A$2:$G$2000, ""select G where D="" &amp; AF$1 &amp; "" and E="" &amp; $I12), QUERY($A$2:$G$2000, ""select G where E="" &amp; AF$1 &amp; "" and D="" &amp; $I12))"),5.694444444444445)</f>
        <v>5.694444444</v>
      </c>
      <c r="AG12" s="10">
        <f>IFERROR(__xludf.DUMMYFUNCTION("ifna(QUERY($A$2:$G$2000, ""select G where D="" &amp; AG$1 &amp; "" and E="" &amp; $I12), QUERY($A$2:$G$2000, ""select G where E="" &amp; AG$1 &amp; "" and D="" &amp; $I12))"),5.74)</f>
        <v>5.74</v>
      </c>
      <c r="AH12" s="10">
        <f>IFERROR(__xludf.DUMMYFUNCTION("ifna(QUERY($A$2:$G$2000, ""select G where D="" &amp; AH$1 &amp; "" and E="" &amp; $I12), QUERY($A$2:$G$2000, ""select G where E="" &amp; AH$1 &amp; "" and D="" &amp; $I12))"),5.782051282051282)</f>
        <v>5.782051282</v>
      </c>
      <c r="AI12" s="10">
        <f>IFERROR(__xludf.DUMMYFUNCTION("ifna(QUERY($A$2:$G$2000, ""select G where D="" &amp; AI$1 &amp; "" and E="" &amp; $I12), QUERY($A$2:$G$2000, ""select G where E="" &amp; AI$1 &amp; "" and D="" &amp; $I12))"),5.814814814814815)</f>
        <v>5.814814815</v>
      </c>
      <c r="AJ12" s="10">
        <f>IFERROR(__xludf.DUMMYFUNCTION("ifna(QUERY($A$2:$G$2000, ""select G where D="" &amp; AJ$1 &amp; "" and E="" &amp; $I12), QUERY($A$2:$G$2000, ""select G where E="" &amp; AJ$1 &amp; "" and D="" &amp; $I12))"),5.845238095238095)</f>
        <v>5.845238095</v>
      </c>
      <c r="AK12" s="10">
        <f>IFERROR(__xludf.DUMMYFUNCTION("ifna(QUERY($A$2:$G$2000, ""select G where D="" &amp; AK$1 &amp; "" and E="" &amp; $I12), QUERY($A$2:$G$2000, ""select G where E="" &amp; AK$1 &amp; "" and D="" &amp; $I12))"),5.873563218390805)</f>
        <v>5.873563218</v>
      </c>
      <c r="AL12" s="10">
        <f>IFERROR(__xludf.DUMMYFUNCTION("ifna(QUERY($A$2:$G$2000, ""select G where D="" &amp; AL$1 &amp; "" and E="" &amp; $I12), QUERY($A$2:$G$2000, ""select G where E="" &amp; AL$1 &amp; "" and D="" &amp; $I12))"),5.9)</f>
        <v>5.9</v>
      </c>
      <c r="AM12" s="10">
        <f>IFERROR(__xludf.DUMMYFUNCTION("ifna(QUERY($A$2:$G$2000, ""select G where D="" &amp; AM$1 &amp; "" and E="" &amp; $I12), QUERY($A$2:$G$2000, ""select G where E="" &amp; AM$1 &amp; "" and D="" &amp; $I12))"),5.93010752688172)</f>
        <v>5.930107527</v>
      </c>
      <c r="AN12" s="10">
        <f>IFERROR(__xludf.DUMMYFUNCTION("ifna(QUERY($A$2:$G$2000, ""select G where D="" &amp; AN$1 &amp; "" and E="" &amp; $I12), QUERY($A$2:$G$2000, ""select G where E="" &amp; AN$1 &amp; "" and D="" &amp; $I12))"),5.984375)</f>
        <v>5.984375</v>
      </c>
      <c r="AO12" s="10">
        <f>IFERROR(__xludf.DUMMYFUNCTION("ifna(QUERY($A$2:$G$2000, ""select G where D="" &amp; AO$1 &amp; "" and E="" &amp; $I12), QUERY($A$2:$G$2000, ""select G where E="" &amp; AO$1 &amp; "" and D="" &amp; $I12))"),6.01010101010101)</f>
        <v>6.01010101</v>
      </c>
      <c r="AP12" s="10">
        <f>IFERROR(__xludf.DUMMYFUNCTION("ifna(QUERY($A$2:$G$2000, ""select G where D="" &amp; AP$1 &amp; "" and E="" &amp; $I12), QUERY($A$2:$G$2000, ""select G where E="" &amp; AP$1 &amp; "" and D="" &amp; $I12))"),6.019607843137255)</f>
        <v>6.019607843</v>
      </c>
      <c r="AQ12" s="10">
        <f>IFERROR(__xludf.DUMMYFUNCTION("ifna(QUERY($A$2:$G$2000, ""select G where D="" &amp; AQ$1 &amp; "" and E="" &amp; $I12), QUERY($A$2:$G$2000, ""select G where E="" &amp; AQ$1 &amp; "" and D="" &amp; $I12))"),6.038095238095238)</f>
        <v>6.038095238</v>
      </c>
      <c r="AR12" s="10">
        <f>IFERROR(__xludf.DUMMYFUNCTION("ifna(QUERY($A$2:$G$2000, ""select G where D="" &amp; AR$1 &amp; "" and E="" &amp; $I12), QUERY($A$2:$G$2000, ""select G where E="" &amp; AR$1 &amp; "" and D="" &amp; $I12))"),6.055555555555555)</f>
        <v>6.055555556</v>
      </c>
      <c r="AS12" s="10">
        <f>IFERROR(__xludf.DUMMYFUNCTION("ifna(QUERY($A$2:$G$2000, ""select G where D="" &amp; AS$1 &amp; "" and E="" &amp; $I12), QUERY($A$2:$G$2000, ""select G where E="" &amp; AS$1 &amp; "" and D="" &amp; $I12))"),6.072072072072072)</f>
        <v>6.072072072</v>
      </c>
      <c r="AT12" s="10">
        <f>IFERROR(__xludf.DUMMYFUNCTION("ifna(QUERY($A$2:$G$2000, ""select G where D="" &amp; AT$1 &amp; "" and E="" &amp; $I12), QUERY($A$2:$G$2000, ""select G where E="" &amp; AT$1 &amp; "" and D="" &amp; $I12))"),6.0964912280701755)</f>
        <v>6.096491228</v>
      </c>
      <c r="AU12" s="10">
        <f>IFERROR(__xludf.DUMMYFUNCTION("ifna(QUERY($A$2:$G$2000, ""select G where D="" &amp; AU$1 &amp; "" and E="" &amp; $I12), QUERY($A$2:$G$2000, ""select G where E="" &amp; AU$1 &amp; "" and D="" &amp; $I12))"),6.119658119658119)</f>
        <v>6.11965812</v>
      </c>
      <c r="AV12" s="10">
        <f>IFERROR(__xludf.DUMMYFUNCTION("ifna(QUERY($A$2:$G$2000, ""select G where D="" &amp; AV$1 &amp; "" and E="" &amp; $I12), QUERY($A$2:$G$2000, ""select G where E="" &amp; AV$1 &amp; "" and D="" &amp; $I12))"),6.15)</f>
        <v>6.15</v>
      </c>
      <c r="AW12" s="10">
        <f>IFERROR(__xludf.DUMMYFUNCTION("ifna(QUERY($A$2:$G$2000, ""select G where D="" &amp; AW$1 &amp; "" and E="" &amp; $I12), QUERY($A$2:$G$2000, ""select G where E="" &amp; AW$1 &amp; "" and D="" &amp; $I12))"),6.178861788617886)</f>
        <v>6.178861789</v>
      </c>
      <c r="AX12" s="10">
        <f>IFERROR(__xludf.DUMMYFUNCTION("ifna(QUERY($A$2:$G$2000, ""select G where D="" &amp; AX$1 &amp; "" and E="" &amp; $I12), QUERY($A$2:$G$2000, ""select G where E="" &amp; AX$1 &amp; "" and D="" &amp; $I12))"),6.2063492063492065)</f>
        <v>6.206349206</v>
      </c>
      <c r="AY12" s="10">
        <f>IFERROR(__xludf.DUMMYFUNCTION("ifna(QUERY($A$2:$G$2000, ""select G where D="" &amp; AY$1 &amp; "" and E="" &amp; $I12), QUERY($A$2:$G$2000, ""select G where E="" &amp; AY$1 &amp; "" and D="" &amp; $I12))"),6.232558139534884)</f>
        <v>6.23255814</v>
      </c>
      <c r="AZ12" s="10">
        <f>IFERROR(__xludf.DUMMYFUNCTION("ifna(QUERY($A$2:$G$2000, ""select G where D="" &amp; AZ$1 &amp; "" and E="" &amp; $I12), QUERY($A$2:$G$2000, ""select G where E="" &amp; AZ$1 &amp; "" and D="" &amp; $I12))"),6.265151515151516)</f>
        <v>6.265151515</v>
      </c>
      <c r="BA12" s="10">
        <f>IFERROR(__xludf.DUMMYFUNCTION("ifna(QUERY($A$2:$G$2000, ""select G where D="" &amp; BA$1 &amp; "" and E="" &amp; $I12), QUERY($A$2:$G$2000, ""select G where E="" &amp; BA$1 &amp; "" and D="" &amp; $I12))"),6.296296296296296)</f>
        <v>6.296296296</v>
      </c>
      <c r="BB12" s="10">
        <f>IFERROR(__xludf.DUMMYFUNCTION("ifna(QUERY($A$2:$G$2000, ""select G where D="" &amp; BB$1 &amp; "" and E="" &amp; $I12), QUERY($A$2:$G$2000, ""select G where E="" &amp; BB$1 &amp; "" and D="" &amp; $I12))"),6.326086956521739)</f>
        <v>6.326086957</v>
      </c>
      <c r="BC12" s="10">
        <f>IFERROR(__xludf.DUMMYFUNCTION("ifna(QUERY($A$2:$G$2000, ""select G where D="" &amp; BC$1 &amp; "" and E="" &amp; $I12), QUERY($A$2:$G$2000, ""select G where E="" &amp; BC$1 &amp; "" and D="" &amp; $I12))"),6.3546099290780145)</f>
        <v>6.354609929</v>
      </c>
      <c r="BD12" s="10">
        <f>IFERROR(__xludf.DUMMYFUNCTION("ifna(QUERY($A$2:$G$2000, ""select G where D="" &amp; BD$1 &amp; "" and E="" &amp; $I12), QUERY($A$2:$G$2000, ""select G where E="" &amp; BD$1 &amp; "" and D="" &amp; $I12))"),6.388888888888889)</f>
        <v>6.388888889</v>
      </c>
      <c r="BE12" s="10">
        <f>IFERROR(__xludf.DUMMYFUNCTION("ifna(QUERY($A$2:$G$2000, ""select G where D="" &amp; BE$1 &amp; "" and E="" &amp; $I12), QUERY($A$2:$G$2000, ""select G where E="" &amp; BE$1 &amp; "" and D="" &amp; $I12))"),6.421768707482993)</f>
        <v>6.421768707</v>
      </c>
      <c r="BF12" s="10">
        <f>IFERROR(__xludf.DUMMYFUNCTION("ifna(QUERY($A$2:$G$2000, ""select G where D="" &amp; BF$1 &amp; "" and E="" &amp; $I12), QUERY($A$2:$G$2000, ""select G where E="" &amp; BF$1 &amp; "" and D="" &amp; $I12))"),6.453333333333333)</f>
        <v>6.453333333</v>
      </c>
      <c r="BG12" s="10">
        <f>IFERROR(__xludf.DUMMYFUNCTION("ifna(QUERY($A$2:$G$2000, ""select G where D="" &amp; BG$1 &amp; "" and E="" &amp; $I12), QUERY($A$2:$G$2000, ""select G where E="" &amp; BG$1 &amp; "" and D="" &amp; $I12))"),6.483660130718954)</f>
        <v>6.483660131</v>
      </c>
      <c r="BH12" s="10">
        <f>IFERROR(__xludf.DUMMYFUNCTION("ifna(QUERY($A$2:$G$2000, ""select G where D="" &amp; BH$1 &amp; "" and E="" &amp; $I12), QUERY($A$2:$G$2000, ""select G where E="" &amp; BH$1 &amp; "" and D="" &amp; $I12))"),6.512820512820513)</f>
        <v>6.512820513</v>
      </c>
      <c r="BI12" s="10">
        <f>IFERROR(__xludf.DUMMYFUNCTION("ifna(QUERY($A$2:$G$2000, ""select G where D="" &amp; BI$1 &amp; "" and E="" &amp; $I12), QUERY($A$2:$G$2000, ""select G where E="" &amp; BI$1 &amp; "" and D="" &amp; $I12))"),6.540880503144654)</f>
        <v>6.540880503</v>
      </c>
      <c r="BJ12" s="10">
        <f>IFERROR(__xludf.DUMMYFUNCTION("ifna(QUERY($A$2:$G$2000, ""select G where D="" &amp; BJ$1 &amp; "" and E="" &amp; $I12), QUERY($A$2:$G$2000, ""select G where E="" &amp; BJ$1 &amp; "" and D="" &amp; $I12))"),6.567901234567901)</f>
        <v>6.567901235</v>
      </c>
      <c r="BK12" s="10">
        <f>IFERROR(__xludf.DUMMYFUNCTION("ifna(QUERY($A$2:$G$2000, ""select G where D="" &amp; BK$1 &amp; "" and E="" &amp; $I12), QUERY($A$2:$G$2000, ""select G where E="" &amp; BK$1 &amp; "" and D="" &amp; $I12))"),6.593939393939394)</f>
        <v>6.593939394</v>
      </c>
      <c r="BL12" s="10"/>
      <c r="BM12" s="10"/>
      <c r="BN12" s="10"/>
      <c r="BO12" s="10"/>
    </row>
    <row r="13">
      <c r="A13" s="3">
        <v>3.0</v>
      </c>
      <c r="B13" s="3">
        <v>4.0</v>
      </c>
      <c r="C13" s="3">
        <v>24.0</v>
      </c>
      <c r="D13" s="3">
        <v>5.0</v>
      </c>
      <c r="E13" s="3">
        <v>3.0</v>
      </c>
      <c r="F13" s="11">
        <f t="shared" si="1"/>
        <v>0.1666666667</v>
      </c>
      <c r="G13" s="5">
        <f t="shared" si="2"/>
        <v>2.833333333</v>
      </c>
      <c r="H13" s="3">
        <v>13.0</v>
      </c>
      <c r="I13" s="2">
        <v>12.0</v>
      </c>
      <c r="J13" s="10">
        <f>IFERROR(__xludf.DUMMYFUNCTION("ifna(QUERY($A$2:$G$2000, ""select G where D="" &amp; J$1 &amp; "" and E="" &amp; $I13), QUERY($A$2:$G$2000, ""select G where E="" &amp; J$1 &amp; "" and D="" &amp; $I13))"),3.6153846153846154)</f>
        <v>3.615384615</v>
      </c>
      <c r="K13" s="10">
        <f>IFERROR(__xludf.DUMMYFUNCTION("ifna(QUERY($A$2:$G$2000, ""select G where D="" &amp; K$1 &amp; "" and E="" &amp; $I13), QUERY($A$2:$G$2000, ""select G where E="" &amp; K$1 &amp; "" and D="" &amp; $I13))"),3.717948717948718)</f>
        <v>3.717948718</v>
      </c>
      <c r="L13" s="10">
        <f>IFERROR(__xludf.DUMMYFUNCTION("ifna(QUERY($A$2:$G$2000, ""select G where D="" &amp; L$1 &amp; "" and E="" &amp; $I13), QUERY($A$2:$G$2000, ""select G where E="" &amp; L$1 &amp; "" and D="" &amp; $I13))"),3.8846153846153846)</f>
        <v>3.884615385</v>
      </c>
      <c r="M13" s="10">
        <f>IFERROR(__xludf.DUMMYFUNCTION("ifna(QUERY($A$2:$G$2000, ""select G where D="" &amp; M$1 &amp; "" and E="" &amp; $I13), QUERY($A$2:$G$2000, ""select G where E="" &amp; M$1 &amp; "" and D="" &amp; $I13))"),4.123076923076923)</f>
        <v>4.123076923</v>
      </c>
      <c r="N13" s="10">
        <f>IFERROR(__xludf.DUMMYFUNCTION("ifna(QUERY($A$2:$G$2000, ""select G where D="" &amp; N$1 &amp; "" and E="" &amp; $I13), QUERY($A$2:$G$2000, ""select G where E="" &amp; N$1 &amp; "" and D="" &amp; $I13))"),4.256410256410256)</f>
        <v>4.256410256</v>
      </c>
      <c r="O13" s="10">
        <f>IFERROR(__xludf.DUMMYFUNCTION("ifna(QUERY($A$2:$G$2000, ""select G where D="" &amp; O$1 &amp; "" and E="" &amp; $I13), QUERY($A$2:$G$2000, ""select G where E="" &amp; O$1 &amp; "" and D="" &amp; $I13))"),4.43956043956044)</f>
        <v>4.43956044</v>
      </c>
      <c r="P13" s="10">
        <f>IFERROR(__xludf.DUMMYFUNCTION("ifna(QUERY($A$2:$G$2000, ""select G where D="" &amp; P$1 &amp; "" and E="" &amp; $I13), QUERY($A$2:$G$2000, ""select G where E="" &amp; P$1 &amp; "" and D="" &amp; $I13))"),4.615384615384615)</f>
        <v>4.615384615</v>
      </c>
      <c r="Q13" s="10">
        <f>IFERROR(__xludf.DUMMYFUNCTION("ifna(QUERY($A$2:$G$2000, ""select G where D="" &amp; Q$1 &amp; "" and E="" &amp; $I13), QUERY($A$2:$G$2000, ""select G where E="" &amp; Q$1 &amp; "" and D="" &amp; $I13))"),4.735042735042735)</f>
        <v>4.735042735</v>
      </c>
      <c r="R13" s="10">
        <f>IFERROR(__xludf.DUMMYFUNCTION("ifna(QUERY($A$2:$G$2000, ""select G where D="" &amp; R$1 &amp; "" and E="" &amp; $I13), QUERY($A$2:$G$2000, ""select G where E="" &amp; R$1 &amp; "" and D="" &amp; $I13))"),4.8307692307692305)</f>
        <v>4.830769231</v>
      </c>
      <c r="S13" s="10">
        <f>IFERROR(__xludf.DUMMYFUNCTION("ifna(QUERY($A$2:$G$2000, ""select G where D="" &amp; S$1 &amp; "" and E="" &amp; $I13), QUERY($A$2:$G$2000, ""select G where E="" &amp; S$1 &amp; "" and D="" &amp; $I13))"),4.895104895104895)</f>
        <v>4.895104895</v>
      </c>
      <c r="T13" s="10">
        <f>IFERROR(__xludf.DUMMYFUNCTION("ifna(QUERY($A$2:$G$2000, ""select G where D="" &amp; T$1 &amp; "" and E="" &amp; $I13), QUERY($A$2:$G$2000, ""select G where E="" &amp; T$1 &amp; "" and D="" &amp; $I13))"),5.0256410256410255)</f>
        <v>5.025641026</v>
      </c>
      <c r="U13" s="10">
        <f>IFERROR(__xludf.DUMMYFUNCTION("ifna(QUERY($A$2:$G$2000, ""select G where D="" &amp; U$1 &amp; "" and E="" &amp; $I13), QUERY($A$2:$G$2000, ""select G where E="" &amp; U$1 &amp; "" and D="" &amp; $I13))"),5.071005917159764)</f>
        <v>5.071005917</v>
      </c>
      <c r="V13" s="10">
        <f>IFERROR(__xludf.DUMMYFUNCTION("ifna(QUERY($A$2:$G$2000, ""select G where D="" &amp; V$1 &amp; "" and E="" &amp; $I13), QUERY($A$2:$G$2000, ""select G where E="" &amp; V$1 &amp; "" and D="" &amp; $I13))"),5.131868131868131)</f>
        <v>5.131868132</v>
      </c>
      <c r="W13" s="10">
        <f>IFERROR(__xludf.DUMMYFUNCTION("ifna(QUERY($A$2:$G$2000, ""select G where D="" &amp; W$1 &amp; "" and E="" &amp; $I13), QUERY($A$2:$G$2000, ""select G where E="" &amp; W$1 &amp; "" and D="" &amp; $I13))"),5.184615384615385)</f>
        <v>5.184615385</v>
      </c>
      <c r="X13" s="10">
        <f>IFERROR(__xludf.DUMMYFUNCTION("ifna(QUERY($A$2:$G$2000, ""select G where D="" &amp; X$1 &amp; "" and E="" &amp; $I13), QUERY($A$2:$G$2000, ""select G where E="" &amp; X$1 &amp; "" and D="" &amp; $I13))"),5.25)</f>
        <v>5.25</v>
      </c>
      <c r="Y13" s="10">
        <f>IFERROR(__xludf.DUMMYFUNCTION("ifna(QUERY($A$2:$G$2000, ""select G where D="" &amp; Y$1 &amp; "" and E="" &amp; $I13), QUERY($A$2:$G$2000, ""select G where E="" &amp; Y$1 &amp; "" and D="" &amp; $I13))"),5.32579185520362)</f>
        <v>5.325791855</v>
      </c>
      <c r="Z13" s="10">
        <f>IFERROR(__xludf.DUMMYFUNCTION("ifna(QUERY($A$2:$G$2000, ""select G where D="" &amp; Z$1 &amp; "" and E="" &amp; $I13), QUERY($A$2:$G$2000, ""select G where E="" &amp; Z$1 &amp; "" and D="" &amp; $I13))"),5.3931623931623935)</f>
        <v>5.393162393</v>
      </c>
      <c r="AA13" s="10">
        <f>IFERROR(__xludf.DUMMYFUNCTION("ifna(QUERY($A$2:$G$2000, ""select G where D="" &amp; AA$1 &amp; "" and E="" &amp; $I13), QUERY($A$2:$G$2000, ""select G where E="" &amp; AA$1 &amp; "" and D="" &amp; $I13))"),5.469635627530364)</f>
        <v>5.469635628</v>
      </c>
      <c r="AB13" s="10">
        <f>IFERROR(__xludf.DUMMYFUNCTION("ifna(QUERY($A$2:$G$2000, ""select G where D="" &amp; AB$1 &amp; "" and E="" &amp; $I13), QUERY($A$2:$G$2000, ""select G where E="" &amp; AB$1 &amp; "" and D="" &amp; $I13))"),5.538461538461538)</f>
        <v>5.538461538</v>
      </c>
      <c r="AC13" s="10">
        <f>IFERROR(__xludf.DUMMYFUNCTION("ifna(QUERY($A$2:$G$2000, ""select G where D="" &amp; AC$1 &amp; "" and E="" &amp; $I13), QUERY($A$2:$G$2000, ""select G where E="" &amp; AC$1 &amp; "" and D="" &amp; $I13))"),5.608058608058608)</f>
        <v>5.608058608</v>
      </c>
      <c r="AD13" s="10">
        <f>IFERROR(__xludf.DUMMYFUNCTION("ifna(QUERY($A$2:$G$2000, ""select G where D="" &amp; AD$1 &amp; "" and E="" &amp; $I13), QUERY($A$2:$G$2000, ""select G where E="" &amp; AD$1 &amp; "" and D="" &amp; $I13))"),5.671328671328672)</f>
        <v>5.671328671</v>
      </c>
      <c r="AE13" s="10">
        <f>IFERROR(__xludf.DUMMYFUNCTION("ifna(QUERY($A$2:$G$2000, ""select G where D="" &amp; AE$1 &amp; "" and E="" &amp; $I13), QUERY($A$2:$G$2000, ""select G where E="" &amp; AE$1 &amp; "" and D="" &amp; $I13))"),5.722408026755853)</f>
        <v>5.722408027</v>
      </c>
      <c r="AF13" s="10">
        <f>IFERROR(__xludf.DUMMYFUNCTION("ifna(QUERY($A$2:$G$2000, ""select G where D="" &amp; AF$1 &amp; "" and E="" &amp; $I13), QUERY($A$2:$G$2000, ""select G where E="" &amp; AF$1 &amp; "" and D="" &amp; $I13))"),5.769230769230769)</f>
        <v>5.769230769</v>
      </c>
      <c r="AG13" s="10">
        <f>IFERROR(__xludf.DUMMYFUNCTION("ifna(QUERY($A$2:$G$2000, ""select G where D="" &amp; AG$1 &amp; "" and E="" &amp; $I13), QUERY($A$2:$G$2000, ""select G where E="" &amp; AG$1 &amp; "" and D="" &amp; $I13))"),5.806153846153846)</f>
        <v>5.806153846</v>
      </c>
      <c r="AH13" s="10">
        <f>IFERROR(__xludf.DUMMYFUNCTION("ifna(QUERY($A$2:$G$2000, ""select G where D="" &amp; AH$1 &amp; "" and E="" &amp; $I13), QUERY($A$2:$G$2000, ""select G where E="" &amp; AH$1 &amp; "" and D="" &amp; $I13))"),5.840236686390533)</f>
        <v>5.840236686</v>
      </c>
      <c r="AI13" s="10">
        <f>IFERROR(__xludf.DUMMYFUNCTION("ifna(QUERY($A$2:$G$2000, ""select G where D="" &amp; AI$1 &amp; "" and E="" &amp; $I13), QUERY($A$2:$G$2000, ""select G where E="" &amp; AI$1 &amp; "" and D="" &amp; $I13))"),5.866096866096866)</f>
        <v>5.866096866</v>
      </c>
      <c r="AJ13" s="10">
        <f>IFERROR(__xludf.DUMMYFUNCTION("ifna(QUERY($A$2:$G$2000, ""select G where D="" &amp; AJ$1 &amp; "" and E="" &amp; $I13), QUERY($A$2:$G$2000, ""select G where E="" &amp; AJ$1 &amp; "" and D="" &amp; $I13))"),5.8901098901098905)</f>
        <v>5.89010989</v>
      </c>
      <c r="AK13" s="10">
        <f>IFERROR(__xludf.DUMMYFUNCTION("ifna(QUERY($A$2:$G$2000, ""select G where D="" &amp; AK$1 &amp; "" and E="" &amp; $I13), QUERY($A$2:$G$2000, ""select G where E="" &amp; AK$1 &amp; "" and D="" &amp; $I13))"),5.917771883289125)</f>
        <v>5.917771883</v>
      </c>
      <c r="AL13" s="10">
        <f>IFERROR(__xludf.DUMMYFUNCTION("ifna(QUERY($A$2:$G$2000, ""select G where D="" &amp; AL$1 &amp; "" and E="" &amp; $I13), QUERY($A$2:$G$2000, ""select G where E="" &amp; AL$1 &amp; "" and D="" &amp; $I13))"),5.984615384615385)</f>
        <v>5.984615385</v>
      </c>
      <c r="AM13" s="10">
        <f>IFERROR(__xludf.DUMMYFUNCTION("ifna(QUERY($A$2:$G$2000, ""select G where D="" &amp; AM$1 &amp; "" and E="" &amp; $I13), QUERY($A$2:$G$2000, ""select G where E="" &amp; AM$1 &amp; "" and D="" &amp; $I13))"),6.009925558312655)</f>
        <v>6.009925558</v>
      </c>
      <c r="AN13" s="10">
        <f>IFERROR(__xludf.DUMMYFUNCTION("ifna(QUERY($A$2:$G$2000, ""select G where D="" &amp; AN$1 &amp; "" and E="" &amp; $I13), QUERY($A$2:$G$2000, ""select G where E="" &amp; AN$1 &amp; "" and D="" &amp; $I13))"),6.019230769230769)</f>
        <v>6.019230769</v>
      </c>
      <c r="AO13" s="10">
        <f>IFERROR(__xludf.DUMMYFUNCTION("ifna(QUERY($A$2:$G$2000, ""select G where D="" &amp; AO$1 &amp; "" and E="" &amp; $I13), QUERY($A$2:$G$2000, ""select G where E="" &amp; AO$1 &amp; "" and D="" &amp; $I13))"),6.037296037296037)</f>
        <v>6.037296037</v>
      </c>
      <c r="AP13" s="10">
        <f>IFERROR(__xludf.DUMMYFUNCTION("ifna(QUERY($A$2:$G$2000, ""select G where D="" &amp; AP$1 &amp; "" and E="" &amp; $I13), QUERY($A$2:$G$2000, ""select G where E="" &amp; AP$1 &amp; "" and D="" &amp; $I13))"),6.0542986425339365)</f>
        <v>6.054298643</v>
      </c>
      <c r="AQ13" s="10">
        <f>IFERROR(__xludf.DUMMYFUNCTION("ifna(QUERY($A$2:$G$2000, ""select G where D="" &amp; AQ$1 &amp; "" and E="" &amp; $I13), QUERY($A$2:$G$2000, ""select G where E="" &amp; AQ$1 &amp; "" and D="" &amp; $I13))"),6.079120879120879)</f>
        <v>6.079120879</v>
      </c>
      <c r="AR13" s="10">
        <f>IFERROR(__xludf.DUMMYFUNCTION("ifna(QUERY($A$2:$G$2000, ""select G where D="" &amp; AR$1 &amp; "" and E="" &amp; $I13), QUERY($A$2:$G$2000, ""select G where E="" &amp; AR$1 &amp; "" and D="" &amp; $I13))"),6.102564102564102)</f>
        <v>6.102564103</v>
      </c>
      <c r="AS13" s="10">
        <f>IFERROR(__xludf.DUMMYFUNCTION("ifna(QUERY($A$2:$G$2000, ""select G where D="" &amp; AS$1 &amp; "" and E="" &amp; $I13), QUERY($A$2:$G$2000, ""select G where E="" &amp; AS$1 &amp; "" and D="" &amp; $I13))"),6.124740124740125)</f>
        <v>6.124740125</v>
      </c>
      <c r="AT13" s="10">
        <f>IFERROR(__xludf.DUMMYFUNCTION("ifna(QUERY($A$2:$G$2000, ""select G where D="" &amp; AT$1 &amp; "" and E="" &amp; $I13), QUERY($A$2:$G$2000, ""select G where E="" &amp; AT$1 &amp; "" and D="" &amp; $I13))"),6.153846153846154)</f>
        <v>6.153846154</v>
      </c>
      <c r="AU13" s="10">
        <f>IFERROR(__xludf.DUMMYFUNCTION("ifna(QUERY($A$2:$G$2000, ""select G where D="" &amp; AU$1 &amp; "" and E="" &amp; $I13), QUERY($A$2:$G$2000, ""select G where E="" &amp; AU$1 &amp; "" and D="" &amp; $I13))"),6.181459566074951)</f>
        <v>6.181459566</v>
      </c>
      <c r="AV13" s="10">
        <f>IFERROR(__xludf.DUMMYFUNCTION("ifna(QUERY($A$2:$G$2000, ""select G where D="" &amp; AV$1 &amp; "" and E="" &amp; $I13), QUERY($A$2:$G$2000, ""select G where E="" &amp; AV$1 &amp; "" and D="" &amp; $I13))"),6.2153846153846155)</f>
        <v>6.215384615</v>
      </c>
      <c r="AW13" s="10">
        <f>IFERROR(__xludf.DUMMYFUNCTION("ifna(QUERY($A$2:$G$2000, ""select G where D="" &amp; AW$1 &amp; "" and E="" &amp; $I13), QUERY($A$2:$G$2000, ""select G where E="" &amp; AW$1 &amp; "" and D="" &amp; $I13))"),6.24765478424015)</f>
        <v>6.247654784</v>
      </c>
      <c r="AX13" s="10">
        <f>IFERROR(__xludf.DUMMYFUNCTION("ifna(QUERY($A$2:$G$2000, ""select G where D="" &amp; AX$1 &amp; "" and E="" &amp; $I13), QUERY($A$2:$G$2000, ""select G where E="" &amp; AX$1 &amp; "" and D="" &amp; $I13))"),6.278388278388278)</f>
        <v>6.278388278</v>
      </c>
      <c r="AY13" s="10">
        <f>IFERROR(__xludf.DUMMYFUNCTION("ifna(QUERY($A$2:$G$2000, ""select G where D="" &amp; AY$1 &amp; "" and E="" &amp; $I13), QUERY($A$2:$G$2000, ""select G where E="" &amp; AY$1 &amp; "" and D="" &amp; $I13))"),6.3076923076923075)</f>
        <v>6.307692308</v>
      </c>
      <c r="AZ13" s="10">
        <f>IFERROR(__xludf.DUMMYFUNCTION("ifna(QUERY($A$2:$G$2000, ""select G where D="" &amp; AZ$1 &amp; "" and E="" &amp; $I13), QUERY($A$2:$G$2000, ""select G where E="" &amp; AZ$1 &amp; "" and D="" &amp; $I13))"),6.3426573426573425)</f>
        <v>6.342657343</v>
      </c>
      <c r="BA13" s="10">
        <f>IFERROR(__xludf.DUMMYFUNCTION("ifna(QUERY($A$2:$G$2000, ""select G where D="" &amp; BA$1 &amp; "" and E="" &amp; $I13), QUERY($A$2:$G$2000, ""select G where E="" &amp; BA$1 &amp; "" and D="" &amp; $I13))"),6.3760683760683765)</f>
        <v>6.376068376</v>
      </c>
      <c r="BB13" s="10">
        <f>IFERROR(__xludf.DUMMYFUNCTION("ifna(QUERY($A$2:$G$2000, ""select G where D="" &amp; BB$1 &amp; "" and E="" &amp; $I13), QUERY($A$2:$G$2000, ""select G where E="" &amp; BB$1 &amp; "" and D="" &amp; $I13))"),6.408026755852843)</f>
        <v>6.408026756</v>
      </c>
      <c r="BC13" s="10">
        <f>IFERROR(__xludf.DUMMYFUNCTION("ifna(QUERY($A$2:$G$2000, ""select G where D="" &amp; BC$1 &amp; "" and E="" &amp; $I13), QUERY($A$2:$G$2000, ""select G where E="" &amp; BC$1 &amp; "" and D="" &amp; $I13))"),6.438625204582651)</f>
        <v>6.438625205</v>
      </c>
      <c r="BD13" s="10">
        <f>IFERROR(__xludf.DUMMYFUNCTION("ifna(QUERY($A$2:$G$2000, ""select G where D="" &amp; BD$1 &amp; "" and E="" &amp; $I13), QUERY($A$2:$G$2000, ""select G where E="" &amp; BD$1 &amp; "" and D="" &amp; $I13))"),6.471153846153846)</f>
        <v>6.471153846</v>
      </c>
      <c r="BE13" s="10">
        <f>IFERROR(__xludf.DUMMYFUNCTION("ifna(QUERY($A$2:$G$2000, ""select G where D="" &amp; BE$1 &amp; "" and E="" &amp; $I13), QUERY($A$2:$G$2000, ""select G where E="" &amp; BE$1 &amp; "" and D="" &amp; $I13))"),6.5023547880690735)</f>
        <v>6.502354788</v>
      </c>
      <c r="BF13" s="10">
        <f>IFERROR(__xludf.DUMMYFUNCTION("ifna(QUERY($A$2:$G$2000, ""select G where D="" &amp; BF$1 &amp; "" and E="" &amp; $I13), QUERY($A$2:$G$2000, ""select G where E="" &amp; BF$1 &amp; "" and D="" &amp; $I13))"),6.532307692307692)</f>
        <v>6.532307692</v>
      </c>
      <c r="BG13" s="10">
        <f>IFERROR(__xludf.DUMMYFUNCTION("ifna(QUERY($A$2:$G$2000, ""select G where D="" &amp; BG$1 &amp; "" and E="" &amp; $I13), QUERY($A$2:$G$2000, ""select G where E="" &amp; BG$1 &amp; "" and D="" &amp; $I13))"),6.5610859728506785)</f>
        <v>6.561085973</v>
      </c>
      <c r="BH13" s="10">
        <f>IFERROR(__xludf.DUMMYFUNCTION("ifna(QUERY($A$2:$G$2000, ""select G where D="" &amp; BH$1 &amp; "" and E="" &amp; $I13), QUERY($A$2:$G$2000, ""select G where E="" &amp; BH$1 &amp; "" and D="" &amp; $I13))"),6.588757396449704)</f>
        <v>6.588757396</v>
      </c>
      <c r="BI13" s="10">
        <f>IFERROR(__xludf.DUMMYFUNCTION("ifna(QUERY($A$2:$G$2000, ""select G where D="" &amp; BI$1 &amp; "" and E="" &amp; $I13), QUERY($A$2:$G$2000, ""select G where E="" &amp; BI$1 &amp; "" and D="" &amp; $I13))"),6.615384615384615)</f>
        <v>6.615384615</v>
      </c>
      <c r="BJ13" s="10">
        <f>IFERROR(__xludf.DUMMYFUNCTION("ifna(QUERY($A$2:$G$2000, ""select G where D="" &amp; BJ$1 &amp; "" and E="" &amp; $I13), QUERY($A$2:$G$2000, ""select G where E="" &amp; BJ$1 &amp; "" and D="" &amp; $I13))"),6.641025641025641)</f>
        <v>6.641025641</v>
      </c>
      <c r="BK13" s="10">
        <f>IFERROR(__xludf.DUMMYFUNCTION("ifna(QUERY($A$2:$G$2000, ""select G where D="" &amp; BK$1 &amp; "" and E="" &amp; $I13), QUERY($A$2:$G$2000, ""select G where E="" &amp; BK$1 &amp; "" and D="" &amp; $I13))"),6.665734265734265)</f>
        <v>6.665734266</v>
      </c>
      <c r="BL13" s="10"/>
      <c r="BM13" s="10"/>
      <c r="BN13" s="10"/>
      <c r="BO13" s="10"/>
    </row>
    <row r="14">
      <c r="A14" s="3">
        <v>3.0</v>
      </c>
      <c r="B14" s="3">
        <v>6.0</v>
      </c>
      <c r="C14" s="3">
        <v>14.0</v>
      </c>
      <c r="D14" s="3">
        <v>6.0</v>
      </c>
      <c r="E14" s="3">
        <v>1.0</v>
      </c>
      <c r="F14" s="11">
        <f t="shared" si="1"/>
        <v>0.4285714286</v>
      </c>
      <c r="G14" s="5">
        <f t="shared" si="2"/>
        <v>2.571428571</v>
      </c>
      <c r="H14" s="3">
        <v>14.0</v>
      </c>
      <c r="I14" s="2">
        <v>13.0</v>
      </c>
      <c r="J14" s="10">
        <f>IFERROR(__xludf.DUMMYFUNCTION("ifna(QUERY($A$2:$G$2000, ""select G where D="" &amp; J$1 &amp; "" and E="" &amp; $I14), QUERY($A$2:$G$2000, ""select G where E="" &amp; J$1 &amp; "" and D="" &amp; $I14))"),3.7142857142857144)</f>
        <v>3.714285714</v>
      </c>
      <c r="K14" s="10">
        <f>IFERROR(__xludf.DUMMYFUNCTION("ifna(QUERY($A$2:$G$2000, ""select G where D="" &amp; K$1 &amp; "" and E="" &amp; $I14), QUERY($A$2:$G$2000, ""select G where E="" &amp; K$1 &amp; "" and D="" &amp; $I14))"),3.8095238095238093)</f>
        <v>3.80952381</v>
      </c>
      <c r="L14" s="10">
        <f>IFERROR(__xludf.DUMMYFUNCTION("ifna(QUERY($A$2:$G$2000, ""select G where D="" &amp; L$1 &amp; "" and E="" &amp; $I14), QUERY($A$2:$G$2000, ""select G where E="" &amp; L$1 &amp; "" and D="" &amp; $I14))"),4.071428571428571)</f>
        <v>4.071428571</v>
      </c>
      <c r="M14" s="10">
        <f>IFERROR(__xludf.DUMMYFUNCTION("ifna(QUERY($A$2:$G$2000, ""select G where D="" &amp; M$1 &amp; "" and E="" &amp; $I14), QUERY($A$2:$G$2000, ""select G where E="" &amp; M$1 &amp; "" and D="" &amp; $I14))"),4.228571428571429)</f>
        <v>4.228571429</v>
      </c>
      <c r="N14" s="10">
        <f>IFERROR(__xludf.DUMMYFUNCTION("ifna(QUERY($A$2:$G$2000, ""select G where D="" &amp; N$1 &amp; "" and E="" &amp; $I14), QUERY($A$2:$G$2000, ""select G where E="" &amp; N$1 &amp; "" and D="" &amp; $I14))"),4.380952380952381)</f>
        <v>4.380952381</v>
      </c>
      <c r="O14" s="10">
        <f>IFERROR(__xludf.DUMMYFUNCTION("ifna(QUERY($A$2:$G$2000, ""select G where D="" &amp; O$1 &amp; "" and E="" &amp; $I14), QUERY($A$2:$G$2000, ""select G where E="" &amp; O$1 &amp; "" and D="" &amp; $I14))"),4.551020408163265)</f>
        <v>4.551020408</v>
      </c>
      <c r="P14" s="10">
        <f>IFERROR(__xludf.DUMMYFUNCTION("ifna(QUERY($A$2:$G$2000, ""select G where D="" &amp; P$1 &amp; "" and E="" &amp; $I14), QUERY($A$2:$G$2000, ""select G where E="" &amp; P$1 &amp; "" and D="" &amp; $I14))"),4.714285714285714)</f>
        <v>4.714285714</v>
      </c>
      <c r="Q14" s="10">
        <f>IFERROR(__xludf.DUMMYFUNCTION("ifna(QUERY($A$2:$G$2000, ""select G where D="" &amp; Q$1 &amp; "" and E="" &amp; $I14), QUERY($A$2:$G$2000, ""select G where E="" &amp; Q$1 &amp; "" and D="" &amp; $I14))"),4.809523809523809)</f>
        <v>4.80952381</v>
      </c>
      <c r="R14" s="10">
        <f>IFERROR(__xludf.DUMMYFUNCTION("ifna(QUERY($A$2:$G$2000, ""select G where D="" &amp; R$1 &amp; "" and E="" &amp; $I14), QUERY($A$2:$G$2000, ""select G where E="" &amp; R$1 &amp; "" and D="" &amp; $I14))"),4.9)</f>
        <v>4.9</v>
      </c>
      <c r="S14" s="10">
        <f>IFERROR(__xludf.DUMMYFUNCTION("ifna(QUERY($A$2:$G$2000, ""select G where D="" &amp; S$1 &amp; "" and E="" &amp; $I14), QUERY($A$2:$G$2000, ""select G where E="" &amp; S$1 &amp; "" and D="" &amp; $I14))"),5.025974025974026)</f>
        <v>5.025974026</v>
      </c>
      <c r="T14" s="10">
        <f>IFERROR(__xludf.DUMMYFUNCTION("ifna(QUERY($A$2:$G$2000, ""select G where D="" &amp; T$1 &amp; "" and E="" &amp; $I14), QUERY($A$2:$G$2000, ""select G where E="" &amp; T$1 &amp; "" and D="" &amp; $I14))"),5.071428571428571)</f>
        <v>5.071428571</v>
      </c>
      <c r="U14" s="10">
        <f>IFERROR(__xludf.DUMMYFUNCTION("ifna(QUERY($A$2:$G$2000, ""select G where D="" &amp; U$1 &amp; "" and E="" &amp; $I14), QUERY($A$2:$G$2000, ""select G where E="" &amp; U$1 &amp; "" and D="" &amp; $I14))"),5.131868131868131)</f>
        <v>5.131868132</v>
      </c>
      <c r="V14" s="10">
        <f>IFERROR(__xludf.DUMMYFUNCTION("ifna(QUERY($A$2:$G$2000, ""select G where D="" &amp; V$1 &amp; "" and E="" &amp; $I14), QUERY($A$2:$G$2000, ""select G where E="" &amp; V$1 &amp; "" and D="" &amp; $I14))"),5.204081632653061)</f>
        <v>5.204081633</v>
      </c>
      <c r="W14" s="10">
        <f>IFERROR(__xludf.DUMMYFUNCTION("ifna(QUERY($A$2:$G$2000, ""select G where D="" &amp; W$1 &amp; "" and E="" &amp; $I14), QUERY($A$2:$G$2000, ""select G where E="" &amp; W$1 &amp; "" and D="" &amp; $I14))"),5.266666666666667)</f>
        <v>5.266666667</v>
      </c>
      <c r="X14" s="10">
        <f>IFERROR(__xludf.DUMMYFUNCTION("ifna(QUERY($A$2:$G$2000, ""select G where D="" &amp; X$1 &amp; "" and E="" &amp; $I14), QUERY($A$2:$G$2000, ""select G where E="" &amp; X$1 &amp; "" and D="" &amp; $I14))"),5.339285714285714)</f>
        <v>5.339285714</v>
      </c>
      <c r="Y14" s="10">
        <f>IFERROR(__xludf.DUMMYFUNCTION("ifna(QUERY($A$2:$G$2000, ""select G where D="" &amp; Y$1 &amp; "" and E="" &amp; $I14), QUERY($A$2:$G$2000, ""select G where E="" &amp; Y$1 &amp; "" and D="" &amp; $I14))"),5.420168067226891)</f>
        <v>5.420168067</v>
      </c>
      <c r="Z14" s="10">
        <f>IFERROR(__xludf.DUMMYFUNCTION("ifna(QUERY($A$2:$G$2000, ""select G where D="" &amp; Z$1 &amp; "" and E="" &amp; $I14), QUERY($A$2:$G$2000, ""select G where E="" &amp; Z$1 &amp; "" and D="" &amp; $I14))"),5.492063492063492)</f>
        <v>5.492063492</v>
      </c>
      <c r="AA14" s="10">
        <f>IFERROR(__xludf.DUMMYFUNCTION("ifna(QUERY($A$2:$G$2000, ""select G where D="" &amp; AA$1 &amp; "" and E="" &amp; $I14), QUERY($A$2:$G$2000, ""select G where E="" &amp; AA$1 &amp; "" and D="" &amp; $I14))"),5.571428571428571)</f>
        <v>5.571428571</v>
      </c>
      <c r="AB14" s="10">
        <f>IFERROR(__xludf.DUMMYFUNCTION("ifna(QUERY($A$2:$G$2000, ""select G where D="" &amp; AB$1 &amp; "" and E="" &amp; $I14), QUERY($A$2:$G$2000, ""select G where E="" &amp; AB$1 &amp; "" and D="" &amp; $I14))"),5.642857142857143)</f>
        <v>5.642857143</v>
      </c>
      <c r="AC14" s="10">
        <f>IFERROR(__xludf.DUMMYFUNCTION("ifna(QUERY($A$2:$G$2000, ""select G where D="" &amp; AC$1 &amp; "" and E="" &amp; $I14), QUERY($A$2:$G$2000, ""select G where E="" &amp; AC$1 &amp; "" and D="" &amp; $I14))"),5.700680272108843)</f>
        <v>5.700680272</v>
      </c>
      <c r="AD14" s="10">
        <f>IFERROR(__xludf.DUMMYFUNCTION("ifna(QUERY($A$2:$G$2000, ""select G where D="" &amp; AD$1 &amp; "" and E="" &amp; $I14), QUERY($A$2:$G$2000, ""select G where E="" &amp; AD$1 &amp; "" and D="" &amp; $I14))"),5.753246753246753)</f>
        <v>5.753246753</v>
      </c>
      <c r="AE14" s="10">
        <f>IFERROR(__xludf.DUMMYFUNCTION("ifna(QUERY($A$2:$G$2000, ""select G where D="" &amp; AE$1 &amp; "" and E="" &amp; $I14), QUERY($A$2:$G$2000, ""select G where E="" &amp; AE$1 &amp; "" and D="" &amp; $I14))"),5.795031055900621)</f>
        <v>5.795031056</v>
      </c>
      <c r="AF14" s="10">
        <f>IFERROR(__xludf.DUMMYFUNCTION("ifna(QUERY($A$2:$G$2000, ""select G where D="" &amp; AF$1 &amp; "" and E="" &amp; $I14), QUERY($A$2:$G$2000, ""select G where E="" &amp; AF$1 &amp; "" and D="" &amp; $I14))"),5.833333333333333)</f>
        <v>5.833333333</v>
      </c>
      <c r="AG14" s="10">
        <f>IFERROR(__xludf.DUMMYFUNCTION("ifna(QUERY($A$2:$G$2000, ""select G where D="" &amp; AG$1 &amp; "" and E="" &amp; $I14), QUERY($A$2:$G$2000, ""select G where E="" &amp; AG$1 &amp; "" and D="" &amp; $I14))"),5.862857142857143)</f>
        <v>5.862857143</v>
      </c>
      <c r="AH14" s="10">
        <f>IFERROR(__xludf.DUMMYFUNCTION("ifna(QUERY($A$2:$G$2000, ""select G where D="" &amp; AH$1 &amp; "" and E="" &amp; $I14), QUERY($A$2:$G$2000, ""select G where E="" &amp; AH$1 &amp; "" and D="" &amp; $I14))"),5.8901098901098905)</f>
        <v>5.89010989</v>
      </c>
      <c r="AI14" s="10">
        <f>IFERROR(__xludf.DUMMYFUNCTION("ifna(QUERY($A$2:$G$2000, ""select G where D="" &amp; AI$1 &amp; "" and E="" &amp; $I14), QUERY($A$2:$G$2000, ""select G where E="" &amp; AI$1 &amp; "" and D="" &amp; $I14))"),5.920634920634921)</f>
        <v>5.920634921</v>
      </c>
      <c r="AJ14" s="10">
        <f>IFERROR(__xludf.DUMMYFUNCTION("ifna(QUERY($A$2:$G$2000, ""select G where D="" &amp; AJ$1 &amp; "" and E="" &amp; $I14), QUERY($A$2:$G$2000, ""select G where E="" &amp; AJ$1 &amp; "" and D="" &amp; $I14))"),5.954081632653061)</f>
        <v>5.954081633</v>
      </c>
      <c r="AK14" s="10">
        <f>IFERROR(__xludf.DUMMYFUNCTION("ifna(QUERY($A$2:$G$2000, ""select G where D="" &amp; AK$1 &amp; "" and E="" &amp; $I14), QUERY($A$2:$G$2000, ""select G where E="" &amp; AK$1 &amp; "" and D="" &amp; $I14))"),6.009852216748769)</f>
        <v>6.009852217</v>
      </c>
      <c r="AL14" s="10">
        <f>IFERROR(__xludf.DUMMYFUNCTION("ifna(QUERY($A$2:$G$2000, ""select G where D="" &amp; AL$1 &amp; "" and E="" &amp; $I14), QUERY($A$2:$G$2000, ""select G where E="" &amp; AL$1 &amp; "" and D="" &amp; $I14))"),6.019047619047619)</f>
        <v>6.019047619</v>
      </c>
      <c r="AM14" s="10">
        <f>IFERROR(__xludf.DUMMYFUNCTION("ifna(QUERY($A$2:$G$2000, ""select G where D="" &amp; AM$1 &amp; "" and E="" &amp; $I14), QUERY($A$2:$G$2000, ""select G where E="" &amp; AM$1 &amp; "" and D="" &amp; $I14))"),6.0368663594470044)</f>
        <v>6.036866359</v>
      </c>
      <c r="AN14" s="10">
        <f>IFERROR(__xludf.DUMMYFUNCTION("ifna(QUERY($A$2:$G$2000, ""select G where D="" &amp; AN$1 &amp; "" and E="" &amp; $I14), QUERY($A$2:$G$2000, ""select G where E="" &amp; AN$1 &amp; "" and D="" &amp; $I14))"),6.053571428571429)</f>
        <v>6.053571429</v>
      </c>
      <c r="AO14" s="10">
        <f>IFERROR(__xludf.DUMMYFUNCTION("ifna(QUERY($A$2:$G$2000, ""select G where D="" &amp; AO$1 &amp; "" and E="" &amp; $I14), QUERY($A$2:$G$2000, ""select G where E="" &amp; AO$1 &amp; "" and D="" &amp; $I14))"),6.077922077922078)</f>
        <v>6.077922078</v>
      </c>
      <c r="AP14" s="10">
        <f>IFERROR(__xludf.DUMMYFUNCTION("ifna(QUERY($A$2:$G$2000, ""select G where D="" &amp; AP$1 &amp; "" and E="" &amp; $I14), QUERY($A$2:$G$2000, ""select G where E="" &amp; AP$1 &amp; "" and D="" &amp; $I14))"),6.100840336134453)</f>
        <v>6.100840336</v>
      </c>
      <c r="AQ14" s="10">
        <f>IFERROR(__xludf.DUMMYFUNCTION("ifna(QUERY($A$2:$G$2000, ""select G where D="" &amp; AQ$1 &amp; "" and E="" &amp; $I14), QUERY($A$2:$G$2000, ""select G where E="" &amp; AQ$1 &amp; "" and D="" &amp; $I14))"),6.130612244897959)</f>
        <v>6.130612245</v>
      </c>
      <c r="AR14" s="10">
        <f>IFERROR(__xludf.DUMMYFUNCTION("ifna(QUERY($A$2:$G$2000, ""select G where D="" &amp; AR$1 &amp; "" and E="" &amp; $I14), QUERY($A$2:$G$2000, ""select G where E="" &amp; AR$1 &amp; "" and D="" &amp; $I14))"),6.158730158730159)</f>
        <v>6.158730159</v>
      </c>
      <c r="AS14" s="10">
        <f>IFERROR(__xludf.DUMMYFUNCTION("ifna(QUERY($A$2:$G$2000, ""select G where D="" &amp; AS$1 &amp; "" and E="" &amp; $I14), QUERY($A$2:$G$2000, ""select G where E="" &amp; AS$1 &amp; "" and D="" &amp; $I14))"),6.185328185328185)</f>
        <v>6.185328185</v>
      </c>
      <c r="AT14" s="10">
        <f>IFERROR(__xludf.DUMMYFUNCTION("ifna(QUERY($A$2:$G$2000, ""select G where D="" &amp; AT$1 &amp; "" and E="" &amp; $I14), QUERY($A$2:$G$2000, ""select G where E="" &amp; AT$1 &amp; "" and D="" &amp; $I14))"),6.2180451127819545)</f>
        <v>6.218045113</v>
      </c>
      <c r="AU14" s="10">
        <f>IFERROR(__xludf.DUMMYFUNCTION("ifna(QUERY($A$2:$G$2000, ""select G where D="" &amp; AU$1 &amp; "" and E="" &amp; $I14), QUERY($A$2:$G$2000, ""select G where E="" &amp; AU$1 &amp; "" and D="" &amp; $I14))"),6.249084249084249)</f>
        <v>6.249084249</v>
      </c>
      <c r="AV14" s="10">
        <f>IFERROR(__xludf.DUMMYFUNCTION("ifna(QUERY($A$2:$G$2000, ""select G where D="" &amp; AV$1 &amp; "" and E="" &amp; $I14), QUERY($A$2:$G$2000, ""select G where E="" &amp; AV$1 &amp; "" and D="" &amp; $I14))"),6.285714285714286)</f>
        <v>6.285714286</v>
      </c>
      <c r="AW14" s="10">
        <f>IFERROR(__xludf.DUMMYFUNCTION("ifna(QUERY($A$2:$G$2000, ""select G where D="" &amp; AW$1 &amp; "" and E="" &amp; $I14), QUERY($A$2:$G$2000, ""select G where E="" &amp; AW$1 &amp; "" and D="" &amp; $I14))"),6.320557491289199)</f>
        <v>6.320557491</v>
      </c>
      <c r="AX14" s="10">
        <f>IFERROR(__xludf.DUMMYFUNCTION("ifna(QUERY($A$2:$G$2000, ""select G where D="" &amp; AX$1 &amp; "" and E="" &amp; $I14), QUERY($A$2:$G$2000, ""select G where E="" &amp; AX$1 &amp; "" and D="" &amp; $I14))"),6.353741496598639)</f>
        <v>6.353741497</v>
      </c>
      <c r="AY14" s="10">
        <f>IFERROR(__xludf.DUMMYFUNCTION("ifna(QUERY($A$2:$G$2000, ""select G where D="" &amp; AY$1 &amp; "" and E="" &amp; $I14), QUERY($A$2:$G$2000, ""select G where E="" &amp; AY$1 &amp; "" and D="" &amp; $I14))"),6.385382059800665)</f>
        <v>6.38538206</v>
      </c>
      <c r="AZ14" s="10">
        <f>IFERROR(__xludf.DUMMYFUNCTION("ifna(QUERY($A$2:$G$2000, ""select G where D="" &amp; AZ$1 &amp; "" and E="" &amp; $I14), QUERY($A$2:$G$2000, ""select G where E="" &amp; AZ$1 &amp; "" and D="" &amp; $I14))"),6.422077922077922)</f>
        <v>6.422077922</v>
      </c>
      <c r="BA14" s="10">
        <f>IFERROR(__xludf.DUMMYFUNCTION("ifna(QUERY($A$2:$G$2000, ""select G where D="" &amp; BA$1 &amp; "" and E="" &amp; $I14), QUERY($A$2:$G$2000, ""select G where E="" &amp; BA$1 &amp; "" and D="" &amp; $I14))"),6.457142857142857)</f>
        <v>6.457142857</v>
      </c>
      <c r="BB14" s="10">
        <f>IFERROR(__xludf.DUMMYFUNCTION("ifna(QUERY($A$2:$G$2000, ""select G where D="" &amp; BB$1 &amp; "" and E="" &amp; $I14), QUERY($A$2:$G$2000, ""select G where E="" &amp; BB$1 &amp; "" and D="" &amp; $I14))"),6.490683229813665)</f>
        <v>6.49068323</v>
      </c>
      <c r="BC14" s="10">
        <f>IFERROR(__xludf.DUMMYFUNCTION("ifna(QUERY($A$2:$G$2000, ""select G where D="" &amp; BC$1 &amp; "" and E="" &amp; $I14), QUERY($A$2:$G$2000, ""select G where E="" &amp; BC$1 &amp; "" and D="" &amp; $I14))"),6.522796352583587)</f>
        <v>6.522796353</v>
      </c>
      <c r="BD14" s="10">
        <f>IFERROR(__xludf.DUMMYFUNCTION("ifna(QUERY($A$2:$G$2000, ""select G where D="" &amp; BD$1 &amp; "" and E="" &amp; $I14), QUERY($A$2:$G$2000, ""select G where E="" &amp; BD$1 &amp; "" and D="" &amp; $I14))"),6.553571428571429)</f>
        <v>6.553571429</v>
      </c>
      <c r="BE14" s="10">
        <f>IFERROR(__xludf.DUMMYFUNCTION("ifna(QUERY($A$2:$G$2000, ""select G where D="" &amp; BE$1 &amp; "" and E="" &amp; $I14), QUERY($A$2:$G$2000, ""select G where E="" &amp; BE$1 &amp; "" and D="" &amp; $I14))"),6.5830903790087465)</f>
        <v>6.583090379</v>
      </c>
      <c r="BF14" s="10">
        <f>IFERROR(__xludf.DUMMYFUNCTION("ifna(QUERY($A$2:$G$2000, ""select G where D="" &amp; BF$1 &amp; "" and E="" &amp; $I14), QUERY($A$2:$G$2000, ""select G where E="" &amp; BF$1 &amp; "" and D="" &amp; $I14))"),6.611428571428571)</f>
        <v>6.611428571</v>
      </c>
      <c r="BG14" s="10">
        <f>IFERROR(__xludf.DUMMYFUNCTION("ifna(QUERY($A$2:$G$2000, ""select G where D="" &amp; BG$1 &amp; "" and E="" &amp; $I14), QUERY($A$2:$G$2000, ""select G where E="" &amp; BG$1 &amp; "" and D="" &amp; $I14))"),6.638655462184874)</f>
        <v>6.638655462</v>
      </c>
      <c r="BH14" s="10">
        <f>IFERROR(__xludf.DUMMYFUNCTION("ifna(QUERY($A$2:$G$2000, ""select G where D="" &amp; BH$1 &amp; "" and E="" &amp; $I14), QUERY($A$2:$G$2000, ""select G where E="" &amp; BH$1 &amp; "" and D="" &amp; $I14))"),6.664835164835165)</f>
        <v>6.664835165</v>
      </c>
      <c r="BI14" s="10">
        <f>IFERROR(__xludf.DUMMYFUNCTION("ifna(QUERY($A$2:$G$2000, ""select G where D="" &amp; BI$1 &amp; "" and E="" &amp; $I14), QUERY($A$2:$G$2000, ""select G where E="" &amp; BI$1 &amp; "" and D="" &amp; $I14))"),6.690026954177897)</f>
        <v>6.690026954</v>
      </c>
      <c r="BJ14" s="10">
        <f>IFERROR(__xludf.DUMMYFUNCTION("ifna(QUERY($A$2:$G$2000, ""select G where D="" &amp; BJ$1 &amp; "" and E="" &amp; $I14), QUERY($A$2:$G$2000, ""select G where E="" &amp; BJ$1 &amp; "" and D="" &amp; $I14))"),6.714285714285714)</f>
        <v>6.714285714</v>
      </c>
      <c r="BK14" s="10">
        <f>IFERROR(__xludf.DUMMYFUNCTION("ifna(QUERY($A$2:$G$2000, ""select G where D="" &amp; BK$1 &amp; "" and E="" &amp; $I14), QUERY($A$2:$G$2000, ""select G where E="" &amp; BK$1 &amp; "" and D="" &amp; $I14))"),6.7376623376623375)</f>
        <v>6.737662338</v>
      </c>
      <c r="BL14" s="10"/>
      <c r="BM14" s="10"/>
      <c r="BN14" s="10"/>
      <c r="BO14" s="10"/>
    </row>
    <row r="15">
      <c r="A15" s="3">
        <v>3.0</v>
      </c>
      <c r="B15" s="3">
        <v>5.0</v>
      </c>
      <c r="C15" s="3">
        <v>21.0</v>
      </c>
      <c r="D15" s="3">
        <v>6.0</v>
      </c>
      <c r="E15" s="3">
        <v>2.0</v>
      </c>
      <c r="F15" s="11">
        <f t="shared" si="1"/>
        <v>0.2380952381</v>
      </c>
      <c r="G15" s="5">
        <f t="shared" si="2"/>
        <v>2.761904762</v>
      </c>
      <c r="H15" s="3">
        <v>15.0</v>
      </c>
      <c r="I15" s="2">
        <v>14.0</v>
      </c>
      <c r="J15" s="10">
        <f>IFERROR(__xludf.DUMMYFUNCTION("ifna(QUERY($A$2:$G$2000, ""select G where D="" &amp; J$1 &amp; "" and E="" &amp; $I15), QUERY($A$2:$G$2000, ""select G where E="" &amp; J$1 &amp; "" and D="" &amp; $I15))"),3.8)</f>
        <v>3.8</v>
      </c>
      <c r="K15" s="10">
        <f>IFERROR(__xludf.DUMMYFUNCTION("ifna(QUERY($A$2:$G$2000, ""select G where D="" &amp; K$1 &amp; "" and E="" &amp; $I15), QUERY($A$2:$G$2000, ""select G where E="" &amp; K$1 &amp; "" and D="" &amp; $I15))"),3.888888888888889)</f>
        <v>3.888888889</v>
      </c>
      <c r="L15" s="10">
        <f>IFERROR(__xludf.DUMMYFUNCTION("ifna(QUERY($A$2:$G$2000, ""select G where D="" &amp; L$1 &amp; "" and E="" &amp; $I15), QUERY($A$2:$G$2000, ""select G where E="" &amp; L$1 &amp; "" and D="" &amp; $I15))"),4.133333333333333)</f>
        <v>4.133333333</v>
      </c>
      <c r="M15" s="10">
        <f>IFERROR(__xludf.DUMMYFUNCTION("ifna(QUERY($A$2:$G$2000, ""select G where D="" &amp; M$1 &amp; "" and E="" &amp; $I15), QUERY($A$2:$G$2000, ""select G where E="" &amp; M$1 &amp; "" and D="" &amp; $I15))"),4.32)</f>
        <v>4.32</v>
      </c>
      <c r="N15" s="10">
        <f>IFERROR(__xludf.DUMMYFUNCTION("ifna(QUERY($A$2:$G$2000, ""select G where D="" &amp; N$1 &amp; "" and E="" &amp; $I15), QUERY($A$2:$G$2000, ""select G where E="" &amp; N$1 &amp; "" and D="" &amp; $I15))"),4.488888888888889)</f>
        <v>4.488888889</v>
      </c>
      <c r="O15" s="10">
        <f>IFERROR(__xludf.DUMMYFUNCTION("ifna(QUERY($A$2:$G$2000, ""select G where D="" &amp; O$1 &amp; "" and E="" &amp; $I15), QUERY($A$2:$G$2000, ""select G where E="" &amp; O$1 &amp; "" and D="" &amp; $I15))"),4.647619047619048)</f>
        <v>4.647619048</v>
      </c>
      <c r="P15" s="10">
        <f>IFERROR(__xludf.DUMMYFUNCTION("ifna(QUERY($A$2:$G$2000, ""select G where D="" &amp; P$1 &amp; "" and E="" &amp; $I15), QUERY($A$2:$G$2000, ""select G where E="" &amp; P$1 &amp; "" and D="" &amp; $I15))"),4.783333333333333)</f>
        <v>4.783333333</v>
      </c>
      <c r="Q15" s="10">
        <f>IFERROR(__xludf.DUMMYFUNCTION("ifna(QUERY($A$2:$G$2000, ""select G where D="" &amp; Q$1 &amp; "" and E="" &amp; $I15), QUERY($A$2:$G$2000, ""select G where E="" &amp; Q$1 &amp; "" and D="" &amp; $I15))"),4.859259259259259)</f>
        <v>4.859259259</v>
      </c>
      <c r="R15" s="10">
        <f>IFERROR(__xludf.DUMMYFUNCTION("ifna(QUERY($A$2:$G$2000, ""select G where D="" &amp; R$1 &amp; "" and E="" &amp; $I15), QUERY($A$2:$G$2000, ""select G where E="" &amp; R$1 &amp; "" and D="" &amp; $I15))"),4.973333333333334)</f>
        <v>4.973333333</v>
      </c>
      <c r="S15" s="10">
        <f>IFERROR(__xludf.DUMMYFUNCTION("ifna(QUERY($A$2:$G$2000, ""select G where D="" &amp; S$1 &amp; "" and E="" &amp; $I15), QUERY($A$2:$G$2000, ""select G where E="" &amp; S$1 &amp; "" and D="" &amp; $I15))"),5.048484848484849)</f>
        <v>5.048484848</v>
      </c>
      <c r="T15" s="10">
        <f>IFERROR(__xludf.DUMMYFUNCTION("ifna(QUERY($A$2:$G$2000, ""select G where D="" &amp; T$1 &amp; "" and E="" &amp; $I15), QUERY($A$2:$G$2000, ""select G where E="" &amp; T$1 &amp; "" and D="" &amp; $I15))"),5.111111111111111)</f>
        <v>5.111111111</v>
      </c>
      <c r="U15" s="10">
        <f>IFERROR(__xludf.DUMMYFUNCTION("ifna(QUERY($A$2:$G$2000, ""select G where D="" &amp; U$1 &amp; "" and E="" &amp; $I15), QUERY($A$2:$G$2000, ""select G where E="" &amp; U$1 &amp; "" and D="" &amp; $I15))"),5.184615384615385)</f>
        <v>5.184615385</v>
      </c>
      <c r="V15" s="10">
        <f>IFERROR(__xludf.DUMMYFUNCTION("ifna(QUERY($A$2:$G$2000, ""select G where D="" &amp; V$1 &amp; "" and E="" &amp; $I15), QUERY($A$2:$G$2000, ""select G where E="" &amp; V$1 &amp; "" and D="" &amp; $I15))"),5.266666666666667)</f>
        <v>5.266666667</v>
      </c>
      <c r="W15" s="10">
        <f>IFERROR(__xludf.DUMMYFUNCTION("ifna(QUERY($A$2:$G$2000, ""select G where D="" &amp; W$1 &amp; "" and E="" &amp; $I15), QUERY($A$2:$G$2000, ""select G where E="" &amp; W$1 &amp; "" and D="" &amp; $I15))"),5.337777777777777)</f>
        <v>5.337777778</v>
      </c>
      <c r="X15" s="10">
        <f>IFERROR(__xludf.DUMMYFUNCTION("ifna(QUERY($A$2:$G$2000, ""select G where D="" &amp; X$1 &amp; "" and E="" &amp; $I15), QUERY($A$2:$G$2000, ""select G where E="" &amp; X$1 &amp; "" and D="" &amp; $I15))"),5.416666666666667)</f>
        <v>5.416666667</v>
      </c>
      <c r="Y15" s="10">
        <f>IFERROR(__xludf.DUMMYFUNCTION("ifna(QUERY($A$2:$G$2000, ""select G where D="" &amp; Y$1 &amp; "" and E="" &amp; $I15), QUERY($A$2:$G$2000, ""select G where E="" &amp; Y$1 &amp; "" and D="" &amp; $I15))"),5.5019607843137255)</f>
        <v>5.501960784</v>
      </c>
      <c r="Z15" s="10">
        <f>IFERROR(__xludf.DUMMYFUNCTION("ifna(QUERY($A$2:$G$2000, ""select G where D="" &amp; Z$1 &amp; "" and E="" &amp; $I15), QUERY($A$2:$G$2000, ""select G where E="" &amp; Z$1 &amp; "" and D="" &amp; $I15))"),5.5777777777777775)</f>
        <v>5.577777778</v>
      </c>
      <c r="AA15" s="10">
        <f>IFERROR(__xludf.DUMMYFUNCTION("ifna(QUERY($A$2:$G$2000, ""select G where D="" &amp; AA$1 &amp; "" and E="" &amp; $I15), QUERY($A$2:$G$2000, ""select G where E="" &amp; AA$1 &amp; "" and D="" &amp; $I15))"),5.652631578947369)</f>
        <v>5.652631579</v>
      </c>
      <c r="AB15" s="10">
        <f>IFERROR(__xludf.DUMMYFUNCTION("ifna(QUERY($A$2:$G$2000, ""select G where D="" &amp; AB$1 &amp; "" and E="" &amp; $I15), QUERY($A$2:$G$2000, ""select G where E="" &amp; AB$1 &amp; "" and D="" &amp; $I15))"),5.72)</f>
        <v>5.72</v>
      </c>
      <c r="AC15" s="10">
        <f>IFERROR(__xludf.DUMMYFUNCTION("ifna(QUERY($A$2:$G$2000, ""select G where D="" &amp; AC$1 &amp; "" and E="" &amp; $I15), QUERY($A$2:$G$2000, ""select G where E="" &amp; AC$1 &amp; "" and D="" &amp; $I15))"),5.768253968253968)</f>
        <v>5.768253968</v>
      </c>
      <c r="AD15" s="10">
        <f>IFERROR(__xludf.DUMMYFUNCTION("ifna(QUERY($A$2:$G$2000, ""select G where D="" &amp; AD$1 &amp; "" and E="" &amp; $I15), QUERY($A$2:$G$2000, ""select G where E="" &amp; AD$1 &amp; "" and D="" &amp; $I15))"),5.8121212121212125)</f>
        <v>5.812121212</v>
      </c>
      <c r="AE15" s="10">
        <f>IFERROR(__xludf.DUMMYFUNCTION("ifna(QUERY($A$2:$G$2000, ""select G where D="" &amp; AE$1 &amp; "" and E="" &amp; $I15), QUERY($A$2:$G$2000, ""select G where E="" &amp; AE$1 &amp; "" and D="" &amp; $I15))"),5.846376811594203)</f>
        <v>5.846376812</v>
      </c>
      <c r="AF15" s="10">
        <f>IFERROR(__xludf.DUMMYFUNCTION("ifna(QUERY($A$2:$G$2000, ""select G where D="" &amp; AF$1 &amp; "" and E="" &amp; $I15), QUERY($A$2:$G$2000, ""select G where E="" &amp; AF$1 &amp; "" and D="" &amp; $I15))"),5.877777777777778)</f>
        <v>5.877777778</v>
      </c>
      <c r="AG15" s="10">
        <f>IFERROR(__xludf.DUMMYFUNCTION("ifna(QUERY($A$2:$G$2000, ""select G where D="" &amp; AG$1 &amp; "" and E="" &amp; $I15), QUERY($A$2:$G$2000, ""select G where E="" &amp; AG$1 &amp; "" and D="" &amp; $I15))"),5.906666666666666)</f>
        <v>5.906666667</v>
      </c>
      <c r="AH15" s="10">
        <f>IFERROR(__xludf.DUMMYFUNCTION("ifna(QUERY($A$2:$G$2000, ""select G where D="" &amp; AH$1 &amp; "" and E="" &amp; $I15), QUERY($A$2:$G$2000, ""select G where E="" &amp; AH$1 &amp; "" and D="" &amp; $I15))"),5.938461538461539)</f>
        <v>5.938461538</v>
      </c>
      <c r="AI15" s="10">
        <f>IFERROR(__xludf.DUMMYFUNCTION("ifna(QUERY($A$2:$G$2000, ""select G where D="" &amp; AI$1 &amp; "" and E="" &amp; $I15), QUERY($A$2:$G$2000, ""select G where E="" &amp; AI$1 &amp; "" and D="" &amp; $I15))"),6.009876543209876)</f>
        <v>6.009876543</v>
      </c>
      <c r="AJ15" s="10">
        <f>IFERROR(__xludf.DUMMYFUNCTION("ifna(QUERY($A$2:$G$2000, ""select G where D="" &amp; AJ$1 &amp; "" and E="" &amp; $I15), QUERY($A$2:$G$2000, ""select G where E="" &amp; AJ$1 &amp; "" and D="" &amp; $I15))"),6.019047619047619)</f>
        <v>6.019047619</v>
      </c>
      <c r="AK15" s="10">
        <f>IFERROR(__xludf.DUMMYFUNCTION("ifna(QUERY($A$2:$G$2000, ""select G where D="" &amp; AK$1 &amp; "" and E="" &amp; $I15), QUERY($A$2:$G$2000, ""select G where E="" &amp; AK$1 &amp; "" and D="" &amp; $I15))"),6.036781609195402)</f>
        <v>6.036781609</v>
      </c>
      <c r="AL15" s="10">
        <f>IFERROR(__xludf.DUMMYFUNCTION("ifna(QUERY($A$2:$G$2000, ""select G where D="" &amp; AL$1 &amp; "" and E="" &amp; $I15), QUERY($A$2:$G$2000, ""select G where E="" &amp; AL$1 &amp; "" and D="" &amp; $I15))"),6.053333333333334)</f>
        <v>6.053333333</v>
      </c>
      <c r="AM15" s="10">
        <f>IFERROR(__xludf.DUMMYFUNCTION("ifna(QUERY($A$2:$G$2000, ""select G where D="" &amp; AM$1 &amp; "" and E="" &amp; $I15), QUERY($A$2:$G$2000, ""select G where E="" &amp; AM$1 &amp; "" and D="" &amp; $I15))"),6.077419354838709)</f>
        <v>6.077419355</v>
      </c>
      <c r="AN15" s="10">
        <f>IFERROR(__xludf.DUMMYFUNCTION("ifna(QUERY($A$2:$G$2000, ""select G where D="" &amp; AN$1 &amp; "" and E="" &amp; $I15), QUERY($A$2:$G$2000, ""select G where E="" &amp; AN$1 &amp; "" and D="" &amp; $I15))"),6.1)</f>
        <v>6.1</v>
      </c>
      <c r="AO15" s="10">
        <f>IFERROR(__xludf.DUMMYFUNCTION("ifna(QUERY($A$2:$G$2000, ""select G where D="" &amp; AO$1 &amp; "" and E="" &amp; $I15), QUERY($A$2:$G$2000, ""select G where E="" &amp; AO$1 &amp; "" and D="" &amp; $I15))"),6.129292929292929)</f>
        <v>6.129292929</v>
      </c>
      <c r="AP15" s="10">
        <f>IFERROR(__xludf.DUMMYFUNCTION("ifna(QUERY($A$2:$G$2000, ""select G where D="" &amp; AP$1 &amp; "" and E="" &amp; $I15), QUERY($A$2:$G$2000, ""select G where E="" &amp; AP$1 &amp; "" and D="" &amp; $I15))"),6.1568627450980395)</f>
        <v>6.156862745</v>
      </c>
      <c r="AQ15" s="10">
        <f>IFERROR(__xludf.DUMMYFUNCTION("ifna(QUERY($A$2:$G$2000, ""select G where D="" &amp; AQ$1 &amp; "" and E="" &amp; $I15), QUERY($A$2:$G$2000, ""select G where E="" &amp; AQ$1 &amp; "" and D="" &amp; $I15))"),6.190476190476191)</f>
        <v>6.19047619</v>
      </c>
      <c r="AR15" s="10">
        <f>IFERROR(__xludf.DUMMYFUNCTION("ifna(QUERY($A$2:$G$2000, ""select G where D="" &amp; AR$1 &amp; "" and E="" &amp; $I15), QUERY($A$2:$G$2000, ""select G where E="" &amp; AR$1 &amp; "" and D="" &amp; $I15))"),6.222222222222222)</f>
        <v>6.222222222</v>
      </c>
      <c r="AS15" s="10">
        <f>IFERROR(__xludf.DUMMYFUNCTION("ifna(QUERY($A$2:$G$2000, ""select G where D="" &amp; AS$1 &amp; "" and E="" &amp; $I15), QUERY($A$2:$G$2000, ""select G where E="" &amp; AS$1 &amp; "" and D="" &amp; $I15))"),6.252252252252252)</f>
        <v>6.252252252</v>
      </c>
      <c r="AT15" s="10">
        <f>IFERROR(__xludf.DUMMYFUNCTION("ifna(QUERY($A$2:$G$2000, ""select G where D="" &amp; AT$1 &amp; "" and E="" &amp; $I15), QUERY($A$2:$G$2000, ""select G where E="" &amp; AT$1 &amp; "" and D="" &amp; $I15))"),6.287719298245614)</f>
        <v>6.287719298</v>
      </c>
      <c r="AU15" s="10">
        <f>IFERROR(__xludf.DUMMYFUNCTION("ifna(QUERY($A$2:$G$2000, ""select G where D="" &amp; AU$1 &amp; "" and E="" &amp; $I15), QUERY($A$2:$G$2000, ""select G where E="" &amp; AU$1 &amp; "" and D="" &amp; $I15))"),6.321367521367521)</f>
        <v>6.321367521</v>
      </c>
      <c r="AV15" s="10">
        <f>IFERROR(__xludf.DUMMYFUNCTION("ifna(QUERY($A$2:$G$2000, ""select G where D="" &amp; AV$1 &amp; "" and E="" &amp; $I15), QUERY($A$2:$G$2000, ""select G where E="" &amp; AV$1 &amp; "" and D="" &amp; $I15))"),6.36)</f>
        <v>6.36</v>
      </c>
      <c r="AW15" s="10">
        <f>IFERROR(__xludf.DUMMYFUNCTION("ifna(QUERY($A$2:$G$2000, ""select G where D="" &amp; AW$1 &amp; "" and E="" &amp; $I15), QUERY($A$2:$G$2000, ""select G where E="" &amp; AW$1 &amp; "" and D="" &amp; $I15))"),6.396747967479675)</f>
        <v>6.396747967</v>
      </c>
      <c r="AX15" s="10">
        <f>IFERROR(__xludf.DUMMYFUNCTION("ifna(QUERY($A$2:$G$2000, ""select G where D="" &amp; AX$1 &amp; "" and E="" &amp; $I15), QUERY($A$2:$G$2000, ""select G where E="" &amp; AX$1 &amp; "" and D="" &amp; $I15))"),6.431746031746032)</f>
        <v>6.431746032</v>
      </c>
      <c r="AY15" s="10">
        <f>IFERROR(__xludf.DUMMYFUNCTION("ifna(QUERY($A$2:$G$2000, ""select G where D="" &amp; AY$1 &amp; "" and E="" &amp; $I15), QUERY($A$2:$G$2000, ""select G where E="" &amp; AY$1 &amp; "" and D="" &amp; $I15))"),6.465116279069767)</f>
        <v>6.465116279</v>
      </c>
      <c r="AZ15" s="10">
        <f>IFERROR(__xludf.DUMMYFUNCTION("ifna(QUERY($A$2:$G$2000, ""select G where D="" &amp; AZ$1 &amp; "" and E="" &amp; $I15), QUERY($A$2:$G$2000, ""select G where E="" &amp; AZ$1 &amp; "" and D="" &amp; $I15))"),6.5)</f>
        <v>6.5</v>
      </c>
      <c r="BA15" s="10">
        <f>IFERROR(__xludf.DUMMYFUNCTION("ifna(QUERY($A$2:$G$2000, ""select G where D="" &amp; BA$1 &amp; "" and E="" &amp; $I15), QUERY($A$2:$G$2000, ""select G where E="" &amp; BA$1 &amp; "" and D="" &amp; $I15))"),6.533333333333333)</f>
        <v>6.533333333</v>
      </c>
      <c r="BB15" s="10">
        <f>IFERROR(__xludf.DUMMYFUNCTION("ifna(QUERY($A$2:$G$2000, ""select G where D="" &amp; BB$1 &amp; "" and E="" &amp; $I15), QUERY($A$2:$G$2000, ""select G where E="" &amp; BB$1 &amp; "" and D="" &amp; $I15))"),6.565217391304348)</f>
        <v>6.565217391</v>
      </c>
      <c r="BC15" s="10">
        <f>IFERROR(__xludf.DUMMYFUNCTION("ifna(QUERY($A$2:$G$2000, ""select G where D="" &amp; BC$1 &amp; "" and E="" &amp; $I15), QUERY($A$2:$G$2000, ""select G where E="" &amp; BC$1 &amp; "" and D="" &amp; $I15))"),6.595744680851064)</f>
        <v>6.595744681</v>
      </c>
      <c r="BD15" s="10">
        <f>IFERROR(__xludf.DUMMYFUNCTION("ifna(QUERY($A$2:$G$2000, ""select G where D="" &amp; BD$1 &amp; "" and E="" &amp; $I15), QUERY($A$2:$G$2000, ""select G where E="" &amp; BD$1 &amp; "" and D="" &amp; $I15))"),6.625)</f>
        <v>6.625</v>
      </c>
      <c r="BE15" s="10">
        <f>IFERROR(__xludf.DUMMYFUNCTION("ifna(QUERY($A$2:$G$2000, ""select G where D="" &amp; BE$1 &amp; "" and E="" &amp; $I15), QUERY($A$2:$G$2000, ""select G where E="" &amp; BE$1 &amp; "" and D="" &amp; $I15))"),6.653061224489796)</f>
        <v>6.653061224</v>
      </c>
      <c r="BF15" s="10">
        <f>IFERROR(__xludf.DUMMYFUNCTION("ifna(QUERY($A$2:$G$2000, ""select G where D="" &amp; BF$1 &amp; "" and E="" &amp; $I15), QUERY($A$2:$G$2000, ""select G where E="" &amp; BF$1 &amp; "" and D="" &amp; $I15))"),6.68)</f>
        <v>6.68</v>
      </c>
      <c r="BG15" s="10">
        <f>IFERROR(__xludf.DUMMYFUNCTION("ifna(QUERY($A$2:$G$2000, ""select G where D="" &amp; BG$1 &amp; "" and E="" &amp; $I15), QUERY($A$2:$G$2000, ""select G where E="" &amp; BG$1 &amp; "" and D="" &amp; $I15))"),6.705882352941177)</f>
        <v>6.705882353</v>
      </c>
      <c r="BH15" s="10">
        <f>IFERROR(__xludf.DUMMYFUNCTION("ifna(QUERY($A$2:$G$2000, ""select G where D="" &amp; BH$1 &amp; "" and E="" &amp; $I15), QUERY($A$2:$G$2000, ""select G where E="" &amp; BH$1 &amp; "" and D="" &amp; $I15))"),6.730769230769231)</f>
        <v>6.730769231</v>
      </c>
      <c r="BI15" s="10">
        <f>IFERROR(__xludf.DUMMYFUNCTION("ifna(QUERY($A$2:$G$2000, ""select G where D="" &amp; BI$1 &amp; "" and E="" &amp; $I15), QUERY($A$2:$G$2000, ""select G where E="" &amp; BI$1 &amp; "" and D="" &amp; $I15))"),6.7522012578616355)</f>
        <v>6.752201258</v>
      </c>
      <c r="BJ15" s="10">
        <f>IFERROR(__xludf.DUMMYFUNCTION("ifna(QUERY($A$2:$G$2000, ""select G where D="" &amp; BJ$1 &amp; "" and E="" &amp; $I15), QUERY($A$2:$G$2000, ""select G where E="" &amp; BJ$1 &amp; "" and D="" &amp; $I15))"),6.77283950617284)</f>
        <v>6.772839506</v>
      </c>
      <c r="BK15" s="10">
        <f>IFERROR(__xludf.DUMMYFUNCTION("ifna(QUERY($A$2:$G$2000, ""select G where D="" &amp; BK$1 &amp; "" and E="" &amp; $I15), QUERY($A$2:$G$2000, ""select G where E="" &amp; BK$1 &amp; "" and D="" &amp; $I15))"),6.792727272727273)</f>
        <v>6.792727273</v>
      </c>
      <c r="BL15" s="10"/>
      <c r="BM15" s="10"/>
      <c r="BN15" s="10"/>
      <c r="BO15" s="10"/>
    </row>
    <row r="16">
      <c r="A16" s="3">
        <v>3.0</v>
      </c>
      <c r="B16" s="3">
        <v>4.0</v>
      </c>
      <c r="C16" s="3">
        <v>16.0</v>
      </c>
      <c r="D16" s="3">
        <v>7.0</v>
      </c>
      <c r="E16" s="3">
        <v>1.0</v>
      </c>
      <c r="F16" s="11">
        <f t="shared" si="1"/>
        <v>0.25</v>
      </c>
      <c r="G16" s="5">
        <f t="shared" si="2"/>
        <v>2.75</v>
      </c>
      <c r="H16" s="3">
        <v>16.0</v>
      </c>
      <c r="I16" s="2">
        <v>15.0</v>
      </c>
      <c r="J16" s="10">
        <f>IFERROR(__xludf.DUMMYFUNCTION("ifna(QUERY($A$2:$G$2000, ""select G where D="" &amp; J$1 &amp; "" and E="" &amp; $I16), QUERY($A$2:$G$2000, ""select G where E="" &amp; J$1 &amp; "" and D="" &amp; $I16))"),3.875)</f>
        <v>3.875</v>
      </c>
      <c r="K16" s="10">
        <f>IFERROR(__xludf.DUMMYFUNCTION("ifna(QUERY($A$2:$G$2000, ""select G where D="" &amp; K$1 &amp; "" and E="" &amp; $I16), QUERY($A$2:$G$2000, ""select G where E="" &amp; K$1 &amp; "" and D="" &amp; $I16))"),3.9583333333333335)</f>
        <v>3.958333333</v>
      </c>
      <c r="L16" s="10">
        <f>IFERROR(__xludf.DUMMYFUNCTION("ifna(QUERY($A$2:$G$2000, ""select G where D="" &amp; L$1 &amp; "" and E="" &amp; $I16), QUERY($A$2:$G$2000, ""select G where E="" &amp; L$1 &amp; "" and D="" &amp; $I16))"),4.1875)</f>
        <v>4.1875</v>
      </c>
      <c r="M16" s="10">
        <f>IFERROR(__xludf.DUMMYFUNCTION("ifna(QUERY($A$2:$G$2000, ""select G where D="" &amp; M$1 &amp; "" and E="" &amp; $I16), QUERY($A$2:$G$2000, ""select G where E="" &amp; M$1 &amp; "" and D="" &amp; $I16))"),4.4)</f>
        <v>4.4</v>
      </c>
      <c r="N16" s="10">
        <f>IFERROR(__xludf.DUMMYFUNCTION("ifna(QUERY($A$2:$G$2000, ""select G where D="" &amp; N$1 &amp; "" and E="" &amp; $I16), QUERY($A$2:$G$2000, ""select G where E="" &amp; N$1 &amp; "" and D="" &amp; $I16))"),4.583333333333333)</f>
        <v>4.583333333</v>
      </c>
      <c r="O16" s="10">
        <f>IFERROR(__xludf.DUMMYFUNCTION("ifna(QUERY($A$2:$G$2000, ""select G where D="" &amp; O$1 &amp; "" and E="" &amp; $I16), QUERY($A$2:$G$2000, ""select G where E="" &amp; O$1 &amp; "" and D="" &amp; $I16))"),4.732142857142857)</f>
        <v>4.732142857</v>
      </c>
      <c r="P16" s="10">
        <f>IFERROR(__xludf.DUMMYFUNCTION("ifna(QUERY($A$2:$G$2000, ""select G where D="" &amp; P$1 &amp; "" and E="" &amp; $I16), QUERY($A$2:$G$2000, ""select G where E="" &amp; P$1 &amp; "" and D="" &amp; $I16))"),4.84375)</f>
        <v>4.84375</v>
      </c>
      <c r="Q16" s="10">
        <f>IFERROR(__xludf.DUMMYFUNCTION("ifna(QUERY($A$2:$G$2000, ""select G where D="" &amp; Q$1 &amp; "" and E="" &amp; $I16), QUERY($A$2:$G$2000, ""select G where E="" &amp; Q$1 &amp; "" and D="" &amp; $I16))"),4.930555555555555)</f>
        <v>4.930555556</v>
      </c>
      <c r="R16" s="10">
        <f>IFERROR(__xludf.DUMMYFUNCTION("ifna(QUERY($A$2:$G$2000, ""select G where D="" &amp; R$1 &amp; "" and E="" &amp; $I16), QUERY($A$2:$G$2000, ""select G where E="" &amp; R$1 &amp; "" and D="" &amp; $I16))"),5.025)</f>
        <v>5.025</v>
      </c>
      <c r="S16" s="10">
        <f>IFERROR(__xludf.DUMMYFUNCTION("ifna(QUERY($A$2:$G$2000, ""select G where D="" &amp; S$1 &amp; "" and E="" &amp; $I16), QUERY($A$2:$G$2000, ""select G where E="" &amp; S$1 &amp; "" and D="" &amp; $I16))"),5.090909090909091)</f>
        <v>5.090909091</v>
      </c>
      <c r="T16" s="10">
        <f>IFERROR(__xludf.DUMMYFUNCTION("ifna(QUERY($A$2:$G$2000, ""select G where D="" &amp; T$1 &amp; "" and E="" &amp; $I16), QUERY($A$2:$G$2000, ""select G where E="" &amp; T$1 &amp; "" and D="" &amp; $I16))"),5.166666666666667)</f>
        <v>5.166666667</v>
      </c>
      <c r="U16" s="10">
        <f>IFERROR(__xludf.DUMMYFUNCTION("ifna(QUERY($A$2:$G$2000, ""select G where D="" &amp; U$1 &amp; "" and E="" &amp; $I16), QUERY($A$2:$G$2000, ""select G where E="" &amp; U$1 &amp; "" and D="" &amp; $I16))"),5.25)</f>
        <v>5.25</v>
      </c>
      <c r="V16" s="10">
        <f>IFERROR(__xludf.DUMMYFUNCTION("ifna(QUERY($A$2:$G$2000, ""select G where D="" &amp; V$1 &amp; "" and E="" &amp; $I16), QUERY($A$2:$G$2000, ""select G where E="" &amp; V$1 &amp; "" and D="" &amp; $I16))"),5.339285714285714)</f>
        <v>5.339285714</v>
      </c>
      <c r="W16" s="10">
        <f>IFERROR(__xludf.DUMMYFUNCTION("ifna(QUERY($A$2:$G$2000, ""select G where D="" &amp; W$1 &amp; "" and E="" &amp; $I16), QUERY($A$2:$G$2000, ""select G where E="" &amp; W$1 &amp; "" and D="" &amp; $I16))"),5.416666666666667)</f>
        <v>5.416666667</v>
      </c>
      <c r="X16" s="10">
        <f>IFERROR(__xludf.DUMMYFUNCTION("ifna(QUERY($A$2:$G$2000, ""select G where D="" &amp; X$1 &amp; "" and E="" &amp; $I16), QUERY($A$2:$G$2000, ""select G where E="" &amp; X$1 &amp; "" and D="" &amp; $I16))"),5.5)</f>
        <v>5.5</v>
      </c>
      <c r="Y16" s="10">
        <f>IFERROR(__xludf.DUMMYFUNCTION("ifna(QUERY($A$2:$G$2000, ""select G where D="" &amp; Y$1 &amp; "" and E="" &amp; $I16), QUERY($A$2:$G$2000, ""select G where E="" &amp; Y$1 &amp; "" and D="" &amp; $I16))"),5.588235294117647)</f>
        <v>5.588235294</v>
      </c>
      <c r="Z16" s="10">
        <f>IFERROR(__xludf.DUMMYFUNCTION("ifna(QUERY($A$2:$G$2000, ""select G where D="" &amp; Z$1 &amp; "" and E="" &amp; $I16), QUERY($A$2:$G$2000, ""select G where E="" &amp; Z$1 &amp; "" and D="" &amp; $I16))"),5.666666666666667)</f>
        <v>5.666666667</v>
      </c>
      <c r="AA16" s="10">
        <f>IFERROR(__xludf.DUMMYFUNCTION("ifna(QUERY($A$2:$G$2000, ""select G where D="" &amp; AA$1 &amp; "" and E="" &amp; $I16), QUERY($A$2:$G$2000, ""select G where E="" &amp; AA$1 &amp; "" and D="" &amp; $I16))"),5.730263157894737)</f>
        <v>5.730263158</v>
      </c>
      <c r="AB16" s="10">
        <f>IFERROR(__xludf.DUMMYFUNCTION("ifna(QUERY($A$2:$G$2000, ""select G where D="" &amp; AB$1 &amp; "" and E="" &amp; $I16), QUERY($A$2:$G$2000, ""select G where E="" &amp; AB$1 &amp; "" and D="" &amp; $I16))"),5.7875)</f>
        <v>5.7875</v>
      </c>
      <c r="AC16" s="10">
        <f>IFERROR(__xludf.DUMMYFUNCTION("ifna(QUERY($A$2:$G$2000, ""select G where D="" &amp; AC$1 &amp; "" and E="" &amp; $I16), QUERY($A$2:$G$2000, ""select G where E="" &amp; AC$1 &amp; "" and D="" &amp; $I16))"),5.8273809523809526)</f>
        <v>5.827380952</v>
      </c>
      <c r="AD16" s="10">
        <f>IFERROR(__xludf.DUMMYFUNCTION("ifna(QUERY($A$2:$G$2000, ""select G where D="" &amp; AD$1 &amp; "" and E="" &amp; $I16), QUERY($A$2:$G$2000, ""select G where E="" &amp; AD$1 &amp; "" and D="" &amp; $I16))"),5.863636363636363)</f>
        <v>5.863636364</v>
      </c>
      <c r="AE16" s="10">
        <f>IFERROR(__xludf.DUMMYFUNCTION("ifna(QUERY($A$2:$G$2000, ""select G where D="" &amp; AE$1 &amp; "" and E="" &amp; $I16), QUERY($A$2:$G$2000, ""select G where E="" &amp; AE$1 &amp; "" and D="" &amp; $I16))"),5.891304347826087)</f>
        <v>5.891304348</v>
      </c>
      <c r="AF16" s="10">
        <f>IFERROR(__xludf.DUMMYFUNCTION("ifna(QUERY($A$2:$G$2000, ""select G where D="" &amp; AF$1 &amp; "" and E="" &amp; $I16), QUERY($A$2:$G$2000, ""select G where E="" &amp; AF$1 &amp; "" and D="" &amp; $I16))"),5.921875)</f>
        <v>5.921875</v>
      </c>
      <c r="AG16" s="10">
        <f>IFERROR(__xludf.DUMMYFUNCTION("ifna(QUERY($A$2:$G$2000, ""select G where D="" &amp; AG$1 &amp; "" and E="" &amp; $I16), QUERY($A$2:$G$2000, ""select G where E="" &amp; AG$1 &amp; "" and D="" &amp; $I16))"),5.97)</f>
        <v>5.97</v>
      </c>
      <c r="AH16" s="10">
        <f>IFERROR(__xludf.DUMMYFUNCTION("ifna(QUERY($A$2:$G$2000, ""select G where D="" &amp; AH$1 &amp; "" and E="" &amp; $I16), QUERY($A$2:$G$2000, ""select G where E="" &amp; AH$1 &amp; "" and D="" &amp; $I16))"),6.009615384615385)</f>
        <v>6.009615385</v>
      </c>
      <c r="AI16" s="10">
        <f>IFERROR(__xludf.DUMMYFUNCTION("ifna(QUERY($A$2:$G$2000, ""select G where D="" &amp; AI$1 &amp; "" and E="" &amp; $I16), QUERY($A$2:$G$2000, ""select G where E="" &amp; AI$1 &amp; "" and D="" &amp; $I16))"),6.027777777777778)</f>
        <v>6.027777778</v>
      </c>
      <c r="AJ16" s="10">
        <f>IFERROR(__xludf.DUMMYFUNCTION("ifna(QUERY($A$2:$G$2000, ""select G where D="" &amp; AJ$1 &amp; "" and E="" &amp; $I16), QUERY($A$2:$G$2000, ""select G where E="" &amp; AJ$1 &amp; "" and D="" &amp; $I16))"),6.044642857142857)</f>
        <v>6.044642857</v>
      </c>
      <c r="AK16" s="10">
        <f>IFERROR(__xludf.DUMMYFUNCTION("ifna(QUERY($A$2:$G$2000, ""select G where D="" &amp; AK$1 &amp; "" and E="" &amp; $I16), QUERY($A$2:$G$2000, ""select G where E="" &amp; AK$1 &amp; "" and D="" &amp; $I16))"),6.068965517241379)</f>
        <v>6.068965517</v>
      </c>
      <c r="AL16" s="10">
        <f>IFERROR(__xludf.DUMMYFUNCTION("ifna(QUERY($A$2:$G$2000, ""select G where D="" &amp; AL$1 &amp; "" and E="" &amp; $I16), QUERY($A$2:$G$2000, ""select G where E="" &amp; AL$1 &amp; "" and D="" &amp; $I16))"),6.091666666666667)</f>
        <v>6.091666667</v>
      </c>
      <c r="AM16" s="10">
        <f>IFERROR(__xludf.DUMMYFUNCTION("ifna(QUERY($A$2:$G$2000, ""select G where D="" &amp; AM$1 &amp; "" and E="" &amp; $I16), QUERY($A$2:$G$2000, ""select G where E="" &amp; AM$1 &amp; "" and D="" &amp; $I16))"),6.120967741935484)</f>
        <v>6.120967742</v>
      </c>
      <c r="AN16" s="10">
        <f>IFERROR(__xludf.DUMMYFUNCTION("ifna(QUERY($A$2:$G$2000, ""select G where D="" &amp; AN$1 &amp; "" and E="" &amp; $I16), QUERY($A$2:$G$2000, ""select G where E="" &amp; AN$1 &amp; "" and D="" &amp; $I16))"),6.1484375)</f>
        <v>6.1484375</v>
      </c>
      <c r="AO16" s="10">
        <f>IFERROR(__xludf.DUMMYFUNCTION("ifna(QUERY($A$2:$G$2000, ""select G where D="" &amp; AO$1 &amp; "" and E="" &amp; $I16), QUERY($A$2:$G$2000, ""select G where E="" &amp; AO$1 &amp; "" and D="" &amp; $I16))"),6.181818181818182)</f>
        <v>6.181818182</v>
      </c>
      <c r="AP16" s="10">
        <f>IFERROR(__xludf.DUMMYFUNCTION("ifna(QUERY($A$2:$G$2000, ""select G where D="" &amp; AP$1 &amp; "" and E="" &amp; $I16), QUERY($A$2:$G$2000, ""select G where E="" &amp; AP$1 &amp; "" and D="" &amp; $I16))"),6.213235294117647)</f>
        <v>6.213235294</v>
      </c>
      <c r="AQ16" s="10">
        <f>IFERROR(__xludf.DUMMYFUNCTION("ifna(QUERY($A$2:$G$2000, ""select G where D="" &amp; AQ$1 &amp; "" and E="" &amp; $I16), QUERY($A$2:$G$2000, ""select G where E="" &amp; AQ$1 &amp; "" and D="" &amp; $I16))"),6.25)</f>
        <v>6.25</v>
      </c>
      <c r="AR16" s="10">
        <f>IFERROR(__xludf.DUMMYFUNCTION("ifna(QUERY($A$2:$G$2000, ""select G where D="" &amp; AR$1 &amp; "" and E="" &amp; $I16), QUERY($A$2:$G$2000, ""select G where E="" &amp; AR$1 &amp; "" and D="" &amp; $I16))"),6.284722222222222)</f>
        <v>6.284722222</v>
      </c>
      <c r="AS16" s="10">
        <f>IFERROR(__xludf.DUMMYFUNCTION("ifna(QUERY($A$2:$G$2000, ""select G where D="" &amp; AS$1 &amp; "" and E="" &amp; $I16), QUERY($A$2:$G$2000, ""select G where E="" &amp; AS$1 &amp; "" and D="" &amp; $I16))"),6.3175675675675675)</f>
        <v>6.317567568</v>
      </c>
      <c r="AT16" s="10">
        <f>IFERROR(__xludf.DUMMYFUNCTION("ifna(QUERY($A$2:$G$2000, ""select G where D="" &amp; AT$1 &amp; "" and E="" &amp; $I16), QUERY($A$2:$G$2000, ""select G where E="" &amp; AT$1 &amp; "" and D="" &amp; $I16))"),6.355263157894737)</f>
        <v>6.355263158</v>
      </c>
      <c r="AU16" s="10">
        <f>IFERROR(__xludf.DUMMYFUNCTION("ifna(QUERY($A$2:$G$2000, ""select G where D="" &amp; AU$1 &amp; "" and E="" &amp; $I16), QUERY($A$2:$G$2000, ""select G where E="" &amp; AU$1 &amp; "" and D="" &amp; $I16))"),6.391025641025641)</f>
        <v>6.391025641</v>
      </c>
      <c r="AV16" s="10">
        <f>IFERROR(__xludf.DUMMYFUNCTION("ifna(QUERY($A$2:$G$2000, ""select G where D="" &amp; AV$1 &amp; "" and E="" &amp; $I16), QUERY($A$2:$G$2000, ""select G where E="" &amp; AV$1 &amp; "" and D="" &amp; $I16))"),6.43125)</f>
        <v>6.43125</v>
      </c>
      <c r="AW16" s="10">
        <f>IFERROR(__xludf.DUMMYFUNCTION("ifna(QUERY($A$2:$G$2000, ""select G where D="" &amp; AW$1 &amp; "" and E="" &amp; $I16), QUERY($A$2:$G$2000, ""select G where E="" &amp; AW$1 &amp; "" and D="" &amp; $I16))"),6.469512195121951)</f>
        <v>6.469512195</v>
      </c>
      <c r="AX16" s="10">
        <f>IFERROR(__xludf.DUMMYFUNCTION("ifna(QUERY($A$2:$G$2000, ""select G where D="" &amp; AX$1 &amp; "" and E="" &amp; $I16), QUERY($A$2:$G$2000, ""select G where E="" &amp; AX$1 &amp; "" and D="" &amp; $I16))"),6.505952380952381)</f>
        <v>6.505952381</v>
      </c>
      <c r="AY16" s="10">
        <f>IFERROR(__xludf.DUMMYFUNCTION("ifna(QUERY($A$2:$G$2000, ""select G where D="" &amp; AY$1 &amp; "" and E="" &amp; $I16), QUERY($A$2:$G$2000, ""select G where E="" &amp; AY$1 &amp; "" and D="" &amp; $I16))"),6.540697674418604)</f>
        <v>6.540697674</v>
      </c>
      <c r="AZ16" s="10">
        <f>IFERROR(__xludf.DUMMYFUNCTION("ifna(QUERY($A$2:$G$2000, ""select G where D="" &amp; AZ$1 &amp; "" and E="" &amp; $I16), QUERY($A$2:$G$2000, ""select G where E="" &amp; AZ$1 &amp; "" and D="" &amp; $I16))"),6.573863636363637)</f>
        <v>6.573863636</v>
      </c>
      <c r="BA16" s="10">
        <f>IFERROR(__xludf.DUMMYFUNCTION("ifna(QUERY($A$2:$G$2000, ""select G where D="" &amp; BA$1 &amp; "" and E="" &amp; $I16), QUERY($A$2:$G$2000, ""select G where E="" &amp; BA$1 &amp; "" and D="" &amp; $I16))"),6.605555555555555)</f>
        <v>6.605555556</v>
      </c>
      <c r="BB16" s="10">
        <f>IFERROR(__xludf.DUMMYFUNCTION("ifna(QUERY($A$2:$G$2000, ""select G where D="" &amp; BB$1 &amp; "" and E="" &amp; $I16), QUERY($A$2:$G$2000, ""select G where E="" &amp; BB$1 &amp; "" and D="" &amp; $I16))"),6.635869565217392)</f>
        <v>6.635869565</v>
      </c>
      <c r="BC16" s="10">
        <f>IFERROR(__xludf.DUMMYFUNCTION("ifna(QUERY($A$2:$G$2000, ""select G where D="" &amp; BC$1 &amp; "" and E="" &amp; $I16), QUERY($A$2:$G$2000, ""select G where E="" &amp; BC$1 &amp; "" and D="" &amp; $I16))"),6.664893617021277)</f>
        <v>6.664893617</v>
      </c>
      <c r="BD16" s="10">
        <f>IFERROR(__xludf.DUMMYFUNCTION("ifna(QUERY($A$2:$G$2000, ""select G where D="" &amp; BD$1 &amp; "" and E="" &amp; $I16), QUERY($A$2:$G$2000, ""select G where E="" &amp; BD$1 &amp; "" and D="" &amp; $I16))"),6.692708333333333)</f>
        <v>6.692708333</v>
      </c>
      <c r="BE16" s="10">
        <f>IFERROR(__xludf.DUMMYFUNCTION("ifna(QUERY($A$2:$G$2000, ""select G where D="" &amp; BE$1 &amp; "" and E="" &amp; $I16), QUERY($A$2:$G$2000, ""select G where E="" &amp; BE$1 &amp; "" and D="" &amp; $I16))"),6.719387755102041)</f>
        <v>6.719387755</v>
      </c>
      <c r="BF16" s="10">
        <f>IFERROR(__xludf.DUMMYFUNCTION("ifna(QUERY($A$2:$G$2000, ""select G where D="" &amp; BF$1 &amp; "" and E="" &amp; $I16), QUERY($A$2:$G$2000, ""select G where E="" &amp; BF$1 &amp; "" and D="" &amp; $I16))"),6.745)</f>
        <v>6.745</v>
      </c>
      <c r="BG16" s="10">
        <f>IFERROR(__xludf.DUMMYFUNCTION("ifna(QUERY($A$2:$G$2000, ""select G where D="" &amp; BG$1 &amp; "" and E="" &amp; $I16), QUERY($A$2:$G$2000, ""select G where E="" &amp; BG$1 &amp; "" and D="" &amp; $I16))"),6.767156862745098)</f>
        <v>6.767156863</v>
      </c>
      <c r="BH16" s="10">
        <f>IFERROR(__xludf.DUMMYFUNCTION("ifna(QUERY($A$2:$G$2000, ""select G where D="" &amp; BH$1 &amp; "" and E="" &amp; $I16), QUERY($A$2:$G$2000, ""select G where E="" &amp; BH$1 &amp; "" and D="" &amp; $I16))"),6.788461538461538)</f>
        <v>6.788461538</v>
      </c>
      <c r="BI16" s="10">
        <f>IFERROR(__xludf.DUMMYFUNCTION("ifna(QUERY($A$2:$G$2000, ""select G where D="" &amp; BI$1 &amp; "" and E="" &amp; $I16), QUERY($A$2:$G$2000, ""select G where E="" &amp; BI$1 &amp; "" and D="" &amp; $I16))"),6.806603773584905)</f>
        <v>6.806603774</v>
      </c>
      <c r="BJ16" s="10">
        <f>IFERROR(__xludf.DUMMYFUNCTION("ifna(QUERY($A$2:$G$2000, ""select G where D="" &amp; BJ$1 &amp; "" and E="" &amp; $I16), QUERY($A$2:$G$2000, ""select G where E="" &amp; BJ$1 &amp; "" and D="" &amp; $I16))"),6.824074074074074)</f>
        <v>6.824074074</v>
      </c>
      <c r="BK16" s="10">
        <f>IFERROR(__xludf.DUMMYFUNCTION("ifna(QUERY($A$2:$G$2000, ""select G where D="" &amp; BK$1 &amp; "" and E="" &amp; $I16), QUERY($A$2:$G$2000, ""select G where E="" &amp; BK$1 &amp; "" and D="" &amp; $I16))"),6.840909090909091)</f>
        <v>6.840909091</v>
      </c>
      <c r="BL16" s="10"/>
      <c r="BM16" s="10"/>
      <c r="BN16" s="10"/>
      <c r="BO16" s="10"/>
    </row>
    <row r="17">
      <c r="A17" s="3">
        <v>3.0</v>
      </c>
      <c r="B17" s="3">
        <v>2.0</v>
      </c>
      <c r="C17" s="3">
        <v>24.0</v>
      </c>
      <c r="D17" s="3">
        <v>7.0</v>
      </c>
      <c r="E17" s="3">
        <v>2.0</v>
      </c>
      <c r="F17" s="11">
        <f t="shared" si="1"/>
        <v>0.08333333333</v>
      </c>
      <c r="G17" s="5">
        <f t="shared" si="2"/>
        <v>2.916666667</v>
      </c>
      <c r="H17" s="3">
        <v>17.0</v>
      </c>
      <c r="I17" s="2">
        <v>16.0</v>
      </c>
      <c r="J17" s="10">
        <f>IFERROR(__xludf.DUMMYFUNCTION("ifna(QUERY($A$2:$G$2000, ""select G where D="" &amp; J$1 &amp; "" and E="" &amp; $I17), QUERY($A$2:$G$2000, ""select G where E="" &amp; J$1 &amp; "" and D="" &amp; $I17))"),3.9411764705882355)</f>
        <v>3.941176471</v>
      </c>
      <c r="K17" s="10">
        <f>IFERROR(__xludf.DUMMYFUNCTION("ifna(QUERY($A$2:$G$2000, ""select G where D="" &amp; K$1 &amp; "" and E="" &amp; $I17), QUERY($A$2:$G$2000, ""select G where E="" &amp; K$1 &amp; "" and D="" &amp; $I17))"),4.078431372549019)</f>
        <v>4.078431373</v>
      </c>
      <c r="L17" s="10">
        <f>IFERROR(__xludf.DUMMYFUNCTION("ifna(QUERY($A$2:$G$2000, ""select G where D="" &amp; L$1 &amp; "" and E="" &amp; $I17), QUERY($A$2:$G$2000, ""select G where E="" &amp; L$1 &amp; "" and D="" &amp; $I17))"),4.294117647058823)</f>
        <v>4.294117647</v>
      </c>
      <c r="M17" s="10">
        <f>IFERROR(__xludf.DUMMYFUNCTION("ifna(QUERY($A$2:$G$2000, ""select G where D="" &amp; M$1 &amp; "" and E="" &amp; $I17), QUERY($A$2:$G$2000, ""select G where E="" &amp; M$1 &amp; "" and D="" &amp; $I17))"),4.4941176470588236)</f>
        <v>4.494117647</v>
      </c>
      <c r="N17" s="10">
        <f>IFERROR(__xludf.DUMMYFUNCTION("ifna(QUERY($A$2:$G$2000, ""select G where D="" &amp; N$1 &amp; "" and E="" &amp; $I17), QUERY($A$2:$G$2000, ""select G where E="" &amp; N$1 &amp; "" and D="" &amp; $I17))"),4.666666666666667)</f>
        <v>4.666666667</v>
      </c>
      <c r="O17" s="10">
        <f>IFERROR(__xludf.DUMMYFUNCTION("ifna(QUERY($A$2:$G$2000, ""select G where D="" &amp; O$1 &amp; "" and E="" &amp; $I17), QUERY($A$2:$G$2000, ""select G where E="" &amp; O$1 &amp; "" and D="" &amp; $I17))"),4.7899159663865545)</f>
        <v>4.789915966</v>
      </c>
      <c r="P17" s="10">
        <f>IFERROR(__xludf.DUMMYFUNCTION("ifna(QUERY($A$2:$G$2000, ""select G where D="" &amp; P$1 &amp; "" and E="" &amp; $I17), QUERY($A$2:$G$2000, ""select G where E="" &amp; P$1 &amp; "" and D="" &amp; $I17))"),4.882352941176471)</f>
        <v>4.882352941</v>
      </c>
      <c r="Q17" s="10">
        <f>IFERROR(__xludf.DUMMYFUNCTION("ifna(QUERY($A$2:$G$2000, ""select G where D="" &amp; Q$1 &amp; "" and E="" &amp; $I17), QUERY($A$2:$G$2000, ""select G where E="" &amp; Q$1 &amp; "" and D="" &amp; $I17))"),5.026143790849673)</f>
        <v>5.026143791</v>
      </c>
      <c r="R17" s="10">
        <f>IFERROR(__xludf.DUMMYFUNCTION("ifna(QUERY($A$2:$G$2000, ""select G where D="" &amp; R$1 &amp; "" and E="" &amp; $I17), QUERY($A$2:$G$2000, ""select G where E="" &amp; R$1 &amp; "" and D="" &amp; $I17))"),5.070588235294117)</f>
        <v>5.070588235</v>
      </c>
      <c r="S17" s="10">
        <f>IFERROR(__xludf.DUMMYFUNCTION("ifna(QUERY($A$2:$G$2000, ""select G where D="" &amp; S$1 &amp; "" and E="" &amp; $I17), QUERY($A$2:$G$2000, ""select G where E="" &amp; S$1 &amp; "" and D="" &amp; $I17))"),5.149732620320855)</f>
        <v>5.14973262</v>
      </c>
      <c r="T17" s="10">
        <f>IFERROR(__xludf.DUMMYFUNCTION("ifna(QUERY($A$2:$G$2000, ""select G where D="" &amp; T$1 &amp; "" and E="" &amp; $I17), QUERY($A$2:$G$2000, ""select G where E="" &amp; T$1 &amp; "" and D="" &amp; $I17))"),5.235294117647059)</f>
        <v>5.235294118</v>
      </c>
      <c r="U17" s="10">
        <f>IFERROR(__xludf.DUMMYFUNCTION("ifna(QUERY($A$2:$G$2000, ""select G where D="" &amp; U$1 &amp; "" and E="" &amp; $I17), QUERY($A$2:$G$2000, ""select G where E="" &amp; U$1 &amp; "" and D="" &amp; $I17))"),5.32579185520362)</f>
        <v>5.325791855</v>
      </c>
      <c r="V17" s="10">
        <f>IFERROR(__xludf.DUMMYFUNCTION("ifna(QUERY($A$2:$G$2000, ""select G where D="" &amp; V$1 &amp; "" and E="" &amp; $I17), QUERY($A$2:$G$2000, ""select G where E="" &amp; V$1 &amp; "" and D="" &amp; $I17))"),5.420168067226891)</f>
        <v>5.420168067</v>
      </c>
      <c r="W17" s="10">
        <f>IFERROR(__xludf.DUMMYFUNCTION("ifna(QUERY($A$2:$G$2000, ""select G where D="" &amp; W$1 &amp; "" and E="" &amp; $I17), QUERY($A$2:$G$2000, ""select G where E="" &amp; W$1 &amp; "" and D="" &amp; $I17))"),5.5019607843137255)</f>
        <v>5.501960784</v>
      </c>
      <c r="X17" s="10">
        <f>IFERROR(__xludf.DUMMYFUNCTION("ifna(QUERY($A$2:$G$2000, ""select G where D="" &amp; X$1 &amp; "" and E="" &amp; $I17), QUERY($A$2:$G$2000, ""select G where E="" &amp; X$1 &amp; "" and D="" &amp; $I17))"),5.588235294117647)</f>
        <v>5.588235294</v>
      </c>
      <c r="Y17" s="10">
        <f>IFERROR(__xludf.DUMMYFUNCTION("ifna(QUERY($A$2:$G$2000, ""select G where D="" &amp; Y$1 &amp; "" and E="" &amp; $I17), QUERY($A$2:$G$2000, ""select G where E="" &amp; Y$1 &amp; "" and D="" &amp; $I17))"),5.664359861591696)</f>
        <v>5.664359862</v>
      </c>
      <c r="Z17" s="10">
        <f>IFERROR(__xludf.DUMMYFUNCTION("ifna(QUERY($A$2:$G$2000, ""select G where D="" &amp; Z$1 &amp; "" and E="" &amp; $I17), QUERY($A$2:$G$2000, ""select G where E="" &amp; Z$1 &amp; "" and D="" &amp; $I17))"),5.73202614379085)</f>
        <v>5.732026144</v>
      </c>
      <c r="AA17" s="10">
        <f>IFERROR(__xludf.DUMMYFUNCTION("ifna(QUERY($A$2:$G$2000, ""select G where D="" &amp; AA$1 &amp; "" and E="" &amp; $I17), QUERY($A$2:$G$2000, ""select G where E="" &amp; AA$1 &amp; "" and D="" &amp; $I17))"),5.786377708978328)</f>
        <v>5.786377709</v>
      </c>
      <c r="AB17" s="10">
        <f>IFERROR(__xludf.DUMMYFUNCTION("ifna(QUERY($A$2:$G$2000, ""select G where D="" &amp; AB$1 &amp; "" and E="" &amp; $I17), QUERY($A$2:$G$2000, ""select G where E="" &amp; AB$1 &amp; "" and D="" &amp; $I17))"),5.8352941176470585)</f>
        <v>5.835294118</v>
      </c>
      <c r="AC17" s="10">
        <f>IFERROR(__xludf.DUMMYFUNCTION("ifna(QUERY($A$2:$G$2000, ""select G where D="" &amp; AC$1 &amp; "" and E="" &amp; $I17), QUERY($A$2:$G$2000, ""select G where E="" &amp; AC$1 &amp; "" and D="" &amp; $I17))"),5.868347338935574)</f>
        <v>5.868347339</v>
      </c>
      <c r="AD17" s="10">
        <f>IFERROR(__xludf.DUMMYFUNCTION("ifna(QUERY($A$2:$G$2000, ""select G where D="" &amp; AD$1 &amp; "" and E="" &amp; $I17), QUERY($A$2:$G$2000, ""select G where E="" &amp; AD$1 &amp; "" and D="" &amp; $I17))"),5.898395721925134)</f>
        <v>5.898395722</v>
      </c>
      <c r="AE17" s="10">
        <f>IFERROR(__xludf.DUMMYFUNCTION("ifna(QUERY($A$2:$G$2000, ""select G where D="" &amp; AE$1 &amp; "" and E="" &amp; $I17), QUERY($A$2:$G$2000, ""select G where E="" &amp; AE$1 &amp; "" and D="" &amp; $I17))"),5.9411764705882355)</f>
        <v>5.941176471</v>
      </c>
      <c r="AF17" s="10">
        <f>IFERROR(__xludf.DUMMYFUNCTION("ifna(QUERY($A$2:$G$2000, ""select G where D="" &amp; AF$1 &amp; "" and E="" &amp; $I17), QUERY($A$2:$G$2000, ""select G where E="" &amp; AF$1 &amp; "" and D="" &amp; $I17))"),6.009803921568627)</f>
        <v>6.009803922</v>
      </c>
      <c r="AG17" s="10">
        <f>IFERROR(__xludf.DUMMYFUNCTION("ifna(QUERY($A$2:$G$2000, ""select G where D="" &amp; AG$1 &amp; "" and E="" &amp; $I17), QUERY($A$2:$G$2000, ""select G where E="" &amp; AG$1 &amp; "" and D="" &amp; $I17))"),6.0188235294117645)</f>
        <v>6.018823529</v>
      </c>
      <c r="AH17" s="10">
        <f>IFERROR(__xludf.DUMMYFUNCTION("ifna(QUERY($A$2:$G$2000, ""select G where D="" &amp; AH$1 &amp; "" and E="" &amp; $I17), QUERY($A$2:$G$2000, ""select G where E="" &amp; AH$1 &amp; "" and D="" &amp; $I17))"),6.036199095022624)</f>
        <v>6.036199095</v>
      </c>
      <c r="AI17" s="10">
        <f>IFERROR(__xludf.DUMMYFUNCTION("ifna(QUERY($A$2:$G$2000, ""select G where D="" &amp; AI$1 &amp; "" and E="" &amp; $I17), QUERY($A$2:$G$2000, ""select G where E="" &amp; AI$1 &amp; "" and D="" &amp; $I17))"),6.061002178649238)</f>
        <v>6.061002179</v>
      </c>
      <c r="AJ17" s="10">
        <f>IFERROR(__xludf.DUMMYFUNCTION("ifna(QUERY($A$2:$G$2000, ""select G where D="" &amp; AJ$1 &amp; "" and E="" &amp; $I17), QUERY($A$2:$G$2000, ""select G where E="" &amp; AJ$1 &amp; "" and D="" &amp; $I17))"),6.084033613445378)</f>
        <v>6.084033613</v>
      </c>
      <c r="AK17" s="10">
        <f>IFERROR(__xludf.DUMMYFUNCTION("ifna(QUERY($A$2:$G$2000, ""select G where D="" &amp; AK$1 &amp; "" and E="" &amp; $I17), QUERY($A$2:$G$2000, ""select G where E="" &amp; AK$1 &amp; "" and D="" &amp; $I17))"),6.113590263691684)</f>
        <v>6.113590264</v>
      </c>
      <c r="AL17" s="10">
        <f>IFERROR(__xludf.DUMMYFUNCTION("ifna(QUERY($A$2:$G$2000, ""select G where D="" &amp; AL$1 &amp; "" and E="" &amp; $I17), QUERY($A$2:$G$2000, ""select G where E="" &amp; AL$1 &amp; "" and D="" &amp; $I17))"),6.141176470588236)</f>
        <v>6.141176471</v>
      </c>
      <c r="AM17" s="10">
        <f>IFERROR(__xludf.DUMMYFUNCTION("ifna(QUERY($A$2:$G$2000, ""select G where D="" &amp; AM$1 &amp; "" and E="" &amp; $I17), QUERY($A$2:$G$2000, ""select G where E="" &amp; AM$1 &amp; "" and D="" &amp; $I17))"),6.174573055028463)</f>
        <v>6.174573055</v>
      </c>
      <c r="AN17" s="10">
        <f>IFERROR(__xludf.DUMMYFUNCTION("ifna(QUERY($A$2:$G$2000, ""select G where D="" &amp; AN$1 &amp; "" and E="" &amp; $I17), QUERY($A$2:$G$2000, ""select G where E="" &amp; AN$1 &amp; "" and D="" &amp; $I17))"),6.205882352941177)</f>
        <v>6.205882353</v>
      </c>
      <c r="AO17" s="10">
        <f>IFERROR(__xludf.DUMMYFUNCTION("ifna(QUERY($A$2:$G$2000, ""select G where D="" &amp; AO$1 &amp; "" and E="" &amp; $I17), QUERY($A$2:$G$2000, ""select G where E="" &amp; AO$1 &amp; "" and D="" &amp; $I17))"),6.242424242424242)</f>
        <v>6.242424242</v>
      </c>
      <c r="AP17" s="10">
        <f>IFERROR(__xludf.DUMMYFUNCTION("ifna(QUERY($A$2:$G$2000, ""select G where D="" &amp; AP$1 &amp; "" and E="" &amp; $I17), QUERY($A$2:$G$2000, ""select G where E="" &amp; AP$1 &amp; "" and D="" &amp; $I17))"),6.27681660899654)</f>
        <v>6.276816609</v>
      </c>
      <c r="AQ17" s="10">
        <f>IFERROR(__xludf.DUMMYFUNCTION("ifna(QUERY($A$2:$G$2000, ""select G where D="" &amp; AQ$1 &amp; "" and E="" &amp; $I17), QUERY($A$2:$G$2000, ""select G where E="" &amp; AQ$1 &amp; "" and D="" &amp; $I17))"),6.315966386554622)</f>
        <v>6.315966387</v>
      </c>
      <c r="AR17" s="10">
        <f>IFERROR(__xludf.DUMMYFUNCTION("ifna(QUERY($A$2:$G$2000, ""select G where D="" &amp; AR$1 &amp; "" and E="" &amp; $I17), QUERY($A$2:$G$2000, ""select G where E="" &amp; AR$1 &amp; "" and D="" &amp; $I17))"),6.352941176470588)</f>
        <v>6.352941176</v>
      </c>
      <c r="AS17" s="10">
        <f>IFERROR(__xludf.DUMMYFUNCTION("ifna(QUERY($A$2:$G$2000, ""select G where D="" &amp; AS$1 &amp; "" and E="" &amp; $I17), QUERY($A$2:$G$2000, ""select G where E="" &amp; AS$1 &amp; "" and D="" &amp; $I17))"),6.3879173290938)</f>
        <v>6.387917329</v>
      </c>
      <c r="AT17" s="10">
        <f>IFERROR(__xludf.DUMMYFUNCTION("ifna(QUERY($A$2:$G$2000, ""select G where D="" &amp; AT$1 &amp; "" and E="" &amp; $I17), QUERY($A$2:$G$2000, ""select G where E="" &amp; AT$1 &amp; "" and D="" &amp; $I17))"),6.427244582043343)</f>
        <v>6.427244582</v>
      </c>
      <c r="AU17" s="10">
        <f>IFERROR(__xludf.DUMMYFUNCTION("ifna(QUERY($A$2:$G$2000, ""select G where D="" &amp; AU$1 &amp; "" and E="" &amp; $I17), QUERY($A$2:$G$2000, ""select G where E="" &amp; AU$1 &amp; "" and D="" &amp; $I17))"),6.464555052790347)</f>
        <v>6.464555053</v>
      </c>
      <c r="AV17" s="10">
        <f>IFERROR(__xludf.DUMMYFUNCTION("ifna(QUERY($A$2:$G$2000, ""select G where D="" &amp; AV$1 &amp; "" and E="" &amp; $I17), QUERY($A$2:$G$2000, ""select G where E="" &amp; AV$1 &amp; "" and D="" &amp; $I17))"),6.502941176470588)</f>
        <v>6.502941176</v>
      </c>
      <c r="AW17" s="10">
        <f>IFERROR(__xludf.DUMMYFUNCTION("ifna(QUERY($A$2:$G$2000, ""select G where D="" &amp; AW$1 &amp; "" and E="" &amp; $I17), QUERY($A$2:$G$2000, ""select G where E="" &amp; AW$1 &amp; "" and D="" &amp; $I17))"),6.539454806312769)</f>
        <v>6.539454806</v>
      </c>
      <c r="AX17" s="10">
        <f>IFERROR(__xludf.DUMMYFUNCTION("ifna(QUERY($A$2:$G$2000, ""select G where D="" &amp; AX$1 &amp; "" and E="" &amp; $I17), QUERY($A$2:$G$2000, ""select G where E="" &amp; AX$1 &amp; "" and D="" &amp; $I17))"),6.57422969187675)</f>
        <v>6.574229692</v>
      </c>
      <c r="AY17" s="10">
        <f>IFERROR(__xludf.DUMMYFUNCTION("ifna(QUERY($A$2:$G$2000, ""select G where D="" &amp; AY$1 &amp; "" and E="" &amp; $I17), QUERY($A$2:$G$2000, ""select G where E="" &amp; AY$1 &amp; "" and D="" &amp; $I17))"),6.607387140902873)</f>
        <v>6.607387141</v>
      </c>
      <c r="AZ17" s="10">
        <f>IFERROR(__xludf.DUMMYFUNCTION("ifna(QUERY($A$2:$G$2000, ""select G where D="" &amp; AZ$1 &amp; "" and E="" &amp; $I17), QUERY($A$2:$G$2000, ""select G where E="" &amp; AZ$1 &amp; "" and D="" &amp; $I17))"),6.63903743315508)</f>
        <v>6.639037433</v>
      </c>
      <c r="BA17" s="10">
        <f>IFERROR(__xludf.DUMMYFUNCTION("ifna(QUERY($A$2:$G$2000, ""select G where D="" &amp; BA$1 &amp; "" and E="" &amp; $I17), QUERY($A$2:$G$2000, ""select G where E="" &amp; BA$1 &amp; "" and D="" &amp; $I17))"),6.669281045751634)</f>
        <v>6.669281046</v>
      </c>
      <c r="BB17" s="10">
        <f>IFERROR(__xludf.DUMMYFUNCTION("ifna(QUERY($A$2:$G$2000, ""select G where D="" &amp; BB$1 &amp; "" and E="" &amp; $I17), QUERY($A$2:$G$2000, ""select G where E="" &amp; BB$1 &amp; "" and D="" &amp; $I17))"),6.698209718670077)</f>
        <v>6.698209719</v>
      </c>
      <c r="BC17" s="10">
        <f>IFERROR(__xludf.DUMMYFUNCTION("ifna(QUERY($A$2:$G$2000, ""select G where D="" &amp; BC$1 &amp; "" and E="" &amp; $I17), QUERY($A$2:$G$2000, ""select G where E="" &amp; BC$1 &amp; "" and D="" &amp; $I17))"),6.723404255319149)</f>
        <v>6.723404255</v>
      </c>
      <c r="BD17" s="10">
        <f>IFERROR(__xludf.DUMMYFUNCTION("ifna(QUERY($A$2:$G$2000, ""select G where D="" &amp; BD$1 &amp; "" and E="" &amp; $I17), QUERY($A$2:$G$2000, ""select G where E="" &amp; BD$1 &amp; "" and D="" &amp; $I17))"),6.747549019607844)</f>
        <v>6.74754902</v>
      </c>
      <c r="BE17" s="10">
        <f>IFERROR(__xludf.DUMMYFUNCTION("ifna(QUERY($A$2:$G$2000, ""select G where D="" &amp; BE$1 &amp; "" and E="" &amp; $I17), QUERY($A$2:$G$2000, ""select G where E="" &amp; BE$1 &amp; "" and D="" &amp; $I17))"),6.770708283313326)</f>
        <v>6.770708283</v>
      </c>
      <c r="BF17" s="10">
        <f>IFERROR(__xludf.DUMMYFUNCTION("ifna(QUERY($A$2:$G$2000, ""select G where D="" &amp; BF$1 &amp; "" and E="" &amp; $I17), QUERY($A$2:$G$2000, ""select G where E="" &amp; BF$1 &amp; "" and D="" &amp; $I17))"),6.792941176470588)</f>
        <v>6.792941176</v>
      </c>
      <c r="BG17" s="10">
        <f>IFERROR(__xludf.DUMMYFUNCTION("ifna(QUERY($A$2:$G$2000, ""select G where D="" &amp; BG$1 &amp; "" and E="" &amp; $I17), QUERY($A$2:$G$2000, ""select G where E="" &amp; BG$1 &amp; "" and D="" &amp; $I17))"),6.81199538638985)</f>
        <v>6.811995386</v>
      </c>
      <c r="BH17" s="10">
        <f>IFERROR(__xludf.DUMMYFUNCTION("ifna(QUERY($A$2:$G$2000, ""select G where D="" &amp; BH$1 &amp; "" and E="" &amp; $I17), QUERY($A$2:$G$2000, ""select G where E="" &amp; BH$1 &amp; "" and D="" &amp; $I17))"),6.830316742081448)</f>
        <v>6.830316742</v>
      </c>
      <c r="BI17" s="10">
        <f>IFERROR(__xludf.DUMMYFUNCTION("ifna(QUERY($A$2:$G$2000, ""select G where D="" &amp; BI$1 &amp; "" and E="" &amp; $I17), QUERY($A$2:$G$2000, ""select G where E="" &amp; BI$1 &amp; "" and D="" &amp; $I17))"),6.845726970033296)</f>
        <v>6.84572697</v>
      </c>
      <c r="BJ17" s="10">
        <f>IFERROR(__xludf.DUMMYFUNCTION("ifna(QUERY($A$2:$G$2000, ""select G where D="" &amp; BJ$1 &amp; "" and E="" &amp; $I17), QUERY($A$2:$G$2000, ""select G where E="" &amp; BJ$1 &amp; "" and D="" &amp; $I17))"),6.860566448801743)</f>
        <v>6.860566449</v>
      </c>
      <c r="BK17" s="10">
        <f>IFERROR(__xludf.DUMMYFUNCTION("ifna(QUERY($A$2:$G$2000, ""select G where D="" &amp; BK$1 &amp; "" and E="" &amp; $I17), QUERY($A$2:$G$2000, ""select G where E="" &amp; BK$1 &amp; "" and D="" &amp; $I17))"),6.874866310160428)</f>
        <v>6.87486631</v>
      </c>
      <c r="BL17" s="10"/>
      <c r="BM17" s="10"/>
      <c r="BN17" s="10"/>
      <c r="BO17" s="10"/>
    </row>
    <row r="18">
      <c r="A18" s="3">
        <v>3.0</v>
      </c>
      <c r="B18" s="3">
        <v>2.0</v>
      </c>
      <c r="C18" s="3">
        <v>18.0</v>
      </c>
      <c r="D18" s="3">
        <v>8.0</v>
      </c>
      <c r="E18" s="3">
        <v>1.0</v>
      </c>
      <c r="F18" s="11">
        <f t="shared" si="1"/>
        <v>0.1111111111</v>
      </c>
      <c r="G18" s="5">
        <f t="shared" si="2"/>
        <v>2.888888889</v>
      </c>
      <c r="H18" s="3">
        <v>18.0</v>
      </c>
      <c r="I18" s="2">
        <v>17.0</v>
      </c>
      <c r="J18" s="10">
        <f>IFERROR(__xludf.DUMMYFUNCTION("ifna(QUERY($A$2:$G$2000, ""select G where D="" &amp; J$1 &amp; "" and E="" &amp; $I18), QUERY($A$2:$G$2000, ""select G where E="" &amp; J$1 &amp; "" and D="" &amp; $I18))"),4.111111111111111)</f>
        <v>4.111111111</v>
      </c>
      <c r="K18" s="10">
        <f>IFERROR(__xludf.DUMMYFUNCTION("ifna(QUERY($A$2:$G$2000, ""select G where D="" &amp; K$1 &amp; "" and E="" &amp; $I18), QUERY($A$2:$G$2000, ""select G where E="" &amp; K$1 &amp; "" and D="" &amp; $I18))"),4.185185185185185)</f>
        <v>4.185185185</v>
      </c>
      <c r="L18" s="10">
        <f>IFERROR(__xludf.DUMMYFUNCTION("ifna(QUERY($A$2:$G$2000, ""select G where D="" &amp; L$1 &amp; "" and E="" &amp; $I18), QUERY($A$2:$G$2000, ""select G where E="" &amp; L$1 &amp; "" and D="" &amp; $I18))"),4.388888888888889)</f>
        <v>4.388888889</v>
      </c>
      <c r="M18" s="10">
        <f>IFERROR(__xludf.DUMMYFUNCTION("ifna(QUERY($A$2:$G$2000, ""select G where D="" &amp; M$1 &amp; "" and E="" &amp; $I18), QUERY($A$2:$G$2000, ""select G where E="" &amp; M$1 &amp; "" and D="" &amp; $I18))"),4.5777777777777775)</f>
        <v>4.577777778</v>
      </c>
      <c r="N18" s="10">
        <f>IFERROR(__xludf.DUMMYFUNCTION("ifna(QUERY($A$2:$G$2000, ""select G where D="" &amp; N$1 &amp; "" and E="" &amp; $I18), QUERY($A$2:$G$2000, ""select G where E="" &amp; N$1 &amp; "" and D="" &amp; $I18))"),4.7407407407407405)</f>
        <v>4.740740741</v>
      </c>
      <c r="O18" s="10">
        <f>IFERROR(__xludf.DUMMYFUNCTION("ifna(QUERY($A$2:$G$2000, ""select G where D="" &amp; O$1 &amp; "" and E="" &amp; $I18), QUERY($A$2:$G$2000, ""select G where E="" &amp; O$1 &amp; "" and D="" &amp; $I18))"),4.841269841269841)</f>
        <v>4.841269841</v>
      </c>
      <c r="P18" s="10">
        <f>IFERROR(__xludf.DUMMYFUNCTION("ifna(QUERY($A$2:$G$2000, ""select G where D="" &amp; P$1 &amp; "" and E="" &amp; $I18), QUERY($A$2:$G$2000, ""select G where E="" &amp; P$1 &amp; "" and D="" &amp; $I18))"),4.972222222222222)</f>
        <v>4.972222222</v>
      </c>
      <c r="Q18" s="10">
        <f>IFERROR(__xludf.DUMMYFUNCTION("ifna(QUERY($A$2:$G$2000, ""select G where D="" &amp; Q$1 &amp; "" and E="" &amp; $I18), QUERY($A$2:$G$2000, ""select G where E="" &amp; Q$1 &amp; "" and D="" &amp; $I18))"),5.049382716049383)</f>
        <v>5.049382716</v>
      </c>
      <c r="R18" s="10">
        <f>IFERROR(__xludf.DUMMYFUNCTION("ifna(QUERY($A$2:$G$2000, ""select G where D="" &amp; R$1 &amp; "" and E="" &amp; $I18), QUERY($A$2:$G$2000, ""select G where E="" &amp; R$1 &amp; "" and D="" &amp; $I18))"),5.111111111111111)</f>
        <v>5.111111111</v>
      </c>
      <c r="S18" s="10">
        <f>IFERROR(__xludf.DUMMYFUNCTION("ifna(QUERY($A$2:$G$2000, ""select G where D="" &amp; S$1 &amp; "" and E="" &amp; $I18), QUERY($A$2:$G$2000, ""select G where E="" &amp; S$1 &amp; "" and D="" &amp; $I18))"),5.202020202020202)</f>
        <v>5.202020202</v>
      </c>
      <c r="T18" s="10">
        <f>IFERROR(__xludf.DUMMYFUNCTION("ifna(QUERY($A$2:$G$2000, ""select G where D="" &amp; T$1 &amp; "" and E="" &amp; $I18), QUERY($A$2:$G$2000, ""select G where E="" &amp; T$1 &amp; "" and D="" &amp; $I18))"),5.296296296296296)</f>
        <v>5.296296296</v>
      </c>
      <c r="U18" s="10">
        <f>IFERROR(__xludf.DUMMYFUNCTION("ifna(QUERY($A$2:$G$2000, ""select G where D="" &amp; U$1 &amp; "" and E="" &amp; $I18), QUERY($A$2:$G$2000, ""select G where E="" &amp; U$1 &amp; "" and D="" &amp; $I18))"),5.3931623931623935)</f>
        <v>5.393162393</v>
      </c>
      <c r="V18" s="10">
        <f>IFERROR(__xludf.DUMMYFUNCTION("ifna(QUERY($A$2:$G$2000, ""select G where D="" &amp; V$1 &amp; "" and E="" &amp; $I18), QUERY($A$2:$G$2000, ""select G where E="" &amp; V$1 &amp; "" and D="" &amp; $I18))"),5.492063492063492)</f>
        <v>5.492063492</v>
      </c>
      <c r="W18" s="10">
        <f>IFERROR(__xludf.DUMMYFUNCTION("ifna(QUERY($A$2:$G$2000, ""select G where D="" &amp; W$1 &amp; "" and E="" &amp; $I18), QUERY($A$2:$G$2000, ""select G where E="" &amp; W$1 &amp; "" and D="" &amp; $I18))"),5.5777777777777775)</f>
        <v>5.577777778</v>
      </c>
      <c r="X18" s="10">
        <f>IFERROR(__xludf.DUMMYFUNCTION("ifna(QUERY($A$2:$G$2000, ""select G where D="" &amp; X$1 &amp; "" and E="" &amp; $I18), QUERY($A$2:$G$2000, ""select G where E="" &amp; X$1 &amp; "" and D="" &amp; $I18))"),5.666666666666667)</f>
        <v>5.666666667</v>
      </c>
      <c r="Y18" s="10">
        <f>IFERROR(__xludf.DUMMYFUNCTION("ifna(QUERY($A$2:$G$2000, ""select G where D="" &amp; Y$1 &amp; "" and E="" &amp; $I18), QUERY($A$2:$G$2000, ""select G where E="" &amp; Y$1 &amp; "" and D="" &amp; $I18))"),5.73202614379085)</f>
        <v>5.732026144</v>
      </c>
      <c r="Z18" s="10">
        <f>IFERROR(__xludf.DUMMYFUNCTION("ifna(QUERY($A$2:$G$2000, ""select G where D="" &amp; Z$1 &amp; "" and E="" &amp; $I18), QUERY($A$2:$G$2000, ""select G where E="" &amp; Z$1 &amp; "" and D="" &amp; $I18))"),5.790123456790123)</f>
        <v>5.790123457</v>
      </c>
      <c r="AA18" s="10">
        <f>IFERROR(__xludf.DUMMYFUNCTION("ifna(QUERY($A$2:$G$2000, ""select G where D="" &amp; AA$1 &amp; "" and E="" &amp; $I18), QUERY($A$2:$G$2000, ""select G where E="" &amp; AA$1 &amp; "" and D="" &amp; $I18))"),5.83625730994152)</f>
        <v>5.83625731</v>
      </c>
      <c r="AB18" s="10">
        <f>IFERROR(__xludf.DUMMYFUNCTION("ifna(QUERY($A$2:$G$2000, ""select G where D="" &amp; AB$1 &amp; "" and E="" &amp; $I18), QUERY($A$2:$G$2000, ""select G where E="" &amp; AB$1 &amp; "" and D="" &amp; $I18))"),5.877777777777778)</f>
        <v>5.877777778</v>
      </c>
      <c r="AC18" s="10">
        <f>IFERROR(__xludf.DUMMYFUNCTION("ifna(QUERY($A$2:$G$2000, ""select G where D="" &amp; AC$1 &amp; "" and E="" &amp; $I18), QUERY($A$2:$G$2000, ""select G where E="" &amp; AC$1 &amp; "" and D="" &amp; $I18))"),5.904761904761905)</f>
        <v>5.904761905</v>
      </c>
      <c r="AD18" s="10">
        <f>IFERROR(__xludf.DUMMYFUNCTION("ifna(QUERY($A$2:$G$2000, ""select G where D="" &amp; AD$1 &amp; "" and E="" &amp; $I18), QUERY($A$2:$G$2000, ""select G where E="" &amp; AD$1 &amp; "" and D="" &amp; $I18))"),5.96969696969697)</f>
        <v>5.96969697</v>
      </c>
      <c r="AE18" s="10">
        <f>IFERROR(__xludf.DUMMYFUNCTION("ifna(QUERY($A$2:$G$2000, ""select G where D="" &amp; AE$1 &amp; "" and E="" &amp; $I18), QUERY($A$2:$G$2000, ""select G where E="" &amp; AE$1 &amp; "" and D="" &amp; $I18))"),6.009661835748792)</f>
        <v>6.009661836</v>
      </c>
      <c r="AF18" s="10">
        <f>IFERROR(__xludf.DUMMYFUNCTION("ifna(QUERY($A$2:$G$2000, ""select G where D="" &amp; AF$1 &amp; "" and E="" &amp; $I18), QUERY($A$2:$G$2000, ""select G where E="" &amp; AF$1 &amp; "" and D="" &amp; $I18))"),6.027777777777778)</f>
        <v>6.027777778</v>
      </c>
      <c r="AG18" s="10">
        <f>IFERROR(__xludf.DUMMYFUNCTION("ifna(QUERY($A$2:$G$2000, ""select G where D="" &amp; AG$1 &amp; "" and E="" &amp; $I18), QUERY($A$2:$G$2000, ""select G where E="" &amp; AG$1 &amp; "" and D="" &amp; $I18))"),6.044444444444444)</f>
        <v>6.044444444</v>
      </c>
      <c r="AH18" s="10">
        <f>IFERROR(__xludf.DUMMYFUNCTION("ifna(QUERY($A$2:$G$2000, ""select G where D="" &amp; AH$1 &amp; "" and E="" &amp; $I18), QUERY($A$2:$G$2000, ""select G where E="" &amp; AH$1 &amp; "" and D="" &amp; $I18))"),6.068376068376068)</f>
        <v>6.068376068</v>
      </c>
      <c r="AI18" s="10">
        <f>IFERROR(__xludf.DUMMYFUNCTION("ifna(QUERY($A$2:$G$2000, ""select G where D="" &amp; AI$1 &amp; "" and E="" &amp; $I18), QUERY($A$2:$G$2000, ""select G where E="" &amp; AI$1 &amp; "" and D="" &amp; $I18))"),6.098765432098766)</f>
        <v>6.098765432</v>
      </c>
      <c r="AJ18" s="10">
        <f>IFERROR(__xludf.DUMMYFUNCTION("ifna(QUERY($A$2:$G$2000, ""select G where D="" &amp; AJ$1 &amp; "" and E="" &amp; $I18), QUERY($A$2:$G$2000, ""select G where E="" &amp; AJ$1 &amp; "" and D="" &amp; $I18))"),6.1269841269841265)</f>
        <v>6.126984127</v>
      </c>
      <c r="AK18" s="10">
        <f>IFERROR(__xludf.DUMMYFUNCTION("ifna(QUERY($A$2:$G$2000, ""select G where D="" &amp; AK$1 &amp; "" and E="" &amp; $I18), QUERY($A$2:$G$2000, ""select G where E="" &amp; AK$1 &amp; "" and D="" &amp; $I18))"),6.1609195402298855)</f>
        <v>6.16091954</v>
      </c>
      <c r="AL18" s="10">
        <f>IFERROR(__xludf.DUMMYFUNCTION("ifna(QUERY($A$2:$G$2000, ""select G where D="" &amp; AL$1 &amp; "" and E="" &amp; $I18), QUERY($A$2:$G$2000, ""select G where E="" &amp; AL$1 &amp; "" and D="" &amp; $I18))"),6.192592592592592)</f>
        <v>6.192592593</v>
      </c>
      <c r="AM18" s="10">
        <f>IFERROR(__xludf.DUMMYFUNCTION("ifna(QUERY($A$2:$G$2000, ""select G where D="" &amp; AM$1 &amp; "" and E="" &amp; $I18), QUERY($A$2:$G$2000, ""select G where E="" &amp; AM$1 &amp; "" and D="" &amp; $I18))"),6.229390681003585)</f>
        <v>6.229390681</v>
      </c>
      <c r="AN18" s="10">
        <f>IFERROR(__xludf.DUMMYFUNCTION("ifna(QUERY($A$2:$G$2000, ""select G where D="" &amp; AN$1 &amp; "" and E="" &amp; $I18), QUERY($A$2:$G$2000, ""select G where E="" &amp; AN$1 &amp; "" and D="" &amp; $I18))"),6.263888888888889)</f>
        <v>6.263888889</v>
      </c>
      <c r="AO18" s="10">
        <f>IFERROR(__xludf.DUMMYFUNCTION("ifna(QUERY($A$2:$G$2000, ""select G where D="" &amp; AO$1 &amp; "" and E="" &amp; $I18), QUERY($A$2:$G$2000, ""select G where E="" &amp; AO$1 &amp; "" and D="" &amp; $I18))"),6.303030303030303)</f>
        <v>6.303030303</v>
      </c>
      <c r="AP18" s="10">
        <f>IFERROR(__xludf.DUMMYFUNCTION("ifna(QUERY($A$2:$G$2000, ""select G where D="" &amp; AP$1 &amp; "" and E="" &amp; $I18), QUERY($A$2:$G$2000, ""select G where E="" &amp; AP$1 &amp; "" and D="" &amp; $I18))"),6.339869281045751)</f>
        <v>6.339869281</v>
      </c>
      <c r="AQ18" s="10">
        <f>IFERROR(__xludf.DUMMYFUNCTION("ifna(QUERY($A$2:$G$2000, ""select G where D="" &amp; AQ$1 &amp; "" and E="" &amp; $I18), QUERY($A$2:$G$2000, ""select G where E="" &amp; AQ$1 &amp; "" and D="" &amp; $I18))"),6.380952380952381)</f>
        <v>6.380952381</v>
      </c>
      <c r="AR18" s="10">
        <f>IFERROR(__xludf.DUMMYFUNCTION("ifna(QUERY($A$2:$G$2000, ""select G where D="" &amp; AR$1 &amp; "" and E="" &amp; $I18), QUERY($A$2:$G$2000, ""select G where E="" &amp; AR$1 &amp; "" and D="" &amp; $I18))"),6.419753086419753)</f>
        <v>6.419753086</v>
      </c>
      <c r="AS18" s="10">
        <f>IFERROR(__xludf.DUMMYFUNCTION("ifna(QUERY($A$2:$G$2000, ""select G where D="" &amp; AS$1 &amp; "" and E="" &amp; $I18), QUERY($A$2:$G$2000, ""select G where E="" &amp; AS$1 &amp; "" and D="" &amp; $I18))"),6.456456456456457)</f>
        <v>6.456456456</v>
      </c>
      <c r="AT18" s="10">
        <f>IFERROR(__xludf.DUMMYFUNCTION("ifna(QUERY($A$2:$G$2000, ""select G where D="" &amp; AT$1 &amp; "" and E="" &amp; $I18), QUERY($A$2:$G$2000, ""select G where E="" &amp; AT$1 &amp; "" and D="" &amp; $I18))"),6.497076023391813)</f>
        <v>6.497076023</v>
      </c>
      <c r="AU18" s="10">
        <f>IFERROR(__xludf.DUMMYFUNCTION("ifna(QUERY($A$2:$G$2000, ""select G where D="" &amp; AU$1 &amp; "" and E="" &amp; $I18), QUERY($A$2:$G$2000, ""select G where E="" &amp; AU$1 &amp; "" and D="" &amp; $I18))"),6.535612535612536)</f>
        <v>6.535612536</v>
      </c>
      <c r="AV18" s="10">
        <f>IFERROR(__xludf.DUMMYFUNCTION("ifna(QUERY($A$2:$G$2000, ""select G where D="" &amp; AV$1 &amp; "" and E="" &amp; $I18), QUERY($A$2:$G$2000, ""select G where E="" &amp; AV$1 &amp; "" and D="" &amp; $I18))"),6.572222222222222)</f>
        <v>6.572222222</v>
      </c>
      <c r="AW18" s="10">
        <f>IFERROR(__xludf.DUMMYFUNCTION("ifna(QUERY($A$2:$G$2000, ""select G where D="" &amp; AW$1 &amp; "" and E="" &amp; $I18), QUERY($A$2:$G$2000, ""select G where E="" &amp; AW$1 &amp; "" and D="" &amp; $I18))"),6.607046070460704)</f>
        <v>6.60704607</v>
      </c>
      <c r="AX18" s="10">
        <f>IFERROR(__xludf.DUMMYFUNCTION("ifna(QUERY($A$2:$G$2000, ""select G where D="" &amp; AX$1 &amp; "" and E="" &amp; $I18), QUERY($A$2:$G$2000, ""select G where E="" &amp; AX$1 &amp; "" and D="" &amp; $I18))"),6.64021164021164)</f>
        <v>6.64021164</v>
      </c>
      <c r="AY18" s="10">
        <f>IFERROR(__xludf.DUMMYFUNCTION("ifna(QUERY($A$2:$G$2000, ""select G where D="" &amp; AY$1 &amp; "" and E="" &amp; $I18), QUERY($A$2:$G$2000, ""select G where E="" &amp; AY$1 &amp; "" and D="" &amp; $I18))"),6.671834625322997)</f>
        <v>6.671834625</v>
      </c>
      <c r="AZ18" s="10">
        <f>IFERROR(__xludf.DUMMYFUNCTION("ifna(QUERY($A$2:$G$2000, ""select G where D="" &amp; AZ$1 &amp; "" and E="" &amp; $I18), QUERY($A$2:$G$2000, ""select G where E="" &amp; AZ$1 &amp; "" and D="" &amp; $I18))"),6.702020202020202)</f>
        <v>6.702020202</v>
      </c>
      <c r="BA18" s="10">
        <f>IFERROR(__xludf.DUMMYFUNCTION("ifna(QUERY($A$2:$G$2000, ""select G where D="" &amp; BA$1 &amp; "" and E="" &amp; $I18), QUERY($A$2:$G$2000, ""select G where E="" &amp; BA$1 &amp; "" and D="" &amp; $I18))"),6.728395061728395)</f>
        <v>6.728395062</v>
      </c>
      <c r="BB18" s="10">
        <f>IFERROR(__xludf.DUMMYFUNCTION("ifna(QUERY($A$2:$G$2000, ""select G where D="" &amp; BB$1 &amp; "" and E="" &amp; $I18), QUERY($A$2:$G$2000, ""select G where E="" &amp; BB$1 &amp; "" and D="" &amp; $I18))"),6.753623188405797)</f>
        <v>6.753623188</v>
      </c>
      <c r="BC18" s="10">
        <f>IFERROR(__xludf.DUMMYFUNCTION("ifna(QUERY($A$2:$G$2000, ""select G where D="" &amp; BC$1 &amp; "" and E="" &amp; $I18), QUERY($A$2:$G$2000, ""select G where E="" &amp; BC$1 &amp; "" and D="" &amp; $I18))"),6.775413711583925)</f>
        <v>6.775413712</v>
      </c>
      <c r="BD18" s="10">
        <f>IFERROR(__xludf.DUMMYFUNCTION("ifna(QUERY($A$2:$G$2000, ""select G where D="" &amp; BD$1 &amp; "" and E="" &amp; $I18), QUERY($A$2:$G$2000, ""select G where E="" &amp; BD$1 &amp; "" and D="" &amp; $I18))"),6.796296296296297)</f>
        <v>6.796296296</v>
      </c>
      <c r="BE18" s="10">
        <f>IFERROR(__xludf.DUMMYFUNCTION("ifna(QUERY($A$2:$G$2000, ""select G where D="" &amp; BE$1 &amp; "" and E="" &amp; $I18), QUERY($A$2:$G$2000, ""select G where E="" &amp; BE$1 &amp; "" and D="" &amp; $I18))"),6.816326530612245)</f>
        <v>6.816326531</v>
      </c>
      <c r="BF18" s="10">
        <f>IFERROR(__xludf.DUMMYFUNCTION("ifna(QUERY($A$2:$G$2000, ""select G where D="" &amp; BF$1 &amp; "" and E="" &amp; $I18), QUERY($A$2:$G$2000, ""select G where E="" &amp; BF$1 &amp; "" and D="" &amp; $I18))"),6.835555555555556)</f>
        <v>6.835555556</v>
      </c>
      <c r="BG18" s="10">
        <f>IFERROR(__xludf.DUMMYFUNCTION("ifna(QUERY($A$2:$G$2000, ""select G where D="" &amp; BG$1 &amp; "" and E="" &amp; $I18), QUERY($A$2:$G$2000, ""select G where E="" &amp; BG$1 &amp; "" and D="" &amp; $I18))"),6.851851851851852)</f>
        <v>6.851851852</v>
      </c>
      <c r="BH18" s="10">
        <f>IFERROR(__xludf.DUMMYFUNCTION("ifna(QUERY($A$2:$G$2000, ""select G where D="" &amp; BH$1 &amp; "" and E="" &amp; $I18), QUERY($A$2:$G$2000, ""select G where E="" &amp; BH$1 &amp; "" and D="" &amp; $I18))"),6.867521367521367)</f>
        <v>6.867521368</v>
      </c>
      <c r="BI18" s="10">
        <f>IFERROR(__xludf.DUMMYFUNCTION("ifna(QUERY($A$2:$G$2000, ""select G where D="" &amp; BI$1 &amp; "" and E="" &amp; $I18), QUERY($A$2:$G$2000, ""select G where E="" &amp; BI$1 &amp; "" and D="" &amp; $I18))"),6.880503144654088)</f>
        <v>6.880503145</v>
      </c>
      <c r="BJ18" s="10">
        <f>IFERROR(__xludf.DUMMYFUNCTION("ifna(QUERY($A$2:$G$2000, ""select G where D="" &amp; BJ$1 &amp; "" and E="" &amp; $I18), QUERY($A$2:$G$2000, ""select G where E="" &amp; BJ$1 &amp; "" and D="" &amp; $I18))"),6.893004115226337)</f>
        <v>6.893004115</v>
      </c>
      <c r="BK18" s="10">
        <f>IFERROR(__xludf.DUMMYFUNCTION("ifna(QUERY($A$2:$G$2000, ""select G where D="" &amp; BK$1 &amp; "" and E="" &amp; $I18), QUERY($A$2:$G$2000, ""select G where E="" &amp; BK$1 &amp; "" and D="" &amp; $I18))"),6.907070707070707)</f>
        <v>6.907070707</v>
      </c>
      <c r="BL18" s="10"/>
      <c r="BM18" s="10"/>
      <c r="BN18" s="10"/>
      <c r="BO18" s="10"/>
    </row>
    <row r="19">
      <c r="A19" s="3">
        <v>4.0</v>
      </c>
      <c r="B19" s="3">
        <v>26.0</v>
      </c>
      <c r="C19" s="3">
        <v>30.0</v>
      </c>
      <c r="D19" s="3">
        <v>5.0</v>
      </c>
      <c r="E19" s="3">
        <v>4.0</v>
      </c>
      <c r="F19" s="11">
        <f t="shared" si="1"/>
        <v>0.8666666667</v>
      </c>
      <c r="G19" s="5">
        <f t="shared" si="2"/>
        <v>3.133333333</v>
      </c>
      <c r="H19" s="3">
        <v>19.0</v>
      </c>
      <c r="I19" s="2">
        <v>18.0</v>
      </c>
      <c r="J19" s="10">
        <f>IFERROR(__xludf.DUMMYFUNCTION("ifna(QUERY($A$2:$G$2000, ""select G where D="" &amp; J$1 &amp; "" and E="" &amp; $I19), QUERY($A$2:$G$2000, ""select G where E="" &amp; J$1 &amp; "" and D="" &amp; $I19))"),4.2105263157894735)</f>
        <v>4.210526316</v>
      </c>
      <c r="K19" s="10">
        <f>IFERROR(__xludf.DUMMYFUNCTION("ifna(QUERY($A$2:$G$2000, ""select G where D="" &amp; K$1 &amp; "" and E="" &amp; $I19), QUERY($A$2:$G$2000, ""select G where E="" &amp; K$1 &amp; "" and D="" &amp; $I19))"),4.280701754385965)</f>
        <v>4.280701754</v>
      </c>
      <c r="L19" s="10">
        <f>IFERROR(__xludf.DUMMYFUNCTION("ifna(QUERY($A$2:$G$2000, ""select G where D="" &amp; L$1 &amp; "" and E="" &amp; $I19), QUERY($A$2:$G$2000, ""select G where E="" &amp; L$1 &amp; "" and D="" &amp; $I19))"),4.473684210526316)</f>
        <v>4.473684211</v>
      </c>
      <c r="M19" s="10">
        <f>IFERROR(__xludf.DUMMYFUNCTION("ifna(QUERY($A$2:$G$2000, ""select G where D="" &amp; M$1 &amp; "" and E="" &amp; $I19), QUERY($A$2:$G$2000, ""select G where E="" &amp; M$1 &amp; "" and D="" &amp; $I19))"),4.652631578947369)</f>
        <v>4.652631579</v>
      </c>
      <c r="N19" s="10">
        <f>IFERROR(__xludf.DUMMYFUNCTION("ifna(QUERY($A$2:$G$2000, ""select G where D="" &amp; N$1 &amp; "" and E="" &amp; $I19), QUERY($A$2:$G$2000, ""select G where E="" &amp; N$1 &amp; "" and D="" &amp; $I19))"),4.807017543859649)</f>
        <v>4.807017544</v>
      </c>
      <c r="O19" s="10">
        <f>IFERROR(__xludf.DUMMYFUNCTION("ifna(QUERY($A$2:$G$2000, ""select G where D="" &amp; O$1 &amp; "" and E="" &amp; $I19), QUERY($A$2:$G$2000, ""select G where E="" &amp; O$1 &amp; "" and D="" &amp; $I19))"),4.887218045112782)</f>
        <v>4.887218045</v>
      </c>
      <c r="P19" s="10">
        <f>IFERROR(__xludf.DUMMYFUNCTION("ifna(QUERY($A$2:$G$2000, ""select G where D="" &amp; P$1 &amp; "" and E="" &amp; $I19), QUERY($A$2:$G$2000, ""select G where E="" &amp; P$1 &amp; "" and D="" &amp; $I19))"),5.026315789473684)</f>
        <v>5.026315789</v>
      </c>
      <c r="Q19" s="10">
        <f>IFERROR(__xludf.DUMMYFUNCTION("ifna(QUERY($A$2:$G$2000, ""select G where D="" &amp; Q$1 &amp; "" and E="" &amp; $I19), QUERY($A$2:$G$2000, ""select G where E="" &amp; Q$1 &amp; "" and D="" &amp; $I19))"),5.093567251461988)</f>
        <v>5.093567251</v>
      </c>
      <c r="R19" s="10">
        <f>IFERROR(__xludf.DUMMYFUNCTION("ifna(QUERY($A$2:$G$2000, ""select G where D="" &amp; R$1 &amp; "" and E="" &amp; $I19), QUERY($A$2:$G$2000, ""select G where E="" &amp; R$1 &amp; "" and D="" &amp; $I19))"),5.168421052631579)</f>
        <v>5.168421053</v>
      </c>
      <c r="S19" s="10">
        <f>IFERROR(__xludf.DUMMYFUNCTION("ifna(QUERY($A$2:$G$2000, ""select G where D="" &amp; S$1 &amp; "" and E="" &amp; $I19), QUERY($A$2:$G$2000, ""select G where E="" &amp; S$1 &amp; "" and D="" &amp; $I19))"),5.267942583732057)</f>
        <v>5.267942584</v>
      </c>
      <c r="T19" s="10">
        <f>IFERROR(__xludf.DUMMYFUNCTION("ifna(QUERY($A$2:$G$2000, ""select G where D="" &amp; T$1 &amp; "" and E="" &amp; $I19), QUERY($A$2:$G$2000, ""select G where E="" &amp; T$1 &amp; "" and D="" &amp; $I19))"),5.368421052631579)</f>
        <v>5.368421053</v>
      </c>
      <c r="U19" s="10">
        <f>IFERROR(__xludf.DUMMYFUNCTION("ifna(QUERY($A$2:$G$2000, ""select G where D="" &amp; U$1 &amp; "" and E="" &amp; $I19), QUERY($A$2:$G$2000, ""select G where E="" &amp; U$1 &amp; "" and D="" &amp; $I19))"),5.469635627530364)</f>
        <v>5.469635628</v>
      </c>
      <c r="V19" s="10">
        <f>IFERROR(__xludf.DUMMYFUNCTION("ifna(QUERY($A$2:$G$2000, ""select G where D="" &amp; V$1 &amp; "" and E="" &amp; $I19), QUERY($A$2:$G$2000, ""select G where E="" &amp; V$1 &amp; "" and D="" &amp; $I19))"),5.571428571428571)</f>
        <v>5.571428571</v>
      </c>
      <c r="W19" s="10">
        <f>IFERROR(__xludf.DUMMYFUNCTION("ifna(QUERY($A$2:$G$2000, ""select G where D="" &amp; W$1 &amp; "" and E="" &amp; $I19), QUERY($A$2:$G$2000, ""select G where E="" &amp; W$1 &amp; "" and D="" &amp; $I19))"),5.652631578947369)</f>
        <v>5.652631579</v>
      </c>
      <c r="X19" s="10">
        <f>IFERROR(__xludf.DUMMYFUNCTION("ifna(QUERY($A$2:$G$2000, ""select G where D="" &amp; X$1 &amp; "" and E="" &amp; $I19), QUERY($A$2:$G$2000, ""select G where E="" &amp; X$1 &amp; "" and D="" &amp; $I19))"),5.730263157894737)</f>
        <v>5.730263158</v>
      </c>
      <c r="Y19" s="10">
        <f>IFERROR(__xludf.DUMMYFUNCTION("ifna(QUERY($A$2:$G$2000, ""select G where D="" &amp; Y$1 &amp; "" and E="" &amp; $I19), QUERY($A$2:$G$2000, ""select G where E="" &amp; Y$1 &amp; "" and D="" &amp; $I19))"),5.786377708978328)</f>
        <v>5.786377709</v>
      </c>
      <c r="Z19" s="10">
        <f>IFERROR(__xludf.DUMMYFUNCTION("ifna(QUERY($A$2:$G$2000, ""select G where D="" &amp; Z$1 &amp; "" and E="" &amp; $I19), QUERY($A$2:$G$2000, ""select G where E="" &amp; Z$1 &amp; "" and D="" &amp; $I19))"),5.83625730994152)</f>
        <v>5.83625731</v>
      </c>
      <c r="AA19" s="10">
        <f>IFERROR(__xludf.DUMMYFUNCTION("ifna(QUERY($A$2:$G$2000, ""select G where D="" &amp; AA$1 &amp; "" and E="" &amp; $I19), QUERY($A$2:$G$2000, ""select G where E="" &amp; AA$1 &amp; "" and D="" &amp; $I19))"),5.875346260387811)</f>
        <v>5.87534626</v>
      </c>
      <c r="AB19" s="10">
        <f>IFERROR(__xludf.DUMMYFUNCTION("ifna(QUERY($A$2:$G$2000, ""select G where D="" &amp; AB$1 &amp; "" and E="" &amp; $I19), QUERY($A$2:$G$2000, ""select G where E="" &amp; AB$1 &amp; "" and D="" &amp; $I19))"),5.910526315789474)</f>
        <v>5.910526316</v>
      </c>
      <c r="AC19" s="10">
        <f>IFERROR(__xludf.DUMMYFUNCTION("ifna(QUERY($A$2:$G$2000, ""select G where D="" &amp; AC$1 &amp; "" and E="" &amp; $I19), QUERY($A$2:$G$2000, ""select G where E="" &amp; AC$1 &amp; "" and D="" &amp; $I19))"),5.989974937343359)</f>
        <v>5.989974937</v>
      </c>
      <c r="AD19" s="10">
        <f>IFERROR(__xludf.DUMMYFUNCTION("ifna(QUERY($A$2:$G$2000, ""select G where D="" &amp; AD$1 &amp; "" and E="" &amp; $I19), QUERY($A$2:$G$2000, ""select G where E="" &amp; AD$1 &amp; "" and D="" &amp; $I19))"),6.009569377990431)</f>
        <v>6.009569378</v>
      </c>
      <c r="AE19" s="10">
        <f>IFERROR(__xludf.DUMMYFUNCTION("ifna(QUERY($A$2:$G$2000, ""select G where D="" &amp; AE$1 &amp; "" and E="" &amp; $I19), QUERY($A$2:$G$2000, ""select G where E="" &amp; AE$1 &amp; "" and D="" &amp; $I19))"),6.02745995423341)</f>
        <v>6.027459954</v>
      </c>
      <c r="AF19" s="10">
        <f>IFERROR(__xludf.DUMMYFUNCTION("ifna(QUERY($A$2:$G$2000, ""select G where D="" &amp; AF$1 &amp; "" and E="" &amp; $I19), QUERY($A$2:$G$2000, ""select G where E="" &amp; AF$1 &amp; "" and D="" &amp; $I19))"),6.052631578947368)</f>
        <v>6.052631579</v>
      </c>
      <c r="AG19" s="10">
        <f>IFERROR(__xludf.DUMMYFUNCTION("ifna(QUERY($A$2:$G$2000, ""select G where D="" &amp; AG$1 &amp; "" and E="" &amp; $I19), QUERY($A$2:$G$2000, ""select G where E="" &amp; AG$1 &amp; "" and D="" &amp; $I19))"),6.07578947368421)</f>
        <v>6.075789474</v>
      </c>
      <c r="AH19" s="10">
        <f>IFERROR(__xludf.DUMMYFUNCTION("ifna(QUERY($A$2:$G$2000, ""select G where D="" &amp; AH$1 &amp; "" and E="" &amp; $I19), QUERY($A$2:$G$2000, ""select G where E="" &amp; AH$1 &amp; "" and D="" &amp; $I19))"),6.105263157894737)</f>
        <v>6.105263158</v>
      </c>
      <c r="AI19" s="10">
        <f>IFERROR(__xludf.DUMMYFUNCTION("ifna(QUERY($A$2:$G$2000, ""select G where D="" &amp; AI$1 &amp; "" and E="" &amp; $I19), QUERY($A$2:$G$2000, ""select G where E="" &amp; AI$1 &amp; "" and D="" &amp; $I19))"),6.140350877192983)</f>
        <v>6.140350877</v>
      </c>
      <c r="AJ19" s="10">
        <f>IFERROR(__xludf.DUMMYFUNCTION("ifna(QUERY($A$2:$G$2000, ""select G where D="" &amp; AJ$1 &amp; "" and E="" &amp; $I19), QUERY($A$2:$G$2000, ""select G where E="" &amp; AJ$1 &amp; "" and D="" &amp; $I19))"),6.172932330827067)</f>
        <v>6.172932331</v>
      </c>
      <c r="AK19" s="10">
        <f>IFERROR(__xludf.DUMMYFUNCTION("ifna(QUERY($A$2:$G$2000, ""select G where D="" &amp; AK$1 &amp; "" and E="" &amp; $I19), QUERY($A$2:$G$2000, ""select G where E="" &amp; AK$1 &amp; "" and D="" &amp; $I19))"),6.2105263157894735)</f>
        <v>6.210526316</v>
      </c>
      <c r="AL19" s="10">
        <f>IFERROR(__xludf.DUMMYFUNCTION("ifna(QUERY($A$2:$G$2000, ""select G where D="" &amp; AL$1 &amp; "" and E="" &amp; $I19), QUERY($A$2:$G$2000, ""select G where E="" &amp; AL$1 &amp; "" and D="" &amp; $I19))"),6.245614035087719)</f>
        <v>6.245614035</v>
      </c>
      <c r="AM19" s="10">
        <f>IFERROR(__xludf.DUMMYFUNCTION("ifna(QUERY($A$2:$G$2000, ""select G where D="" &amp; AM$1 &amp; "" and E="" &amp; $I19), QUERY($A$2:$G$2000, ""select G where E="" &amp; AM$1 &amp; "" and D="" &amp; $I19))"),6.2852292020373515)</f>
        <v>6.285229202</v>
      </c>
      <c r="AN19" s="10">
        <f>IFERROR(__xludf.DUMMYFUNCTION("ifna(QUERY($A$2:$G$2000, ""select G where D="" &amp; AN$1 &amp; "" and E="" &amp; $I19), QUERY($A$2:$G$2000, ""select G where E="" &amp; AN$1 &amp; "" and D="" &amp; $I19))"),6.322368421052632)</f>
        <v>6.322368421</v>
      </c>
      <c r="AO19" s="10">
        <f>IFERROR(__xludf.DUMMYFUNCTION("ifna(QUERY($A$2:$G$2000, ""select G where D="" &amp; AO$1 &amp; "" and E="" &amp; $I19), QUERY($A$2:$G$2000, ""select G where E="" &amp; AO$1 &amp; "" and D="" &amp; $I19))"),6.363636363636363)</f>
        <v>6.363636364</v>
      </c>
      <c r="AP19" s="10">
        <f>IFERROR(__xludf.DUMMYFUNCTION("ifna(QUERY($A$2:$G$2000, ""select G where D="" &amp; AP$1 &amp; "" and E="" &amp; $I19), QUERY($A$2:$G$2000, ""select G where E="" &amp; AP$1 &amp; "" and D="" &amp; $I19))"),6.402476780185759)</f>
        <v>6.40247678</v>
      </c>
      <c r="AQ19" s="10">
        <f>IFERROR(__xludf.DUMMYFUNCTION("ifna(QUERY($A$2:$G$2000, ""select G where D="" &amp; AQ$1 &amp; "" and E="" &amp; $I19), QUERY($A$2:$G$2000, ""select G where E="" &amp; AQ$1 &amp; "" and D="" &amp; $I19))"),6.4451127819548875)</f>
        <v>6.445112782</v>
      </c>
      <c r="AR19" s="10">
        <f>IFERROR(__xludf.DUMMYFUNCTION("ifna(QUERY($A$2:$G$2000, ""select G where D="" &amp; AR$1 &amp; "" and E="" &amp; $I19), QUERY($A$2:$G$2000, ""select G where E="" &amp; AR$1 &amp; "" and D="" &amp; $I19))"),6.485380116959064)</f>
        <v>6.485380117</v>
      </c>
      <c r="AS19" s="10">
        <f>IFERROR(__xludf.DUMMYFUNCTION("ifna(QUERY($A$2:$G$2000, ""select G where D="" &amp; AS$1 &amp; "" and E="" &amp; $I19), QUERY($A$2:$G$2000, ""select G where E="" &amp; AS$1 &amp; "" and D="" &amp; $I19))"),6.523470839260313)</f>
        <v>6.523470839</v>
      </c>
      <c r="AT19" s="10">
        <f>IFERROR(__xludf.DUMMYFUNCTION("ifna(QUERY($A$2:$G$2000, ""select G where D="" &amp; AT$1 &amp; "" and E="" &amp; $I19), QUERY($A$2:$G$2000, ""select G where E="" &amp; AT$1 &amp; "" and D="" &amp; $I19))"),6.562326869806094)</f>
        <v>6.56232687</v>
      </c>
      <c r="AU19" s="10">
        <f>IFERROR(__xludf.DUMMYFUNCTION("ifna(QUERY($A$2:$G$2000, ""select G where D="" &amp; AU$1 &amp; "" and E="" &amp; $I19), QUERY($A$2:$G$2000, ""select G where E="" &amp; AU$1 &amp; "" and D="" &amp; $I19))"),6.59919028340081)</f>
        <v>6.599190283</v>
      </c>
      <c r="AV19" s="10">
        <f>IFERROR(__xludf.DUMMYFUNCTION("ifna(QUERY($A$2:$G$2000, ""select G where D="" &amp; AV$1 &amp; "" and E="" &amp; $I19), QUERY($A$2:$G$2000, ""select G where E="" &amp; AV$1 &amp; "" and D="" &amp; $I19))"),6.63421052631579)</f>
        <v>6.634210526</v>
      </c>
      <c r="AW19" s="10">
        <f>IFERROR(__xludf.DUMMYFUNCTION("ifna(QUERY($A$2:$G$2000, ""select G where D="" &amp; AW$1 &amp; "" and E="" &amp; $I19), QUERY($A$2:$G$2000, ""select G where E="" &amp; AW$1 &amp; "" and D="" &amp; $I19))"),6.667522464698331)</f>
        <v>6.667522465</v>
      </c>
      <c r="AX19" s="10">
        <f>IFERROR(__xludf.DUMMYFUNCTION("ifna(QUERY($A$2:$G$2000, ""select G where D="" &amp; AX$1 &amp; "" and E="" &amp; $I19), QUERY($A$2:$G$2000, ""select G where E="" &amp; AX$1 &amp; "" and D="" &amp; $I19))"),6.6992481203007515)</f>
        <v>6.69924812</v>
      </c>
      <c r="AY19" s="10">
        <f>IFERROR(__xludf.DUMMYFUNCTION("ifna(QUERY($A$2:$G$2000, ""select G where D="" &amp; AY$1 &amp; "" and E="" &amp; $I19), QUERY($A$2:$G$2000, ""select G where E="" &amp; AY$1 &amp; "" and D="" &amp; $I19))"),6.727050183598531)</f>
        <v>6.727050184</v>
      </c>
      <c r="AZ19" s="10">
        <f>IFERROR(__xludf.DUMMYFUNCTION("ifna(QUERY($A$2:$G$2000, ""select G where D="" &amp; AZ$1 &amp; "" and E="" &amp; $I19), QUERY($A$2:$G$2000, ""select G where E="" &amp; AZ$1 &amp; "" and D="" &amp; $I19))"),6.753588516746412)</f>
        <v>6.753588517</v>
      </c>
      <c r="BA19" s="10">
        <f>IFERROR(__xludf.DUMMYFUNCTION("ifna(QUERY($A$2:$G$2000, ""select G where D="" &amp; BA$1 &amp; "" and E="" &amp; $I19), QUERY($A$2:$G$2000, ""select G where E="" &amp; BA$1 &amp; "" and D="" &amp; $I19))"),6.776608187134503)</f>
        <v>6.776608187</v>
      </c>
      <c r="BB19" s="10">
        <f>IFERROR(__xludf.DUMMYFUNCTION("ifna(QUERY($A$2:$G$2000, ""select G where D="" &amp; BB$1 &amp; "" and E="" &amp; $I19), QUERY($A$2:$G$2000, ""select G where E="" &amp; BB$1 &amp; "" and D="" &amp; $I19))"),6.798627002288329)</f>
        <v>6.798627002</v>
      </c>
      <c r="BC19" s="10">
        <f>IFERROR(__xludf.DUMMYFUNCTION("ifna(QUERY($A$2:$G$2000, ""select G where D="" &amp; BC$1 &amp; "" and E="" &amp; $I19), QUERY($A$2:$G$2000, ""select G where E="" &amp; BC$1 &amp; "" and D="" &amp; $I19))"),6.817469204927212)</f>
        <v>6.817469205</v>
      </c>
      <c r="BD19" s="10">
        <f>IFERROR(__xludf.DUMMYFUNCTION("ifna(QUERY($A$2:$G$2000, ""select G where D="" &amp; BD$1 &amp; "" and E="" &amp; $I19), QUERY($A$2:$G$2000, ""select G where E="" &amp; BD$1 &amp; "" and D="" &amp; $I19))"),6.8355263157894735)</f>
        <v>6.835526316</v>
      </c>
      <c r="BE19" s="10">
        <f>IFERROR(__xludf.DUMMYFUNCTION("ifna(QUERY($A$2:$G$2000, ""select G where D="" &amp; BE$1 &amp; "" and E="" &amp; $I19), QUERY($A$2:$G$2000, ""select G where E="" &amp; BE$1 &amp; "" and D="" &amp; $I19))"),6.852846401718582)</f>
        <v>6.852846402</v>
      </c>
      <c r="BF19" s="10">
        <f>IFERROR(__xludf.DUMMYFUNCTION("ifna(QUERY($A$2:$G$2000, ""select G where D="" &amp; BF$1 &amp; "" and E="" &amp; $I19), QUERY($A$2:$G$2000, ""select G where E="" &amp; BF$1 &amp; "" and D="" &amp; $I19))"),6.869473684210527)</f>
        <v>6.869473684</v>
      </c>
      <c r="BG19" s="10">
        <f>IFERROR(__xludf.DUMMYFUNCTION("ifna(QUERY($A$2:$G$2000, ""select G where D="" &amp; BG$1 &amp; "" and E="" &amp; $I19), QUERY($A$2:$G$2000, ""select G where E="" &amp; BG$1 &amp; "" and D="" &amp; $I19))"),6.883384932920537)</f>
        <v>6.883384933</v>
      </c>
      <c r="BH19" s="10">
        <f>IFERROR(__xludf.DUMMYFUNCTION("ifna(QUERY($A$2:$G$2000, ""select G where D="" &amp; BH$1 &amp; "" and E="" &amp; $I19), QUERY($A$2:$G$2000, ""select G where E="" &amp; BH$1 &amp; "" and D="" &amp; $I19))"),6.896761133603239)</f>
        <v>6.896761134</v>
      </c>
      <c r="BI19" s="10">
        <f>IFERROR(__xludf.DUMMYFUNCTION("ifna(QUERY($A$2:$G$2000, ""select G where D="" &amp; BI$1 &amp; "" and E="" &amp; $I19), QUERY($A$2:$G$2000, ""select G where E="" &amp; BI$1 &amp; "" and D="" &amp; $I19))"),6.911618669314796)</f>
        <v>6.911618669</v>
      </c>
      <c r="BJ19" s="10">
        <f>IFERROR(__xludf.DUMMYFUNCTION("ifna(QUERY($A$2:$G$2000, ""select G where D="" &amp; BJ$1 &amp; "" and E="" &amp; $I19), QUERY($A$2:$G$2000, ""select G where E="" &amp; BJ$1 &amp; "" and D="" &amp; $I19))"),6.9317738791423)</f>
        <v>6.931773879</v>
      </c>
      <c r="BK19" s="10">
        <f>IFERROR(__xludf.DUMMYFUNCTION("ifna(QUERY($A$2:$G$2000, ""select G where D="" &amp; BK$1 &amp; "" and E="" &amp; $I19), QUERY($A$2:$G$2000, ""select G where E="" &amp; BK$1 &amp; "" and D="" &amp; $I19))"),6.955023923444976)</f>
        <v>6.955023923</v>
      </c>
      <c r="BL19" s="10"/>
      <c r="BM19" s="10"/>
      <c r="BN19" s="10"/>
      <c r="BO19" s="10"/>
    </row>
    <row r="20">
      <c r="A20" s="3">
        <v>4.0</v>
      </c>
      <c r="B20" s="3">
        <v>24.0</v>
      </c>
      <c r="C20" s="3">
        <v>36.0</v>
      </c>
      <c r="D20" s="3">
        <v>5.0</v>
      </c>
      <c r="E20" s="3">
        <v>5.0</v>
      </c>
      <c r="F20" s="11">
        <f t="shared" si="1"/>
        <v>0.6666666667</v>
      </c>
      <c r="G20" s="5">
        <f t="shared" si="2"/>
        <v>3.333333333</v>
      </c>
      <c r="H20" s="3">
        <v>20.0</v>
      </c>
      <c r="I20" s="2">
        <v>19.0</v>
      </c>
      <c r="J20" s="10">
        <f>IFERROR(__xludf.DUMMYFUNCTION("ifna(QUERY($A$2:$G$2000, ""select G where D="" &amp; J$1 &amp; "" and E="" &amp; $I20), QUERY($A$2:$G$2000, ""select G where E="" &amp; J$1 &amp; "" and D="" &amp; $I20))"),4.3)</f>
        <v>4.3</v>
      </c>
      <c r="K20" s="10">
        <f>IFERROR(__xludf.DUMMYFUNCTION("ifna(QUERY($A$2:$G$2000, ""select G where D="" &amp; K$1 &amp; "" and E="" &amp; $I20), QUERY($A$2:$G$2000, ""select G where E="" &amp; K$1 &amp; "" and D="" &amp; $I20))"),4.366666666666667)</f>
        <v>4.366666667</v>
      </c>
      <c r="L20" s="10">
        <f>IFERROR(__xludf.DUMMYFUNCTION("ifna(QUERY($A$2:$G$2000, ""select G where D="" &amp; L$1 &amp; "" and E="" &amp; $I20), QUERY($A$2:$G$2000, ""select G where E="" &amp; L$1 &amp; "" and D="" &amp; $I20))"),4.55)</f>
        <v>4.55</v>
      </c>
      <c r="M20" s="10">
        <f>IFERROR(__xludf.DUMMYFUNCTION("ifna(QUERY($A$2:$G$2000, ""select G where D="" &amp; M$1 &amp; "" and E="" &amp; $I20), QUERY($A$2:$G$2000, ""select G where E="" &amp; M$1 &amp; "" and D="" &amp; $I20))"),4.72)</f>
        <v>4.72</v>
      </c>
      <c r="N20" s="10">
        <f>IFERROR(__xludf.DUMMYFUNCTION("ifna(QUERY($A$2:$G$2000, ""select G where D="" &amp; N$1 &amp; "" and E="" &amp; $I20), QUERY($A$2:$G$2000, ""select G where E="" &amp; N$1 &amp; "" and D="" &amp; $I20))"),4.866666666666666)</f>
        <v>4.866666667</v>
      </c>
      <c r="O20" s="10">
        <f>IFERROR(__xludf.DUMMYFUNCTION("ifna(QUERY($A$2:$G$2000, ""select G where D="" &amp; O$1 &amp; "" and E="" &amp; $I20), QUERY($A$2:$G$2000, ""select G where E="" &amp; O$1 &amp; "" and D="" &amp; $I20))"),4.942857142857143)</f>
        <v>4.942857143</v>
      </c>
      <c r="P20" s="10">
        <f>IFERROR(__xludf.DUMMYFUNCTION("ifna(QUERY($A$2:$G$2000, ""select G where D="" &amp; P$1 &amp; "" and E="" &amp; $I20), QUERY($A$2:$G$2000, ""select G where E="" &amp; P$1 &amp; "" and D="" &amp; $I20))"),5.05)</f>
        <v>5.05</v>
      </c>
      <c r="Q20" s="10">
        <f>IFERROR(__xludf.DUMMYFUNCTION("ifna(QUERY($A$2:$G$2000, ""select G where D="" &amp; Q$1 &amp; "" and E="" &amp; $I20), QUERY($A$2:$G$2000, ""select G where E="" &amp; Q$1 &amp; "" and D="" &amp; $I20))"),5.133333333333333)</f>
        <v>5.133333333</v>
      </c>
      <c r="R20" s="10">
        <f>IFERROR(__xludf.DUMMYFUNCTION("ifna(QUERY($A$2:$G$2000, ""select G where D="" &amp; R$1 &amp; "" and E="" &amp; $I20), QUERY($A$2:$G$2000, ""select G where E="" &amp; R$1 &amp; "" and D="" &amp; $I20))"),5.22)</f>
        <v>5.22</v>
      </c>
      <c r="S20" s="10">
        <f>IFERROR(__xludf.DUMMYFUNCTION("ifna(QUERY($A$2:$G$2000, ""select G where D="" &amp; S$1 &amp; "" and E="" &amp; $I20), QUERY($A$2:$G$2000, ""select G where E="" &amp; S$1 &amp; "" and D="" &amp; $I20))"),5.327272727272727)</f>
        <v>5.327272727</v>
      </c>
      <c r="T20" s="10">
        <f>IFERROR(__xludf.DUMMYFUNCTION("ifna(QUERY($A$2:$G$2000, ""select G where D="" &amp; T$1 &amp; "" and E="" &amp; $I20), QUERY($A$2:$G$2000, ""select G where E="" &amp; T$1 &amp; "" and D="" &amp; $I20))"),5.433333333333334)</f>
        <v>5.433333333</v>
      </c>
      <c r="U20" s="10">
        <f>IFERROR(__xludf.DUMMYFUNCTION("ifna(QUERY($A$2:$G$2000, ""select G where D="" &amp; U$1 &amp; "" and E="" &amp; $I20), QUERY($A$2:$G$2000, ""select G where E="" &amp; U$1 &amp; "" and D="" &amp; $I20))"),5.538461538461538)</f>
        <v>5.538461538</v>
      </c>
      <c r="V20" s="10">
        <f>IFERROR(__xludf.DUMMYFUNCTION("ifna(QUERY($A$2:$G$2000, ""select G where D="" &amp; V$1 &amp; "" and E="" &amp; $I20), QUERY($A$2:$G$2000, ""select G where E="" &amp; V$1 &amp; "" and D="" &amp; $I20))"),5.642857142857143)</f>
        <v>5.642857143</v>
      </c>
      <c r="W20" s="10">
        <f>IFERROR(__xludf.DUMMYFUNCTION("ifna(QUERY($A$2:$G$2000, ""select G where D="" &amp; W$1 &amp; "" and E="" &amp; $I20), QUERY($A$2:$G$2000, ""select G where E="" &amp; W$1 &amp; "" and D="" &amp; $I20))"),5.72)</f>
        <v>5.72</v>
      </c>
      <c r="X20" s="10">
        <f>IFERROR(__xludf.DUMMYFUNCTION("ifna(QUERY($A$2:$G$2000, ""select G where D="" &amp; X$1 &amp; "" and E="" &amp; $I20), QUERY($A$2:$G$2000, ""select G where E="" &amp; X$1 &amp; "" and D="" &amp; $I20))"),5.7875)</f>
        <v>5.7875</v>
      </c>
      <c r="Y20" s="10">
        <f>IFERROR(__xludf.DUMMYFUNCTION("ifna(QUERY($A$2:$G$2000, ""select G where D="" &amp; Y$1 &amp; "" and E="" &amp; $I20), QUERY($A$2:$G$2000, ""select G where E="" &amp; Y$1 &amp; "" and D="" &amp; $I20))"),5.8352941176470585)</f>
        <v>5.835294118</v>
      </c>
      <c r="Z20" s="10">
        <f>IFERROR(__xludf.DUMMYFUNCTION("ifna(QUERY($A$2:$G$2000, ""select G where D="" &amp; Z$1 &amp; "" and E="" &amp; $I20), QUERY($A$2:$G$2000, ""select G where E="" &amp; Z$1 &amp; "" and D="" &amp; $I20))"),5.877777777777778)</f>
        <v>5.877777778</v>
      </c>
      <c r="AA20" s="10">
        <f>IFERROR(__xludf.DUMMYFUNCTION("ifna(QUERY($A$2:$G$2000, ""select G where D="" &amp; AA$1 &amp; "" and E="" &amp; $I20), QUERY($A$2:$G$2000, ""select G where E="" &amp; AA$1 &amp; "" and D="" &amp; $I20))"),5.910526315789474)</f>
        <v>5.910526316</v>
      </c>
      <c r="AB20" s="10">
        <f>IFERROR(__xludf.DUMMYFUNCTION("ifna(QUERY($A$2:$G$2000, ""select G where D="" &amp; AB$1 &amp; "" and E="" &amp; $I20), QUERY($A$2:$G$2000, ""select G where E="" &amp; AB$1 &amp; "" and D="" &amp; $I20))"),5.985)</f>
        <v>5.985</v>
      </c>
      <c r="AC20" s="10">
        <f>IFERROR(__xludf.DUMMYFUNCTION("ifna(QUERY($A$2:$G$2000, ""select G where D="" &amp; AC$1 &amp; "" and E="" &amp; $I20), QUERY($A$2:$G$2000, ""select G where E="" &amp; AC$1 &amp; "" and D="" &amp; $I20))"),6.0095238095238095)</f>
        <v>6.00952381</v>
      </c>
      <c r="AD20" s="10">
        <f>IFERROR(__xludf.DUMMYFUNCTION("ifna(QUERY($A$2:$G$2000, ""select G where D="" &amp; AD$1 &amp; "" and E="" &amp; $I20), QUERY($A$2:$G$2000, ""select G where E="" &amp; AD$1 &amp; "" and D="" &amp; $I20))"),6.027272727272727)</f>
        <v>6.027272727</v>
      </c>
      <c r="AE20" s="10">
        <f>IFERROR(__xludf.DUMMYFUNCTION("ifna(QUERY($A$2:$G$2000, ""select G where D="" &amp; AE$1 &amp; "" and E="" &amp; $I20), QUERY($A$2:$G$2000, ""select G where E="" &amp; AE$1 &amp; "" and D="" &amp; $I20))"),6.052173913043478)</f>
        <v>6.052173913</v>
      </c>
      <c r="AF20" s="10">
        <f>IFERROR(__xludf.DUMMYFUNCTION("ifna(QUERY($A$2:$G$2000, ""select G where D="" &amp; AF$1 &amp; "" and E="" &amp; $I20), QUERY($A$2:$G$2000, ""select G where E="" &amp; AF$1 &amp; "" and D="" &amp; $I20))"),6.083333333333333)</f>
        <v>6.083333333</v>
      </c>
      <c r="AG20" s="10">
        <f>IFERROR(__xludf.DUMMYFUNCTION("ifna(QUERY($A$2:$G$2000, ""select G where D="" &amp; AG$1 &amp; "" and E="" &amp; $I20), QUERY($A$2:$G$2000, ""select G where E="" &amp; AG$1 &amp; "" and D="" &amp; $I20))"),6.112)</f>
        <v>6.112</v>
      </c>
      <c r="AH20" s="10">
        <f>IFERROR(__xludf.DUMMYFUNCTION("ifna(QUERY($A$2:$G$2000, ""select G where D="" &amp; AH$1 &amp; "" and E="" &amp; $I20), QUERY($A$2:$G$2000, ""select G where E="" &amp; AH$1 &amp; "" and D="" &amp; $I20))"),6.1461538461538465)</f>
        <v>6.146153846</v>
      </c>
      <c r="AI20" s="10">
        <f>IFERROR(__xludf.DUMMYFUNCTION("ifna(QUERY($A$2:$G$2000, ""select G where D="" &amp; AI$1 &amp; "" and E="" &amp; $I20), QUERY($A$2:$G$2000, ""select G where E="" &amp; AI$1 &amp; "" and D="" &amp; $I20))"),6.185185185185185)</f>
        <v>6.185185185</v>
      </c>
      <c r="AJ20" s="10">
        <f>IFERROR(__xludf.DUMMYFUNCTION("ifna(QUERY($A$2:$G$2000, ""select G where D="" &amp; AJ$1 &amp; "" and E="" &amp; $I20), QUERY($A$2:$G$2000, ""select G where E="" &amp; AJ$1 &amp; "" and D="" &amp; $I20))"),6.2214285714285715)</f>
        <v>6.221428571</v>
      </c>
      <c r="AK20" s="10">
        <f>IFERROR(__xludf.DUMMYFUNCTION("ifna(QUERY($A$2:$G$2000, ""select G where D="" &amp; AK$1 &amp; "" and E="" &amp; $I20), QUERY($A$2:$G$2000, ""select G where E="" &amp; AK$1 &amp; "" and D="" &amp; $I20))"),6.2620689655172415)</f>
        <v>6.262068966</v>
      </c>
      <c r="AL20" s="10">
        <f>IFERROR(__xludf.DUMMYFUNCTION("ifna(QUERY($A$2:$G$2000, ""select G where D="" &amp; AL$1 &amp; "" and E="" &amp; $I20), QUERY($A$2:$G$2000, ""select G where E="" &amp; AL$1 &amp; "" and D="" &amp; $I20))"),6.3)</f>
        <v>6.3</v>
      </c>
      <c r="AM20" s="10">
        <f>IFERROR(__xludf.DUMMYFUNCTION("ifna(QUERY($A$2:$G$2000, ""select G where D="" &amp; AM$1 &amp; "" and E="" &amp; $I20), QUERY($A$2:$G$2000, ""select G where E="" &amp; AM$1 &amp; "" and D="" &amp; $I20))"),6.341935483870968)</f>
        <v>6.341935484</v>
      </c>
      <c r="AN20" s="10">
        <f>IFERROR(__xludf.DUMMYFUNCTION("ifna(QUERY($A$2:$G$2000, ""select G where D="" &amp; AN$1 &amp; "" and E="" &amp; $I20), QUERY($A$2:$G$2000, ""select G where E="" &amp; AN$1 &amp; "" and D="" &amp; $I20))"),6.38125)</f>
        <v>6.38125</v>
      </c>
      <c r="AO20" s="10">
        <f>IFERROR(__xludf.DUMMYFUNCTION("ifna(QUERY($A$2:$G$2000, ""select G where D="" &amp; AO$1 &amp; "" and E="" &amp; $I20), QUERY($A$2:$G$2000, ""select G where E="" &amp; AO$1 &amp; "" and D="" &amp; $I20))"),6.424242424242424)</f>
        <v>6.424242424</v>
      </c>
      <c r="AP20" s="10">
        <f>IFERROR(__xludf.DUMMYFUNCTION("ifna(QUERY($A$2:$G$2000, ""select G where D="" &amp; AP$1 &amp; "" and E="" &amp; $I20), QUERY($A$2:$G$2000, ""select G where E="" &amp; AP$1 &amp; "" and D="" &amp; $I20))"),6.464705882352941)</f>
        <v>6.464705882</v>
      </c>
      <c r="AQ20" s="10">
        <f>IFERROR(__xludf.DUMMYFUNCTION("ifna(QUERY($A$2:$G$2000, ""select G where D="" &amp; AQ$1 &amp; "" and E="" &amp; $I20), QUERY($A$2:$G$2000, ""select G where E="" &amp; AQ$1 &amp; "" and D="" &amp; $I20))"),6.508571428571429)</f>
        <v>6.508571429</v>
      </c>
      <c r="AR20" s="10">
        <f>IFERROR(__xludf.DUMMYFUNCTION("ifna(QUERY($A$2:$G$2000, ""select G where D="" &amp; AR$1 &amp; "" and E="" &amp; $I20), QUERY($A$2:$G$2000, ""select G where E="" &amp; AR$1 &amp; "" and D="" &amp; $I20))"),6.55)</f>
        <v>6.55</v>
      </c>
      <c r="AS20" s="10">
        <f>IFERROR(__xludf.DUMMYFUNCTION("ifna(QUERY($A$2:$G$2000, ""select G where D="" &amp; AS$1 &amp; "" and E="" &amp; $I20), QUERY($A$2:$G$2000, ""select G where E="" &amp; AS$1 &amp; "" and D="" &amp; $I20))"),6.589189189189189)</f>
        <v>6.589189189</v>
      </c>
      <c r="AT20" s="10">
        <f>IFERROR(__xludf.DUMMYFUNCTION("ifna(QUERY($A$2:$G$2000, ""select G where D="" &amp; AT$1 &amp; "" and E="" &amp; $I20), QUERY($A$2:$G$2000, ""select G where E="" &amp; AT$1 &amp; "" and D="" &amp; $I20))"),6.626315789473685)</f>
        <v>6.626315789</v>
      </c>
      <c r="AU20" s="10">
        <f>IFERROR(__xludf.DUMMYFUNCTION("ifna(QUERY($A$2:$G$2000, ""select G where D="" &amp; AU$1 &amp; "" and E="" &amp; $I20), QUERY($A$2:$G$2000, ""select G where E="" &amp; AU$1 &amp; "" and D="" &amp; $I20))"),6.661538461538462)</f>
        <v>6.661538462</v>
      </c>
      <c r="AV20" s="10">
        <f>IFERROR(__xludf.DUMMYFUNCTION("ifna(QUERY($A$2:$G$2000, ""select G where D="" &amp; AV$1 &amp; "" and E="" &amp; $I20), QUERY($A$2:$G$2000, ""select G where E="" &amp; AV$1 &amp; "" and D="" &amp; $I20))"),6.695)</f>
        <v>6.695</v>
      </c>
      <c r="AW20" s="10">
        <f>IFERROR(__xludf.DUMMYFUNCTION("ifna(QUERY($A$2:$G$2000, ""select G where D="" &amp; AW$1 &amp; "" and E="" &amp; $I20), QUERY($A$2:$G$2000, ""select G where E="" &amp; AW$1 &amp; "" and D="" &amp; $I20))"),6.724390243902439)</f>
        <v>6.724390244</v>
      </c>
      <c r="AX20" s="10">
        <f>IFERROR(__xludf.DUMMYFUNCTION("ifna(QUERY($A$2:$G$2000, ""select G where D="" &amp; AX$1 &amp; "" and E="" &amp; $I20), QUERY($A$2:$G$2000, ""select G where E="" &amp; AX$1 &amp; "" and D="" &amp; $I20))"),6.752380952380952)</f>
        <v>6.752380952</v>
      </c>
      <c r="AY20" s="10">
        <f>IFERROR(__xludf.DUMMYFUNCTION("ifna(QUERY($A$2:$G$2000, ""select G where D="" &amp; AY$1 &amp; "" and E="" &amp; $I20), QUERY($A$2:$G$2000, ""select G where E="" &amp; AY$1 &amp; "" and D="" &amp; $I20))"),6.776744186046511)</f>
        <v>6.776744186</v>
      </c>
      <c r="AZ20" s="10">
        <f>IFERROR(__xludf.DUMMYFUNCTION("ifna(QUERY($A$2:$G$2000, ""select G where D="" &amp; AZ$1 &amp; "" and E="" &amp; $I20), QUERY($A$2:$G$2000, ""select G where E="" &amp; AZ$1 &amp; "" and D="" &amp; $I20))"),6.8)</f>
        <v>6.8</v>
      </c>
      <c r="BA20" s="10">
        <f>IFERROR(__xludf.DUMMYFUNCTION("ifna(QUERY($A$2:$G$2000, ""select G where D="" &amp; BA$1 &amp; "" and E="" &amp; $I20), QUERY($A$2:$G$2000, ""select G where E="" &amp; BA$1 &amp; "" and D="" &amp; $I20))"),6.82)</f>
        <v>6.82</v>
      </c>
      <c r="BB20" s="10">
        <f>IFERROR(__xludf.DUMMYFUNCTION("ifna(QUERY($A$2:$G$2000, ""select G where D="" &amp; BB$1 &amp; "" and E="" &amp; $I20), QUERY($A$2:$G$2000, ""select G where E="" &amp; BB$1 &amp; "" and D="" &amp; $I20))"),6.839130434782609)</f>
        <v>6.839130435</v>
      </c>
      <c r="BC20" s="10">
        <f>IFERROR(__xludf.DUMMYFUNCTION("ifna(QUERY($A$2:$G$2000, ""select G where D="" &amp; BC$1 &amp; "" and E="" &amp; $I20), QUERY($A$2:$G$2000, ""select G where E="" &amp; BC$1 &amp; "" and D="" &amp; $I20))"),6.85531914893617)</f>
        <v>6.855319149</v>
      </c>
      <c r="BD20" s="10">
        <f>IFERROR(__xludf.DUMMYFUNCTION("ifna(QUERY($A$2:$G$2000, ""select G where D="" &amp; BD$1 &amp; "" and E="" &amp; $I20), QUERY($A$2:$G$2000, ""select G where E="" &amp; BD$1 &amp; "" and D="" &amp; $I20))"),6.870833333333334)</f>
        <v>6.870833333</v>
      </c>
      <c r="BE20" s="10">
        <f>IFERROR(__xludf.DUMMYFUNCTION("ifna(QUERY($A$2:$G$2000, ""select G where D="" &amp; BE$1 &amp; "" and E="" &amp; $I20), QUERY($A$2:$G$2000, ""select G where E="" &amp; BE$1 &amp; "" and D="" &amp; $I20))"),6.885714285714286)</f>
        <v>6.885714286</v>
      </c>
      <c r="BF20" s="10">
        <f>IFERROR(__xludf.DUMMYFUNCTION("ifna(QUERY($A$2:$G$2000, ""select G where D="" &amp; BF$1 &amp; "" and E="" &amp; $I20), QUERY($A$2:$G$2000, ""select G where E="" &amp; BF$1 &amp; "" and D="" &amp; $I20))"),6.902)</f>
        <v>6.902</v>
      </c>
      <c r="BG20" s="10">
        <f>IFERROR(__xludf.DUMMYFUNCTION("ifna(QUERY($A$2:$G$2000, ""select G where D="" &amp; BG$1 &amp; "" and E="" &amp; $I20), QUERY($A$2:$G$2000, ""select G where E="" &amp; BG$1 &amp; "" and D="" &amp; $I20))"),6.919607843137255)</f>
        <v>6.919607843</v>
      </c>
      <c r="BH20" s="10">
        <f>IFERROR(__xludf.DUMMYFUNCTION("ifna(QUERY($A$2:$G$2000, ""select G where D="" &amp; BH$1 &amp; "" and E="" &amp; $I20), QUERY($A$2:$G$2000, ""select G where E="" &amp; BH$1 &amp; "" and D="" &amp; $I20))"),6.936538461538461)</f>
        <v>6.936538462</v>
      </c>
      <c r="BI20" s="10">
        <f>IFERROR(__xludf.DUMMYFUNCTION("ifna(QUERY($A$2:$G$2000, ""select G where D="" &amp; BI$1 &amp; "" and E="" &amp; $I20), QUERY($A$2:$G$2000, ""select G where E="" &amp; BI$1 &amp; "" and D="" &amp; $I20))"),6.964150943396226)</f>
        <v>6.964150943</v>
      </c>
      <c r="BJ20" s="10">
        <f>IFERROR(__xludf.DUMMYFUNCTION("ifna(QUERY($A$2:$G$2000, ""select G where D="" &amp; BJ$1 &amp; "" and E="" &amp; $I20), QUERY($A$2:$G$2000, ""select G where E="" &amp; BJ$1 &amp; "" and D="" &amp; $I20))"),6.9981481481481485)</f>
        <v>6.998148148</v>
      </c>
      <c r="BK20" s="10">
        <f>IFERROR(__xludf.DUMMYFUNCTION("ifna(QUERY($A$2:$G$2000, ""select G where D="" &amp; BK$1 &amp; "" and E="" &amp; $I20), QUERY($A$2:$G$2000, ""select G where E="" &amp; BK$1 &amp; "" and D="" &amp; $I20))"),7.003636363636364)</f>
        <v>7.003636364</v>
      </c>
      <c r="BL20" s="10"/>
      <c r="BM20" s="10"/>
      <c r="BN20" s="10"/>
      <c r="BO20" s="10"/>
    </row>
    <row r="21">
      <c r="A21" s="3">
        <v>4.0</v>
      </c>
      <c r="B21" s="3">
        <v>24.0</v>
      </c>
      <c r="C21" s="3">
        <v>28.0</v>
      </c>
      <c r="D21" s="3">
        <v>6.0</v>
      </c>
      <c r="E21" s="3">
        <v>3.0</v>
      </c>
      <c r="F21" s="11">
        <f t="shared" si="1"/>
        <v>0.8571428571</v>
      </c>
      <c r="G21" s="5">
        <f t="shared" si="2"/>
        <v>3.142857143</v>
      </c>
      <c r="H21" s="3">
        <v>21.0</v>
      </c>
      <c r="I21" s="2">
        <v>20.0</v>
      </c>
      <c r="J21" s="10">
        <f>IFERROR(__xludf.DUMMYFUNCTION("ifna(QUERY($A$2:$G$2000, ""select G where D="" &amp; J$1 &amp; "" and E="" &amp; $I21), QUERY($A$2:$G$2000, ""select G where E="" &amp; J$1 &amp; "" and D="" &amp; $I21))"),4.380952380952381)</f>
        <v>4.380952381</v>
      </c>
      <c r="K21" s="10">
        <f>IFERROR(__xludf.DUMMYFUNCTION("ifna(QUERY($A$2:$G$2000, ""select G where D="" &amp; K$1 &amp; "" and E="" &amp; $I21), QUERY($A$2:$G$2000, ""select G where E="" &amp; K$1 &amp; "" and D="" &amp; $I21))"),4.444444444444445)</f>
        <v>4.444444444</v>
      </c>
      <c r="L21" s="10">
        <f>IFERROR(__xludf.DUMMYFUNCTION("ifna(QUERY($A$2:$G$2000, ""select G where D="" &amp; L$1 &amp; "" and E="" &amp; $I21), QUERY($A$2:$G$2000, ""select G where E="" &amp; L$1 &amp; "" and D="" &amp; $I21))"),4.619047619047619)</f>
        <v>4.619047619</v>
      </c>
      <c r="M21" s="10">
        <f>IFERROR(__xludf.DUMMYFUNCTION("ifna(QUERY($A$2:$G$2000, ""select G where D="" &amp; M$1 &amp; "" and E="" &amp; $I21), QUERY($A$2:$G$2000, ""select G where E="" &amp; M$1 &amp; "" and D="" &amp; $I21))"),4.780952380952381)</f>
        <v>4.780952381</v>
      </c>
      <c r="N21" s="10">
        <f>IFERROR(__xludf.DUMMYFUNCTION("ifna(QUERY($A$2:$G$2000, ""select G where D="" &amp; N$1 &amp; "" and E="" &amp; $I21), QUERY($A$2:$G$2000, ""select G where E="" &amp; N$1 &amp; "" and D="" &amp; $I21))"),4.904761904761905)</f>
        <v>4.904761905</v>
      </c>
      <c r="O21" s="10">
        <f>IFERROR(__xludf.DUMMYFUNCTION("ifna(QUERY($A$2:$G$2000, ""select G where D="" &amp; O$1 &amp; "" and E="" &amp; $I21), QUERY($A$2:$G$2000, ""select G where E="" &amp; O$1 &amp; "" and D="" &amp; $I21))"),5.0272108843537415)</f>
        <v>5.027210884</v>
      </c>
      <c r="P21" s="10">
        <f>IFERROR(__xludf.DUMMYFUNCTION("ifna(QUERY($A$2:$G$2000, ""select G where D="" &amp; P$1 &amp; "" and E="" &amp; $I21), QUERY($A$2:$G$2000, ""select G where E="" &amp; P$1 &amp; "" and D="" &amp; $I21))"),5.095238095238095)</f>
        <v>5.095238095</v>
      </c>
      <c r="Q21" s="10">
        <f>IFERROR(__xludf.DUMMYFUNCTION("ifna(QUERY($A$2:$G$2000, ""select G where D="" &amp; Q$1 &amp; "" and E="" &amp; $I21), QUERY($A$2:$G$2000, ""select G where E="" &amp; Q$1 &amp; "" and D="" &amp; $I21))"),5.190476190476191)</f>
        <v>5.19047619</v>
      </c>
      <c r="R21" s="10">
        <f>IFERROR(__xludf.DUMMYFUNCTION("ifna(QUERY($A$2:$G$2000, ""select G where D="" &amp; R$1 &amp; "" and E="" &amp; $I21), QUERY($A$2:$G$2000, ""select G where E="" &amp; R$1 &amp; "" and D="" &amp; $I21))"),5.285714285714286)</f>
        <v>5.285714286</v>
      </c>
      <c r="S21" s="10">
        <f>IFERROR(__xludf.DUMMYFUNCTION("ifna(QUERY($A$2:$G$2000, ""select G where D="" &amp; S$1 &amp; "" and E="" &amp; $I21), QUERY($A$2:$G$2000, ""select G where E="" &amp; S$1 &amp; "" and D="" &amp; $I21))"),5.3982683982683985)</f>
        <v>5.398268398</v>
      </c>
      <c r="T21" s="10">
        <f>IFERROR(__xludf.DUMMYFUNCTION("ifna(QUERY($A$2:$G$2000, ""select G where D="" &amp; T$1 &amp; "" and E="" &amp; $I21), QUERY($A$2:$G$2000, ""select G where E="" &amp; T$1 &amp; "" and D="" &amp; $I21))"),5.507936507936508)</f>
        <v>5.507936508</v>
      </c>
      <c r="U21" s="10">
        <f>IFERROR(__xludf.DUMMYFUNCTION("ifna(QUERY($A$2:$G$2000, ""select G where D="" &amp; U$1 &amp; "" and E="" &amp; $I21), QUERY($A$2:$G$2000, ""select G where E="" &amp; U$1 &amp; "" and D="" &amp; $I21))"),5.608058608058608)</f>
        <v>5.608058608</v>
      </c>
      <c r="V21" s="10">
        <f>IFERROR(__xludf.DUMMYFUNCTION("ifna(QUERY($A$2:$G$2000, ""select G where D="" &amp; V$1 &amp; "" and E="" &amp; $I21), QUERY($A$2:$G$2000, ""select G where E="" &amp; V$1 &amp; "" and D="" &amp; $I21))"),5.700680272108843)</f>
        <v>5.700680272</v>
      </c>
      <c r="W21" s="10">
        <f>IFERROR(__xludf.DUMMYFUNCTION("ifna(QUERY($A$2:$G$2000, ""select G where D="" &amp; W$1 &amp; "" and E="" &amp; $I21), QUERY($A$2:$G$2000, ""select G where E="" &amp; W$1 &amp; "" and D="" &amp; $I21))"),5.768253968253968)</f>
        <v>5.768253968</v>
      </c>
      <c r="X21" s="10">
        <f>IFERROR(__xludf.DUMMYFUNCTION("ifna(QUERY($A$2:$G$2000, ""select G where D="" &amp; X$1 &amp; "" and E="" &amp; $I21), QUERY($A$2:$G$2000, ""select G where E="" &amp; X$1 &amp; "" and D="" &amp; $I21))"),5.8273809523809526)</f>
        <v>5.827380952</v>
      </c>
      <c r="Y21" s="10">
        <f>IFERROR(__xludf.DUMMYFUNCTION("ifna(QUERY($A$2:$G$2000, ""select G where D="" &amp; Y$1 &amp; "" and E="" &amp; $I21), QUERY($A$2:$G$2000, ""select G where E="" &amp; Y$1 &amp; "" and D="" &amp; $I21))"),5.868347338935574)</f>
        <v>5.868347339</v>
      </c>
      <c r="Z21" s="10">
        <f>IFERROR(__xludf.DUMMYFUNCTION("ifna(QUERY($A$2:$G$2000, ""select G where D="" &amp; Z$1 &amp; "" and E="" &amp; $I21), QUERY($A$2:$G$2000, ""select G where E="" &amp; Z$1 &amp; "" and D="" &amp; $I21))"),5.904761904761905)</f>
        <v>5.904761905</v>
      </c>
      <c r="AA21" s="10">
        <f>IFERROR(__xludf.DUMMYFUNCTION("ifna(QUERY($A$2:$G$2000, ""select G where D="" &amp; AA$1 &amp; "" and E="" &amp; $I21), QUERY($A$2:$G$2000, ""select G where E="" &amp; AA$1 &amp; "" and D="" &amp; $I21))"),5.989974937343359)</f>
        <v>5.989974937</v>
      </c>
      <c r="AB21" s="10">
        <f>IFERROR(__xludf.DUMMYFUNCTION("ifna(QUERY($A$2:$G$2000, ""select G where D="" &amp; AB$1 &amp; "" and E="" &amp; $I21), QUERY($A$2:$G$2000, ""select G where E="" &amp; AB$1 &amp; "" and D="" &amp; $I21))"),6.0095238095238095)</f>
        <v>6.00952381</v>
      </c>
      <c r="AC21" s="10">
        <f>IFERROR(__xludf.DUMMYFUNCTION("ifna(QUERY($A$2:$G$2000, ""select G where D="" &amp; AC$1 &amp; "" and E="" &amp; $I21), QUERY($A$2:$G$2000, ""select G where E="" &amp; AC$1 &amp; "" and D="" &amp; $I21))"),6.0272108843537415)</f>
        <v>6.027210884</v>
      </c>
      <c r="AD21" s="10">
        <f>IFERROR(__xludf.DUMMYFUNCTION("ifna(QUERY($A$2:$G$2000, ""select G where D="" &amp; AD$1 &amp; "" and E="" &amp; $I21), QUERY($A$2:$G$2000, ""select G where E="" &amp; AD$1 &amp; "" and D="" &amp; $I21))"),6.051948051948052)</f>
        <v>6.051948052</v>
      </c>
      <c r="AE21" s="10">
        <f>IFERROR(__xludf.DUMMYFUNCTION("ifna(QUERY($A$2:$G$2000, ""select G where D="" &amp; AE$1 &amp; "" and E="" &amp; $I21), QUERY($A$2:$G$2000, ""select G where E="" &amp; AE$1 &amp; "" and D="" &amp; $I21))"),6.082815734989648)</f>
        <v>6.082815735</v>
      </c>
      <c r="AF21" s="10">
        <f>IFERROR(__xludf.DUMMYFUNCTION("ifna(QUERY($A$2:$G$2000, ""select G where D="" &amp; AF$1 &amp; "" and E="" &amp; $I21), QUERY($A$2:$G$2000, ""select G where E="" &amp; AF$1 &amp; "" and D="" &amp; $I21))"),6.119047619047619)</f>
        <v>6.119047619</v>
      </c>
      <c r="AG21" s="10">
        <f>IFERROR(__xludf.DUMMYFUNCTION("ifna(QUERY($A$2:$G$2000, ""select G where D="" &amp; AG$1 &amp; "" and E="" &amp; $I21), QUERY($A$2:$G$2000, ""select G where E="" &amp; AG$1 &amp; "" and D="" &amp; $I21))"),6.152380952380953)</f>
        <v>6.152380952</v>
      </c>
      <c r="AH21" s="10">
        <f>IFERROR(__xludf.DUMMYFUNCTION("ifna(QUERY($A$2:$G$2000, ""select G where D="" &amp; AH$1 &amp; "" and E="" &amp; $I21), QUERY($A$2:$G$2000, ""select G where E="" &amp; AH$1 &amp; "" and D="" &amp; $I21))"),6.190476190476191)</f>
        <v>6.19047619</v>
      </c>
      <c r="AI21" s="10">
        <f>IFERROR(__xludf.DUMMYFUNCTION("ifna(QUERY($A$2:$G$2000, ""select G where D="" &amp; AI$1 &amp; "" and E="" &amp; $I21), QUERY($A$2:$G$2000, ""select G where E="" &amp; AI$1 &amp; "" and D="" &amp; $I21))"),6.232804232804233)</f>
        <v>6.232804233</v>
      </c>
      <c r="AJ21" s="10">
        <f>IFERROR(__xludf.DUMMYFUNCTION("ifna(QUERY($A$2:$G$2000, ""select G where D="" &amp; AJ$1 &amp; "" and E="" &amp; $I21), QUERY($A$2:$G$2000, ""select G where E="" &amp; AJ$1 &amp; "" and D="" &amp; $I21))"),6.272108843537415)</f>
        <v>6.272108844</v>
      </c>
      <c r="AK21" s="10">
        <f>IFERROR(__xludf.DUMMYFUNCTION("ifna(QUERY($A$2:$G$2000, ""select G where D="" &amp; AK$1 &amp; "" and E="" &amp; $I21), QUERY($A$2:$G$2000, ""select G where E="" &amp; AK$1 &amp; "" and D="" &amp; $I21))"),6.315270935960591)</f>
        <v>6.315270936</v>
      </c>
      <c r="AL21" s="10">
        <f>IFERROR(__xludf.DUMMYFUNCTION("ifna(QUERY($A$2:$G$2000, ""select G where D="" &amp; AL$1 &amp; "" and E="" &amp; $I21), QUERY($A$2:$G$2000, ""select G where E="" &amp; AL$1 &amp; "" and D="" &amp; $I21))"),6.355555555555555)</f>
        <v>6.355555556</v>
      </c>
      <c r="AM21" s="10">
        <f>IFERROR(__xludf.DUMMYFUNCTION("ifna(QUERY($A$2:$G$2000, ""select G where D="" &amp; AM$1 &amp; "" and E="" &amp; $I21), QUERY($A$2:$G$2000, ""select G where E="" &amp; AM$1 &amp; "" and D="" &amp; $I21))"),6.399385560675883)</f>
        <v>6.399385561</v>
      </c>
      <c r="AN21" s="10">
        <f>IFERROR(__xludf.DUMMYFUNCTION("ifna(QUERY($A$2:$G$2000, ""select G where D="" &amp; AN$1 &amp; "" and E="" &amp; $I21), QUERY($A$2:$G$2000, ""select G where E="" &amp; AN$1 &amp; "" and D="" &amp; $I21))"),6.440476190476191)</f>
        <v>6.44047619</v>
      </c>
      <c r="AO21" s="10">
        <f>IFERROR(__xludf.DUMMYFUNCTION("ifna(QUERY($A$2:$G$2000, ""select G where D="" &amp; AO$1 &amp; "" and E="" &amp; $I21), QUERY($A$2:$G$2000, ""select G where E="" &amp; AO$1 &amp; "" and D="" &amp; $I21))"),6.484848484848484)</f>
        <v>6.484848485</v>
      </c>
      <c r="AP21" s="10">
        <f>IFERROR(__xludf.DUMMYFUNCTION("ifna(QUERY($A$2:$G$2000, ""select G where D="" &amp; AP$1 &amp; "" and E="" &amp; $I21), QUERY($A$2:$G$2000, ""select G where E="" &amp; AP$1 &amp; "" and D="" &amp; $I21))"),6.526610644257703)</f>
        <v>6.526610644</v>
      </c>
      <c r="AQ21" s="10">
        <f>IFERROR(__xludf.DUMMYFUNCTION("ifna(QUERY($A$2:$G$2000, ""select G where D="" &amp; AQ$1 &amp; "" and E="" &amp; $I21), QUERY($A$2:$G$2000, ""select G where E="" &amp; AQ$1 &amp; "" and D="" &amp; $I21))"),6.568707482993197)</f>
        <v>6.568707483</v>
      </c>
      <c r="AR21" s="10">
        <f>IFERROR(__xludf.DUMMYFUNCTION("ifna(QUERY($A$2:$G$2000, ""select G where D="" &amp; AR$1 &amp; "" and E="" &amp; $I21), QUERY($A$2:$G$2000, ""select G where E="" &amp; AR$1 &amp; "" and D="" &amp; $I21))"),6.608465608465608)</f>
        <v>6.608465608</v>
      </c>
      <c r="AS21" s="10">
        <f>IFERROR(__xludf.DUMMYFUNCTION("ifna(QUERY($A$2:$G$2000, ""select G where D="" &amp; AS$1 &amp; "" and E="" &amp; $I21), QUERY($A$2:$G$2000, ""select G where E="" &amp; AS$1 &amp; "" and D="" &amp; $I21))"),6.646074646074646)</f>
        <v>6.646074646</v>
      </c>
      <c r="AT21" s="10">
        <f>IFERROR(__xludf.DUMMYFUNCTION("ifna(QUERY($A$2:$G$2000, ""select G where D="" &amp; AT$1 &amp; "" and E="" &amp; $I21), QUERY($A$2:$G$2000, ""select G where E="" &amp; AT$1 &amp; "" and D="" &amp; $I21))"),6.681704260651629)</f>
        <v>6.681704261</v>
      </c>
      <c r="AU21" s="10">
        <f>IFERROR(__xludf.DUMMYFUNCTION("ifna(QUERY($A$2:$G$2000, ""select G where D="" &amp; AU$1 &amp; "" and E="" &amp; $I21), QUERY($A$2:$G$2000, ""select G where E="" &amp; AU$1 &amp; "" and D="" &amp; $I21))"),6.713064713064713)</f>
        <v>6.713064713</v>
      </c>
      <c r="AV21" s="10">
        <f>IFERROR(__xludf.DUMMYFUNCTION("ifna(QUERY($A$2:$G$2000, ""select G where D="" &amp; AV$1 &amp; "" and E="" &amp; $I21), QUERY($A$2:$G$2000, ""select G where E="" &amp; AV$1 &amp; "" and D="" &amp; $I21))"),6.742857142857143)</f>
        <v>6.742857143</v>
      </c>
      <c r="AW21" s="10">
        <f>IFERROR(__xludf.DUMMYFUNCTION("ifna(QUERY($A$2:$G$2000, ""select G where D="" &amp; AW$1 &amp; "" and E="" &amp; $I21), QUERY($A$2:$G$2000, ""select G where E="" &amp; AW$1 &amp; "" and D="" &amp; $I21))"),6.768873403019745)</f>
        <v>6.768873403</v>
      </c>
      <c r="AX21" s="10">
        <f>IFERROR(__xludf.DUMMYFUNCTION("ifna(QUERY($A$2:$G$2000, ""select G where D="" &amp; AX$1 &amp; "" and E="" &amp; $I21), QUERY($A$2:$G$2000, ""select G where E="" &amp; AX$1 &amp; "" and D="" &amp; $I21))"),6.7936507936507935)</f>
        <v>6.793650794</v>
      </c>
      <c r="AY21" s="10">
        <f>IFERROR(__xludf.DUMMYFUNCTION("ifna(QUERY($A$2:$G$2000, ""select G where D="" &amp; AY$1 &amp; "" and E="" &amp; $I21), QUERY($A$2:$G$2000, ""select G where E="" &amp; AY$1 &amp; "" and D="" &amp; $I21))"),6.815060908084164)</f>
        <v>6.815060908</v>
      </c>
      <c r="AZ21" s="10">
        <f>IFERROR(__xludf.DUMMYFUNCTION("ifna(QUERY($A$2:$G$2000, ""select G where D="" &amp; AZ$1 &amp; "" and E="" &amp; $I21), QUERY($A$2:$G$2000, ""select G where E="" &amp; AZ$1 &amp; "" and D="" &amp; $I21))"),6.8354978354978355)</f>
        <v>6.835497835</v>
      </c>
      <c r="BA21" s="10">
        <f>IFERROR(__xludf.DUMMYFUNCTION("ifna(QUERY($A$2:$G$2000, ""select G where D="" &amp; BA$1 &amp; "" and E="" &amp; $I21), QUERY($A$2:$G$2000, ""select G where E="" &amp; BA$1 &amp; "" and D="" &amp; $I21))"),6.852910052910053)</f>
        <v>6.852910053</v>
      </c>
      <c r="BB21" s="10">
        <f>IFERROR(__xludf.DUMMYFUNCTION("ifna(QUERY($A$2:$G$2000, ""select G where D="" &amp; BB$1 &amp; "" and E="" &amp; $I21), QUERY($A$2:$G$2000, ""select G where E="" &amp; BB$1 &amp; "" and D="" &amp; $I21))"),6.869565217391305)</f>
        <v>6.869565217</v>
      </c>
      <c r="BC21" s="10">
        <f>IFERROR(__xludf.DUMMYFUNCTION("ifna(QUERY($A$2:$G$2000, ""select G where D="" &amp; BC$1 &amp; "" and E="" &amp; $I21), QUERY($A$2:$G$2000, ""select G where E="" &amp; BC$1 &amp; "" and D="" &amp; $I21))"),6.883485309017224)</f>
        <v>6.883485309</v>
      </c>
      <c r="BD21" s="10">
        <f>IFERROR(__xludf.DUMMYFUNCTION("ifna(QUERY($A$2:$G$2000, ""select G where D="" &amp; BD$1 &amp; "" and E="" &amp; $I21), QUERY($A$2:$G$2000, ""select G where E="" &amp; BD$1 &amp; "" and D="" &amp; $I21))"),6.898809523809524)</f>
        <v>6.898809524</v>
      </c>
      <c r="BE21" s="10">
        <f>IFERROR(__xludf.DUMMYFUNCTION("ifna(QUERY($A$2:$G$2000, ""select G where D="" &amp; BE$1 &amp; "" and E="" &amp; $I21), QUERY($A$2:$G$2000, ""select G where E="" &amp; BE$1 &amp; "" and D="" &amp; $I21))"),6.9173955296404275)</f>
        <v>6.91739553</v>
      </c>
      <c r="BF21" s="10">
        <f>IFERROR(__xludf.DUMMYFUNCTION("ifna(QUERY($A$2:$G$2000, ""select G where D="" &amp; BF$1 &amp; "" and E="" &amp; $I21), QUERY($A$2:$G$2000, ""select G where E="" &amp; BF$1 &amp; "" and D="" &amp; $I21))"),6.937142857142857)</f>
        <v>6.937142857</v>
      </c>
      <c r="BG21" s="10">
        <f>IFERROR(__xludf.DUMMYFUNCTION("ifna(QUERY($A$2:$G$2000, ""select G where D="" &amp; BG$1 &amp; "" and E="" &amp; $I21), QUERY($A$2:$G$2000, ""select G where E="" &amp; BG$1 &amp; "" and D="" &amp; $I21))"),6.979458450046685)</f>
        <v>6.97945845</v>
      </c>
      <c r="BH21" s="10">
        <f>IFERROR(__xludf.DUMMYFUNCTION("ifna(QUERY($A$2:$G$2000, ""select G where D="" &amp; BH$1 &amp; "" and E="" &amp; $I21), QUERY($A$2:$G$2000, ""select G where E="" &amp; BH$1 &amp; "" and D="" &amp; $I21))"),6.998168498168498)</f>
        <v>6.998168498</v>
      </c>
      <c r="BI21" s="10">
        <f>IFERROR(__xludf.DUMMYFUNCTION("ifna(QUERY($A$2:$G$2000, ""select G where D="" &amp; BI$1 &amp; "" and E="" &amp; $I21), QUERY($A$2:$G$2000, ""select G where E="" &amp; BI$1 &amp; "" and D="" &amp; $I21))"),7.003593890386343)</f>
        <v>7.00359389</v>
      </c>
      <c r="BJ21" s="10">
        <f>IFERROR(__xludf.DUMMYFUNCTION("ifna(QUERY($A$2:$G$2000, ""select G where D="" &amp; BJ$1 &amp; "" and E="" &amp; $I21), QUERY($A$2:$G$2000, ""select G where E="" &amp; BJ$1 &amp; "" and D="" &amp; $I21))"),7.00705467372134)</f>
        <v>7.007054674</v>
      </c>
      <c r="BK21" s="10">
        <f>IFERROR(__xludf.DUMMYFUNCTION("ifna(QUERY($A$2:$G$2000, ""select G where D="" &amp; BK$1 &amp; "" and E="" &amp; $I21), QUERY($A$2:$G$2000, ""select G where E="" &amp; BK$1 &amp; "" and D="" &amp; $I21))"),7.013852813852814)</f>
        <v>7.013852814</v>
      </c>
      <c r="BL21" s="10"/>
      <c r="BM21" s="10"/>
      <c r="BN21" s="10"/>
      <c r="BO21" s="10"/>
    </row>
    <row r="22">
      <c r="A22" s="3">
        <v>4.0</v>
      </c>
      <c r="B22" s="3">
        <v>23.0</v>
      </c>
      <c r="C22" s="3">
        <v>35.0</v>
      </c>
      <c r="D22" s="3">
        <v>6.0</v>
      </c>
      <c r="E22" s="3">
        <v>4.0</v>
      </c>
      <c r="F22" s="11">
        <f t="shared" si="1"/>
        <v>0.6571428571</v>
      </c>
      <c r="G22" s="5">
        <f t="shared" si="2"/>
        <v>3.342857143</v>
      </c>
      <c r="H22" s="3">
        <v>22.0</v>
      </c>
      <c r="I22" s="2">
        <v>21.0</v>
      </c>
      <c r="J22" s="10">
        <f>IFERROR(__xludf.DUMMYFUNCTION("ifna(QUERY($A$2:$G$2000, ""select G where D="" &amp; J$1 &amp; "" and E="" &amp; $I22), QUERY($A$2:$G$2000, ""select G where E="" &amp; J$1 &amp; "" and D="" &amp; $I22))"),4.454545454545455)</f>
        <v>4.454545455</v>
      </c>
      <c r="K22" s="10">
        <f>IFERROR(__xludf.DUMMYFUNCTION("ifna(QUERY($A$2:$G$2000, ""select G where D="" &amp; K$1 &amp; "" and E="" &amp; $I22), QUERY($A$2:$G$2000, ""select G where E="" &amp; K$1 &amp; "" and D="" &amp; $I22))"),4.515151515151516)</f>
        <v>4.515151515</v>
      </c>
      <c r="L22" s="10">
        <f>IFERROR(__xludf.DUMMYFUNCTION("ifna(QUERY($A$2:$G$2000, ""select G where D="" &amp; L$1 &amp; "" and E="" &amp; $I22), QUERY($A$2:$G$2000, ""select G where E="" &amp; L$1 &amp; "" and D="" &amp; $I22))"),4.681818181818182)</f>
        <v>4.681818182</v>
      </c>
      <c r="M22" s="10">
        <f>IFERROR(__xludf.DUMMYFUNCTION("ifna(QUERY($A$2:$G$2000, ""select G where D="" &amp; M$1 &amp; "" and E="" &amp; $I22), QUERY($A$2:$G$2000, ""select G where E="" &amp; M$1 &amp; "" and D="" &amp; $I22))"),4.836363636363636)</f>
        <v>4.836363636</v>
      </c>
      <c r="N22" s="10">
        <f>IFERROR(__xludf.DUMMYFUNCTION("ifna(QUERY($A$2:$G$2000, ""select G where D="" &amp; N$1 &amp; "" and E="" &amp; $I22), QUERY($A$2:$G$2000, ""select G where E="" &amp; N$1 &amp; "" and D="" &amp; $I22))"),4.9393939393939394)</f>
        <v>4.939393939</v>
      </c>
      <c r="O22" s="10">
        <f>IFERROR(__xludf.DUMMYFUNCTION("ifna(QUERY($A$2:$G$2000, ""select G where D="" &amp; O$1 &amp; "" and E="" &amp; $I22), QUERY($A$2:$G$2000, ""select G where E="" &amp; O$1 &amp; "" and D="" &amp; $I22))"),5.051948051948052)</f>
        <v>5.051948052</v>
      </c>
      <c r="P22" s="10">
        <f>IFERROR(__xludf.DUMMYFUNCTION("ifna(QUERY($A$2:$G$2000, ""select G where D="" &amp; P$1 &amp; "" and E="" &amp; $I22), QUERY($A$2:$G$2000, ""select G where E="" &amp; P$1 &amp; "" and D="" &amp; $I22))"),5.136363636363637)</f>
        <v>5.136363636</v>
      </c>
      <c r="Q22" s="10">
        <f>IFERROR(__xludf.DUMMYFUNCTION("ifna(QUERY($A$2:$G$2000, ""select G where D="" &amp; Q$1 &amp; "" and E="" &amp; $I22), QUERY($A$2:$G$2000, ""select G where E="" &amp; Q$1 &amp; "" and D="" &amp; $I22))"),5.242424242424242)</f>
        <v>5.242424242</v>
      </c>
      <c r="R22" s="10">
        <f>IFERROR(__xludf.DUMMYFUNCTION("ifna(QUERY($A$2:$G$2000, ""select G where D="" &amp; R$1 &amp; "" and E="" &amp; $I22), QUERY($A$2:$G$2000, ""select G where E="" &amp; R$1 &amp; "" and D="" &amp; $I22))"),5.345454545454546)</f>
        <v>5.345454545</v>
      </c>
      <c r="S22" s="10">
        <f>IFERROR(__xludf.DUMMYFUNCTION("ifna(QUERY($A$2:$G$2000, ""select G where D="" &amp; S$1 &amp; "" and E="" &amp; $I22), QUERY($A$2:$G$2000, ""select G where E="" &amp; S$1 &amp; "" and D="" &amp; $I22))"),5.462809917355372)</f>
        <v>5.462809917</v>
      </c>
      <c r="T22" s="10">
        <f>IFERROR(__xludf.DUMMYFUNCTION("ifna(QUERY($A$2:$G$2000, ""select G where D="" &amp; T$1 &amp; "" and E="" &amp; $I22), QUERY($A$2:$G$2000, ""select G where E="" &amp; T$1 &amp; "" and D="" &amp; $I22))"),5.575757575757576)</f>
        <v>5.575757576</v>
      </c>
      <c r="U22" s="10">
        <f>IFERROR(__xludf.DUMMYFUNCTION("ifna(QUERY($A$2:$G$2000, ""select G where D="" &amp; U$1 &amp; "" and E="" &amp; $I22), QUERY($A$2:$G$2000, ""select G where E="" &amp; U$1 &amp; "" and D="" &amp; $I22))"),5.671328671328672)</f>
        <v>5.671328671</v>
      </c>
      <c r="V22" s="10">
        <f>IFERROR(__xludf.DUMMYFUNCTION("ifna(QUERY($A$2:$G$2000, ""select G where D="" &amp; V$1 &amp; "" and E="" &amp; $I22), QUERY($A$2:$G$2000, ""select G where E="" &amp; V$1 &amp; "" and D="" &amp; $I22))"),5.753246753246753)</f>
        <v>5.753246753</v>
      </c>
      <c r="W22" s="10">
        <f>IFERROR(__xludf.DUMMYFUNCTION("ifna(QUERY($A$2:$G$2000, ""select G where D="" &amp; W$1 &amp; "" and E="" &amp; $I22), QUERY($A$2:$G$2000, ""select G where E="" &amp; W$1 &amp; "" and D="" &amp; $I22))"),5.8121212121212125)</f>
        <v>5.812121212</v>
      </c>
      <c r="X22" s="10">
        <f>IFERROR(__xludf.DUMMYFUNCTION("ifna(QUERY($A$2:$G$2000, ""select G where D="" &amp; X$1 &amp; "" and E="" &amp; $I22), QUERY($A$2:$G$2000, ""select G where E="" &amp; X$1 &amp; "" and D="" &amp; $I22))"),5.863636363636363)</f>
        <v>5.863636364</v>
      </c>
      <c r="Y22" s="10">
        <f>IFERROR(__xludf.DUMMYFUNCTION("ifna(QUERY($A$2:$G$2000, ""select G where D="" &amp; Y$1 &amp; "" and E="" &amp; $I22), QUERY($A$2:$G$2000, ""select G where E="" &amp; Y$1 &amp; "" and D="" &amp; $I22))"),5.898395721925134)</f>
        <v>5.898395722</v>
      </c>
      <c r="Z22" s="10">
        <f>IFERROR(__xludf.DUMMYFUNCTION("ifna(QUERY($A$2:$G$2000, ""select G where D="" &amp; Z$1 &amp; "" and E="" &amp; $I22), QUERY($A$2:$G$2000, ""select G where E="" &amp; Z$1 &amp; "" and D="" &amp; $I22))"),5.96969696969697)</f>
        <v>5.96969697</v>
      </c>
      <c r="AA22" s="10">
        <f>IFERROR(__xludf.DUMMYFUNCTION("ifna(QUERY($A$2:$G$2000, ""select G where D="" &amp; AA$1 &amp; "" and E="" &amp; $I22), QUERY($A$2:$G$2000, ""select G where E="" &amp; AA$1 &amp; "" and D="" &amp; $I22))"),6.009569377990431)</f>
        <v>6.009569378</v>
      </c>
      <c r="AB22" s="10">
        <f>IFERROR(__xludf.DUMMYFUNCTION("ifna(QUERY($A$2:$G$2000, ""select G where D="" &amp; AB$1 &amp; "" and E="" &amp; $I22), QUERY($A$2:$G$2000, ""select G where E="" &amp; AB$1 &amp; "" and D="" &amp; $I22))"),6.027272727272727)</f>
        <v>6.027272727</v>
      </c>
      <c r="AC22" s="10">
        <f>IFERROR(__xludf.DUMMYFUNCTION("ifna(QUERY($A$2:$G$2000, ""select G where D="" &amp; AC$1 &amp; "" and E="" &amp; $I22), QUERY($A$2:$G$2000, ""select G where E="" &amp; AC$1 &amp; "" and D="" &amp; $I22))"),6.051948051948052)</f>
        <v>6.051948052</v>
      </c>
      <c r="AD22" s="10">
        <f>IFERROR(__xludf.DUMMYFUNCTION("ifna(QUERY($A$2:$G$2000, ""select G where D="" &amp; AD$1 &amp; "" and E="" &amp; $I22), QUERY($A$2:$G$2000, ""select G where E="" &amp; AD$1 &amp; "" and D="" &amp; $I22))"),6.082644628099174)</f>
        <v>6.082644628</v>
      </c>
      <c r="AE22" s="10">
        <f>IFERROR(__xludf.DUMMYFUNCTION("ifna(QUERY($A$2:$G$2000, ""select G where D="" &amp; AE$1 &amp; "" and E="" &amp; $I22), QUERY($A$2:$G$2000, ""select G where E="" &amp; AE$1 &amp; "" and D="" &amp; $I22))"),6.118577075098814)</f>
        <v>6.118577075</v>
      </c>
      <c r="AF22" s="10">
        <f>IFERROR(__xludf.DUMMYFUNCTION("ifna(QUERY($A$2:$G$2000, ""select G where D="" &amp; AF$1 &amp; "" and E="" &amp; $I22), QUERY($A$2:$G$2000, ""select G where E="" &amp; AF$1 &amp; "" and D="" &amp; $I22))"),6.159090909090909)</f>
        <v>6.159090909</v>
      </c>
      <c r="AG22" s="10">
        <f>IFERROR(__xludf.DUMMYFUNCTION("ifna(QUERY($A$2:$G$2000, ""select G where D="" &amp; AG$1 &amp; "" and E="" &amp; $I22), QUERY($A$2:$G$2000, ""select G where E="" &amp; AG$1 &amp; "" and D="" &amp; $I22))"),6.196363636363636)</f>
        <v>6.196363636</v>
      </c>
      <c r="AH22" s="10">
        <f>IFERROR(__xludf.DUMMYFUNCTION("ifna(QUERY($A$2:$G$2000, ""select G where D="" &amp; AH$1 &amp; "" and E="" &amp; $I22), QUERY($A$2:$G$2000, ""select G where E="" &amp; AH$1 &amp; "" and D="" &amp; $I22))"),6.2377622377622375)</f>
        <v>6.237762238</v>
      </c>
      <c r="AI22" s="10">
        <f>IFERROR(__xludf.DUMMYFUNCTION("ifna(QUERY($A$2:$G$2000, ""select G where D="" &amp; AI$1 &amp; "" and E="" &amp; $I22), QUERY($A$2:$G$2000, ""select G where E="" &amp; AI$1 &amp; "" and D="" &amp; $I22))"),6.282828282828283)</f>
        <v>6.282828283</v>
      </c>
      <c r="AJ22" s="10">
        <f>IFERROR(__xludf.DUMMYFUNCTION("ifna(QUERY($A$2:$G$2000, ""select G where D="" &amp; AJ$1 &amp; "" and E="" &amp; $I22), QUERY($A$2:$G$2000, ""select G where E="" &amp; AJ$1 &amp; "" and D="" &amp; $I22))"),6.324675324675325)</f>
        <v>6.324675325</v>
      </c>
      <c r="AK22" s="10">
        <f>IFERROR(__xludf.DUMMYFUNCTION("ifna(QUERY($A$2:$G$2000, ""select G where D="" &amp; AK$1 &amp; "" and E="" &amp; $I22), QUERY($A$2:$G$2000, ""select G where E="" &amp; AK$1 &amp; "" and D="" &amp; $I22))"),6.369905956112853)</f>
        <v>6.369905956</v>
      </c>
      <c r="AL22" s="10">
        <f>IFERROR(__xludf.DUMMYFUNCTION("ifna(QUERY($A$2:$G$2000, ""select G where D="" &amp; AL$1 &amp; "" and E="" &amp; $I22), QUERY($A$2:$G$2000, ""select G where E="" &amp; AL$1 &amp; "" and D="" &amp; $I22))"),6.412121212121212)</f>
        <v>6.412121212</v>
      </c>
      <c r="AM22" s="10">
        <f>IFERROR(__xludf.DUMMYFUNCTION("ifna(QUERY($A$2:$G$2000, ""select G where D="" &amp; AM$1 &amp; "" and E="" &amp; $I22), QUERY($A$2:$G$2000, ""select G where E="" &amp; AM$1 &amp; "" and D="" &amp; $I22))"),6.457478005865102)</f>
        <v>6.457478006</v>
      </c>
      <c r="AN22" s="10">
        <f>IFERROR(__xludf.DUMMYFUNCTION("ifna(QUERY($A$2:$G$2000, ""select G where D="" &amp; AN$1 &amp; "" and E="" &amp; $I22), QUERY($A$2:$G$2000, ""select G where E="" &amp; AN$1 &amp; "" and D="" &amp; $I22))"),6.5)</f>
        <v>6.5</v>
      </c>
      <c r="AO22" s="10">
        <f>IFERROR(__xludf.DUMMYFUNCTION("ifna(QUERY($A$2:$G$2000, ""select G where D="" &amp; AO$1 &amp; "" and E="" &amp; $I22), QUERY($A$2:$G$2000, ""select G where E="" &amp; AO$1 &amp; "" and D="" &amp; $I22))"),6.545454545454546)</f>
        <v>6.545454545</v>
      </c>
      <c r="AP22" s="10">
        <f>IFERROR(__xludf.DUMMYFUNCTION("ifna(QUERY($A$2:$G$2000, ""select G where D="" &amp; AP$1 &amp; "" and E="" &amp; $I22), QUERY($A$2:$G$2000, ""select G where E="" &amp; AP$1 &amp; "" and D="" &amp; $I22))"),6.588235294117647)</f>
        <v>6.588235294</v>
      </c>
      <c r="AQ22" s="10">
        <f>IFERROR(__xludf.DUMMYFUNCTION("ifna(QUERY($A$2:$G$2000, ""select G where D="" &amp; AQ$1 &amp; "" and E="" &amp; $I22), QUERY($A$2:$G$2000, ""select G where E="" &amp; AQ$1 &amp; "" and D="" &amp; $I22))"),6.628571428571428)</f>
        <v>6.628571429</v>
      </c>
      <c r="AR22" s="10">
        <f>IFERROR(__xludf.DUMMYFUNCTION("ifna(QUERY($A$2:$G$2000, ""select G where D="" &amp; AR$1 &amp; "" and E="" &amp; $I22), QUERY($A$2:$G$2000, ""select G where E="" &amp; AR$1 &amp; "" and D="" &amp; $I22))"),6.666666666666667)</f>
        <v>6.666666667</v>
      </c>
      <c r="AS22" s="10">
        <f>IFERROR(__xludf.DUMMYFUNCTION("ifna(QUERY($A$2:$G$2000, ""select G where D="" &amp; AS$1 &amp; "" and E="" &amp; $I22), QUERY($A$2:$G$2000, ""select G where E="" &amp; AS$1 &amp; "" and D="" &amp; $I22))"),6.7002457002457)</f>
        <v>6.7002457</v>
      </c>
      <c r="AT22" s="10">
        <f>IFERROR(__xludf.DUMMYFUNCTION("ifna(QUERY($A$2:$G$2000, ""select G where D="" &amp; AT$1 &amp; "" and E="" &amp; $I22), QUERY($A$2:$G$2000, ""select G where E="" &amp; AT$1 &amp; "" and D="" &amp; $I22))"),6.732057416267943)</f>
        <v>6.732057416</v>
      </c>
      <c r="AU22" s="10">
        <f>IFERROR(__xludf.DUMMYFUNCTION("ifna(QUERY($A$2:$G$2000, ""select G where D="" &amp; AU$1 &amp; "" and E="" &amp; $I22), QUERY($A$2:$G$2000, ""select G where E="" &amp; AU$1 &amp; "" and D="" &amp; $I22))"),6.75990675990676)</f>
        <v>6.75990676</v>
      </c>
      <c r="AV22" s="10">
        <f>IFERROR(__xludf.DUMMYFUNCTION("ifna(QUERY($A$2:$G$2000, ""select G where D="" &amp; AV$1 &amp; "" and E="" &amp; $I22), QUERY($A$2:$G$2000, ""select G where E="" &amp; AV$1 &amp; "" and D="" &amp; $I22))"),6.786363636363636)</f>
        <v>6.786363636</v>
      </c>
      <c r="AW22" s="10">
        <f>IFERROR(__xludf.DUMMYFUNCTION("ifna(QUERY($A$2:$G$2000, ""select G where D="" &amp; AW$1 &amp; "" and E="" &amp; $I22), QUERY($A$2:$G$2000, ""select G where E="" &amp; AW$1 &amp; "" and D="" &amp; $I22))"),6.8093126385809315)</f>
        <v>6.809312639</v>
      </c>
      <c r="AX22" s="10">
        <f>IFERROR(__xludf.DUMMYFUNCTION("ifna(QUERY($A$2:$G$2000, ""select G where D="" &amp; AX$1 &amp; "" and E="" &amp; $I22), QUERY($A$2:$G$2000, ""select G where E="" &amp; AX$1 &amp; "" and D="" &amp; $I22))"),6.8311688311688314)</f>
        <v>6.831168831</v>
      </c>
      <c r="AY22" s="10">
        <f>IFERROR(__xludf.DUMMYFUNCTION("ifna(QUERY($A$2:$G$2000, ""select G where D="" &amp; AY$1 &amp; "" and E="" &amp; $I22), QUERY($A$2:$G$2000, ""select G where E="" &amp; AY$1 &amp; "" and D="" &amp; $I22))"),6.849894291754757)</f>
        <v>6.849894292</v>
      </c>
      <c r="AZ22" s="10">
        <f>IFERROR(__xludf.DUMMYFUNCTION("ifna(QUERY($A$2:$G$2000, ""select G where D="" &amp; AZ$1 &amp; "" and E="" &amp; $I22), QUERY($A$2:$G$2000, ""select G where E="" &amp; AZ$1 &amp; "" and D="" &amp; $I22))"),6.867768595041323)</f>
        <v>6.867768595</v>
      </c>
      <c r="BA22" s="10">
        <f>IFERROR(__xludf.DUMMYFUNCTION("ifna(QUERY($A$2:$G$2000, ""select G where D="" &amp; BA$1 &amp; "" and E="" &amp; $I22), QUERY($A$2:$G$2000, ""select G where E="" &amp; BA$1 &amp; "" and D="" &amp; $I22))"),6.8828282828282825)</f>
        <v>6.882828283</v>
      </c>
      <c r="BB22" s="10">
        <f>IFERROR(__xludf.DUMMYFUNCTION("ifna(QUERY($A$2:$G$2000, ""select G where D="" &amp; BB$1 &amp; "" and E="" &amp; $I22), QUERY($A$2:$G$2000, ""select G where E="" &amp; BB$1 &amp; "" and D="" &amp; $I22))"),6.897233201581027)</f>
        <v>6.897233202</v>
      </c>
      <c r="BC22" s="10">
        <f>IFERROR(__xludf.DUMMYFUNCTION("ifna(QUERY($A$2:$G$2000, ""select G where D="" &amp; BC$1 &amp; "" and E="" &amp; $I22), QUERY($A$2:$G$2000, ""select G where E="" &amp; BC$1 &amp; "" and D="" &amp; $I22))"),6.916827852998066)</f>
        <v>6.916827853</v>
      </c>
      <c r="BD22" s="10">
        <f>IFERROR(__xludf.DUMMYFUNCTION("ifna(QUERY($A$2:$G$2000, ""select G where D="" &amp; BD$1 &amp; "" and E="" &amp; $I22), QUERY($A$2:$G$2000, ""select G where E="" &amp; BD$1 &amp; "" and D="" &amp; $I22))"),6.933712121212121)</f>
        <v>6.933712121</v>
      </c>
      <c r="BE22" s="10">
        <f>IFERROR(__xludf.DUMMYFUNCTION("ifna(QUERY($A$2:$G$2000, ""select G where D="" &amp; BE$1 &amp; "" and E="" &amp; $I22), QUERY($A$2:$G$2000, ""select G where E="" &amp; BE$1 &amp; "" and D="" &amp; $I22))"),6.970315398886828)</f>
        <v>6.970315399</v>
      </c>
      <c r="BF22" s="10">
        <f>IFERROR(__xludf.DUMMYFUNCTION("ifna(QUERY($A$2:$G$2000, ""select G where D="" &amp; BF$1 &amp; "" and E="" &amp; $I22), QUERY($A$2:$G$2000, ""select G where E="" &amp; BF$1 &amp; "" and D="" &amp; $I22))"),6.998181818181818)</f>
        <v>6.998181818</v>
      </c>
      <c r="BG22" s="10">
        <f>IFERROR(__xludf.DUMMYFUNCTION("ifna(QUERY($A$2:$G$2000, ""select G where D="" &amp; BG$1 &amp; "" and E="" &amp; $I22), QUERY($A$2:$G$2000, ""select G where E="" &amp; BG$1 &amp; "" and D="" &amp; $I22))"),7.003565062388592)</f>
        <v>7.003565062</v>
      </c>
      <c r="BH22" s="10">
        <f>IFERROR(__xludf.DUMMYFUNCTION("ifna(QUERY($A$2:$G$2000, ""select G where D="" &amp; BH$1 &amp; "" and E="" &amp; $I22), QUERY($A$2:$G$2000, ""select G where E="" &amp; BH$1 &amp; "" and D="" &amp; $I22))"),7.006993006993007)</f>
        <v>7.006993007</v>
      </c>
      <c r="BI22" s="10">
        <f>IFERROR(__xludf.DUMMYFUNCTION("ifna(QUERY($A$2:$G$2000, ""select G where D="" &amp; BI$1 &amp; "" and E="" &amp; $I22), QUERY($A$2:$G$2000, ""select G where E="" &amp; BI$1 &amp; "" and D="" &amp; $I22))"),7.013722126929674)</f>
        <v>7.013722127</v>
      </c>
      <c r="BJ22" s="10">
        <f>IFERROR(__xludf.DUMMYFUNCTION("ifna(QUERY($A$2:$G$2000, ""select G where D="" &amp; BJ$1 &amp; "" and E="" &amp; $I22), QUERY($A$2:$G$2000, ""select G where E="" &amp; BJ$1 &amp; "" and D="" &amp; $I22))"),7.02020202020202)</f>
        <v>7.02020202</v>
      </c>
      <c r="BK22" s="10">
        <f>IFERROR(__xludf.DUMMYFUNCTION("ifna(QUERY($A$2:$G$2000, ""select G where D="" &amp; BK$1 &amp; "" and E="" &amp; $I22), QUERY($A$2:$G$2000, ""select G where E="" &amp; BK$1 &amp; "" and D="" &amp; $I22))"),7.0297520661157025)</f>
        <v>7.029752066</v>
      </c>
      <c r="BL22" s="10"/>
      <c r="BM22" s="10"/>
      <c r="BN22" s="10"/>
      <c r="BO22" s="10"/>
    </row>
    <row r="23">
      <c r="A23" s="3">
        <v>4.0</v>
      </c>
      <c r="B23" s="3">
        <v>18.0</v>
      </c>
      <c r="C23" s="3">
        <v>42.0</v>
      </c>
      <c r="D23" s="3">
        <v>6.0</v>
      </c>
      <c r="E23" s="3">
        <v>5.0</v>
      </c>
      <c r="F23" s="11">
        <f t="shared" si="1"/>
        <v>0.4285714286</v>
      </c>
      <c r="G23" s="5">
        <f t="shared" si="2"/>
        <v>3.571428571</v>
      </c>
      <c r="H23" s="3">
        <v>23.0</v>
      </c>
      <c r="I23" s="2">
        <v>22.0</v>
      </c>
      <c r="J23" s="10">
        <f>IFERROR(__xludf.DUMMYFUNCTION("ifna(QUERY($A$2:$G$2000, ""select G where D="" &amp; J$1 &amp; "" and E="" &amp; $I23), QUERY($A$2:$G$2000, ""select G where E="" &amp; J$1 &amp; "" and D="" &amp; $I23))"),4.521739130434782)</f>
        <v>4.52173913</v>
      </c>
      <c r="K23" s="10">
        <f>IFERROR(__xludf.DUMMYFUNCTION("ifna(QUERY($A$2:$G$2000, ""select G where D="" &amp; K$1 &amp; "" and E="" &amp; $I23), QUERY($A$2:$G$2000, ""select G where E="" &amp; K$1 &amp; "" and D="" &amp; $I23))"),4.579710144927536)</f>
        <v>4.579710145</v>
      </c>
      <c r="L23" s="10">
        <f>IFERROR(__xludf.DUMMYFUNCTION("ifna(QUERY($A$2:$G$2000, ""select G where D="" &amp; L$1 &amp; "" and E="" &amp; $I23), QUERY($A$2:$G$2000, ""select G where E="" &amp; L$1 &amp; "" and D="" &amp; $I23))"),4.739130434782608)</f>
        <v>4.739130435</v>
      </c>
      <c r="M23" s="10">
        <f>IFERROR(__xludf.DUMMYFUNCTION("ifna(QUERY($A$2:$G$2000, ""select G where D="" &amp; M$1 &amp; "" and E="" &amp; $I23), QUERY($A$2:$G$2000, ""select G where E="" &amp; M$1 &amp; "" and D="" &amp; $I23))"),4.869565217391305)</f>
        <v>4.869565217</v>
      </c>
      <c r="N23" s="10">
        <f>IFERROR(__xludf.DUMMYFUNCTION("ifna(QUERY($A$2:$G$2000, ""select G where D="" &amp; N$1 &amp; "" and E="" &amp; $I23), QUERY($A$2:$G$2000, ""select G where E="" &amp; N$1 &amp; "" and D="" &amp; $I23))"),4.956521739130435)</f>
        <v>4.956521739</v>
      </c>
      <c r="O23" s="10">
        <f>IFERROR(__xludf.DUMMYFUNCTION("ifna(QUERY($A$2:$G$2000, ""select G where D="" &amp; O$1 &amp; "" and E="" &amp; $I23), QUERY($A$2:$G$2000, ""select G where E="" &amp; O$1 &amp; "" and D="" &amp; $I23))"),5.074534161490683)</f>
        <v>5.074534161</v>
      </c>
      <c r="P23" s="10">
        <f>IFERROR(__xludf.DUMMYFUNCTION("ifna(QUERY($A$2:$G$2000, ""select G where D="" &amp; P$1 &amp; "" and E="" &amp; $I23), QUERY($A$2:$G$2000, ""select G where E="" &amp; P$1 &amp; "" and D="" &amp; $I23))"),5.173913043478261)</f>
        <v>5.173913043</v>
      </c>
      <c r="Q23" s="10">
        <f>IFERROR(__xludf.DUMMYFUNCTION("ifna(QUERY($A$2:$G$2000, ""select G where D="" &amp; Q$1 &amp; "" and E="" &amp; $I23), QUERY($A$2:$G$2000, ""select G where E="" &amp; Q$1 &amp; "" and D="" &amp; $I23))"),5.289855072463768)</f>
        <v>5.289855072</v>
      </c>
      <c r="R23" s="10">
        <f>IFERROR(__xludf.DUMMYFUNCTION("ifna(QUERY($A$2:$G$2000, ""select G where D="" &amp; R$1 &amp; "" and E="" &amp; $I23), QUERY($A$2:$G$2000, ""select G where E="" &amp; R$1 &amp; "" and D="" &amp; $I23))"),5.4)</f>
        <v>5.4</v>
      </c>
      <c r="S23" s="10">
        <f>IFERROR(__xludf.DUMMYFUNCTION("ifna(QUERY($A$2:$G$2000, ""select G where D="" &amp; S$1 &amp; "" and E="" &amp; $I23), QUERY($A$2:$G$2000, ""select G where E="" &amp; S$1 &amp; "" and D="" &amp; $I23))"),5.521739130434782)</f>
        <v>5.52173913</v>
      </c>
      <c r="T23" s="10">
        <f>IFERROR(__xludf.DUMMYFUNCTION("ifna(QUERY($A$2:$G$2000, ""select G where D="" &amp; T$1 &amp; "" and E="" &amp; $I23), QUERY($A$2:$G$2000, ""select G where E="" &amp; T$1 &amp; "" and D="" &amp; $I23))"),5.63768115942029)</f>
        <v>5.637681159</v>
      </c>
      <c r="U23" s="10">
        <f>IFERROR(__xludf.DUMMYFUNCTION("ifna(QUERY($A$2:$G$2000, ""select G where D="" &amp; U$1 &amp; "" and E="" &amp; $I23), QUERY($A$2:$G$2000, ""select G where E="" &amp; U$1 &amp; "" and D="" &amp; $I23))"),5.722408026755853)</f>
        <v>5.722408027</v>
      </c>
      <c r="V23" s="10">
        <f>IFERROR(__xludf.DUMMYFUNCTION("ifna(QUERY($A$2:$G$2000, ""select G where D="" &amp; V$1 &amp; "" and E="" &amp; $I23), QUERY($A$2:$G$2000, ""select G where E="" &amp; V$1 &amp; "" and D="" &amp; $I23))"),5.795031055900621)</f>
        <v>5.795031056</v>
      </c>
      <c r="W23" s="10">
        <f>IFERROR(__xludf.DUMMYFUNCTION("ifna(QUERY($A$2:$G$2000, ""select G where D="" &amp; W$1 &amp; "" and E="" &amp; $I23), QUERY($A$2:$G$2000, ""select G where E="" &amp; W$1 &amp; "" and D="" &amp; $I23))"),5.846376811594203)</f>
        <v>5.846376812</v>
      </c>
      <c r="X23" s="10">
        <f>IFERROR(__xludf.DUMMYFUNCTION("ifna(QUERY($A$2:$G$2000, ""select G where D="" &amp; X$1 &amp; "" and E="" &amp; $I23), QUERY($A$2:$G$2000, ""select G where E="" &amp; X$1 &amp; "" and D="" &amp; $I23))"),5.891304347826087)</f>
        <v>5.891304348</v>
      </c>
      <c r="Y23" s="10">
        <f>IFERROR(__xludf.DUMMYFUNCTION("ifna(QUERY($A$2:$G$2000, ""select G where D="" &amp; Y$1 &amp; "" and E="" &amp; $I23), QUERY($A$2:$G$2000, ""select G where E="" &amp; Y$1 &amp; "" and D="" &amp; $I23))"),5.9411764705882355)</f>
        <v>5.941176471</v>
      </c>
      <c r="Z23" s="10">
        <f>IFERROR(__xludf.DUMMYFUNCTION("ifna(QUERY($A$2:$G$2000, ""select G where D="" &amp; Z$1 &amp; "" and E="" &amp; $I23), QUERY($A$2:$G$2000, ""select G where E="" &amp; Z$1 &amp; "" and D="" &amp; $I23))"),6.009661835748792)</f>
        <v>6.009661836</v>
      </c>
      <c r="AA23" s="10">
        <f>IFERROR(__xludf.DUMMYFUNCTION("ifna(QUERY($A$2:$G$2000, ""select G where D="" &amp; AA$1 &amp; "" and E="" &amp; $I23), QUERY($A$2:$G$2000, ""select G where E="" &amp; AA$1 &amp; "" and D="" &amp; $I23))"),6.02745995423341)</f>
        <v>6.027459954</v>
      </c>
      <c r="AB23" s="10">
        <f>IFERROR(__xludf.DUMMYFUNCTION("ifna(QUERY($A$2:$G$2000, ""select G where D="" &amp; AB$1 &amp; "" and E="" &amp; $I23), QUERY($A$2:$G$2000, ""select G where E="" &amp; AB$1 &amp; "" and D="" &amp; $I23))"),6.052173913043478)</f>
        <v>6.052173913</v>
      </c>
      <c r="AC23" s="10">
        <f>IFERROR(__xludf.DUMMYFUNCTION("ifna(QUERY($A$2:$G$2000, ""select G where D="" &amp; AC$1 &amp; "" and E="" &amp; $I23), QUERY($A$2:$G$2000, ""select G where E="" &amp; AC$1 &amp; "" and D="" &amp; $I23))"),6.082815734989648)</f>
        <v>6.082815735</v>
      </c>
      <c r="AD23" s="10">
        <f>IFERROR(__xludf.DUMMYFUNCTION("ifna(QUERY($A$2:$G$2000, ""select G where D="" &amp; AD$1 &amp; "" and E="" &amp; $I23), QUERY($A$2:$G$2000, ""select G where E="" &amp; AD$1 &amp; "" and D="" &amp; $I23))"),6.118577075098814)</f>
        <v>6.118577075</v>
      </c>
      <c r="AE23" s="10">
        <f>IFERROR(__xludf.DUMMYFUNCTION("ifna(QUERY($A$2:$G$2000, ""select G where D="" &amp; AE$1 &amp; "" and E="" &amp; $I23), QUERY($A$2:$G$2000, ""select G where E="" &amp; AE$1 &amp; "" and D="" &amp; $I23))"),6.158790170132325)</f>
        <v>6.15879017</v>
      </c>
      <c r="AF23" s="10">
        <f>IFERROR(__xludf.DUMMYFUNCTION("ifna(QUERY($A$2:$G$2000, ""select G where D="" &amp; AF$1 &amp; "" and E="" &amp; $I23), QUERY($A$2:$G$2000, ""select G where E="" &amp; AF$1 &amp; "" and D="" &amp; $I23))"),6.202898550724638)</f>
        <v>6.202898551</v>
      </c>
      <c r="AG23" s="10">
        <f>IFERROR(__xludf.DUMMYFUNCTION("ifna(QUERY($A$2:$G$2000, ""select G where D="" &amp; AG$1 &amp; "" and E="" &amp; $I23), QUERY($A$2:$G$2000, ""select G where E="" &amp; AG$1 &amp; "" and D="" &amp; $I23))"),6.243478260869566)</f>
        <v>6.243478261</v>
      </c>
      <c r="AH23" s="10">
        <f>IFERROR(__xludf.DUMMYFUNCTION("ifna(QUERY($A$2:$G$2000, ""select G where D="" &amp; AH$1 &amp; "" and E="" &amp; $I23), QUERY($A$2:$G$2000, ""select G where E="" &amp; AH$1 &amp; "" and D="" &amp; $I23))"),6.287625418060201)</f>
        <v>6.287625418</v>
      </c>
      <c r="AI23" s="10">
        <f>IFERROR(__xludf.DUMMYFUNCTION("ifna(QUERY($A$2:$G$2000, ""select G where D="" &amp; AI$1 &amp; "" and E="" &amp; $I23), QUERY($A$2:$G$2000, ""select G where E="" &amp; AI$1 &amp; "" and D="" &amp; $I23))"),6.334943639291465)</f>
        <v>6.334943639</v>
      </c>
      <c r="AJ23" s="10">
        <f>IFERROR(__xludf.DUMMYFUNCTION("ifna(QUERY($A$2:$G$2000, ""select G where D="" &amp; AJ$1 &amp; "" and E="" &amp; $I23), QUERY($A$2:$G$2000, ""select G where E="" &amp; AJ$1 &amp; "" and D="" &amp; $I23))"),6.37888198757764)</f>
        <v>6.378881988</v>
      </c>
      <c r="AK23" s="10">
        <f>IFERROR(__xludf.DUMMYFUNCTION("ifna(QUERY($A$2:$G$2000, ""select G where D="" &amp; AK$1 &amp; "" and E="" &amp; $I23), QUERY($A$2:$G$2000, ""select G where E="" &amp; AK$1 &amp; "" and D="" &amp; $I23))"),6.425787106446776)</f>
        <v>6.425787106</v>
      </c>
      <c r="AL23" s="10">
        <f>IFERROR(__xludf.DUMMYFUNCTION("ifna(QUERY($A$2:$G$2000, ""select G where D="" &amp; AL$1 &amp; "" and E="" &amp; $I23), QUERY($A$2:$G$2000, ""select G where E="" &amp; AL$1 &amp; "" and D="" &amp; $I23))"),6.469565217391304)</f>
        <v>6.469565217</v>
      </c>
      <c r="AM23" s="10">
        <f>IFERROR(__xludf.DUMMYFUNCTION("ifna(QUERY($A$2:$G$2000, ""select G where D="" &amp; AM$1 &amp; "" and E="" &amp; $I23), QUERY($A$2:$G$2000, ""select G where E="" &amp; AM$1 &amp; "" and D="" &amp; $I23))"),6.516129032258064)</f>
        <v>6.516129032</v>
      </c>
      <c r="AN23" s="10">
        <f>IFERROR(__xludf.DUMMYFUNCTION("ifna(QUERY($A$2:$G$2000, ""select G where D="" &amp; AN$1 &amp; "" and E="" &amp; $I23), QUERY($A$2:$G$2000, ""select G where E="" &amp; AN$1 &amp; "" and D="" &amp; $I23))"),6.559782608695652)</f>
        <v>6.559782609</v>
      </c>
      <c r="AO23" s="10">
        <f>IFERROR(__xludf.DUMMYFUNCTION("ifna(QUERY($A$2:$G$2000, ""select G where D="" &amp; AO$1 &amp; "" and E="" &amp; $I23), QUERY($A$2:$G$2000, ""select G where E="" &amp; AO$1 &amp; "" and D="" &amp; $I23))"),6.603425559947299)</f>
        <v>6.60342556</v>
      </c>
      <c r="AP23" s="10">
        <f>IFERROR(__xludf.DUMMYFUNCTION("ifna(QUERY($A$2:$G$2000, ""select G where D="" &amp; AP$1 &amp; "" and E="" &amp; $I23), QUERY($A$2:$G$2000, ""select G where E="" &amp; AP$1 &amp; "" and D="" &amp; $I23))"),6.6445012787723785)</f>
        <v>6.644501279</v>
      </c>
      <c r="AQ23" s="10">
        <f>IFERROR(__xludf.DUMMYFUNCTION("ifna(QUERY($A$2:$G$2000, ""select G where D="" &amp; AQ$1 &amp; "" and E="" &amp; $I23), QUERY($A$2:$G$2000, ""select G where E="" &amp; AQ$1 &amp; "" and D="" &amp; $I23))"),6.680745341614907)</f>
        <v>6.680745342</v>
      </c>
      <c r="AR23" s="10">
        <f>IFERROR(__xludf.DUMMYFUNCTION("ifna(QUERY($A$2:$G$2000, ""select G where D="" &amp; AR$1 &amp; "" and E="" &amp; $I23), QUERY($A$2:$G$2000, ""select G where E="" &amp; AR$1 &amp; "" and D="" &amp; $I23))"),6.714975845410628)</f>
        <v>6.714975845</v>
      </c>
      <c r="AS23" s="10">
        <f>IFERROR(__xludf.DUMMYFUNCTION("ifna(QUERY($A$2:$G$2000, ""select G where D="" &amp; AS$1 &amp; "" and E="" &amp; $I23), QUERY($A$2:$G$2000, ""select G where E="" &amp; AS$1 &amp; "" and D="" &amp; $I23))"),6.745005875440658)</f>
        <v>6.745005875</v>
      </c>
      <c r="AT23" s="10">
        <f>IFERROR(__xludf.DUMMYFUNCTION("ifna(QUERY($A$2:$G$2000, ""select G where D="" &amp; AT$1 &amp; "" and E="" &amp; $I23), QUERY($A$2:$G$2000, ""select G where E="" &amp; AT$1 &amp; "" and D="" &amp; $I23))"),6.773455377574371)</f>
        <v>6.773455378</v>
      </c>
      <c r="AU23" s="10">
        <f>IFERROR(__xludf.DUMMYFUNCTION("ifna(QUERY($A$2:$G$2000, ""select G where D="" &amp; AU$1 &amp; "" and E="" &amp; $I23), QUERY($A$2:$G$2000, ""select G where E="" &amp; AU$1 &amp; "" and D="" &amp; $I23))"),6.798216276477146)</f>
        <v>6.798216276</v>
      </c>
      <c r="AV23" s="10">
        <f>IFERROR(__xludf.DUMMYFUNCTION("ifna(QUERY($A$2:$G$2000, ""select G where D="" &amp; AV$1 &amp; "" and E="" &amp; $I23), QUERY($A$2:$G$2000, ""select G where E="" &amp; AV$1 &amp; "" and D="" &amp; $I23))"),6.821739130434783)</f>
        <v>6.82173913</v>
      </c>
      <c r="AW23" s="10">
        <f>IFERROR(__xludf.DUMMYFUNCTION("ifna(QUERY($A$2:$G$2000, ""select G where D="" &amp; AW$1 &amp; "" and E="" &amp; $I23), QUERY($A$2:$G$2000, ""select G where E="" &amp; AW$1 &amp; "" and D="" &amp; $I23))"),6.841993637327677)</f>
        <v>6.841993637</v>
      </c>
      <c r="AX23" s="10">
        <f>IFERROR(__xludf.DUMMYFUNCTION("ifna(QUERY($A$2:$G$2000, ""select G where D="" &amp; AX$1 &amp; "" and E="" &amp; $I23), QUERY($A$2:$G$2000, ""select G where E="" &amp; AX$1 &amp; "" and D="" &amp; $I23))"),6.86128364389234)</f>
        <v>6.861283644</v>
      </c>
      <c r="AY23" s="10">
        <f>IFERROR(__xludf.DUMMYFUNCTION("ifna(QUERY($A$2:$G$2000, ""select G where D="" &amp; AY$1 &amp; "" and E="" &amp; $I23), QUERY($A$2:$G$2000, ""select G where E="" &amp; AY$1 &amp; "" and D="" &amp; $I23))"),6.877654196157735)</f>
        <v>6.877654196</v>
      </c>
      <c r="AZ23" s="10">
        <f>IFERROR(__xludf.DUMMYFUNCTION("ifna(QUERY($A$2:$G$2000, ""select G where D="" &amp; AZ$1 &amp; "" and E="" &amp; $I23), QUERY($A$2:$G$2000, ""select G where E="" &amp; AZ$1 &amp; "" and D="" &amp; $I23))"),6.893280632411067)</f>
        <v>6.893280632</v>
      </c>
      <c r="BA23" s="10">
        <f>IFERROR(__xludf.DUMMYFUNCTION("ifna(QUERY($A$2:$G$2000, ""select G where D="" &amp; BA$1 &amp; "" and E="" &amp; $I23), QUERY($A$2:$G$2000, ""select G where E="" &amp; BA$1 &amp; "" and D="" &amp; $I23))"),6.91207729468599)</f>
        <v>6.912077295</v>
      </c>
      <c r="BB23" s="10">
        <f>IFERROR(__xludf.DUMMYFUNCTION("ifna(QUERY($A$2:$G$2000, ""select G where D="" &amp; BB$1 &amp; "" and E="" &amp; $I23), QUERY($A$2:$G$2000, ""select G where E="" &amp; BB$1 &amp; "" and D="" &amp; $I23))"),6.9319470699432895)</f>
        <v>6.93194707</v>
      </c>
      <c r="BC23" s="10">
        <f>IFERROR(__xludf.DUMMYFUNCTION("ifna(QUERY($A$2:$G$2000, ""select G where D="" &amp; BC$1 &amp; "" and E="" &amp; $I23), QUERY($A$2:$G$2000, ""select G where E="" &amp; BC$1 &amp; "" and D="" &amp; $I23))"),6.964847363552266)</f>
        <v>6.964847364</v>
      </c>
      <c r="BD23" s="10">
        <f>IFERROR(__xludf.DUMMYFUNCTION("ifna(QUERY($A$2:$G$2000, ""select G where D="" &amp; BD$1 &amp; "" and E="" &amp; $I23), QUERY($A$2:$G$2000, ""select G where E="" &amp; BD$1 &amp; "" and D="" &amp; $I23))"),6.996376811594203)</f>
        <v>6.996376812</v>
      </c>
      <c r="BE23" s="10">
        <f>IFERROR(__xludf.DUMMYFUNCTION("ifna(QUERY($A$2:$G$2000, ""select G where D="" &amp; BE$1 &amp; "" and E="" &amp; $I23), QUERY($A$2:$G$2000, ""select G where E="" &amp; BE$1 &amp; "" and D="" &amp; $I23))"),7.003549245785271)</f>
        <v>7.003549246</v>
      </c>
      <c r="BF23" s="10">
        <f>IFERROR(__xludf.DUMMYFUNCTION("ifna(QUERY($A$2:$G$2000, ""select G where D="" &amp; BF$1 &amp; "" and E="" &amp; $I23), QUERY($A$2:$G$2000, ""select G where E="" &amp; BF$1 &amp; "" and D="" &amp; $I23))"),7.006956521739131)</f>
        <v>7.006956522</v>
      </c>
      <c r="BG23" s="10">
        <f>IFERROR(__xludf.DUMMYFUNCTION("ifna(QUERY($A$2:$G$2000, ""select G where D="" &amp; BG$1 &amp; "" and E="" &amp; $I23), QUERY($A$2:$G$2000, ""select G where E="" &amp; BG$1 &amp; "" and D="" &amp; $I23))"),7.013640238704177)</f>
        <v>7.013640239</v>
      </c>
      <c r="BH23" s="10">
        <f>IFERROR(__xludf.DUMMYFUNCTION("ifna(QUERY($A$2:$G$2000, ""select G where D="" &amp; BH$1 &amp; "" and E="" &amp; $I23), QUERY($A$2:$G$2000, ""select G where E="" &amp; BH$1 &amp; "" and D="" &amp; $I23))"),7.020066889632107)</f>
        <v>7.02006689</v>
      </c>
      <c r="BI23" s="10">
        <f>IFERROR(__xludf.DUMMYFUNCTION("ifna(QUERY($A$2:$G$2000, ""select G where D="" &amp; BI$1 &amp; "" and E="" &amp; $I23), QUERY($A$2:$G$2000, ""select G where E="" &amp; BI$1 &amp; "" and D="" &amp; $I23))"),7.029532403609516)</f>
        <v>7.029532404</v>
      </c>
      <c r="BJ23" s="10">
        <f>IFERROR(__xludf.DUMMYFUNCTION("ifna(QUERY($A$2:$G$2000, ""select G where D="" &amp; BJ$1 &amp; "" and E="" &amp; $I23), QUERY($A$2:$G$2000, ""select G where E="" &amp; BJ$1 &amp; "" and D="" &amp; $I23))"),7.038647342995169)</f>
        <v>7.038647343</v>
      </c>
      <c r="BK23" s="10">
        <f>IFERROR(__xludf.DUMMYFUNCTION("ifna(QUERY($A$2:$G$2000, ""select G where D="" &amp; BK$1 &amp; "" and E="" &amp; $I23), QUERY($A$2:$G$2000, ""select G where E="" &amp; BK$1 &amp; "" and D="" &amp; $I23))"),7.050592885375494)</f>
        <v>7.050592885</v>
      </c>
      <c r="BL23" s="10"/>
      <c r="BM23" s="10"/>
      <c r="BN23" s="10"/>
      <c r="BO23" s="10"/>
    </row>
    <row r="24">
      <c r="A24" s="3">
        <v>4.0</v>
      </c>
      <c r="B24" s="3">
        <v>13.0</v>
      </c>
      <c r="C24" s="3">
        <v>49.0</v>
      </c>
      <c r="D24" s="3">
        <v>6.0</v>
      </c>
      <c r="E24" s="3">
        <v>6.0</v>
      </c>
      <c r="F24" s="11">
        <f t="shared" si="1"/>
        <v>0.2653061224</v>
      </c>
      <c r="G24" s="5">
        <f t="shared" si="2"/>
        <v>3.734693878</v>
      </c>
      <c r="H24" s="3">
        <v>24.0</v>
      </c>
      <c r="I24" s="2">
        <v>23.0</v>
      </c>
      <c r="J24" s="10">
        <f>IFERROR(__xludf.DUMMYFUNCTION("ifna(QUERY($A$2:$G$2000, ""select G where D="" &amp; J$1 &amp; "" and E="" &amp; $I24), QUERY($A$2:$G$2000, ""select G where E="" &amp; J$1 &amp; "" and D="" &amp; $I24))"),4.583333333333333)</f>
        <v>4.583333333</v>
      </c>
      <c r="K24" s="10">
        <f>IFERROR(__xludf.DUMMYFUNCTION("ifna(QUERY($A$2:$G$2000, ""select G where D="" &amp; K$1 &amp; "" and E="" &amp; $I24), QUERY($A$2:$G$2000, ""select G where E="" &amp; K$1 &amp; "" and D="" &amp; $I24))"),4.638888888888889)</f>
        <v>4.638888889</v>
      </c>
      <c r="L24" s="10">
        <f>IFERROR(__xludf.DUMMYFUNCTION("ifna(QUERY($A$2:$G$2000, ""select G where D="" &amp; L$1 &amp; "" and E="" &amp; $I24), QUERY($A$2:$G$2000, ""select G where E="" &amp; L$1 &amp; "" and D="" &amp; $I24))"),4.791666666666667)</f>
        <v>4.791666667</v>
      </c>
      <c r="M24" s="10">
        <f>IFERROR(__xludf.DUMMYFUNCTION("ifna(QUERY($A$2:$G$2000, ""select G where D="" &amp; M$1 &amp; "" and E="" &amp; $I24), QUERY($A$2:$G$2000, ""select G where E="" &amp; M$1 &amp; "" and D="" &amp; $I24))"),4.9)</f>
        <v>4.9</v>
      </c>
      <c r="N24" s="10">
        <f>IFERROR(__xludf.DUMMYFUNCTION("ifna(QUERY($A$2:$G$2000, ""select G where D="" &amp; N$1 &amp; "" and E="" &amp; $I24), QUERY($A$2:$G$2000, ""select G where E="" &amp; N$1 &amp; "" and D="" &amp; $I24))"),5.027777777777778)</f>
        <v>5.027777778</v>
      </c>
      <c r="O24" s="10">
        <f>IFERROR(__xludf.DUMMYFUNCTION("ifna(QUERY($A$2:$G$2000, ""select G where D="" &amp; O$1 &amp; "" and E="" &amp; $I24), QUERY($A$2:$G$2000, ""select G where E="" &amp; O$1 &amp; "" and D="" &amp; $I24))"),5.119047619047619)</f>
        <v>5.119047619</v>
      </c>
      <c r="P24" s="10">
        <f>IFERROR(__xludf.DUMMYFUNCTION("ifna(QUERY($A$2:$G$2000, ""select G where D="" &amp; P$1 &amp; "" and E="" &amp; $I24), QUERY($A$2:$G$2000, ""select G where E="" &amp; P$1 &amp; "" and D="" &amp; $I24))"),5.229166666666667)</f>
        <v>5.229166667</v>
      </c>
      <c r="Q24" s="10">
        <f>IFERROR(__xludf.DUMMYFUNCTION("ifna(QUERY($A$2:$G$2000, ""select G where D="" &amp; Q$1 &amp; "" and E="" &amp; $I24), QUERY($A$2:$G$2000, ""select G where E="" &amp; Q$1 &amp; "" and D="" &amp; $I24))"),5.351851851851852)</f>
        <v>5.351851852</v>
      </c>
      <c r="R24" s="10">
        <f>IFERROR(__xludf.DUMMYFUNCTION("ifna(QUERY($A$2:$G$2000, ""select G where D="" &amp; R$1 &amp; "" and E="" &amp; $I24), QUERY($A$2:$G$2000, ""select G where E="" &amp; R$1 &amp; "" and D="" &amp; $I24))"),5.466666666666667)</f>
        <v>5.466666667</v>
      </c>
      <c r="S24" s="10">
        <f>IFERROR(__xludf.DUMMYFUNCTION("ifna(QUERY($A$2:$G$2000, ""select G where D="" &amp; S$1 &amp; "" and E="" &amp; $I24), QUERY($A$2:$G$2000, ""select G where E="" &amp; S$1 &amp; "" and D="" &amp; $I24))"),5.583333333333333)</f>
        <v>5.583333333</v>
      </c>
      <c r="T24" s="10">
        <f>IFERROR(__xludf.DUMMYFUNCTION("ifna(QUERY($A$2:$G$2000, ""select G where D="" &amp; T$1 &amp; "" and E="" &amp; $I24), QUERY($A$2:$G$2000, ""select G where E="" &amp; T$1 &amp; "" and D="" &amp; $I24))"),5.694444444444445)</f>
        <v>5.694444444</v>
      </c>
      <c r="U24" s="10">
        <f>IFERROR(__xludf.DUMMYFUNCTION("ifna(QUERY($A$2:$G$2000, ""select G where D="" &amp; U$1 &amp; "" and E="" &amp; $I24), QUERY($A$2:$G$2000, ""select G where E="" &amp; U$1 &amp; "" and D="" &amp; $I24))"),5.769230769230769)</f>
        <v>5.769230769</v>
      </c>
      <c r="V24" s="10">
        <f>IFERROR(__xludf.DUMMYFUNCTION("ifna(QUERY($A$2:$G$2000, ""select G where D="" &amp; V$1 &amp; "" and E="" &amp; $I24), QUERY($A$2:$G$2000, ""select G where E="" &amp; V$1 &amp; "" and D="" &amp; $I24))"),5.833333333333333)</f>
        <v>5.833333333</v>
      </c>
      <c r="W24" s="10">
        <f>IFERROR(__xludf.DUMMYFUNCTION("ifna(QUERY($A$2:$G$2000, ""select G where D="" &amp; W$1 &amp; "" and E="" &amp; $I24), QUERY($A$2:$G$2000, ""select G where E="" &amp; W$1 &amp; "" and D="" &amp; $I24))"),5.877777777777778)</f>
        <v>5.877777778</v>
      </c>
      <c r="X24" s="10">
        <f>IFERROR(__xludf.DUMMYFUNCTION("ifna(QUERY($A$2:$G$2000, ""select G where D="" &amp; X$1 &amp; "" and E="" &amp; $I24), QUERY($A$2:$G$2000, ""select G where E="" &amp; X$1 &amp; "" and D="" &amp; $I24))"),5.921875)</f>
        <v>5.921875</v>
      </c>
      <c r="Y24" s="10">
        <f>IFERROR(__xludf.DUMMYFUNCTION("ifna(QUERY($A$2:$G$2000, ""select G where D="" &amp; Y$1 &amp; "" and E="" &amp; $I24), QUERY($A$2:$G$2000, ""select G where E="" &amp; Y$1 &amp; "" and D="" &amp; $I24))"),6.009803921568627)</f>
        <v>6.009803922</v>
      </c>
      <c r="Z24" s="10">
        <f>IFERROR(__xludf.DUMMYFUNCTION("ifna(QUERY($A$2:$G$2000, ""select G where D="" &amp; Z$1 &amp; "" and E="" &amp; $I24), QUERY($A$2:$G$2000, ""select G where E="" &amp; Z$1 &amp; "" and D="" &amp; $I24))"),6.027777777777778)</f>
        <v>6.027777778</v>
      </c>
      <c r="AA24" s="10">
        <f>IFERROR(__xludf.DUMMYFUNCTION("ifna(QUERY($A$2:$G$2000, ""select G where D="" &amp; AA$1 &amp; "" and E="" &amp; $I24), QUERY($A$2:$G$2000, ""select G where E="" &amp; AA$1 &amp; "" and D="" &amp; $I24))"),6.052631578947368)</f>
        <v>6.052631579</v>
      </c>
      <c r="AB24" s="10">
        <f>IFERROR(__xludf.DUMMYFUNCTION("ifna(QUERY($A$2:$G$2000, ""select G where D="" &amp; AB$1 &amp; "" and E="" &amp; $I24), QUERY($A$2:$G$2000, ""select G where E="" &amp; AB$1 &amp; "" and D="" &amp; $I24))"),6.083333333333333)</f>
        <v>6.083333333</v>
      </c>
      <c r="AC24" s="10">
        <f>IFERROR(__xludf.DUMMYFUNCTION("ifna(QUERY($A$2:$G$2000, ""select G where D="" &amp; AC$1 &amp; "" and E="" &amp; $I24), QUERY($A$2:$G$2000, ""select G where E="" &amp; AC$1 &amp; "" and D="" &amp; $I24))"),6.119047619047619)</f>
        <v>6.119047619</v>
      </c>
      <c r="AD24" s="10">
        <f>IFERROR(__xludf.DUMMYFUNCTION("ifna(QUERY($A$2:$G$2000, ""select G where D="" &amp; AD$1 &amp; "" and E="" &amp; $I24), QUERY($A$2:$G$2000, ""select G where E="" &amp; AD$1 &amp; "" and D="" &amp; $I24))"),6.159090909090909)</f>
        <v>6.159090909</v>
      </c>
      <c r="AE24" s="10">
        <f>IFERROR(__xludf.DUMMYFUNCTION("ifna(QUERY($A$2:$G$2000, ""select G where D="" &amp; AE$1 &amp; "" and E="" &amp; $I24), QUERY($A$2:$G$2000, ""select G where E="" &amp; AE$1 &amp; "" and D="" &amp; $I24))"),6.202898550724638)</f>
        <v>6.202898551</v>
      </c>
      <c r="AF24" s="10">
        <f>IFERROR(__xludf.DUMMYFUNCTION("ifna(QUERY($A$2:$G$2000, ""select G where D="" &amp; AF$1 &amp; "" and E="" &amp; $I24), QUERY($A$2:$G$2000, ""select G where E="" &amp; AF$1 &amp; "" and D="" &amp; $I24))"),6.25)</f>
        <v>6.25</v>
      </c>
      <c r="AG24" s="10">
        <f>IFERROR(__xludf.DUMMYFUNCTION("ifna(QUERY($A$2:$G$2000, ""select G where D="" &amp; AG$1 &amp; "" and E="" &amp; $I24), QUERY($A$2:$G$2000, ""select G where E="" &amp; AG$1 &amp; "" and D="" &amp; $I24))"),6.293333333333333)</f>
        <v>6.293333333</v>
      </c>
      <c r="AH24" s="10">
        <f>IFERROR(__xludf.DUMMYFUNCTION("ifna(QUERY($A$2:$G$2000, ""select G where D="" &amp; AH$1 &amp; "" and E="" &amp; $I24), QUERY($A$2:$G$2000, ""select G where E="" &amp; AH$1 &amp; "" and D="" &amp; $I24))"),6.339743589743589)</f>
        <v>6.33974359</v>
      </c>
      <c r="AI24" s="10">
        <f>IFERROR(__xludf.DUMMYFUNCTION("ifna(QUERY($A$2:$G$2000, ""select G where D="" &amp; AI$1 &amp; "" and E="" &amp; $I24), QUERY($A$2:$G$2000, ""select G where E="" &amp; AI$1 &amp; "" and D="" &amp; $I24))"),6.388888888888889)</f>
        <v>6.388888889</v>
      </c>
      <c r="AJ24" s="10">
        <f>IFERROR(__xludf.DUMMYFUNCTION("ifna(QUERY($A$2:$G$2000, ""select G where D="" &amp; AJ$1 &amp; "" and E="" &amp; $I24), QUERY($A$2:$G$2000, ""select G where E="" &amp; AJ$1 &amp; "" and D="" &amp; $I24))"),6.434523809523809)</f>
        <v>6.43452381</v>
      </c>
      <c r="AK24" s="10">
        <f>IFERROR(__xludf.DUMMYFUNCTION("ifna(QUERY($A$2:$G$2000, ""select G where D="" &amp; AK$1 &amp; "" and E="" &amp; $I24), QUERY($A$2:$G$2000, ""select G where E="" &amp; AK$1 &amp; "" and D="" &amp; $I24))"),6.482758620689655)</f>
        <v>6.482758621</v>
      </c>
      <c r="AL24" s="10">
        <f>IFERROR(__xludf.DUMMYFUNCTION("ifna(QUERY($A$2:$G$2000, ""select G where D="" &amp; AL$1 &amp; "" and E="" &amp; $I24), QUERY($A$2:$G$2000, ""select G where E="" &amp; AL$1 &amp; "" and D="" &amp; $I24))"),6.527777777777778)</f>
        <v>6.527777778</v>
      </c>
      <c r="AM24" s="10">
        <f>IFERROR(__xludf.DUMMYFUNCTION("ifna(QUERY($A$2:$G$2000, ""select G where D="" &amp; AM$1 &amp; "" and E="" &amp; $I24), QUERY($A$2:$G$2000, ""select G where E="" &amp; AM$1 &amp; "" and D="" &amp; $I24))"),6.575268817204301)</f>
        <v>6.575268817</v>
      </c>
      <c r="AN24" s="10">
        <f>IFERROR(__xludf.DUMMYFUNCTION("ifna(QUERY($A$2:$G$2000, ""select G where D="" &amp; AN$1 &amp; "" and E="" &amp; $I24), QUERY($A$2:$G$2000, ""select G where E="" &amp; AN$1 &amp; "" and D="" &amp; $I24))"),6.619791666666667)</f>
        <v>6.619791667</v>
      </c>
      <c r="AO24" s="10">
        <f>IFERROR(__xludf.DUMMYFUNCTION("ifna(QUERY($A$2:$G$2000, ""select G where D="" &amp; AO$1 &amp; "" and E="" &amp; $I24), QUERY($A$2:$G$2000, ""select G where E="" &amp; AO$1 &amp; "" and D="" &amp; $I24))"),6.659090909090909)</f>
        <v>6.659090909</v>
      </c>
      <c r="AP24" s="10">
        <f>IFERROR(__xludf.DUMMYFUNCTION("ifna(QUERY($A$2:$G$2000, ""select G where D="" &amp; AP$1 &amp; "" and E="" &amp; $I24), QUERY($A$2:$G$2000, ""select G where E="" &amp; AP$1 &amp; "" and D="" &amp; $I24))"),6.696078431372549)</f>
        <v>6.696078431</v>
      </c>
      <c r="AQ24" s="10">
        <f>IFERROR(__xludf.DUMMYFUNCTION("ifna(QUERY($A$2:$G$2000, ""select G where D="" &amp; AQ$1 &amp; "" and E="" &amp; $I24), QUERY($A$2:$G$2000, ""select G where E="" &amp; AQ$1 &amp; "" and D="" &amp; $I24))"),6.728571428571429)</f>
        <v>6.728571429</v>
      </c>
      <c r="AR24" s="10">
        <f>IFERROR(__xludf.DUMMYFUNCTION("ifna(QUERY($A$2:$G$2000, ""select G where D="" &amp; AR$1 &amp; "" and E="" &amp; $I24), QUERY($A$2:$G$2000, ""select G where E="" &amp; AR$1 &amp; "" and D="" &amp; $I24))"),6.7592592592592595)</f>
        <v>6.759259259</v>
      </c>
      <c r="AS24" s="10">
        <f>IFERROR(__xludf.DUMMYFUNCTION("ifna(QUERY($A$2:$G$2000, ""select G where D="" &amp; AS$1 &amp; "" and E="" &amp; $I24), QUERY($A$2:$G$2000, ""select G where E="" &amp; AS$1 &amp; "" and D="" &amp; $I24))"),6.786036036036036)</f>
        <v>6.786036036</v>
      </c>
      <c r="AT24" s="10">
        <f>IFERROR(__xludf.DUMMYFUNCTION("ifna(QUERY($A$2:$G$2000, ""select G where D="" &amp; AT$1 &amp; "" and E="" &amp; $I24), QUERY($A$2:$G$2000, ""select G where E="" &amp; AT$1 &amp; "" and D="" &amp; $I24))"),6.81140350877193)</f>
        <v>6.811403509</v>
      </c>
      <c r="AU24" s="10">
        <f>IFERROR(__xludf.DUMMYFUNCTION("ifna(QUERY($A$2:$G$2000, ""select G where D="" &amp; AU$1 &amp; "" and E="" &amp; $I24), QUERY($A$2:$G$2000, ""select G where E="" &amp; AU$1 &amp; "" and D="" &amp; $I24))"),6.833333333333333)</f>
        <v>6.833333333</v>
      </c>
      <c r="AV24" s="10">
        <f>IFERROR(__xludf.DUMMYFUNCTION("ifna(QUERY($A$2:$G$2000, ""select G where D="" &amp; AV$1 &amp; "" and E="" &amp; $I24), QUERY($A$2:$G$2000, ""select G where E="" &amp; AV$1 &amp; "" and D="" &amp; $I24))"),6.854166666666667)</f>
        <v>6.854166667</v>
      </c>
      <c r="AW24" s="10">
        <f>IFERROR(__xludf.DUMMYFUNCTION("ifna(QUERY($A$2:$G$2000, ""select G where D="" &amp; AW$1 &amp; "" and E="" &amp; $I24), QUERY($A$2:$G$2000, ""select G where E="" &amp; AW$1 &amp; "" and D="" &amp; $I24))"),6.871951219512195)</f>
        <v>6.87195122</v>
      </c>
      <c r="AX24" s="10">
        <f>IFERROR(__xludf.DUMMYFUNCTION("ifna(QUERY($A$2:$G$2000, ""select G where D="" &amp; AX$1 &amp; "" and E="" &amp; $I24), QUERY($A$2:$G$2000, ""select G where E="" &amp; AX$1 &amp; "" and D="" &amp; $I24))"),6.888888888888889)</f>
        <v>6.888888889</v>
      </c>
      <c r="AY24" s="10">
        <f>IFERROR(__xludf.DUMMYFUNCTION("ifna(QUERY($A$2:$G$2000, ""select G where D="" &amp; AY$1 &amp; "" and E="" &amp; $I24), QUERY($A$2:$G$2000, ""select G where E="" &amp; AY$1 &amp; "" and D="" &amp; $I24))"),6.906976744186046)</f>
        <v>6.906976744</v>
      </c>
      <c r="AZ24" s="10">
        <f>IFERROR(__xludf.DUMMYFUNCTION("ifna(QUERY($A$2:$G$2000, ""select G where D="" &amp; AZ$1 &amp; "" and E="" &amp; $I24), QUERY($A$2:$G$2000, ""select G where E="" &amp; AZ$1 &amp; "" and D="" &amp; $I24))"),6.926136363636363)</f>
        <v>6.926136364</v>
      </c>
      <c r="BA24" s="10">
        <f>IFERROR(__xludf.DUMMYFUNCTION("ifna(QUERY($A$2:$G$2000, ""select G where D="" &amp; BA$1 &amp; "" and E="" &amp; $I24), QUERY($A$2:$G$2000, ""select G where E="" &amp; BA$1 &amp; "" and D="" &amp; $I24))"),6.95)</f>
        <v>6.95</v>
      </c>
      <c r="BB24" s="10">
        <f>IFERROR(__xludf.DUMMYFUNCTION("ifna(QUERY($A$2:$G$2000, ""select G where D="" &amp; BB$1 &amp; "" and E="" &amp; $I24), QUERY($A$2:$G$2000, ""select G where E="" &amp; BB$1 &amp; "" and D="" &amp; $I24))"),6.994565217391305)</f>
        <v>6.994565217</v>
      </c>
      <c r="BC24" s="10">
        <f>IFERROR(__xludf.DUMMYFUNCTION("ifna(QUERY($A$2:$G$2000, ""select G where D="" &amp; BC$1 &amp; "" and E="" &amp; $I24), QUERY($A$2:$G$2000, ""select G where E="" &amp; BC$1 &amp; "" and D="" &amp; $I24))"),7.00354609929078)</f>
        <v>7.003546099</v>
      </c>
      <c r="BD24" s="10">
        <f>IFERROR(__xludf.DUMMYFUNCTION("ifna(QUERY($A$2:$G$2000, ""select G where D="" &amp; BD$1 &amp; "" and E="" &amp; $I24), QUERY($A$2:$G$2000, ""select G where E="" &amp; BD$1 &amp; "" and D="" &amp; $I24))"),7.006944444444445)</f>
        <v>7.006944444</v>
      </c>
      <c r="BE24" s="10">
        <f>IFERROR(__xludf.DUMMYFUNCTION("ifna(QUERY($A$2:$G$2000, ""select G where D="" &amp; BE$1 &amp; "" and E="" &amp; $I24), QUERY($A$2:$G$2000, ""select G where E="" &amp; BE$1 &amp; "" and D="" &amp; $I24))"),7.013605442176871)</f>
        <v>7.013605442</v>
      </c>
      <c r="BF24" s="10">
        <f>IFERROR(__xludf.DUMMYFUNCTION("ifna(QUERY($A$2:$G$2000, ""select G where D="" &amp; BF$1 &amp; "" and E="" &amp; $I24), QUERY($A$2:$G$2000, ""select G where E="" &amp; BF$1 &amp; "" and D="" &amp; $I24))"),7.02)</f>
        <v>7.02</v>
      </c>
      <c r="BG24" s="10">
        <f>IFERROR(__xludf.DUMMYFUNCTION("ifna(QUERY($A$2:$G$2000, ""select G where D="" &amp; BG$1 &amp; "" and E="" &amp; $I24), QUERY($A$2:$G$2000, ""select G where E="" &amp; BG$1 &amp; "" and D="" &amp; $I24))"),7.029411764705882)</f>
        <v>7.029411765</v>
      </c>
      <c r="BH24" s="10">
        <f>IFERROR(__xludf.DUMMYFUNCTION("ifna(QUERY($A$2:$G$2000, ""select G where D="" &amp; BH$1 &amp; "" and E="" &amp; $I24), QUERY($A$2:$G$2000, ""select G where E="" &amp; BH$1 &amp; "" and D="" &amp; $I24))"),7.038461538461538)</f>
        <v>7.038461538</v>
      </c>
      <c r="BI24" s="10">
        <f>IFERROR(__xludf.DUMMYFUNCTION("ifna(QUERY($A$2:$G$2000, ""select G where D="" &amp; BI$1 &amp; "" and E="" &amp; $I24), QUERY($A$2:$G$2000, ""select G where E="" &amp; BI$1 &amp; "" and D="" &amp; $I24))"),7.050314465408805)</f>
        <v>7.050314465</v>
      </c>
      <c r="BJ24" s="10">
        <f>IFERROR(__xludf.DUMMYFUNCTION("ifna(QUERY($A$2:$G$2000, ""select G where D="" &amp; BJ$1 &amp; "" and E="" &amp; $I24), QUERY($A$2:$G$2000, ""select G where E="" &amp; BJ$1 &amp; "" and D="" &amp; $I24))"),7.061728395061729)</f>
        <v>7.061728395</v>
      </c>
      <c r="BK24" s="10">
        <f>IFERROR(__xludf.DUMMYFUNCTION("ifna(QUERY($A$2:$G$2000, ""select G where D="" &amp; BK$1 &amp; "" and E="" &amp; $I24), QUERY($A$2:$G$2000, ""select G where E="" &amp; BK$1 &amp; "" and D="" &amp; $I24))"),7.075757575757576)</f>
        <v>7.075757576</v>
      </c>
      <c r="BL24" s="10"/>
      <c r="BM24" s="10"/>
      <c r="BN24" s="10"/>
      <c r="BO24" s="10"/>
    </row>
    <row r="25">
      <c r="A25" s="3">
        <v>4.0</v>
      </c>
      <c r="B25" s="3">
        <v>24.0</v>
      </c>
      <c r="C25" s="3">
        <v>32.0</v>
      </c>
      <c r="D25" s="3">
        <v>7.0</v>
      </c>
      <c r="E25" s="3">
        <v>3.0</v>
      </c>
      <c r="F25" s="11">
        <f t="shared" si="1"/>
        <v>0.75</v>
      </c>
      <c r="G25" s="5">
        <f t="shared" si="2"/>
        <v>3.25</v>
      </c>
      <c r="H25" s="3">
        <v>25.0</v>
      </c>
      <c r="I25" s="2">
        <v>24.0</v>
      </c>
      <c r="J25" s="10">
        <f>IFERROR(__xludf.DUMMYFUNCTION("ifna(QUERY($A$2:$G$2000, ""select G where D="" &amp; J$1 &amp; "" and E="" &amp; $I25), QUERY($A$2:$G$2000, ""select G where E="" &amp; J$1 &amp; "" and D="" &amp; $I25))"),4.64)</f>
        <v>4.64</v>
      </c>
      <c r="K25" s="10">
        <f>IFERROR(__xludf.DUMMYFUNCTION("ifna(QUERY($A$2:$G$2000, ""select G where D="" &amp; K$1 &amp; "" and E="" &amp; $I25), QUERY($A$2:$G$2000, ""select G where E="" &amp; K$1 &amp; "" and D="" &amp; $I25))"),4.693333333333333)</f>
        <v>4.693333333</v>
      </c>
      <c r="L25" s="10">
        <f>IFERROR(__xludf.DUMMYFUNCTION("ifna(QUERY($A$2:$G$2000, ""select G where D="" &amp; L$1 &amp; "" and E="" &amp; $I25), QUERY($A$2:$G$2000, ""select G where E="" &amp; L$1 &amp; "" and D="" &amp; $I25))"),4.84)</f>
        <v>4.84</v>
      </c>
      <c r="M25" s="10">
        <f>IFERROR(__xludf.DUMMYFUNCTION("ifna(QUERY($A$2:$G$2000, ""select G where D="" &amp; M$1 &amp; "" and E="" &amp; $I25), QUERY($A$2:$G$2000, ""select G where E="" &amp; M$1 &amp; "" and D="" &amp; $I25))"),4.96)</f>
        <v>4.96</v>
      </c>
      <c r="N25" s="10">
        <f>IFERROR(__xludf.DUMMYFUNCTION("ifna(QUERY($A$2:$G$2000, ""select G where D="" &amp; N$1 &amp; "" and E="" &amp; $I25), QUERY($A$2:$G$2000, ""select G where E="" &amp; N$1 &amp; "" and D="" &amp; $I25))"),5.053333333333334)</f>
        <v>5.053333333</v>
      </c>
      <c r="O25" s="10">
        <f>IFERROR(__xludf.DUMMYFUNCTION("ifna(QUERY($A$2:$G$2000, ""select G where D="" &amp; O$1 &amp; "" and E="" &amp; $I25), QUERY($A$2:$G$2000, ""select G where E="" &amp; O$1 &amp; "" and D="" &amp; $I25))"),5.16)</f>
        <v>5.16</v>
      </c>
      <c r="P25" s="10">
        <f>IFERROR(__xludf.DUMMYFUNCTION("ifna(QUERY($A$2:$G$2000, ""select G where D="" &amp; P$1 &amp; "" and E="" &amp; $I25), QUERY($A$2:$G$2000, ""select G where E="" &amp; P$1 &amp; "" and D="" &amp; $I25))"),5.28)</f>
        <v>5.28</v>
      </c>
      <c r="Q25" s="10">
        <f>IFERROR(__xludf.DUMMYFUNCTION("ifna(QUERY($A$2:$G$2000, ""select G where D="" &amp; Q$1 &amp; "" and E="" &amp; $I25), QUERY($A$2:$G$2000, ""select G where E="" &amp; Q$1 &amp; "" and D="" &amp; $I25))"),5.408888888888889)</f>
        <v>5.408888889</v>
      </c>
      <c r="R25" s="10">
        <f>IFERROR(__xludf.DUMMYFUNCTION("ifna(QUERY($A$2:$G$2000, ""select G where D="" &amp; R$1 &amp; "" and E="" &amp; $I25), QUERY($A$2:$G$2000, ""select G where E="" &amp; R$1 &amp; "" and D="" &amp; $I25))"),5.5280000000000005)</f>
        <v>5.528</v>
      </c>
      <c r="S25" s="10">
        <f>IFERROR(__xludf.DUMMYFUNCTION("ifna(QUERY($A$2:$G$2000, ""select G where D="" &amp; S$1 &amp; "" and E="" &amp; $I25), QUERY($A$2:$G$2000, ""select G where E="" &amp; S$1 &amp; "" and D="" &amp; $I25))"),5.64)</f>
        <v>5.64</v>
      </c>
      <c r="T25" s="10">
        <f>IFERROR(__xludf.DUMMYFUNCTION("ifna(QUERY($A$2:$G$2000, ""select G where D="" &amp; T$1 &amp; "" and E="" &amp; $I25), QUERY($A$2:$G$2000, ""select G where E="" &amp; T$1 &amp; "" and D="" &amp; $I25))"),5.74)</f>
        <v>5.74</v>
      </c>
      <c r="U25" s="10">
        <f>IFERROR(__xludf.DUMMYFUNCTION("ifna(QUERY($A$2:$G$2000, ""select G where D="" &amp; U$1 &amp; "" and E="" &amp; $I25), QUERY($A$2:$G$2000, ""select G where E="" &amp; U$1 &amp; "" and D="" &amp; $I25))"),5.806153846153846)</f>
        <v>5.806153846</v>
      </c>
      <c r="V25" s="10">
        <f>IFERROR(__xludf.DUMMYFUNCTION("ifna(QUERY($A$2:$G$2000, ""select G where D="" &amp; V$1 &amp; "" and E="" &amp; $I25), QUERY($A$2:$G$2000, ""select G where E="" &amp; V$1 &amp; "" and D="" &amp; $I25))"),5.862857142857143)</f>
        <v>5.862857143</v>
      </c>
      <c r="W25" s="10">
        <f>IFERROR(__xludf.DUMMYFUNCTION("ifna(QUERY($A$2:$G$2000, ""select G where D="" &amp; W$1 &amp; "" and E="" &amp; $I25), QUERY($A$2:$G$2000, ""select G where E="" &amp; W$1 &amp; "" and D="" &amp; $I25))"),5.906666666666666)</f>
        <v>5.906666667</v>
      </c>
      <c r="X25" s="10">
        <f>IFERROR(__xludf.DUMMYFUNCTION("ifna(QUERY($A$2:$G$2000, ""select G where D="" &amp; X$1 &amp; "" and E="" &amp; $I25), QUERY($A$2:$G$2000, ""select G where E="" &amp; X$1 &amp; "" and D="" &amp; $I25))"),5.97)</f>
        <v>5.97</v>
      </c>
      <c r="Y25" s="10">
        <f>IFERROR(__xludf.DUMMYFUNCTION("ifna(QUERY($A$2:$G$2000, ""select G where D="" &amp; Y$1 &amp; "" and E="" &amp; $I25), QUERY($A$2:$G$2000, ""select G where E="" &amp; Y$1 &amp; "" and D="" &amp; $I25))"),6.0188235294117645)</f>
        <v>6.018823529</v>
      </c>
      <c r="Z25" s="10">
        <f>IFERROR(__xludf.DUMMYFUNCTION("ifna(QUERY($A$2:$G$2000, ""select G where D="" &amp; Z$1 &amp; "" and E="" &amp; $I25), QUERY($A$2:$G$2000, ""select G where E="" &amp; Z$1 &amp; "" and D="" &amp; $I25))"),6.044444444444444)</f>
        <v>6.044444444</v>
      </c>
      <c r="AA25" s="10">
        <f>IFERROR(__xludf.DUMMYFUNCTION("ifna(QUERY($A$2:$G$2000, ""select G where D="" &amp; AA$1 &amp; "" and E="" &amp; $I25), QUERY($A$2:$G$2000, ""select G where E="" &amp; AA$1 &amp; "" and D="" &amp; $I25))"),6.07578947368421)</f>
        <v>6.075789474</v>
      </c>
      <c r="AB25" s="10">
        <f>IFERROR(__xludf.DUMMYFUNCTION("ifna(QUERY($A$2:$G$2000, ""select G where D="" &amp; AB$1 &amp; "" and E="" &amp; $I25), QUERY($A$2:$G$2000, ""select G where E="" &amp; AB$1 &amp; "" and D="" &amp; $I25))"),6.112)</f>
        <v>6.112</v>
      </c>
      <c r="AC25" s="10">
        <f>IFERROR(__xludf.DUMMYFUNCTION("ifna(QUERY($A$2:$G$2000, ""select G where D="" &amp; AC$1 &amp; "" and E="" &amp; $I25), QUERY($A$2:$G$2000, ""select G where E="" &amp; AC$1 &amp; "" and D="" &amp; $I25))"),6.152380952380953)</f>
        <v>6.152380952</v>
      </c>
      <c r="AD25" s="10">
        <f>IFERROR(__xludf.DUMMYFUNCTION("ifna(QUERY($A$2:$G$2000, ""select G where D="" &amp; AD$1 &amp; "" and E="" &amp; $I25), QUERY($A$2:$G$2000, ""select G where E="" &amp; AD$1 &amp; "" and D="" &amp; $I25))"),6.196363636363636)</f>
        <v>6.196363636</v>
      </c>
      <c r="AE25" s="10">
        <f>IFERROR(__xludf.DUMMYFUNCTION("ifna(QUERY($A$2:$G$2000, ""select G where D="" &amp; AE$1 &amp; "" and E="" &amp; $I25), QUERY($A$2:$G$2000, ""select G where E="" &amp; AE$1 &amp; "" and D="" &amp; $I25))"),6.243478260869566)</f>
        <v>6.243478261</v>
      </c>
      <c r="AF25" s="10">
        <f>IFERROR(__xludf.DUMMYFUNCTION("ifna(QUERY($A$2:$G$2000, ""select G where D="" &amp; AF$1 &amp; "" and E="" &amp; $I25), QUERY($A$2:$G$2000, ""select G where E="" &amp; AF$1 &amp; "" and D="" &amp; $I25))"),6.293333333333333)</f>
        <v>6.293333333</v>
      </c>
      <c r="AG25" s="10">
        <f>IFERROR(__xludf.DUMMYFUNCTION("ifna(QUERY($A$2:$G$2000, ""select G where D="" &amp; AG$1 &amp; "" and E="" &amp; $I25), QUERY($A$2:$G$2000, ""select G where E="" &amp; AG$1 &amp; "" and D="" &amp; $I25))"),6.3392)</f>
        <v>6.3392</v>
      </c>
      <c r="AH25" s="10">
        <f>IFERROR(__xludf.DUMMYFUNCTION("ifna(QUERY($A$2:$G$2000, ""select G where D="" &amp; AH$1 &amp; "" and E="" &amp; $I25), QUERY($A$2:$G$2000, ""select G where E="" &amp; AH$1 &amp; "" and D="" &amp; $I25))"),6.387692307692308)</f>
        <v>6.387692308</v>
      </c>
      <c r="AI25" s="10">
        <f>IFERROR(__xludf.DUMMYFUNCTION("ifna(QUERY($A$2:$G$2000, ""select G where D="" &amp; AI$1 &amp; "" and E="" &amp; $I25), QUERY($A$2:$G$2000, ""select G where E="" &amp; AI$1 &amp; "" and D="" &amp; $I25))"),6.438518518518519)</f>
        <v>6.438518519</v>
      </c>
      <c r="AJ25" s="10">
        <f>IFERROR(__xludf.DUMMYFUNCTION("ifna(QUERY($A$2:$G$2000, ""select G where D="" &amp; AJ$1 &amp; "" and E="" &amp; $I25), QUERY($A$2:$G$2000, ""select G where E="" &amp; AJ$1 &amp; "" and D="" &amp; $I25))"),6.485714285714286)</f>
        <v>6.485714286</v>
      </c>
      <c r="AK25" s="10">
        <f>IFERROR(__xludf.DUMMYFUNCTION("ifna(QUERY($A$2:$G$2000, ""select G where D="" &amp; AK$1 &amp; "" and E="" &amp; $I25), QUERY($A$2:$G$2000, ""select G where E="" &amp; AK$1 &amp; "" and D="" &amp; $I25))"),6.535172413793103)</f>
        <v>6.535172414</v>
      </c>
      <c r="AL25" s="10">
        <f>IFERROR(__xludf.DUMMYFUNCTION("ifna(QUERY($A$2:$G$2000, ""select G where D="" &amp; AL$1 &amp; "" and E="" &amp; $I25), QUERY($A$2:$G$2000, ""select G where E="" &amp; AL$1 &amp; "" and D="" &amp; $I25))"),6.581333333333333)</f>
        <v>6.581333333</v>
      </c>
      <c r="AM25" s="10">
        <f>IFERROR(__xludf.DUMMYFUNCTION("ifna(QUERY($A$2:$G$2000, ""select G where D="" &amp; AM$1 &amp; "" and E="" &amp; $I25), QUERY($A$2:$G$2000, ""select G where E="" &amp; AM$1 &amp; "" and D="" &amp; $I25))"),6.627096774193548)</f>
        <v>6.627096774</v>
      </c>
      <c r="AN25" s="10">
        <f>IFERROR(__xludf.DUMMYFUNCTION("ifna(QUERY($A$2:$G$2000, ""select G where D="" &amp; AN$1 &amp; "" and E="" &amp; $I25), QUERY($A$2:$G$2000, ""select G where E="" &amp; AN$1 &amp; "" and D="" &amp; $I25))"),6.67)</f>
        <v>6.67</v>
      </c>
      <c r="AO25" s="10">
        <f>IFERROR(__xludf.DUMMYFUNCTION("ifna(QUERY($A$2:$G$2000, ""select G where D="" &amp; AO$1 &amp; "" and E="" &amp; $I25), QUERY($A$2:$G$2000, ""select G where E="" &amp; AO$1 &amp; "" and D="" &amp; $I25))"),6.705454545454545)</f>
        <v>6.705454545</v>
      </c>
      <c r="AP25" s="10">
        <f>IFERROR(__xludf.DUMMYFUNCTION("ifna(QUERY($A$2:$G$2000, ""select G where D="" &amp; AP$1 &amp; "" and E="" &amp; $I25), QUERY($A$2:$G$2000, ""select G where E="" &amp; AP$1 &amp; "" and D="" &amp; $I25))"),6.738823529411765)</f>
        <v>6.738823529</v>
      </c>
      <c r="AQ25" s="10">
        <f>IFERROR(__xludf.DUMMYFUNCTION("ifna(QUERY($A$2:$G$2000, ""select G where D="" &amp; AQ$1 &amp; "" and E="" &amp; $I25), QUERY($A$2:$G$2000, ""select G where E="" &amp; AQ$1 &amp; "" and D="" &amp; $I25))"),6.768)</f>
        <v>6.768</v>
      </c>
      <c r="AR25" s="10">
        <f>IFERROR(__xludf.DUMMYFUNCTION("ifna(QUERY($A$2:$G$2000, ""select G where D="" &amp; AR$1 &amp; "" and E="" &amp; $I25), QUERY($A$2:$G$2000, ""select G where E="" &amp; AR$1 &amp; "" and D="" &amp; $I25))"),6.795555555555556)</f>
        <v>6.795555556</v>
      </c>
      <c r="AS25" s="10">
        <f>IFERROR(__xludf.DUMMYFUNCTION("ifna(QUERY($A$2:$G$2000, ""select G where D="" &amp; AS$1 &amp; "" and E="" &amp; $I25), QUERY($A$2:$G$2000, ""select G where E="" &amp; AS$1 &amp; "" and D="" &amp; $I25))"),6.819459459459459)</f>
        <v>6.819459459</v>
      </c>
      <c r="AT25" s="10">
        <f>IFERROR(__xludf.DUMMYFUNCTION("ifna(QUERY($A$2:$G$2000, ""select G where D="" &amp; AT$1 &amp; "" and E="" &amp; $I25), QUERY($A$2:$G$2000, ""select G where E="" &amp; AT$1 &amp; "" and D="" &amp; $I25))"),6.842105263157895)</f>
        <v>6.842105263</v>
      </c>
      <c r="AU25" s="10">
        <f>IFERROR(__xludf.DUMMYFUNCTION("ifna(QUERY($A$2:$G$2000, ""select G where D="" &amp; AU$1 &amp; "" and E="" &amp; $I25), QUERY($A$2:$G$2000, ""select G where E="" &amp; AU$1 &amp; "" and D="" &amp; $I25))"),6.861538461538461)</f>
        <v>6.861538462</v>
      </c>
      <c r="AV25" s="10">
        <f>IFERROR(__xludf.DUMMYFUNCTION("ifna(QUERY($A$2:$G$2000, ""select G where D="" &amp; AV$1 &amp; "" and E="" &amp; $I25), QUERY($A$2:$G$2000, ""select G where E="" &amp; AV$1 &amp; "" and D="" &amp; $I25))"),6.88)</f>
        <v>6.88</v>
      </c>
      <c r="AW25" s="10">
        <f>IFERROR(__xludf.DUMMYFUNCTION("ifna(QUERY($A$2:$G$2000, ""select G where D="" &amp; AW$1 &amp; "" and E="" &amp; $I25), QUERY($A$2:$G$2000, ""select G where E="" &amp; AW$1 &amp; "" and D="" &amp; $I25))"),6.895609756097561)</f>
        <v>6.895609756</v>
      </c>
      <c r="AX25" s="10">
        <f>IFERROR(__xludf.DUMMYFUNCTION("ifna(QUERY($A$2:$G$2000, ""select G where D="" &amp; AX$1 &amp; "" and E="" &amp; $I25), QUERY($A$2:$G$2000, ""select G where E="" &amp; AX$1 &amp; "" and D="" &amp; $I25))"),6.914285714285715)</f>
        <v>6.914285714</v>
      </c>
      <c r="AY25" s="10">
        <f>IFERROR(__xludf.DUMMYFUNCTION("ifna(QUERY($A$2:$G$2000, ""select G where D="" &amp; AY$1 &amp; "" and E="" &amp; $I25), QUERY($A$2:$G$2000, ""select G where E="" &amp; AY$1 &amp; "" and D="" &amp; $I25))"),6.93953488372093)</f>
        <v>6.939534884</v>
      </c>
      <c r="AZ25" s="10">
        <f>IFERROR(__xludf.DUMMYFUNCTION("ifna(QUERY($A$2:$G$2000, ""select G where D="" &amp; AZ$1 &amp; "" and E="" &amp; $I25), QUERY($A$2:$G$2000, ""select G where E="" &amp; AZ$1 &amp; "" and D="" &amp; $I25))"),6.990909090909091)</f>
        <v>6.990909091</v>
      </c>
      <c r="BA25" s="10">
        <f>IFERROR(__xludf.DUMMYFUNCTION("ifna(QUERY($A$2:$G$2000, ""select G where D="" &amp; BA$1 &amp; "" and E="" &amp; $I25), QUERY($A$2:$G$2000, ""select G where E="" &amp; BA$1 &amp; "" and D="" &amp; $I25))"),7.003555555555556)</f>
        <v>7.003555556</v>
      </c>
      <c r="BB25" s="10">
        <f>IFERROR(__xludf.DUMMYFUNCTION("ifna(QUERY($A$2:$G$2000, ""select G where D="" &amp; BB$1 &amp; "" and E="" &amp; $I25), QUERY($A$2:$G$2000, ""select G where E="" &amp; BB$1 &amp; "" and D="" &amp; $I25))"),7.006956521739131)</f>
        <v>7.006956522</v>
      </c>
      <c r="BC25" s="10">
        <f>IFERROR(__xludf.DUMMYFUNCTION("ifna(QUERY($A$2:$G$2000, ""select G where D="" &amp; BC$1 &amp; "" and E="" &amp; $I25), QUERY($A$2:$G$2000, ""select G where E="" &amp; BC$1 &amp; "" and D="" &amp; $I25))"),7.013617021276596)</f>
        <v>7.013617021</v>
      </c>
      <c r="BD25" s="10">
        <f>IFERROR(__xludf.DUMMYFUNCTION("ifna(QUERY($A$2:$G$2000, ""select G where D="" &amp; BD$1 &amp; "" and E="" &amp; $I25), QUERY($A$2:$G$2000, ""select G where E="" &amp; BD$1 &amp; "" and D="" &amp; $I25))"),7.02)</f>
        <v>7.02</v>
      </c>
      <c r="BE25" s="10">
        <f>IFERROR(__xludf.DUMMYFUNCTION("ifna(QUERY($A$2:$G$2000, ""select G where D="" &amp; BE$1 &amp; "" and E="" &amp; $I25), QUERY($A$2:$G$2000, ""select G where E="" &amp; BE$1 &amp; "" and D="" &amp; $I25))"),7.029387755102041)</f>
        <v>7.029387755</v>
      </c>
      <c r="BF25" s="10">
        <f>IFERROR(__xludf.DUMMYFUNCTION("ifna(QUERY($A$2:$G$2000, ""select G where D="" &amp; BF$1 &amp; "" and E="" &amp; $I25), QUERY($A$2:$G$2000, ""select G where E="" &amp; BF$1 &amp; "" and D="" &amp; $I25))"),7.0384)</f>
        <v>7.0384</v>
      </c>
      <c r="BG25" s="10">
        <f>IFERROR(__xludf.DUMMYFUNCTION("ifna(QUERY($A$2:$G$2000, ""select G where D="" &amp; BG$1 &amp; "" and E="" &amp; $I25), QUERY($A$2:$G$2000, ""select G where E="" &amp; BG$1 &amp; "" and D="" &amp; $I25))"),7.050196078431372)</f>
        <v>7.050196078</v>
      </c>
      <c r="BH25" s="10">
        <f>IFERROR(__xludf.DUMMYFUNCTION("ifna(QUERY($A$2:$G$2000, ""select G where D="" &amp; BH$1 &amp; "" and E="" &amp; $I25), QUERY($A$2:$G$2000, ""select G where E="" &amp; BH$1 &amp; "" and D="" &amp; $I25))"),7.061538461538461)</f>
        <v>7.061538462</v>
      </c>
      <c r="BI25" s="10">
        <f>IFERROR(__xludf.DUMMYFUNCTION("ifna(QUERY($A$2:$G$2000, ""select G where D="" &amp; BI$1 &amp; "" and E="" &amp; $I25), QUERY($A$2:$G$2000, ""select G where E="" &amp; BI$1 &amp; "" and D="" &amp; $I25))"),7.0754716981132075)</f>
        <v>7.075471698</v>
      </c>
      <c r="BJ25" s="10">
        <f>IFERROR(__xludf.DUMMYFUNCTION("ifna(QUERY($A$2:$G$2000, ""select G where D="" &amp; BJ$1 &amp; "" and E="" &amp; $I25), QUERY($A$2:$G$2000, ""select G where E="" &amp; BJ$1 &amp; "" and D="" &amp; $I25))"),7.088888888888889)</f>
        <v>7.088888889</v>
      </c>
      <c r="BK25" s="10">
        <f>IFERROR(__xludf.DUMMYFUNCTION("ifna(QUERY($A$2:$G$2000, ""select G where D="" &amp; BK$1 &amp; "" and E="" &amp; $I25), QUERY($A$2:$G$2000, ""select G where E="" &amp; BK$1 &amp; "" and D="" &amp; $I25))"),7.104727272727272)</f>
        <v>7.104727273</v>
      </c>
      <c r="BL25" s="10"/>
      <c r="BM25" s="10"/>
      <c r="BN25" s="10"/>
      <c r="BO25" s="10"/>
    </row>
    <row r="26">
      <c r="A26" s="3">
        <v>4.0</v>
      </c>
      <c r="B26" s="3">
        <v>20.0</v>
      </c>
      <c r="C26" s="3">
        <v>40.0</v>
      </c>
      <c r="D26" s="3">
        <v>7.0</v>
      </c>
      <c r="E26" s="3">
        <v>4.0</v>
      </c>
      <c r="F26" s="11">
        <f t="shared" si="1"/>
        <v>0.5</v>
      </c>
      <c r="G26" s="5">
        <f t="shared" si="2"/>
        <v>3.5</v>
      </c>
      <c r="H26" s="3">
        <v>26.0</v>
      </c>
      <c r="I26" s="2">
        <v>25.0</v>
      </c>
      <c r="J26" s="10">
        <f>IFERROR(__xludf.DUMMYFUNCTION("ifna(QUERY($A$2:$G$2000, ""select G where D="" &amp; J$1 &amp; "" and E="" &amp; $I26), QUERY($A$2:$G$2000, ""select G where E="" &amp; J$1 &amp; "" and D="" &amp; $I26))"),4.6923076923076925)</f>
        <v>4.692307692</v>
      </c>
      <c r="K26" s="10">
        <f>IFERROR(__xludf.DUMMYFUNCTION("ifna(QUERY($A$2:$G$2000, ""select G where D="" &amp; K$1 &amp; "" and E="" &amp; $I26), QUERY($A$2:$G$2000, ""select G where E="" &amp; K$1 &amp; "" and D="" &amp; $I26))"),4.743589743589744)</f>
        <v>4.743589744</v>
      </c>
      <c r="L26" s="10">
        <f>IFERROR(__xludf.DUMMYFUNCTION("ifna(QUERY($A$2:$G$2000, ""select G where D="" &amp; L$1 &amp; "" and E="" &amp; $I26), QUERY($A$2:$G$2000, ""select G where E="" &amp; L$1 &amp; "" and D="" &amp; $I26))"),4.884615384615385)</f>
        <v>4.884615385</v>
      </c>
      <c r="M26" s="10">
        <f>IFERROR(__xludf.DUMMYFUNCTION("ifna(QUERY($A$2:$G$2000, ""select G where D="" &amp; M$1 &amp; "" and E="" &amp; $I26), QUERY($A$2:$G$2000, ""select G where E="" &amp; M$1 &amp; "" and D="" &amp; $I26))"),5.030769230769231)</f>
        <v>5.030769231</v>
      </c>
      <c r="N26" s="10">
        <f>IFERROR(__xludf.DUMMYFUNCTION("ifna(QUERY($A$2:$G$2000, ""select G where D="" &amp; N$1 &amp; "" and E="" &amp; $I26), QUERY($A$2:$G$2000, ""select G where E="" &amp; N$1 &amp; "" and D="" &amp; $I26))"),5.102564102564102)</f>
        <v>5.102564103</v>
      </c>
      <c r="O26" s="10">
        <f>IFERROR(__xludf.DUMMYFUNCTION("ifna(QUERY($A$2:$G$2000, ""select G where D="" &amp; O$1 &amp; "" and E="" &amp; $I26), QUERY($A$2:$G$2000, ""select G where E="" &amp; O$1 &amp; "" and D="" &amp; $I26))"),5.21978021978022)</f>
        <v>5.21978022</v>
      </c>
      <c r="P26" s="10">
        <f>IFERROR(__xludf.DUMMYFUNCTION("ifna(QUERY($A$2:$G$2000, ""select G where D="" &amp; P$1 &amp; "" and E="" &amp; $I26), QUERY($A$2:$G$2000, ""select G where E="" &amp; P$1 &amp; "" and D="" &amp; $I26))"),5.346153846153846)</f>
        <v>5.346153846</v>
      </c>
      <c r="Q26" s="10">
        <f>IFERROR(__xludf.DUMMYFUNCTION("ifna(QUERY($A$2:$G$2000, ""select G where D="" &amp; Q$1 &amp; "" and E="" &amp; $I26), QUERY($A$2:$G$2000, ""select G where E="" &amp; Q$1 &amp; "" and D="" &amp; $I26))"),5.47008547008547)</f>
        <v>5.47008547</v>
      </c>
      <c r="R26" s="10">
        <f>IFERROR(__xludf.DUMMYFUNCTION("ifna(QUERY($A$2:$G$2000, ""select G where D="" &amp; R$1 &amp; "" and E="" &amp; $I26), QUERY($A$2:$G$2000, ""select G where E="" &amp; R$1 &amp; "" and D="" &amp; $I26))"),5.584615384615384)</f>
        <v>5.584615385</v>
      </c>
      <c r="S26" s="10">
        <f>IFERROR(__xludf.DUMMYFUNCTION("ifna(QUERY($A$2:$G$2000, ""select G where D="" &amp; S$1 &amp; "" and E="" &amp; $I26), QUERY($A$2:$G$2000, ""select G where E="" &amp; S$1 &amp; "" and D="" &amp; $I26))"),5.6923076923076925)</f>
        <v>5.692307692</v>
      </c>
      <c r="T26" s="10">
        <f>IFERROR(__xludf.DUMMYFUNCTION("ifna(QUERY($A$2:$G$2000, ""select G where D="" &amp; T$1 &amp; "" and E="" &amp; $I26), QUERY($A$2:$G$2000, ""select G where E="" &amp; T$1 &amp; "" and D="" &amp; $I26))"),5.782051282051282)</f>
        <v>5.782051282</v>
      </c>
      <c r="U26" s="10">
        <f>IFERROR(__xludf.DUMMYFUNCTION("ifna(QUERY($A$2:$G$2000, ""select G where D="" &amp; U$1 &amp; "" and E="" &amp; $I26), QUERY($A$2:$G$2000, ""select G where E="" &amp; U$1 &amp; "" and D="" &amp; $I26))"),5.840236686390533)</f>
        <v>5.840236686</v>
      </c>
      <c r="V26" s="10">
        <f>IFERROR(__xludf.DUMMYFUNCTION("ifna(QUERY($A$2:$G$2000, ""select G where D="" &amp; V$1 &amp; "" and E="" &amp; $I26), QUERY($A$2:$G$2000, ""select G where E="" &amp; V$1 &amp; "" and D="" &amp; $I26))"),5.8901098901098905)</f>
        <v>5.89010989</v>
      </c>
      <c r="W26" s="10">
        <f>IFERROR(__xludf.DUMMYFUNCTION("ifna(QUERY($A$2:$G$2000, ""select G where D="" &amp; W$1 &amp; "" and E="" &amp; $I26), QUERY($A$2:$G$2000, ""select G where E="" &amp; W$1 &amp; "" and D="" &amp; $I26))"),5.938461538461539)</f>
        <v>5.938461538</v>
      </c>
      <c r="X26" s="10">
        <f>IFERROR(__xludf.DUMMYFUNCTION("ifna(QUERY($A$2:$G$2000, ""select G where D="" &amp; X$1 &amp; "" and E="" &amp; $I26), QUERY($A$2:$G$2000, ""select G where E="" &amp; X$1 &amp; "" and D="" &amp; $I26))"),6.009615384615385)</f>
        <v>6.009615385</v>
      </c>
      <c r="Y26" s="10">
        <f>IFERROR(__xludf.DUMMYFUNCTION("ifna(QUERY($A$2:$G$2000, ""select G where D="" &amp; Y$1 &amp; "" and E="" &amp; $I26), QUERY($A$2:$G$2000, ""select G where E="" &amp; Y$1 &amp; "" and D="" &amp; $I26))"),6.036199095022624)</f>
        <v>6.036199095</v>
      </c>
      <c r="Z26" s="10">
        <f>IFERROR(__xludf.DUMMYFUNCTION("ifna(QUERY($A$2:$G$2000, ""select G where D="" &amp; Z$1 &amp; "" and E="" &amp; $I26), QUERY($A$2:$G$2000, ""select G where E="" &amp; Z$1 &amp; "" and D="" &amp; $I26))"),6.068376068376068)</f>
        <v>6.068376068</v>
      </c>
      <c r="AA26" s="10">
        <f>IFERROR(__xludf.DUMMYFUNCTION("ifna(QUERY($A$2:$G$2000, ""select G where D="" &amp; AA$1 &amp; "" and E="" &amp; $I26), QUERY($A$2:$G$2000, ""select G where E="" &amp; AA$1 &amp; "" and D="" &amp; $I26))"),6.105263157894737)</f>
        <v>6.105263158</v>
      </c>
      <c r="AB26" s="10">
        <f>IFERROR(__xludf.DUMMYFUNCTION("ifna(QUERY($A$2:$G$2000, ""select G where D="" &amp; AB$1 &amp; "" and E="" &amp; $I26), QUERY($A$2:$G$2000, ""select G where E="" &amp; AB$1 &amp; "" and D="" &amp; $I26))"),6.1461538461538465)</f>
        <v>6.146153846</v>
      </c>
      <c r="AC26" s="10">
        <f>IFERROR(__xludf.DUMMYFUNCTION("ifna(QUERY($A$2:$G$2000, ""select G where D="" &amp; AC$1 &amp; "" and E="" &amp; $I26), QUERY($A$2:$G$2000, ""select G where E="" &amp; AC$1 &amp; "" and D="" &amp; $I26))"),6.190476190476191)</f>
        <v>6.19047619</v>
      </c>
      <c r="AD26" s="10">
        <f>IFERROR(__xludf.DUMMYFUNCTION("ifna(QUERY($A$2:$G$2000, ""select G where D="" &amp; AD$1 &amp; "" and E="" &amp; $I26), QUERY($A$2:$G$2000, ""select G where E="" &amp; AD$1 &amp; "" and D="" &amp; $I26))"),6.2377622377622375)</f>
        <v>6.237762238</v>
      </c>
      <c r="AE26" s="10">
        <f>IFERROR(__xludf.DUMMYFUNCTION("ifna(QUERY($A$2:$G$2000, ""select G where D="" &amp; AE$1 &amp; "" and E="" &amp; $I26), QUERY($A$2:$G$2000, ""select G where E="" &amp; AE$1 &amp; "" and D="" &amp; $I26))"),6.287625418060201)</f>
        <v>6.287625418</v>
      </c>
      <c r="AF26" s="10">
        <f>IFERROR(__xludf.DUMMYFUNCTION("ifna(QUERY($A$2:$G$2000, ""select G where D="" &amp; AF$1 &amp; "" and E="" &amp; $I26), QUERY($A$2:$G$2000, ""select G where E="" &amp; AF$1 &amp; "" and D="" &amp; $I26))"),6.339743589743589)</f>
        <v>6.33974359</v>
      </c>
      <c r="AG26" s="10">
        <f>IFERROR(__xludf.DUMMYFUNCTION("ifna(QUERY($A$2:$G$2000, ""select G where D="" &amp; AG$1 &amp; "" and E="" &amp; $I26), QUERY($A$2:$G$2000, ""select G where E="" &amp; AG$1 &amp; "" and D="" &amp; $I26))"),6.387692307692308)</f>
        <v>6.387692308</v>
      </c>
      <c r="AH26" s="10">
        <f>IFERROR(__xludf.DUMMYFUNCTION("ifna(QUERY($A$2:$G$2000, ""select G where D="" &amp; AH$1 &amp; "" and E="" &amp; $I26), QUERY($A$2:$G$2000, ""select G where E="" &amp; AH$1 &amp; "" and D="" &amp; $I26))"),6.437869822485207)</f>
        <v>6.437869822</v>
      </c>
      <c r="AI26" s="10">
        <f>IFERROR(__xludf.DUMMYFUNCTION("ifna(QUERY($A$2:$G$2000, ""select G where D="" &amp; AI$1 &amp; "" and E="" &amp; $I26), QUERY($A$2:$G$2000, ""select G where E="" &amp; AI$1 &amp; "" and D="" &amp; $I26))"),6.49002849002849)</f>
        <v>6.49002849</v>
      </c>
      <c r="AJ26" s="10">
        <f>IFERROR(__xludf.DUMMYFUNCTION("ifna(QUERY($A$2:$G$2000, ""select G where D="" &amp; AJ$1 &amp; "" and E="" &amp; $I26), QUERY($A$2:$G$2000, ""select G where E="" &amp; AJ$1 &amp; "" and D="" &amp; $I26))"),6.538461538461538)</f>
        <v>6.538461538</v>
      </c>
      <c r="AK26" s="10">
        <f>IFERROR(__xludf.DUMMYFUNCTION("ifna(QUERY($A$2:$G$2000, ""select G where D="" &amp; AK$1 &amp; "" and E="" &amp; $I26), QUERY($A$2:$G$2000, ""select G where E="" &amp; AK$1 &amp; "" and D="" &amp; $I26))"),6.588859416445623)</f>
        <v>6.588859416</v>
      </c>
      <c r="AL26" s="10">
        <f>IFERROR(__xludf.DUMMYFUNCTION("ifna(QUERY($A$2:$G$2000, ""select G where D="" &amp; AL$1 &amp; "" and E="" &amp; $I26), QUERY($A$2:$G$2000, ""select G where E="" &amp; AL$1 &amp; "" and D="" &amp; $I26))"),6.635897435897436)</f>
        <v>6.635897436</v>
      </c>
      <c r="AM26" s="10">
        <f>IFERROR(__xludf.DUMMYFUNCTION("ifna(QUERY($A$2:$G$2000, ""select G where D="" &amp; AM$1 &amp; "" and E="" &amp; $I26), QUERY($A$2:$G$2000, ""select G where E="" &amp; AM$1 &amp; "" and D="" &amp; $I26))"),6.67741935483871)</f>
        <v>6.677419355</v>
      </c>
      <c r="AN26" s="10">
        <f>IFERROR(__xludf.DUMMYFUNCTION("ifna(QUERY($A$2:$G$2000, ""select G where D="" &amp; AN$1 &amp; "" and E="" &amp; $I26), QUERY($A$2:$G$2000, ""select G where E="" &amp; AN$1 &amp; "" and D="" &amp; $I26))"),6.716346153846154)</f>
        <v>6.716346154</v>
      </c>
      <c r="AO26" s="10">
        <f>IFERROR(__xludf.DUMMYFUNCTION("ifna(QUERY($A$2:$G$2000, ""select G where D="" &amp; AO$1 &amp; "" and E="" &amp; $I26), QUERY($A$2:$G$2000, ""select G where E="" &amp; AO$1 &amp; "" and D="" &amp; $I26))"),6.748251748251748)</f>
        <v>6.748251748</v>
      </c>
      <c r="AP26" s="10">
        <f>IFERROR(__xludf.DUMMYFUNCTION("ifna(QUERY($A$2:$G$2000, ""select G where D="" &amp; AP$1 &amp; "" and E="" &amp; $I26), QUERY($A$2:$G$2000, ""select G where E="" &amp; AP$1 &amp; "" and D="" &amp; $I26))"),6.778280542986425)</f>
        <v>6.778280543</v>
      </c>
      <c r="AQ26" s="10">
        <f>IFERROR(__xludf.DUMMYFUNCTION("ifna(QUERY($A$2:$G$2000, ""select G where D="" &amp; AQ$1 &amp; "" and E="" &amp; $I26), QUERY($A$2:$G$2000, ""select G where E="" &amp; AQ$1 &amp; "" and D="" &amp; $I26))"),6.804395604395604)</f>
        <v>6.804395604</v>
      </c>
      <c r="AR26" s="10">
        <f>IFERROR(__xludf.DUMMYFUNCTION("ifna(QUERY($A$2:$G$2000, ""select G where D="" &amp; AR$1 &amp; "" and E="" &amp; $I26), QUERY($A$2:$G$2000, ""select G where E="" &amp; AR$1 &amp; "" and D="" &amp; $I26))"),6.829059829059829)</f>
        <v>6.829059829</v>
      </c>
      <c r="AS26" s="10">
        <f>IFERROR(__xludf.DUMMYFUNCTION("ifna(QUERY($A$2:$G$2000, ""select G where D="" &amp; AS$1 &amp; "" and E="" &amp; $I26), QUERY($A$2:$G$2000, ""select G where E="" &amp; AS$1 &amp; "" and D="" &amp; $I26))"),6.850311850311851)</f>
        <v>6.85031185</v>
      </c>
      <c r="AT26" s="10">
        <f>IFERROR(__xludf.DUMMYFUNCTION("ifna(QUERY($A$2:$G$2000, ""select G where D="" &amp; AT$1 &amp; "" and E="" &amp; $I26), QUERY($A$2:$G$2000, ""select G where E="" &amp; AT$1 &amp; "" and D="" &amp; $I26))"),6.870445344129554)</f>
        <v>6.870445344</v>
      </c>
      <c r="AU26" s="10">
        <f>IFERROR(__xludf.DUMMYFUNCTION("ifna(QUERY($A$2:$G$2000, ""select G where D="" &amp; AU$1 &amp; "" and E="" &amp; $I26), QUERY($A$2:$G$2000, ""select G where E="" &amp; AU$1 &amp; "" and D="" &amp; $I26))"),6.887573964497041)</f>
        <v>6.887573964</v>
      </c>
      <c r="AV26" s="10">
        <f>IFERROR(__xludf.DUMMYFUNCTION("ifna(QUERY($A$2:$G$2000, ""select G where D="" &amp; AV$1 &amp; "" and E="" &amp; $I26), QUERY($A$2:$G$2000, ""select G where E="" &amp; AV$1 &amp; "" and D="" &amp; $I26))"),6.903846153846154)</f>
        <v>6.903846154</v>
      </c>
      <c r="AW26" s="10">
        <f>IFERROR(__xludf.DUMMYFUNCTION("ifna(QUERY($A$2:$G$2000, ""select G where D="" &amp; AW$1 &amp; "" and E="" &amp; $I26), QUERY($A$2:$G$2000, ""select G where E="" &amp; AW$1 &amp; "" and D="" &amp; $I26))"),6.930581613508442)</f>
        <v>6.930581614</v>
      </c>
      <c r="AX26" s="10">
        <f>IFERROR(__xludf.DUMMYFUNCTION("ifna(QUERY($A$2:$G$2000, ""select G where D="" &amp; AX$1 &amp; "" and E="" &amp; $I26), QUERY($A$2:$G$2000, ""select G where E="" &amp; AX$1 &amp; "" and D="" &amp; $I26))"),6.954212454212454)</f>
        <v>6.954212454</v>
      </c>
      <c r="AY26" s="10">
        <f>IFERROR(__xludf.DUMMYFUNCTION("ifna(QUERY($A$2:$G$2000, ""select G where D="" &amp; AY$1 &amp; "" and E="" &amp; $I26), QUERY($A$2:$G$2000, ""select G where E="" &amp; AY$1 &amp; "" and D="" &amp; $I26))"),7.003577817531306)</f>
        <v>7.003577818</v>
      </c>
      <c r="AZ26" s="10">
        <f>IFERROR(__xludf.DUMMYFUNCTION("ifna(QUERY($A$2:$G$2000, ""select G where D="" &amp; AZ$1 &amp; "" and E="" &amp; $I26), QUERY($A$2:$G$2000, ""select G where E="" &amp; AZ$1 &amp; "" and D="" &amp; $I26))"),7.006993006993007)</f>
        <v>7.006993007</v>
      </c>
      <c r="BA26" s="10">
        <f>IFERROR(__xludf.DUMMYFUNCTION("ifna(QUERY($A$2:$G$2000, ""select G where D="" &amp; BA$1 &amp; "" and E="" &amp; $I26), QUERY($A$2:$G$2000, ""select G where E="" &amp; BA$1 &amp; "" and D="" &amp; $I26))"),7.013675213675214)</f>
        <v>7.013675214</v>
      </c>
      <c r="BB26" s="10">
        <f>IFERROR(__xludf.DUMMYFUNCTION("ifna(QUERY($A$2:$G$2000, ""select G where D="" &amp; BB$1 &amp; "" and E="" &amp; $I26), QUERY($A$2:$G$2000, ""select G where E="" &amp; BB$1 &amp; "" and D="" &amp; $I26))"),7.020066889632107)</f>
        <v>7.02006689</v>
      </c>
      <c r="BC26" s="10">
        <f>IFERROR(__xludf.DUMMYFUNCTION("ifna(QUERY($A$2:$G$2000, ""select G where D="" &amp; BC$1 &amp; "" and E="" &amp; $I26), QUERY($A$2:$G$2000, ""select G where E="" &amp; BC$1 &amp; "" and D="" &amp; $I26))"),7.029459901800327)</f>
        <v>7.029459902</v>
      </c>
      <c r="BD26" s="10">
        <f>IFERROR(__xludf.DUMMYFUNCTION("ifna(QUERY($A$2:$G$2000, ""select G where D="" &amp; BD$1 &amp; "" and E="" &amp; $I26), QUERY($A$2:$G$2000, ""select G where E="" &amp; BD$1 &amp; "" and D="" &amp; $I26))"),7.038461538461538)</f>
        <v>7.038461538</v>
      </c>
      <c r="BE26" s="10">
        <f>IFERROR(__xludf.DUMMYFUNCTION("ifna(QUERY($A$2:$G$2000, ""select G where D="" &amp; BE$1 &amp; "" and E="" &amp; $I26), QUERY($A$2:$G$2000, ""select G where E="" &amp; BE$1 &amp; "" and D="" &amp; $I26))"),7.050235478806908)</f>
        <v>7.050235479</v>
      </c>
      <c r="BF26" s="10">
        <f>IFERROR(__xludf.DUMMYFUNCTION("ifna(QUERY($A$2:$G$2000, ""select G where D="" &amp; BF$1 &amp; "" and E="" &amp; $I26), QUERY($A$2:$G$2000, ""select G where E="" &amp; BF$1 &amp; "" and D="" &amp; $I26))"),7.061538461538461)</f>
        <v>7.061538462</v>
      </c>
      <c r="BG26" s="10">
        <f>IFERROR(__xludf.DUMMYFUNCTION("ifna(QUERY($A$2:$G$2000, ""select G where D="" &amp; BG$1 &amp; "" and E="" &amp; $I26), QUERY($A$2:$G$2000, ""select G where E="" &amp; BG$1 &amp; "" and D="" &amp; $I26))"),7.075414781297134)</f>
        <v>7.075414781</v>
      </c>
      <c r="BH26" s="10">
        <f>IFERROR(__xludf.DUMMYFUNCTION("ifna(QUERY($A$2:$G$2000, ""select G where D="" &amp; BH$1 &amp; "" and E="" &amp; $I26), QUERY($A$2:$G$2000, ""select G where E="" &amp; BH$1 &amp; "" and D="" &amp; $I26))"),7.088757396449704)</f>
        <v>7.088757396</v>
      </c>
      <c r="BI26" s="10">
        <f>IFERROR(__xludf.DUMMYFUNCTION("ifna(QUERY($A$2:$G$2000, ""select G where D="" &amp; BI$1 &amp; "" and E="" &amp; $I26), QUERY($A$2:$G$2000, ""select G where E="" &amp; BI$1 &amp; "" and D="" &amp; $I26))"),7.104499274310595)</f>
        <v>7.104499274</v>
      </c>
      <c r="BJ26" s="10">
        <f>IFERROR(__xludf.DUMMYFUNCTION("ifna(QUERY($A$2:$G$2000, ""select G where D="" &amp; BJ$1 &amp; "" and E="" &amp; $I26), QUERY($A$2:$G$2000, ""select G where E="" &amp; BJ$1 &amp; "" and D="" &amp; $I26))"),7.119658119658119)</f>
        <v>7.11965812</v>
      </c>
      <c r="BK26" s="10">
        <f>IFERROR(__xludf.DUMMYFUNCTION("ifna(QUERY($A$2:$G$2000, ""select G where D="" &amp; BK$1 &amp; "" and E="" &amp; $I26), QUERY($A$2:$G$2000, ""select G where E="" &amp; BK$1 &amp; "" and D="" &amp; $I26))"),7.137062937062937)</f>
        <v>7.137062937</v>
      </c>
      <c r="BL26" s="10"/>
      <c r="BM26" s="10"/>
      <c r="BN26" s="10"/>
      <c r="BO26" s="10"/>
    </row>
    <row r="27">
      <c r="A27" s="3">
        <v>4.0</v>
      </c>
      <c r="B27" s="3">
        <v>12.0</v>
      </c>
      <c r="C27" s="3">
        <v>48.0</v>
      </c>
      <c r="D27" s="3">
        <v>7.0</v>
      </c>
      <c r="E27" s="3">
        <v>5.0</v>
      </c>
      <c r="F27" s="11">
        <f t="shared" si="1"/>
        <v>0.25</v>
      </c>
      <c r="G27" s="5">
        <f t="shared" si="2"/>
        <v>3.75</v>
      </c>
      <c r="H27" s="3">
        <v>27.0</v>
      </c>
      <c r="I27" s="2">
        <v>26.0</v>
      </c>
      <c r="J27" s="10">
        <f>IFERROR(__xludf.DUMMYFUNCTION("ifna(QUERY($A$2:$G$2000, ""select G where D="" &amp; J$1 &amp; "" and E="" &amp; $I27), QUERY($A$2:$G$2000, ""select G where E="" &amp; J$1 &amp; "" and D="" &amp; $I27))"),4.7407407407407405)</f>
        <v>4.740740741</v>
      </c>
      <c r="K27" s="10">
        <f>IFERROR(__xludf.DUMMYFUNCTION("ifna(QUERY($A$2:$G$2000, ""select G where D="" &amp; K$1 &amp; "" and E="" &amp; $I27), QUERY($A$2:$G$2000, ""select G where E="" &amp; K$1 &amp; "" and D="" &amp; $I27))"),4.790123456790123)</f>
        <v>4.790123457</v>
      </c>
      <c r="L27" s="10">
        <f>IFERROR(__xludf.DUMMYFUNCTION("ifna(QUERY($A$2:$G$2000, ""select G where D="" &amp; L$1 &amp; "" and E="" &amp; $I27), QUERY($A$2:$G$2000, ""select G where E="" &amp; L$1 &amp; "" and D="" &amp; $I27))"),4.907407407407407)</f>
        <v>4.907407407</v>
      </c>
      <c r="M27" s="10">
        <f>IFERROR(__xludf.DUMMYFUNCTION("ifna(QUERY($A$2:$G$2000, ""select G where D="" &amp; M$1 &amp; "" and E="" &amp; $I27), QUERY($A$2:$G$2000, ""select G where E="" &amp; M$1 &amp; "" and D="" &amp; $I27))"),5.059259259259259)</f>
        <v>5.059259259</v>
      </c>
      <c r="N27" s="10">
        <f>IFERROR(__xludf.DUMMYFUNCTION("ifna(QUERY($A$2:$G$2000, ""select G where D="" &amp; N$1 &amp; "" and E="" &amp; $I27), QUERY($A$2:$G$2000, ""select G where E="" &amp; N$1 &amp; "" and D="" &amp; $I27))"),5.148148148148148)</f>
        <v>5.148148148</v>
      </c>
      <c r="O27" s="10">
        <f>IFERROR(__xludf.DUMMYFUNCTION("ifna(QUERY($A$2:$G$2000, ""select G where D="" &amp; O$1 &amp; "" and E="" &amp; $I27), QUERY($A$2:$G$2000, ""select G where E="" &amp; O$1 &amp; "" and D="" &amp; $I27))"),5.275132275132275)</f>
        <v>5.275132275</v>
      </c>
      <c r="P27" s="10">
        <f>IFERROR(__xludf.DUMMYFUNCTION("ifna(QUERY($A$2:$G$2000, ""select G where D="" &amp; P$1 &amp; "" and E="" &amp; $I27), QUERY($A$2:$G$2000, ""select G where E="" &amp; P$1 &amp; "" and D="" &amp; $I27))"),5.407407407407407)</f>
        <v>5.407407407</v>
      </c>
      <c r="Q27" s="10">
        <f>IFERROR(__xludf.DUMMYFUNCTION("ifna(QUERY($A$2:$G$2000, ""select G where D="" &amp; Q$1 &amp; "" and E="" &amp; $I27), QUERY($A$2:$G$2000, ""select G where E="" &amp; Q$1 &amp; "" and D="" &amp; $I27))"),5.526748971193416)</f>
        <v>5.526748971</v>
      </c>
      <c r="R27" s="10">
        <f>IFERROR(__xludf.DUMMYFUNCTION("ifna(QUERY($A$2:$G$2000, ""select G where D="" &amp; R$1 &amp; "" and E="" &amp; $I27), QUERY($A$2:$G$2000, ""select G where E="" &amp; R$1 &amp; "" and D="" &amp; $I27))"),5.637037037037037)</f>
        <v>5.637037037</v>
      </c>
      <c r="S27" s="10">
        <f>IFERROR(__xludf.DUMMYFUNCTION("ifna(QUERY($A$2:$G$2000, ""select G where D="" &amp; S$1 &amp; "" and E="" &amp; $I27), QUERY($A$2:$G$2000, ""select G where E="" &amp; S$1 &amp; "" and D="" &amp; $I27))"),5.7340067340067336)</f>
        <v>5.734006734</v>
      </c>
      <c r="T27" s="10">
        <f>IFERROR(__xludf.DUMMYFUNCTION("ifna(QUERY($A$2:$G$2000, ""select G where D="" &amp; T$1 &amp; "" and E="" &amp; $I27), QUERY($A$2:$G$2000, ""select G where E="" &amp; T$1 &amp; "" and D="" &amp; $I27))"),5.814814814814815)</f>
        <v>5.814814815</v>
      </c>
      <c r="U27" s="10">
        <f>IFERROR(__xludf.DUMMYFUNCTION("ifna(QUERY($A$2:$G$2000, ""select G where D="" &amp; U$1 &amp; "" and E="" &amp; $I27), QUERY($A$2:$G$2000, ""select G where E="" &amp; U$1 &amp; "" and D="" &amp; $I27))"),5.866096866096866)</f>
        <v>5.866096866</v>
      </c>
      <c r="V27" s="10">
        <f>IFERROR(__xludf.DUMMYFUNCTION("ifna(QUERY($A$2:$G$2000, ""select G where D="" &amp; V$1 &amp; "" and E="" &amp; $I27), QUERY($A$2:$G$2000, ""select G where E="" &amp; V$1 &amp; "" and D="" &amp; $I27))"),5.920634920634921)</f>
        <v>5.920634921</v>
      </c>
      <c r="W27" s="10">
        <f>IFERROR(__xludf.DUMMYFUNCTION("ifna(QUERY($A$2:$G$2000, ""select G where D="" &amp; W$1 &amp; "" and E="" &amp; $I27), QUERY($A$2:$G$2000, ""select G where E="" &amp; W$1 &amp; "" and D="" &amp; $I27))"),6.009876543209876)</f>
        <v>6.009876543</v>
      </c>
      <c r="X27" s="10">
        <f>IFERROR(__xludf.DUMMYFUNCTION("ifna(QUERY($A$2:$G$2000, ""select G where D="" &amp; X$1 &amp; "" and E="" &amp; $I27), QUERY($A$2:$G$2000, ""select G where E="" &amp; X$1 &amp; "" and D="" &amp; $I27))"),6.027777777777778)</f>
        <v>6.027777778</v>
      </c>
      <c r="Y27" s="10">
        <f>IFERROR(__xludf.DUMMYFUNCTION("ifna(QUERY($A$2:$G$2000, ""select G where D="" &amp; Y$1 &amp; "" and E="" &amp; $I27), QUERY($A$2:$G$2000, ""select G where E="" &amp; Y$1 &amp; "" and D="" &amp; $I27))"),6.061002178649238)</f>
        <v>6.061002179</v>
      </c>
      <c r="Z27" s="10">
        <f>IFERROR(__xludf.DUMMYFUNCTION("ifna(QUERY($A$2:$G$2000, ""select G where D="" &amp; Z$1 &amp; "" and E="" &amp; $I27), QUERY($A$2:$G$2000, ""select G where E="" &amp; Z$1 &amp; "" and D="" &amp; $I27))"),6.098765432098766)</f>
        <v>6.098765432</v>
      </c>
      <c r="AA27" s="10">
        <f>IFERROR(__xludf.DUMMYFUNCTION("ifna(QUERY($A$2:$G$2000, ""select G where D="" &amp; AA$1 &amp; "" and E="" &amp; $I27), QUERY($A$2:$G$2000, ""select G where E="" &amp; AA$1 &amp; "" and D="" &amp; $I27))"),6.140350877192983)</f>
        <v>6.140350877</v>
      </c>
      <c r="AB27" s="10">
        <f>IFERROR(__xludf.DUMMYFUNCTION("ifna(QUERY($A$2:$G$2000, ""select G where D="" &amp; AB$1 &amp; "" and E="" &amp; $I27), QUERY($A$2:$G$2000, ""select G where E="" &amp; AB$1 &amp; "" and D="" &amp; $I27))"),6.185185185185185)</f>
        <v>6.185185185</v>
      </c>
      <c r="AC27" s="10">
        <f>IFERROR(__xludf.DUMMYFUNCTION("ifna(QUERY($A$2:$G$2000, ""select G where D="" &amp; AC$1 &amp; "" and E="" &amp; $I27), QUERY($A$2:$G$2000, ""select G where E="" &amp; AC$1 &amp; "" and D="" &amp; $I27))"),6.232804232804233)</f>
        <v>6.232804233</v>
      </c>
      <c r="AD27" s="10">
        <f>IFERROR(__xludf.DUMMYFUNCTION("ifna(QUERY($A$2:$G$2000, ""select G where D="" &amp; AD$1 &amp; "" and E="" &amp; $I27), QUERY($A$2:$G$2000, ""select G where E="" &amp; AD$1 &amp; "" and D="" &amp; $I27))"),6.282828282828283)</f>
        <v>6.282828283</v>
      </c>
      <c r="AE27" s="10">
        <f>IFERROR(__xludf.DUMMYFUNCTION("ifna(QUERY($A$2:$G$2000, ""select G where D="" &amp; AE$1 &amp; "" and E="" &amp; $I27), QUERY($A$2:$G$2000, ""select G where E="" &amp; AE$1 &amp; "" and D="" &amp; $I27))"),6.334943639291465)</f>
        <v>6.334943639</v>
      </c>
      <c r="AF27" s="10">
        <f>IFERROR(__xludf.DUMMYFUNCTION("ifna(QUERY($A$2:$G$2000, ""select G where D="" &amp; AF$1 &amp; "" and E="" &amp; $I27), QUERY($A$2:$G$2000, ""select G where E="" &amp; AF$1 &amp; "" and D="" &amp; $I27))"),6.388888888888889)</f>
        <v>6.388888889</v>
      </c>
      <c r="AG27" s="10">
        <f>IFERROR(__xludf.DUMMYFUNCTION("ifna(QUERY($A$2:$G$2000, ""select G where D="" &amp; AG$1 &amp; "" and E="" &amp; $I27), QUERY($A$2:$G$2000, ""select G where E="" &amp; AG$1 &amp; "" and D="" &amp; $I27))"),6.438518518518519)</f>
        <v>6.438518519</v>
      </c>
      <c r="AH27" s="10">
        <f>IFERROR(__xludf.DUMMYFUNCTION("ifna(QUERY($A$2:$G$2000, ""select G where D="" &amp; AH$1 &amp; "" and E="" &amp; $I27), QUERY($A$2:$G$2000, ""select G where E="" &amp; AH$1 &amp; "" and D="" &amp; $I27))"),6.49002849002849)</f>
        <v>6.49002849</v>
      </c>
      <c r="AI27" s="10">
        <f>IFERROR(__xludf.DUMMYFUNCTION("ifna(QUERY($A$2:$G$2000, ""select G where D="" &amp; AI$1 &amp; "" and E="" &amp; $I27), QUERY($A$2:$G$2000, ""select G where E="" &amp; AI$1 &amp; "" and D="" &amp; $I27))"),6.54320987654321)</f>
        <v>6.543209877</v>
      </c>
      <c r="AJ27" s="10">
        <f>IFERROR(__xludf.DUMMYFUNCTION("ifna(QUERY($A$2:$G$2000, ""select G where D="" &amp; AJ$1 &amp; "" and E="" &amp; $I27), QUERY($A$2:$G$2000, ""select G where E="" &amp; AJ$1 &amp; "" and D="" &amp; $I27))"),6.592592592592593)</f>
        <v>6.592592593</v>
      </c>
      <c r="AK27" s="10">
        <f>IFERROR(__xludf.DUMMYFUNCTION("ifna(QUERY($A$2:$G$2000, ""select G where D="" &amp; AK$1 &amp; "" and E="" &amp; $I27), QUERY($A$2:$G$2000, ""select G where E="" &amp; AK$1 &amp; "" and D="" &amp; $I27))"),6.638569604086846)</f>
        <v>6.638569604</v>
      </c>
      <c r="AL27" s="10">
        <f>IFERROR(__xludf.DUMMYFUNCTION("ifna(QUERY($A$2:$G$2000, ""select G where D="" &amp; AL$1 &amp; "" and E="" &amp; $I27), QUERY($A$2:$G$2000, ""select G where E="" &amp; AL$1 &amp; "" and D="" &amp; $I27))"),6.681481481481481)</f>
        <v>6.681481481</v>
      </c>
      <c r="AM27" s="10">
        <f>IFERROR(__xludf.DUMMYFUNCTION("ifna(QUERY($A$2:$G$2000, ""select G where D="" &amp; AM$1 &amp; "" and E="" &amp; $I27), QUERY($A$2:$G$2000, ""select G where E="" &amp; AM$1 &amp; "" and D="" &amp; $I27))"),6.7192353643966545)</f>
        <v>6.719235364</v>
      </c>
      <c r="AN27" s="10">
        <f>IFERROR(__xludf.DUMMYFUNCTION("ifna(QUERY($A$2:$G$2000, ""select G where D="" &amp; AN$1 &amp; "" and E="" &amp; $I27), QUERY($A$2:$G$2000, ""select G where E="" &amp; AN$1 &amp; "" and D="" &amp; $I27))"),6.75462962962963)</f>
        <v>6.75462963</v>
      </c>
      <c r="AO27" s="10">
        <f>IFERROR(__xludf.DUMMYFUNCTION("ifna(QUERY($A$2:$G$2000, ""select G where D="" &amp; AO$1 &amp; "" and E="" &amp; $I27), QUERY($A$2:$G$2000, ""select G where E="" &amp; AO$1 &amp; "" and D="" &amp; $I27))"),6.7833894500561165)</f>
        <v>6.78338945</v>
      </c>
      <c r="AP27" s="10">
        <f>IFERROR(__xludf.DUMMYFUNCTION("ifna(QUERY($A$2:$G$2000, ""select G where D="" &amp; AP$1 &amp; "" and E="" &amp; $I27), QUERY($A$2:$G$2000, ""select G where E="" &amp; AP$1 &amp; "" and D="" &amp; $I27))"),6.810457516339869)</f>
        <v>6.810457516</v>
      </c>
      <c r="AQ27" s="10">
        <f>IFERROR(__xludf.DUMMYFUNCTION("ifna(QUERY($A$2:$G$2000, ""select G where D="" &amp; AQ$1 &amp; "" and E="" &amp; $I27), QUERY($A$2:$G$2000, ""select G where E="" &amp; AQ$1 &amp; "" and D="" &amp; $I27))"),6.833862433862434)</f>
        <v>6.833862434</v>
      </c>
      <c r="AR27" s="10">
        <f>IFERROR(__xludf.DUMMYFUNCTION("ifna(QUERY($A$2:$G$2000, ""select G where D="" &amp; AR$1 &amp; "" and E="" &amp; $I27), QUERY($A$2:$G$2000, ""select G where E="" &amp; AR$1 &amp; "" and D="" &amp; $I27))"),6.8559670781893)</f>
        <v>6.855967078</v>
      </c>
      <c r="AS27" s="10">
        <f>IFERROR(__xludf.DUMMYFUNCTION("ifna(QUERY($A$2:$G$2000, ""select G where D="" &amp; AS$1 &amp; "" and E="" &amp; $I27), QUERY($A$2:$G$2000, ""select G where E="" &amp; AS$1 &amp; "" and D="" &amp; $I27))"),6.874874874874875)</f>
        <v>6.874874875</v>
      </c>
      <c r="AT27" s="10">
        <f>IFERROR(__xludf.DUMMYFUNCTION("ifna(QUERY($A$2:$G$2000, ""select G where D="" &amp; AT$1 &amp; "" and E="" &amp; $I27), QUERY($A$2:$G$2000, ""select G where E="" &amp; AT$1 &amp; "" and D="" &amp; $I27))"),6.892787524366471)</f>
        <v>6.892787524</v>
      </c>
      <c r="AU27" s="10">
        <f>IFERROR(__xludf.DUMMYFUNCTION("ifna(QUERY($A$2:$G$2000, ""select G where D="" &amp; AU$1 &amp; "" and E="" &amp; $I27), QUERY($A$2:$G$2000, ""select G where E="" &amp; AU$1 &amp; "" and D="" &amp; $I27))"),6.91358024691358)</f>
        <v>6.913580247</v>
      </c>
      <c r="AV27" s="10">
        <f>IFERROR(__xludf.DUMMYFUNCTION("ifna(QUERY($A$2:$G$2000, ""select G where D="" &amp; AV$1 &amp; "" and E="" &amp; $I27), QUERY($A$2:$G$2000, ""select G where E="" &amp; AV$1 &amp; "" and D="" &amp; $I27))"),6.938888888888889)</f>
        <v>6.938888889</v>
      </c>
      <c r="AW27" s="10">
        <f>IFERROR(__xludf.DUMMYFUNCTION("ifna(QUERY($A$2:$G$2000, ""select G where D="" &amp; AW$1 &amp; "" and E="" &amp; $I27), QUERY($A$2:$G$2000, ""select G where E="" &amp; AW$1 &amp; "" and D="" &amp; $I27))"),6.996386630532972)</f>
        <v>6.996386631</v>
      </c>
      <c r="AX27" s="10">
        <f>IFERROR(__xludf.DUMMYFUNCTION("ifna(QUERY($A$2:$G$2000, ""select G where D="" &amp; AX$1 &amp; "" and E="" &amp; $I27), QUERY($A$2:$G$2000, ""select G where E="" &amp; AX$1 &amp; "" and D="" &amp; $I27))"),7.00352733686067)</f>
        <v>7.003527337</v>
      </c>
      <c r="AY27" s="10">
        <f>IFERROR(__xludf.DUMMYFUNCTION("ifna(QUERY($A$2:$G$2000, ""select G where D="" &amp; AY$1 &amp; "" and E="" &amp; $I27), QUERY($A$2:$G$2000, ""select G where E="" &amp; AY$1 &amp; "" and D="" &amp; $I27))"),7.010335917312662)</f>
        <v>7.010335917</v>
      </c>
      <c r="AZ27" s="10">
        <f>IFERROR(__xludf.DUMMYFUNCTION("ifna(QUERY($A$2:$G$2000, ""select G where D="" &amp; AZ$1 &amp; "" and E="" &amp; $I27), QUERY($A$2:$G$2000, ""select G where E="" &amp; AZ$1 &amp; "" and D="" &amp; $I27))"),7.016835016835017)</f>
        <v>7.016835017</v>
      </c>
      <c r="BA27" s="10">
        <f>IFERROR(__xludf.DUMMYFUNCTION("ifna(QUERY($A$2:$G$2000, ""select G where D="" &amp; BA$1 &amp; "" and E="" &amp; $I27), QUERY($A$2:$G$2000, ""select G where E="" &amp; BA$1 &amp; "" and D="" &amp; $I27))"),7.026337448559671)</f>
        <v>7.026337449</v>
      </c>
      <c r="BB27" s="10">
        <f>IFERROR(__xludf.DUMMYFUNCTION("ifna(QUERY($A$2:$G$2000, ""select G where D="" &amp; BB$1 &amp; "" and E="" &amp; $I27), QUERY($A$2:$G$2000, ""select G where E="" &amp; BB$1 &amp; "" and D="" &amp; $I27))"),7.035426731078905)</f>
        <v>7.035426731</v>
      </c>
      <c r="BC27" s="10">
        <f>IFERROR(__xludf.DUMMYFUNCTION("ifna(QUERY($A$2:$G$2000, ""select G where D="" &amp; BC$1 &amp; "" and E="" &amp; $I27), QUERY($A$2:$G$2000, ""select G where E="" &amp; BC$1 &amp; "" and D="" &amp; $I27))"),7.047281323877068)</f>
        <v>7.047281324</v>
      </c>
      <c r="BD27" s="10">
        <f>IFERROR(__xludf.DUMMYFUNCTION("ifna(QUERY($A$2:$G$2000, ""select G where D="" &amp; BD$1 &amp; "" and E="" &amp; $I27), QUERY($A$2:$G$2000, ""select G where E="" &amp; BD$1 &amp; "" and D="" &amp; $I27))"),7.0586419753086425)</f>
        <v>7.058641975</v>
      </c>
      <c r="BE27" s="10">
        <f>IFERROR(__xludf.DUMMYFUNCTION("ifna(QUERY($A$2:$G$2000, ""select G where D="" &amp; BE$1 &amp; "" and E="" &amp; $I27), QUERY($A$2:$G$2000, ""select G where E="" &amp; BE$1 &amp; "" and D="" &amp; $I27))"),7.072562358276644)</f>
        <v>7.072562358</v>
      </c>
      <c r="BF27" s="10">
        <f>IFERROR(__xludf.DUMMYFUNCTION("ifna(QUERY($A$2:$G$2000, ""select G where D="" &amp; BF$1 &amp; "" and E="" &amp; $I27), QUERY($A$2:$G$2000, ""select G where E="" &amp; BF$1 &amp; "" and D="" &amp; $I27))"),7.085925925925926)</f>
        <v>7.085925926</v>
      </c>
      <c r="BG27" s="10">
        <f>IFERROR(__xludf.DUMMYFUNCTION("ifna(QUERY($A$2:$G$2000, ""select G where D="" &amp; BG$1 &amp; "" and E="" &amp; $I27), QUERY($A$2:$G$2000, ""select G where E="" &amp; BG$1 &amp; "" and D="" &amp; $I27))"),7.101670297748729)</f>
        <v>7.101670298</v>
      </c>
      <c r="BH27" s="10">
        <f>IFERROR(__xludf.DUMMYFUNCTION("ifna(QUERY($A$2:$G$2000, ""select G where D="" &amp; BH$1 &amp; "" and E="" &amp; $I27), QUERY($A$2:$G$2000, ""select G where E="" &amp; BH$1 &amp; "" and D="" &amp; $I27))"),7.116809116809117)</f>
        <v>7.116809117</v>
      </c>
      <c r="BI27" s="10">
        <f>IFERROR(__xludf.DUMMYFUNCTION("ifna(QUERY($A$2:$G$2000, ""select G where D="" &amp; BI$1 &amp; "" and E="" &amp; $I27), QUERY($A$2:$G$2000, ""select G where E="" &amp; BI$1 &amp; "" and D="" &amp; $I27))"),7.134171907756813)</f>
        <v>7.134171908</v>
      </c>
      <c r="BJ27" s="10">
        <f>IFERROR(__xludf.DUMMYFUNCTION("ifna(QUERY($A$2:$G$2000, ""select G where D="" &amp; BJ$1 &amp; "" and E="" &amp; $I27), QUERY($A$2:$G$2000, ""select G where E="" &amp; BJ$1 &amp; "" and D="" &amp; $I27))"),7.1508916323731135)</f>
        <v>7.150891632</v>
      </c>
      <c r="BK27" s="10">
        <f>IFERROR(__xludf.DUMMYFUNCTION("ifna(QUERY($A$2:$G$2000, ""select G where D="" &amp; BK$1 &amp; "" and E="" &amp; $I27), QUERY($A$2:$G$2000, ""select G where E="" &amp; BK$1 &amp; "" and D="" &amp; $I27))"),7.16969696969697)</f>
        <v>7.16969697</v>
      </c>
      <c r="BL27" s="10"/>
      <c r="BM27" s="10"/>
      <c r="BN27" s="10"/>
      <c r="BO27" s="10"/>
    </row>
    <row r="28">
      <c r="A28" s="3">
        <v>4.0</v>
      </c>
      <c r="B28" s="3">
        <v>8.0</v>
      </c>
      <c r="C28" s="3">
        <v>56.0</v>
      </c>
      <c r="D28" s="3">
        <v>7.0</v>
      </c>
      <c r="E28" s="3">
        <v>6.0</v>
      </c>
      <c r="F28" s="11">
        <f t="shared" si="1"/>
        <v>0.1428571429</v>
      </c>
      <c r="G28" s="5">
        <f t="shared" si="2"/>
        <v>3.857142857</v>
      </c>
      <c r="H28" s="3">
        <v>28.0</v>
      </c>
      <c r="I28" s="2">
        <v>27.0</v>
      </c>
      <c r="J28" s="10">
        <f>IFERROR(__xludf.DUMMYFUNCTION("ifna(QUERY($A$2:$G$2000, ""select G where D="" &amp; J$1 &amp; "" and E="" &amp; $I28), QUERY($A$2:$G$2000, ""select G where E="" &amp; J$1 &amp; "" and D="" &amp; $I28))"),4.785714285714286)</f>
        <v>4.785714286</v>
      </c>
      <c r="K28" s="10">
        <f>IFERROR(__xludf.DUMMYFUNCTION("ifna(QUERY($A$2:$G$2000, ""select G where D="" &amp; K$1 &amp; "" and E="" &amp; $I28), QUERY($A$2:$G$2000, ""select G where E="" &amp; K$1 &amp; "" and D="" &amp; $I28))"),4.833333333333333)</f>
        <v>4.833333333</v>
      </c>
      <c r="L28" s="10">
        <f>IFERROR(__xludf.DUMMYFUNCTION("ifna(QUERY($A$2:$G$2000, ""select G where D="" &amp; L$1 &amp; "" and E="" &amp; $I28), QUERY($A$2:$G$2000, ""select G where E="" &amp; L$1 &amp; "" and D="" &amp; $I28))"),4.928571428571429)</f>
        <v>4.928571429</v>
      </c>
      <c r="M28" s="10">
        <f>IFERROR(__xludf.DUMMYFUNCTION("ifna(QUERY($A$2:$G$2000, ""select G where D="" &amp; M$1 &amp; "" and E="" &amp; $I28), QUERY($A$2:$G$2000, ""select G where E="" &amp; M$1 &amp; "" and D="" &amp; $I28))"),5.085714285714285)</f>
        <v>5.085714286</v>
      </c>
      <c r="N28" s="10">
        <f>IFERROR(__xludf.DUMMYFUNCTION("ifna(QUERY($A$2:$G$2000, ""select G where D="" &amp; N$1 &amp; "" and E="" &amp; $I28), QUERY($A$2:$G$2000, ""select G where E="" &amp; N$1 &amp; "" and D="" &amp; $I28))"),5.190476190476191)</f>
        <v>5.19047619</v>
      </c>
      <c r="O28" s="10">
        <f>IFERROR(__xludf.DUMMYFUNCTION("ifna(QUERY($A$2:$G$2000, ""select G where D="" &amp; O$1 &amp; "" and E="" &amp; $I28), QUERY($A$2:$G$2000, ""select G where E="" &amp; O$1 &amp; "" and D="" &amp; $I28))"),5.326530612244898)</f>
        <v>5.326530612</v>
      </c>
      <c r="P28" s="10">
        <f>IFERROR(__xludf.DUMMYFUNCTION("ifna(QUERY($A$2:$G$2000, ""select G where D="" &amp; P$1 &amp; "" and E="" &amp; $I28), QUERY($A$2:$G$2000, ""select G where E="" &amp; P$1 &amp; "" and D="" &amp; $I28))"),5.464285714285714)</f>
        <v>5.464285714</v>
      </c>
      <c r="Q28" s="10">
        <f>IFERROR(__xludf.DUMMYFUNCTION("ifna(QUERY($A$2:$G$2000, ""select G where D="" &amp; Q$1 &amp; "" and E="" &amp; $I28), QUERY($A$2:$G$2000, ""select G where E="" &amp; Q$1 &amp; "" and D="" &amp; $I28))"),5.579365079365079)</f>
        <v>5.579365079</v>
      </c>
      <c r="R28" s="10">
        <f>IFERROR(__xludf.DUMMYFUNCTION("ifna(QUERY($A$2:$G$2000, ""select G where D="" &amp; R$1 &amp; "" and E="" &amp; $I28), QUERY($A$2:$G$2000, ""select G where E="" &amp; R$1 &amp; "" and D="" &amp; $I28))"),5.685714285714286)</f>
        <v>5.685714286</v>
      </c>
      <c r="S28" s="10">
        <f>IFERROR(__xludf.DUMMYFUNCTION("ifna(QUERY($A$2:$G$2000, ""select G where D="" &amp; S$1 &amp; "" and E="" &amp; $I28), QUERY($A$2:$G$2000, ""select G where E="" &amp; S$1 &amp; "" and D="" &amp; $I28))"),5.7727272727272725)</f>
        <v>5.772727273</v>
      </c>
      <c r="T28" s="10">
        <f>IFERROR(__xludf.DUMMYFUNCTION("ifna(QUERY($A$2:$G$2000, ""select G where D="" &amp; T$1 &amp; "" and E="" &amp; $I28), QUERY($A$2:$G$2000, ""select G where E="" &amp; T$1 &amp; "" and D="" &amp; $I28))"),5.845238095238095)</f>
        <v>5.845238095</v>
      </c>
      <c r="U28" s="10">
        <f>IFERROR(__xludf.DUMMYFUNCTION("ifna(QUERY($A$2:$G$2000, ""select G where D="" &amp; U$1 &amp; "" and E="" &amp; $I28), QUERY($A$2:$G$2000, ""select G where E="" &amp; U$1 &amp; "" and D="" &amp; $I28))"),5.8901098901098905)</f>
        <v>5.89010989</v>
      </c>
      <c r="V28" s="10">
        <f>IFERROR(__xludf.DUMMYFUNCTION("ifna(QUERY($A$2:$G$2000, ""select G where D="" &amp; V$1 &amp; "" and E="" &amp; $I28), QUERY($A$2:$G$2000, ""select G where E="" &amp; V$1 &amp; "" and D="" &amp; $I28))"),5.954081632653061)</f>
        <v>5.954081633</v>
      </c>
      <c r="W28" s="10">
        <f>IFERROR(__xludf.DUMMYFUNCTION("ifna(QUERY($A$2:$G$2000, ""select G where D="" &amp; W$1 &amp; "" and E="" &amp; $I28), QUERY($A$2:$G$2000, ""select G where E="" &amp; W$1 &amp; "" and D="" &amp; $I28))"),6.019047619047619)</f>
        <v>6.019047619</v>
      </c>
      <c r="X28" s="10">
        <f>IFERROR(__xludf.DUMMYFUNCTION("ifna(QUERY($A$2:$G$2000, ""select G where D="" &amp; X$1 &amp; "" and E="" &amp; $I28), QUERY($A$2:$G$2000, ""select G where E="" &amp; X$1 &amp; "" and D="" &amp; $I28))"),6.044642857142857)</f>
        <v>6.044642857</v>
      </c>
      <c r="Y28" s="10">
        <f>IFERROR(__xludf.DUMMYFUNCTION("ifna(QUERY($A$2:$G$2000, ""select G where D="" &amp; Y$1 &amp; "" and E="" &amp; $I28), QUERY($A$2:$G$2000, ""select G where E="" &amp; Y$1 &amp; "" and D="" &amp; $I28))"),6.084033613445378)</f>
        <v>6.084033613</v>
      </c>
      <c r="Z28" s="10">
        <f>IFERROR(__xludf.DUMMYFUNCTION("ifna(QUERY($A$2:$G$2000, ""select G where D="" &amp; Z$1 &amp; "" and E="" &amp; $I28), QUERY($A$2:$G$2000, ""select G where E="" &amp; Z$1 &amp; "" and D="" &amp; $I28))"),6.1269841269841265)</f>
        <v>6.126984127</v>
      </c>
      <c r="AA28" s="10">
        <f>IFERROR(__xludf.DUMMYFUNCTION("ifna(QUERY($A$2:$G$2000, ""select G where D="" &amp; AA$1 &amp; "" and E="" &amp; $I28), QUERY($A$2:$G$2000, ""select G where E="" &amp; AA$1 &amp; "" and D="" &amp; $I28))"),6.172932330827067)</f>
        <v>6.172932331</v>
      </c>
      <c r="AB28" s="10">
        <f>IFERROR(__xludf.DUMMYFUNCTION("ifna(QUERY($A$2:$G$2000, ""select G where D="" &amp; AB$1 &amp; "" and E="" &amp; $I28), QUERY($A$2:$G$2000, ""select G where E="" &amp; AB$1 &amp; "" and D="" &amp; $I28))"),6.2214285714285715)</f>
        <v>6.221428571</v>
      </c>
      <c r="AC28" s="10">
        <f>IFERROR(__xludf.DUMMYFUNCTION("ifna(QUERY($A$2:$G$2000, ""select G where D="" &amp; AC$1 &amp; "" and E="" &amp; $I28), QUERY($A$2:$G$2000, ""select G where E="" &amp; AC$1 &amp; "" and D="" &amp; $I28))"),6.272108843537415)</f>
        <v>6.272108844</v>
      </c>
      <c r="AD28" s="10">
        <f>IFERROR(__xludf.DUMMYFUNCTION("ifna(QUERY($A$2:$G$2000, ""select G where D="" &amp; AD$1 &amp; "" and E="" &amp; $I28), QUERY($A$2:$G$2000, ""select G where E="" &amp; AD$1 &amp; "" and D="" &amp; $I28))"),6.324675324675325)</f>
        <v>6.324675325</v>
      </c>
      <c r="AE28" s="10">
        <f>IFERROR(__xludf.DUMMYFUNCTION("ifna(QUERY($A$2:$G$2000, ""select G where D="" &amp; AE$1 &amp; "" and E="" &amp; $I28), QUERY($A$2:$G$2000, ""select G where E="" &amp; AE$1 &amp; "" and D="" &amp; $I28))"),6.37888198757764)</f>
        <v>6.378881988</v>
      </c>
      <c r="AF28" s="10">
        <f>IFERROR(__xludf.DUMMYFUNCTION("ifna(QUERY($A$2:$G$2000, ""select G where D="" &amp; AF$1 &amp; "" and E="" &amp; $I28), QUERY($A$2:$G$2000, ""select G where E="" &amp; AF$1 &amp; "" and D="" &amp; $I28))"),6.434523809523809)</f>
        <v>6.43452381</v>
      </c>
      <c r="AG28" s="10">
        <f>IFERROR(__xludf.DUMMYFUNCTION("ifna(QUERY($A$2:$G$2000, ""select G where D="" &amp; AG$1 &amp; "" and E="" &amp; $I28), QUERY($A$2:$G$2000, ""select G where E="" &amp; AG$1 &amp; "" and D="" &amp; $I28))"),6.485714285714286)</f>
        <v>6.485714286</v>
      </c>
      <c r="AH28" s="10">
        <f>IFERROR(__xludf.DUMMYFUNCTION("ifna(QUERY($A$2:$G$2000, ""select G where D="" &amp; AH$1 &amp; "" and E="" &amp; $I28), QUERY($A$2:$G$2000, ""select G where E="" &amp; AH$1 &amp; "" and D="" &amp; $I28))"),6.538461538461538)</f>
        <v>6.538461538</v>
      </c>
      <c r="AI28" s="10">
        <f>IFERROR(__xludf.DUMMYFUNCTION("ifna(QUERY($A$2:$G$2000, ""select G where D="" &amp; AI$1 &amp; "" and E="" &amp; $I28), QUERY($A$2:$G$2000, ""select G where E="" &amp; AI$1 &amp; "" and D="" &amp; $I28))"),6.592592592592593)</f>
        <v>6.592592593</v>
      </c>
      <c r="AJ28" s="10">
        <f>IFERROR(__xludf.DUMMYFUNCTION("ifna(QUERY($A$2:$G$2000, ""select G where D="" &amp; AJ$1 &amp; "" and E="" &amp; $I28), QUERY($A$2:$G$2000, ""select G where E="" &amp; AJ$1 &amp; "" and D="" &amp; $I28))"),6.642857142857143)</f>
        <v>6.642857143</v>
      </c>
      <c r="AK28" s="10">
        <f>IFERROR(__xludf.DUMMYFUNCTION("ifna(QUERY($A$2:$G$2000, ""select G where D="" &amp; AK$1 &amp; "" and E="" &amp; $I28), QUERY($A$2:$G$2000, ""select G where E="" &amp; AK$1 &amp; "" and D="" &amp; $I28))"),6.684729064039409)</f>
        <v>6.684729064</v>
      </c>
      <c r="AL28" s="10">
        <f>IFERROR(__xludf.DUMMYFUNCTION("ifna(QUERY($A$2:$G$2000, ""select G where D="" &amp; AL$1 &amp; "" and E="" &amp; $I28), QUERY($A$2:$G$2000, ""select G where E="" &amp; AL$1 &amp; "" and D="" &amp; $I28))"),6.723809523809524)</f>
        <v>6.723809524</v>
      </c>
      <c r="AM28" s="10">
        <f>IFERROR(__xludf.DUMMYFUNCTION("ifna(QUERY($A$2:$G$2000, ""select G where D="" &amp; AM$1 &amp; "" and E="" &amp; $I28), QUERY($A$2:$G$2000, ""select G where E="" &amp; AM$1 &amp; "" and D="" &amp; $I28))"),6.758064516129032)</f>
        <v>6.758064516</v>
      </c>
      <c r="AN28" s="10">
        <f>IFERROR(__xludf.DUMMYFUNCTION("ifna(QUERY($A$2:$G$2000, ""select G where D="" &amp; AN$1 &amp; "" and E="" &amp; $I28), QUERY($A$2:$G$2000, ""select G where E="" &amp; AN$1 &amp; "" and D="" &amp; $I28))"),6.790178571428571)</f>
        <v>6.790178571</v>
      </c>
      <c r="AO28" s="10">
        <f>IFERROR(__xludf.DUMMYFUNCTION("ifna(QUERY($A$2:$G$2000, ""select G where D="" &amp; AO$1 &amp; "" and E="" &amp; $I28), QUERY($A$2:$G$2000, ""select G where E="" &amp; AO$1 &amp; "" and D="" &amp; $I28))"),6.816017316017316)</f>
        <v>6.816017316</v>
      </c>
      <c r="AP28" s="10">
        <f>IFERROR(__xludf.DUMMYFUNCTION("ifna(QUERY($A$2:$G$2000, ""select G where D="" &amp; AP$1 &amp; "" and E="" &amp; $I28), QUERY($A$2:$G$2000, ""select G where E="" &amp; AP$1 &amp; "" and D="" &amp; $I28))"),6.840336134453781)</f>
        <v>6.840336134</v>
      </c>
      <c r="AQ28" s="10">
        <f>IFERROR(__xludf.DUMMYFUNCTION("ifna(QUERY($A$2:$G$2000, ""select G where D="" &amp; AQ$1 &amp; "" and E="" &amp; $I28), QUERY($A$2:$G$2000, ""select G where E="" &amp; AQ$1 &amp; "" and D="" &amp; $I28))"),6.8612244897959185)</f>
        <v>6.86122449</v>
      </c>
      <c r="AR28" s="10">
        <f>IFERROR(__xludf.DUMMYFUNCTION("ifna(QUERY($A$2:$G$2000, ""select G where D="" &amp; AR$1 &amp; "" and E="" &amp; $I28), QUERY($A$2:$G$2000, ""select G where E="" &amp; AR$1 &amp; "" and D="" &amp; $I28))"),6.880952380952381)</f>
        <v>6.880952381</v>
      </c>
      <c r="AS28" s="10">
        <f>IFERROR(__xludf.DUMMYFUNCTION("ifna(QUERY($A$2:$G$2000, ""select G where D="" &amp; AS$1 &amp; "" and E="" &amp; $I28), QUERY($A$2:$G$2000, ""select G where E="" &amp; AS$1 &amp; "" and D="" &amp; $I28))"),6.899613899613899)</f>
        <v>6.8996139</v>
      </c>
      <c r="AT28" s="10">
        <f>IFERROR(__xludf.DUMMYFUNCTION("ifna(QUERY($A$2:$G$2000, ""select G where D="" &amp; AT$1 &amp; "" and E="" &amp; $I28), QUERY($A$2:$G$2000, ""select G where E="" &amp; AT$1 &amp; "" and D="" &amp; $I28))"),6.922932330827067)</f>
        <v>6.922932331</v>
      </c>
      <c r="AU28" s="10">
        <f>IFERROR(__xludf.DUMMYFUNCTION("ifna(QUERY($A$2:$G$2000, ""select G where D="" &amp; AU$1 &amp; "" and E="" &amp; $I28), QUERY($A$2:$G$2000, ""select G where E="" &amp; AU$1 &amp; "" and D="" &amp; $I28))"),6.950549450549451)</f>
        <v>6.950549451</v>
      </c>
      <c r="AV28" s="10">
        <f>IFERROR(__xludf.DUMMYFUNCTION("ifna(QUERY($A$2:$G$2000, ""select G where D="" &amp; AV$1 &amp; "" and E="" &amp; $I28), QUERY($A$2:$G$2000, ""select G where E="" &amp; AV$1 &amp; "" and D="" &amp; $I28))"),7.003571428571428)</f>
        <v>7.003571429</v>
      </c>
      <c r="AW28" s="10">
        <f>IFERROR(__xludf.DUMMYFUNCTION("ifna(QUERY($A$2:$G$2000, ""select G where D="" &amp; AW$1 &amp; "" and E="" &amp; $I28), QUERY($A$2:$G$2000, ""select G where E="" &amp; AW$1 &amp; "" and D="" &amp; $I28))"),7.006968641114983)</f>
        <v>7.006968641</v>
      </c>
      <c r="AX28" s="10">
        <f>IFERROR(__xludf.DUMMYFUNCTION("ifna(QUERY($A$2:$G$2000, ""select G where D="" &amp; AX$1 &amp; "" and E="" &amp; $I28), QUERY($A$2:$G$2000, ""select G where E="" &amp; AX$1 &amp; "" and D="" &amp; $I28))"),7.013605442176871)</f>
        <v>7.013605442</v>
      </c>
      <c r="AY28" s="10">
        <f>IFERROR(__xludf.DUMMYFUNCTION("ifna(QUERY($A$2:$G$2000, ""select G where D="" &amp; AY$1 &amp; "" and E="" &amp; $I28), QUERY($A$2:$G$2000, ""select G where E="" &amp; AY$1 &amp; "" and D="" &amp; $I28))"),7.023255813953488)</f>
        <v>7.023255814</v>
      </c>
      <c r="AZ28" s="10">
        <f>IFERROR(__xludf.DUMMYFUNCTION("ifna(QUERY($A$2:$G$2000, ""select G where D="" &amp; AZ$1 &amp; "" and E="" &amp; $I28), QUERY($A$2:$G$2000, ""select G where E="" &amp; AZ$1 &amp; "" and D="" &amp; $I28))"),7.032467532467533)</f>
        <v>7.032467532</v>
      </c>
      <c r="BA28" s="10">
        <f>IFERROR(__xludf.DUMMYFUNCTION("ifna(QUERY($A$2:$G$2000, ""select G where D="" &amp; BA$1 &amp; "" and E="" &amp; $I28), QUERY($A$2:$G$2000, ""select G where E="" &amp; BA$1 &amp; "" and D="" &amp; $I28))"),7.044444444444444)</f>
        <v>7.044444444</v>
      </c>
      <c r="BB28" s="10">
        <f>IFERROR(__xludf.DUMMYFUNCTION("ifna(QUERY($A$2:$G$2000, ""select G where D="" &amp; BB$1 &amp; "" and E="" &amp; $I28), QUERY($A$2:$G$2000, ""select G where E="" &amp; BB$1 &amp; "" and D="" &amp; $I28))"),7.055900621118012)</f>
        <v>7.055900621</v>
      </c>
      <c r="BC28" s="10">
        <f>IFERROR(__xludf.DUMMYFUNCTION("ifna(QUERY($A$2:$G$2000, ""select G where D="" &amp; BC$1 &amp; "" and E="" &amp; $I28), QUERY($A$2:$G$2000, ""select G where E="" &amp; BC$1 &amp; "" and D="" &amp; $I28))"),7.069908814589666)</f>
        <v>7.069908815</v>
      </c>
      <c r="BD28" s="10">
        <f>IFERROR(__xludf.DUMMYFUNCTION("ifna(QUERY($A$2:$G$2000, ""select G where D="" &amp; BD$1 &amp; "" and E="" &amp; $I28), QUERY($A$2:$G$2000, ""select G where E="" &amp; BD$1 &amp; "" and D="" &amp; $I28))"),7.083333333333333)</f>
        <v>7.083333333</v>
      </c>
      <c r="BE28" s="10">
        <f>IFERROR(__xludf.DUMMYFUNCTION("ifna(QUERY($A$2:$G$2000, ""select G where D="" &amp; BE$1 &amp; "" and E="" &amp; $I28), QUERY($A$2:$G$2000, ""select G where E="" &amp; BE$1 &amp; "" and D="" &amp; $I28))"),7.099125364431487)</f>
        <v>7.099125364</v>
      </c>
      <c r="BF28" s="10">
        <f>IFERROR(__xludf.DUMMYFUNCTION("ifna(QUERY($A$2:$G$2000, ""select G where D="" &amp; BF$1 &amp; "" and E="" &amp; $I28), QUERY($A$2:$G$2000, ""select G where E="" &amp; BF$1 &amp; "" and D="" &amp; $I28))"),7.114285714285714)</f>
        <v>7.114285714</v>
      </c>
      <c r="BG28" s="10">
        <f>IFERROR(__xludf.DUMMYFUNCTION("ifna(QUERY($A$2:$G$2000, ""select G where D="" &amp; BG$1 &amp; "" and E="" &amp; $I28), QUERY($A$2:$G$2000, ""select G where E="" &amp; BG$1 &amp; "" and D="" &amp; $I28))"),7.131652661064425)</f>
        <v>7.131652661</v>
      </c>
      <c r="BH28" s="10">
        <f>IFERROR(__xludf.DUMMYFUNCTION("ifna(QUERY($A$2:$G$2000, ""select G where D="" &amp; BH$1 &amp; "" and E="" &amp; $I28), QUERY($A$2:$G$2000, ""select G where E="" &amp; BH$1 &amp; "" and D="" &amp; $I28))"),7.148351648351649)</f>
        <v>7.148351648</v>
      </c>
      <c r="BI28" s="10">
        <f>IFERROR(__xludf.DUMMYFUNCTION("ifna(QUERY($A$2:$G$2000, ""select G where D="" &amp; BI$1 &amp; "" and E="" &amp; $I28), QUERY($A$2:$G$2000, ""select G where E="" &amp; BI$1 &amp; "" and D="" &amp; $I28))"),7.16711590296496)</f>
        <v>7.167115903</v>
      </c>
      <c r="BJ28" s="10">
        <f>IFERROR(__xludf.DUMMYFUNCTION("ifna(QUERY($A$2:$G$2000, ""select G where D="" &amp; BJ$1 &amp; "" and E="" &amp; $I28), QUERY($A$2:$G$2000, ""select G where E="" &amp; BJ$1 &amp; "" and D="" &amp; $I28))"),7.185185185185185)</f>
        <v>7.185185185</v>
      </c>
      <c r="BK28" s="10">
        <f>IFERROR(__xludf.DUMMYFUNCTION("ifna(QUERY($A$2:$G$2000, ""select G where D="" &amp; BK$1 &amp; "" and E="" &amp; $I28), QUERY($A$2:$G$2000, ""select G where E="" &amp; BK$1 &amp; "" and D="" &amp; $I28))"),7.205194805194806)</f>
        <v>7.205194805</v>
      </c>
      <c r="BL28" s="10"/>
      <c r="BM28" s="10"/>
      <c r="BN28" s="10"/>
      <c r="BO28" s="10"/>
    </row>
    <row r="29">
      <c r="A29" s="3">
        <v>4.0</v>
      </c>
      <c r="B29" s="3">
        <v>23.0</v>
      </c>
      <c r="C29" s="3">
        <v>27.0</v>
      </c>
      <c r="D29" s="3">
        <v>8.0</v>
      </c>
      <c r="E29" s="3">
        <v>2.0</v>
      </c>
      <c r="F29" s="11">
        <f t="shared" si="1"/>
        <v>0.8518518519</v>
      </c>
      <c r="G29" s="5">
        <f t="shared" si="2"/>
        <v>3.148148148</v>
      </c>
      <c r="H29" s="3">
        <v>29.0</v>
      </c>
      <c r="I29" s="2">
        <v>28.0</v>
      </c>
      <c r="J29" s="10">
        <f>IFERROR(__xludf.DUMMYFUNCTION("ifna(QUERY($A$2:$G$2000, ""select G where D="" &amp; J$1 &amp; "" and E="" &amp; $I29), QUERY($A$2:$G$2000, ""select G where E="" &amp; J$1 &amp; "" and D="" &amp; $I29))"),4.827586206896552)</f>
        <v>4.827586207</v>
      </c>
      <c r="K29" s="10">
        <f>IFERROR(__xludf.DUMMYFUNCTION("ifna(QUERY($A$2:$G$2000, ""select G where D="" &amp; K$1 &amp; "" and E="" &amp; $I29), QUERY($A$2:$G$2000, ""select G where E="" &amp; K$1 &amp; "" and D="" &amp; $I29))"),4.873563218390805)</f>
        <v>4.873563218</v>
      </c>
      <c r="L29" s="10">
        <f>IFERROR(__xludf.DUMMYFUNCTION("ifna(QUERY($A$2:$G$2000, ""select G where D="" &amp; L$1 &amp; "" and E="" &amp; $I29), QUERY($A$2:$G$2000, ""select G where E="" &amp; L$1 &amp; "" and D="" &amp; $I29))"),5.0344827586206895)</f>
        <v>5.034482759</v>
      </c>
      <c r="M29" s="10">
        <f>IFERROR(__xludf.DUMMYFUNCTION("ifna(QUERY($A$2:$G$2000, ""select G where D="" &amp; M$1 &amp; "" and E="" &amp; $I29), QUERY($A$2:$G$2000, ""select G where E="" &amp; M$1 &amp; "" and D="" &amp; $I29))"),5.137931034482759)</f>
        <v>5.137931034</v>
      </c>
      <c r="N29" s="10">
        <f>IFERROR(__xludf.DUMMYFUNCTION("ifna(QUERY($A$2:$G$2000, ""select G where D="" &amp; N$1 &amp; "" and E="" &amp; $I29), QUERY($A$2:$G$2000, ""select G where E="" &amp; N$1 &amp; "" and D="" &amp; $I29))"),5.252873563218391)</f>
        <v>5.252873563</v>
      </c>
      <c r="O29" s="10">
        <f>IFERROR(__xludf.DUMMYFUNCTION("ifna(QUERY($A$2:$G$2000, ""select G where D="" &amp; O$1 &amp; "" and E="" &amp; $I29), QUERY($A$2:$G$2000, ""select G where E="" &amp; O$1 &amp; "" and D="" &amp; $I29))"),5.384236453201971)</f>
        <v>5.384236453</v>
      </c>
      <c r="P29" s="10">
        <f>IFERROR(__xludf.DUMMYFUNCTION("ifna(QUERY($A$2:$G$2000, ""select G where D="" &amp; P$1 &amp; "" and E="" &amp; $I29), QUERY($A$2:$G$2000, ""select G where E="" &amp; P$1 &amp; "" and D="" &amp; $I29))"),5.517241379310345)</f>
        <v>5.517241379</v>
      </c>
      <c r="Q29" s="10">
        <f>IFERROR(__xludf.DUMMYFUNCTION("ifna(QUERY($A$2:$G$2000, ""select G where D="" &amp; Q$1 &amp; "" and E="" &amp; $I29), QUERY($A$2:$G$2000, ""select G where E="" &amp; Q$1 &amp; "" and D="" &amp; $I29))"),5.628352490421456)</f>
        <v>5.62835249</v>
      </c>
      <c r="R29" s="10">
        <f>IFERROR(__xludf.DUMMYFUNCTION("ifna(QUERY($A$2:$G$2000, ""select G where D="" &amp; R$1 &amp; "" and E="" &amp; $I29), QUERY($A$2:$G$2000, ""select G where E="" &amp; R$1 &amp; "" and D="" &amp; $I29))"),5.731034482758621)</f>
        <v>5.731034483</v>
      </c>
      <c r="S29" s="10">
        <f>IFERROR(__xludf.DUMMYFUNCTION("ifna(QUERY($A$2:$G$2000, ""select G where D="" &amp; S$1 &amp; "" and E="" &amp; $I29), QUERY($A$2:$G$2000, ""select G where E="" &amp; S$1 &amp; "" and D="" &amp; $I29))"),5.808777429467085)</f>
        <v>5.808777429</v>
      </c>
      <c r="T29" s="10">
        <f>IFERROR(__xludf.DUMMYFUNCTION("ifna(QUERY($A$2:$G$2000, ""select G where D="" &amp; T$1 &amp; "" and E="" &amp; $I29), QUERY($A$2:$G$2000, ""select G where E="" &amp; T$1 &amp; "" and D="" &amp; $I29))"),5.873563218390805)</f>
        <v>5.873563218</v>
      </c>
      <c r="U29" s="10">
        <f>IFERROR(__xludf.DUMMYFUNCTION("ifna(QUERY($A$2:$G$2000, ""select G where D="" &amp; U$1 &amp; "" and E="" &amp; $I29), QUERY($A$2:$G$2000, ""select G where E="" &amp; U$1 &amp; "" and D="" &amp; $I29))"),5.917771883289125)</f>
        <v>5.917771883</v>
      </c>
      <c r="V29" s="10">
        <f>IFERROR(__xludf.DUMMYFUNCTION("ifna(QUERY($A$2:$G$2000, ""select G where D="" &amp; V$1 &amp; "" and E="" &amp; $I29), QUERY($A$2:$G$2000, ""select G where E="" &amp; V$1 &amp; "" and D="" &amp; $I29))"),6.009852216748769)</f>
        <v>6.009852217</v>
      </c>
      <c r="W29" s="10">
        <f>IFERROR(__xludf.DUMMYFUNCTION("ifna(QUERY($A$2:$G$2000, ""select G where D="" &amp; W$1 &amp; "" and E="" &amp; $I29), QUERY($A$2:$G$2000, ""select G where E="" &amp; W$1 &amp; "" and D="" &amp; $I29))"),6.036781609195402)</f>
        <v>6.036781609</v>
      </c>
      <c r="X29" s="10">
        <f>IFERROR(__xludf.DUMMYFUNCTION("ifna(QUERY($A$2:$G$2000, ""select G where D="" &amp; X$1 &amp; "" and E="" &amp; $I29), QUERY($A$2:$G$2000, ""select G where E="" &amp; X$1 &amp; "" and D="" &amp; $I29))"),6.068965517241379)</f>
        <v>6.068965517</v>
      </c>
      <c r="Y29" s="10">
        <f>IFERROR(__xludf.DUMMYFUNCTION("ifna(QUERY($A$2:$G$2000, ""select G where D="" &amp; Y$1 &amp; "" and E="" &amp; $I29), QUERY($A$2:$G$2000, ""select G where E="" &amp; Y$1 &amp; "" and D="" &amp; $I29))"),6.113590263691684)</f>
        <v>6.113590264</v>
      </c>
      <c r="Z29" s="10">
        <f>IFERROR(__xludf.DUMMYFUNCTION("ifna(QUERY($A$2:$G$2000, ""select G where D="" &amp; Z$1 &amp; "" and E="" &amp; $I29), QUERY($A$2:$G$2000, ""select G where E="" &amp; Z$1 &amp; "" and D="" &amp; $I29))"),6.1609195402298855)</f>
        <v>6.16091954</v>
      </c>
      <c r="AA29" s="10">
        <f>IFERROR(__xludf.DUMMYFUNCTION("ifna(QUERY($A$2:$G$2000, ""select G where D="" &amp; AA$1 &amp; "" and E="" &amp; $I29), QUERY($A$2:$G$2000, ""select G where E="" &amp; AA$1 &amp; "" and D="" &amp; $I29))"),6.2105263157894735)</f>
        <v>6.210526316</v>
      </c>
      <c r="AB29" s="10">
        <f>IFERROR(__xludf.DUMMYFUNCTION("ifna(QUERY($A$2:$G$2000, ""select G where D="" &amp; AB$1 &amp; "" and E="" &amp; $I29), QUERY($A$2:$G$2000, ""select G where E="" &amp; AB$1 &amp; "" and D="" &amp; $I29))"),6.2620689655172415)</f>
        <v>6.262068966</v>
      </c>
      <c r="AC29" s="10">
        <f>IFERROR(__xludf.DUMMYFUNCTION("ifna(QUERY($A$2:$G$2000, ""select G where D="" &amp; AC$1 &amp; "" and E="" &amp; $I29), QUERY($A$2:$G$2000, ""select G where E="" &amp; AC$1 &amp; "" and D="" &amp; $I29))"),6.315270935960591)</f>
        <v>6.315270936</v>
      </c>
      <c r="AD29" s="10">
        <f>IFERROR(__xludf.DUMMYFUNCTION("ifna(QUERY($A$2:$G$2000, ""select G where D="" &amp; AD$1 &amp; "" and E="" &amp; $I29), QUERY($A$2:$G$2000, ""select G where E="" &amp; AD$1 &amp; "" and D="" &amp; $I29))"),6.369905956112853)</f>
        <v>6.369905956</v>
      </c>
      <c r="AE29" s="10">
        <f>IFERROR(__xludf.DUMMYFUNCTION("ifna(QUERY($A$2:$G$2000, ""select G where D="" &amp; AE$1 &amp; "" and E="" &amp; $I29), QUERY($A$2:$G$2000, ""select G where E="" &amp; AE$1 &amp; "" and D="" &amp; $I29))"),6.425787106446776)</f>
        <v>6.425787106</v>
      </c>
      <c r="AF29" s="10">
        <f>IFERROR(__xludf.DUMMYFUNCTION("ifna(QUERY($A$2:$G$2000, ""select G where D="" &amp; AF$1 &amp; "" and E="" &amp; $I29), QUERY($A$2:$G$2000, ""select G where E="" &amp; AF$1 &amp; "" and D="" &amp; $I29))"),6.482758620689655)</f>
        <v>6.482758621</v>
      </c>
      <c r="AG29" s="10">
        <f>IFERROR(__xludf.DUMMYFUNCTION("ifna(QUERY($A$2:$G$2000, ""select G where D="" &amp; AG$1 &amp; "" and E="" &amp; $I29), QUERY($A$2:$G$2000, ""select G where E="" &amp; AG$1 &amp; "" and D="" &amp; $I29))"),6.535172413793103)</f>
        <v>6.535172414</v>
      </c>
      <c r="AH29" s="10">
        <f>IFERROR(__xludf.DUMMYFUNCTION("ifna(QUERY($A$2:$G$2000, ""select G where D="" &amp; AH$1 &amp; "" and E="" &amp; $I29), QUERY($A$2:$G$2000, ""select G where E="" &amp; AH$1 &amp; "" and D="" &amp; $I29))"),6.588859416445623)</f>
        <v>6.588859416</v>
      </c>
      <c r="AI29" s="10">
        <f>IFERROR(__xludf.DUMMYFUNCTION("ifna(QUERY($A$2:$G$2000, ""select G where D="" &amp; AI$1 &amp; "" and E="" &amp; $I29), QUERY($A$2:$G$2000, ""select G where E="" &amp; AI$1 &amp; "" and D="" &amp; $I29))"),6.638569604086846)</f>
        <v>6.638569604</v>
      </c>
      <c r="AJ29" s="10">
        <f>IFERROR(__xludf.DUMMYFUNCTION("ifna(QUERY($A$2:$G$2000, ""select G where D="" &amp; AJ$1 &amp; "" and E="" &amp; $I29), QUERY($A$2:$G$2000, ""select G where E="" &amp; AJ$1 &amp; "" and D="" &amp; $I29))"),6.684729064039409)</f>
        <v>6.684729064</v>
      </c>
      <c r="AK29" s="10">
        <f>IFERROR(__xludf.DUMMYFUNCTION("ifna(QUERY($A$2:$G$2000, ""select G where D="" &amp; AK$1 &amp; "" and E="" &amp; $I29), QUERY($A$2:$G$2000, ""select G where E="" &amp; AK$1 &amp; "" and D="" &amp; $I29))"),6.72294887039239)</f>
        <v>6.72294887</v>
      </c>
      <c r="AL29" s="10">
        <f>IFERROR(__xludf.DUMMYFUNCTION("ifna(QUERY($A$2:$G$2000, ""select G where D="" &amp; AL$1 &amp; "" and E="" &amp; $I29), QUERY($A$2:$G$2000, ""select G where E="" &amp; AL$1 &amp; "" and D="" &amp; $I29))"),6.758620689655173)</f>
        <v>6.75862069</v>
      </c>
      <c r="AM29" s="10">
        <f>IFERROR(__xludf.DUMMYFUNCTION("ifna(QUERY($A$2:$G$2000, ""select G where D="" &amp; AM$1 &amp; "" and E="" &amp; $I29), QUERY($A$2:$G$2000, ""select G where E="" &amp; AM$1 &amp; "" and D="" &amp; $I29))"),6.789766407119021)</f>
        <v>6.789766407</v>
      </c>
      <c r="AN29" s="10">
        <f>IFERROR(__xludf.DUMMYFUNCTION("ifna(QUERY($A$2:$G$2000, ""select G where D="" &amp; AN$1 &amp; "" and E="" &amp; $I29), QUERY($A$2:$G$2000, ""select G where E="" &amp; AN$1 &amp; "" and D="" &amp; $I29))"),6.818965517241379)</f>
        <v>6.818965517</v>
      </c>
      <c r="AO29" s="10">
        <f>IFERROR(__xludf.DUMMYFUNCTION("ifna(QUERY($A$2:$G$2000, ""select G where D="" &amp; AO$1 &amp; "" and E="" &amp; $I29), QUERY($A$2:$G$2000, ""select G where E="" &amp; AO$1 &amp; "" and D="" &amp; $I29))"),6.84221525600836)</f>
        <v>6.842215256</v>
      </c>
      <c r="AP29" s="10">
        <f>IFERROR(__xludf.DUMMYFUNCTION("ifna(QUERY($A$2:$G$2000, ""select G where D="" &amp; AP$1 &amp; "" and E="" &amp; $I29), QUERY($A$2:$G$2000, ""select G where E="" &amp; AP$1 &amp; "" and D="" &amp; $I29))"),6.8640973630831645)</f>
        <v>6.864097363</v>
      </c>
      <c r="AQ29" s="10">
        <f>IFERROR(__xludf.DUMMYFUNCTION("ifna(QUERY($A$2:$G$2000, ""select G where D="" &amp; AQ$1 &amp; "" and E="" &amp; $I29), QUERY($A$2:$G$2000, ""select G where E="" &amp; AQ$1 &amp; "" and D="" &amp; $I29))"),6.882758620689655)</f>
        <v>6.882758621</v>
      </c>
      <c r="AR29" s="10">
        <f>IFERROR(__xludf.DUMMYFUNCTION("ifna(QUERY($A$2:$G$2000, ""select G where D="" &amp; AR$1 &amp; "" and E="" &amp; $I29), QUERY($A$2:$G$2000, ""select G where E="" &amp; AR$1 &amp; "" and D="" &amp; $I29))"),6.904214559386973)</f>
        <v>6.904214559</v>
      </c>
      <c r="AS29" s="10">
        <f>IFERROR(__xludf.DUMMYFUNCTION("ifna(QUERY($A$2:$G$2000, ""select G where D="" &amp; AS$1 &amp; "" and E="" &amp; $I29), QUERY($A$2:$G$2000, ""select G where E="" &amp; AS$1 &amp; "" and D="" &amp; $I29))"),6.930102516309413)</f>
        <v>6.930102516</v>
      </c>
      <c r="AT29" s="10">
        <f>IFERROR(__xludf.DUMMYFUNCTION("ifna(QUERY($A$2:$G$2000, ""select G where D="" &amp; AT$1 &amp; "" and E="" &amp; $I29), QUERY($A$2:$G$2000, ""select G where E="" &amp; AT$1 &amp; "" and D="" &amp; $I29))"),6.969147005444646)</f>
        <v>6.969147005</v>
      </c>
      <c r="AU29" s="10">
        <f>IFERROR(__xludf.DUMMYFUNCTION("ifna(QUERY($A$2:$G$2000, ""select G where D="" &amp; AU$1 &amp; "" and E="" &amp; $I29), QUERY($A$2:$G$2000, ""select G where E="" &amp; AU$1 &amp; "" and D="" &amp; $I29))"),7.003536693191865)</f>
        <v>7.003536693</v>
      </c>
      <c r="AV29" s="10">
        <f>IFERROR(__xludf.DUMMYFUNCTION("ifna(QUERY($A$2:$G$2000, ""select G where D="" &amp; AV$1 &amp; "" and E="" &amp; $I29), QUERY($A$2:$G$2000, ""select G where E="" &amp; AV$1 &amp; "" and D="" &amp; $I29))"),7.010344827586207)</f>
        <v>7.010344828</v>
      </c>
      <c r="AW29" s="10">
        <f>IFERROR(__xludf.DUMMYFUNCTION("ifna(QUERY($A$2:$G$2000, ""select G where D="" &amp; AW$1 &amp; "" and E="" &amp; $I29), QUERY($A$2:$G$2000, ""select G where E="" &amp; AW$1 &amp; "" and D="" &amp; $I29))"),7.016820857863751)</f>
        <v>7.016820858</v>
      </c>
      <c r="AX29" s="10">
        <f>IFERROR(__xludf.DUMMYFUNCTION("ifna(QUERY($A$2:$G$2000, ""select G where D="" &amp; AX$1 &amp; "" and E="" &amp; $I29), QUERY($A$2:$G$2000, ""select G where E="" &amp; AX$1 &amp; "" and D="" &amp; $I29))"),7.026272577996716)</f>
        <v>7.026272578</v>
      </c>
      <c r="AY29" s="10">
        <f>IFERROR(__xludf.DUMMYFUNCTION("ifna(QUERY($A$2:$G$2000, ""select G where D="" &amp; AY$1 &amp; "" and E="" &amp; $I29), QUERY($A$2:$G$2000, ""select G where E="" &amp; AY$1 &amp; "" and D="" &amp; $I29))"),7.038492381716119)</f>
        <v>7.038492382</v>
      </c>
      <c r="AZ29" s="10">
        <f>IFERROR(__xludf.DUMMYFUNCTION("ifna(QUERY($A$2:$G$2000, ""select G where D="" &amp; AZ$1 &amp; "" and E="" &amp; $I29), QUERY($A$2:$G$2000, ""select G where E="" &amp; AZ$1 &amp; "" and D="" &amp; $I29))"),7.0501567398119125)</f>
        <v>7.05015674</v>
      </c>
      <c r="BA29" s="10">
        <f>IFERROR(__xludf.DUMMYFUNCTION("ifna(QUERY($A$2:$G$2000, ""select G where D="" &amp; BA$1 &amp; "" and E="" &amp; $I29), QUERY($A$2:$G$2000, ""select G where E="" &amp; BA$1 &amp; "" and D="" &amp; $I29))"),7.064367816091954)</f>
        <v>7.064367816</v>
      </c>
      <c r="BB29" s="10">
        <f>IFERROR(__xludf.DUMMYFUNCTION("ifna(QUERY($A$2:$G$2000, ""select G where D="" &amp; BB$1 &amp; "" and E="" &amp; $I29), QUERY($A$2:$G$2000, ""select G where E="" &amp; BB$1 &amp; "" and D="" &amp; $I29))"),7.077961019490255)</f>
        <v>7.077961019</v>
      </c>
      <c r="BC29" s="10">
        <f>IFERROR(__xludf.DUMMYFUNCTION("ifna(QUERY($A$2:$G$2000, ""select G where D="" &amp; BC$1 &amp; "" and E="" &amp; $I29), QUERY($A$2:$G$2000, ""select G where E="" &amp; BC$1 &amp; "" and D="" &amp; $I29))"),7.093910491562729)</f>
        <v>7.093910492</v>
      </c>
      <c r="BD29" s="10">
        <f>IFERROR(__xludf.DUMMYFUNCTION("ifna(QUERY($A$2:$G$2000, ""select G where D="" &amp; BD$1 &amp; "" and E="" &amp; $I29), QUERY($A$2:$G$2000, ""select G where E="" &amp; BD$1 &amp; "" and D="" &amp; $I29))"),7.109195402298851)</f>
        <v>7.109195402</v>
      </c>
      <c r="BE29" s="10">
        <f>IFERROR(__xludf.DUMMYFUNCTION("ifna(QUERY($A$2:$G$2000, ""select G where D="" &amp; BE$1 &amp; "" and E="" &amp; $I29), QUERY($A$2:$G$2000, ""select G where E="" &amp; BE$1 &amp; "" and D="" &amp; $I29))"),7.126671358198452)</f>
        <v>7.126671358</v>
      </c>
      <c r="BF29" s="10">
        <f>IFERROR(__xludf.DUMMYFUNCTION("ifna(QUERY($A$2:$G$2000, ""select G where D="" &amp; BF$1 &amp; "" and E="" &amp; $I29), QUERY($A$2:$G$2000, ""select G where E="" &amp; BF$1 &amp; "" and D="" &amp; $I29))"),7.1434482758620685)</f>
        <v>7.143448276</v>
      </c>
      <c r="BG29" s="10">
        <f>IFERROR(__xludf.DUMMYFUNCTION("ifna(QUERY($A$2:$G$2000, ""select G where D="" &amp; BG$1 &amp; "" and E="" &amp; $I29), QUERY($A$2:$G$2000, ""select G where E="" &amp; BG$1 &amp; "" and D="" &amp; $I29))"),7.162271805273834)</f>
        <v>7.162271805</v>
      </c>
      <c r="BH29" s="10">
        <f>IFERROR(__xludf.DUMMYFUNCTION("ifna(QUERY($A$2:$G$2000, ""select G where D="" &amp; BH$1 &amp; "" and E="" &amp; $I29), QUERY($A$2:$G$2000, ""select G where E="" &amp; BH$1 &amp; "" and D="" &amp; $I29))"),7.180371352785146)</f>
        <v>7.180371353</v>
      </c>
      <c r="BI29" s="10">
        <f>IFERROR(__xludf.DUMMYFUNCTION("ifna(QUERY($A$2:$G$2000, ""select G where D="" &amp; BI$1 &amp; "" and E="" &amp; $I29), QUERY($A$2:$G$2000, ""select G where E="" &amp; BI$1 &amp; "" and D="" &amp; $I29))"),7.200390370852309)</f>
        <v>7.200390371</v>
      </c>
      <c r="BJ29" s="10">
        <f>IFERROR(__xludf.DUMMYFUNCTION("ifna(QUERY($A$2:$G$2000, ""select G where D="" &amp; BJ$1 &amp; "" and E="" &amp; $I29), QUERY($A$2:$G$2000, ""select G where E="" &amp; BJ$1 &amp; "" and D="" &amp; $I29))"),7.219667943805875)</f>
        <v>7.219667944</v>
      </c>
      <c r="BK29" s="10">
        <f>IFERROR(__xludf.DUMMYFUNCTION("ifna(QUERY($A$2:$G$2000, ""select G where D="" &amp; BK$1 &amp; "" and E="" &amp; $I29), QUERY($A$2:$G$2000, ""select G where E="" &amp; BK$1 &amp; "" and D="" &amp; $I29))"),7.2407523510971785)</f>
        <v>7.240752351</v>
      </c>
      <c r="BL29" s="10"/>
      <c r="BM29" s="10"/>
      <c r="BN29" s="10"/>
      <c r="BO29" s="10"/>
    </row>
    <row r="30">
      <c r="A30" s="3">
        <v>4.0</v>
      </c>
      <c r="B30" s="3">
        <v>20.0</v>
      </c>
      <c r="C30" s="3">
        <v>36.0</v>
      </c>
      <c r="D30" s="3">
        <v>8.0</v>
      </c>
      <c r="E30" s="3">
        <v>3.0</v>
      </c>
      <c r="F30" s="11">
        <f t="shared" si="1"/>
        <v>0.5555555556</v>
      </c>
      <c r="G30" s="5">
        <f t="shared" si="2"/>
        <v>3.444444444</v>
      </c>
      <c r="H30" s="3">
        <v>30.0</v>
      </c>
      <c r="I30" s="2">
        <v>29.0</v>
      </c>
      <c r="J30" s="10">
        <f>IFERROR(__xludf.DUMMYFUNCTION("ifna(QUERY($A$2:$G$2000, ""select G where D="" &amp; J$1 &amp; "" and E="" &amp; $I30), QUERY($A$2:$G$2000, ""select G where E="" &amp; J$1 &amp; "" and D="" &amp; $I30))"),4.866666666666666)</f>
        <v>4.866666667</v>
      </c>
      <c r="K30" s="10">
        <f>IFERROR(__xludf.DUMMYFUNCTION("ifna(QUERY($A$2:$G$2000, ""select G where D="" &amp; K$1 &amp; "" and E="" &amp; $I30), QUERY($A$2:$G$2000, ""select G where E="" &amp; K$1 &amp; "" and D="" &amp; $I30))"),4.911111111111111)</f>
        <v>4.911111111</v>
      </c>
      <c r="L30" s="10">
        <f>IFERROR(__xludf.DUMMYFUNCTION("ifna(QUERY($A$2:$G$2000, ""select G where D="" &amp; L$1 &amp; "" and E="" &amp; $I30), QUERY($A$2:$G$2000, ""select G where E="" &amp; L$1 &amp; "" and D="" &amp; $I30))"),5.066666666666666)</f>
        <v>5.066666667</v>
      </c>
      <c r="M30" s="10">
        <f>IFERROR(__xludf.DUMMYFUNCTION("ifna(QUERY($A$2:$G$2000, ""select G where D="" &amp; M$1 &amp; "" and E="" &amp; $I30), QUERY($A$2:$G$2000, ""select G where E="" &amp; M$1 &amp; "" and D="" &amp; $I30))"),5.1866666666666665)</f>
        <v>5.186666667</v>
      </c>
      <c r="N30" s="10">
        <f>IFERROR(__xludf.DUMMYFUNCTION("ifna(QUERY($A$2:$G$2000, ""select G where D="" &amp; N$1 &amp; "" and E="" &amp; $I30), QUERY($A$2:$G$2000, ""select G where E="" &amp; N$1 &amp; "" and D="" &amp; $I30))"),5.311111111111111)</f>
        <v>5.311111111</v>
      </c>
      <c r="O30" s="10">
        <f>IFERROR(__xludf.DUMMYFUNCTION("ifna(QUERY($A$2:$G$2000, ""select G where D="" &amp; O$1 &amp; "" and E="" &amp; $I30), QUERY($A$2:$G$2000, ""select G where E="" &amp; O$1 &amp; "" and D="" &amp; $I30))"),5.438095238095238)</f>
        <v>5.438095238</v>
      </c>
      <c r="P30" s="10">
        <f>IFERROR(__xludf.DUMMYFUNCTION("ifna(QUERY($A$2:$G$2000, ""select G where D="" &amp; P$1 &amp; "" and E="" &amp; $I30), QUERY($A$2:$G$2000, ""select G where E="" &amp; P$1 &amp; "" and D="" &amp; $I30))"),5.566666666666666)</f>
        <v>5.566666667</v>
      </c>
      <c r="Q30" s="10">
        <f>IFERROR(__xludf.DUMMYFUNCTION("ifna(QUERY($A$2:$G$2000, ""select G where D="" &amp; Q$1 &amp; "" and E="" &amp; $I30), QUERY($A$2:$G$2000, ""select G where E="" &amp; Q$1 &amp; "" and D="" &amp; $I30))"),5.674074074074074)</f>
        <v>5.674074074</v>
      </c>
      <c r="R30" s="10">
        <f>IFERROR(__xludf.DUMMYFUNCTION("ifna(QUERY($A$2:$G$2000, ""select G where D="" &amp; R$1 &amp; "" and E="" &amp; $I30), QUERY($A$2:$G$2000, ""select G where E="" &amp; R$1 &amp; "" and D="" &amp; $I30))"),5.773333333333333)</f>
        <v>5.773333333</v>
      </c>
      <c r="S30" s="10">
        <f>IFERROR(__xludf.DUMMYFUNCTION("ifna(QUERY($A$2:$G$2000, ""select G where D="" &amp; S$1 &amp; "" and E="" &amp; $I30), QUERY($A$2:$G$2000, ""select G where E="" &amp; S$1 &amp; "" and D="" &amp; $I30))"),5.842424242424243)</f>
        <v>5.842424242</v>
      </c>
      <c r="T30" s="10">
        <f>IFERROR(__xludf.DUMMYFUNCTION("ifna(QUERY($A$2:$G$2000, ""select G where D="" &amp; T$1 &amp; "" and E="" &amp; $I30), QUERY($A$2:$G$2000, ""select G where E="" &amp; T$1 &amp; "" and D="" &amp; $I30))"),5.9)</f>
        <v>5.9</v>
      </c>
      <c r="U30" s="10">
        <f>IFERROR(__xludf.DUMMYFUNCTION("ifna(QUERY($A$2:$G$2000, ""select G where D="" &amp; U$1 &amp; "" and E="" &amp; $I30), QUERY($A$2:$G$2000, ""select G where E="" &amp; U$1 &amp; "" and D="" &amp; $I30))"),5.984615384615385)</f>
        <v>5.984615385</v>
      </c>
      <c r="V30" s="10">
        <f>IFERROR(__xludf.DUMMYFUNCTION("ifna(QUERY($A$2:$G$2000, ""select G where D="" &amp; V$1 &amp; "" and E="" &amp; $I30), QUERY($A$2:$G$2000, ""select G where E="" &amp; V$1 &amp; "" and D="" &amp; $I30))"),6.019047619047619)</f>
        <v>6.019047619</v>
      </c>
      <c r="W30" s="10">
        <f>IFERROR(__xludf.DUMMYFUNCTION("ifna(QUERY($A$2:$G$2000, ""select G where D="" &amp; W$1 &amp; "" and E="" &amp; $I30), QUERY($A$2:$G$2000, ""select G where E="" &amp; W$1 &amp; "" and D="" &amp; $I30))"),6.053333333333334)</f>
        <v>6.053333333</v>
      </c>
      <c r="X30" s="10">
        <f>IFERROR(__xludf.DUMMYFUNCTION("ifna(QUERY($A$2:$G$2000, ""select G where D="" &amp; X$1 &amp; "" and E="" &amp; $I30), QUERY($A$2:$G$2000, ""select G where E="" &amp; X$1 &amp; "" and D="" &amp; $I30))"),6.091666666666667)</f>
        <v>6.091666667</v>
      </c>
      <c r="Y30" s="10">
        <f>IFERROR(__xludf.DUMMYFUNCTION("ifna(QUERY($A$2:$G$2000, ""select G where D="" &amp; Y$1 &amp; "" and E="" &amp; $I30), QUERY($A$2:$G$2000, ""select G where E="" &amp; Y$1 &amp; "" and D="" &amp; $I30))"),6.141176470588236)</f>
        <v>6.141176471</v>
      </c>
      <c r="Z30" s="10">
        <f>IFERROR(__xludf.DUMMYFUNCTION("ifna(QUERY($A$2:$G$2000, ""select G where D="" &amp; Z$1 &amp; "" and E="" &amp; $I30), QUERY($A$2:$G$2000, ""select G where E="" &amp; Z$1 &amp; "" and D="" &amp; $I30))"),6.192592592592592)</f>
        <v>6.192592593</v>
      </c>
      <c r="AA30" s="10">
        <f>IFERROR(__xludf.DUMMYFUNCTION("ifna(QUERY($A$2:$G$2000, ""select G where D="" &amp; AA$1 &amp; "" and E="" &amp; $I30), QUERY($A$2:$G$2000, ""select G where E="" &amp; AA$1 &amp; "" and D="" &amp; $I30))"),6.245614035087719)</f>
        <v>6.245614035</v>
      </c>
      <c r="AB30" s="10">
        <f>IFERROR(__xludf.DUMMYFUNCTION("ifna(QUERY($A$2:$G$2000, ""select G where D="" &amp; AB$1 &amp; "" and E="" &amp; $I30), QUERY($A$2:$G$2000, ""select G where E="" &amp; AB$1 &amp; "" and D="" &amp; $I30))"),6.3)</f>
        <v>6.3</v>
      </c>
      <c r="AC30" s="10">
        <f>IFERROR(__xludf.DUMMYFUNCTION("ifna(QUERY($A$2:$G$2000, ""select G where D="" &amp; AC$1 &amp; "" and E="" &amp; $I30), QUERY($A$2:$G$2000, ""select G where E="" &amp; AC$1 &amp; "" and D="" &amp; $I30))"),6.355555555555555)</f>
        <v>6.355555556</v>
      </c>
      <c r="AD30" s="10">
        <f>IFERROR(__xludf.DUMMYFUNCTION("ifna(QUERY($A$2:$G$2000, ""select G where D="" &amp; AD$1 &amp; "" and E="" &amp; $I30), QUERY($A$2:$G$2000, ""select G where E="" &amp; AD$1 &amp; "" and D="" &amp; $I30))"),6.412121212121212)</f>
        <v>6.412121212</v>
      </c>
      <c r="AE30" s="10">
        <f>IFERROR(__xludf.DUMMYFUNCTION("ifna(QUERY($A$2:$G$2000, ""select G where D="" &amp; AE$1 &amp; "" and E="" &amp; $I30), QUERY($A$2:$G$2000, ""select G where E="" &amp; AE$1 &amp; "" and D="" &amp; $I30))"),6.469565217391304)</f>
        <v>6.469565217</v>
      </c>
      <c r="AF30" s="10">
        <f>IFERROR(__xludf.DUMMYFUNCTION("ifna(QUERY($A$2:$G$2000, ""select G where D="" &amp; AF$1 &amp; "" and E="" &amp; $I30), QUERY($A$2:$G$2000, ""select G where E="" &amp; AF$1 &amp; "" and D="" &amp; $I30))"),6.527777777777778)</f>
        <v>6.527777778</v>
      </c>
      <c r="AG30" s="10">
        <f>IFERROR(__xludf.DUMMYFUNCTION("ifna(QUERY($A$2:$G$2000, ""select G where D="" &amp; AG$1 &amp; "" and E="" &amp; $I30), QUERY($A$2:$G$2000, ""select G where E="" &amp; AG$1 &amp; "" and D="" &amp; $I30))"),6.581333333333333)</f>
        <v>6.581333333</v>
      </c>
      <c r="AH30" s="10">
        <f>IFERROR(__xludf.DUMMYFUNCTION("ifna(QUERY($A$2:$G$2000, ""select G where D="" &amp; AH$1 &amp; "" and E="" &amp; $I30), QUERY($A$2:$G$2000, ""select G where E="" &amp; AH$1 &amp; "" and D="" &amp; $I30))"),6.635897435897436)</f>
        <v>6.635897436</v>
      </c>
      <c r="AI30" s="10">
        <f>IFERROR(__xludf.DUMMYFUNCTION("ifna(QUERY($A$2:$G$2000, ""select G where D="" &amp; AI$1 &amp; "" and E="" &amp; $I30), QUERY($A$2:$G$2000, ""select G where E="" &amp; AI$1 &amp; "" and D="" &amp; $I30))"),6.681481481481481)</f>
        <v>6.681481481</v>
      </c>
      <c r="AJ30" s="10">
        <f>IFERROR(__xludf.DUMMYFUNCTION("ifna(QUERY($A$2:$G$2000, ""select G where D="" &amp; AJ$1 &amp; "" and E="" &amp; $I30), QUERY($A$2:$G$2000, ""select G where E="" &amp; AJ$1 &amp; "" and D="" &amp; $I30))"),6.723809523809524)</f>
        <v>6.723809524</v>
      </c>
      <c r="AK30" s="10">
        <f>IFERROR(__xludf.DUMMYFUNCTION("ifna(QUERY($A$2:$G$2000, ""select G where D="" &amp; AK$1 &amp; "" and E="" &amp; $I30), QUERY($A$2:$G$2000, ""select G where E="" &amp; AK$1 &amp; "" and D="" &amp; $I30))"),6.758620689655173)</f>
        <v>6.75862069</v>
      </c>
      <c r="AL30" s="10">
        <f>IFERROR(__xludf.DUMMYFUNCTION("ifna(QUERY($A$2:$G$2000, ""select G where D="" &amp; AL$1 &amp; "" and E="" &amp; $I30), QUERY($A$2:$G$2000, ""select G where E="" &amp; AL$1 &amp; "" and D="" &amp; $I30))"),6.791111111111111)</f>
        <v>6.791111111</v>
      </c>
      <c r="AM30" s="10">
        <f>IFERROR(__xludf.DUMMYFUNCTION("ifna(QUERY($A$2:$G$2000, ""select G where D="" &amp; AM$1 &amp; "" and E="" &amp; $I30), QUERY($A$2:$G$2000, ""select G where E="" &amp; AM$1 &amp; "" and D="" &amp; $I30))"),6.819354838709677)</f>
        <v>6.819354839</v>
      </c>
      <c r="AN30" s="10">
        <f>IFERROR(__xludf.DUMMYFUNCTION("ifna(QUERY($A$2:$G$2000, ""select G where D="" &amp; AN$1 &amp; "" and E="" &amp; $I30), QUERY($A$2:$G$2000, ""select G where E="" &amp; AN$1 &amp; "" and D="" &amp; $I30))"),6.845833333333333)</f>
        <v>6.845833333</v>
      </c>
      <c r="AO30" s="10">
        <f>IFERROR(__xludf.DUMMYFUNCTION("ifna(QUERY($A$2:$G$2000, ""select G where D="" &amp; AO$1 &amp; "" and E="" &amp; $I30), QUERY($A$2:$G$2000, ""select G where E="" &amp; AO$1 &amp; "" and D="" &amp; $I30))"),6.866666666666666)</f>
        <v>6.866666667</v>
      </c>
      <c r="AP30" s="10">
        <f>IFERROR(__xludf.DUMMYFUNCTION("ifna(QUERY($A$2:$G$2000, ""select G where D="" &amp; AP$1 &amp; "" and E="" &amp; $I30), QUERY($A$2:$G$2000, ""select G where E="" &amp; AP$1 &amp; "" and D="" &amp; $I30))"),6.886274509803922)</f>
        <v>6.88627451</v>
      </c>
      <c r="AQ30" s="10">
        <f>IFERROR(__xludf.DUMMYFUNCTION("ifna(QUERY($A$2:$G$2000, ""select G where D="" &amp; AQ$1 &amp; "" and E="" &amp; $I30), QUERY($A$2:$G$2000, ""select G where E="" &amp; AQ$1 &amp; "" and D="" &amp; $I30))"),6.906666666666666)</f>
        <v>6.906666667</v>
      </c>
      <c r="AR30" s="10">
        <f>IFERROR(__xludf.DUMMYFUNCTION("ifna(QUERY($A$2:$G$2000, ""select G where D="" &amp; AR$1 &amp; "" and E="" &amp; $I30), QUERY($A$2:$G$2000, ""select G where E="" &amp; AR$1 &amp; "" and D="" &amp; $I30))"),6.935185185185185)</f>
        <v>6.935185185</v>
      </c>
      <c r="AS30" s="10">
        <f>IFERROR(__xludf.DUMMYFUNCTION("ifna(QUERY($A$2:$G$2000, ""select G where D="" &amp; AS$1 &amp; "" and E="" &amp; $I30), QUERY($A$2:$G$2000, ""select G where E="" &amp; AS$1 &amp; "" and D="" &amp; $I30))"),6.9837837837837835)</f>
        <v>6.983783784</v>
      </c>
      <c r="AT30" s="10">
        <f>IFERROR(__xludf.DUMMYFUNCTION("ifna(QUERY($A$2:$G$2000, ""select G where D="" &amp; AT$1 &amp; "" and E="" &amp; $I30), QUERY($A$2:$G$2000, ""select G where E="" &amp; AT$1 &amp; "" and D="" &amp; $I30))"),7.003508771929825)</f>
        <v>7.003508772</v>
      </c>
      <c r="AU30" s="10">
        <f>IFERROR(__xludf.DUMMYFUNCTION("ifna(QUERY($A$2:$G$2000, ""select G where D="" &amp; AU$1 &amp; "" and E="" &amp; $I30), QUERY($A$2:$G$2000, ""select G where E="" &amp; AU$1 &amp; "" and D="" &amp; $I30))"),7.01025641025641)</f>
        <v>7.01025641</v>
      </c>
      <c r="AV30" s="10">
        <f>IFERROR(__xludf.DUMMYFUNCTION("ifna(QUERY($A$2:$G$2000, ""select G where D="" &amp; AV$1 &amp; "" and E="" &amp; $I30), QUERY($A$2:$G$2000, ""select G where E="" &amp; AV$1 &amp; "" and D="" &amp; $I30))"),7.02)</f>
        <v>7.02</v>
      </c>
      <c r="AW30" s="10">
        <f>IFERROR(__xludf.DUMMYFUNCTION("ifna(QUERY($A$2:$G$2000, ""select G where D="" &amp; AW$1 &amp; "" and E="" &amp; $I30), QUERY($A$2:$G$2000, ""select G where E="" &amp; AW$1 &amp; "" and D="" &amp; $I30))"),7.029268292682927)</f>
        <v>7.029268293</v>
      </c>
      <c r="AX30" s="10">
        <f>IFERROR(__xludf.DUMMYFUNCTION("ifna(QUERY($A$2:$G$2000, ""select G where D="" &amp; AX$1 &amp; "" and E="" &amp; $I30), QUERY($A$2:$G$2000, ""select G where E="" &amp; AX$1 &amp; "" and D="" &amp; $I30))"),7.041269841269841)</f>
        <v>7.041269841</v>
      </c>
      <c r="AY30" s="10">
        <f>IFERROR(__xludf.DUMMYFUNCTION("ifna(QUERY($A$2:$G$2000, ""select G where D="" &amp; AY$1 &amp; "" and E="" &amp; $I30), QUERY($A$2:$G$2000, ""select G where E="" &amp; AY$1 &amp; "" and D="" &amp; $I30))"),7.055813953488372)</f>
        <v>7.055813953</v>
      </c>
      <c r="AZ30" s="10">
        <f>IFERROR(__xludf.DUMMYFUNCTION("ifna(QUERY($A$2:$G$2000, ""select G where D="" &amp; AZ$1 &amp; "" and E="" &amp; $I30), QUERY($A$2:$G$2000, ""select G where E="" &amp; AZ$1 &amp; "" and D="" &amp; $I30))"),7.069696969696969)</f>
        <v>7.06969697</v>
      </c>
      <c r="BA30" s="10">
        <f>IFERROR(__xludf.DUMMYFUNCTION("ifna(QUERY($A$2:$G$2000, ""select G where D="" &amp; BA$1 &amp; "" and E="" &amp; $I30), QUERY($A$2:$G$2000, ""select G where E="" &amp; BA$1 &amp; "" and D="" &amp; $I30))"),7.085925925925926)</f>
        <v>7.085925926</v>
      </c>
      <c r="BB30" s="10">
        <f>IFERROR(__xludf.DUMMYFUNCTION("ifna(QUERY($A$2:$G$2000, ""select G where D="" &amp; BB$1 &amp; "" and E="" &amp; $I30), QUERY($A$2:$G$2000, ""select G where E="" &amp; BB$1 &amp; "" and D="" &amp; $I30))"),7.101449275362318)</f>
        <v>7.101449275</v>
      </c>
      <c r="BC30" s="10">
        <f>IFERROR(__xludf.DUMMYFUNCTION("ifna(QUERY($A$2:$G$2000, ""select G where D="" &amp; BC$1 &amp; "" and E="" &amp; $I30), QUERY($A$2:$G$2000, ""select G where E="" &amp; BC$1 &amp; "" and D="" &amp; $I30))"),7.1191489361702125)</f>
        <v>7.119148936</v>
      </c>
      <c r="BD30" s="10">
        <f>IFERROR(__xludf.DUMMYFUNCTION("ifna(QUERY($A$2:$G$2000, ""select G where D="" &amp; BD$1 &amp; "" and E="" &amp; $I30), QUERY($A$2:$G$2000, ""select G where E="" &amp; BD$1 &amp; "" and D="" &amp; $I30))"),7.136111111111111)</f>
        <v>7.136111111</v>
      </c>
      <c r="BE30" s="10">
        <f>IFERROR(__xludf.DUMMYFUNCTION("ifna(QUERY($A$2:$G$2000, ""select G where D="" &amp; BE$1 &amp; "" and E="" &amp; $I30), QUERY($A$2:$G$2000, ""select G where E="" &amp; BE$1 &amp; "" and D="" &amp; $I30))"),7.155102040816327)</f>
        <v>7.155102041</v>
      </c>
      <c r="BF30" s="10">
        <f>IFERROR(__xludf.DUMMYFUNCTION("ifna(QUERY($A$2:$G$2000, ""select G where D="" &amp; BF$1 &amp; "" and E="" &amp; $I30), QUERY($A$2:$G$2000, ""select G where E="" &amp; BF$1 &amp; "" and D="" &amp; $I30))"),7.173333333333334)</f>
        <v>7.173333333</v>
      </c>
      <c r="BG30" s="10">
        <f>IFERROR(__xludf.DUMMYFUNCTION("ifna(QUERY($A$2:$G$2000, ""select G where D="" &amp; BG$1 &amp; "" and E="" &amp; $I30), QUERY($A$2:$G$2000, ""select G where E="" &amp; BG$1 &amp; "" and D="" &amp; $I30))"),7.193464052287582)</f>
        <v>7.193464052</v>
      </c>
      <c r="BH30" s="10">
        <f>IFERROR(__xludf.DUMMYFUNCTION("ifna(QUERY($A$2:$G$2000, ""select G where D="" &amp; BH$1 &amp; "" and E="" &amp; $I30), QUERY($A$2:$G$2000, ""select G where E="" &amp; BH$1 &amp; "" and D="" &amp; $I30))"),7.212820512820513)</f>
        <v>7.212820513</v>
      </c>
      <c r="BI30" s="10">
        <f>IFERROR(__xludf.DUMMYFUNCTION("ifna(QUERY($A$2:$G$2000, ""select G where D="" &amp; BI$1 &amp; "" and E="" &amp; $I30), QUERY($A$2:$G$2000, ""select G where E="" &amp; BI$1 &amp; "" and D="" &amp; $I30))"),7.233962264150943)</f>
        <v>7.233962264</v>
      </c>
      <c r="BJ30" s="10">
        <f>IFERROR(__xludf.DUMMYFUNCTION("ifna(QUERY($A$2:$G$2000, ""select G where D="" &amp; BJ$1 &amp; "" and E="" &amp; $I30), QUERY($A$2:$G$2000, ""select G where E="" &amp; BJ$1 &amp; "" and D="" &amp; $I30))"),7.254320987654321)</f>
        <v>7.254320988</v>
      </c>
      <c r="BK30" s="10">
        <f>IFERROR(__xludf.DUMMYFUNCTION("ifna(QUERY($A$2:$G$2000, ""select G where D="" &amp; BK$1 &amp; "" and E="" &amp; $I30), QUERY($A$2:$G$2000, ""select G where E="" &amp; BK$1 &amp; "" and D="" &amp; $I30))"),7.276363636363636)</f>
        <v>7.276363636</v>
      </c>
      <c r="BL30" s="10"/>
      <c r="BM30" s="10"/>
      <c r="BN30" s="10"/>
      <c r="BO30" s="10"/>
    </row>
    <row r="31">
      <c r="A31" s="3">
        <v>4.0</v>
      </c>
      <c r="B31" s="3">
        <v>15.0</v>
      </c>
      <c r="C31" s="3">
        <v>45.0</v>
      </c>
      <c r="D31" s="3">
        <v>8.0</v>
      </c>
      <c r="E31" s="3">
        <v>4.0</v>
      </c>
      <c r="F31" s="11">
        <f t="shared" si="1"/>
        <v>0.3333333333</v>
      </c>
      <c r="G31" s="5">
        <f t="shared" si="2"/>
        <v>3.666666667</v>
      </c>
      <c r="H31" s="3">
        <v>31.0</v>
      </c>
      <c r="I31" s="2">
        <v>30.0</v>
      </c>
      <c r="J31" s="10">
        <f>IFERROR(__xludf.DUMMYFUNCTION("ifna(QUERY($A$2:$G$2000, ""select G where D="" &amp; J$1 &amp; "" and E="" &amp; $I31), QUERY($A$2:$G$2000, ""select G where E="" &amp; J$1 &amp; "" and D="" &amp; $I31))"),4.903225806451613)</f>
        <v>4.903225806</v>
      </c>
      <c r="K31" s="10">
        <f>IFERROR(__xludf.DUMMYFUNCTION("ifna(QUERY($A$2:$G$2000, ""select G where D="" &amp; K$1 &amp; "" and E="" &amp; $I31), QUERY($A$2:$G$2000, ""select G where E="" &amp; K$1 &amp; "" and D="" &amp; $I31))"),4.946236559139785)</f>
        <v>4.946236559</v>
      </c>
      <c r="L31" s="10">
        <f>IFERROR(__xludf.DUMMYFUNCTION("ifna(QUERY($A$2:$G$2000, ""select G where D="" &amp; L$1 &amp; "" and E="" &amp; $I31), QUERY($A$2:$G$2000, ""select G where E="" &amp; L$1 &amp; "" and D="" &amp; $I31))"),5.096774193548387)</f>
        <v>5.096774194</v>
      </c>
      <c r="M31" s="10">
        <f>IFERROR(__xludf.DUMMYFUNCTION("ifna(QUERY($A$2:$G$2000, ""select G where D="" &amp; M$1 &amp; "" and E="" &amp; $I31), QUERY($A$2:$G$2000, ""select G where E="" &amp; M$1 &amp; "" and D="" &amp; $I31))"),5.232258064516129)</f>
        <v>5.232258065</v>
      </c>
      <c r="N31" s="10">
        <f>IFERROR(__xludf.DUMMYFUNCTION("ifna(QUERY($A$2:$G$2000, ""select G where D="" &amp; N$1 &amp; "" and E="" &amp; $I31), QUERY($A$2:$G$2000, ""select G where E="" &amp; N$1 &amp; "" and D="" &amp; $I31))"),5.365591397849462)</f>
        <v>5.365591398</v>
      </c>
      <c r="O31" s="10">
        <f>IFERROR(__xludf.DUMMYFUNCTION("ifna(QUERY($A$2:$G$2000, ""select G where D="" &amp; O$1 &amp; "" and E="" &amp; $I31), QUERY($A$2:$G$2000, ""select G where E="" &amp; O$1 &amp; "" and D="" &amp; $I31))"),5.488479262672811)</f>
        <v>5.488479263</v>
      </c>
      <c r="P31" s="10">
        <f>IFERROR(__xludf.DUMMYFUNCTION("ifna(QUERY($A$2:$G$2000, ""select G where D="" &amp; P$1 &amp; "" and E="" &amp; $I31), QUERY($A$2:$G$2000, ""select G where E="" &amp; P$1 &amp; "" and D="" &amp; $I31))"),5.612903225806452)</f>
        <v>5.612903226</v>
      </c>
      <c r="Q31" s="10">
        <f>IFERROR(__xludf.DUMMYFUNCTION("ifna(QUERY($A$2:$G$2000, ""select G where D="" &amp; Q$1 &amp; "" and E="" &amp; $I31), QUERY($A$2:$G$2000, ""select G where E="" &amp; Q$1 &amp; "" and D="" &amp; $I31))"),5.7168458781362)</f>
        <v>5.716845878</v>
      </c>
      <c r="R31" s="10">
        <f>IFERROR(__xludf.DUMMYFUNCTION("ifna(QUERY($A$2:$G$2000, ""select G where D="" &amp; R$1 &amp; "" and E="" &amp; $I31), QUERY($A$2:$G$2000, ""select G where E="" &amp; R$1 &amp; "" and D="" &amp; $I31))"),5.806451612903226)</f>
        <v>5.806451613</v>
      </c>
      <c r="S31" s="10">
        <f>IFERROR(__xludf.DUMMYFUNCTION("ifna(QUERY($A$2:$G$2000, ""select G where D="" &amp; S$1 &amp; "" and E="" &amp; $I31), QUERY($A$2:$G$2000, ""select G where E="" &amp; S$1 &amp; "" and D="" &amp; $I31))"),5.868035190615836)</f>
        <v>5.868035191</v>
      </c>
      <c r="T31" s="10">
        <f>IFERROR(__xludf.DUMMYFUNCTION("ifna(QUERY($A$2:$G$2000, ""select G where D="" &amp; T$1 &amp; "" and E="" &amp; $I31), QUERY($A$2:$G$2000, ""select G where E="" &amp; T$1 &amp; "" and D="" &amp; $I31))"),5.93010752688172)</f>
        <v>5.930107527</v>
      </c>
      <c r="U31" s="10">
        <f>IFERROR(__xludf.DUMMYFUNCTION("ifna(QUERY($A$2:$G$2000, ""select G where D="" &amp; U$1 &amp; "" and E="" &amp; $I31), QUERY($A$2:$G$2000, ""select G where E="" &amp; U$1 &amp; "" and D="" &amp; $I31))"),6.009925558312655)</f>
        <v>6.009925558</v>
      </c>
      <c r="V31" s="10">
        <f>IFERROR(__xludf.DUMMYFUNCTION("ifna(QUERY($A$2:$G$2000, ""select G where D="" &amp; V$1 &amp; "" and E="" &amp; $I31), QUERY($A$2:$G$2000, ""select G where E="" &amp; V$1 &amp; "" and D="" &amp; $I31))"),6.0368663594470044)</f>
        <v>6.036866359</v>
      </c>
      <c r="W31" s="10">
        <f>IFERROR(__xludf.DUMMYFUNCTION("ifna(QUERY($A$2:$G$2000, ""select G where D="" &amp; W$1 &amp; "" and E="" &amp; $I31), QUERY($A$2:$G$2000, ""select G where E="" &amp; W$1 &amp; "" and D="" &amp; $I31))"),6.077419354838709)</f>
        <v>6.077419355</v>
      </c>
      <c r="X31" s="10">
        <f>IFERROR(__xludf.DUMMYFUNCTION("ifna(QUERY($A$2:$G$2000, ""select G where D="" &amp; X$1 &amp; "" and E="" &amp; $I31), QUERY($A$2:$G$2000, ""select G where E="" &amp; X$1 &amp; "" and D="" &amp; $I31))"),6.120967741935484)</f>
        <v>6.120967742</v>
      </c>
      <c r="Y31" s="10">
        <f>IFERROR(__xludf.DUMMYFUNCTION("ifna(QUERY($A$2:$G$2000, ""select G where D="" &amp; Y$1 &amp; "" and E="" &amp; $I31), QUERY($A$2:$G$2000, ""select G where E="" &amp; Y$1 &amp; "" and D="" &amp; $I31))"),6.174573055028463)</f>
        <v>6.174573055</v>
      </c>
      <c r="Z31" s="10">
        <f>IFERROR(__xludf.DUMMYFUNCTION("ifna(QUERY($A$2:$G$2000, ""select G where D="" &amp; Z$1 &amp; "" and E="" &amp; $I31), QUERY($A$2:$G$2000, ""select G where E="" &amp; Z$1 &amp; "" and D="" &amp; $I31))"),6.229390681003585)</f>
        <v>6.229390681</v>
      </c>
      <c r="AA31" s="10">
        <f>IFERROR(__xludf.DUMMYFUNCTION("ifna(QUERY($A$2:$G$2000, ""select G where D="" &amp; AA$1 &amp; "" and E="" &amp; $I31), QUERY($A$2:$G$2000, ""select G where E="" &amp; AA$1 &amp; "" and D="" &amp; $I31))"),6.2852292020373515)</f>
        <v>6.285229202</v>
      </c>
      <c r="AB31" s="10">
        <f>IFERROR(__xludf.DUMMYFUNCTION("ifna(QUERY($A$2:$G$2000, ""select G where D="" &amp; AB$1 &amp; "" and E="" &amp; $I31), QUERY($A$2:$G$2000, ""select G where E="" &amp; AB$1 &amp; "" and D="" &amp; $I31))"),6.341935483870968)</f>
        <v>6.341935484</v>
      </c>
      <c r="AC31" s="10">
        <f>IFERROR(__xludf.DUMMYFUNCTION("ifna(QUERY($A$2:$G$2000, ""select G where D="" &amp; AC$1 &amp; "" and E="" &amp; $I31), QUERY($A$2:$G$2000, ""select G where E="" &amp; AC$1 &amp; "" and D="" &amp; $I31))"),6.399385560675883)</f>
        <v>6.399385561</v>
      </c>
      <c r="AD31" s="10">
        <f>IFERROR(__xludf.DUMMYFUNCTION("ifna(QUERY($A$2:$G$2000, ""select G where D="" &amp; AD$1 &amp; "" and E="" &amp; $I31), QUERY($A$2:$G$2000, ""select G where E="" &amp; AD$1 &amp; "" and D="" &amp; $I31))"),6.457478005865102)</f>
        <v>6.457478006</v>
      </c>
      <c r="AE31" s="10">
        <f>IFERROR(__xludf.DUMMYFUNCTION("ifna(QUERY($A$2:$G$2000, ""select G where D="" &amp; AE$1 &amp; "" and E="" &amp; $I31), QUERY($A$2:$G$2000, ""select G where E="" &amp; AE$1 &amp; "" and D="" &amp; $I31))"),6.516129032258064)</f>
        <v>6.516129032</v>
      </c>
      <c r="AF31" s="10">
        <f>IFERROR(__xludf.DUMMYFUNCTION("ifna(QUERY($A$2:$G$2000, ""select G where D="" &amp; AF$1 &amp; "" and E="" &amp; $I31), QUERY($A$2:$G$2000, ""select G where E="" &amp; AF$1 &amp; "" and D="" &amp; $I31))"),6.575268817204301)</f>
        <v>6.575268817</v>
      </c>
      <c r="AG31" s="10">
        <f>IFERROR(__xludf.DUMMYFUNCTION("ifna(QUERY($A$2:$G$2000, ""select G where D="" &amp; AG$1 &amp; "" and E="" &amp; $I31), QUERY($A$2:$G$2000, ""select G where E="" &amp; AG$1 &amp; "" and D="" &amp; $I31))"),6.627096774193548)</f>
        <v>6.627096774</v>
      </c>
      <c r="AH31" s="10">
        <f>IFERROR(__xludf.DUMMYFUNCTION("ifna(QUERY($A$2:$G$2000, ""select G where D="" &amp; AH$1 &amp; "" and E="" &amp; $I31), QUERY($A$2:$G$2000, ""select G where E="" &amp; AH$1 &amp; "" and D="" &amp; $I31))"),6.67741935483871)</f>
        <v>6.677419355</v>
      </c>
      <c r="AI31" s="10">
        <f>IFERROR(__xludf.DUMMYFUNCTION("ifna(QUERY($A$2:$G$2000, ""select G where D="" &amp; AI$1 &amp; "" and E="" &amp; $I31), QUERY($A$2:$G$2000, ""select G where E="" &amp; AI$1 &amp; "" and D="" &amp; $I31))"),6.7192353643966545)</f>
        <v>6.719235364</v>
      </c>
      <c r="AJ31" s="10">
        <f>IFERROR(__xludf.DUMMYFUNCTION("ifna(QUERY($A$2:$G$2000, ""select G where D="" &amp; AJ$1 &amp; "" and E="" &amp; $I31), QUERY($A$2:$G$2000, ""select G where E="" &amp; AJ$1 &amp; "" and D="" &amp; $I31))"),6.758064516129032)</f>
        <v>6.758064516</v>
      </c>
      <c r="AK31" s="10">
        <f>IFERROR(__xludf.DUMMYFUNCTION("ifna(QUERY($A$2:$G$2000, ""select G where D="" &amp; AK$1 &amp; "" and E="" &amp; $I31), QUERY($A$2:$G$2000, ""select G where E="" &amp; AK$1 &amp; "" and D="" &amp; $I31))"),6.789766407119021)</f>
        <v>6.789766407</v>
      </c>
      <c r="AL31" s="10">
        <f>IFERROR(__xludf.DUMMYFUNCTION("ifna(QUERY($A$2:$G$2000, ""select G where D="" &amp; AL$1 &amp; "" and E="" &amp; $I31), QUERY($A$2:$G$2000, ""select G where E="" &amp; AL$1 &amp; "" and D="" &amp; $I31))"),6.819354838709677)</f>
        <v>6.819354839</v>
      </c>
      <c r="AM31" s="10">
        <f>IFERROR(__xludf.DUMMYFUNCTION("ifna(QUERY($A$2:$G$2000, ""select G where D="" &amp; AM$1 &amp; "" and E="" &amp; $I31), QUERY($A$2:$G$2000, ""select G where E="" &amp; AM$1 &amp; "" and D="" &amp; $I31))"),6.8449531737773155)</f>
        <v>6.844953174</v>
      </c>
      <c r="AN31" s="10">
        <f>IFERROR(__xludf.DUMMYFUNCTION("ifna(QUERY($A$2:$G$2000, ""select G where D="" &amp; AN$1 &amp; "" and E="" &amp; $I31), QUERY($A$2:$G$2000, ""select G where E="" &amp; AN$1 &amp; "" and D="" &amp; $I31))"),6.868951612903226)</f>
        <v>6.868951613</v>
      </c>
      <c r="AO31" s="10">
        <f>IFERROR(__xludf.DUMMYFUNCTION("ifna(QUERY($A$2:$G$2000, ""select G where D="" &amp; AO$1 &amp; "" and E="" &amp; $I31), QUERY($A$2:$G$2000, ""select G where E="" &amp; AO$1 &amp; "" and D="" &amp; $I31))"),6.887585532746823)</f>
        <v>6.887585533</v>
      </c>
      <c r="AP31" s="10">
        <f>IFERROR(__xludf.DUMMYFUNCTION("ifna(QUERY($A$2:$G$2000, ""select G where D="" &amp; AP$1 &amp; "" and E="" &amp; $I31), QUERY($A$2:$G$2000, ""select G where E="" &amp; AP$1 &amp; "" and D="" &amp; $I31))"),6.910815939278938)</f>
        <v>6.910815939</v>
      </c>
      <c r="AQ31" s="10">
        <f>IFERROR(__xludf.DUMMYFUNCTION("ifna(QUERY($A$2:$G$2000, ""select G where D="" &amp; AQ$1 &amp; "" and E="" &amp; $I31), QUERY($A$2:$G$2000, ""select G where E="" &amp; AQ$1 &amp; "" and D="" &amp; $I31))"),6.940092165898617)</f>
        <v>6.940092166</v>
      </c>
      <c r="AR31" s="10">
        <f>IFERROR(__xludf.DUMMYFUNCTION("ifna(QUERY($A$2:$G$2000, ""select G where D="" &amp; AR$1 &amp; "" and E="" &amp; $I31), QUERY($A$2:$G$2000, ""select G where E="" &amp; AR$1 &amp; "" and D="" &amp; $I31))"),6.989247311827957)</f>
        <v>6.989247312</v>
      </c>
      <c r="AS31" s="10">
        <f>IFERROR(__xludf.DUMMYFUNCTION("ifna(QUERY($A$2:$G$2000, ""select G where D="" &amp; AS$1 &amp; "" and E="" &amp; $I31), QUERY($A$2:$G$2000, ""select G where E="" &amp; AS$1 &amp; "" and D="" &amp; $I31))"),7.003487358326068)</f>
        <v>7.003487358</v>
      </c>
      <c r="AT31" s="10">
        <f>IFERROR(__xludf.DUMMYFUNCTION("ifna(QUERY($A$2:$G$2000, ""select G where D="" &amp; AT$1 &amp; "" and E="" &amp; $I31), QUERY($A$2:$G$2000, ""select G where E="" &amp; AT$1 &amp; "" and D="" &amp; $I31))"),7.01018675721562)</f>
        <v>7.010186757</v>
      </c>
      <c r="AU31" s="10">
        <f>IFERROR(__xludf.DUMMYFUNCTION("ifna(QUERY($A$2:$G$2000, ""select G where D="" &amp; AU$1 &amp; "" and E="" &amp; $I31), QUERY($A$2:$G$2000, ""select G where E="" &amp; AU$1 &amp; "" and D="" &amp; $I31))"),7.01985111662531)</f>
        <v>7.019851117</v>
      </c>
      <c r="AV31" s="10">
        <f>IFERROR(__xludf.DUMMYFUNCTION("ifna(QUERY($A$2:$G$2000, ""select G where D="" &amp; AV$1 &amp; "" and E="" &amp; $I31), QUERY($A$2:$G$2000, ""select G where E="" &amp; AV$1 &amp; "" and D="" &amp; $I31))"),7.032258064516129)</f>
        <v>7.032258065</v>
      </c>
      <c r="AW31" s="10">
        <f>IFERROR(__xludf.DUMMYFUNCTION("ifna(QUERY($A$2:$G$2000, ""select G where D="" &amp; AW$1 &amp; "" and E="" &amp; $I31), QUERY($A$2:$G$2000, ""select G where E="" &amp; AW$1 &amp; "" and D="" &amp; $I31))"),7.044059795436664)</f>
        <v>7.044059795</v>
      </c>
      <c r="AX31" s="10">
        <f>IFERROR(__xludf.DUMMYFUNCTION("ifna(QUERY($A$2:$G$2000, ""select G where D="" &amp; AX$1 &amp; "" and E="" &amp; $I31), QUERY($A$2:$G$2000, ""select G where E="" &amp; AX$1 &amp; "" and D="" &amp; $I31))"),7.0583717357910905)</f>
        <v>7.058371736</v>
      </c>
      <c r="AY31" s="10">
        <f>IFERROR(__xludf.DUMMYFUNCTION("ifna(QUERY($A$2:$G$2000, ""select G where D="" &amp; AY$1 &amp; "" and E="" &amp; $I31), QUERY($A$2:$G$2000, ""select G where E="" &amp; AY$1 &amp; "" and D="" &amp; $I31))"),7.0750187546886725)</f>
        <v>7.075018755</v>
      </c>
      <c r="AZ31" s="10">
        <f>IFERROR(__xludf.DUMMYFUNCTION("ifna(QUERY($A$2:$G$2000, ""select G where D="" &amp; AZ$1 &amp; "" and E="" &amp; $I31), QUERY($A$2:$G$2000, ""select G where E="" &amp; AZ$1 &amp; "" and D="" &amp; $I31))"),7.090909090909091)</f>
        <v>7.090909091</v>
      </c>
      <c r="BA31" s="10">
        <f>IFERROR(__xludf.DUMMYFUNCTION("ifna(QUERY($A$2:$G$2000, ""select G where D="" &amp; BA$1 &amp; "" and E="" &amp; $I31), QUERY($A$2:$G$2000, ""select G where E="" &amp; BA$1 &amp; "" and D="" &amp; $I31))"),7.108960573476702)</f>
        <v>7.108960573</v>
      </c>
      <c r="BB31" s="10">
        <f>IFERROR(__xludf.DUMMYFUNCTION("ifna(QUERY($A$2:$G$2000, ""select G where D="" &amp; BB$1 &amp; "" and E="" &amp; $I31), QUERY($A$2:$G$2000, ""select G where E="" &amp; BB$1 &amp; "" and D="" &amp; $I31))"),7.126227208976157)</f>
        <v>7.126227209</v>
      </c>
      <c r="BC31" s="10">
        <f>IFERROR(__xludf.DUMMYFUNCTION("ifna(QUERY($A$2:$G$2000, ""select G where D="" &amp; BC$1 &amp; "" and E="" &amp; $I31), QUERY($A$2:$G$2000, ""select G where E="" &amp; BC$1 &amp; "" and D="" &amp; $I31))"),7.145504461221688)</f>
        <v>7.145504461</v>
      </c>
      <c r="BD31" s="10">
        <f>IFERROR(__xludf.DUMMYFUNCTION("ifna(QUERY($A$2:$G$2000, ""select G where D="" &amp; BD$1 &amp; "" and E="" &amp; $I31), QUERY($A$2:$G$2000, ""select G where E="" &amp; BD$1 &amp; "" and D="" &amp; $I31))"),7.163978494623656)</f>
        <v>7.163978495</v>
      </c>
      <c r="BE31" s="10">
        <f>IFERROR(__xludf.DUMMYFUNCTION("ifna(QUERY($A$2:$G$2000, ""select G where D="" &amp; BE$1 &amp; "" and E="" &amp; $I31), QUERY($A$2:$G$2000, ""select G where E="" &amp; BE$1 &amp; "" and D="" &amp; $I31))"),7.184331797235023)</f>
        <v>7.184331797</v>
      </c>
      <c r="BF31" s="10">
        <f>IFERROR(__xludf.DUMMYFUNCTION("ifna(QUERY($A$2:$G$2000, ""select G where D="" &amp; BF$1 &amp; "" and E="" &amp; $I31), QUERY($A$2:$G$2000, ""select G where E="" &amp; BF$1 &amp; "" and D="" &amp; $I31))"),7.203870967741936)</f>
        <v>7.203870968</v>
      </c>
      <c r="BG31" s="10">
        <f>IFERROR(__xludf.DUMMYFUNCTION("ifna(QUERY($A$2:$G$2000, ""select G where D="" &amp; BG$1 &amp; "" and E="" &amp; $I31), QUERY($A$2:$G$2000, ""select G where E="" &amp; BG$1 &amp; "" and D="" &amp; $I31))"),7.22517394054396)</f>
        <v>7.225173941</v>
      </c>
      <c r="BH31" s="10">
        <f>IFERROR(__xludf.DUMMYFUNCTION("ifna(QUERY($A$2:$G$2000, ""select G where D="" &amp; BH$1 &amp; "" and E="" &amp; $I31), QUERY($A$2:$G$2000, ""select G where E="" &amp; BH$1 &amp; "" and D="" &amp; $I31))"),7.245657568238213)</f>
        <v>7.245657568</v>
      </c>
      <c r="BI31" s="10">
        <f>IFERROR(__xludf.DUMMYFUNCTION("ifna(QUERY($A$2:$G$2000, ""select G where D="" &amp; BI$1 &amp; "" and E="" &amp; $I31), QUERY($A$2:$G$2000, ""select G where E="" &amp; BI$1 &amp; "" and D="" &amp; $I31))"),7.267802799756543)</f>
        <v>7.2678028</v>
      </c>
      <c r="BJ31" s="10">
        <f>IFERROR(__xludf.DUMMYFUNCTION("ifna(QUERY($A$2:$G$2000, ""select G where D="" &amp; BJ$1 &amp; "" and E="" &amp; $I31), QUERY($A$2:$G$2000, ""select G where E="" &amp; BJ$1 &amp; "" and D="" &amp; $I31))"),7.289127837514934)</f>
        <v>7.289127838</v>
      </c>
      <c r="BK31" s="10">
        <f>IFERROR(__xludf.DUMMYFUNCTION("ifna(QUERY($A$2:$G$2000, ""select G where D="" &amp; BK$1 &amp; "" and E="" &amp; $I31), QUERY($A$2:$G$2000, ""select G where E="" &amp; BK$1 &amp; "" and D="" &amp; $I31))"),7.312023460410558)</f>
        <v>7.31202346</v>
      </c>
      <c r="BL31" s="10"/>
      <c r="BM31" s="10"/>
      <c r="BN31" s="10"/>
      <c r="BO31" s="10"/>
    </row>
    <row r="32">
      <c r="A32" s="3">
        <v>4.0</v>
      </c>
      <c r="B32" s="3">
        <v>8.0</v>
      </c>
      <c r="C32" s="3">
        <v>54.0</v>
      </c>
      <c r="D32" s="3">
        <v>8.0</v>
      </c>
      <c r="E32" s="3">
        <v>5.0</v>
      </c>
      <c r="F32" s="11">
        <f t="shared" si="1"/>
        <v>0.1481481481</v>
      </c>
      <c r="G32" s="5">
        <f t="shared" si="2"/>
        <v>3.851851852</v>
      </c>
      <c r="H32" s="3">
        <v>32.0</v>
      </c>
      <c r="I32" s="2">
        <v>31.0</v>
      </c>
      <c r="J32" s="10">
        <f>IFERROR(__xludf.DUMMYFUNCTION("ifna(QUERY($A$2:$G$2000, ""select G where D="" &amp; J$1 &amp; "" and E="" &amp; $I32), QUERY($A$2:$G$2000, ""select G where E="" &amp; J$1 &amp; "" and D="" &amp; $I32))"),4.9375)</f>
        <v>4.9375</v>
      </c>
      <c r="K32" s="10">
        <f>IFERROR(__xludf.DUMMYFUNCTION("ifna(QUERY($A$2:$G$2000, ""select G where D="" &amp; K$1 &amp; "" and E="" &amp; $I32), QUERY($A$2:$G$2000, ""select G where E="" &amp; K$1 &amp; "" and D="" &amp; $I32))"),4.979166666666667)</f>
        <v>4.979166667</v>
      </c>
      <c r="L32" s="10">
        <f>IFERROR(__xludf.DUMMYFUNCTION("ifna(QUERY($A$2:$G$2000, ""select G where D="" &amp; L$1 &amp; "" and E="" &amp; $I32), QUERY($A$2:$G$2000, ""select G where E="" &amp; L$1 &amp; "" and D="" &amp; $I32))"),5.125)</f>
        <v>5.125</v>
      </c>
      <c r="M32" s="10">
        <f>IFERROR(__xludf.DUMMYFUNCTION("ifna(QUERY($A$2:$G$2000, ""select G where D="" &amp; M$1 &amp; "" and E="" &amp; $I32), QUERY($A$2:$G$2000, ""select G where E="" &amp; M$1 &amp; "" and D="" &amp; $I32))"),5.275)</f>
        <v>5.275</v>
      </c>
      <c r="N32" s="10">
        <f>IFERROR(__xludf.DUMMYFUNCTION("ifna(QUERY($A$2:$G$2000, ""select G where D="" &amp; N$1 &amp; "" and E="" &amp; $I32), QUERY($A$2:$G$2000, ""select G where E="" &amp; N$1 &amp; "" and D="" &amp; $I32))"),5.416666666666667)</f>
        <v>5.416666667</v>
      </c>
      <c r="O32" s="10">
        <f>IFERROR(__xludf.DUMMYFUNCTION("ifna(QUERY($A$2:$G$2000, ""select G where D="" &amp; O$1 &amp; "" and E="" &amp; $I32), QUERY($A$2:$G$2000, ""select G where E="" &amp; O$1 &amp; "" and D="" &amp; $I32))"),5.535714285714286)</f>
        <v>5.535714286</v>
      </c>
      <c r="P32" s="10">
        <f>IFERROR(__xludf.DUMMYFUNCTION("ifna(QUERY($A$2:$G$2000, ""select G where D="" &amp; P$1 &amp; "" and E="" &amp; $I32), QUERY($A$2:$G$2000, ""select G where E="" &amp; P$1 &amp; "" and D="" &amp; $I32))"),5.65625)</f>
        <v>5.65625</v>
      </c>
      <c r="Q32" s="10">
        <f>IFERROR(__xludf.DUMMYFUNCTION("ifna(QUERY($A$2:$G$2000, ""select G where D="" &amp; Q$1 &amp; "" and E="" &amp; $I32), QUERY($A$2:$G$2000, ""select G where E="" &amp; Q$1 &amp; "" and D="" &amp; $I32))"),5.756944444444445)</f>
        <v>5.756944444</v>
      </c>
      <c r="R32" s="10">
        <f>IFERROR(__xludf.DUMMYFUNCTION("ifna(QUERY($A$2:$G$2000, ""select G where D="" &amp; R$1 &amp; "" and E="" &amp; $I32), QUERY($A$2:$G$2000, ""select G where E="" &amp; R$1 &amp; "" and D="" &amp; $I32))"),5.8375)</f>
        <v>5.8375</v>
      </c>
      <c r="S32" s="10">
        <f>IFERROR(__xludf.DUMMYFUNCTION("ifna(QUERY($A$2:$G$2000, ""select G where D="" &amp; S$1 &amp; "" and E="" &amp; $I32), QUERY($A$2:$G$2000, ""select G where E="" &amp; S$1 &amp; "" and D="" &amp; $I32))"),5.8977272727272725)</f>
        <v>5.897727273</v>
      </c>
      <c r="T32" s="10">
        <f>IFERROR(__xludf.DUMMYFUNCTION("ifna(QUERY($A$2:$G$2000, ""select G where D="" &amp; T$1 &amp; "" and E="" &amp; $I32), QUERY($A$2:$G$2000, ""select G where E="" &amp; T$1 &amp; "" and D="" &amp; $I32))"),5.984375)</f>
        <v>5.984375</v>
      </c>
      <c r="U32" s="10">
        <f>IFERROR(__xludf.DUMMYFUNCTION("ifna(QUERY($A$2:$G$2000, ""select G where D="" &amp; U$1 &amp; "" and E="" &amp; $I32), QUERY($A$2:$G$2000, ""select G where E="" &amp; U$1 &amp; "" and D="" &amp; $I32))"),6.019230769230769)</f>
        <v>6.019230769</v>
      </c>
      <c r="V32" s="10">
        <f>IFERROR(__xludf.DUMMYFUNCTION("ifna(QUERY($A$2:$G$2000, ""select G where D="" &amp; V$1 &amp; "" and E="" &amp; $I32), QUERY($A$2:$G$2000, ""select G where E="" &amp; V$1 &amp; "" and D="" &amp; $I32))"),6.053571428571429)</f>
        <v>6.053571429</v>
      </c>
      <c r="W32" s="10">
        <f>IFERROR(__xludf.DUMMYFUNCTION("ifna(QUERY($A$2:$G$2000, ""select G where D="" &amp; W$1 &amp; "" and E="" &amp; $I32), QUERY($A$2:$G$2000, ""select G where E="" &amp; W$1 &amp; "" and D="" &amp; $I32))"),6.1)</f>
        <v>6.1</v>
      </c>
      <c r="X32" s="10">
        <f>IFERROR(__xludf.DUMMYFUNCTION("ifna(QUERY($A$2:$G$2000, ""select G where D="" &amp; X$1 &amp; "" and E="" &amp; $I32), QUERY($A$2:$G$2000, ""select G where E="" &amp; X$1 &amp; "" and D="" &amp; $I32))"),6.1484375)</f>
        <v>6.1484375</v>
      </c>
      <c r="Y32" s="10">
        <f>IFERROR(__xludf.DUMMYFUNCTION("ifna(QUERY($A$2:$G$2000, ""select G where D="" &amp; Y$1 &amp; "" and E="" &amp; $I32), QUERY($A$2:$G$2000, ""select G where E="" &amp; Y$1 &amp; "" and D="" &amp; $I32))"),6.205882352941177)</f>
        <v>6.205882353</v>
      </c>
      <c r="Z32" s="10">
        <f>IFERROR(__xludf.DUMMYFUNCTION("ifna(QUERY($A$2:$G$2000, ""select G where D="" &amp; Z$1 &amp; "" and E="" &amp; $I32), QUERY($A$2:$G$2000, ""select G where E="" &amp; Z$1 &amp; "" and D="" &amp; $I32))"),6.263888888888889)</f>
        <v>6.263888889</v>
      </c>
      <c r="AA32" s="10">
        <f>IFERROR(__xludf.DUMMYFUNCTION("ifna(QUERY($A$2:$G$2000, ""select G where D="" &amp; AA$1 &amp; "" and E="" &amp; $I32), QUERY($A$2:$G$2000, ""select G where E="" &amp; AA$1 &amp; "" and D="" &amp; $I32))"),6.322368421052632)</f>
        <v>6.322368421</v>
      </c>
      <c r="AB32" s="10">
        <f>IFERROR(__xludf.DUMMYFUNCTION("ifna(QUERY($A$2:$G$2000, ""select G where D="" &amp; AB$1 &amp; "" and E="" &amp; $I32), QUERY($A$2:$G$2000, ""select G where E="" &amp; AB$1 &amp; "" and D="" &amp; $I32))"),6.38125)</f>
        <v>6.38125</v>
      </c>
      <c r="AC32" s="10">
        <f>IFERROR(__xludf.DUMMYFUNCTION("ifna(QUERY($A$2:$G$2000, ""select G where D="" &amp; AC$1 &amp; "" and E="" &amp; $I32), QUERY($A$2:$G$2000, ""select G where E="" &amp; AC$1 &amp; "" and D="" &amp; $I32))"),6.440476190476191)</f>
        <v>6.44047619</v>
      </c>
      <c r="AD32" s="10">
        <f>IFERROR(__xludf.DUMMYFUNCTION("ifna(QUERY($A$2:$G$2000, ""select G where D="" &amp; AD$1 &amp; "" and E="" &amp; $I32), QUERY($A$2:$G$2000, ""select G where E="" &amp; AD$1 &amp; "" and D="" &amp; $I32))"),6.5)</f>
        <v>6.5</v>
      </c>
      <c r="AE32" s="10">
        <f>IFERROR(__xludf.DUMMYFUNCTION("ifna(QUERY($A$2:$G$2000, ""select G where D="" &amp; AE$1 &amp; "" and E="" &amp; $I32), QUERY($A$2:$G$2000, ""select G where E="" &amp; AE$1 &amp; "" and D="" &amp; $I32))"),6.559782608695652)</f>
        <v>6.559782609</v>
      </c>
      <c r="AF32" s="10">
        <f>IFERROR(__xludf.DUMMYFUNCTION("ifna(QUERY($A$2:$G$2000, ""select G where D="" &amp; AF$1 &amp; "" and E="" &amp; $I32), QUERY($A$2:$G$2000, ""select G where E="" &amp; AF$1 &amp; "" and D="" &amp; $I32))"),6.619791666666667)</f>
        <v>6.619791667</v>
      </c>
      <c r="AG32" s="10">
        <f>IFERROR(__xludf.DUMMYFUNCTION("ifna(QUERY($A$2:$G$2000, ""select G where D="" &amp; AG$1 &amp; "" and E="" &amp; $I32), QUERY($A$2:$G$2000, ""select G where E="" &amp; AG$1 &amp; "" and D="" &amp; $I32))"),6.67)</f>
        <v>6.67</v>
      </c>
      <c r="AH32" s="10">
        <f>IFERROR(__xludf.DUMMYFUNCTION("ifna(QUERY($A$2:$G$2000, ""select G where D="" &amp; AH$1 &amp; "" and E="" &amp; $I32), QUERY($A$2:$G$2000, ""select G where E="" &amp; AH$1 &amp; "" and D="" &amp; $I32))"),6.716346153846154)</f>
        <v>6.716346154</v>
      </c>
      <c r="AI32" s="10">
        <f>IFERROR(__xludf.DUMMYFUNCTION("ifna(QUERY($A$2:$G$2000, ""select G where D="" &amp; AI$1 &amp; "" and E="" &amp; $I32), QUERY($A$2:$G$2000, ""select G where E="" &amp; AI$1 &amp; "" and D="" &amp; $I32))"),6.75462962962963)</f>
        <v>6.75462963</v>
      </c>
      <c r="AJ32" s="10">
        <f>IFERROR(__xludf.DUMMYFUNCTION("ifna(QUERY($A$2:$G$2000, ""select G where D="" &amp; AJ$1 &amp; "" and E="" &amp; $I32), QUERY($A$2:$G$2000, ""select G where E="" &amp; AJ$1 &amp; "" and D="" &amp; $I32))"),6.790178571428571)</f>
        <v>6.790178571</v>
      </c>
      <c r="AK32" s="10">
        <f>IFERROR(__xludf.DUMMYFUNCTION("ifna(QUERY($A$2:$G$2000, ""select G where D="" &amp; AK$1 &amp; "" and E="" &amp; $I32), QUERY($A$2:$G$2000, ""select G where E="" &amp; AK$1 &amp; "" and D="" &amp; $I32))"),6.818965517241379)</f>
        <v>6.818965517</v>
      </c>
      <c r="AL32" s="10">
        <f>IFERROR(__xludf.DUMMYFUNCTION("ifna(QUERY($A$2:$G$2000, ""select G where D="" &amp; AL$1 &amp; "" and E="" &amp; $I32), QUERY($A$2:$G$2000, ""select G where E="" &amp; AL$1 &amp; "" and D="" &amp; $I32))"),6.845833333333333)</f>
        <v>6.845833333</v>
      </c>
      <c r="AM32" s="10">
        <f>IFERROR(__xludf.DUMMYFUNCTION("ifna(QUERY($A$2:$G$2000, ""select G where D="" &amp; AM$1 &amp; "" and E="" &amp; $I32), QUERY($A$2:$G$2000, ""select G where E="" &amp; AM$1 &amp; "" and D="" &amp; $I32))"),6.868951612903226)</f>
        <v>6.868951613</v>
      </c>
      <c r="AN32" s="10">
        <f>IFERROR(__xludf.DUMMYFUNCTION("ifna(QUERY($A$2:$G$2000, ""select G where D="" &amp; AN$1 &amp; "" and E="" &amp; $I32), QUERY($A$2:$G$2000, ""select G where E="" &amp; AN$1 &amp; "" and D="" &amp; $I32))"),6.892578125)</f>
        <v>6.892578125</v>
      </c>
      <c r="AO32" s="10">
        <f>IFERROR(__xludf.DUMMYFUNCTION("ifna(QUERY($A$2:$G$2000, ""select G where D="" &amp; AO$1 &amp; "" and E="" &amp; $I32), QUERY($A$2:$G$2000, ""select G where E="" &amp; AO$1 &amp; "" and D="" &amp; $I32))"),6.912878787878788)</f>
        <v>6.912878788</v>
      </c>
      <c r="AP32" s="10">
        <f>IFERROR(__xludf.DUMMYFUNCTION("ifna(QUERY($A$2:$G$2000, ""select G where D="" &amp; AP$1 &amp; "" and E="" &amp; $I32), QUERY($A$2:$G$2000, ""select G where E="" &amp; AP$1 &amp; "" and D="" &amp; $I32))"),6.948529411764706)</f>
        <v>6.948529412</v>
      </c>
      <c r="AQ32" s="10">
        <f>IFERROR(__xludf.DUMMYFUNCTION("ifna(QUERY($A$2:$G$2000, ""select G where D="" &amp; AQ$1 &amp; "" and E="" &amp; $I32), QUERY($A$2:$G$2000, ""select G where E="" &amp; AQ$1 &amp; "" and D="" &amp; $I32))"),6.991071428571429)</f>
        <v>6.991071429</v>
      </c>
      <c r="AR32" s="10">
        <f>IFERROR(__xludf.DUMMYFUNCTION("ifna(QUERY($A$2:$G$2000, ""select G where D="" &amp; AR$1 &amp; "" and E="" &amp; $I32), QUERY($A$2:$G$2000, ""select G where E="" &amp; AR$1 &amp; "" and D="" &amp; $I32))"),7.003472222222222)</f>
        <v>7.003472222</v>
      </c>
      <c r="AS32" s="10">
        <f>IFERROR(__xludf.DUMMYFUNCTION("ifna(QUERY($A$2:$G$2000, ""select G where D="" &amp; AS$1 &amp; "" and E="" &amp; $I32), QUERY($A$2:$G$2000, ""select G where E="" &amp; AS$1 &amp; "" and D="" &amp; $I32))"),7.010135135135135)</f>
        <v>7.010135135</v>
      </c>
      <c r="AT32" s="10">
        <f>IFERROR(__xludf.DUMMYFUNCTION("ifna(QUERY($A$2:$G$2000, ""select G where D="" &amp; AT$1 &amp; "" and E="" &amp; $I32), QUERY($A$2:$G$2000, ""select G where E="" &amp; AT$1 &amp; "" and D="" &amp; $I32))"),7.019736842105263)</f>
        <v>7.019736842</v>
      </c>
      <c r="AU32" s="10">
        <f>IFERROR(__xludf.DUMMYFUNCTION("ifna(QUERY($A$2:$G$2000, ""select G where D="" &amp; AU$1 &amp; "" and E="" &amp; $I32), QUERY($A$2:$G$2000, ""select G where E="" &amp; AU$1 &amp; "" and D="" &amp; $I32))"),7.032051282051282)</f>
        <v>7.032051282</v>
      </c>
      <c r="AV32" s="10">
        <f>IFERROR(__xludf.DUMMYFUNCTION("ifna(QUERY($A$2:$G$2000, ""select G where D="" &amp; AV$1 &amp; "" and E="" &amp; $I32), QUERY($A$2:$G$2000, ""select G where E="" &amp; AV$1 &amp; "" and D="" &amp; $I32))"),7.046875)</f>
        <v>7.046875</v>
      </c>
      <c r="AW32" s="10">
        <f>IFERROR(__xludf.DUMMYFUNCTION("ifna(QUERY($A$2:$G$2000, ""select G where D="" &amp; AW$1 &amp; "" and E="" &amp; $I32), QUERY($A$2:$G$2000, ""select G where E="" &amp; AW$1 &amp; "" and D="" &amp; $I32))"),7.060975609756097)</f>
        <v>7.06097561</v>
      </c>
      <c r="AX32" s="10">
        <f>IFERROR(__xludf.DUMMYFUNCTION("ifna(QUERY($A$2:$G$2000, ""select G where D="" &amp; AX$1 &amp; "" and E="" &amp; $I32), QUERY($A$2:$G$2000, ""select G where E="" &amp; AX$1 &amp; "" and D="" &amp; $I32))"),7.0773809523809526)</f>
        <v>7.077380952</v>
      </c>
      <c r="AY32" s="10">
        <f>IFERROR(__xludf.DUMMYFUNCTION("ifna(QUERY($A$2:$G$2000, ""select G where D="" &amp; AY$1 &amp; "" and E="" &amp; $I32), QUERY($A$2:$G$2000, ""select G where E="" &amp; AY$1 &amp; "" and D="" &amp; $I32))"),7.095930232558139)</f>
        <v>7.095930233</v>
      </c>
      <c r="AZ32" s="10">
        <f>IFERROR(__xludf.DUMMYFUNCTION("ifna(QUERY($A$2:$G$2000, ""select G where D="" &amp; AZ$1 &amp; "" and E="" &amp; $I32), QUERY($A$2:$G$2000, ""select G where E="" &amp; AZ$1 &amp; "" and D="" &amp; $I32))"),7.113636363636363)</f>
        <v>7.113636364</v>
      </c>
      <c r="BA32" s="10">
        <f>IFERROR(__xludf.DUMMYFUNCTION("ifna(QUERY($A$2:$G$2000, ""select G where D="" &amp; BA$1 &amp; "" and E="" &amp; $I32), QUERY($A$2:$G$2000, ""select G where E="" &amp; BA$1 &amp; "" and D="" &amp; $I32))"),7.133333333333333)</f>
        <v>7.133333333</v>
      </c>
      <c r="BB32" s="10">
        <f>IFERROR(__xludf.DUMMYFUNCTION("ifna(QUERY($A$2:$G$2000, ""select G where D="" &amp; BB$1 &amp; "" and E="" &amp; $I32), QUERY($A$2:$G$2000, ""select G where E="" &amp; BB$1 &amp; "" and D="" &amp; $I32))"),7.1521739130434785)</f>
        <v>7.152173913</v>
      </c>
      <c r="BC32" s="10">
        <f>IFERROR(__xludf.DUMMYFUNCTION("ifna(QUERY($A$2:$G$2000, ""select G where D="" &amp; BC$1 &amp; "" and E="" &amp; $I32), QUERY($A$2:$G$2000, ""select G where E="" &amp; BC$1 &amp; "" and D="" &amp; $I32))"),7.172872340425532)</f>
        <v>7.17287234</v>
      </c>
      <c r="BD32" s="10">
        <f>IFERROR(__xludf.DUMMYFUNCTION("ifna(QUERY($A$2:$G$2000, ""select G where D="" &amp; BD$1 &amp; "" and E="" &amp; $I32), QUERY($A$2:$G$2000, ""select G where E="" &amp; BD$1 &amp; "" and D="" &amp; $I32))"),7.192708333333333)</f>
        <v>7.192708333</v>
      </c>
      <c r="BE32" s="10">
        <f>IFERROR(__xludf.DUMMYFUNCTION("ifna(QUERY($A$2:$G$2000, ""select G where D="" &amp; BE$1 &amp; "" and E="" &amp; $I32), QUERY($A$2:$G$2000, ""select G where E="" &amp; BE$1 &amp; "" and D="" &amp; $I32))"),7.214285714285714)</f>
        <v>7.214285714</v>
      </c>
      <c r="BF32" s="10">
        <f>IFERROR(__xludf.DUMMYFUNCTION("ifna(QUERY($A$2:$G$2000, ""select G where D="" &amp; BF$1 &amp; "" and E="" &amp; $I32), QUERY($A$2:$G$2000, ""select G where E="" &amp; BF$1 &amp; "" and D="" &amp; $I32))"),7.235)</f>
        <v>7.235</v>
      </c>
      <c r="BG32" s="10">
        <f>IFERROR(__xludf.DUMMYFUNCTION("ifna(QUERY($A$2:$G$2000, ""select G where D="" &amp; BG$1 &amp; "" and E="" &amp; $I32), QUERY($A$2:$G$2000, ""select G where E="" &amp; BG$1 &amp; "" and D="" &amp; $I32))"),7.257352941176471)</f>
        <v>7.257352941</v>
      </c>
      <c r="BH32" s="10">
        <f>IFERROR(__xludf.DUMMYFUNCTION("ifna(QUERY($A$2:$G$2000, ""select G where D="" &amp; BH$1 &amp; "" and E="" &amp; $I32), QUERY($A$2:$G$2000, ""select G where E="" &amp; BH$1 &amp; "" and D="" &amp; $I32))"),7.278846153846154)</f>
        <v>7.278846154</v>
      </c>
      <c r="BI32" s="10">
        <f>IFERROR(__xludf.DUMMYFUNCTION("ifna(QUERY($A$2:$G$2000, ""select G where D="" &amp; BI$1 &amp; "" and E="" &amp; $I32), QUERY($A$2:$G$2000, ""select G where E="" &amp; BI$1 &amp; "" and D="" &amp; $I32))"),7.30188679245283)</f>
        <v>7.301886792</v>
      </c>
      <c r="BJ32" s="10">
        <f>IFERROR(__xludf.DUMMYFUNCTION("ifna(QUERY($A$2:$G$2000, ""select G where D="" &amp; BJ$1 &amp; "" and E="" &amp; $I32), QUERY($A$2:$G$2000, ""select G where E="" &amp; BJ$1 &amp; "" and D="" &amp; $I32))"),7.324074074074074)</f>
        <v>7.324074074</v>
      </c>
      <c r="BK32" s="10">
        <f>IFERROR(__xludf.DUMMYFUNCTION("ifna(QUERY($A$2:$G$2000, ""select G where D="" &amp; BK$1 &amp; "" and E="" &amp; $I32), QUERY($A$2:$G$2000, ""select G where E="" &amp; BK$1 &amp; "" and D="" &amp; $I32))"),7.347727272727273)</f>
        <v>7.347727273</v>
      </c>
      <c r="BL32" s="10"/>
      <c r="BM32" s="10"/>
      <c r="BN32" s="10"/>
      <c r="BO32" s="10"/>
    </row>
    <row r="33">
      <c r="A33" s="3">
        <v>4.0</v>
      </c>
      <c r="B33" s="3">
        <v>16.0</v>
      </c>
      <c r="C33" s="3">
        <v>20.0</v>
      </c>
      <c r="D33" s="3">
        <v>9.0</v>
      </c>
      <c r="E33" s="3">
        <v>1.0</v>
      </c>
      <c r="F33" s="11">
        <f t="shared" si="1"/>
        <v>0.8</v>
      </c>
      <c r="G33" s="5">
        <f t="shared" si="2"/>
        <v>3.2</v>
      </c>
      <c r="H33" s="3">
        <v>33.0</v>
      </c>
      <c r="I33" s="2">
        <v>32.0</v>
      </c>
      <c r="J33" s="10">
        <f>IFERROR(__xludf.DUMMYFUNCTION("ifna(QUERY($A$2:$G$2000, ""select G where D="" &amp; J$1 &amp; "" and E="" &amp; $I33), QUERY($A$2:$G$2000, ""select G where E="" &amp; J$1 &amp; "" and D="" &amp; $I33))"),4.96969696969697)</f>
        <v>4.96969697</v>
      </c>
      <c r="K33" s="10">
        <f>IFERROR(__xludf.DUMMYFUNCTION("ifna(QUERY($A$2:$G$2000, ""select G where D="" &amp; K$1 &amp; "" and E="" &amp; $I33), QUERY($A$2:$G$2000, ""select G where E="" &amp; K$1 &amp; "" and D="" &amp; $I33))"),5.040404040404041)</f>
        <v>5.04040404</v>
      </c>
      <c r="L33" s="10">
        <f>IFERROR(__xludf.DUMMYFUNCTION("ifna(QUERY($A$2:$G$2000, ""select G where D="" &amp; L$1 &amp; "" and E="" &amp; $I33), QUERY($A$2:$G$2000, ""select G where E="" &amp; L$1 &amp; "" and D="" &amp; $I33))"),5.181818181818182)</f>
        <v>5.181818182</v>
      </c>
      <c r="M33" s="10">
        <f>IFERROR(__xludf.DUMMYFUNCTION("ifna(QUERY($A$2:$G$2000, ""select G where D="" &amp; M$1 &amp; "" and E="" &amp; $I33), QUERY($A$2:$G$2000, ""select G where E="" &amp; M$1 &amp; "" and D="" &amp; $I33))"),5.327272727272727)</f>
        <v>5.327272727</v>
      </c>
      <c r="N33" s="10">
        <f>IFERROR(__xludf.DUMMYFUNCTION("ifna(QUERY($A$2:$G$2000, ""select G where D="" &amp; N$1 &amp; "" and E="" &amp; $I33), QUERY($A$2:$G$2000, ""select G where E="" &amp; N$1 &amp; "" and D="" &amp; $I33))"),5.4646464646464645)</f>
        <v>5.464646465</v>
      </c>
      <c r="O33" s="10">
        <f>IFERROR(__xludf.DUMMYFUNCTION("ifna(QUERY($A$2:$G$2000, ""select G where D="" &amp; O$1 &amp; "" and E="" &amp; $I33), QUERY($A$2:$G$2000, ""select G where E="" &amp; O$1 &amp; "" and D="" &amp; $I33))"),5.58008658008658)</f>
        <v>5.58008658</v>
      </c>
      <c r="P33" s="10">
        <f>IFERROR(__xludf.DUMMYFUNCTION("ifna(QUERY($A$2:$G$2000, ""select G where D="" &amp; P$1 &amp; "" and E="" &amp; $I33), QUERY($A$2:$G$2000, ""select G where E="" &amp; P$1 &amp; "" and D="" &amp; $I33))"),5.696969696969697)</f>
        <v>5.696969697</v>
      </c>
      <c r="Q33" s="10">
        <f>IFERROR(__xludf.DUMMYFUNCTION("ifna(QUERY($A$2:$G$2000, ""select G where D="" &amp; Q$1 &amp; "" and E="" &amp; $I33), QUERY($A$2:$G$2000, ""select G where E="" &amp; Q$1 &amp; "" and D="" &amp; $I33))"),5.787878787878788)</f>
        <v>5.787878788</v>
      </c>
      <c r="R33" s="10">
        <f>IFERROR(__xludf.DUMMYFUNCTION("ifna(QUERY($A$2:$G$2000, ""select G where D="" &amp; R$1 &amp; "" and E="" &amp; $I33), QUERY($A$2:$G$2000, ""select G where E="" &amp; R$1 &amp; "" and D="" &amp; $I33))"),5.86060606060606)</f>
        <v>5.860606061</v>
      </c>
      <c r="S33" s="10">
        <f>IFERROR(__xludf.DUMMYFUNCTION("ifna(QUERY($A$2:$G$2000, ""select G where D="" &amp; S$1 &amp; "" and E="" &amp; $I33), QUERY($A$2:$G$2000, ""select G where E="" &amp; S$1 &amp; "" and D="" &amp; $I33))"),5.920110192837465)</f>
        <v>5.920110193</v>
      </c>
      <c r="T33" s="10">
        <f>IFERROR(__xludf.DUMMYFUNCTION("ifna(QUERY($A$2:$G$2000, ""select G where D="" &amp; T$1 &amp; "" and E="" &amp; $I33), QUERY($A$2:$G$2000, ""select G where E="" &amp; T$1 &amp; "" and D="" &amp; $I33))"),6.01010101010101)</f>
        <v>6.01010101</v>
      </c>
      <c r="U33" s="10">
        <f>IFERROR(__xludf.DUMMYFUNCTION("ifna(QUERY($A$2:$G$2000, ""select G where D="" &amp; U$1 &amp; "" and E="" &amp; $I33), QUERY($A$2:$G$2000, ""select G where E="" &amp; U$1 &amp; "" and D="" &amp; $I33))"),6.037296037296037)</f>
        <v>6.037296037</v>
      </c>
      <c r="V33" s="10">
        <f>IFERROR(__xludf.DUMMYFUNCTION("ifna(QUERY($A$2:$G$2000, ""select G where D="" &amp; V$1 &amp; "" and E="" &amp; $I33), QUERY($A$2:$G$2000, ""select G where E="" &amp; V$1 &amp; "" and D="" &amp; $I33))"),6.077922077922078)</f>
        <v>6.077922078</v>
      </c>
      <c r="W33" s="10">
        <f>IFERROR(__xludf.DUMMYFUNCTION("ifna(QUERY($A$2:$G$2000, ""select G where D="" &amp; W$1 &amp; "" and E="" &amp; $I33), QUERY($A$2:$G$2000, ""select G where E="" &amp; W$1 &amp; "" and D="" &amp; $I33))"),6.129292929292929)</f>
        <v>6.129292929</v>
      </c>
      <c r="X33" s="10">
        <f>IFERROR(__xludf.DUMMYFUNCTION("ifna(QUERY($A$2:$G$2000, ""select G where D="" &amp; X$1 &amp; "" and E="" &amp; $I33), QUERY($A$2:$G$2000, ""select G where E="" &amp; X$1 &amp; "" and D="" &amp; $I33))"),6.181818181818182)</f>
        <v>6.181818182</v>
      </c>
      <c r="Y33" s="10">
        <f>IFERROR(__xludf.DUMMYFUNCTION("ifna(QUERY($A$2:$G$2000, ""select G where D="" &amp; Y$1 &amp; "" and E="" &amp; $I33), QUERY($A$2:$G$2000, ""select G where E="" &amp; Y$1 &amp; "" and D="" &amp; $I33))"),6.242424242424242)</f>
        <v>6.242424242</v>
      </c>
      <c r="Z33" s="10">
        <f>IFERROR(__xludf.DUMMYFUNCTION("ifna(QUERY($A$2:$G$2000, ""select G where D="" &amp; Z$1 &amp; "" and E="" &amp; $I33), QUERY($A$2:$G$2000, ""select G where E="" &amp; Z$1 &amp; "" and D="" &amp; $I33))"),6.303030303030303)</f>
        <v>6.303030303</v>
      </c>
      <c r="AA33" s="10">
        <f>IFERROR(__xludf.DUMMYFUNCTION("ifna(QUERY($A$2:$G$2000, ""select G where D="" &amp; AA$1 &amp; "" and E="" &amp; $I33), QUERY($A$2:$G$2000, ""select G where E="" &amp; AA$1 &amp; "" and D="" &amp; $I33))"),6.363636363636363)</f>
        <v>6.363636364</v>
      </c>
      <c r="AB33" s="10">
        <f>IFERROR(__xludf.DUMMYFUNCTION("ifna(QUERY($A$2:$G$2000, ""select G where D="" &amp; AB$1 &amp; "" and E="" &amp; $I33), QUERY($A$2:$G$2000, ""select G where E="" &amp; AB$1 &amp; "" and D="" &amp; $I33))"),6.424242424242424)</f>
        <v>6.424242424</v>
      </c>
      <c r="AC33" s="10">
        <f>IFERROR(__xludf.DUMMYFUNCTION("ifna(QUERY($A$2:$G$2000, ""select G where D="" &amp; AC$1 &amp; "" and E="" &amp; $I33), QUERY($A$2:$G$2000, ""select G where E="" &amp; AC$1 &amp; "" and D="" &amp; $I33))"),6.484848484848484)</f>
        <v>6.484848485</v>
      </c>
      <c r="AD33" s="10">
        <f>IFERROR(__xludf.DUMMYFUNCTION("ifna(QUERY($A$2:$G$2000, ""select G where D="" &amp; AD$1 &amp; "" and E="" &amp; $I33), QUERY($A$2:$G$2000, ""select G where E="" &amp; AD$1 &amp; "" and D="" &amp; $I33))"),6.545454545454546)</f>
        <v>6.545454545</v>
      </c>
      <c r="AE33" s="10">
        <f>IFERROR(__xludf.DUMMYFUNCTION("ifna(QUERY($A$2:$G$2000, ""select G where D="" &amp; AE$1 &amp; "" and E="" &amp; $I33), QUERY($A$2:$G$2000, ""select G where E="" &amp; AE$1 &amp; "" and D="" &amp; $I33))"),6.603425559947299)</f>
        <v>6.60342556</v>
      </c>
      <c r="AF33" s="10">
        <f>IFERROR(__xludf.DUMMYFUNCTION("ifna(QUERY($A$2:$G$2000, ""select G where D="" &amp; AF$1 &amp; "" and E="" &amp; $I33), QUERY($A$2:$G$2000, ""select G where E="" &amp; AF$1 &amp; "" and D="" &amp; $I33))"),6.659090909090909)</f>
        <v>6.659090909</v>
      </c>
      <c r="AG33" s="10">
        <f>IFERROR(__xludf.DUMMYFUNCTION("ifna(QUERY($A$2:$G$2000, ""select G where D="" &amp; AG$1 &amp; "" and E="" &amp; $I33), QUERY($A$2:$G$2000, ""select G where E="" &amp; AG$1 &amp; "" and D="" &amp; $I33))"),6.705454545454545)</f>
        <v>6.705454545</v>
      </c>
      <c r="AH33" s="10">
        <f>IFERROR(__xludf.DUMMYFUNCTION("ifna(QUERY($A$2:$G$2000, ""select G where D="" &amp; AH$1 &amp; "" and E="" &amp; $I33), QUERY($A$2:$G$2000, ""select G where E="" &amp; AH$1 &amp; "" and D="" &amp; $I33))"),6.748251748251748)</f>
        <v>6.748251748</v>
      </c>
      <c r="AI33" s="10">
        <f>IFERROR(__xludf.DUMMYFUNCTION("ifna(QUERY($A$2:$G$2000, ""select G where D="" &amp; AI$1 &amp; "" and E="" &amp; $I33), QUERY($A$2:$G$2000, ""select G where E="" &amp; AI$1 &amp; "" and D="" &amp; $I33))"),6.7833894500561165)</f>
        <v>6.78338945</v>
      </c>
      <c r="AJ33" s="10">
        <f>IFERROR(__xludf.DUMMYFUNCTION("ifna(QUERY($A$2:$G$2000, ""select G where D="" &amp; AJ$1 &amp; "" and E="" &amp; $I33), QUERY($A$2:$G$2000, ""select G where E="" &amp; AJ$1 &amp; "" and D="" &amp; $I33))"),6.816017316017316)</f>
        <v>6.816017316</v>
      </c>
      <c r="AK33" s="10">
        <f>IFERROR(__xludf.DUMMYFUNCTION("ifna(QUERY($A$2:$G$2000, ""select G where D="" &amp; AK$1 &amp; "" and E="" &amp; $I33), QUERY($A$2:$G$2000, ""select G where E="" &amp; AK$1 &amp; "" and D="" &amp; $I33))"),6.84221525600836)</f>
        <v>6.842215256</v>
      </c>
      <c r="AL33" s="10">
        <f>IFERROR(__xludf.DUMMYFUNCTION("ifna(QUERY($A$2:$G$2000, ""select G where D="" &amp; AL$1 &amp; "" and E="" &amp; $I33), QUERY($A$2:$G$2000, ""select G where E="" &amp; AL$1 &amp; "" and D="" &amp; $I33))"),6.866666666666666)</f>
        <v>6.866666667</v>
      </c>
      <c r="AM33" s="10">
        <f>IFERROR(__xludf.DUMMYFUNCTION("ifna(QUERY($A$2:$G$2000, ""select G where D="" &amp; AM$1 &amp; "" and E="" &amp; $I33), QUERY($A$2:$G$2000, ""select G where E="" &amp; AM$1 &amp; "" and D="" &amp; $I33))"),6.887585532746823)</f>
        <v>6.887585533</v>
      </c>
      <c r="AN33" s="10">
        <f>IFERROR(__xludf.DUMMYFUNCTION("ifna(QUERY($A$2:$G$2000, ""select G where D="" &amp; AN$1 &amp; "" and E="" &amp; $I33), QUERY($A$2:$G$2000, ""select G where E="" &amp; AN$1 &amp; "" and D="" &amp; $I33))"),6.912878787878788)</f>
        <v>6.912878788</v>
      </c>
      <c r="AO33" s="10">
        <f>IFERROR(__xludf.DUMMYFUNCTION("ifna(QUERY($A$2:$G$2000, ""select G where D="" &amp; AO$1 &amp; "" and E="" &amp; $I33), QUERY($A$2:$G$2000, ""select G where E="" &amp; AO$1 &amp; "" and D="" &amp; $I33))"),6.951331496786042)</f>
        <v>6.951331497</v>
      </c>
      <c r="AP33" s="10">
        <f>IFERROR(__xludf.DUMMYFUNCTION("ifna(QUERY($A$2:$G$2000, ""select G where D="" &amp; AP$1 &amp; "" and E="" &amp; $I33), QUERY($A$2:$G$2000, ""select G where E="" &amp; AP$1 &amp; "" and D="" &amp; $I33))"),6.992869875222817)</f>
        <v>6.992869875</v>
      </c>
      <c r="AQ33" s="10">
        <f>IFERROR(__xludf.DUMMYFUNCTION("ifna(QUERY($A$2:$G$2000, ""select G where D="" &amp; AQ$1 &amp; "" and E="" &amp; $I33), QUERY($A$2:$G$2000, ""select G where E="" &amp; AQ$1 &amp; "" and D="" &amp; $I33))"),7.003463203463204)</f>
        <v>7.003463203</v>
      </c>
      <c r="AR33" s="10">
        <f>IFERROR(__xludf.DUMMYFUNCTION("ifna(QUERY($A$2:$G$2000, ""select G where D="" &amp; AR$1 &amp; "" and E="" &amp; $I33), QUERY($A$2:$G$2000, ""select G where E="" &amp; AR$1 &amp; "" and D="" &amp; $I33))"),7.01010101010101)</f>
        <v>7.01010101</v>
      </c>
      <c r="AS33" s="10">
        <f>IFERROR(__xludf.DUMMYFUNCTION("ifna(QUERY($A$2:$G$2000, ""select G where D="" &amp; AS$1 &amp; "" and E="" &amp; $I33), QUERY($A$2:$G$2000, ""select G where E="" &amp; AS$1 &amp; "" and D="" &amp; $I33))"),7.019656019656019)</f>
        <v>7.01965602</v>
      </c>
      <c r="AT33" s="10">
        <f>IFERROR(__xludf.DUMMYFUNCTION("ifna(QUERY($A$2:$G$2000, ""select G where D="" &amp; AT$1 &amp; "" and E="" &amp; $I33), QUERY($A$2:$G$2000, ""select G where E="" &amp; AT$1 &amp; "" and D="" &amp; $I33))"),7.031897926634769)</f>
        <v>7.031897927</v>
      </c>
      <c r="AU33" s="10">
        <f>IFERROR(__xludf.DUMMYFUNCTION("ifna(QUERY($A$2:$G$2000, ""select G where D="" &amp; AU$1 &amp; "" and E="" &amp; $I33), QUERY($A$2:$G$2000, ""select G where E="" &amp; AU$1 &amp; "" and D="" &amp; $I33))"),7.046620046620046)</f>
        <v>7.046620047</v>
      </c>
      <c r="AV33" s="10">
        <f>IFERROR(__xludf.DUMMYFUNCTION("ifna(QUERY($A$2:$G$2000, ""select G where D="" &amp; AV$1 &amp; "" and E="" &amp; $I33), QUERY($A$2:$G$2000, ""select G where E="" &amp; AV$1 &amp; "" and D="" &amp; $I33))"),7.0636363636363635)</f>
        <v>7.063636364</v>
      </c>
      <c r="AW33" s="10">
        <f>IFERROR(__xludf.DUMMYFUNCTION("ifna(QUERY($A$2:$G$2000, ""select G where D="" &amp; AW$1 &amp; "" and E="" &amp; $I33), QUERY($A$2:$G$2000, ""select G where E="" &amp; AW$1 &amp; "" and D="" &amp; $I33))"),7.0798226164079825)</f>
        <v>7.079822616</v>
      </c>
      <c r="AX33" s="10">
        <f>IFERROR(__xludf.DUMMYFUNCTION("ifna(QUERY($A$2:$G$2000, ""select G where D="" &amp; AX$1 &amp; "" and E="" &amp; $I33), QUERY($A$2:$G$2000, ""select G where E="" &amp; AX$1 &amp; "" and D="" &amp; $I33))"),7.0981240981240985)</f>
        <v>7.098124098</v>
      </c>
      <c r="AY33" s="10">
        <f>IFERROR(__xludf.DUMMYFUNCTION("ifna(QUERY($A$2:$G$2000, ""select G where D="" &amp; AY$1 &amp; "" and E="" &amp; $I33), QUERY($A$2:$G$2000, ""select G where E="" &amp; AY$1 &amp; "" and D="" &amp; $I33))"),7.118393234672304)</f>
        <v>7.118393235</v>
      </c>
      <c r="AZ33" s="10">
        <f>IFERROR(__xludf.DUMMYFUNCTION("ifna(QUERY($A$2:$G$2000, ""select G where D="" &amp; AZ$1 &amp; "" and E="" &amp; $I33), QUERY($A$2:$G$2000, ""select G where E="" &amp; AZ$1 &amp; "" and D="" &amp; $I33))"),7.137741046831956)</f>
        <v>7.137741047</v>
      </c>
      <c r="BA33" s="10">
        <f>IFERROR(__xludf.DUMMYFUNCTION("ifna(QUERY($A$2:$G$2000, ""select G where D="" &amp; BA$1 &amp; "" and E="" &amp; $I33), QUERY($A$2:$G$2000, ""select G where E="" &amp; BA$1 &amp; "" and D="" &amp; $I33))"),7.1589225589225585)</f>
        <v>7.158922559</v>
      </c>
      <c r="BB33" s="10">
        <f>IFERROR(__xludf.DUMMYFUNCTION("ifna(QUERY($A$2:$G$2000, ""select G where D="" &amp; BB$1 &amp; "" and E="" &amp; $I33), QUERY($A$2:$G$2000, ""select G where E="" &amp; BB$1 &amp; "" and D="" &amp; $I33))"),7.179183135704875)</f>
        <v>7.179183136</v>
      </c>
      <c r="BC33" s="10">
        <f>IFERROR(__xludf.DUMMYFUNCTION("ifna(QUERY($A$2:$G$2000, ""select G where D="" &amp; BC$1 &amp; "" and E="" &amp; $I33), QUERY($A$2:$G$2000, ""select G where E="" &amp; BC$1 &amp; "" and D="" &amp; $I33))"),7.2011605415860735)</f>
        <v>7.201160542</v>
      </c>
      <c r="BD33" s="10">
        <f>IFERROR(__xludf.DUMMYFUNCTION("ifna(QUERY($A$2:$G$2000, ""select G where D="" &amp; BD$1 &amp; "" and E="" &amp; $I33), QUERY($A$2:$G$2000, ""select G where E="" &amp; BD$1 &amp; "" and D="" &amp; $I33))"),7.222222222222222)</f>
        <v>7.222222222</v>
      </c>
      <c r="BE33" s="10">
        <f>IFERROR(__xludf.DUMMYFUNCTION("ifna(QUERY($A$2:$G$2000, ""select G where D="" &amp; BE$1 &amp; "" and E="" &amp; $I33), QUERY($A$2:$G$2000, ""select G where E="" &amp; BE$1 &amp; "" and D="" &amp; $I33))"),7.244897959183674)</f>
        <v>7.244897959</v>
      </c>
      <c r="BF33" s="10">
        <f>IFERROR(__xludf.DUMMYFUNCTION("ifna(QUERY($A$2:$G$2000, ""select G where D="" &amp; BF$1 &amp; "" and E="" &amp; $I33), QUERY($A$2:$G$2000, ""select G where E="" &amp; BF$1 &amp; "" and D="" &amp; $I33))"),7.266666666666667)</f>
        <v>7.266666667</v>
      </c>
      <c r="BG33" s="10">
        <f>IFERROR(__xludf.DUMMYFUNCTION("ifna(QUERY($A$2:$G$2000, ""select G where D="" &amp; BG$1 &amp; "" and E="" &amp; $I33), QUERY($A$2:$G$2000, ""select G where E="" &amp; BG$1 &amp; "" and D="" &amp; $I33))"),7.289958407605466)</f>
        <v>7.289958408</v>
      </c>
      <c r="BH33" s="10">
        <f>IFERROR(__xludf.DUMMYFUNCTION("ifna(QUERY($A$2:$G$2000, ""select G where D="" &amp; BH$1 &amp; "" and E="" &amp; $I33), QUERY($A$2:$G$2000, ""select G where E="" &amp; BH$1 &amp; "" and D="" &amp; $I33))"),7.312354312354312)</f>
        <v>7.312354312</v>
      </c>
      <c r="BI33" s="10">
        <f>IFERROR(__xludf.DUMMYFUNCTION("ifna(QUERY($A$2:$G$2000, ""select G where D="" &amp; BI$1 &amp; "" and E="" &amp; $I33), QUERY($A$2:$G$2000, ""select G where E="" &amp; BI$1 &amp; "" and D="" &amp; $I33))"),7.3361921097770155)</f>
        <v>7.33619211</v>
      </c>
      <c r="BJ33" s="10">
        <f>IFERROR(__xludf.DUMMYFUNCTION("ifna(QUERY($A$2:$G$2000, ""select G where D="" &amp; BJ$1 &amp; "" and E="" &amp; $I33), QUERY($A$2:$G$2000, ""select G where E="" &amp; BJ$1 &amp; "" and D="" &amp; $I33))"),7.359147025813693)</f>
        <v>7.359147026</v>
      </c>
      <c r="BK33" s="10">
        <f>IFERROR(__xludf.DUMMYFUNCTION("ifna(QUERY($A$2:$G$2000, ""select G where D="" &amp; BK$1 &amp; "" and E="" &amp; $I33), QUERY($A$2:$G$2000, ""select G where E="" &amp; BK$1 &amp; "" and D="" &amp; $I33))"),7.383471074380165)</f>
        <v>7.383471074</v>
      </c>
      <c r="BL33" s="10"/>
      <c r="BM33" s="10"/>
      <c r="BN33" s="10"/>
      <c r="BO33" s="10"/>
    </row>
    <row r="34">
      <c r="A34" s="3">
        <v>4.0</v>
      </c>
      <c r="B34" s="3">
        <v>20.0</v>
      </c>
      <c r="C34" s="3">
        <v>30.0</v>
      </c>
      <c r="D34" s="3">
        <v>9.0</v>
      </c>
      <c r="E34" s="3">
        <v>2.0</v>
      </c>
      <c r="F34" s="11">
        <f t="shared" si="1"/>
        <v>0.6666666667</v>
      </c>
      <c r="G34" s="5">
        <f t="shared" si="2"/>
        <v>3.333333333</v>
      </c>
      <c r="H34" s="3">
        <v>34.0</v>
      </c>
      <c r="I34" s="2">
        <v>33.0</v>
      </c>
      <c r="J34" s="10">
        <f>IFERROR(__xludf.DUMMYFUNCTION("ifna(QUERY($A$2:$G$2000, ""select G where D="" &amp; J$1 &amp; "" and E="" &amp; $I34), QUERY($A$2:$G$2000, ""select G where E="" &amp; J$1 &amp; "" and D="" &amp; $I34))"),5.0588235294117645)</f>
        <v>5.058823529</v>
      </c>
      <c r="K34" s="10">
        <f>IFERROR(__xludf.DUMMYFUNCTION("ifna(QUERY($A$2:$G$2000, ""select G where D="" &amp; K$1 &amp; "" and E="" &amp; $I34), QUERY($A$2:$G$2000, ""select G where E="" &amp; K$1 &amp; "" and D="" &amp; $I34))"),5.098039215686274)</f>
        <v>5.098039216</v>
      </c>
      <c r="L34" s="10">
        <f>IFERROR(__xludf.DUMMYFUNCTION("ifna(QUERY($A$2:$G$2000, ""select G where D="" &amp; L$1 &amp; "" and E="" &amp; $I34), QUERY($A$2:$G$2000, ""select G where E="" &amp; L$1 &amp; "" and D="" &amp; $I34))"),5.235294117647059)</f>
        <v>5.235294118</v>
      </c>
      <c r="M34" s="10">
        <f>IFERROR(__xludf.DUMMYFUNCTION("ifna(QUERY($A$2:$G$2000, ""select G where D="" &amp; M$1 &amp; "" and E="" &amp; $I34), QUERY($A$2:$G$2000, ""select G where E="" &amp; M$1 &amp; "" and D="" &amp; $I34))"),5.376470588235295)</f>
        <v>5.376470588</v>
      </c>
      <c r="N34" s="10">
        <f>IFERROR(__xludf.DUMMYFUNCTION("ifna(QUERY($A$2:$G$2000, ""select G where D="" &amp; N$1 &amp; "" and E="" &amp; $I34), QUERY($A$2:$G$2000, ""select G where E="" &amp; N$1 &amp; "" and D="" &amp; $I34))"),5.509803921568627)</f>
        <v>5.509803922</v>
      </c>
      <c r="O34" s="10">
        <f>IFERROR(__xludf.DUMMYFUNCTION("ifna(QUERY($A$2:$G$2000, ""select G where D="" &amp; O$1 &amp; "" and E="" &amp; $I34), QUERY($A$2:$G$2000, ""select G where E="" &amp; O$1 &amp; "" and D="" &amp; $I34))"),5.621848739495798)</f>
        <v>5.621848739</v>
      </c>
      <c r="P34" s="10">
        <f>IFERROR(__xludf.DUMMYFUNCTION("ifna(QUERY($A$2:$G$2000, ""select G where D="" &amp; P$1 &amp; "" and E="" &amp; $I34), QUERY($A$2:$G$2000, ""select G where E="" &amp; P$1 &amp; "" and D="" &amp; $I34))"),5.735294117647059)</f>
        <v>5.735294118</v>
      </c>
      <c r="Q34" s="10">
        <f>IFERROR(__xludf.DUMMYFUNCTION("ifna(QUERY($A$2:$G$2000, ""select G where D="" &amp; Q$1 &amp; "" and E="" &amp; $I34), QUERY($A$2:$G$2000, ""select G where E="" &amp; Q$1 &amp; "" and D="" &amp; $I34))"),5.816993464052287)</f>
        <v>5.816993464</v>
      </c>
      <c r="R34" s="10">
        <f>IFERROR(__xludf.DUMMYFUNCTION("ifna(QUERY($A$2:$G$2000, ""select G where D="" &amp; R$1 &amp; "" and E="" &amp; $I34), QUERY($A$2:$G$2000, ""select G where E="" &amp; R$1 &amp; "" and D="" &amp; $I34))"),5.882352941176471)</f>
        <v>5.882352941</v>
      </c>
      <c r="S34" s="10">
        <f>IFERROR(__xludf.DUMMYFUNCTION("ifna(QUERY($A$2:$G$2000, ""select G where D="" &amp; S$1 &amp; "" and E="" &amp; $I34), QUERY($A$2:$G$2000, ""select G where E="" &amp; S$1 &amp; "" and D="" &amp; $I34))"),5.978609625668449)</f>
        <v>5.978609626</v>
      </c>
      <c r="T34" s="10">
        <f>IFERROR(__xludf.DUMMYFUNCTION("ifna(QUERY($A$2:$G$2000, ""select G where D="" &amp; T$1 &amp; "" and E="" &amp; $I34), QUERY($A$2:$G$2000, ""select G where E="" &amp; T$1 &amp; "" and D="" &amp; $I34))"),6.019607843137255)</f>
        <v>6.019607843</v>
      </c>
      <c r="U34" s="10">
        <f>IFERROR(__xludf.DUMMYFUNCTION("ifna(QUERY($A$2:$G$2000, ""select G where D="" &amp; U$1 &amp; "" and E="" &amp; $I34), QUERY($A$2:$G$2000, ""select G where E="" &amp; U$1 &amp; "" and D="" &amp; $I34))"),6.0542986425339365)</f>
        <v>6.054298643</v>
      </c>
      <c r="V34" s="10">
        <f>IFERROR(__xludf.DUMMYFUNCTION("ifna(QUERY($A$2:$G$2000, ""select G where D="" &amp; V$1 &amp; "" and E="" &amp; $I34), QUERY($A$2:$G$2000, ""select G where E="" &amp; V$1 &amp; "" and D="" &amp; $I34))"),6.100840336134453)</f>
        <v>6.100840336</v>
      </c>
      <c r="W34" s="10">
        <f>IFERROR(__xludf.DUMMYFUNCTION("ifna(QUERY($A$2:$G$2000, ""select G where D="" &amp; W$1 &amp; "" and E="" &amp; $I34), QUERY($A$2:$G$2000, ""select G where E="" &amp; W$1 &amp; "" and D="" &amp; $I34))"),6.1568627450980395)</f>
        <v>6.156862745</v>
      </c>
      <c r="X34" s="10">
        <f>IFERROR(__xludf.DUMMYFUNCTION("ifna(QUERY($A$2:$G$2000, ""select G where D="" &amp; X$1 &amp; "" and E="" &amp; $I34), QUERY($A$2:$G$2000, ""select G where E="" &amp; X$1 &amp; "" and D="" &amp; $I34))"),6.213235294117647)</f>
        <v>6.213235294</v>
      </c>
      <c r="Y34" s="10">
        <f>IFERROR(__xludf.DUMMYFUNCTION("ifna(QUERY($A$2:$G$2000, ""select G where D="" &amp; Y$1 &amp; "" and E="" &amp; $I34), QUERY($A$2:$G$2000, ""select G where E="" &amp; Y$1 &amp; "" and D="" &amp; $I34))"),6.27681660899654)</f>
        <v>6.276816609</v>
      </c>
      <c r="Z34" s="10">
        <f>IFERROR(__xludf.DUMMYFUNCTION("ifna(QUERY($A$2:$G$2000, ""select G where D="" &amp; Z$1 &amp; "" and E="" &amp; $I34), QUERY($A$2:$G$2000, ""select G where E="" &amp; Z$1 &amp; "" and D="" &amp; $I34))"),6.339869281045751)</f>
        <v>6.339869281</v>
      </c>
      <c r="AA34" s="10">
        <f>IFERROR(__xludf.DUMMYFUNCTION("ifna(QUERY($A$2:$G$2000, ""select G where D="" &amp; AA$1 &amp; "" and E="" &amp; $I34), QUERY($A$2:$G$2000, ""select G where E="" &amp; AA$1 &amp; "" and D="" &amp; $I34))"),6.402476780185759)</f>
        <v>6.40247678</v>
      </c>
      <c r="AB34" s="10">
        <f>IFERROR(__xludf.DUMMYFUNCTION("ifna(QUERY($A$2:$G$2000, ""select G where D="" &amp; AB$1 &amp; "" and E="" &amp; $I34), QUERY($A$2:$G$2000, ""select G where E="" &amp; AB$1 &amp; "" and D="" &amp; $I34))"),6.464705882352941)</f>
        <v>6.464705882</v>
      </c>
      <c r="AC34" s="10">
        <f>IFERROR(__xludf.DUMMYFUNCTION("ifna(QUERY($A$2:$G$2000, ""select G where D="" &amp; AC$1 &amp; "" and E="" &amp; $I34), QUERY($A$2:$G$2000, ""select G where E="" &amp; AC$1 &amp; "" and D="" &amp; $I34))"),6.526610644257703)</f>
        <v>6.526610644</v>
      </c>
      <c r="AD34" s="10">
        <f>IFERROR(__xludf.DUMMYFUNCTION("ifna(QUERY($A$2:$G$2000, ""select G where D="" &amp; AD$1 &amp; "" and E="" &amp; $I34), QUERY($A$2:$G$2000, ""select G where E="" &amp; AD$1 &amp; "" and D="" &amp; $I34))"),6.588235294117647)</f>
        <v>6.588235294</v>
      </c>
      <c r="AE34" s="10">
        <f>IFERROR(__xludf.DUMMYFUNCTION("ifna(QUERY($A$2:$G$2000, ""select G where D="" &amp; AE$1 &amp; "" and E="" &amp; $I34), QUERY($A$2:$G$2000, ""select G where E="" &amp; AE$1 &amp; "" and D="" &amp; $I34))"),6.6445012787723785)</f>
        <v>6.644501279</v>
      </c>
      <c r="AF34" s="10">
        <f>IFERROR(__xludf.DUMMYFUNCTION("ifna(QUERY($A$2:$G$2000, ""select G where D="" &amp; AF$1 &amp; "" and E="" &amp; $I34), QUERY($A$2:$G$2000, ""select G where E="" &amp; AF$1 &amp; "" and D="" &amp; $I34))"),6.696078431372549)</f>
        <v>6.696078431</v>
      </c>
      <c r="AG34" s="10">
        <f>IFERROR(__xludf.DUMMYFUNCTION("ifna(QUERY($A$2:$G$2000, ""select G where D="" &amp; AG$1 &amp; "" and E="" &amp; $I34), QUERY($A$2:$G$2000, ""select G where E="" &amp; AG$1 &amp; "" and D="" &amp; $I34))"),6.738823529411765)</f>
        <v>6.738823529</v>
      </c>
      <c r="AH34" s="10">
        <f>IFERROR(__xludf.DUMMYFUNCTION("ifna(QUERY($A$2:$G$2000, ""select G where D="" &amp; AH$1 &amp; "" and E="" &amp; $I34), QUERY($A$2:$G$2000, ""select G where E="" &amp; AH$1 &amp; "" and D="" &amp; $I34))"),6.778280542986425)</f>
        <v>6.778280543</v>
      </c>
      <c r="AI34" s="10">
        <f>IFERROR(__xludf.DUMMYFUNCTION("ifna(QUERY($A$2:$G$2000, ""select G where D="" &amp; AI$1 &amp; "" and E="" &amp; $I34), QUERY($A$2:$G$2000, ""select G where E="" &amp; AI$1 &amp; "" and D="" &amp; $I34))"),6.810457516339869)</f>
        <v>6.810457516</v>
      </c>
      <c r="AJ34" s="10">
        <f>IFERROR(__xludf.DUMMYFUNCTION("ifna(QUERY($A$2:$G$2000, ""select G where D="" &amp; AJ$1 &amp; "" and E="" &amp; $I34), QUERY($A$2:$G$2000, ""select G where E="" &amp; AJ$1 &amp; "" and D="" &amp; $I34))"),6.840336134453781)</f>
        <v>6.840336134</v>
      </c>
      <c r="AK34" s="10">
        <f>IFERROR(__xludf.DUMMYFUNCTION("ifna(QUERY($A$2:$G$2000, ""select G where D="" &amp; AK$1 &amp; "" and E="" &amp; $I34), QUERY($A$2:$G$2000, ""select G where E="" &amp; AK$1 &amp; "" and D="" &amp; $I34))"),6.8640973630831645)</f>
        <v>6.864097363</v>
      </c>
      <c r="AL34" s="10">
        <f>IFERROR(__xludf.DUMMYFUNCTION("ifna(QUERY($A$2:$G$2000, ""select G where D="" &amp; AL$1 &amp; "" and E="" &amp; $I34), QUERY($A$2:$G$2000, ""select G where E="" &amp; AL$1 &amp; "" and D="" &amp; $I34))"),6.886274509803922)</f>
        <v>6.88627451</v>
      </c>
      <c r="AM34" s="10">
        <f>IFERROR(__xludf.DUMMYFUNCTION("ifna(QUERY($A$2:$G$2000, ""select G where D="" &amp; AM$1 &amp; "" and E="" &amp; $I34), QUERY($A$2:$G$2000, ""select G where E="" &amp; AM$1 &amp; "" and D="" &amp; $I34))"),6.910815939278938)</f>
        <v>6.910815939</v>
      </c>
      <c r="AN34" s="10">
        <f>IFERROR(__xludf.DUMMYFUNCTION("ifna(QUERY($A$2:$G$2000, ""select G where D="" &amp; AN$1 &amp; "" and E="" &amp; $I34), QUERY($A$2:$G$2000, ""select G where E="" &amp; AN$1 &amp; "" and D="" &amp; $I34))"),6.948529411764706)</f>
        <v>6.948529412</v>
      </c>
      <c r="AO34" s="10">
        <f>IFERROR(__xludf.DUMMYFUNCTION("ifna(QUERY($A$2:$G$2000, ""select G where D="" &amp; AO$1 &amp; "" and E="" &amp; $I34), QUERY($A$2:$G$2000, ""select G where E="" &amp; AO$1 &amp; "" and D="" &amp; $I34))"),6.992869875222817)</f>
        <v>6.992869875</v>
      </c>
      <c r="AP34" s="10">
        <f>IFERROR(__xludf.DUMMYFUNCTION("ifna(QUERY($A$2:$G$2000, ""select G where D="" &amp; AP$1 &amp; "" and E="" &amp; $I34), QUERY($A$2:$G$2000, ""select G where E="" &amp; AP$1 &amp; "" and D="" &amp; $I34))"),7.003460207612457)</f>
        <v>7.003460208</v>
      </c>
      <c r="AQ34" s="10">
        <f>IFERROR(__xludf.DUMMYFUNCTION("ifna(QUERY($A$2:$G$2000, ""select G where D="" &amp; AQ$1 &amp; "" and E="" &amp; $I34), QUERY($A$2:$G$2000, ""select G where E="" &amp; AQ$1 &amp; "" and D="" &amp; $I34))"),7.010084033613445)</f>
        <v>7.010084034</v>
      </c>
      <c r="AR34" s="10">
        <f>IFERROR(__xludf.DUMMYFUNCTION("ifna(QUERY($A$2:$G$2000, ""select G where D="" &amp; AR$1 &amp; "" and E="" &amp; $I34), QUERY($A$2:$G$2000, ""select G where E="" &amp; AR$1 &amp; "" and D="" &amp; $I34))"),7.019607843137255)</f>
        <v>7.019607843</v>
      </c>
      <c r="AS34" s="10">
        <f>IFERROR(__xludf.DUMMYFUNCTION("ifna(QUERY($A$2:$G$2000, ""select G where D="" &amp; AS$1 &amp; "" and E="" &amp; $I34), QUERY($A$2:$G$2000, ""select G where E="" &amp; AS$1 &amp; "" and D="" &amp; $I34))"),7.031796502384737)</f>
        <v>7.031796502</v>
      </c>
      <c r="AT34" s="10">
        <f>IFERROR(__xludf.DUMMYFUNCTION("ifna(QUERY($A$2:$G$2000, ""select G where D="" &amp; AT$1 &amp; "" and E="" &amp; $I34), QUERY($A$2:$G$2000, ""select G where E="" &amp; AT$1 &amp; "" and D="" &amp; $I34))"),7.046439628482972)</f>
        <v>7.046439628</v>
      </c>
      <c r="AU34" s="10">
        <f>IFERROR(__xludf.DUMMYFUNCTION("ifna(QUERY($A$2:$G$2000, ""select G where D="" &amp; AU$1 &amp; "" and E="" &amp; $I34), QUERY($A$2:$G$2000, ""select G where E="" &amp; AU$1 &amp; "" and D="" &amp; $I34))"),7.0633484162895925)</f>
        <v>7.063348416</v>
      </c>
      <c r="AV34" s="10">
        <f>IFERROR(__xludf.DUMMYFUNCTION("ifna(QUERY($A$2:$G$2000, ""select G where D="" &amp; AV$1 &amp; "" and E="" &amp; $I34), QUERY($A$2:$G$2000, ""select G where E="" &amp; AV$1 &amp; "" and D="" &amp; $I34))"),7.08235294117647)</f>
        <v>7.082352941</v>
      </c>
      <c r="AW34" s="10">
        <f>IFERROR(__xludf.DUMMYFUNCTION("ifna(QUERY($A$2:$G$2000, ""select G where D="" &amp; AW$1 &amp; "" and E="" &amp; $I34), QUERY($A$2:$G$2000, ""select G where E="" &amp; AW$1 &amp; "" and D="" &amp; $I34))"),7.100430416068867)</f>
        <v>7.100430416</v>
      </c>
      <c r="AX34" s="10">
        <f>IFERROR(__xludf.DUMMYFUNCTION("ifna(QUERY($A$2:$G$2000, ""select G where D="" &amp; AX$1 &amp; "" and E="" &amp; $I34), QUERY($A$2:$G$2000, ""select G where E="" &amp; AX$1 &amp; "" and D="" &amp; $I34))"),7.120448179271708)</f>
        <v>7.120448179</v>
      </c>
      <c r="AY34" s="10">
        <f>IFERROR(__xludf.DUMMYFUNCTION("ifna(QUERY($A$2:$G$2000, ""select G where D="" &amp; AY$1 &amp; "" and E="" &amp; $I34), QUERY($A$2:$G$2000, ""select G where E="" &amp; AY$1 &amp; "" and D="" &amp; $I34))"),7.142270861833105)</f>
        <v>7.142270862</v>
      </c>
      <c r="AZ34" s="10">
        <f>IFERROR(__xludf.DUMMYFUNCTION("ifna(QUERY($A$2:$G$2000, ""select G where D="" &amp; AZ$1 &amp; "" and E="" &amp; $I34), QUERY($A$2:$G$2000, ""select G where E="" &amp; AZ$1 &amp; "" and D="" &amp; $I34))"),7.163101604278075)</f>
        <v>7.163101604</v>
      </c>
      <c r="BA34" s="10">
        <f>IFERROR(__xludf.DUMMYFUNCTION("ifna(QUERY($A$2:$G$2000, ""select G where D="" &amp; BA$1 &amp; "" and E="" &amp; $I34), QUERY($A$2:$G$2000, ""select G where E="" &amp; BA$1 &amp; "" and D="" &amp; $I34))"),7.18562091503268)</f>
        <v>7.185620915</v>
      </c>
      <c r="BB34" s="10">
        <f>IFERROR(__xludf.DUMMYFUNCTION("ifna(QUERY($A$2:$G$2000, ""select G where D="" &amp; BB$1 &amp; "" and E="" &amp; $I34), QUERY($A$2:$G$2000, ""select G where E="" &amp; BB$1 &amp; "" and D="" &amp; $I34))"),7.207161125319693)</f>
        <v>7.207161125</v>
      </c>
      <c r="BC34" s="10">
        <f>IFERROR(__xludf.DUMMYFUNCTION("ifna(QUERY($A$2:$G$2000, ""select G where D="" &amp; BC$1 &amp; "" and E="" &amp; $I34), QUERY($A$2:$G$2000, ""select G where E="" &amp; BC$1 &amp; "" and D="" &amp; $I34))"),7.230287859824781)</f>
        <v>7.23028786</v>
      </c>
      <c r="BD34" s="10">
        <f>IFERROR(__xludf.DUMMYFUNCTION("ifna(QUERY($A$2:$G$2000, ""select G where D="" &amp; BD$1 &amp; "" and E="" &amp; $I34), QUERY($A$2:$G$2000, ""select G where E="" &amp; BD$1 &amp; "" and D="" &amp; $I34))"),7.252450980392156)</f>
        <v>7.25245098</v>
      </c>
      <c r="BE34" s="10">
        <f>IFERROR(__xludf.DUMMYFUNCTION("ifna(QUERY($A$2:$G$2000, ""select G where D="" &amp; BE$1 &amp; "" and E="" &amp; $I34), QUERY($A$2:$G$2000, ""select G where E="" &amp; BE$1 &amp; "" and D="" &amp; $I34))"),7.276110444177671)</f>
        <v>7.276110444</v>
      </c>
      <c r="BF34" s="10">
        <f>IFERROR(__xludf.DUMMYFUNCTION("ifna(QUERY($A$2:$G$2000, ""select G where D="" &amp; BF$1 &amp; "" and E="" &amp; $I34), QUERY($A$2:$G$2000, ""select G where E="" &amp; BF$1 &amp; "" and D="" &amp; $I34))"),7.298823529411765)</f>
        <v>7.298823529</v>
      </c>
      <c r="BG34" s="10">
        <f>IFERROR(__xludf.DUMMYFUNCTION("ifna(QUERY($A$2:$G$2000, ""select G where D="" &amp; BG$1 &amp; "" and E="" &amp; $I34), QUERY($A$2:$G$2000, ""select G where E="" &amp; BG$1 &amp; "" and D="" &amp; $I34))"),7.322952710495963)</f>
        <v>7.32295271</v>
      </c>
      <c r="BH34" s="10">
        <f>IFERROR(__xludf.DUMMYFUNCTION("ifna(QUERY($A$2:$G$2000, ""select G where D="" &amp; BH$1 &amp; "" and E="" &amp; $I34), QUERY($A$2:$G$2000, ""select G where E="" &amp; BH$1 &amp; "" and D="" &amp; $I34))"),7.346153846153846)</f>
        <v>7.346153846</v>
      </c>
      <c r="BI34" s="10">
        <f>IFERROR(__xludf.DUMMYFUNCTION("ifna(QUERY($A$2:$G$2000, ""select G where D="" &amp; BI$1 &amp; "" and E="" &amp; $I34), QUERY($A$2:$G$2000, ""select G where E="" &amp; BI$1 &amp; "" and D="" &amp; $I34))"),7.37069922308546)</f>
        <v>7.370699223</v>
      </c>
      <c r="BJ34" s="10">
        <f>IFERROR(__xludf.DUMMYFUNCTION("ifna(QUERY($A$2:$G$2000, ""select G where D="" &amp; BJ$1 &amp; "" and E="" &amp; $I34), QUERY($A$2:$G$2000, ""select G where E="" &amp; BJ$1 &amp; "" and D="" &amp; $I34))"),7.394335511982571)</f>
        <v>7.394335512</v>
      </c>
      <c r="BK34" s="10">
        <f>IFERROR(__xludf.DUMMYFUNCTION("ifna(QUERY($A$2:$G$2000, ""select G where D="" &amp; BK$1 &amp; "" and E="" &amp; $I34), QUERY($A$2:$G$2000, ""select G where E="" &amp; BK$1 &amp; "" and D="" &amp; $I34))"),7.419251336898395)</f>
        <v>7.419251337</v>
      </c>
      <c r="BL34" s="10"/>
      <c r="BM34" s="10"/>
      <c r="BN34" s="10"/>
      <c r="BO34" s="10"/>
    </row>
    <row r="35">
      <c r="A35" s="3">
        <v>4.0</v>
      </c>
      <c r="B35" s="3">
        <v>16.0</v>
      </c>
      <c r="C35" s="3">
        <v>40.0</v>
      </c>
      <c r="D35" s="3">
        <v>9.0</v>
      </c>
      <c r="E35" s="3">
        <v>3.0</v>
      </c>
      <c r="F35" s="11">
        <f t="shared" si="1"/>
        <v>0.4</v>
      </c>
      <c r="G35" s="5">
        <f t="shared" si="2"/>
        <v>3.6</v>
      </c>
      <c r="H35" s="3">
        <v>35.0</v>
      </c>
      <c r="I35" s="2">
        <v>34.0</v>
      </c>
      <c r="J35" s="10">
        <f>IFERROR(__xludf.DUMMYFUNCTION("ifna(QUERY($A$2:$G$2000, ""select G where D="" &amp; J$1 &amp; "" and E="" &amp; $I35), QUERY($A$2:$G$2000, ""select G where E="" &amp; J$1 &amp; "" and D="" &amp; $I35))"),5.114285714285714)</f>
        <v>5.114285714</v>
      </c>
      <c r="K35" s="10">
        <f>IFERROR(__xludf.DUMMYFUNCTION("ifna(QUERY($A$2:$G$2000, ""select G where D="" &amp; K$1 &amp; "" and E="" &amp; $I35), QUERY($A$2:$G$2000, ""select G where E="" &amp; K$1 &amp; "" and D="" &amp; $I35))"),5.152380952380953)</f>
        <v>5.152380952</v>
      </c>
      <c r="L35" s="10">
        <f>IFERROR(__xludf.DUMMYFUNCTION("ifna(QUERY($A$2:$G$2000, ""select G where D="" &amp; L$1 &amp; "" and E="" &amp; $I35), QUERY($A$2:$G$2000, ""select G where E="" &amp; L$1 &amp; "" and D="" &amp; $I35))"),5.285714285714286)</f>
        <v>5.285714286</v>
      </c>
      <c r="M35" s="10">
        <f>IFERROR(__xludf.DUMMYFUNCTION("ifna(QUERY($A$2:$G$2000, ""select G where D="" &amp; M$1 &amp; "" and E="" &amp; $I35), QUERY($A$2:$G$2000, ""select G where E="" &amp; M$1 &amp; "" and D="" &amp; $I35))"),5.422857142857143)</f>
        <v>5.422857143</v>
      </c>
      <c r="N35" s="10">
        <f>IFERROR(__xludf.DUMMYFUNCTION("ifna(QUERY($A$2:$G$2000, ""select G where D="" &amp; N$1 &amp; "" and E="" &amp; $I35), QUERY($A$2:$G$2000, ""select G where E="" &amp; N$1 &amp; "" and D="" &amp; $I35))"),5.552380952380952)</f>
        <v>5.552380952</v>
      </c>
      <c r="O35" s="10">
        <f>IFERROR(__xludf.DUMMYFUNCTION("ifna(QUERY($A$2:$G$2000, ""select G where D="" &amp; O$1 &amp; "" and E="" &amp; $I35), QUERY($A$2:$G$2000, ""select G where E="" &amp; O$1 &amp; "" and D="" &amp; $I35))"),5.661224489795918)</f>
        <v>5.66122449</v>
      </c>
      <c r="P35" s="10">
        <f>IFERROR(__xludf.DUMMYFUNCTION("ifna(QUERY($A$2:$G$2000, ""select G where D="" &amp; P$1 &amp; "" and E="" &amp; $I35), QUERY($A$2:$G$2000, ""select G where E="" &amp; P$1 &amp; "" and D="" &amp; $I35))"),5.771428571428571)</f>
        <v>5.771428571</v>
      </c>
      <c r="Q35" s="10">
        <f>IFERROR(__xludf.DUMMYFUNCTION("ifna(QUERY($A$2:$G$2000, ""select G where D="" &amp; Q$1 &amp; "" and E="" &amp; $I35), QUERY($A$2:$G$2000, ""select G where E="" &amp; Q$1 &amp; "" and D="" &amp; $I35))"),5.844444444444444)</f>
        <v>5.844444444</v>
      </c>
      <c r="R35" s="10">
        <f>IFERROR(__xludf.DUMMYFUNCTION("ifna(QUERY($A$2:$G$2000, ""select G where D="" &amp; R$1 &amp; "" and E="" &amp; $I35), QUERY($A$2:$G$2000, ""select G where E="" &amp; R$1 &amp; "" and D="" &amp; $I35))"),5.908571428571428)</f>
        <v>5.908571429</v>
      </c>
      <c r="S35" s="10">
        <f>IFERROR(__xludf.DUMMYFUNCTION("ifna(QUERY($A$2:$G$2000, ""select G where D="" &amp; S$1 &amp; "" and E="" &amp; $I35), QUERY($A$2:$G$2000, ""select G where E="" &amp; S$1 &amp; "" and D="" &amp; $I35))"),6.010389610389611)</f>
        <v>6.01038961</v>
      </c>
      <c r="T35" s="10">
        <f>IFERROR(__xludf.DUMMYFUNCTION("ifna(QUERY($A$2:$G$2000, ""select G where D="" &amp; T$1 &amp; "" and E="" &amp; $I35), QUERY($A$2:$G$2000, ""select G where E="" &amp; T$1 &amp; "" and D="" &amp; $I35))"),6.038095238095238)</f>
        <v>6.038095238</v>
      </c>
      <c r="U35" s="10">
        <f>IFERROR(__xludf.DUMMYFUNCTION("ifna(QUERY($A$2:$G$2000, ""select G where D="" &amp; U$1 &amp; "" and E="" &amp; $I35), QUERY($A$2:$G$2000, ""select G where E="" &amp; U$1 &amp; "" and D="" &amp; $I35))"),6.079120879120879)</f>
        <v>6.079120879</v>
      </c>
      <c r="V35" s="10">
        <f>IFERROR(__xludf.DUMMYFUNCTION("ifna(QUERY($A$2:$G$2000, ""select G where D="" &amp; V$1 &amp; "" and E="" &amp; $I35), QUERY($A$2:$G$2000, ""select G where E="" &amp; V$1 &amp; "" and D="" &amp; $I35))"),6.130612244897959)</f>
        <v>6.130612245</v>
      </c>
      <c r="W35" s="10">
        <f>IFERROR(__xludf.DUMMYFUNCTION("ifna(QUERY($A$2:$G$2000, ""select G where D="" &amp; W$1 &amp; "" and E="" &amp; $I35), QUERY($A$2:$G$2000, ""select G where E="" &amp; W$1 &amp; "" and D="" &amp; $I35))"),6.190476190476191)</f>
        <v>6.19047619</v>
      </c>
      <c r="X35" s="10">
        <f>IFERROR(__xludf.DUMMYFUNCTION("ifna(QUERY($A$2:$G$2000, ""select G where D="" &amp; X$1 &amp; "" and E="" &amp; $I35), QUERY($A$2:$G$2000, ""select G where E="" &amp; X$1 &amp; "" and D="" &amp; $I35))"),6.25)</f>
        <v>6.25</v>
      </c>
      <c r="Y35" s="10">
        <f>IFERROR(__xludf.DUMMYFUNCTION("ifna(QUERY($A$2:$G$2000, ""select G where D="" &amp; Y$1 &amp; "" and E="" &amp; $I35), QUERY($A$2:$G$2000, ""select G where E="" &amp; Y$1 &amp; "" and D="" &amp; $I35))"),6.315966386554622)</f>
        <v>6.315966387</v>
      </c>
      <c r="Z35" s="10">
        <f>IFERROR(__xludf.DUMMYFUNCTION("ifna(QUERY($A$2:$G$2000, ""select G where D="" &amp; Z$1 &amp; "" and E="" &amp; $I35), QUERY($A$2:$G$2000, ""select G where E="" &amp; Z$1 &amp; "" and D="" &amp; $I35))"),6.380952380952381)</f>
        <v>6.380952381</v>
      </c>
      <c r="AA35" s="10">
        <f>IFERROR(__xludf.DUMMYFUNCTION("ifna(QUERY($A$2:$G$2000, ""select G where D="" &amp; AA$1 &amp; "" and E="" &amp; $I35), QUERY($A$2:$G$2000, ""select G where E="" &amp; AA$1 &amp; "" and D="" &amp; $I35))"),6.4451127819548875)</f>
        <v>6.445112782</v>
      </c>
      <c r="AB35" s="10">
        <f>IFERROR(__xludf.DUMMYFUNCTION("ifna(QUERY($A$2:$G$2000, ""select G where D="" &amp; AB$1 &amp; "" and E="" &amp; $I35), QUERY($A$2:$G$2000, ""select G where E="" &amp; AB$1 &amp; "" and D="" &amp; $I35))"),6.508571428571429)</f>
        <v>6.508571429</v>
      </c>
      <c r="AC35" s="10">
        <f>IFERROR(__xludf.DUMMYFUNCTION("ifna(QUERY($A$2:$G$2000, ""select G where D="" &amp; AC$1 &amp; "" and E="" &amp; $I35), QUERY($A$2:$G$2000, ""select G where E="" &amp; AC$1 &amp; "" and D="" &amp; $I35))"),6.568707482993197)</f>
        <v>6.568707483</v>
      </c>
      <c r="AD35" s="10">
        <f>IFERROR(__xludf.DUMMYFUNCTION("ifna(QUERY($A$2:$G$2000, ""select G where D="" &amp; AD$1 &amp; "" and E="" &amp; $I35), QUERY($A$2:$G$2000, ""select G where E="" &amp; AD$1 &amp; "" and D="" &amp; $I35))"),6.628571428571428)</f>
        <v>6.628571429</v>
      </c>
      <c r="AE35" s="10">
        <f>IFERROR(__xludf.DUMMYFUNCTION("ifna(QUERY($A$2:$G$2000, ""select G where D="" &amp; AE$1 &amp; "" and E="" &amp; $I35), QUERY($A$2:$G$2000, ""select G where E="" &amp; AE$1 &amp; "" and D="" &amp; $I35))"),6.680745341614907)</f>
        <v>6.680745342</v>
      </c>
      <c r="AF35" s="10">
        <f>IFERROR(__xludf.DUMMYFUNCTION("ifna(QUERY($A$2:$G$2000, ""select G where D="" &amp; AF$1 &amp; "" and E="" &amp; $I35), QUERY($A$2:$G$2000, ""select G where E="" &amp; AF$1 &amp; "" and D="" &amp; $I35))"),6.728571428571429)</f>
        <v>6.728571429</v>
      </c>
      <c r="AG35" s="10">
        <f>IFERROR(__xludf.DUMMYFUNCTION("ifna(QUERY($A$2:$G$2000, ""select G where D="" &amp; AG$1 &amp; "" and E="" &amp; $I35), QUERY($A$2:$G$2000, ""select G where E="" &amp; AG$1 &amp; "" and D="" &amp; $I35))"),6.768)</f>
        <v>6.768</v>
      </c>
      <c r="AH35" s="10">
        <f>IFERROR(__xludf.DUMMYFUNCTION("ifna(QUERY($A$2:$G$2000, ""select G where D="" &amp; AH$1 &amp; "" and E="" &amp; $I35), QUERY($A$2:$G$2000, ""select G where E="" &amp; AH$1 &amp; "" and D="" &amp; $I35))"),6.804395604395604)</f>
        <v>6.804395604</v>
      </c>
      <c r="AI35" s="10">
        <f>IFERROR(__xludf.DUMMYFUNCTION("ifna(QUERY($A$2:$G$2000, ""select G where D="" &amp; AI$1 &amp; "" and E="" &amp; $I35), QUERY($A$2:$G$2000, ""select G where E="" &amp; AI$1 &amp; "" and D="" &amp; $I35))"),6.833862433862434)</f>
        <v>6.833862434</v>
      </c>
      <c r="AJ35" s="10">
        <f>IFERROR(__xludf.DUMMYFUNCTION("ifna(QUERY($A$2:$G$2000, ""select G where D="" &amp; AJ$1 &amp; "" and E="" &amp; $I35), QUERY($A$2:$G$2000, ""select G where E="" &amp; AJ$1 &amp; "" and D="" &amp; $I35))"),6.8612244897959185)</f>
        <v>6.86122449</v>
      </c>
      <c r="AK35" s="10">
        <f>IFERROR(__xludf.DUMMYFUNCTION("ifna(QUERY($A$2:$G$2000, ""select G where D="" &amp; AK$1 &amp; "" and E="" &amp; $I35), QUERY($A$2:$G$2000, ""select G where E="" &amp; AK$1 &amp; "" and D="" &amp; $I35))"),6.882758620689655)</f>
        <v>6.882758621</v>
      </c>
      <c r="AL35" s="10">
        <f>IFERROR(__xludf.DUMMYFUNCTION("ifna(QUERY($A$2:$G$2000, ""select G where D="" &amp; AL$1 &amp; "" and E="" &amp; $I35), QUERY($A$2:$G$2000, ""select G where E="" &amp; AL$1 &amp; "" and D="" &amp; $I35))"),6.906666666666666)</f>
        <v>6.906666667</v>
      </c>
      <c r="AM35" s="10">
        <f>IFERROR(__xludf.DUMMYFUNCTION("ifna(QUERY($A$2:$G$2000, ""select G where D="" &amp; AM$1 &amp; "" and E="" &amp; $I35), QUERY($A$2:$G$2000, ""select G where E="" &amp; AM$1 &amp; "" and D="" &amp; $I35))"),6.940092165898617)</f>
        <v>6.940092166</v>
      </c>
      <c r="AN35" s="10">
        <f>IFERROR(__xludf.DUMMYFUNCTION("ifna(QUERY($A$2:$G$2000, ""select G where D="" &amp; AN$1 &amp; "" and E="" &amp; $I35), QUERY($A$2:$G$2000, ""select G where E="" &amp; AN$1 &amp; "" and D="" &amp; $I35))"),6.991071428571429)</f>
        <v>6.991071429</v>
      </c>
      <c r="AO35" s="10">
        <f>IFERROR(__xludf.DUMMYFUNCTION("ifna(QUERY($A$2:$G$2000, ""select G where D="" &amp; AO$1 &amp; "" and E="" &amp; $I35), QUERY($A$2:$G$2000, ""select G where E="" &amp; AO$1 &amp; "" and D="" &amp; $I35))"),7.003463203463204)</f>
        <v>7.003463203</v>
      </c>
      <c r="AP35" s="10">
        <f>IFERROR(__xludf.DUMMYFUNCTION("ifna(QUERY($A$2:$G$2000, ""select G where D="" &amp; AP$1 &amp; "" and E="" &amp; $I35), QUERY($A$2:$G$2000, ""select G where E="" &amp; AP$1 &amp; "" and D="" &amp; $I35))"),7.010084033613445)</f>
        <v>7.010084034</v>
      </c>
      <c r="AQ35" s="10">
        <f>IFERROR(__xludf.DUMMYFUNCTION("ifna(QUERY($A$2:$G$2000, ""select G where D="" &amp; AQ$1 &amp; "" and E="" &amp; $I35), QUERY($A$2:$G$2000, ""select G where E="" &amp; AQ$1 &amp; "" and D="" &amp; $I35))"),7.019591836734694)</f>
        <v>7.019591837</v>
      </c>
      <c r="AR35" s="10">
        <f>IFERROR(__xludf.DUMMYFUNCTION("ifna(QUERY($A$2:$G$2000, ""select G where D="" &amp; AR$1 &amp; "" and E="" &amp; $I35), QUERY($A$2:$G$2000, ""select G where E="" &amp; AR$1 &amp; "" and D="" &amp; $I35))"),7.031746031746032)</f>
        <v>7.031746032</v>
      </c>
      <c r="AS35" s="10">
        <f>IFERROR(__xludf.DUMMYFUNCTION("ifna(QUERY($A$2:$G$2000, ""select G where D="" &amp; AS$1 &amp; "" and E="" &amp; $I35), QUERY($A$2:$G$2000, ""select G where E="" &amp; AS$1 &amp; "" and D="" &amp; $I35))"),7.046332046332046)</f>
        <v>7.046332046</v>
      </c>
      <c r="AT35" s="10">
        <f>IFERROR(__xludf.DUMMYFUNCTION("ifna(QUERY($A$2:$G$2000, ""select G where D="" &amp; AT$1 &amp; "" and E="" &amp; $I35), QUERY($A$2:$G$2000, ""select G where E="" &amp; AT$1 &amp; "" and D="" &amp; $I35))"),7.063157894736842)</f>
        <v>7.063157895</v>
      </c>
      <c r="AU35" s="10">
        <f>IFERROR(__xludf.DUMMYFUNCTION("ifna(QUERY($A$2:$G$2000, ""select G where D="" &amp; AU$1 &amp; "" and E="" &amp; $I35), QUERY($A$2:$G$2000, ""select G where E="" &amp; AU$1 &amp; "" and D="" &amp; $I35))"),7.082051282051282)</f>
        <v>7.082051282</v>
      </c>
      <c r="AV35" s="10">
        <f>IFERROR(__xludf.DUMMYFUNCTION("ifna(QUERY($A$2:$G$2000, ""select G where D="" &amp; AV$1 &amp; "" and E="" &amp; $I35), QUERY($A$2:$G$2000, ""select G where E="" &amp; AV$1 &amp; "" and D="" &amp; $I35))"),7.102857142857143)</f>
        <v>7.102857143</v>
      </c>
      <c r="AW35" s="10">
        <f>IFERROR(__xludf.DUMMYFUNCTION("ifna(QUERY($A$2:$G$2000, ""select G where D="" &amp; AW$1 &amp; "" and E="" &amp; $I35), QUERY($A$2:$G$2000, ""select G where E="" &amp; AW$1 &amp; "" and D="" &amp; $I35))"),7.122648083623694)</f>
        <v>7.122648084</v>
      </c>
      <c r="AX35" s="10">
        <f>IFERROR(__xludf.DUMMYFUNCTION("ifna(QUERY($A$2:$G$2000, ""select G where D="" &amp; AX$1 &amp; "" and E="" &amp; $I35), QUERY($A$2:$G$2000, ""select G where E="" &amp; AX$1 &amp; "" and D="" &amp; $I35))"),7.14421768707483)</f>
        <v>7.144217687</v>
      </c>
      <c r="AY35" s="10">
        <f>IFERROR(__xludf.DUMMYFUNCTION("ifna(QUERY($A$2:$G$2000, ""select G where D="" &amp; AY$1 &amp; "" and E="" &amp; $I35), QUERY($A$2:$G$2000, ""select G where E="" &amp; AY$1 &amp; "" and D="" &amp; $I35))"),7.167441860465116)</f>
        <v>7.16744186</v>
      </c>
      <c r="AZ35" s="10">
        <f>IFERROR(__xludf.DUMMYFUNCTION("ifna(QUERY($A$2:$G$2000, ""select G where D="" &amp; AZ$1 &amp; "" and E="" &amp; $I35), QUERY($A$2:$G$2000, ""select G where E="" &amp; AZ$1 &amp; "" and D="" &amp; $I35))"),7.189610389610389)</f>
        <v>7.18961039</v>
      </c>
      <c r="BA35" s="10">
        <f>IFERROR(__xludf.DUMMYFUNCTION("ifna(QUERY($A$2:$G$2000, ""select G where D="" &amp; BA$1 &amp; "" and E="" &amp; $I35), QUERY($A$2:$G$2000, ""select G where E="" &amp; BA$1 &amp; "" and D="" &amp; $I35))"),7.213333333333333)</f>
        <v>7.213333333</v>
      </c>
      <c r="BB35" s="10">
        <f>IFERROR(__xludf.DUMMYFUNCTION("ifna(QUERY($A$2:$G$2000, ""select G where D="" &amp; BB$1 &amp; "" and E="" &amp; $I35), QUERY($A$2:$G$2000, ""select G where E="" &amp; BB$1 &amp; "" and D="" &amp; $I35))"),7.236024844720497)</f>
        <v>7.236024845</v>
      </c>
      <c r="BC35" s="10">
        <f>IFERROR(__xludf.DUMMYFUNCTION("ifna(QUERY($A$2:$G$2000, ""select G where D="" &amp; BC$1 &amp; "" and E="" &amp; $I35), QUERY($A$2:$G$2000, ""select G where E="" &amp; BC$1 &amp; "" and D="" &amp; $I35))"),7.260182370820669)</f>
        <v>7.260182371</v>
      </c>
      <c r="BD35" s="10">
        <f>IFERROR(__xludf.DUMMYFUNCTION("ifna(QUERY($A$2:$G$2000, ""select G where D="" &amp; BD$1 &amp; "" and E="" &amp; $I35), QUERY($A$2:$G$2000, ""select G where E="" &amp; BD$1 &amp; "" and D="" &amp; $I35))"),7.283333333333333)</f>
        <v>7.283333333</v>
      </c>
      <c r="BE35" s="10">
        <f>IFERROR(__xludf.DUMMYFUNCTION("ifna(QUERY($A$2:$G$2000, ""select G where D="" &amp; BE$1 &amp; "" and E="" &amp; $I35), QUERY($A$2:$G$2000, ""select G where E="" &amp; BE$1 &amp; "" and D="" &amp; $I35))"),7.307871720116618)</f>
        <v>7.30787172</v>
      </c>
      <c r="BF35" s="10">
        <f>IFERROR(__xludf.DUMMYFUNCTION("ifna(QUERY($A$2:$G$2000, ""select G where D="" &amp; BF$1 &amp; "" and E="" &amp; $I35), QUERY($A$2:$G$2000, ""select G where E="" &amp; BF$1 &amp; "" and D="" &amp; $I35))"),7.331428571428571)</f>
        <v>7.331428571</v>
      </c>
      <c r="BG35" s="10">
        <f>IFERROR(__xludf.DUMMYFUNCTION("ifna(QUERY($A$2:$G$2000, ""select G where D="" &amp; BG$1 &amp; "" and E="" &amp; $I35), QUERY($A$2:$G$2000, ""select G where E="" &amp; BG$1 &amp; "" and D="" &amp; $I35))"),7.356302521008403)</f>
        <v>7.356302521</v>
      </c>
      <c r="BH35" s="10">
        <f>IFERROR(__xludf.DUMMYFUNCTION("ifna(QUERY($A$2:$G$2000, ""select G where D="" &amp; BH$1 &amp; "" and E="" &amp; $I35), QUERY($A$2:$G$2000, ""select G where E="" &amp; BH$1 &amp; "" and D="" &amp; $I35))"),7.380219780219781)</f>
        <v>7.38021978</v>
      </c>
      <c r="BI35" s="10">
        <f>IFERROR(__xludf.DUMMYFUNCTION("ifna(QUERY($A$2:$G$2000, ""select G where D="" &amp; BI$1 &amp; "" and E="" &amp; $I35), QUERY($A$2:$G$2000, ""select G where E="" &amp; BI$1 &amp; "" and D="" &amp; $I35))"),7.405390835579515)</f>
        <v>7.405390836</v>
      </c>
      <c r="BJ35" s="10">
        <f>IFERROR(__xludf.DUMMYFUNCTION("ifna(QUERY($A$2:$G$2000, ""select G where D="" &amp; BJ$1 &amp; "" and E="" &amp; $I35), QUERY($A$2:$G$2000, ""select G where E="" &amp; BJ$1 &amp; "" and D="" &amp; $I35))"),7.42962962962963)</f>
        <v>7.42962963</v>
      </c>
      <c r="BK35" s="10">
        <f>IFERROR(__xludf.DUMMYFUNCTION("ifna(QUERY($A$2:$G$2000, ""select G where D="" &amp; BK$1 &amp; "" and E="" &amp; $I35), QUERY($A$2:$G$2000, ""select G where E="" &amp; BK$1 &amp; "" and D="" &amp; $I35))"),7.455064935064935)</f>
        <v>7.455064935</v>
      </c>
      <c r="BL35" s="10"/>
      <c r="BM35" s="10"/>
      <c r="BN35" s="10"/>
      <c r="BO35" s="10"/>
    </row>
    <row r="36">
      <c r="A36" s="3">
        <v>4.0</v>
      </c>
      <c r="B36" s="3">
        <v>10.0</v>
      </c>
      <c r="C36" s="3">
        <v>50.0</v>
      </c>
      <c r="D36" s="3">
        <v>9.0</v>
      </c>
      <c r="E36" s="3">
        <v>4.0</v>
      </c>
      <c r="F36" s="11">
        <f t="shared" si="1"/>
        <v>0.2</v>
      </c>
      <c r="G36" s="5">
        <f t="shared" si="2"/>
        <v>3.8</v>
      </c>
      <c r="H36" s="3">
        <v>36.0</v>
      </c>
      <c r="I36" s="2">
        <v>35.0</v>
      </c>
      <c r="J36" s="10">
        <f>IFERROR(__xludf.DUMMYFUNCTION("ifna(QUERY($A$2:$G$2000, ""select G where D="" &amp; J$1 &amp; "" and E="" &amp; $I36), QUERY($A$2:$G$2000, ""select G where E="" &amp; J$1 &amp; "" and D="" &amp; $I36))"),5.166666666666667)</f>
        <v>5.166666667</v>
      </c>
      <c r="K36" s="10">
        <f>IFERROR(__xludf.DUMMYFUNCTION("ifna(QUERY($A$2:$G$2000, ""select G where D="" &amp; K$1 &amp; "" and E="" &amp; $I36), QUERY($A$2:$G$2000, ""select G where E="" &amp; K$1 &amp; "" and D="" &amp; $I36))"),5.203703703703704)</f>
        <v>5.203703704</v>
      </c>
      <c r="L36" s="10">
        <f>IFERROR(__xludf.DUMMYFUNCTION("ifna(QUERY($A$2:$G$2000, ""select G where D="" &amp; L$1 &amp; "" and E="" &amp; $I36), QUERY($A$2:$G$2000, ""select G where E="" &amp; L$1 &amp; "" and D="" &amp; $I36))"),5.333333333333333)</f>
        <v>5.333333333</v>
      </c>
      <c r="M36" s="10">
        <f>IFERROR(__xludf.DUMMYFUNCTION("ifna(QUERY($A$2:$G$2000, ""select G where D="" &amp; M$1 &amp; "" and E="" &amp; $I36), QUERY($A$2:$G$2000, ""select G where E="" &amp; M$1 &amp; "" and D="" &amp; $I36))"),5.466666666666667)</f>
        <v>5.466666667</v>
      </c>
      <c r="N36" s="10">
        <f>IFERROR(__xludf.DUMMYFUNCTION("ifna(QUERY($A$2:$G$2000, ""select G where D="" &amp; N$1 &amp; "" and E="" &amp; $I36), QUERY($A$2:$G$2000, ""select G where E="" &amp; N$1 &amp; "" and D="" &amp; $I36))"),5.592592592592593)</f>
        <v>5.592592593</v>
      </c>
      <c r="O36" s="10">
        <f>IFERROR(__xludf.DUMMYFUNCTION("ifna(QUERY($A$2:$G$2000, ""select G where D="" &amp; O$1 &amp; "" and E="" &amp; $I36), QUERY($A$2:$G$2000, ""select G where E="" &amp; O$1 &amp; "" and D="" &amp; $I36))"),5.698412698412699)</f>
        <v>5.698412698</v>
      </c>
      <c r="P36" s="10">
        <f>IFERROR(__xludf.DUMMYFUNCTION("ifna(QUERY($A$2:$G$2000, ""select G where D="" &amp; P$1 &amp; "" and E="" &amp; $I36), QUERY($A$2:$G$2000, ""select G where E="" &amp; P$1 &amp; "" and D="" &amp; $I36))"),5.805555555555555)</f>
        <v>5.805555556</v>
      </c>
      <c r="Q36" s="10">
        <f>IFERROR(__xludf.DUMMYFUNCTION("ifna(QUERY($A$2:$G$2000, ""select G where D="" &amp; Q$1 &amp; "" and E="" &amp; $I36), QUERY($A$2:$G$2000, ""select G where E="" &amp; Q$1 &amp; "" and D="" &amp; $I36))"),5.87037037037037)</f>
        <v>5.87037037</v>
      </c>
      <c r="R36" s="10">
        <f>IFERROR(__xludf.DUMMYFUNCTION("ifna(QUERY($A$2:$G$2000, ""select G where D="" &amp; R$1 &amp; "" and E="" &amp; $I36), QUERY($A$2:$G$2000, ""select G where E="" &amp; R$1 &amp; "" and D="" &amp; $I36))"),5.95)</f>
        <v>5.95</v>
      </c>
      <c r="S36" s="10">
        <f>IFERROR(__xludf.DUMMYFUNCTION("ifna(QUERY($A$2:$G$2000, ""select G where D="" &amp; S$1 &amp; "" and E="" &amp; $I36), QUERY($A$2:$G$2000, ""select G where E="" &amp; S$1 &amp; "" and D="" &amp; $I36))"),6.02020202020202)</f>
        <v>6.02020202</v>
      </c>
      <c r="T36" s="10">
        <f>IFERROR(__xludf.DUMMYFUNCTION("ifna(QUERY($A$2:$G$2000, ""select G where D="" &amp; T$1 &amp; "" and E="" &amp; $I36), QUERY($A$2:$G$2000, ""select G where E="" &amp; T$1 &amp; "" and D="" &amp; $I36))"),6.055555555555555)</f>
        <v>6.055555556</v>
      </c>
      <c r="U36" s="10">
        <f>IFERROR(__xludf.DUMMYFUNCTION("ifna(QUERY($A$2:$G$2000, ""select G where D="" &amp; U$1 &amp; "" and E="" &amp; $I36), QUERY($A$2:$G$2000, ""select G where E="" &amp; U$1 &amp; "" and D="" &amp; $I36))"),6.102564102564102)</f>
        <v>6.102564103</v>
      </c>
      <c r="V36" s="10">
        <f>IFERROR(__xludf.DUMMYFUNCTION("ifna(QUERY($A$2:$G$2000, ""select G where D="" &amp; V$1 &amp; "" and E="" &amp; $I36), QUERY($A$2:$G$2000, ""select G where E="" &amp; V$1 &amp; "" and D="" &amp; $I36))"),6.158730158730159)</f>
        <v>6.158730159</v>
      </c>
      <c r="W36" s="10">
        <f>IFERROR(__xludf.DUMMYFUNCTION("ifna(QUERY($A$2:$G$2000, ""select G where D="" &amp; W$1 &amp; "" and E="" &amp; $I36), QUERY($A$2:$G$2000, ""select G where E="" &amp; W$1 &amp; "" and D="" &amp; $I36))"),6.222222222222222)</f>
        <v>6.222222222</v>
      </c>
      <c r="X36" s="10">
        <f>IFERROR(__xludf.DUMMYFUNCTION("ifna(QUERY($A$2:$G$2000, ""select G where D="" &amp; X$1 &amp; "" and E="" &amp; $I36), QUERY($A$2:$G$2000, ""select G where E="" &amp; X$1 &amp; "" and D="" &amp; $I36))"),6.284722222222222)</f>
        <v>6.284722222</v>
      </c>
      <c r="Y36" s="10">
        <f>IFERROR(__xludf.DUMMYFUNCTION("ifna(QUERY($A$2:$G$2000, ""select G where D="" &amp; Y$1 &amp; "" and E="" &amp; $I36), QUERY($A$2:$G$2000, ""select G where E="" &amp; Y$1 &amp; "" and D="" &amp; $I36))"),6.352941176470588)</f>
        <v>6.352941176</v>
      </c>
      <c r="Z36" s="10">
        <f>IFERROR(__xludf.DUMMYFUNCTION("ifna(QUERY($A$2:$G$2000, ""select G where D="" &amp; Z$1 &amp; "" and E="" &amp; $I36), QUERY($A$2:$G$2000, ""select G where E="" &amp; Z$1 &amp; "" and D="" &amp; $I36))"),6.419753086419753)</f>
        <v>6.419753086</v>
      </c>
      <c r="AA36" s="10">
        <f>IFERROR(__xludf.DUMMYFUNCTION("ifna(QUERY($A$2:$G$2000, ""select G where D="" &amp; AA$1 &amp; "" and E="" &amp; $I36), QUERY($A$2:$G$2000, ""select G where E="" &amp; AA$1 &amp; "" and D="" &amp; $I36))"),6.485380116959064)</f>
        <v>6.485380117</v>
      </c>
      <c r="AB36" s="10">
        <f>IFERROR(__xludf.DUMMYFUNCTION("ifna(QUERY($A$2:$G$2000, ""select G where D="" &amp; AB$1 &amp; "" and E="" &amp; $I36), QUERY($A$2:$G$2000, ""select G where E="" &amp; AB$1 &amp; "" and D="" &amp; $I36))"),6.55)</f>
        <v>6.55</v>
      </c>
      <c r="AC36" s="10">
        <f>IFERROR(__xludf.DUMMYFUNCTION("ifna(QUERY($A$2:$G$2000, ""select G where D="" &amp; AC$1 &amp; "" and E="" &amp; $I36), QUERY($A$2:$G$2000, ""select G where E="" &amp; AC$1 &amp; "" and D="" &amp; $I36))"),6.608465608465608)</f>
        <v>6.608465608</v>
      </c>
      <c r="AD36" s="10">
        <f>IFERROR(__xludf.DUMMYFUNCTION("ifna(QUERY($A$2:$G$2000, ""select G where D="" &amp; AD$1 &amp; "" and E="" &amp; $I36), QUERY($A$2:$G$2000, ""select G where E="" &amp; AD$1 &amp; "" and D="" &amp; $I36))"),6.666666666666667)</f>
        <v>6.666666667</v>
      </c>
      <c r="AE36" s="10">
        <f>IFERROR(__xludf.DUMMYFUNCTION("ifna(QUERY($A$2:$G$2000, ""select G where D="" &amp; AE$1 &amp; "" and E="" &amp; $I36), QUERY($A$2:$G$2000, ""select G where E="" &amp; AE$1 &amp; "" and D="" &amp; $I36))"),6.714975845410628)</f>
        <v>6.714975845</v>
      </c>
      <c r="AF36" s="10">
        <f>IFERROR(__xludf.DUMMYFUNCTION("ifna(QUERY($A$2:$G$2000, ""select G where D="" &amp; AF$1 &amp; "" and E="" &amp; $I36), QUERY($A$2:$G$2000, ""select G where E="" &amp; AF$1 &amp; "" and D="" &amp; $I36))"),6.7592592592592595)</f>
        <v>6.759259259</v>
      </c>
      <c r="AG36" s="10">
        <f>IFERROR(__xludf.DUMMYFUNCTION("ifna(QUERY($A$2:$G$2000, ""select G where D="" &amp; AG$1 &amp; "" and E="" &amp; $I36), QUERY($A$2:$G$2000, ""select G where E="" &amp; AG$1 &amp; "" and D="" &amp; $I36))"),6.795555555555556)</f>
        <v>6.795555556</v>
      </c>
      <c r="AH36" s="10">
        <f>IFERROR(__xludf.DUMMYFUNCTION("ifna(QUERY($A$2:$G$2000, ""select G where D="" &amp; AH$1 &amp; "" and E="" &amp; $I36), QUERY($A$2:$G$2000, ""select G where E="" &amp; AH$1 &amp; "" and D="" &amp; $I36))"),6.829059829059829)</f>
        <v>6.829059829</v>
      </c>
      <c r="AI36" s="10">
        <f>IFERROR(__xludf.DUMMYFUNCTION("ifna(QUERY($A$2:$G$2000, ""select G where D="" &amp; AI$1 &amp; "" and E="" &amp; $I36), QUERY($A$2:$G$2000, ""select G where E="" &amp; AI$1 &amp; "" and D="" &amp; $I36))"),6.8559670781893)</f>
        <v>6.855967078</v>
      </c>
      <c r="AJ36" s="10">
        <f>IFERROR(__xludf.DUMMYFUNCTION("ifna(QUERY($A$2:$G$2000, ""select G where D="" &amp; AJ$1 &amp; "" and E="" &amp; $I36), QUERY($A$2:$G$2000, ""select G where E="" &amp; AJ$1 &amp; "" and D="" &amp; $I36))"),6.880952380952381)</f>
        <v>6.880952381</v>
      </c>
      <c r="AK36" s="10">
        <f>IFERROR(__xludf.DUMMYFUNCTION("ifna(QUERY($A$2:$G$2000, ""select G where D="" &amp; AK$1 &amp; "" and E="" &amp; $I36), QUERY($A$2:$G$2000, ""select G where E="" &amp; AK$1 &amp; "" and D="" &amp; $I36))"),6.904214559386973)</f>
        <v>6.904214559</v>
      </c>
      <c r="AL36" s="10">
        <f>IFERROR(__xludf.DUMMYFUNCTION("ifna(QUERY($A$2:$G$2000, ""select G where D="" &amp; AL$1 &amp; "" and E="" &amp; $I36), QUERY($A$2:$G$2000, ""select G where E="" &amp; AL$1 &amp; "" and D="" &amp; $I36))"),6.935185185185185)</f>
        <v>6.935185185</v>
      </c>
      <c r="AM36" s="10">
        <f>IFERROR(__xludf.DUMMYFUNCTION("ifna(QUERY($A$2:$G$2000, ""select G where D="" &amp; AM$1 &amp; "" and E="" &amp; $I36), QUERY($A$2:$G$2000, ""select G where E="" &amp; AM$1 &amp; "" and D="" &amp; $I36))"),6.989247311827957)</f>
        <v>6.989247312</v>
      </c>
      <c r="AN36" s="10">
        <f>IFERROR(__xludf.DUMMYFUNCTION("ifna(QUERY($A$2:$G$2000, ""select G where D="" &amp; AN$1 &amp; "" and E="" &amp; $I36), QUERY($A$2:$G$2000, ""select G where E="" &amp; AN$1 &amp; "" and D="" &amp; $I36))"),7.003472222222222)</f>
        <v>7.003472222</v>
      </c>
      <c r="AO36" s="10">
        <f>IFERROR(__xludf.DUMMYFUNCTION("ifna(QUERY($A$2:$G$2000, ""select G where D="" &amp; AO$1 &amp; "" and E="" &amp; $I36), QUERY($A$2:$G$2000, ""select G where E="" &amp; AO$1 &amp; "" and D="" &amp; $I36))"),7.01010101010101)</f>
        <v>7.01010101</v>
      </c>
      <c r="AP36" s="10">
        <f>IFERROR(__xludf.DUMMYFUNCTION("ifna(QUERY($A$2:$G$2000, ""select G where D="" &amp; AP$1 &amp; "" and E="" &amp; $I36), QUERY($A$2:$G$2000, ""select G where E="" &amp; AP$1 &amp; "" and D="" &amp; $I36))"),7.019607843137255)</f>
        <v>7.019607843</v>
      </c>
      <c r="AQ36" s="10">
        <f>IFERROR(__xludf.DUMMYFUNCTION("ifna(QUERY($A$2:$G$2000, ""select G where D="" &amp; AQ$1 &amp; "" and E="" &amp; $I36), QUERY($A$2:$G$2000, ""select G where E="" &amp; AQ$1 &amp; "" and D="" &amp; $I36))"),7.031746031746032)</f>
        <v>7.031746032</v>
      </c>
      <c r="AR36" s="10">
        <f>IFERROR(__xludf.DUMMYFUNCTION("ifna(QUERY($A$2:$G$2000, ""select G where D="" &amp; AR$1 &amp; "" and E="" &amp; $I36), QUERY($A$2:$G$2000, ""select G where E="" &amp; AR$1 &amp; "" and D="" &amp; $I36))"),7.046296296296296)</f>
        <v>7.046296296</v>
      </c>
      <c r="AS36" s="10">
        <f>IFERROR(__xludf.DUMMYFUNCTION("ifna(QUERY($A$2:$G$2000, ""select G where D="" &amp; AS$1 &amp; "" and E="" &amp; $I36), QUERY($A$2:$G$2000, ""select G where E="" &amp; AS$1 &amp; "" and D="" &amp; $I36))"),7.063063063063063)</f>
        <v>7.063063063</v>
      </c>
      <c r="AT36" s="10">
        <f>IFERROR(__xludf.DUMMYFUNCTION("ifna(QUERY($A$2:$G$2000, ""select G where D="" &amp; AT$1 &amp; "" and E="" &amp; $I36), QUERY($A$2:$G$2000, ""select G where E="" &amp; AT$1 &amp; "" and D="" &amp; $I36))"),7.081871345029239)</f>
        <v>7.081871345</v>
      </c>
      <c r="AU36" s="10">
        <f>IFERROR(__xludf.DUMMYFUNCTION("ifna(QUERY($A$2:$G$2000, ""select G where D="" &amp; AU$1 &amp; "" and E="" &amp; $I36), QUERY($A$2:$G$2000, ""select G where E="" &amp; AU$1 &amp; "" and D="" &amp; $I36))"),7.102564102564102)</f>
        <v>7.102564103</v>
      </c>
      <c r="AV36" s="10">
        <f>IFERROR(__xludf.DUMMYFUNCTION("ifna(QUERY($A$2:$G$2000, ""select G where D="" &amp; AV$1 &amp; "" and E="" &amp; $I36), QUERY($A$2:$G$2000, ""select G where E="" &amp; AV$1 &amp; "" and D="" &amp; $I36))"),7.125)</f>
        <v>7.125</v>
      </c>
      <c r="AW36" s="10">
        <f>IFERROR(__xludf.DUMMYFUNCTION("ifna(QUERY($A$2:$G$2000, ""select G where D="" &amp; AW$1 &amp; "" and E="" &amp; $I36), QUERY($A$2:$G$2000, ""select G where E="" &amp; AW$1 &amp; "" and D="" &amp; $I36))"),7.146341463414634)</f>
        <v>7.146341463</v>
      </c>
      <c r="AX36" s="10">
        <f>IFERROR(__xludf.DUMMYFUNCTION("ifna(QUERY($A$2:$G$2000, ""select G where D="" &amp; AX$1 &amp; "" and E="" &amp; $I36), QUERY($A$2:$G$2000, ""select G where E="" &amp; AX$1 &amp; "" and D="" &amp; $I36))"),7.169312169312169)</f>
        <v>7.169312169</v>
      </c>
      <c r="AY36" s="10">
        <f>IFERROR(__xludf.DUMMYFUNCTION("ifna(QUERY($A$2:$G$2000, ""select G where D="" &amp; AY$1 &amp; "" and E="" &amp; $I36), QUERY($A$2:$G$2000, ""select G where E="" &amp; AY$1 &amp; "" and D="" &amp; $I36))"),7.1937984496124034)</f>
        <v>7.19379845</v>
      </c>
      <c r="AZ36" s="10">
        <f>IFERROR(__xludf.DUMMYFUNCTION("ifna(QUERY($A$2:$G$2000, ""select G where D="" &amp; AZ$1 &amp; "" and E="" &amp; $I36), QUERY($A$2:$G$2000, ""select G where E="" &amp; AZ$1 &amp; "" and D="" &amp; $I36))"),7.217171717171717)</f>
        <v>7.217171717</v>
      </c>
      <c r="BA36" s="10">
        <f>IFERROR(__xludf.DUMMYFUNCTION("ifna(QUERY($A$2:$G$2000, ""select G where D="" &amp; BA$1 &amp; "" and E="" &amp; $I36), QUERY($A$2:$G$2000, ""select G where E="" &amp; BA$1 &amp; "" and D="" &amp; $I36))"),7.241975308641975)</f>
        <v>7.241975309</v>
      </c>
      <c r="BB36" s="10">
        <f>IFERROR(__xludf.DUMMYFUNCTION("ifna(QUERY($A$2:$G$2000, ""select G where D="" &amp; BB$1 &amp; "" and E="" &amp; $I36), QUERY($A$2:$G$2000, ""select G where E="" &amp; BB$1 &amp; "" and D="" &amp; $I36))"),7.265700483091788)</f>
        <v>7.265700483</v>
      </c>
      <c r="BC36" s="10">
        <f>IFERROR(__xludf.DUMMYFUNCTION("ifna(QUERY($A$2:$G$2000, ""select G where D="" &amp; BC$1 &amp; "" and E="" &amp; $I36), QUERY($A$2:$G$2000, ""select G where E="" &amp; BC$1 &amp; "" and D="" &amp; $I36))"),7.290780141843972)</f>
        <v>7.290780142</v>
      </c>
      <c r="BD36" s="10">
        <f>IFERROR(__xludf.DUMMYFUNCTION("ifna(QUERY($A$2:$G$2000, ""select G where D="" &amp; BD$1 &amp; "" and E="" &amp; $I36), QUERY($A$2:$G$2000, ""select G where E="" &amp; BD$1 &amp; "" and D="" &amp; $I36))"),7.314814814814815)</f>
        <v>7.314814815</v>
      </c>
      <c r="BE36" s="10">
        <f>IFERROR(__xludf.DUMMYFUNCTION("ifna(QUERY($A$2:$G$2000, ""select G where D="" &amp; BE$1 &amp; "" and E="" &amp; $I36), QUERY($A$2:$G$2000, ""select G where E="" &amp; BE$1 &amp; "" and D="" &amp; $I36))"),7.340136054421769)</f>
        <v>7.340136054</v>
      </c>
      <c r="BF36" s="10">
        <f>IFERROR(__xludf.DUMMYFUNCTION("ifna(QUERY($A$2:$G$2000, ""select G where D="" &amp; BF$1 &amp; "" and E="" &amp; $I36), QUERY($A$2:$G$2000, ""select G where E="" &amp; BF$1 &amp; "" and D="" &amp; $I36))"),7.364444444444445)</f>
        <v>7.364444444</v>
      </c>
      <c r="BG36" s="10">
        <f>IFERROR(__xludf.DUMMYFUNCTION("ifna(QUERY($A$2:$G$2000, ""select G where D="" &amp; BG$1 &amp; "" and E="" &amp; $I36), QUERY($A$2:$G$2000, ""select G where E="" &amp; BG$1 &amp; "" and D="" &amp; $I36))"),7.389978213507625)</f>
        <v>7.389978214</v>
      </c>
      <c r="BH36" s="10">
        <f>IFERROR(__xludf.DUMMYFUNCTION("ifna(QUERY($A$2:$G$2000, ""select G where D="" &amp; BH$1 &amp; "" and E="" &amp; $I36), QUERY($A$2:$G$2000, ""select G where E="" &amp; BH$1 &amp; "" and D="" &amp; $I36))"),7.414529914529915)</f>
        <v>7.414529915</v>
      </c>
      <c r="BI36" s="10">
        <f>IFERROR(__xludf.DUMMYFUNCTION("ifna(QUERY($A$2:$G$2000, ""select G where D="" &amp; BI$1 &amp; "" and E="" &amp; $I36), QUERY($A$2:$G$2000, ""select G where E="" &amp; BI$1 &amp; "" and D="" &amp; $I36))"),7.440251572327044)</f>
        <v>7.440251572</v>
      </c>
      <c r="BJ36" s="10">
        <f>IFERROR(__xludf.DUMMYFUNCTION("ifna(QUERY($A$2:$G$2000, ""select G where D="" &amp; BJ$1 &amp; "" and E="" &amp; $I36), QUERY($A$2:$G$2000, ""select G where E="" &amp; BJ$1 &amp; "" and D="" &amp; $I36))"),7.465020576131687)</f>
        <v>7.465020576</v>
      </c>
      <c r="BK36" s="10">
        <f>IFERROR(__xludf.DUMMYFUNCTION("ifna(QUERY($A$2:$G$2000, ""select G where D="" &amp; BK$1 &amp; "" and E="" &amp; $I36), QUERY($A$2:$G$2000, ""select G where E="" &amp; BK$1 &amp; "" and D="" &amp; $I36))"),7.490909090909091)</f>
        <v>7.490909091</v>
      </c>
      <c r="BL36" s="10"/>
      <c r="BM36" s="10"/>
      <c r="BN36" s="10"/>
      <c r="BO36" s="10"/>
    </row>
    <row r="37">
      <c r="A37" s="3">
        <v>4.0</v>
      </c>
      <c r="B37" s="3">
        <v>4.0</v>
      </c>
      <c r="C37" s="3">
        <v>60.0</v>
      </c>
      <c r="D37" s="3">
        <v>9.0</v>
      </c>
      <c r="E37" s="3">
        <v>5.0</v>
      </c>
      <c r="F37" s="11">
        <f t="shared" si="1"/>
        <v>0.06666666667</v>
      </c>
      <c r="G37" s="5">
        <f t="shared" si="2"/>
        <v>3.933333333</v>
      </c>
      <c r="H37" s="3">
        <v>37.0</v>
      </c>
      <c r="I37" s="2">
        <v>36.0</v>
      </c>
      <c r="J37" s="10">
        <f>IFERROR(__xludf.DUMMYFUNCTION("ifna(QUERY($A$2:$G$2000, ""select G where D="" &amp; J$1 &amp; "" and E="" &amp; $I37), QUERY($A$2:$G$2000, ""select G where E="" &amp; J$1 &amp; "" and D="" &amp; $I37))"),5.216216216216216)</f>
        <v>5.216216216</v>
      </c>
      <c r="K37" s="10">
        <f>IFERROR(__xludf.DUMMYFUNCTION("ifna(QUERY($A$2:$G$2000, ""select G where D="" &amp; K$1 &amp; "" and E="" &amp; $I37), QUERY($A$2:$G$2000, ""select G where E="" &amp; K$1 &amp; "" and D="" &amp; $I37))"),5.252252252252252)</f>
        <v>5.252252252</v>
      </c>
      <c r="L37" s="10">
        <f>IFERROR(__xludf.DUMMYFUNCTION("ifna(QUERY($A$2:$G$2000, ""select G where D="" &amp; L$1 &amp; "" and E="" &amp; $I37), QUERY($A$2:$G$2000, ""select G where E="" &amp; L$1 &amp; "" and D="" &amp; $I37))"),5.378378378378378)</f>
        <v>5.378378378</v>
      </c>
      <c r="M37" s="10">
        <f>IFERROR(__xludf.DUMMYFUNCTION("ifna(QUERY($A$2:$G$2000, ""select G where D="" &amp; M$1 &amp; "" and E="" &amp; $I37), QUERY($A$2:$G$2000, ""select G where E="" &amp; M$1 &amp; "" and D="" &amp; $I37))"),5.508108108108108)</f>
        <v>5.508108108</v>
      </c>
      <c r="N37" s="10">
        <f>IFERROR(__xludf.DUMMYFUNCTION("ifna(QUERY($A$2:$G$2000, ""select G where D="" &amp; N$1 &amp; "" and E="" &amp; $I37), QUERY($A$2:$G$2000, ""select G where E="" &amp; N$1 &amp; "" and D="" &amp; $I37))"),5.63063063063063)</f>
        <v>5.630630631</v>
      </c>
      <c r="O37" s="10">
        <f>IFERROR(__xludf.DUMMYFUNCTION("ifna(QUERY($A$2:$G$2000, ""select G where D="" &amp; O$1 &amp; "" and E="" &amp; $I37), QUERY($A$2:$G$2000, ""select G where E="" &amp; O$1 &amp; "" and D="" &amp; $I37))"),5.7335907335907335)</f>
        <v>5.733590734</v>
      </c>
      <c r="P37" s="10">
        <f>IFERROR(__xludf.DUMMYFUNCTION("ifna(QUERY($A$2:$G$2000, ""select G where D="" &amp; P$1 &amp; "" and E="" &amp; $I37), QUERY($A$2:$G$2000, ""select G where E="" &amp; P$1 &amp; "" and D="" &amp; $I37))"),5.831081081081081)</f>
        <v>5.831081081</v>
      </c>
      <c r="Q37" s="10">
        <f>IFERROR(__xludf.DUMMYFUNCTION("ifna(QUERY($A$2:$G$2000, ""select G where D="" &amp; Q$1 &amp; "" and E="" &amp; $I37), QUERY($A$2:$G$2000, ""select G where E="" &amp; Q$1 &amp; "" and D="" &amp; $I37))"),5.888888888888889)</f>
        <v>5.888888889</v>
      </c>
      <c r="R37" s="10">
        <f>IFERROR(__xludf.DUMMYFUNCTION("ifna(QUERY($A$2:$G$2000, ""select G where D="" &amp; R$1 &amp; "" and E="" &amp; $I37), QUERY($A$2:$G$2000, ""select G where E="" &amp; R$1 &amp; "" and D="" &amp; $I37))"),5.994594594594594)</f>
        <v>5.994594595</v>
      </c>
      <c r="S37" s="10">
        <f>IFERROR(__xludf.DUMMYFUNCTION("ifna(QUERY($A$2:$G$2000, ""select G where D="" &amp; S$1 &amp; "" and E="" &amp; $I37), QUERY($A$2:$G$2000, ""select G where E="" &amp; S$1 &amp; "" and D="" &amp; $I37))"),6.0294840294840295)</f>
        <v>6.029484029</v>
      </c>
      <c r="T37" s="10">
        <f>IFERROR(__xludf.DUMMYFUNCTION("ifna(QUERY($A$2:$G$2000, ""select G where D="" &amp; T$1 &amp; "" and E="" &amp; $I37), QUERY($A$2:$G$2000, ""select G where E="" &amp; T$1 &amp; "" and D="" &amp; $I37))"),6.072072072072072)</f>
        <v>6.072072072</v>
      </c>
      <c r="U37" s="10">
        <f>IFERROR(__xludf.DUMMYFUNCTION("ifna(QUERY($A$2:$G$2000, ""select G where D="" &amp; U$1 &amp; "" and E="" &amp; $I37), QUERY($A$2:$G$2000, ""select G where E="" &amp; U$1 &amp; "" and D="" &amp; $I37))"),6.124740124740125)</f>
        <v>6.124740125</v>
      </c>
      <c r="V37" s="10">
        <f>IFERROR(__xludf.DUMMYFUNCTION("ifna(QUERY($A$2:$G$2000, ""select G where D="" &amp; V$1 &amp; "" and E="" &amp; $I37), QUERY($A$2:$G$2000, ""select G where E="" &amp; V$1 &amp; "" and D="" &amp; $I37))"),6.185328185328185)</f>
        <v>6.185328185</v>
      </c>
      <c r="W37" s="10">
        <f>IFERROR(__xludf.DUMMYFUNCTION("ifna(QUERY($A$2:$G$2000, ""select G where D="" &amp; W$1 &amp; "" and E="" &amp; $I37), QUERY($A$2:$G$2000, ""select G where E="" &amp; W$1 &amp; "" and D="" &amp; $I37))"),6.252252252252252)</f>
        <v>6.252252252</v>
      </c>
      <c r="X37" s="10">
        <f>IFERROR(__xludf.DUMMYFUNCTION("ifna(QUERY($A$2:$G$2000, ""select G where D="" &amp; X$1 &amp; "" and E="" &amp; $I37), QUERY($A$2:$G$2000, ""select G where E="" &amp; X$1 &amp; "" and D="" &amp; $I37))"),6.3175675675675675)</f>
        <v>6.317567568</v>
      </c>
      <c r="Y37" s="10">
        <f>IFERROR(__xludf.DUMMYFUNCTION("ifna(QUERY($A$2:$G$2000, ""select G where D="" &amp; Y$1 &amp; "" and E="" &amp; $I37), QUERY($A$2:$G$2000, ""select G where E="" &amp; Y$1 &amp; "" and D="" &amp; $I37))"),6.3879173290938)</f>
        <v>6.387917329</v>
      </c>
      <c r="Z37" s="10">
        <f>IFERROR(__xludf.DUMMYFUNCTION("ifna(QUERY($A$2:$G$2000, ""select G where D="" &amp; Z$1 &amp; "" and E="" &amp; $I37), QUERY($A$2:$G$2000, ""select G where E="" &amp; Z$1 &amp; "" and D="" &amp; $I37))"),6.456456456456457)</f>
        <v>6.456456456</v>
      </c>
      <c r="AA37" s="10">
        <f>IFERROR(__xludf.DUMMYFUNCTION("ifna(QUERY($A$2:$G$2000, ""select G where D="" &amp; AA$1 &amp; "" and E="" &amp; $I37), QUERY($A$2:$G$2000, ""select G where E="" &amp; AA$1 &amp; "" and D="" &amp; $I37))"),6.523470839260313)</f>
        <v>6.523470839</v>
      </c>
      <c r="AB37" s="10">
        <f>IFERROR(__xludf.DUMMYFUNCTION("ifna(QUERY($A$2:$G$2000, ""select G where D="" &amp; AB$1 &amp; "" and E="" &amp; $I37), QUERY($A$2:$G$2000, ""select G where E="" &amp; AB$1 &amp; "" and D="" &amp; $I37))"),6.589189189189189)</f>
        <v>6.589189189</v>
      </c>
      <c r="AC37" s="10">
        <f>IFERROR(__xludf.DUMMYFUNCTION("ifna(QUERY($A$2:$G$2000, ""select G where D="" &amp; AC$1 &amp; "" and E="" &amp; $I37), QUERY($A$2:$G$2000, ""select G where E="" &amp; AC$1 &amp; "" and D="" &amp; $I37))"),6.646074646074646)</f>
        <v>6.646074646</v>
      </c>
      <c r="AD37" s="10">
        <f>IFERROR(__xludf.DUMMYFUNCTION("ifna(QUERY($A$2:$G$2000, ""select G where D="" &amp; AD$1 &amp; "" and E="" &amp; $I37), QUERY($A$2:$G$2000, ""select G where E="" &amp; AD$1 &amp; "" and D="" &amp; $I37))"),6.7002457002457)</f>
        <v>6.7002457</v>
      </c>
      <c r="AE37" s="10">
        <f>IFERROR(__xludf.DUMMYFUNCTION("ifna(QUERY($A$2:$G$2000, ""select G where D="" &amp; AE$1 &amp; "" and E="" &amp; $I37), QUERY($A$2:$G$2000, ""select G where E="" &amp; AE$1 &amp; "" and D="" &amp; $I37))"),6.745005875440658)</f>
        <v>6.745005875</v>
      </c>
      <c r="AF37" s="10">
        <f>IFERROR(__xludf.DUMMYFUNCTION("ifna(QUERY($A$2:$G$2000, ""select G where D="" &amp; AF$1 &amp; "" and E="" &amp; $I37), QUERY($A$2:$G$2000, ""select G where E="" &amp; AF$1 &amp; "" and D="" &amp; $I37))"),6.786036036036036)</f>
        <v>6.786036036</v>
      </c>
      <c r="AG37" s="10">
        <f>IFERROR(__xludf.DUMMYFUNCTION("ifna(QUERY($A$2:$G$2000, ""select G where D="" &amp; AG$1 &amp; "" and E="" &amp; $I37), QUERY($A$2:$G$2000, ""select G where E="" &amp; AG$1 &amp; "" and D="" &amp; $I37))"),6.819459459459459)</f>
        <v>6.819459459</v>
      </c>
      <c r="AH37" s="10">
        <f>IFERROR(__xludf.DUMMYFUNCTION("ifna(QUERY($A$2:$G$2000, ""select G where D="" &amp; AH$1 &amp; "" and E="" &amp; $I37), QUERY($A$2:$G$2000, ""select G where E="" &amp; AH$1 &amp; "" and D="" &amp; $I37))"),6.850311850311851)</f>
        <v>6.85031185</v>
      </c>
      <c r="AI37" s="10">
        <f>IFERROR(__xludf.DUMMYFUNCTION("ifna(QUERY($A$2:$G$2000, ""select G where D="" &amp; AI$1 &amp; "" and E="" &amp; $I37), QUERY($A$2:$G$2000, ""select G where E="" &amp; AI$1 &amp; "" and D="" &amp; $I37))"),6.874874874874875)</f>
        <v>6.874874875</v>
      </c>
      <c r="AJ37" s="10">
        <f>IFERROR(__xludf.DUMMYFUNCTION("ifna(QUERY($A$2:$G$2000, ""select G where D="" &amp; AJ$1 &amp; "" and E="" &amp; $I37), QUERY($A$2:$G$2000, ""select G where E="" &amp; AJ$1 &amp; "" and D="" &amp; $I37))"),6.899613899613899)</f>
        <v>6.8996139</v>
      </c>
      <c r="AK37" s="10">
        <f>IFERROR(__xludf.DUMMYFUNCTION("ifna(QUERY($A$2:$G$2000, ""select G where D="" &amp; AK$1 &amp; "" and E="" &amp; $I37), QUERY($A$2:$G$2000, ""select G where E="" &amp; AK$1 &amp; "" and D="" &amp; $I37))"),6.930102516309413)</f>
        <v>6.930102516</v>
      </c>
      <c r="AL37" s="10">
        <f>IFERROR(__xludf.DUMMYFUNCTION("ifna(QUERY($A$2:$G$2000, ""select G where D="" &amp; AL$1 &amp; "" and E="" &amp; $I37), QUERY($A$2:$G$2000, ""select G where E="" &amp; AL$1 &amp; "" and D="" &amp; $I37))"),6.9837837837837835)</f>
        <v>6.983783784</v>
      </c>
      <c r="AM37" s="10">
        <f>IFERROR(__xludf.DUMMYFUNCTION("ifna(QUERY($A$2:$G$2000, ""select G where D="" &amp; AM$1 &amp; "" and E="" &amp; $I37), QUERY($A$2:$G$2000, ""select G where E="" &amp; AM$1 &amp; "" and D="" &amp; $I37))"),7.003487358326068)</f>
        <v>7.003487358</v>
      </c>
      <c r="AN37" s="10">
        <f>IFERROR(__xludf.DUMMYFUNCTION("ifna(QUERY($A$2:$G$2000, ""select G where D="" &amp; AN$1 &amp; "" and E="" &amp; $I37), QUERY($A$2:$G$2000, ""select G where E="" &amp; AN$1 &amp; "" and D="" &amp; $I37))"),7.010135135135135)</f>
        <v>7.010135135</v>
      </c>
      <c r="AO37" s="10">
        <f>IFERROR(__xludf.DUMMYFUNCTION("ifna(QUERY($A$2:$G$2000, ""select G where D="" &amp; AO$1 &amp; "" and E="" &amp; $I37), QUERY($A$2:$G$2000, ""select G where E="" &amp; AO$1 &amp; "" and D="" &amp; $I37))"),7.019656019656019)</f>
        <v>7.01965602</v>
      </c>
      <c r="AP37" s="10">
        <f>IFERROR(__xludf.DUMMYFUNCTION("ifna(QUERY($A$2:$G$2000, ""select G where D="" &amp; AP$1 &amp; "" and E="" &amp; $I37), QUERY($A$2:$G$2000, ""select G where E="" &amp; AP$1 &amp; "" and D="" &amp; $I37))"),7.031796502384737)</f>
        <v>7.031796502</v>
      </c>
      <c r="AQ37" s="10">
        <f>IFERROR(__xludf.DUMMYFUNCTION("ifna(QUERY($A$2:$G$2000, ""select G where D="" &amp; AQ$1 &amp; "" and E="" &amp; $I37), QUERY($A$2:$G$2000, ""select G where E="" &amp; AQ$1 &amp; "" and D="" &amp; $I37))"),7.046332046332046)</f>
        <v>7.046332046</v>
      </c>
      <c r="AR37" s="10">
        <f>IFERROR(__xludf.DUMMYFUNCTION("ifna(QUERY($A$2:$G$2000, ""select G where D="" &amp; AR$1 &amp; "" and E="" &amp; $I37), QUERY($A$2:$G$2000, ""select G where E="" &amp; AR$1 &amp; "" and D="" &amp; $I37))"),7.063063063063063)</f>
        <v>7.063063063</v>
      </c>
      <c r="AS37" s="10">
        <f>IFERROR(__xludf.DUMMYFUNCTION("ifna(QUERY($A$2:$G$2000, ""select G where D="" &amp; AS$1 &amp; "" and E="" &amp; $I37), QUERY($A$2:$G$2000, ""select G where E="" &amp; AS$1 &amp; "" and D="" &amp; $I37))"),7.0818115412710005)</f>
        <v>7.081811541</v>
      </c>
      <c r="AT37" s="10">
        <f>IFERROR(__xludf.DUMMYFUNCTION("ifna(QUERY($A$2:$G$2000, ""select G where D="" &amp; AT$1 &amp; "" and E="" &amp; $I37), QUERY($A$2:$G$2000, ""select G where E="" &amp; AT$1 &amp; "" and D="" &amp; $I37))"),7.102418207681366)</f>
        <v>7.102418208</v>
      </c>
      <c r="AU37" s="10">
        <f>IFERROR(__xludf.DUMMYFUNCTION("ifna(QUERY($A$2:$G$2000, ""select G where D="" &amp; AU$1 &amp; "" and E="" &amp; $I37), QUERY($A$2:$G$2000, ""select G where E="" &amp; AU$1 &amp; "" and D="" &amp; $I37))"),7.124740124740125)</f>
        <v>7.124740125</v>
      </c>
      <c r="AV37" s="10">
        <f>IFERROR(__xludf.DUMMYFUNCTION("ifna(QUERY($A$2:$G$2000, ""select G where D="" &amp; AV$1 &amp; "" and E="" &amp; $I37), QUERY($A$2:$G$2000, ""select G where E="" &amp; AV$1 &amp; "" and D="" &amp; $I37))"),7.148648648648649)</f>
        <v>7.148648649</v>
      </c>
      <c r="AW37" s="10">
        <f>IFERROR(__xludf.DUMMYFUNCTION("ifna(QUERY($A$2:$G$2000, ""select G where D="" &amp; AW$1 &amp; "" and E="" &amp; $I37), QUERY($A$2:$G$2000, ""select G where E="" &amp; AW$1 &amp; "" and D="" &amp; $I37))"),7.17139090309822)</f>
        <v>7.171390903</v>
      </c>
      <c r="AX37" s="10">
        <f>IFERROR(__xludf.DUMMYFUNCTION("ifna(QUERY($A$2:$G$2000, ""select G where D="" &amp; AX$1 &amp; "" and E="" &amp; $I37), QUERY($A$2:$G$2000, ""select G where E="" &amp; AX$1 &amp; "" and D="" &amp; $I37))"),7.1956241956241955)</f>
        <v>7.195624196</v>
      </c>
      <c r="AY37" s="10">
        <f>IFERROR(__xludf.DUMMYFUNCTION("ifna(QUERY($A$2:$G$2000, ""select G where D="" &amp; AY$1 &amp; "" and E="" &amp; $I37), QUERY($A$2:$G$2000, ""select G where E="" &amp; AY$1 &amp; "" and D="" &amp; $I37))"),7.221244500314268)</f>
        <v>7.2212445</v>
      </c>
      <c r="AZ37" s="10">
        <f>IFERROR(__xludf.DUMMYFUNCTION("ifna(QUERY($A$2:$G$2000, ""select G where D="" &amp; AZ$1 &amp; "" and E="" &amp; $I37), QUERY($A$2:$G$2000, ""select G where E="" &amp; AZ$1 &amp; "" and D="" &amp; $I37))"),7.245700245700245)</f>
        <v>7.245700246</v>
      </c>
      <c r="BA37" s="10">
        <f>IFERROR(__xludf.DUMMYFUNCTION("ifna(QUERY($A$2:$G$2000, ""select G where D="" &amp; BA$1 &amp; "" and E="" &amp; $I37), QUERY($A$2:$G$2000, ""select G where E="" &amp; BA$1 &amp; "" and D="" &amp; $I37))"),7.271471471471472)</f>
        <v>7.271471471</v>
      </c>
      <c r="BB37" s="10">
        <f>IFERROR(__xludf.DUMMYFUNCTION("ifna(QUERY($A$2:$G$2000, ""select G where D="" &amp; BB$1 &amp; "" and E="" &amp; $I37), QUERY($A$2:$G$2000, ""select G where E="" &amp; BB$1 &amp; "" and D="" &amp; $I37))"),7.296122209165688)</f>
        <v>7.296122209</v>
      </c>
      <c r="BC37" s="10">
        <f>IFERROR(__xludf.DUMMYFUNCTION("ifna(QUERY($A$2:$G$2000, ""select G where D="" &amp; BC$1 &amp; "" and E="" &amp; $I37), QUERY($A$2:$G$2000, ""select G where E="" &amp; BC$1 &amp; "" and D="" &amp; $I37))"),7.3220241518113856)</f>
        <v>7.322024152</v>
      </c>
      <c r="BD37" s="10">
        <f>IFERROR(__xludf.DUMMYFUNCTION("ifna(QUERY($A$2:$G$2000, ""select G where D="" &amp; BD$1 &amp; "" and E="" &amp; $I37), QUERY($A$2:$G$2000, ""select G where E="" &amp; BD$1 &amp; "" and D="" &amp; $I37))"),7.346846846846847)</f>
        <v>7.346846847</v>
      </c>
      <c r="BE37" s="10">
        <f>IFERROR(__xludf.DUMMYFUNCTION("ifna(QUERY($A$2:$G$2000, ""select G where D="" &amp; BE$1 &amp; "" and E="" &amp; $I37), QUERY($A$2:$G$2000, ""select G where E="" &amp; BE$1 &amp; "" and D="" &amp; $I37))"),7.372862658576945)</f>
        <v>7.372862659</v>
      </c>
      <c r="BF37" s="10">
        <f>IFERROR(__xludf.DUMMYFUNCTION("ifna(QUERY($A$2:$G$2000, ""select G where D="" &amp; BF$1 &amp; "" and E="" &amp; $I37), QUERY($A$2:$G$2000, ""select G where E="" &amp; BF$1 &amp; "" and D="" &amp; $I37))"),7.397837837837838)</f>
        <v>7.397837838</v>
      </c>
      <c r="BG37" s="10">
        <f>IFERROR(__xludf.DUMMYFUNCTION("ifna(QUERY($A$2:$G$2000, ""select G where D="" &amp; BG$1 &amp; "" and E="" &amp; $I37), QUERY($A$2:$G$2000, ""select G where E="" &amp; BG$1 &amp; "" and D="" &amp; $I37))"),7.423953365129836)</f>
        <v>7.423953365</v>
      </c>
      <c r="BH37" s="10">
        <f>IFERROR(__xludf.DUMMYFUNCTION("ifna(QUERY($A$2:$G$2000, ""select G where D="" &amp; BH$1 &amp; "" and E="" &amp; $I37), QUERY($A$2:$G$2000, ""select G where E="" &amp; BH$1 &amp; "" and D="" &amp; $I37))"),7.4490644490644495)</f>
        <v>7.449064449</v>
      </c>
      <c r="BI37" s="10">
        <f>IFERROR(__xludf.DUMMYFUNCTION("ifna(QUERY($A$2:$G$2000, ""select G where D="" &amp; BI$1 &amp; "" and E="" &amp; $I37), QUERY($A$2:$G$2000, ""select G where E="" &amp; BI$1 &amp; "" and D="" &amp; $I37))"),7.47526772055074)</f>
        <v>7.475267721</v>
      </c>
      <c r="BJ37" s="10">
        <f>IFERROR(__xludf.DUMMYFUNCTION("ifna(QUERY($A$2:$G$2000, ""select G where D="" &amp; BJ$1 &amp; "" and E="" &amp; $I37), QUERY($A$2:$G$2000, ""select G where E="" &amp; BJ$1 &amp; "" and D="" &amp; $I37))"),7.5005005005005)</f>
        <v>7.500500501</v>
      </c>
      <c r="BK37" s="10">
        <f>IFERROR(__xludf.DUMMYFUNCTION("ifna(QUERY($A$2:$G$2000, ""select G where D="" &amp; BK$1 &amp; "" and E="" &amp; $I37), QUERY($A$2:$G$2000, ""select G where E="" &amp; BK$1 &amp; "" and D="" &amp; $I37))"),7.526781326781327)</f>
        <v>7.526781327</v>
      </c>
      <c r="BL37" s="10"/>
      <c r="BM37" s="10"/>
      <c r="BN37" s="10"/>
      <c r="BO37" s="10"/>
    </row>
    <row r="38">
      <c r="A38" s="3">
        <v>4.0</v>
      </c>
      <c r="B38" s="3">
        <v>14.0</v>
      </c>
      <c r="C38" s="3">
        <v>22.0</v>
      </c>
      <c r="D38" s="3">
        <v>10.0</v>
      </c>
      <c r="E38" s="3">
        <v>1.0</v>
      </c>
      <c r="F38" s="11">
        <f t="shared" si="1"/>
        <v>0.6363636364</v>
      </c>
      <c r="G38" s="5">
        <f t="shared" si="2"/>
        <v>3.363636364</v>
      </c>
      <c r="H38" s="3">
        <v>38.0</v>
      </c>
      <c r="I38" s="2">
        <v>37.0</v>
      </c>
      <c r="J38" s="10">
        <f>IFERROR(__xludf.DUMMYFUNCTION("ifna(QUERY($A$2:$G$2000, ""select G where D="" &amp; J$1 &amp; "" and E="" &amp; $I38), QUERY($A$2:$G$2000, ""select G where E="" &amp; J$1 &amp; "" and D="" &amp; $I38))"),5.2631578947368425)</f>
        <v>5.263157895</v>
      </c>
      <c r="K38" s="10">
        <f>IFERROR(__xludf.DUMMYFUNCTION("ifna(QUERY($A$2:$G$2000, ""select G where D="" &amp; K$1 &amp; "" and E="" &amp; $I38), QUERY($A$2:$G$2000, ""select G where E="" &amp; K$1 &amp; "" and D="" &amp; $I38))"),5.298245614035087)</f>
        <v>5.298245614</v>
      </c>
      <c r="L38" s="10">
        <f>IFERROR(__xludf.DUMMYFUNCTION("ifna(QUERY($A$2:$G$2000, ""select G where D="" &amp; L$1 &amp; "" and E="" &amp; $I38), QUERY($A$2:$G$2000, ""select G where E="" &amp; L$1 &amp; "" and D="" &amp; $I38))"),5.421052631578947)</f>
        <v>5.421052632</v>
      </c>
      <c r="M38" s="10">
        <f>IFERROR(__xludf.DUMMYFUNCTION("ifna(QUERY($A$2:$G$2000, ""select G where D="" &amp; M$1 &amp; "" and E="" &amp; $I38), QUERY($A$2:$G$2000, ""select G where E="" &amp; M$1 &amp; "" and D="" &amp; $I38))"),5.5473684210526315)</f>
        <v>5.547368421</v>
      </c>
      <c r="N38" s="10">
        <f>IFERROR(__xludf.DUMMYFUNCTION("ifna(QUERY($A$2:$G$2000, ""select G where D="" &amp; N$1 &amp; "" and E="" &amp; $I38), QUERY($A$2:$G$2000, ""select G where E="" &amp; N$1 &amp; "" and D="" &amp; $I38))"),5.666666666666667)</f>
        <v>5.666666667</v>
      </c>
      <c r="O38" s="10">
        <f>IFERROR(__xludf.DUMMYFUNCTION("ifna(QUERY($A$2:$G$2000, ""select G where D="" &amp; O$1 &amp; "" and E="" &amp; $I38), QUERY($A$2:$G$2000, ""select G where E="" &amp; O$1 &amp; "" and D="" &amp; $I38))"),5.7669172932330826)</f>
        <v>5.766917293</v>
      </c>
      <c r="P38" s="10">
        <f>IFERROR(__xludf.DUMMYFUNCTION("ifna(QUERY($A$2:$G$2000, ""select G where D="" &amp; P$1 &amp; "" and E="" &amp; $I38), QUERY($A$2:$G$2000, ""select G where E="" &amp; P$1 &amp; "" and D="" &amp; $I38))"),5.855263157894737)</f>
        <v>5.855263158</v>
      </c>
      <c r="Q38" s="10">
        <f>IFERROR(__xludf.DUMMYFUNCTION("ifna(QUERY($A$2:$G$2000, ""select G where D="" &amp; Q$1 &amp; "" and E="" &amp; $I38), QUERY($A$2:$G$2000, ""select G where E="" &amp; Q$1 &amp; "" and D="" &amp; $I38))"),5.912280701754386)</f>
        <v>5.912280702</v>
      </c>
      <c r="R38" s="10">
        <f>IFERROR(__xludf.DUMMYFUNCTION("ifna(QUERY($A$2:$G$2000, ""select G where D="" &amp; R$1 &amp; "" and E="" &amp; $I38), QUERY($A$2:$G$2000, ""select G where E="" &amp; R$1 &amp; "" and D="" &amp; $I38))"),6.010526315789473)</f>
        <v>6.010526316</v>
      </c>
      <c r="S38" s="10">
        <f>IFERROR(__xludf.DUMMYFUNCTION("ifna(QUERY($A$2:$G$2000, ""select G where D="" &amp; S$1 &amp; "" and E="" &amp; $I38), QUERY($A$2:$G$2000, ""select G where E="" &amp; S$1 &amp; "" and D="" &amp; $I38))"),6.047846889952153)</f>
        <v>6.04784689</v>
      </c>
      <c r="T38" s="10">
        <f>IFERROR(__xludf.DUMMYFUNCTION("ifna(QUERY($A$2:$G$2000, ""select G where D="" &amp; T$1 &amp; "" and E="" &amp; $I38), QUERY($A$2:$G$2000, ""select G where E="" &amp; T$1 &amp; "" and D="" &amp; $I38))"),6.0964912280701755)</f>
        <v>6.096491228</v>
      </c>
      <c r="U38" s="10">
        <f>IFERROR(__xludf.DUMMYFUNCTION("ifna(QUERY($A$2:$G$2000, ""select G where D="" &amp; U$1 &amp; "" and E="" &amp; $I38), QUERY($A$2:$G$2000, ""select G where E="" &amp; U$1 &amp; "" and D="" &amp; $I38))"),6.153846153846154)</f>
        <v>6.153846154</v>
      </c>
      <c r="V38" s="10">
        <f>IFERROR(__xludf.DUMMYFUNCTION("ifna(QUERY($A$2:$G$2000, ""select G where D="" &amp; V$1 &amp; "" and E="" &amp; $I38), QUERY($A$2:$G$2000, ""select G where E="" &amp; V$1 &amp; "" and D="" &amp; $I38))"),6.2180451127819545)</f>
        <v>6.218045113</v>
      </c>
      <c r="W38" s="10">
        <f>IFERROR(__xludf.DUMMYFUNCTION("ifna(QUERY($A$2:$G$2000, ""select G where D="" &amp; W$1 &amp; "" and E="" &amp; $I38), QUERY($A$2:$G$2000, ""select G where E="" &amp; W$1 &amp; "" and D="" &amp; $I38))"),6.287719298245614)</f>
        <v>6.287719298</v>
      </c>
      <c r="X38" s="10">
        <f>IFERROR(__xludf.DUMMYFUNCTION("ifna(QUERY($A$2:$G$2000, ""select G where D="" &amp; X$1 &amp; "" and E="" &amp; $I38), QUERY($A$2:$G$2000, ""select G where E="" &amp; X$1 &amp; "" and D="" &amp; $I38))"),6.355263157894737)</f>
        <v>6.355263158</v>
      </c>
      <c r="Y38" s="10">
        <f>IFERROR(__xludf.DUMMYFUNCTION("ifna(QUERY($A$2:$G$2000, ""select G where D="" &amp; Y$1 &amp; "" and E="" &amp; $I38), QUERY($A$2:$G$2000, ""select G where E="" &amp; Y$1 &amp; "" and D="" &amp; $I38))"),6.427244582043343)</f>
        <v>6.427244582</v>
      </c>
      <c r="Z38" s="10">
        <f>IFERROR(__xludf.DUMMYFUNCTION("ifna(QUERY($A$2:$G$2000, ""select G where D="" &amp; Z$1 &amp; "" and E="" &amp; $I38), QUERY($A$2:$G$2000, ""select G where E="" &amp; Z$1 &amp; "" and D="" &amp; $I38))"),6.497076023391813)</f>
        <v>6.497076023</v>
      </c>
      <c r="AA38" s="10">
        <f>IFERROR(__xludf.DUMMYFUNCTION("ifna(QUERY($A$2:$G$2000, ""select G where D="" &amp; AA$1 &amp; "" and E="" &amp; $I38), QUERY($A$2:$G$2000, ""select G where E="" &amp; AA$1 &amp; "" and D="" &amp; $I38))"),6.562326869806094)</f>
        <v>6.56232687</v>
      </c>
      <c r="AB38" s="10">
        <f>IFERROR(__xludf.DUMMYFUNCTION("ifna(QUERY($A$2:$G$2000, ""select G where D="" &amp; AB$1 &amp; "" and E="" &amp; $I38), QUERY($A$2:$G$2000, ""select G where E="" &amp; AB$1 &amp; "" and D="" &amp; $I38))"),6.626315789473685)</f>
        <v>6.626315789</v>
      </c>
      <c r="AC38" s="10">
        <f>IFERROR(__xludf.DUMMYFUNCTION("ifna(QUERY($A$2:$G$2000, ""select G where D="" &amp; AC$1 &amp; "" and E="" &amp; $I38), QUERY($A$2:$G$2000, ""select G where E="" &amp; AC$1 &amp; "" and D="" &amp; $I38))"),6.681704260651629)</f>
        <v>6.681704261</v>
      </c>
      <c r="AD38" s="10">
        <f>IFERROR(__xludf.DUMMYFUNCTION("ifna(QUERY($A$2:$G$2000, ""select G where D="" &amp; AD$1 &amp; "" and E="" &amp; $I38), QUERY($A$2:$G$2000, ""select G where E="" &amp; AD$1 &amp; "" and D="" &amp; $I38))"),6.732057416267943)</f>
        <v>6.732057416</v>
      </c>
      <c r="AE38" s="10">
        <f>IFERROR(__xludf.DUMMYFUNCTION("ifna(QUERY($A$2:$G$2000, ""select G where D="" &amp; AE$1 &amp; "" and E="" &amp; $I38), QUERY($A$2:$G$2000, ""select G where E="" &amp; AE$1 &amp; "" and D="" &amp; $I38))"),6.773455377574371)</f>
        <v>6.773455378</v>
      </c>
      <c r="AF38" s="10">
        <f>IFERROR(__xludf.DUMMYFUNCTION("ifna(QUERY($A$2:$G$2000, ""select G where D="" &amp; AF$1 &amp; "" and E="" &amp; $I38), QUERY($A$2:$G$2000, ""select G where E="" &amp; AF$1 &amp; "" and D="" &amp; $I38))"),6.81140350877193)</f>
        <v>6.811403509</v>
      </c>
      <c r="AG38" s="10">
        <f>IFERROR(__xludf.DUMMYFUNCTION("ifna(QUERY($A$2:$G$2000, ""select G where D="" &amp; AG$1 &amp; "" and E="" &amp; $I38), QUERY($A$2:$G$2000, ""select G where E="" &amp; AG$1 &amp; "" and D="" &amp; $I38))"),6.842105263157895)</f>
        <v>6.842105263</v>
      </c>
      <c r="AH38" s="10">
        <f>IFERROR(__xludf.DUMMYFUNCTION("ifna(QUERY($A$2:$G$2000, ""select G where D="" &amp; AH$1 &amp; "" and E="" &amp; $I38), QUERY($A$2:$G$2000, ""select G where E="" &amp; AH$1 &amp; "" and D="" &amp; $I38))"),6.870445344129554)</f>
        <v>6.870445344</v>
      </c>
      <c r="AI38" s="10">
        <f>IFERROR(__xludf.DUMMYFUNCTION("ifna(QUERY($A$2:$G$2000, ""select G where D="" &amp; AI$1 &amp; "" and E="" &amp; $I38), QUERY($A$2:$G$2000, ""select G where E="" &amp; AI$1 &amp; "" and D="" &amp; $I38))"),6.892787524366471)</f>
        <v>6.892787524</v>
      </c>
      <c r="AJ38" s="10">
        <f>IFERROR(__xludf.DUMMYFUNCTION("ifna(QUERY($A$2:$G$2000, ""select G where D="" &amp; AJ$1 &amp; "" and E="" &amp; $I38), QUERY($A$2:$G$2000, ""select G where E="" &amp; AJ$1 &amp; "" and D="" &amp; $I38))"),6.922932330827067)</f>
        <v>6.922932331</v>
      </c>
      <c r="AK38" s="10">
        <f>IFERROR(__xludf.DUMMYFUNCTION("ifna(QUERY($A$2:$G$2000, ""select G where D="" &amp; AK$1 &amp; "" and E="" &amp; $I38), QUERY($A$2:$G$2000, ""select G where E="" &amp; AK$1 &amp; "" and D="" &amp; $I38))"),6.969147005444646)</f>
        <v>6.969147005</v>
      </c>
      <c r="AL38" s="10">
        <f>IFERROR(__xludf.DUMMYFUNCTION("ifna(QUERY($A$2:$G$2000, ""select G where D="" &amp; AL$1 &amp; "" and E="" &amp; $I38), QUERY($A$2:$G$2000, ""select G where E="" &amp; AL$1 &amp; "" and D="" &amp; $I38))"),7.003508771929825)</f>
        <v>7.003508772</v>
      </c>
      <c r="AM38" s="10">
        <f>IFERROR(__xludf.DUMMYFUNCTION("ifna(QUERY($A$2:$G$2000, ""select G where D="" &amp; AM$1 &amp; "" and E="" &amp; $I38), QUERY($A$2:$G$2000, ""select G where E="" &amp; AM$1 &amp; "" and D="" &amp; $I38))"),7.01018675721562)</f>
        <v>7.010186757</v>
      </c>
      <c r="AN38" s="10">
        <f>IFERROR(__xludf.DUMMYFUNCTION("ifna(QUERY($A$2:$G$2000, ""select G where D="" &amp; AN$1 &amp; "" and E="" &amp; $I38), QUERY($A$2:$G$2000, ""select G where E="" &amp; AN$1 &amp; "" and D="" &amp; $I38))"),7.019736842105263)</f>
        <v>7.019736842</v>
      </c>
      <c r="AO38" s="10">
        <f>IFERROR(__xludf.DUMMYFUNCTION("ifna(QUERY($A$2:$G$2000, ""select G where D="" &amp; AO$1 &amp; "" and E="" &amp; $I38), QUERY($A$2:$G$2000, ""select G where E="" &amp; AO$1 &amp; "" and D="" &amp; $I38))"),7.031897926634769)</f>
        <v>7.031897927</v>
      </c>
      <c r="AP38" s="10">
        <f>IFERROR(__xludf.DUMMYFUNCTION("ifna(QUERY($A$2:$G$2000, ""select G where D="" &amp; AP$1 &amp; "" and E="" &amp; $I38), QUERY($A$2:$G$2000, ""select G where E="" &amp; AP$1 &amp; "" and D="" &amp; $I38))"),7.046439628482972)</f>
        <v>7.046439628</v>
      </c>
      <c r="AQ38" s="10">
        <f>IFERROR(__xludf.DUMMYFUNCTION("ifna(QUERY($A$2:$G$2000, ""select G where D="" &amp; AQ$1 &amp; "" and E="" &amp; $I38), QUERY($A$2:$G$2000, ""select G where E="" &amp; AQ$1 &amp; "" and D="" &amp; $I38))"),7.063157894736842)</f>
        <v>7.063157895</v>
      </c>
      <c r="AR38" s="10">
        <f>IFERROR(__xludf.DUMMYFUNCTION("ifna(QUERY($A$2:$G$2000, ""select G where D="" &amp; AR$1 &amp; "" and E="" &amp; $I38), QUERY($A$2:$G$2000, ""select G where E="" &amp; AR$1 &amp; "" and D="" &amp; $I38))"),7.081871345029239)</f>
        <v>7.081871345</v>
      </c>
      <c r="AS38" s="10">
        <f>IFERROR(__xludf.DUMMYFUNCTION("ifna(QUERY($A$2:$G$2000, ""select G where D="" &amp; AS$1 &amp; "" and E="" &amp; $I38), QUERY($A$2:$G$2000, ""select G where E="" &amp; AS$1 &amp; "" and D="" &amp; $I38))"),7.102418207681366)</f>
        <v>7.102418208</v>
      </c>
      <c r="AT38" s="10">
        <f>IFERROR(__xludf.DUMMYFUNCTION("ifna(QUERY($A$2:$G$2000, ""select G where D="" &amp; AT$1 &amp; "" and E="" &amp; $I38), QUERY($A$2:$G$2000, ""select G where E="" &amp; AT$1 &amp; "" and D="" &amp; $I38))"),7.124653739612189)</f>
        <v>7.12465374</v>
      </c>
      <c r="AU38" s="10">
        <f>IFERROR(__xludf.DUMMYFUNCTION("ifna(QUERY($A$2:$G$2000, ""select G where D="" &amp; AU$1 &amp; "" and E="" &amp; $I38), QUERY($A$2:$G$2000, ""select G where E="" &amp; AU$1 &amp; "" and D="" &amp; $I38))"),7.148448043184885)</f>
        <v>7.148448043</v>
      </c>
      <c r="AV38" s="10">
        <f>IFERROR(__xludf.DUMMYFUNCTION("ifna(QUERY($A$2:$G$2000, ""select G where D="" &amp; AV$1 &amp; "" and E="" &amp; $I38), QUERY($A$2:$G$2000, ""select G where E="" &amp; AV$1 &amp; "" and D="" &amp; $I38))"),7.173684210526316)</f>
        <v>7.173684211</v>
      </c>
      <c r="AW38" s="10">
        <f>IFERROR(__xludf.DUMMYFUNCTION("ifna(QUERY($A$2:$G$2000, ""select G where D="" &amp; AW$1 &amp; "" and E="" &amp; $I38), QUERY($A$2:$G$2000, ""select G where E="" &amp; AW$1 &amp; "" and D="" &amp; $I38))"),7.197689345314505)</f>
        <v>7.197689345</v>
      </c>
      <c r="AX38" s="10">
        <f>IFERROR(__xludf.DUMMYFUNCTION("ifna(QUERY($A$2:$G$2000, ""select G where D="" &amp; AX$1 &amp; "" and E="" &amp; $I38), QUERY($A$2:$G$2000, ""select G where E="" &amp; AX$1 &amp; "" and D="" &amp; $I38))"),7.223057644110276)</f>
        <v>7.223057644</v>
      </c>
      <c r="AY38" s="10">
        <f>IFERROR(__xludf.DUMMYFUNCTION("ifna(QUERY($A$2:$G$2000, ""select G where D="" &amp; AY$1 &amp; "" and E="" &amp; $I38), QUERY($A$2:$G$2000, ""select G where E="" &amp; AY$1 &amp; "" and D="" &amp; $I38))"),7.24969400244798)</f>
        <v>7.249694002</v>
      </c>
      <c r="AZ38" s="10">
        <f>IFERROR(__xludf.DUMMYFUNCTION("ifna(QUERY($A$2:$G$2000, ""select G where D="" &amp; AZ$1 &amp; "" and E="" &amp; $I38), QUERY($A$2:$G$2000, ""select G where E="" &amp; AZ$1 &amp; "" and D="" &amp; $I38))"),7.27511961722488)</f>
        <v>7.275119617</v>
      </c>
      <c r="BA38" s="10">
        <f>IFERROR(__xludf.DUMMYFUNCTION("ifna(QUERY($A$2:$G$2000, ""select G where D="" &amp; BA$1 &amp; "" and E="" &amp; $I38), QUERY($A$2:$G$2000, ""select G where E="" &amp; BA$1 &amp; "" and D="" &amp; $I38))"),7.301754385964912)</f>
        <v>7.301754386</v>
      </c>
      <c r="BB38" s="10">
        <f>IFERROR(__xludf.DUMMYFUNCTION("ifna(QUERY($A$2:$G$2000, ""select G where D="" &amp; BB$1 &amp; "" and E="" &amp; $I38), QUERY($A$2:$G$2000, ""select G where E="" &amp; BB$1 &amp; "" and D="" &amp; $I38))"),7.327231121281464)</f>
        <v>7.327231121</v>
      </c>
      <c r="BC38" s="10">
        <f>IFERROR(__xludf.DUMMYFUNCTION("ifna(QUERY($A$2:$G$2000, ""select G where D="" &amp; BC$1 &amp; "" and E="" &amp; $I38), QUERY($A$2:$G$2000, ""select G where E="" &amp; BC$1 &amp; "" and D="" &amp; $I38))"),7.353863381858902)</f>
        <v>7.353863382</v>
      </c>
      <c r="BD38" s="10">
        <f>IFERROR(__xludf.DUMMYFUNCTION("ifna(QUERY($A$2:$G$2000, ""select G where D="" &amp; BD$1 &amp; "" and E="" &amp; $I38), QUERY($A$2:$G$2000, ""select G where E="" &amp; BD$1 &amp; "" and D="" &amp; $I38))"),7.379385964912281)</f>
        <v>7.379385965</v>
      </c>
      <c r="BE38" s="10">
        <f>IFERROR(__xludf.DUMMYFUNCTION("ifna(QUERY($A$2:$G$2000, ""select G where D="" &amp; BE$1 &amp; "" and E="" &amp; $I38), QUERY($A$2:$G$2000, ""select G where E="" &amp; BE$1 &amp; "" and D="" &amp; $I38))"),7.406015037593985)</f>
        <v>7.406015038</v>
      </c>
      <c r="BF38" s="10">
        <f>IFERROR(__xludf.DUMMYFUNCTION("ifna(QUERY($A$2:$G$2000, ""select G where D="" &amp; BF$1 &amp; "" and E="" &amp; $I38), QUERY($A$2:$G$2000, ""select G where E="" &amp; BF$1 &amp; "" and D="" &amp; $I38))"),7.431578947368421)</f>
        <v>7.431578947</v>
      </c>
      <c r="BG38" s="10">
        <f>IFERROR(__xludf.DUMMYFUNCTION("ifna(QUERY($A$2:$G$2000, ""select G where D="" &amp; BG$1 &amp; "" and E="" &amp; $I38), QUERY($A$2:$G$2000, ""select G where E="" &amp; BG$1 &amp; "" and D="" &amp; $I38))"),7.458204334365325)</f>
        <v>7.458204334</v>
      </c>
      <c r="BH38" s="10">
        <f>IFERROR(__xludf.DUMMYFUNCTION("ifna(QUERY($A$2:$G$2000, ""select G where D="" &amp; BH$1 &amp; "" and E="" &amp; $I38), QUERY($A$2:$G$2000, ""select G where E="" &amp; BH$1 &amp; "" and D="" &amp; $I38))"),7.483805668016195)</f>
        <v>7.483805668</v>
      </c>
      <c r="BI38" s="10">
        <f>IFERROR(__xludf.DUMMYFUNCTION("ifna(QUERY($A$2:$G$2000, ""select G where D="" &amp; BI$1 &amp; "" and E="" &amp; $I38), QUERY($A$2:$G$2000, ""select G where E="" &amp; BI$1 &amp; "" and D="" &amp; $I38))"),7.510427010923535)</f>
        <v>7.510427011</v>
      </c>
      <c r="BJ38" s="10">
        <f>IFERROR(__xludf.DUMMYFUNCTION("ifna(QUERY($A$2:$G$2000, ""select G where D="" &amp; BJ$1 &amp; "" and E="" &amp; $I38), QUERY($A$2:$G$2000, ""select G where E="" &amp; BJ$1 &amp; "" and D="" &amp; $I38))"),7.5360623781676415)</f>
        <v>7.536062378</v>
      </c>
      <c r="BK38" s="10">
        <f>IFERROR(__xludf.DUMMYFUNCTION("ifna(QUERY($A$2:$G$2000, ""select G where D="" &amp; BK$1 &amp; "" and E="" &amp; $I38), QUERY($A$2:$G$2000, ""select G where E="" &amp; BK$1 &amp; "" and D="" &amp; $I38))"),7.56267942583732)</f>
        <v>7.562679426</v>
      </c>
      <c r="BL38" s="10"/>
      <c r="BM38" s="10"/>
      <c r="BN38" s="10"/>
      <c r="BO38" s="10"/>
    </row>
    <row r="39">
      <c r="A39" s="3">
        <v>4.0</v>
      </c>
      <c r="B39" s="3">
        <v>17.0</v>
      </c>
      <c r="C39" s="3">
        <v>33.0</v>
      </c>
      <c r="D39" s="3">
        <v>10.0</v>
      </c>
      <c r="E39" s="3">
        <v>2.0</v>
      </c>
      <c r="F39" s="11">
        <f t="shared" si="1"/>
        <v>0.5151515152</v>
      </c>
      <c r="G39" s="5">
        <f t="shared" si="2"/>
        <v>3.484848485</v>
      </c>
      <c r="H39" s="3">
        <v>39.0</v>
      </c>
      <c r="I39" s="2">
        <v>38.0</v>
      </c>
      <c r="J39" s="10">
        <f>IFERROR(__xludf.DUMMYFUNCTION("ifna(QUERY($A$2:$G$2000, ""select G where D="" &amp; J$1 &amp; "" and E="" &amp; $I39), QUERY($A$2:$G$2000, ""select G where E="" &amp; J$1 &amp; "" and D="" &amp; $I39))"),5.3076923076923075)</f>
        <v>5.307692308</v>
      </c>
      <c r="K39" s="10">
        <f>IFERROR(__xludf.DUMMYFUNCTION("ifna(QUERY($A$2:$G$2000, ""select G where D="" &amp; K$1 &amp; "" and E="" &amp; $I39), QUERY($A$2:$G$2000, ""select G where E="" &amp; K$1 &amp; "" and D="" &amp; $I39))"),5.3418803418803416)</f>
        <v>5.341880342</v>
      </c>
      <c r="L39" s="10">
        <f>IFERROR(__xludf.DUMMYFUNCTION("ifna(QUERY($A$2:$G$2000, ""select G where D="" &amp; L$1 &amp; "" and E="" &amp; $I39), QUERY($A$2:$G$2000, ""select G where E="" &amp; L$1 &amp; "" and D="" &amp; $I39))"),5.461538461538462)</f>
        <v>5.461538462</v>
      </c>
      <c r="M39" s="10">
        <f>IFERROR(__xludf.DUMMYFUNCTION("ifna(QUERY($A$2:$G$2000, ""select G where D="" &amp; M$1 &amp; "" and E="" &amp; $I39), QUERY($A$2:$G$2000, ""select G where E="" &amp; M$1 &amp; "" and D="" &amp; $I39))"),5.584615384615384)</f>
        <v>5.584615385</v>
      </c>
      <c r="N39" s="10">
        <f>IFERROR(__xludf.DUMMYFUNCTION("ifna(QUERY($A$2:$G$2000, ""select G where D="" &amp; N$1 &amp; "" and E="" &amp; $I39), QUERY($A$2:$G$2000, ""select G where E="" &amp; N$1 &amp; "" and D="" &amp; $I39))"),5.700854700854701)</f>
        <v>5.700854701</v>
      </c>
      <c r="O39" s="10">
        <f>IFERROR(__xludf.DUMMYFUNCTION("ifna(QUERY($A$2:$G$2000, ""select G where D="" &amp; O$1 &amp; "" and E="" &amp; $I39), QUERY($A$2:$G$2000, ""select G where E="" &amp; O$1 &amp; "" and D="" &amp; $I39))"),5.798534798534798)</f>
        <v>5.798534799</v>
      </c>
      <c r="P39" s="10">
        <f>IFERROR(__xludf.DUMMYFUNCTION("ifna(QUERY($A$2:$G$2000, ""select G where D="" &amp; P$1 &amp; "" and E="" &amp; $I39), QUERY($A$2:$G$2000, ""select G where E="" &amp; P$1 &amp; "" and D="" &amp; $I39))"),5.878205128205129)</f>
        <v>5.878205128</v>
      </c>
      <c r="Q39" s="10">
        <f>IFERROR(__xludf.DUMMYFUNCTION("ifna(QUERY($A$2:$G$2000, ""select G where D="" &amp; Q$1 &amp; "" and E="" &amp; $I39), QUERY($A$2:$G$2000, ""select G where E="" &amp; Q$1 &amp; "" and D="" &amp; $I39))"),5.945868945868946)</f>
        <v>5.945868946</v>
      </c>
      <c r="R39" s="10">
        <f>IFERROR(__xludf.DUMMYFUNCTION("ifna(QUERY($A$2:$G$2000, ""select G where D="" &amp; R$1 &amp; "" and E="" &amp; $I39), QUERY($A$2:$G$2000, ""select G where E="" &amp; R$1 &amp; "" and D="" &amp; $I39))"),6.02051282051282)</f>
        <v>6.020512821</v>
      </c>
      <c r="S39" s="10">
        <f>IFERROR(__xludf.DUMMYFUNCTION("ifna(QUERY($A$2:$G$2000, ""select G where D="" &amp; S$1 &amp; "" and E="" &amp; $I39), QUERY($A$2:$G$2000, ""select G where E="" &amp; S$1 &amp; "" and D="" &amp; $I39))"),6.065268065268065)</f>
        <v>6.065268065</v>
      </c>
      <c r="T39" s="10">
        <f>IFERROR(__xludf.DUMMYFUNCTION("ifna(QUERY($A$2:$G$2000, ""select G where D="" &amp; T$1 &amp; "" and E="" &amp; $I39), QUERY($A$2:$G$2000, ""select G where E="" &amp; T$1 &amp; "" and D="" &amp; $I39))"),6.119658119658119)</f>
        <v>6.11965812</v>
      </c>
      <c r="U39" s="10">
        <f>IFERROR(__xludf.DUMMYFUNCTION("ifna(QUERY($A$2:$G$2000, ""select G where D="" &amp; U$1 &amp; "" and E="" &amp; $I39), QUERY($A$2:$G$2000, ""select G where E="" &amp; U$1 &amp; "" and D="" &amp; $I39))"),6.181459566074951)</f>
        <v>6.181459566</v>
      </c>
      <c r="V39" s="10">
        <f>IFERROR(__xludf.DUMMYFUNCTION("ifna(QUERY($A$2:$G$2000, ""select G where D="" &amp; V$1 &amp; "" and E="" &amp; $I39), QUERY($A$2:$G$2000, ""select G where E="" &amp; V$1 &amp; "" and D="" &amp; $I39))"),6.249084249084249)</f>
        <v>6.249084249</v>
      </c>
      <c r="W39" s="10">
        <f>IFERROR(__xludf.DUMMYFUNCTION("ifna(QUERY($A$2:$G$2000, ""select G where D="" &amp; W$1 &amp; "" and E="" &amp; $I39), QUERY($A$2:$G$2000, ""select G where E="" &amp; W$1 &amp; "" and D="" &amp; $I39))"),6.321367521367521)</f>
        <v>6.321367521</v>
      </c>
      <c r="X39" s="10">
        <f>IFERROR(__xludf.DUMMYFUNCTION("ifna(QUERY($A$2:$G$2000, ""select G where D="" &amp; X$1 &amp; "" and E="" &amp; $I39), QUERY($A$2:$G$2000, ""select G where E="" &amp; X$1 &amp; "" and D="" &amp; $I39))"),6.391025641025641)</f>
        <v>6.391025641</v>
      </c>
      <c r="Y39" s="10">
        <f>IFERROR(__xludf.DUMMYFUNCTION("ifna(QUERY($A$2:$G$2000, ""select G where D="" &amp; Y$1 &amp; "" and E="" &amp; $I39), QUERY($A$2:$G$2000, ""select G where E="" &amp; Y$1 &amp; "" and D="" &amp; $I39))"),6.464555052790347)</f>
        <v>6.464555053</v>
      </c>
      <c r="Z39" s="10">
        <f>IFERROR(__xludf.DUMMYFUNCTION("ifna(QUERY($A$2:$G$2000, ""select G where D="" &amp; Z$1 &amp; "" and E="" &amp; $I39), QUERY($A$2:$G$2000, ""select G where E="" &amp; Z$1 &amp; "" and D="" &amp; $I39))"),6.535612535612536)</f>
        <v>6.535612536</v>
      </c>
      <c r="AA39" s="10">
        <f>IFERROR(__xludf.DUMMYFUNCTION("ifna(QUERY($A$2:$G$2000, ""select G where D="" &amp; AA$1 &amp; "" and E="" &amp; $I39), QUERY($A$2:$G$2000, ""select G where E="" &amp; AA$1 &amp; "" and D="" &amp; $I39))"),6.59919028340081)</f>
        <v>6.599190283</v>
      </c>
      <c r="AB39" s="10">
        <f>IFERROR(__xludf.DUMMYFUNCTION("ifna(QUERY($A$2:$G$2000, ""select G where D="" &amp; AB$1 &amp; "" and E="" &amp; $I39), QUERY($A$2:$G$2000, ""select G where E="" &amp; AB$1 &amp; "" and D="" &amp; $I39))"),6.661538461538462)</f>
        <v>6.661538462</v>
      </c>
      <c r="AC39" s="10">
        <f>IFERROR(__xludf.DUMMYFUNCTION("ifna(QUERY($A$2:$G$2000, ""select G where D="" &amp; AC$1 &amp; "" and E="" &amp; $I39), QUERY($A$2:$G$2000, ""select G where E="" &amp; AC$1 &amp; "" and D="" &amp; $I39))"),6.713064713064713)</f>
        <v>6.713064713</v>
      </c>
      <c r="AD39" s="10">
        <f>IFERROR(__xludf.DUMMYFUNCTION("ifna(QUERY($A$2:$G$2000, ""select G where D="" &amp; AD$1 &amp; "" and E="" &amp; $I39), QUERY($A$2:$G$2000, ""select G where E="" &amp; AD$1 &amp; "" and D="" &amp; $I39))"),6.75990675990676)</f>
        <v>6.75990676</v>
      </c>
      <c r="AE39" s="10">
        <f>IFERROR(__xludf.DUMMYFUNCTION("ifna(QUERY($A$2:$G$2000, ""select G where D="" &amp; AE$1 &amp; "" and E="" &amp; $I39), QUERY($A$2:$G$2000, ""select G where E="" &amp; AE$1 &amp; "" and D="" &amp; $I39))"),6.798216276477146)</f>
        <v>6.798216276</v>
      </c>
      <c r="AF39" s="10">
        <f>IFERROR(__xludf.DUMMYFUNCTION("ifna(QUERY($A$2:$G$2000, ""select G where D="" &amp; AF$1 &amp; "" and E="" &amp; $I39), QUERY($A$2:$G$2000, ""select G where E="" &amp; AF$1 &amp; "" and D="" &amp; $I39))"),6.833333333333333)</f>
        <v>6.833333333</v>
      </c>
      <c r="AG39" s="10">
        <f>IFERROR(__xludf.DUMMYFUNCTION("ifna(QUERY($A$2:$G$2000, ""select G where D="" &amp; AG$1 &amp; "" and E="" &amp; $I39), QUERY($A$2:$G$2000, ""select G where E="" &amp; AG$1 &amp; "" and D="" &amp; $I39))"),6.861538461538461)</f>
        <v>6.861538462</v>
      </c>
      <c r="AH39" s="10">
        <f>IFERROR(__xludf.DUMMYFUNCTION("ifna(QUERY($A$2:$G$2000, ""select G where D="" &amp; AH$1 &amp; "" and E="" &amp; $I39), QUERY($A$2:$G$2000, ""select G where E="" &amp; AH$1 &amp; "" and D="" &amp; $I39))"),6.887573964497041)</f>
        <v>6.887573964</v>
      </c>
      <c r="AI39" s="10">
        <f>IFERROR(__xludf.DUMMYFUNCTION("ifna(QUERY($A$2:$G$2000, ""select G where D="" &amp; AI$1 &amp; "" and E="" &amp; $I39), QUERY($A$2:$G$2000, ""select G where E="" &amp; AI$1 &amp; "" and D="" &amp; $I39))"),6.91358024691358)</f>
        <v>6.913580247</v>
      </c>
      <c r="AJ39" s="10">
        <f>IFERROR(__xludf.DUMMYFUNCTION("ifna(QUERY($A$2:$G$2000, ""select G where D="" &amp; AJ$1 &amp; "" and E="" &amp; $I39), QUERY($A$2:$G$2000, ""select G where E="" &amp; AJ$1 &amp; "" and D="" &amp; $I39))"),6.950549450549451)</f>
        <v>6.950549451</v>
      </c>
      <c r="AK39" s="10">
        <f>IFERROR(__xludf.DUMMYFUNCTION("ifna(QUERY($A$2:$G$2000, ""select G where D="" &amp; AK$1 &amp; "" and E="" &amp; $I39), QUERY($A$2:$G$2000, ""select G where E="" &amp; AK$1 &amp; "" and D="" &amp; $I39))"),7.003536693191865)</f>
        <v>7.003536693</v>
      </c>
      <c r="AL39" s="10">
        <f>IFERROR(__xludf.DUMMYFUNCTION("ifna(QUERY($A$2:$G$2000, ""select G where D="" &amp; AL$1 &amp; "" and E="" &amp; $I39), QUERY($A$2:$G$2000, ""select G where E="" &amp; AL$1 &amp; "" and D="" &amp; $I39))"),7.01025641025641)</f>
        <v>7.01025641</v>
      </c>
      <c r="AM39" s="10">
        <f>IFERROR(__xludf.DUMMYFUNCTION("ifna(QUERY($A$2:$G$2000, ""select G where D="" &amp; AM$1 &amp; "" and E="" &amp; $I39), QUERY($A$2:$G$2000, ""select G where E="" &amp; AM$1 &amp; "" and D="" &amp; $I39))"),7.01985111662531)</f>
        <v>7.019851117</v>
      </c>
      <c r="AN39" s="10">
        <f>IFERROR(__xludf.DUMMYFUNCTION("ifna(QUERY($A$2:$G$2000, ""select G where D="" &amp; AN$1 &amp; "" and E="" &amp; $I39), QUERY($A$2:$G$2000, ""select G where E="" &amp; AN$1 &amp; "" and D="" &amp; $I39))"),7.032051282051282)</f>
        <v>7.032051282</v>
      </c>
      <c r="AO39" s="10">
        <f>IFERROR(__xludf.DUMMYFUNCTION("ifna(QUERY($A$2:$G$2000, ""select G where D="" &amp; AO$1 &amp; "" and E="" &amp; $I39), QUERY($A$2:$G$2000, ""select G where E="" &amp; AO$1 &amp; "" and D="" &amp; $I39))"),7.046620046620046)</f>
        <v>7.046620047</v>
      </c>
      <c r="AP39" s="10">
        <f>IFERROR(__xludf.DUMMYFUNCTION("ifna(QUERY($A$2:$G$2000, ""select G where D="" &amp; AP$1 &amp; "" and E="" &amp; $I39), QUERY($A$2:$G$2000, ""select G where E="" &amp; AP$1 &amp; "" and D="" &amp; $I39))"),7.0633484162895925)</f>
        <v>7.063348416</v>
      </c>
      <c r="AQ39" s="10">
        <f>IFERROR(__xludf.DUMMYFUNCTION("ifna(QUERY($A$2:$G$2000, ""select G where D="" &amp; AQ$1 &amp; "" and E="" &amp; $I39), QUERY($A$2:$G$2000, ""select G where E="" &amp; AQ$1 &amp; "" and D="" &amp; $I39))"),7.082051282051282)</f>
        <v>7.082051282</v>
      </c>
      <c r="AR39" s="10">
        <f>IFERROR(__xludf.DUMMYFUNCTION("ifna(QUERY($A$2:$G$2000, ""select G where D="" &amp; AR$1 &amp; "" and E="" &amp; $I39), QUERY($A$2:$G$2000, ""select G where E="" &amp; AR$1 &amp; "" and D="" &amp; $I39))"),7.102564102564102)</f>
        <v>7.102564103</v>
      </c>
      <c r="AS39" s="10">
        <f>IFERROR(__xludf.DUMMYFUNCTION("ifna(QUERY($A$2:$G$2000, ""select G where D="" &amp; AS$1 &amp; "" and E="" &amp; $I39), QUERY($A$2:$G$2000, ""select G where E="" &amp; AS$1 &amp; "" and D="" &amp; $I39))"),7.124740124740125)</f>
        <v>7.124740125</v>
      </c>
      <c r="AT39" s="10">
        <f>IFERROR(__xludf.DUMMYFUNCTION("ifna(QUERY($A$2:$G$2000, ""select G where D="" &amp; AT$1 &amp; "" and E="" &amp; $I39), QUERY($A$2:$G$2000, ""select G where E="" &amp; AT$1 &amp; "" and D="" &amp; $I39))"),7.148448043184885)</f>
        <v>7.148448043</v>
      </c>
      <c r="AU39" s="10">
        <f>IFERROR(__xludf.DUMMYFUNCTION("ifna(QUERY($A$2:$G$2000, ""select G where D="" &amp; AU$1 &amp; "" and E="" &amp; $I39), QUERY($A$2:$G$2000, ""select G where E="" &amp; AU$1 &amp; "" and D="" &amp; $I39))"),7.173570019723866)</f>
        <v>7.17357002</v>
      </c>
      <c r="AV39" s="10">
        <f>IFERROR(__xludf.DUMMYFUNCTION("ifna(QUERY($A$2:$G$2000, ""select G where D="" &amp; AV$1 &amp; "" and E="" &amp; $I39), QUERY($A$2:$G$2000, ""select G where E="" &amp; AV$1 &amp; "" and D="" &amp; $I39))"),7.2)</f>
        <v>7.2</v>
      </c>
      <c r="AW39" s="10">
        <f>IFERROR(__xludf.DUMMYFUNCTION("ifna(QUERY($A$2:$G$2000, ""select G where D="" &amp; AW$1 &amp; "" and E="" &amp; $I39), QUERY($A$2:$G$2000, ""select G where E="" &amp; AW$1 &amp; "" and D="" &amp; $I39))"),7.225140712945591)</f>
        <v>7.225140713</v>
      </c>
      <c r="AX39" s="10">
        <f>IFERROR(__xludf.DUMMYFUNCTION("ifna(QUERY($A$2:$G$2000, ""select G where D="" &amp; AX$1 &amp; "" and E="" &amp; $I39), QUERY($A$2:$G$2000, ""select G where E="" &amp; AX$1 &amp; "" and D="" &amp; $I39))"),7.2515262515262515)</f>
        <v>7.251526252</v>
      </c>
      <c r="AY39" s="10">
        <f>IFERROR(__xludf.DUMMYFUNCTION("ifna(QUERY($A$2:$G$2000, ""select G where D="" &amp; AY$1 &amp; "" and E="" &amp; $I39), QUERY($A$2:$G$2000, ""select G where E="" &amp; AY$1 &amp; "" and D="" &amp; $I39))"),7.279069767441861)</f>
        <v>7.279069767</v>
      </c>
      <c r="AZ39" s="10">
        <f>IFERROR(__xludf.DUMMYFUNCTION("ifna(QUERY($A$2:$G$2000, ""select G where D="" &amp; AZ$1 &amp; "" and E="" &amp; $I39), QUERY($A$2:$G$2000, ""select G where E="" &amp; AZ$1 &amp; "" and D="" &amp; $I39))"),7.305361305361306)</f>
        <v>7.305361305</v>
      </c>
      <c r="BA39" s="10">
        <f>IFERROR(__xludf.DUMMYFUNCTION("ifna(QUERY($A$2:$G$2000, ""select G where D="" &amp; BA$1 &amp; "" and E="" &amp; $I39), QUERY($A$2:$G$2000, ""select G where E="" &amp; BA$1 &amp; "" and D="" &amp; $I39))"),7.332763532763533)</f>
        <v>7.332763533</v>
      </c>
      <c r="BB39" s="10">
        <f>IFERROR(__xludf.DUMMYFUNCTION("ifna(QUERY($A$2:$G$2000, ""select G where D="" &amp; BB$1 &amp; "" and E="" &amp; $I39), QUERY($A$2:$G$2000, ""select G where E="" &amp; BB$1 &amp; "" and D="" &amp; $I39))"),7.358974358974359)</f>
        <v>7.358974359</v>
      </c>
      <c r="BC39" s="10">
        <f>IFERROR(__xludf.DUMMYFUNCTION("ifna(QUERY($A$2:$G$2000, ""select G where D="" &amp; BC$1 &amp; "" and E="" &amp; $I39), QUERY($A$2:$G$2000, ""select G where E="" &amp; BC$1 &amp; "" and D="" &amp; $I39))"),7.386252045826514)</f>
        <v>7.386252046</v>
      </c>
      <c r="BD39" s="10">
        <f>IFERROR(__xludf.DUMMYFUNCTION("ifna(QUERY($A$2:$G$2000, ""select G where D="" &amp; BD$1 &amp; "" and E="" &amp; $I39), QUERY($A$2:$G$2000, ""select G where E="" &amp; BD$1 &amp; "" and D="" &amp; $I39))"),7.412393162393163)</f>
        <v>7.412393162</v>
      </c>
      <c r="BE39" s="10">
        <f>IFERROR(__xludf.DUMMYFUNCTION("ifna(QUERY($A$2:$G$2000, ""select G where D="" &amp; BE$1 &amp; "" and E="" &amp; $I39), QUERY($A$2:$G$2000, ""select G where E="" &amp; BE$1 &amp; "" and D="" &amp; $I39))"),7.43956043956044)</f>
        <v>7.43956044</v>
      </c>
      <c r="BF39" s="10">
        <f>IFERROR(__xludf.DUMMYFUNCTION("ifna(QUERY($A$2:$G$2000, ""select G where D="" &amp; BF$1 &amp; "" and E="" &amp; $I39), QUERY($A$2:$G$2000, ""select G where E="" &amp; BF$1 &amp; "" and D="" &amp; $I39))"),7.465641025641026)</f>
        <v>7.465641026</v>
      </c>
      <c r="BG39" s="10">
        <f>IFERROR(__xludf.DUMMYFUNCTION("ifna(QUERY($A$2:$G$2000, ""select G where D="" &amp; BG$1 &amp; "" and E="" &amp; $I39), QUERY($A$2:$G$2000, ""select G where E="" &amp; BG$1 &amp; "" and D="" &amp; $I39))"),7.49270990447461)</f>
        <v>7.492709904</v>
      </c>
      <c r="BH39" s="10">
        <f>IFERROR(__xludf.DUMMYFUNCTION("ifna(QUERY($A$2:$G$2000, ""select G where D="" &amp; BH$1 &amp; "" and E="" &amp; $I39), QUERY($A$2:$G$2000, ""select G where E="" &amp; BH$1 &amp; "" and D="" &amp; $I39))"),7.518737672583827)</f>
        <v>7.518737673</v>
      </c>
      <c r="BI39" s="10">
        <f>IFERROR(__xludf.DUMMYFUNCTION("ifna(QUERY($A$2:$G$2000, ""select G where D="" &amp; BI$1 &amp; "" and E="" &amp; $I39), QUERY($A$2:$G$2000, ""select G where E="" &amp; BI$1 &amp; "" and D="" &amp; $I39))"),7.545718432510886)</f>
        <v>7.545718433</v>
      </c>
      <c r="BJ39" s="10">
        <f>IFERROR(__xludf.DUMMYFUNCTION("ifna(QUERY($A$2:$G$2000, ""select G where D="" &amp; BJ$1 &amp; "" and E="" &amp; $I39), QUERY($A$2:$G$2000, ""select G where E="" &amp; BJ$1 &amp; "" and D="" &amp; $I39))"),7.571699905033238)</f>
        <v>7.571699905</v>
      </c>
      <c r="BK39" s="10">
        <f>IFERROR(__xludf.DUMMYFUNCTION("ifna(QUERY($A$2:$G$2000, ""select G where D="" &amp; BK$1 &amp; "" and E="" &amp; $I39), QUERY($A$2:$G$2000, ""select G where E="" &amp; BK$1 &amp; "" and D="" &amp; $I39))"),7.597668997668998)</f>
        <v>7.597668998</v>
      </c>
      <c r="BL39" s="10"/>
      <c r="BM39" s="10"/>
      <c r="BN39" s="10"/>
      <c r="BO39" s="10"/>
    </row>
    <row r="40">
      <c r="A40" s="3">
        <v>4.0</v>
      </c>
      <c r="B40" s="3">
        <v>12.0</v>
      </c>
      <c r="C40" s="3">
        <v>44.0</v>
      </c>
      <c r="D40" s="3">
        <v>10.0</v>
      </c>
      <c r="E40" s="3">
        <v>3.0</v>
      </c>
      <c r="F40" s="11">
        <f t="shared" si="1"/>
        <v>0.2727272727</v>
      </c>
      <c r="G40" s="5">
        <f t="shared" si="2"/>
        <v>3.727272727</v>
      </c>
      <c r="H40" s="3">
        <v>40.0</v>
      </c>
      <c r="I40" s="2">
        <v>39.0</v>
      </c>
      <c r="J40" s="10">
        <f>IFERROR(__xludf.DUMMYFUNCTION("ifna(QUERY($A$2:$G$2000, ""select G where D="" &amp; J$1 &amp; "" and E="" &amp; $I40), QUERY($A$2:$G$2000, ""select G where E="" &amp; J$1 &amp; "" and D="" &amp; $I40))"),5.35)</f>
        <v>5.35</v>
      </c>
      <c r="K40" s="10">
        <f>IFERROR(__xludf.DUMMYFUNCTION("ifna(QUERY($A$2:$G$2000, ""select G where D="" &amp; K$1 &amp; "" and E="" &amp; $I40), QUERY($A$2:$G$2000, ""select G where E="" &amp; K$1 &amp; "" and D="" &amp; $I40))"),5.383333333333333)</f>
        <v>5.383333333</v>
      </c>
      <c r="L40" s="10">
        <f>IFERROR(__xludf.DUMMYFUNCTION("ifna(QUERY($A$2:$G$2000, ""select G where D="" &amp; L$1 &amp; "" and E="" &amp; $I40), QUERY($A$2:$G$2000, ""select G where E="" &amp; L$1 &amp; "" and D="" &amp; $I40))"),5.5)</f>
        <v>5.5</v>
      </c>
      <c r="M40" s="10">
        <f>IFERROR(__xludf.DUMMYFUNCTION("ifna(QUERY($A$2:$G$2000, ""select G where D="" &amp; M$1 &amp; "" and E="" &amp; $I40), QUERY($A$2:$G$2000, ""select G where E="" &amp; M$1 &amp; "" and D="" &amp; $I40))"),5.62)</f>
        <v>5.62</v>
      </c>
      <c r="N40" s="10">
        <f>IFERROR(__xludf.DUMMYFUNCTION("ifna(QUERY($A$2:$G$2000, ""select G where D="" &amp; N$1 &amp; "" and E="" &amp; $I40), QUERY($A$2:$G$2000, ""select G where E="" &amp; N$1 &amp; "" and D="" &amp; $I40))"),5.733333333333333)</f>
        <v>5.733333333</v>
      </c>
      <c r="O40" s="10">
        <f>IFERROR(__xludf.DUMMYFUNCTION("ifna(QUERY($A$2:$G$2000, ""select G where D="" &amp; O$1 &amp; "" and E="" &amp; $I40), QUERY($A$2:$G$2000, ""select G where E="" &amp; O$1 &amp; "" and D="" &amp; $I40))"),5.828571428571428)</f>
        <v>5.828571429</v>
      </c>
      <c r="P40" s="10">
        <f>IFERROR(__xludf.DUMMYFUNCTION("ifna(QUERY($A$2:$G$2000, ""select G where D="" &amp; P$1 &amp; "" and E="" &amp; $I40), QUERY($A$2:$G$2000, ""select G where E="" &amp; P$1 &amp; "" and D="" &amp; $I40))"),5.9)</f>
        <v>5.9</v>
      </c>
      <c r="Q40" s="10">
        <f>IFERROR(__xludf.DUMMYFUNCTION("ifna(QUERY($A$2:$G$2000, ""select G where D="" &amp; Q$1 &amp; "" and E="" &amp; $I40), QUERY($A$2:$G$2000, ""select G where E="" &amp; Q$1 &amp; "" and D="" &amp; $I40))"),6.011111111111111)</f>
        <v>6.011111111</v>
      </c>
      <c r="R40" s="10">
        <f>IFERROR(__xludf.DUMMYFUNCTION("ifna(QUERY($A$2:$G$2000, ""select G where D="" &amp; R$1 &amp; "" and E="" &amp; $I40), QUERY($A$2:$G$2000, ""select G where E="" &amp; R$1 &amp; "" and D="" &amp; $I40))"),6.04)</f>
        <v>6.04</v>
      </c>
      <c r="S40" s="10">
        <f>IFERROR(__xludf.DUMMYFUNCTION("ifna(QUERY($A$2:$G$2000, ""select G where D="" &amp; S$1 &amp; "" and E="" &amp; $I40), QUERY($A$2:$G$2000, ""select G where E="" &amp; S$1 &amp; "" and D="" &amp; $I40))"),6.090909090909091)</f>
        <v>6.090909091</v>
      </c>
      <c r="T40" s="10">
        <f>IFERROR(__xludf.DUMMYFUNCTION("ifna(QUERY($A$2:$G$2000, ""select G where D="" &amp; T$1 &amp; "" and E="" &amp; $I40), QUERY($A$2:$G$2000, ""select G where E="" &amp; T$1 &amp; "" and D="" &amp; $I40))"),6.15)</f>
        <v>6.15</v>
      </c>
      <c r="U40" s="10">
        <f>IFERROR(__xludf.DUMMYFUNCTION("ifna(QUERY($A$2:$G$2000, ""select G where D="" &amp; U$1 &amp; "" and E="" &amp; $I40), QUERY($A$2:$G$2000, ""select G where E="" &amp; U$1 &amp; "" and D="" &amp; $I40))"),6.2153846153846155)</f>
        <v>6.215384615</v>
      </c>
      <c r="V40" s="10">
        <f>IFERROR(__xludf.DUMMYFUNCTION("ifna(QUERY($A$2:$G$2000, ""select G where D="" &amp; V$1 &amp; "" and E="" &amp; $I40), QUERY($A$2:$G$2000, ""select G where E="" &amp; V$1 &amp; "" and D="" &amp; $I40))"),6.285714285714286)</f>
        <v>6.285714286</v>
      </c>
      <c r="W40" s="10">
        <f>IFERROR(__xludf.DUMMYFUNCTION("ifna(QUERY($A$2:$G$2000, ""select G where D="" &amp; W$1 &amp; "" and E="" &amp; $I40), QUERY($A$2:$G$2000, ""select G where E="" &amp; W$1 &amp; "" and D="" &amp; $I40))"),6.36)</f>
        <v>6.36</v>
      </c>
      <c r="X40" s="10">
        <f>IFERROR(__xludf.DUMMYFUNCTION("ifna(QUERY($A$2:$G$2000, ""select G where D="" &amp; X$1 &amp; "" and E="" &amp; $I40), QUERY($A$2:$G$2000, ""select G where E="" &amp; X$1 &amp; "" and D="" &amp; $I40))"),6.43125)</f>
        <v>6.43125</v>
      </c>
      <c r="Y40" s="10">
        <f>IFERROR(__xludf.DUMMYFUNCTION("ifna(QUERY($A$2:$G$2000, ""select G where D="" &amp; Y$1 &amp; "" and E="" &amp; $I40), QUERY($A$2:$G$2000, ""select G where E="" &amp; Y$1 &amp; "" and D="" &amp; $I40))"),6.502941176470588)</f>
        <v>6.502941176</v>
      </c>
      <c r="Z40" s="10">
        <f>IFERROR(__xludf.DUMMYFUNCTION("ifna(QUERY($A$2:$G$2000, ""select G where D="" &amp; Z$1 &amp; "" and E="" &amp; $I40), QUERY($A$2:$G$2000, ""select G where E="" &amp; Z$1 &amp; "" and D="" &amp; $I40))"),6.572222222222222)</f>
        <v>6.572222222</v>
      </c>
      <c r="AA40" s="10">
        <f>IFERROR(__xludf.DUMMYFUNCTION("ifna(QUERY($A$2:$G$2000, ""select G where D="" &amp; AA$1 &amp; "" and E="" &amp; $I40), QUERY($A$2:$G$2000, ""select G where E="" &amp; AA$1 &amp; "" and D="" &amp; $I40))"),6.63421052631579)</f>
        <v>6.634210526</v>
      </c>
      <c r="AB40" s="10">
        <f>IFERROR(__xludf.DUMMYFUNCTION("ifna(QUERY($A$2:$G$2000, ""select G where D="" &amp; AB$1 &amp; "" and E="" &amp; $I40), QUERY($A$2:$G$2000, ""select G where E="" &amp; AB$1 &amp; "" and D="" &amp; $I40))"),6.695)</f>
        <v>6.695</v>
      </c>
      <c r="AC40" s="10">
        <f>IFERROR(__xludf.DUMMYFUNCTION("ifna(QUERY($A$2:$G$2000, ""select G where D="" &amp; AC$1 &amp; "" and E="" &amp; $I40), QUERY($A$2:$G$2000, ""select G where E="" &amp; AC$1 &amp; "" and D="" &amp; $I40))"),6.742857142857143)</f>
        <v>6.742857143</v>
      </c>
      <c r="AD40" s="10">
        <f>IFERROR(__xludf.DUMMYFUNCTION("ifna(QUERY($A$2:$G$2000, ""select G where D="" &amp; AD$1 &amp; "" and E="" &amp; $I40), QUERY($A$2:$G$2000, ""select G where E="" &amp; AD$1 &amp; "" and D="" &amp; $I40))"),6.786363636363636)</f>
        <v>6.786363636</v>
      </c>
      <c r="AE40" s="10">
        <f>IFERROR(__xludf.DUMMYFUNCTION("ifna(QUERY($A$2:$G$2000, ""select G where D="" &amp; AE$1 &amp; "" and E="" &amp; $I40), QUERY($A$2:$G$2000, ""select G where E="" &amp; AE$1 &amp; "" and D="" &amp; $I40))"),6.821739130434783)</f>
        <v>6.82173913</v>
      </c>
      <c r="AF40" s="10">
        <f>IFERROR(__xludf.DUMMYFUNCTION("ifna(QUERY($A$2:$G$2000, ""select G where D="" &amp; AF$1 &amp; "" and E="" &amp; $I40), QUERY($A$2:$G$2000, ""select G where E="" &amp; AF$1 &amp; "" and D="" &amp; $I40))"),6.854166666666667)</f>
        <v>6.854166667</v>
      </c>
      <c r="AG40" s="10">
        <f>IFERROR(__xludf.DUMMYFUNCTION("ifna(QUERY($A$2:$G$2000, ""select G where D="" &amp; AG$1 &amp; "" and E="" &amp; $I40), QUERY($A$2:$G$2000, ""select G where E="" &amp; AG$1 &amp; "" and D="" &amp; $I40))"),6.88)</f>
        <v>6.88</v>
      </c>
      <c r="AH40" s="10">
        <f>IFERROR(__xludf.DUMMYFUNCTION("ifna(QUERY($A$2:$G$2000, ""select G where D="" &amp; AH$1 &amp; "" and E="" &amp; $I40), QUERY($A$2:$G$2000, ""select G where E="" &amp; AH$1 &amp; "" and D="" &amp; $I40))"),6.903846153846154)</f>
        <v>6.903846154</v>
      </c>
      <c r="AI40" s="10">
        <f>IFERROR(__xludf.DUMMYFUNCTION("ifna(QUERY($A$2:$G$2000, ""select G where D="" &amp; AI$1 &amp; "" and E="" &amp; $I40), QUERY($A$2:$G$2000, ""select G where E="" &amp; AI$1 &amp; "" and D="" &amp; $I40))"),6.938888888888889)</f>
        <v>6.938888889</v>
      </c>
      <c r="AJ40" s="10">
        <f>IFERROR(__xludf.DUMMYFUNCTION("ifna(QUERY($A$2:$G$2000, ""select G where D="" &amp; AJ$1 &amp; "" and E="" &amp; $I40), QUERY($A$2:$G$2000, ""select G where E="" &amp; AJ$1 &amp; "" and D="" &amp; $I40))"),7.003571428571428)</f>
        <v>7.003571429</v>
      </c>
      <c r="AK40" s="10">
        <f>IFERROR(__xludf.DUMMYFUNCTION("ifna(QUERY($A$2:$G$2000, ""select G where D="" &amp; AK$1 &amp; "" and E="" &amp; $I40), QUERY($A$2:$G$2000, ""select G where E="" &amp; AK$1 &amp; "" and D="" &amp; $I40))"),7.010344827586207)</f>
        <v>7.010344828</v>
      </c>
      <c r="AL40" s="10">
        <f>IFERROR(__xludf.DUMMYFUNCTION("ifna(QUERY($A$2:$G$2000, ""select G where D="" &amp; AL$1 &amp; "" and E="" &amp; $I40), QUERY($A$2:$G$2000, ""select G where E="" &amp; AL$1 &amp; "" and D="" &amp; $I40))"),7.02)</f>
        <v>7.02</v>
      </c>
      <c r="AM40" s="10">
        <f>IFERROR(__xludf.DUMMYFUNCTION("ifna(QUERY($A$2:$G$2000, ""select G where D="" &amp; AM$1 &amp; "" and E="" &amp; $I40), QUERY($A$2:$G$2000, ""select G where E="" &amp; AM$1 &amp; "" and D="" &amp; $I40))"),7.032258064516129)</f>
        <v>7.032258065</v>
      </c>
      <c r="AN40" s="10">
        <f>IFERROR(__xludf.DUMMYFUNCTION("ifna(QUERY($A$2:$G$2000, ""select G where D="" &amp; AN$1 &amp; "" and E="" &amp; $I40), QUERY($A$2:$G$2000, ""select G where E="" &amp; AN$1 &amp; "" and D="" &amp; $I40))"),7.046875)</f>
        <v>7.046875</v>
      </c>
      <c r="AO40" s="10">
        <f>IFERROR(__xludf.DUMMYFUNCTION("ifna(QUERY($A$2:$G$2000, ""select G where D="" &amp; AO$1 &amp; "" and E="" &amp; $I40), QUERY($A$2:$G$2000, ""select G where E="" &amp; AO$1 &amp; "" and D="" &amp; $I40))"),7.0636363636363635)</f>
        <v>7.063636364</v>
      </c>
      <c r="AP40" s="10">
        <f>IFERROR(__xludf.DUMMYFUNCTION("ifna(QUERY($A$2:$G$2000, ""select G where D="" &amp; AP$1 &amp; "" and E="" &amp; $I40), QUERY($A$2:$G$2000, ""select G where E="" &amp; AP$1 &amp; "" and D="" &amp; $I40))"),7.08235294117647)</f>
        <v>7.082352941</v>
      </c>
      <c r="AQ40" s="10">
        <f>IFERROR(__xludf.DUMMYFUNCTION("ifna(QUERY($A$2:$G$2000, ""select G where D="" &amp; AQ$1 &amp; "" and E="" &amp; $I40), QUERY($A$2:$G$2000, ""select G where E="" &amp; AQ$1 &amp; "" and D="" &amp; $I40))"),7.102857142857143)</f>
        <v>7.102857143</v>
      </c>
      <c r="AR40" s="10">
        <f>IFERROR(__xludf.DUMMYFUNCTION("ifna(QUERY($A$2:$G$2000, ""select G where D="" &amp; AR$1 &amp; "" and E="" &amp; $I40), QUERY($A$2:$G$2000, ""select G where E="" &amp; AR$1 &amp; "" and D="" &amp; $I40))"),7.125)</f>
        <v>7.125</v>
      </c>
      <c r="AS40" s="10">
        <f>IFERROR(__xludf.DUMMYFUNCTION("ifna(QUERY($A$2:$G$2000, ""select G where D="" &amp; AS$1 &amp; "" and E="" &amp; $I40), QUERY($A$2:$G$2000, ""select G where E="" &amp; AS$1 &amp; "" and D="" &amp; $I40))"),7.148648648648649)</f>
        <v>7.148648649</v>
      </c>
      <c r="AT40" s="10">
        <f>IFERROR(__xludf.DUMMYFUNCTION("ifna(QUERY($A$2:$G$2000, ""select G where D="" &amp; AT$1 &amp; "" and E="" &amp; $I40), QUERY($A$2:$G$2000, ""select G where E="" &amp; AT$1 &amp; "" and D="" &amp; $I40))"),7.173684210526316)</f>
        <v>7.173684211</v>
      </c>
      <c r="AU40" s="10">
        <f>IFERROR(__xludf.DUMMYFUNCTION("ifna(QUERY($A$2:$G$2000, ""select G where D="" &amp; AU$1 &amp; "" and E="" &amp; $I40), QUERY($A$2:$G$2000, ""select G where E="" &amp; AU$1 &amp; "" and D="" &amp; $I40))"),7.2)</f>
        <v>7.2</v>
      </c>
      <c r="AV40" s="10">
        <f>IFERROR(__xludf.DUMMYFUNCTION("ifna(QUERY($A$2:$G$2000, ""select G where D="" &amp; AV$1 &amp; "" and E="" &amp; $I40), QUERY($A$2:$G$2000, ""select G where E="" &amp; AV$1 &amp; "" and D="" &amp; $I40))"),7.2275)</f>
        <v>7.2275</v>
      </c>
      <c r="AW40" s="10">
        <f>IFERROR(__xludf.DUMMYFUNCTION("ifna(QUERY($A$2:$G$2000, ""select G where D="" &amp; AW$1 &amp; "" and E="" &amp; $I40), QUERY($A$2:$G$2000, ""select G where E="" &amp; AW$1 &amp; "" and D="" &amp; $I40))"),7.253658536585366)</f>
        <v>7.253658537</v>
      </c>
      <c r="AX40" s="10">
        <f>IFERROR(__xludf.DUMMYFUNCTION("ifna(QUERY($A$2:$G$2000, ""select G where D="" &amp; AX$1 &amp; "" and E="" &amp; $I40), QUERY($A$2:$G$2000, ""select G where E="" &amp; AX$1 &amp; "" and D="" &amp; $I40))"),7.280952380952381)</f>
        <v>7.280952381</v>
      </c>
      <c r="AY40" s="10">
        <f>IFERROR(__xludf.DUMMYFUNCTION("ifna(QUERY($A$2:$G$2000, ""select G where D="" &amp; AY$1 &amp; "" and E="" &amp; $I40), QUERY($A$2:$G$2000, ""select G where E="" &amp; AY$1 &amp; "" and D="" &amp; $I40))"),7.309302325581395)</f>
        <v>7.309302326</v>
      </c>
      <c r="AZ40" s="10">
        <f>IFERROR(__xludf.DUMMYFUNCTION("ifna(QUERY($A$2:$G$2000, ""select G where D="" &amp; AZ$1 &amp; "" and E="" &amp; $I40), QUERY($A$2:$G$2000, ""select G where E="" &amp; AZ$1 &amp; "" and D="" &amp; $I40))"),7.336363636363636)</f>
        <v>7.336363636</v>
      </c>
      <c r="BA40" s="10">
        <f>IFERROR(__xludf.DUMMYFUNCTION("ifna(QUERY($A$2:$G$2000, ""select G where D="" &amp; BA$1 &amp; "" and E="" &amp; $I40), QUERY($A$2:$G$2000, ""select G where E="" &amp; BA$1 &amp; "" and D="" &amp; $I40))"),7.364444444444445)</f>
        <v>7.364444444</v>
      </c>
      <c r="BB40" s="10">
        <f>IFERROR(__xludf.DUMMYFUNCTION("ifna(QUERY($A$2:$G$2000, ""select G where D="" &amp; BB$1 &amp; "" and E="" &amp; $I40), QUERY($A$2:$G$2000, ""select G where E="" &amp; BB$1 &amp; "" and D="" &amp; $I40))"),7.391304347826087)</f>
        <v>7.391304348</v>
      </c>
      <c r="BC40" s="10">
        <f>IFERROR(__xludf.DUMMYFUNCTION("ifna(QUERY($A$2:$G$2000, ""select G where D="" &amp; BC$1 &amp; "" and E="" &amp; $I40), QUERY($A$2:$G$2000, ""select G where E="" &amp; BC$1 &amp; "" and D="" &amp; $I40))"),7.419148936170213)</f>
        <v>7.419148936</v>
      </c>
      <c r="BD40" s="10">
        <f>IFERROR(__xludf.DUMMYFUNCTION("ifna(QUERY($A$2:$G$2000, ""select G where D="" &amp; BD$1 &amp; "" and E="" &amp; $I40), QUERY($A$2:$G$2000, ""select G where E="" &amp; BD$1 &amp; "" and D="" &amp; $I40))"),7.445833333333333)</f>
        <v>7.445833333</v>
      </c>
      <c r="BE40" s="10">
        <f>IFERROR(__xludf.DUMMYFUNCTION("ifna(QUERY($A$2:$G$2000, ""select G where D="" &amp; BE$1 &amp; "" and E="" &amp; $I40), QUERY($A$2:$G$2000, ""select G where E="" &amp; BE$1 &amp; "" and D="" &amp; $I40))"),7.473469387755102)</f>
        <v>7.473469388</v>
      </c>
      <c r="BF40" s="10">
        <f>IFERROR(__xludf.DUMMYFUNCTION("ifna(QUERY($A$2:$G$2000, ""select G where D="" &amp; BF$1 &amp; "" and E="" &amp; $I40), QUERY($A$2:$G$2000, ""select G where E="" &amp; BF$1 &amp; "" and D="" &amp; $I40))"),7.5)</f>
        <v>7.5</v>
      </c>
      <c r="BG40" s="10">
        <f>IFERROR(__xludf.DUMMYFUNCTION("ifna(QUERY($A$2:$G$2000, ""select G where D="" &amp; BG$1 &amp; "" and E="" &amp; $I40), QUERY($A$2:$G$2000, ""select G where E="" &amp; BG$1 &amp; "" and D="" &amp; $I40))"),7.527450980392157)</f>
        <v>7.52745098</v>
      </c>
      <c r="BH40" s="10">
        <f>IFERROR(__xludf.DUMMYFUNCTION("ifna(QUERY($A$2:$G$2000, ""select G where D="" &amp; BH$1 &amp; "" and E="" &amp; $I40), QUERY($A$2:$G$2000, ""select G where E="" &amp; BH$1 &amp; "" and D="" &amp; $I40))"),7.553846153846154)</f>
        <v>7.553846154</v>
      </c>
      <c r="BI40" s="10">
        <f>IFERROR(__xludf.DUMMYFUNCTION("ifna(QUERY($A$2:$G$2000, ""select G where D="" &amp; BI$1 &amp; "" and E="" &amp; $I40), QUERY($A$2:$G$2000, ""select G where E="" &amp; BI$1 &amp; "" and D="" &amp; $I40))"),7.581132075471698)</f>
        <v>7.581132075</v>
      </c>
      <c r="BJ40" s="10">
        <f>IFERROR(__xludf.DUMMYFUNCTION("ifna(QUERY($A$2:$G$2000, ""select G where D="" &amp; BJ$1 &amp; "" and E="" &amp; $I40), QUERY($A$2:$G$2000, ""select G where E="" &amp; BJ$1 &amp; "" and D="" &amp; $I40))"),7.607407407407408)</f>
        <v>7.607407407</v>
      </c>
      <c r="BK40" s="10">
        <f>IFERROR(__xludf.DUMMYFUNCTION("ifna(QUERY($A$2:$G$2000, ""select G where D="" &amp; BK$1 &amp; "" and E="" &amp; $I40), QUERY($A$2:$G$2000, ""select G where E="" &amp; BK$1 &amp; "" and D="" &amp; $I40))"),7.631818181818182)</f>
        <v>7.631818182</v>
      </c>
      <c r="BL40" s="10"/>
      <c r="BM40" s="10"/>
      <c r="BN40" s="10"/>
      <c r="BO40" s="10"/>
    </row>
    <row r="41">
      <c r="A41" s="3">
        <v>4.0</v>
      </c>
      <c r="B41" s="3">
        <v>5.0</v>
      </c>
      <c r="C41" s="3">
        <v>55.0</v>
      </c>
      <c r="D41" s="3">
        <v>10.0</v>
      </c>
      <c r="E41" s="3">
        <v>4.0</v>
      </c>
      <c r="F41" s="11">
        <f t="shared" si="1"/>
        <v>0.09090909091</v>
      </c>
      <c r="G41" s="5">
        <f t="shared" si="2"/>
        <v>3.909090909</v>
      </c>
      <c r="H41" s="3">
        <v>41.0</v>
      </c>
      <c r="I41" s="2">
        <v>40.0</v>
      </c>
      <c r="J41" s="10">
        <f>IFERROR(__xludf.DUMMYFUNCTION("ifna(QUERY($A$2:$G$2000, ""select G where D="" &amp; J$1 &amp; "" and E="" &amp; $I41), QUERY($A$2:$G$2000, ""select G where E="" &amp; J$1 &amp; "" and D="" &amp; $I41))"),5.390243902439025)</f>
        <v>5.390243902</v>
      </c>
      <c r="K41" s="10">
        <f>IFERROR(__xludf.DUMMYFUNCTION("ifna(QUERY($A$2:$G$2000, ""select G where D="" &amp; K$1 &amp; "" and E="" &amp; $I41), QUERY($A$2:$G$2000, ""select G where E="" &amp; K$1 &amp; "" and D="" &amp; $I41))"),5.4227642276422765)</f>
        <v>5.422764228</v>
      </c>
      <c r="L41" s="10">
        <f>IFERROR(__xludf.DUMMYFUNCTION("ifna(QUERY($A$2:$G$2000, ""select G where D="" &amp; L$1 &amp; "" and E="" &amp; $I41), QUERY($A$2:$G$2000, ""select G where E="" &amp; L$1 &amp; "" and D="" &amp; $I41))"),5.536585365853658)</f>
        <v>5.536585366</v>
      </c>
      <c r="M41" s="10">
        <f>IFERROR(__xludf.DUMMYFUNCTION("ifna(QUERY($A$2:$G$2000, ""select G where D="" &amp; M$1 &amp; "" and E="" &amp; $I41), QUERY($A$2:$G$2000, ""select G where E="" &amp; M$1 &amp; "" and D="" &amp; $I41))"),5.6536585365853655)</f>
        <v>5.653658537</v>
      </c>
      <c r="N41" s="10">
        <f>IFERROR(__xludf.DUMMYFUNCTION("ifna(QUERY($A$2:$G$2000, ""select G where D="" &amp; N$1 &amp; "" and E="" &amp; $I41), QUERY($A$2:$G$2000, ""select G where E="" &amp; N$1 &amp; "" and D="" &amp; $I41))"),5.764227642276423)</f>
        <v>5.764227642</v>
      </c>
      <c r="O41" s="10">
        <f>IFERROR(__xludf.DUMMYFUNCTION("ifna(QUERY($A$2:$G$2000, ""select G where D="" &amp; O$1 &amp; "" and E="" &amp; $I41), QUERY($A$2:$G$2000, ""select G where E="" &amp; O$1 &amp; "" and D="" &amp; $I41))"),5.850174216027875)</f>
        <v>5.850174216</v>
      </c>
      <c r="P41" s="10">
        <f>IFERROR(__xludf.DUMMYFUNCTION("ifna(QUERY($A$2:$G$2000, ""select G where D="" &amp; P$1 &amp; "" and E="" &amp; $I41), QUERY($A$2:$G$2000, ""select G where E="" &amp; P$1 &amp; "" and D="" &amp; $I41))"),5.920731707317073)</f>
        <v>5.920731707</v>
      </c>
      <c r="Q41" s="10">
        <f>IFERROR(__xludf.DUMMYFUNCTION("ifna(QUERY($A$2:$G$2000, ""select G where D="" &amp; Q$1 &amp; "" and E="" &amp; $I41), QUERY($A$2:$G$2000, ""select G where E="" &amp; Q$1 &amp; "" and D="" &amp; $I41))"),6.021680216802168)</f>
        <v>6.021680217</v>
      </c>
      <c r="R41" s="10">
        <f>IFERROR(__xludf.DUMMYFUNCTION("ifna(QUERY($A$2:$G$2000, ""select G where D="" &amp; R$1 &amp; "" and E="" &amp; $I41), QUERY($A$2:$G$2000, ""select G where E="" &amp; R$1 &amp; "" and D="" &amp; $I41))"),6.058536585365854)</f>
        <v>6.058536585</v>
      </c>
      <c r="S41" s="10">
        <f>IFERROR(__xludf.DUMMYFUNCTION("ifna(QUERY($A$2:$G$2000, ""select G where D="" &amp; S$1 &amp; "" and E="" &amp; $I41), QUERY($A$2:$G$2000, ""select G where E="" &amp; S$1 &amp; "" and D="" &amp; $I41))"),6.11529933481153)</f>
        <v>6.115299335</v>
      </c>
      <c r="T41" s="10">
        <f>IFERROR(__xludf.DUMMYFUNCTION("ifna(QUERY($A$2:$G$2000, ""select G where D="" &amp; T$1 &amp; "" and E="" &amp; $I41), QUERY($A$2:$G$2000, ""select G where E="" &amp; T$1 &amp; "" and D="" &amp; $I41))"),6.178861788617886)</f>
        <v>6.178861789</v>
      </c>
      <c r="U41" s="10">
        <f>IFERROR(__xludf.DUMMYFUNCTION("ifna(QUERY($A$2:$G$2000, ""select G where D="" &amp; U$1 &amp; "" and E="" &amp; $I41), QUERY($A$2:$G$2000, ""select G where E="" &amp; U$1 &amp; "" and D="" &amp; $I41))"),6.24765478424015)</f>
        <v>6.247654784</v>
      </c>
      <c r="V41" s="10">
        <f>IFERROR(__xludf.DUMMYFUNCTION("ifna(QUERY($A$2:$G$2000, ""select G where D="" &amp; V$1 &amp; "" and E="" &amp; $I41), QUERY($A$2:$G$2000, ""select G where E="" &amp; V$1 &amp; "" and D="" &amp; $I41))"),6.320557491289199)</f>
        <v>6.320557491</v>
      </c>
      <c r="W41" s="10">
        <f>IFERROR(__xludf.DUMMYFUNCTION("ifna(QUERY($A$2:$G$2000, ""select G where D="" &amp; W$1 &amp; "" and E="" &amp; $I41), QUERY($A$2:$G$2000, ""select G where E="" &amp; W$1 &amp; "" and D="" &amp; $I41))"),6.396747967479675)</f>
        <v>6.396747967</v>
      </c>
      <c r="X41" s="10">
        <f>IFERROR(__xludf.DUMMYFUNCTION("ifna(QUERY($A$2:$G$2000, ""select G where D="" &amp; X$1 &amp; "" and E="" &amp; $I41), QUERY($A$2:$G$2000, ""select G where E="" &amp; X$1 &amp; "" and D="" &amp; $I41))"),6.469512195121951)</f>
        <v>6.469512195</v>
      </c>
      <c r="Y41" s="10">
        <f>IFERROR(__xludf.DUMMYFUNCTION("ifna(QUERY($A$2:$G$2000, ""select G where D="" &amp; Y$1 &amp; "" and E="" &amp; $I41), QUERY($A$2:$G$2000, ""select G where E="" &amp; Y$1 &amp; "" and D="" &amp; $I41))"),6.539454806312769)</f>
        <v>6.539454806</v>
      </c>
      <c r="Z41" s="10">
        <f>IFERROR(__xludf.DUMMYFUNCTION("ifna(QUERY($A$2:$G$2000, ""select G where D="" &amp; Z$1 &amp; "" and E="" &amp; $I41), QUERY($A$2:$G$2000, ""select G where E="" &amp; Z$1 &amp; "" and D="" &amp; $I41))"),6.607046070460704)</f>
        <v>6.60704607</v>
      </c>
      <c r="AA41" s="10">
        <f>IFERROR(__xludf.DUMMYFUNCTION("ifna(QUERY($A$2:$G$2000, ""select G where D="" &amp; AA$1 &amp; "" and E="" &amp; $I41), QUERY($A$2:$G$2000, ""select G where E="" &amp; AA$1 &amp; "" and D="" &amp; $I41))"),6.667522464698331)</f>
        <v>6.667522465</v>
      </c>
      <c r="AB41" s="10">
        <f>IFERROR(__xludf.DUMMYFUNCTION("ifna(QUERY($A$2:$G$2000, ""select G where D="" &amp; AB$1 &amp; "" and E="" &amp; $I41), QUERY($A$2:$G$2000, ""select G where E="" &amp; AB$1 &amp; "" and D="" &amp; $I41))"),6.724390243902439)</f>
        <v>6.724390244</v>
      </c>
      <c r="AC41" s="10">
        <f>IFERROR(__xludf.DUMMYFUNCTION("ifna(QUERY($A$2:$G$2000, ""select G where D="" &amp; AC$1 &amp; "" and E="" &amp; $I41), QUERY($A$2:$G$2000, ""select G where E="" &amp; AC$1 &amp; "" and D="" &amp; $I41))"),6.768873403019745)</f>
        <v>6.768873403</v>
      </c>
      <c r="AD41" s="10">
        <f>IFERROR(__xludf.DUMMYFUNCTION("ifna(QUERY($A$2:$G$2000, ""select G where D="" &amp; AD$1 &amp; "" and E="" &amp; $I41), QUERY($A$2:$G$2000, ""select G where E="" &amp; AD$1 &amp; "" and D="" &amp; $I41))"),6.8093126385809315)</f>
        <v>6.809312639</v>
      </c>
      <c r="AE41" s="10">
        <f>IFERROR(__xludf.DUMMYFUNCTION("ifna(QUERY($A$2:$G$2000, ""select G where D="" &amp; AE$1 &amp; "" and E="" &amp; $I41), QUERY($A$2:$G$2000, ""select G where E="" &amp; AE$1 &amp; "" and D="" &amp; $I41))"),6.841993637327677)</f>
        <v>6.841993637</v>
      </c>
      <c r="AF41" s="10">
        <f>IFERROR(__xludf.DUMMYFUNCTION("ifna(QUERY($A$2:$G$2000, ""select G where D="" &amp; AF$1 &amp; "" and E="" &amp; $I41), QUERY($A$2:$G$2000, ""select G where E="" &amp; AF$1 &amp; "" and D="" &amp; $I41))"),6.871951219512195)</f>
        <v>6.87195122</v>
      </c>
      <c r="AG41" s="10">
        <f>IFERROR(__xludf.DUMMYFUNCTION("ifna(QUERY($A$2:$G$2000, ""select G where D="" &amp; AG$1 &amp; "" and E="" &amp; $I41), QUERY($A$2:$G$2000, ""select G where E="" &amp; AG$1 &amp; "" and D="" &amp; $I41))"),6.895609756097561)</f>
        <v>6.895609756</v>
      </c>
      <c r="AH41" s="10">
        <f>IFERROR(__xludf.DUMMYFUNCTION("ifna(QUERY($A$2:$G$2000, ""select G where D="" &amp; AH$1 &amp; "" and E="" &amp; $I41), QUERY($A$2:$G$2000, ""select G where E="" &amp; AH$1 &amp; "" and D="" &amp; $I41))"),6.930581613508442)</f>
        <v>6.930581614</v>
      </c>
      <c r="AI41" s="10">
        <f>IFERROR(__xludf.DUMMYFUNCTION("ifna(QUERY($A$2:$G$2000, ""select G where D="" &amp; AI$1 &amp; "" and E="" &amp; $I41), QUERY($A$2:$G$2000, ""select G where E="" &amp; AI$1 &amp; "" and D="" &amp; $I41))"),6.996386630532972)</f>
        <v>6.996386631</v>
      </c>
      <c r="AJ41" s="10">
        <f>IFERROR(__xludf.DUMMYFUNCTION("ifna(QUERY($A$2:$G$2000, ""select G where D="" &amp; AJ$1 &amp; "" and E="" &amp; $I41), QUERY($A$2:$G$2000, ""select G where E="" &amp; AJ$1 &amp; "" and D="" &amp; $I41))"),7.006968641114983)</f>
        <v>7.006968641</v>
      </c>
      <c r="AK41" s="10">
        <f>IFERROR(__xludf.DUMMYFUNCTION("ifna(QUERY($A$2:$G$2000, ""select G where D="" &amp; AK$1 &amp; "" and E="" &amp; $I41), QUERY($A$2:$G$2000, ""select G where E="" &amp; AK$1 &amp; "" and D="" &amp; $I41))"),7.016820857863751)</f>
        <v>7.016820858</v>
      </c>
      <c r="AL41" s="10">
        <f>IFERROR(__xludf.DUMMYFUNCTION("ifna(QUERY($A$2:$G$2000, ""select G where D="" &amp; AL$1 &amp; "" and E="" &amp; $I41), QUERY($A$2:$G$2000, ""select G where E="" &amp; AL$1 &amp; "" and D="" &amp; $I41))"),7.029268292682927)</f>
        <v>7.029268293</v>
      </c>
      <c r="AM41" s="10">
        <f>IFERROR(__xludf.DUMMYFUNCTION("ifna(QUERY($A$2:$G$2000, ""select G where D="" &amp; AM$1 &amp; "" and E="" &amp; $I41), QUERY($A$2:$G$2000, ""select G where E="" &amp; AM$1 &amp; "" and D="" &amp; $I41))"),7.044059795436664)</f>
        <v>7.044059795</v>
      </c>
      <c r="AN41" s="10">
        <f>IFERROR(__xludf.DUMMYFUNCTION("ifna(QUERY($A$2:$G$2000, ""select G where D="" &amp; AN$1 &amp; "" and E="" &amp; $I41), QUERY($A$2:$G$2000, ""select G where E="" &amp; AN$1 &amp; "" and D="" &amp; $I41))"),7.060975609756097)</f>
        <v>7.06097561</v>
      </c>
      <c r="AO41" s="10">
        <f>IFERROR(__xludf.DUMMYFUNCTION("ifna(QUERY($A$2:$G$2000, ""select G where D="" &amp; AO$1 &amp; "" and E="" &amp; $I41), QUERY($A$2:$G$2000, ""select G where E="" &amp; AO$1 &amp; "" and D="" &amp; $I41))"),7.0798226164079825)</f>
        <v>7.079822616</v>
      </c>
      <c r="AP41" s="10">
        <f>IFERROR(__xludf.DUMMYFUNCTION("ifna(QUERY($A$2:$G$2000, ""select G where D="" &amp; AP$1 &amp; "" and E="" &amp; $I41), QUERY($A$2:$G$2000, ""select G where E="" &amp; AP$1 &amp; "" and D="" &amp; $I41))"),7.100430416068867)</f>
        <v>7.100430416</v>
      </c>
      <c r="AQ41" s="10">
        <f>IFERROR(__xludf.DUMMYFUNCTION("ifna(QUERY($A$2:$G$2000, ""select G where D="" &amp; AQ$1 &amp; "" and E="" &amp; $I41), QUERY($A$2:$G$2000, ""select G where E="" &amp; AQ$1 &amp; "" and D="" &amp; $I41))"),7.122648083623694)</f>
        <v>7.122648084</v>
      </c>
      <c r="AR41" s="10">
        <f>IFERROR(__xludf.DUMMYFUNCTION("ifna(QUERY($A$2:$G$2000, ""select G where D="" &amp; AR$1 &amp; "" and E="" &amp; $I41), QUERY($A$2:$G$2000, ""select G where E="" &amp; AR$1 &amp; "" and D="" &amp; $I41))"),7.146341463414634)</f>
        <v>7.146341463</v>
      </c>
      <c r="AS41" s="10">
        <f>IFERROR(__xludf.DUMMYFUNCTION("ifna(QUERY($A$2:$G$2000, ""select G where D="" &amp; AS$1 &amp; "" and E="" &amp; $I41), QUERY($A$2:$G$2000, ""select G where E="" &amp; AS$1 &amp; "" and D="" &amp; $I41))"),7.17139090309822)</f>
        <v>7.171390903</v>
      </c>
      <c r="AT41" s="10">
        <f>IFERROR(__xludf.DUMMYFUNCTION("ifna(QUERY($A$2:$G$2000, ""select G where D="" &amp; AT$1 &amp; "" and E="" &amp; $I41), QUERY($A$2:$G$2000, ""select G where E="" &amp; AT$1 &amp; "" and D="" &amp; $I41))"),7.197689345314505)</f>
        <v>7.197689345</v>
      </c>
      <c r="AU41" s="10">
        <f>IFERROR(__xludf.DUMMYFUNCTION("ifna(QUERY($A$2:$G$2000, ""select G where D="" &amp; AU$1 &amp; "" and E="" &amp; $I41), QUERY($A$2:$G$2000, ""select G where E="" &amp; AU$1 &amp; "" and D="" &amp; $I41))"),7.225140712945591)</f>
        <v>7.225140713</v>
      </c>
      <c r="AV41" s="10">
        <f>IFERROR(__xludf.DUMMYFUNCTION("ifna(QUERY($A$2:$G$2000, ""select G where D="" &amp; AV$1 &amp; "" and E="" &amp; $I41), QUERY($A$2:$G$2000, ""select G where E="" &amp; AV$1 &amp; "" and D="" &amp; $I41))"),7.253658536585366)</f>
        <v>7.253658537</v>
      </c>
      <c r="AW41" s="10">
        <f>IFERROR(__xludf.DUMMYFUNCTION("ifna(QUERY($A$2:$G$2000, ""select G where D="" &amp; AW$1 &amp; "" and E="" &amp; $I41), QUERY($A$2:$G$2000, ""select G where E="" &amp; AW$1 &amp; "" and D="" &amp; $I41))"),7.280785246876859)</f>
        <v>7.280785247</v>
      </c>
      <c r="AX41" s="10">
        <f>IFERROR(__xludf.DUMMYFUNCTION("ifna(QUERY($A$2:$G$2000, ""select G where D="" &amp; AX$1 &amp; "" and E="" &amp; $I41), QUERY($A$2:$G$2000, ""select G where E="" &amp; AX$1 &amp; "" and D="" &amp; $I41))"),7.308943089430894)</f>
        <v>7.308943089</v>
      </c>
      <c r="AY41" s="10">
        <f>IFERROR(__xludf.DUMMYFUNCTION("ifna(QUERY($A$2:$G$2000, ""select G where D="" &amp; AY$1 &amp; "" and E="" &amp; $I41), QUERY($A$2:$G$2000, ""select G where E="" &amp; AY$1 &amp; "" and D="" &amp; $I41))"),7.338060124787295)</f>
        <v>7.338060125</v>
      </c>
      <c r="AZ41" s="10">
        <f>IFERROR(__xludf.DUMMYFUNCTION("ifna(QUERY($A$2:$G$2000, ""select G where D="" &amp; AZ$1 &amp; "" and E="" &amp; $I41), QUERY($A$2:$G$2000, ""select G where E="" &amp; AZ$1 &amp; "" and D="" &amp; $I41))"),7.365853658536586)</f>
        <v>7.365853659</v>
      </c>
      <c r="BA41" s="10">
        <f>IFERROR(__xludf.DUMMYFUNCTION("ifna(QUERY($A$2:$G$2000, ""select G where D="" &amp; BA$1 &amp; "" and E="" &amp; $I41), QUERY($A$2:$G$2000, ""select G where E="" &amp; BA$1 &amp; "" and D="" &amp; $I41))"),7.394579945799458)</f>
        <v>7.394579946</v>
      </c>
      <c r="BB41" s="10">
        <f>IFERROR(__xludf.DUMMYFUNCTION("ifna(QUERY($A$2:$G$2000, ""select G where D="" &amp; BB$1 &amp; "" and E="" &amp; $I41), QUERY($A$2:$G$2000, ""select G where E="" &amp; BB$1 &amp; "" and D="" &amp; $I41))"),7.422057264050902)</f>
        <v>7.422057264</v>
      </c>
      <c r="BC41" s="10">
        <f>IFERROR(__xludf.DUMMYFUNCTION("ifna(QUERY($A$2:$G$2000, ""select G where D="" &amp; BC$1 &amp; "" and E="" &amp; $I41), QUERY($A$2:$G$2000, ""select G where E="" &amp; BC$1 &amp; "" and D="" &amp; $I41))"),7.4504411001556825)</f>
        <v>7.4504411</v>
      </c>
      <c r="BD41" s="10">
        <f>IFERROR(__xludf.DUMMYFUNCTION("ifna(QUERY($A$2:$G$2000, ""select G where D="" &amp; BD$1 &amp; "" and E="" &amp; $I41), QUERY($A$2:$G$2000, ""select G where E="" &amp; BD$1 &amp; "" and D="" &amp; $I41))"),7.477642276422764)</f>
        <v>7.477642276</v>
      </c>
      <c r="BE41" s="10">
        <f>IFERROR(__xludf.DUMMYFUNCTION("ifna(QUERY($A$2:$G$2000, ""select G where D="" &amp; BE$1 &amp; "" and E="" &amp; $I41), QUERY($A$2:$G$2000, ""select G where E="" &amp; BE$1 &amp; "" and D="" &amp; $I41))"),7.505724240915878)</f>
        <v>7.505724241</v>
      </c>
      <c r="BF41" s="10">
        <f>IFERROR(__xludf.DUMMYFUNCTION("ifna(QUERY($A$2:$G$2000, ""select G where D="" &amp; BF$1 &amp; "" and E="" &amp; $I41), QUERY($A$2:$G$2000, ""select G where E="" &amp; BF$1 &amp; "" and D="" &amp; $I41))"),7.532682926829268)</f>
        <v>7.532682927</v>
      </c>
      <c r="BG41" s="10">
        <f>IFERROR(__xludf.DUMMYFUNCTION("ifna(QUERY($A$2:$G$2000, ""select G where D="" &amp; BG$1 &amp; "" and E="" &amp; $I41), QUERY($A$2:$G$2000, ""select G where E="" &amp; BG$1 &amp; "" and D="" &amp; $I41))"),7.560497369679579)</f>
        <v>7.56049737</v>
      </c>
      <c r="BH41" s="10">
        <f>IFERROR(__xludf.DUMMYFUNCTION("ifna(QUERY($A$2:$G$2000, ""select G where D="" &amp; BH$1 &amp; "" and E="" &amp; $I41), QUERY($A$2:$G$2000, ""select G where E="" &amp; BH$1 &amp; "" and D="" &amp; $I41))"),7.587242026266416)</f>
        <v>7.587242026</v>
      </c>
      <c r="BI41" s="10">
        <f>IFERROR(__xludf.DUMMYFUNCTION("ifna(QUERY($A$2:$G$2000, ""select G where D="" &amp; BI$1 &amp; "" and E="" &amp; $I41), QUERY($A$2:$G$2000, ""select G where E="" &amp; BI$1 &amp; "" and D="" &amp; $I41))"),7.613897837091579)</f>
        <v>7.613897837</v>
      </c>
      <c r="BJ41" s="10">
        <f>IFERROR(__xludf.DUMMYFUNCTION("ifna(QUERY($A$2:$G$2000, ""select G where D="" &amp; BJ$1 &amp; "" and E="" &amp; $I41), QUERY($A$2:$G$2000, ""select G where E="" &amp; BJ$1 &amp; "" and D="" &amp; $I41))"),7.639566395663957)</f>
        <v>7.639566396</v>
      </c>
      <c r="BK41" s="10">
        <f>IFERROR(__xludf.DUMMYFUNCTION("ifna(QUERY($A$2:$G$2000, ""select G where D="" &amp; BK$1 &amp; "" and E="" &amp; $I41), QUERY($A$2:$G$2000, ""select G where E="" &amp; BK$1 &amp; "" and D="" &amp; $I41))"),7.662527716186252)</f>
        <v>7.662527716</v>
      </c>
      <c r="BL41" s="10"/>
      <c r="BM41" s="10"/>
      <c r="BN41" s="10"/>
      <c r="BO41" s="10"/>
    </row>
    <row r="42">
      <c r="A42" s="3">
        <v>4.0</v>
      </c>
      <c r="B42" s="3">
        <v>12.0</v>
      </c>
      <c r="C42" s="3">
        <v>24.0</v>
      </c>
      <c r="D42" s="3">
        <v>11.0</v>
      </c>
      <c r="E42" s="3">
        <v>1.0</v>
      </c>
      <c r="F42" s="11">
        <f t="shared" si="1"/>
        <v>0.5</v>
      </c>
      <c r="G42" s="5">
        <f t="shared" si="2"/>
        <v>3.5</v>
      </c>
      <c r="H42" s="3">
        <v>42.0</v>
      </c>
      <c r="I42" s="2">
        <v>41.0</v>
      </c>
      <c r="J42" s="10">
        <f>IFERROR(__xludf.DUMMYFUNCTION("ifna(QUERY($A$2:$G$2000, ""select G where D="" &amp; J$1 &amp; "" and E="" &amp; $I42), QUERY($A$2:$G$2000, ""select G where E="" &amp; J$1 &amp; "" and D="" &amp; $I42))"),5.428571428571429)</f>
        <v>5.428571429</v>
      </c>
      <c r="K42" s="10">
        <f>IFERROR(__xludf.DUMMYFUNCTION("ifna(QUERY($A$2:$G$2000, ""select G where D="" &amp; K$1 &amp; "" and E="" &amp; $I42), QUERY($A$2:$G$2000, ""select G where E="" &amp; K$1 &amp; "" and D="" &amp; $I42))"),5.4603174603174605)</f>
        <v>5.46031746</v>
      </c>
      <c r="L42" s="10">
        <f>IFERROR(__xludf.DUMMYFUNCTION("ifna(QUERY($A$2:$G$2000, ""select G where D="" &amp; L$1 &amp; "" and E="" &amp; $I42), QUERY($A$2:$G$2000, ""select G where E="" &amp; L$1 &amp; "" and D="" &amp; $I42))"),5.571428571428571)</f>
        <v>5.571428571</v>
      </c>
      <c r="M42" s="10">
        <f>IFERROR(__xludf.DUMMYFUNCTION("ifna(QUERY($A$2:$G$2000, ""select G where D="" &amp; M$1 &amp; "" and E="" &amp; $I42), QUERY($A$2:$G$2000, ""select G where E="" &amp; M$1 &amp; "" and D="" &amp; $I42))"),5.685714285714286)</f>
        <v>5.685714286</v>
      </c>
      <c r="N42" s="10">
        <f>IFERROR(__xludf.DUMMYFUNCTION("ifna(QUERY($A$2:$G$2000, ""select G where D="" &amp; N$1 &amp; "" and E="" &amp; $I42), QUERY($A$2:$G$2000, ""select G where E="" &amp; N$1 &amp; "" and D="" &amp; $I42))"),5.7936507936507935)</f>
        <v>5.793650794</v>
      </c>
      <c r="O42" s="10">
        <f>IFERROR(__xludf.DUMMYFUNCTION("ifna(QUERY($A$2:$G$2000, ""select G where D="" &amp; O$1 &amp; "" and E="" &amp; $I42), QUERY($A$2:$G$2000, ""select G where E="" &amp; O$1 &amp; "" and D="" &amp; $I42))"),5.870748299319728)</f>
        <v>5.870748299</v>
      </c>
      <c r="P42" s="10">
        <f>IFERROR(__xludf.DUMMYFUNCTION("ifna(QUERY($A$2:$G$2000, ""select G where D="" &amp; P$1 &amp; "" and E="" &amp; $I42), QUERY($A$2:$G$2000, ""select G where E="" &amp; P$1 &amp; "" and D="" &amp; $I42))"),5.958333333333333)</f>
        <v>5.958333333</v>
      </c>
      <c r="Q42" s="10">
        <f>IFERROR(__xludf.DUMMYFUNCTION("ifna(QUERY($A$2:$G$2000, ""select G where D="" &amp; Q$1 &amp; "" and E="" &amp; $I42), QUERY($A$2:$G$2000, ""select G where E="" &amp; Q$1 &amp; "" and D="" &amp; $I42))"),6.031746031746032)</f>
        <v>6.031746032</v>
      </c>
      <c r="R42" s="10">
        <f>IFERROR(__xludf.DUMMYFUNCTION("ifna(QUERY($A$2:$G$2000, ""select G where D="" &amp; R$1 &amp; "" and E="" &amp; $I42), QUERY($A$2:$G$2000, ""select G where E="" &amp; R$1 &amp; "" and D="" &amp; $I42))"),6.076190476190476)</f>
        <v>6.076190476</v>
      </c>
      <c r="S42" s="10">
        <f>IFERROR(__xludf.DUMMYFUNCTION("ifna(QUERY($A$2:$G$2000, ""select G where D="" &amp; S$1 &amp; "" and E="" &amp; $I42), QUERY($A$2:$G$2000, ""select G where E="" &amp; S$1 &amp; "" and D="" &amp; $I42))"),6.138528138528138)</f>
        <v>6.138528139</v>
      </c>
      <c r="T42" s="10">
        <f>IFERROR(__xludf.DUMMYFUNCTION("ifna(QUERY($A$2:$G$2000, ""select G where D="" &amp; T$1 &amp; "" and E="" &amp; $I42), QUERY($A$2:$G$2000, ""select G where E="" &amp; T$1 &amp; "" and D="" &amp; $I42))"),6.2063492063492065)</f>
        <v>6.206349206</v>
      </c>
      <c r="U42" s="10">
        <f>IFERROR(__xludf.DUMMYFUNCTION("ifna(QUERY($A$2:$G$2000, ""select G where D="" &amp; U$1 &amp; "" and E="" &amp; $I42), QUERY($A$2:$G$2000, ""select G where E="" &amp; U$1 &amp; "" and D="" &amp; $I42))"),6.278388278388278)</f>
        <v>6.278388278</v>
      </c>
      <c r="V42" s="10">
        <f>IFERROR(__xludf.DUMMYFUNCTION("ifna(QUERY($A$2:$G$2000, ""select G where D="" &amp; V$1 &amp; "" and E="" &amp; $I42), QUERY($A$2:$G$2000, ""select G where E="" &amp; V$1 &amp; "" and D="" &amp; $I42))"),6.353741496598639)</f>
        <v>6.353741497</v>
      </c>
      <c r="W42" s="10">
        <f>IFERROR(__xludf.DUMMYFUNCTION("ifna(QUERY($A$2:$G$2000, ""select G where D="" &amp; W$1 &amp; "" and E="" &amp; $I42), QUERY($A$2:$G$2000, ""select G where E="" &amp; W$1 &amp; "" and D="" &amp; $I42))"),6.431746031746032)</f>
        <v>6.431746032</v>
      </c>
      <c r="X42" s="10">
        <f>IFERROR(__xludf.DUMMYFUNCTION("ifna(QUERY($A$2:$G$2000, ""select G where D="" &amp; X$1 &amp; "" and E="" &amp; $I42), QUERY($A$2:$G$2000, ""select G where E="" &amp; X$1 &amp; "" and D="" &amp; $I42))"),6.505952380952381)</f>
        <v>6.505952381</v>
      </c>
      <c r="Y42" s="10">
        <f>IFERROR(__xludf.DUMMYFUNCTION("ifna(QUERY($A$2:$G$2000, ""select G where D="" &amp; Y$1 &amp; "" and E="" &amp; $I42), QUERY($A$2:$G$2000, ""select G where E="" &amp; Y$1 &amp; "" and D="" &amp; $I42))"),6.57422969187675)</f>
        <v>6.574229692</v>
      </c>
      <c r="Z42" s="10">
        <f>IFERROR(__xludf.DUMMYFUNCTION("ifna(QUERY($A$2:$G$2000, ""select G where D="" &amp; Z$1 &amp; "" and E="" &amp; $I42), QUERY($A$2:$G$2000, ""select G where E="" &amp; Z$1 &amp; "" and D="" &amp; $I42))"),6.64021164021164)</f>
        <v>6.64021164</v>
      </c>
      <c r="AA42" s="10">
        <f>IFERROR(__xludf.DUMMYFUNCTION("ifna(QUERY($A$2:$G$2000, ""select G where D="" &amp; AA$1 &amp; "" and E="" &amp; $I42), QUERY($A$2:$G$2000, ""select G where E="" &amp; AA$1 &amp; "" and D="" &amp; $I42))"),6.6992481203007515)</f>
        <v>6.69924812</v>
      </c>
      <c r="AB42" s="10">
        <f>IFERROR(__xludf.DUMMYFUNCTION("ifna(QUERY($A$2:$G$2000, ""select G where D="" &amp; AB$1 &amp; "" and E="" &amp; $I42), QUERY($A$2:$G$2000, ""select G where E="" &amp; AB$1 &amp; "" and D="" &amp; $I42))"),6.752380952380952)</f>
        <v>6.752380952</v>
      </c>
      <c r="AC42" s="10">
        <f>IFERROR(__xludf.DUMMYFUNCTION("ifna(QUERY($A$2:$G$2000, ""select G where D="" &amp; AC$1 &amp; "" and E="" &amp; $I42), QUERY($A$2:$G$2000, ""select G where E="" &amp; AC$1 &amp; "" and D="" &amp; $I42))"),6.7936507936507935)</f>
        <v>6.793650794</v>
      </c>
      <c r="AD42" s="10">
        <f>IFERROR(__xludf.DUMMYFUNCTION("ifna(QUERY($A$2:$G$2000, ""select G where D="" &amp; AD$1 &amp; "" and E="" &amp; $I42), QUERY($A$2:$G$2000, ""select G where E="" &amp; AD$1 &amp; "" and D="" &amp; $I42))"),6.8311688311688314)</f>
        <v>6.831168831</v>
      </c>
      <c r="AE42" s="10">
        <f>IFERROR(__xludf.DUMMYFUNCTION("ifna(QUERY($A$2:$G$2000, ""select G where D="" &amp; AE$1 &amp; "" and E="" &amp; $I42), QUERY($A$2:$G$2000, ""select G where E="" &amp; AE$1 &amp; "" and D="" &amp; $I42))"),6.86128364389234)</f>
        <v>6.861283644</v>
      </c>
      <c r="AF42" s="10">
        <f>IFERROR(__xludf.DUMMYFUNCTION("ifna(QUERY($A$2:$G$2000, ""select G where D="" &amp; AF$1 &amp; "" and E="" &amp; $I42), QUERY($A$2:$G$2000, ""select G where E="" &amp; AF$1 &amp; "" and D="" &amp; $I42))"),6.888888888888889)</f>
        <v>6.888888889</v>
      </c>
      <c r="AG42" s="10">
        <f>IFERROR(__xludf.DUMMYFUNCTION("ifna(QUERY($A$2:$G$2000, ""select G where D="" &amp; AG$1 &amp; "" and E="" &amp; $I42), QUERY($A$2:$G$2000, ""select G where E="" &amp; AG$1 &amp; "" and D="" &amp; $I42))"),6.914285714285715)</f>
        <v>6.914285714</v>
      </c>
      <c r="AH42" s="10">
        <f>IFERROR(__xludf.DUMMYFUNCTION("ifna(QUERY($A$2:$G$2000, ""select G where D="" &amp; AH$1 &amp; "" and E="" &amp; $I42), QUERY($A$2:$G$2000, ""select G where E="" &amp; AH$1 &amp; "" and D="" &amp; $I42))"),6.954212454212454)</f>
        <v>6.954212454</v>
      </c>
      <c r="AI42" s="10">
        <f>IFERROR(__xludf.DUMMYFUNCTION("ifna(QUERY($A$2:$G$2000, ""select G where D="" &amp; AI$1 &amp; "" and E="" &amp; $I42), QUERY($A$2:$G$2000, ""select G where E="" &amp; AI$1 &amp; "" and D="" &amp; $I42))"),7.00352733686067)</f>
        <v>7.003527337</v>
      </c>
      <c r="AJ42" s="10">
        <f>IFERROR(__xludf.DUMMYFUNCTION("ifna(QUERY($A$2:$G$2000, ""select G where D="" &amp; AJ$1 &amp; "" and E="" &amp; $I42), QUERY($A$2:$G$2000, ""select G where E="" &amp; AJ$1 &amp; "" and D="" &amp; $I42))"),7.013605442176871)</f>
        <v>7.013605442</v>
      </c>
      <c r="AK42" s="10">
        <f>IFERROR(__xludf.DUMMYFUNCTION("ifna(QUERY($A$2:$G$2000, ""select G where D="" &amp; AK$1 &amp; "" and E="" &amp; $I42), QUERY($A$2:$G$2000, ""select G where E="" &amp; AK$1 &amp; "" and D="" &amp; $I42))"),7.026272577996716)</f>
        <v>7.026272578</v>
      </c>
      <c r="AL42" s="10">
        <f>IFERROR(__xludf.DUMMYFUNCTION("ifna(QUERY($A$2:$G$2000, ""select G where D="" &amp; AL$1 &amp; "" and E="" &amp; $I42), QUERY($A$2:$G$2000, ""select G where E="" &amp; AL$1 &amp; "" and D="" &amp; $I42))"),7.041269841269841)</f>
        <v>7.041269841</v>
      </c>
      <c r="AM42" s="10">
        <f>IFERROR(__xludf.DUMMYFUNCTION("ifna(QUERY($A$2:$G$2000, ""select G where D="" &amp; AM$1 &amp; "" and E="" &amp; $I42), QUERY($A$2:$G$2000, ""select G where E="" &amp; AM$1 &amp; "" and D="" &amp; $I42))"),7.0583717357910905)</f>
        <v>7.058371736</v>
      </c>
      <c r="AN42" s="10">
        <f>IFERROR(__xludf.DUMMYFUNCTION("ifna(QUERY($A$2:$G$2000, ""select G where D="" &amp; AN$1 &amp; "" and E="" &amp; $I42), QUERY($A$2:$G$2000, ""select G where E="" &amp; AN$1 &amp; "" and D="" &amp; $I42))"),7.0773809523809526)</f>
        <v>7.077380952</v>
      </c>
      <c r="AO42" s="10">
        <f>IFERROR(__xludf.DUMMYFUNCTION("ifna(QUERY($A$2:$G$2000, ""select G where D="" &amp; AO$1 &amp; "" and E="" &amp; $I42), QUERY($A$2:$G$2000, ""select G where E="" &amp; AO$1 &amp; "" and D="" &amp; $I42))"),7.0981240981240985)</f>
        <v>7.098124098</v>
      </c>
      <c r="AP42" s="10">
        <f>IFERROR(__xludf.DUMMYFUNCTION("ifna(QUERY($A$2:$G$2000, ""select G where D="" &amp; AP$1 &amp; "" and E="" &amp; $I42), QUERY($A$2:$G$2000, ""select G where E="" &amp; AP$1 &amp; "" and D="" &amp; $I42))"),7.120448179271708)</f>
        <v>7.120448179</v>
      </c>
      <c r="AQ42" s="10">
        <f>IFERROR(__xludf.DUMMYFUNCTION("ifna(QUERY($A$2:$G$2000, ""select G where D="" &amp; AQ$1 &amp; "" and E="" &amp; $I42), QUERY($A$2:$G$2000, ""select G where E="" &amp; AQ$1 &amp; "" and D="" &amp; $I42))"),7.14421768707483)</f>
        <v>7.144217687</v>
      </c>
      <c r="AR42" s="10">
        <f>IFERROR(__xludf.DUMMYFUNCTION("ifna(QUERY($A$2:$G$2000, ""select G where D="" &amp; AR$1 &amp; "" and E="" &amp; $I42), QUERY($A$2:$G$2000, ""select G where E="" &amp; AR$1 &amp; "" and D="" &amp; $I42))"),7.169312169312169)</f>
        <v>7.169312169</v>
      </c>
      <c r="AS42" s="10">
        <f>IFERROR(__xludf.DUMMYFUNCTION("ifna(QUERY($A$2:$G$2000, ""select G where D="" &amp; AS$1 &amp; "" and E="" &amp; $I42), QUERY($A$2:$G$2000, ""select G where E="" &amp; AS$1 &amp; "" and D="" &amp; $I42))"),7.1956241956241955)</f>
        <v>7.195624196</v>
      </c>
      <c r="AT42" s="10">
        <f>IFERROR(__xludf.DUMMYFUNCTION("ifna(QUERY($A$2:$G$2000, ""select G where D="" &amp; AT$1 &amp; "" and E="" &amp; $I42), QUERY($A$2:$G$2000, ""select G where E="" &amp; AT$1 &amp; "" and D="" &amp; $I42))"),7.223057644110276)</f>
        <v>7.223057644</v>
      </c>
      <c r="AU42" s="10">
        <f>IFERROR(__xludf.DUMMYFUNCTION("ifna(QUERY($A$2:$G$2000, ""select G where D="" &amp; AU$1 &amp; "" and E="" &amp; $I42), QUERY($A$2:$G$2000, ""select G where E="" &amp; AU$1 &amp; "" and D="" &amp; $I42))"),7.2515262515262515)</f>
        <v>7.251526252</v>
      </c>
      <c r="AV42" s="10">
        <f>IFERROR(__xludf.DUMMYFUNCTION("ifna(QUERY($A$2:$G$2000, ""select G where D="" &amp; AV$1 &amp; "" and E="" &amp; $I42), QUERY($A$2:$G$2000, ""select G where E="" &amp; AV$1 &amp; "" and D="" &amp; $I42))"),7.280952380952381)</f>
        <v>7.280952381</v>
      </c>
      <c r="AW42" s="10">
        <f>IFERROR(__xludf.DUMMYFUNCTION("ifna(QUERY($A$2:$G$2000, ""select G where D="" &amp; AW$1 &amp; "" and E="" &amp; $I42), QUERY($A$2:$G$2000, ""select G where E="" &amp; AW$1 &amp; "" and D="" &amp; $I42))"),7.308943089430894)</f>
        <v>7.308943089</v>
      </c>
      <c r="AX42" s="10">
        <f>IFERROR(__xludf.DUMMYFUNCTION("ifna(QUERY($A$2:$G$2000, ""select G where D="" &amp; AX$1 &amp; "" and E="" &amp; $I42), QUERY($A$2:$G$2000, ""select G where E="" &amp; AX$1 &amp; "" and D="" &amp; $I42))"),7.337868480725623)</f>
        <v>7.337868481</v>
      </c>
      <c r="AY42" s="10">
        <f>IFERROR(__xludf.DUMMYFUNCTION("ifna(QUERY($A$2:$G$2000, ""select G where D="" &amp; AY$1 &amp; "" and E="" &amp; $I42), QUERY($A$2:$G$2000, ""select G where E="" &amp; AY$1 &amp; "" and D="" &amp; $I42))"),7.36766334440753)</f>
        <v>7.367663344</v>
      </c>
      <c r="AZ42" s="10">
        <f>IFERROR(__xludf.DUMMYFUNCTION("ifna(QUERY($A$2:$G$2000, ""select G where D="" &amp; AZ$1 &amp; "" and E="" &amp; $I42), QUERY($A$2:$G$2000, ""select G where E="" &amp; AZ$1 &amp; "" and D="" &amp; $I42))"),7.396103896103896)</f>
        <v>7.396103896</v>
      </c>
      <c r="BA42" s="10">
        <f>IFERROR(__xludf.DUMMYFUNCTION("ifna(QUERY($A$2:$G$2000, ""select G where D="" &amp; BA$1 &amp; "" and E="" &amp; $I42), QUERY($A$2:$G$2000, ""select G where E="" &amp; BA$1 &amp; "" and D="" &amp; $I42))"),7.425396825396826)</f>
        <v>7.425396825</v>
      </c>
      <c r="BB42" s="10">
        <f>IFERROR(__xludf.DUMMYFUNCTION("ifna(QUERY($A$2:$G$2000, ""select G where D="" &amp; BB$1 &amp; "" and E="" &amp; $I42), QUERY($A$2:$G$2000, ""select G where E="" &amp; BB$1 &amp; "" and D="" &amp; $I42))"),7.453416149068323)</f>
        <v>7.453416149</v>
      </c>
      <c r="BC42" s="10">
        <f>IFERROR(__xludf.DUMMYFUNCTION("ifna(QUERY($A$2:$G$2000, ""select G where D="" &amp; BC$1 &amp; "" and E="" &amp; $I42), QUERY($A$2:$G$2000, ""select G where E="" &amp; BC$1 &amp; "" and D="" &amp; $I42))"),7.4822695035460995)</f>
        <v>7.482269504</v>
      </c>
      <c r="BD42" s="10">
        <f>IFERROR(__xludf.DUMMYFUNCTION("ifna(QUERY($A$2:$G$2000, ""select G where D="" &amp; BD$1 &amp; "" and E="" &amp; $I42), QUERY($A$2:$G$2000, ""select G where E="" &amp; BD$1 &amp; "" and D="" &amp; $I42))"),7.509920634920635)</f>
        <v>7.509920635</v>
      </c>
      <c r="BE42" s="10">
        <f>IFERROR(__xludf.DUMMYFUNCTION("ifna(QUERY($A$2:$G$2000, ""select G where D="" &amp; BE$1 &amp; "" and E="" &amp; $I42), QUERY($A$2:$G$2000, ""select G where E="" &amp; BE$1 &amp; "" and D="" &amp; $I42))"),7.538386783284743)</f>
        <v>7.538386783</v>
      </c>
      <c r="BF42" s="10">
        <f>IFERROR(__xludf.DUMMYFUNCTION("ifna(QUERY($A$2:$G$2000, ""select G where D="" &amp; BF$1 &amp; "" and E="" &amp; $I42), QUERY($A$2:$G$2000, ""select G where E="" &amp; BF$1 &amp; "" and D="" &amp; $I42))"),7.565714285714286)</f>
        <v>7.565714286</v>
      </c>
      <c r="BG42" s="10">
        <f>IFERROR(__xludf.DUMMYFUNCTION("ifna(QUERY($A$2:$G$2000, ""select G where D="" &amp; BG$1 &amp; "" and E="" &amp; $I42), QUERY($A$2:$G$2000, ""select G where E="" &amp; BG$1 &amp; "" and D="" &amp; $I42))"),7.593837535014005)</f>
        <v>7.593837535</v>
      </c>
      <c r="BH42" s="10">
        <f>IFERROR(__xludf.DUMMYFUNCTION("ifna(QUERY($A$2:$G$2000, ""select G where D="" &amp; BH$1 &amp; "" and E="" &amp; $I42), QUERY($A$2:$G$2000, ""select G where E="" &amp; BH$1 &amp; "" and D="" &amp; $I42))"),7.6208791208791204)</f>
        <v>7.620879121</v>
      </c>
      <c r="BI42" s="10">
        <f>IFERROR(__xludf.DUMMYFUNCTION("ifna(QUERY($A$2:$G$2000, ""select G where D="" &amp; BI$1 &amp; "" and E="" &amp; $I42), QUERY($A$2:$G$2000, ""select G where E="" &amp; BI$1 &amp; "" and D="" &amp; $I42))"),7.646001796945193)</f>
        <v>7.646001797</v>
      </c>
      <c r="BJ42" s="10">
        <f>IFERROR(__xludf.DUMMYFUNCTION("ifna(QUERY($A$2:$G$2000, ""select G where D="" &amp; BJ$1 &amp; "" and E="" &amp; $I42), QUERY($A$2:$G$2000, ""select G where E="" &amp; BJ$1 &amp; "" and D="" &amp; $I42))"),7.670194003527337)</f>
        <v>7.670194004</v>
      </c>
      <c r="BK42" s="10">
        <f>IFERROR(__xludf.DUMMYFUNCTION("ifna(QUERY($A$2:$G$2000, ""select G where D="" &amp; BK$1 &amp; "" and E="" &amp; $I42), QUERY($A$2:$G$2000, ""select G where E="" &amp; BK$1 &amp; "" and D="" &amp; $I42))"),7.691774891774892)</f>
        <v>7.691774892</v>
      </c>
      <c r="BL42" s="10"/>
      <c r="BM42" s="10"/>
      <c r="BN42" s="10"/>
      <c r="BO42" s="10"/>
    </row>
    <row r="43">
      <c r="A43" s="3">
        <v>4.0</v>
      </c>
      <c r="B43" s="3">
        <v>14.0</v>
      </c>
      <c r="C43" s="3">
        <v>36.0</v>
      </c>
      <c r="D43" s="3">
        <v>11.0</v>
      </c>
      <c r="E43" s="3">
        <v>2.0</v>
      </c>
      <c r="F43" s="11">
        <f t="shared" si="1"/>
        <v>0.3888888889</v>
      </c>
      <c r="G43" s="5">
        <f t="shared" si="2"/>
        <v>3.611111111</v>
      </c>
      <c r="H43" s="3">
        <v>43.0</v>
      </c>
      <c r="I43" s="2">
        <v>42.0</v>
      </c>
      <c r="J43" s="10">
        <f>IFERROR(__xludf.DUMMYFUNCTION("ifna(QUERY($A$2:$G$2000, ""select G where D="" &amp; J$1 &amp; "" and E="" &amp; $I43), QUERY($A$2:$G$2000, ""select G where E="" &amp; J$1 &amp; "" and D="" &amp; $I43))"),5.465116279069767)</f>
        <v>5.465116279</v>
      </c>
      <c r="K43" s="10">
        <f>IFERROR(__xludf.DUMMYFUNCTION("ifna(QUERY($A$2:$G$2000, ""select G where D="" &amp; K$1 &amp; "" and E="" &amp; $I43), QUERY($A$2:$G$2000, ""select G where E="" &amp; K$1 &amp; "" and D="" &amp; $I43))"),5.496124031007752)</f>
        <v>5.496124031</v>
      </c>
      <c r="L43" s="10">
        <f>IFERROR(__xludf.DUMMYFUNCTION("ifna(QUERY($A$2:$G$2000, ""select G where D="" &amp; L$1 &amp; "" and E="" &amp; $I43), QUERY($A$2:$G$2000, ""select G where E="" &amp; L$1 &amp; "" and D="" &amp; $I43))"),5.604651162790698)</f>
        <v>5.604651163</v>
      </c>
      <c r="M43" s="10">
        <f>IFERROR(__xludf.DUMMYFUNCTION("ifna(QUERY($A$2:$G$2000, ""select G where D="" &amp; M$1 &amp; "" and E="" &amp; $I43), QUERY($A$2:$G$2000, ""select G where E="" &amp; M$1 &amp; "" and D="" &amp; $I43))"),5.716279069767442)</f>
        <v>5.71627907</v>
      </c>
      <c r="N43" s="10">
        <f>IFERROR(__xludf.DUMMYFUNCTION("ifna(QUERY($A$2:$G$2000, ""select G where D="" &amp; N$1 &amp; "" and E="" &amp; $I43), QUERY($A$2:$G$2000, ""select G where E="" &amp; N$1 &amp; "" and D="" &amp; $I43))"),5.821705426356589)</f>
        <v>5.821705426</v>
      </c>
      <c r="O43" s="10">
        <f>IFERROR(__xludf.DUMMYFUNCTION("ifna(QUERY($A$2:$G$2000, ""select G where D="" &amp; O$1 &amp; "" and E="" &amp; $I43), QUERY($A$2:$G$2000, ""select G where E="" &amp; O$1 &amp; "" and D="" &amp; $I43))"),5.8903654485049834)</f>
        <v>5.890365449</v>
      </c>
      <c r="P43" s="10">
        <f>IFERROR(__xludf.DUMMYFUNCTION("ifna(QUERY($A$2:$G$2000, ""select G where D="" &amp; P$1 &amp; "" and E="" &amp; $I43), QUERY($A$2:$G$2000, ""select G where E="" &amp; P$1 &amp; "" and D="" &amp; $I43))"),5.982558139534884)</f>
        <v>5.98255814</v>
      </c>
      <c r="Q43" s="10">
        <f>IFERROR(__xludf.DUMMYFUNCTION("ifna(QUERY($A$2:$G$2000, ""select G where D="" &amp; Q$1 &amp; "" and E="" &amp; $I43), QUERY($A$2:$G$2000, ""select G where E="" &amp; Q$1 &amp; "" and D="" &amp; $I43))"),6.041343669250646)</f>
        <v>6.041343669</v>
      </c>
      <c r="R43" s="10">
        <f>IFERROR(__xludf.DUMMYFUNCTION("ifna(QUERY($A$2:$G$2000, ""select G where D="" &amp; R$1 &amp; "" and E="" &amp; $I43), QUERY($A$2:$G$2000, ""select G where E="" &amp; R$1 &amp; "" and D="" &amp; $I43))"),6.093023255813954)</f>
        <v>6.093023256</v>
      </c>
      <c r="S43" s="10">
        <f>IFERROR(__xludf.DUMMYFUNCTION("ifna(QUERY($A$2:$G$2000, ""select G where D="" &amp; S$1 &amp; "" and E="" &amp; $I43), QUERY($A$2:$G$2000, ""select G where E="" &amp; S$1 &amp; "" and D="" &amp; $I43))"),6.160676532769556)</f>
        <v>6.160676533</v>
      </c>
      <c r="T43" s="10">
        <f>IFERROR(__xludf.DUMMYFUNCTION("ifna(QUERY($A$2:$G$2000, ""select G where D="" &amp; T$1 &amp; "" and E="" &amp; $I43), QUERY($A$2:$G$2000, ""select G where E="" &amp; T$1 &amp; "" and D="" &amp; $I43))"),6.232558139534884)</f>
        <v>6.23255814</v>
      </c>
      <c r="U43" s="10">
        <f>IFERROR(__xludf.DUMMYFUNCTION("ifna(QUERY($A$2:$G$2000, ""select G where D="" &amp; U$1 &amp; "" and E="" &amp; $I43), QUERY($A$2:$G$2000, ""select G where E="" &amp; U$1 &amp; "" and D="" &amp; $I43))"),6.3076923076923075)</f>
        <v>6.307692308</v>
      </c>
      <c r="V43" s="10">
        <f>IFERROR(__xludf.DUMMYFUNCTION("ifna(QUERY($A$2:$G$2000, ""select G where D="" &amp; V$1 &amp; "" and E="" &amp; $I43), QUERY($A$2:$G$2000, ""select G where E="" &amp; V$1 &amp; "" and D="" &amp; $I43))"),6.385382059800665)</f>
        <v>6.38538206</v>
      </c>
      <c r="W43" s="10">
        <f>IFERROR(__xludf.DUMMYFUNCTION("ifna(QUERY($A$2:$G$2000, ""select G where D="" &amp; W$1 &amp; "" and E="" &amp; $I43), QUERY($A$2:$G$2000, ""select G where E="" &amp; W$1 &amp; "" and D="" &amp; $I43))"),6.465116279069767)</f>
        <v>6.465116279</v>
      </c>
      <c r="X43" s="10">
        <f>IFERROR(__xludf.DUMMYFUNCTION("ifna(QUERY($A$2:$G$2000, ""select G where D="" &amp; X$1 &amp; "" and E="" &amp; $I43), QUERY($A$2:$G$2000, ""select G where E="" &amp; X$1 &amp; "" and D="" &amp; $I43))"),6.540697674418604)</f>
        <v>6.540697674</v>
      </c>
      <c r="Y43" s="10">
        <f>IFERROR(__xludf.DUMMYFUNCTION("ifna(QUERY($A$2:$G$2000, ""select G where D="" &amp; Y$1 &amp; "" and E="" &amp; $I43), QUERY($A$2:$G$2000, ""select G where E="" &amp; Y$1 &amp; "" and D="" &amp; $I43))"),6.607387140902873)</f>
        <v>6.607387141</v>
      </c>
      <c r="Z43" s="10">
        <f>IFERROR(__xludf.DUMMYFUNCTION("ifna(QUERY($A$2:$G$2000, ""select G where D="" &amp; Z$1 &amp; "" and E="" &amp; $I43), QUERY($A$2:$G$2000, ""select G where E="" &amp; Z$1 &amp; "" and D="" &amp; $I43))"),6.671834625322997)</f>
        <v>6.671834625</v>
      </c>
      <c r="AA43" s="10">
        <f>IFERROR(__xludf.DUMMYFUNCTION("ifna(QUERY($A$2:$G$2000, ""select G where D="" &amp; AA$1 &amp; "" and E="" &amp; $I43), QUERY($A$2:$G$2000, ""select G where E="" &amp; AA$1 &amp; "" and D="" &amp; $I43))"),6.727050183598531)</f>
        <v>6.727050184</v>
      </c>
      <c r="AB43" s="10">
        <f>IFERROR(__xludf.DUMMYFUNCTION("ifna(QUERY($A$2:$G$2000, ""select G where D="" &amp; AB$1 &amp; "" and E="" &amp; $I43), QUERY($A$2:$G$2000, ""select G where E="" &amp; AB$1 &amp; "" and D="" &amp; $I43))"),6.776744186046511)</f>
        <v>6.776744186</v>
      </c>
      <c r="AC43" s="10">
        <f>IFERROR(__xludf.DUMMYFUNCTION("ifna(QUERY($A$2:$G$2000, ""select G where D="" &amp; AC$1 &amp; "" and E="" &amp; $I43), QUERY($A$2:$G$2000, ""select G where E="" &amp; AC$1 &amp; "" and D="" &amp; $I43))"),6.815060908084164)</f>
        <v>6.815060908</v>
      </c>
      <c r="AD43" s="10">
        <f>IFERROR(__xludf.DUMMYFUNCTION("ifna(QUERY($A$2:$G$2000, ""select G where D="" &amp; AD$1 &amp; "" and E="" &amp; $I43), QUERY($A$2:$G$2000, ""select G where E="" &amp; AD$1 &amp; "" and D="" &amp; $I43))"),6.849894291754757)</f>
        <v>6.849894292</v>
      </c>
      <c r="AE43" s="10">
        <f>IFERROR(__xludf.DUMMYFUNCTION("ifna(QUERY($A$2:$G$2000, ""select G where D="" &amp; AE$1 &amp; "" and E="" &amp; $I43), QUERY($A$2:$G$2000, ""select G where E="" &amp; AE$1 &amp; "" and D="" &amp; $I43))"),6.877654196157735)</f>
        <v>6.877654196</v>
      </c>
      <c r="AF43" s="10">
        <f>IFERROR(__xludf.DUMMYFUNCTION("ifna(QUERY($A$2:$G$2000, ""select G where D="" &amp; AF$1 &amp; "" and E="" &amp; $I43), QUERY($A$2:$G$2000, ""select G where E="" &amp; AF$1 &amp; "" and D="" &amp; $I43))"),6.906976744186046)</f>
        <v>6.906976744</v>
      </c>
      <c r="AG43" s="10">
        <f>IFERROR(__xludf.DUMMYFUNCTION("ifna(QUERY($A$2:$G$2000, ""select G where D="" &amp; AG$1 &amp; "" and E="" &amp; $I43), QUERY($A$2:$G$2000, ""select G where E="" &amp; AG$1 &amp; "" and D="" &amp; $I43))"),6.93953488372093)</f>
        <v>6.939534884</v>
      </c>
      <c r="AH43" s="10">
        <f>IFERROR(__xludf.DUMMYFUNCTION("ifna(QUERY($A$2:$G$2000, ""select G where D="" &amp; AH$1 &amp; "" and E="" &amp; $I43), QUERY($A$2:$G$2000, ""select G where E="" &amp; AH$1 &amp; "" and D="" &amp; $I43))"),7.003577817531306)</f>
        <v>7.003577818</v>
      </c>
      <c r="AI43" s="10">
        <f>IFERROR(__xludf.DUMMYFUNCTION("ifna(QUERY($A$2:$G$2000, ""select G where D="" &amp; AI$1 &amp; "" and E="" &amp; $I43), QUERY($A$2:$G$2000, ""select G where E="" &amp; AI$1 &amp; "" and D="" &amp; $I43))"),7.010335917312662)</f>
        <v>7.010335917</v>
      </c>
      <c r="AJ43" s="10">
        <f>IFERROR(__xludf.DUMMYFUNCTION("ifna(QUERY($A$2:$G$2000, ""select G where D="" &amp; AJ$1 &amp; "" and E="" &amp; $I43), QUERY($A$2:$G$2000, ""select G where E="" &amp; AJ$1 &amp; "" and D="" &amp; $I43))"),7.023255813953488)</f>
        <v>7.023255814</v>
      </c>
      <c r="AK43" s="10">
        <f>IFERROR(__xludf.DUMMYFUNCTION("ifna(QUERY($A$2:$G$2000, ""select G where D="" &amp; AK$1 &amp; "" and E="" &amp; $I43), QUERY($A$2:$G$2000, ""select G where E="" &amp; AK$1 &amp; "" and D="" &amp; $I43))"),7.038492381716119)</f>
        <v>7.038492382</v>
      </c>
      <c r="AL43" s="10">
        <f>IFERROR(__xludf.DUMMYFUNCTION("ifna(QUERY($A$2:$G$2000, ""select G where D="" &amp; AL$1 &amp; "" and E="" &amp; $I43), QUERY($A$2:$G$2000, ""select G where E="" &amp; AL$1 &amp; "" and D="" &amp; $I43))"),7.055813953488372)</f>
        <v>7.055813953</v>
      </c>
      <c r="AM43" s="10">
        <f>IFERROR(__xludf.DUMMYFUNCTION("ifna(QUERY($A$2:$G$2000, ""select G where D="" &amp; AM$1 &amp; "" and E="" &amp; $I43), QUERY($A$2:$G$2000, ""select G where E="" &amp; AM$1 &amp; "" and D="" &amp; $I43))"),7.0750187546886725)</f>
        <v>7.075018755</v>
      </c>
      <c r="AN43" s="10">
        <f>IFERROR(__xludf.DUMMYFUNCTION("ifna(QUERY($A$2:$G$2000, ""select G where D="" &amp; AN$1 &amp; "" and E="" &amp; $I43), QUERY($A$2:$G$2000, ""select G where E="" &amp; AN$1 &amp; "" and D="" &amp; $I43))"),7.095930232558139)</f>
        <v>7.095930233</v>
      </c>
      <c r="AO43" s="10">
        <f>IFERROR(__xludf.DUMMYFUNCTION("ifna(QUERY($A$2:$G$2000, ""select G where D="" &amp; AO$1 &amp; "" and E="" &amp; $I43), QUERY($A$2:$G$2000, ""select G where E="" &amp; AO$1 &amp; "" and D="" &amp; $I43))"),7.118393234672304)</f>
        <v>7.118393235</v>
      </c>
      <c r="AP43" s="10">
        <f>IFERROR(__xludf.DUMMYFUNCTION("ifna(QUERY($A$2:$G$2000, ""select G where D="" &amp; AP$1 &amp; "" and E="" &amp; $I43), QUERY($A$2:$G$2000, ""select G where E="" &amp; AP$1 &amp; "" and D="" &amp; $I43))"),7.142270861833105)</f>
        <v>7.142270862</v>
      </c>
      <c r="AQ43" s="10">
        <f>IFERROR(__xludf.DUMMYFUNCTION("ifna(QUERY($A$2:$G$2000, ""select G where D="" &amp; AQ$1 &amp; "" and E="" &amp; $I43), QUERY($A$2:$G$2000, ""select G where E="" &amp; AQ$1 &amp; "" and D="" &amp; $I43))"),7.167441860465116)</f>
        <v>7.16744186</v>
      </c>
      <c r="AR43" s="10">
        <f>IFERROR(__xludf.DUMMYFUNCTION("ifna(QUERY($A$2:$G$2000, ""select G where D="" &amp; AR$1 &amp; "" and E="" &amp; $I43), QUERY($A$2:$G$2000, ""select G where E="" &amp; AR$1 &amp; "" and D="" &amp; $I43))"),7.1937984496124034)</f>
        <v>7.19379845</v>
      </c>
      <c r="AS43" s="10">
        <f>IFERROR(__xludf.DUMMYFUNCTION("ifna(QUERY($A$2:$G$2000, ""select G where D="" &amp; AS$1 &amp; "" and E="" &amp; $I43), QUERY($A$2:$G$2000, ""select G where E="" &amp; AS$1 &amp; "" and D="" &amp; $I43))"),7.221244500314268)</f>
        <v>7.2212445</v>
      </c>
      <c r="AT43" s="10">
        <f>IFERROR(__xludf.DUMMYFUNCTION("ifna(QUERY($A$2:$G$2000, ""select G where D="" &amp; AT$1 &amp; "" and E="" &amp; $I43), QUERY($A$2:$G$2000, ""select G where E="" &amp; AT$1 &amp; "" and D="" &amp; $I43))"),7.24969400244798)</f>
        <v>7.249694002</v>
      </c>
      <c r="AU43" s="10">
        <f>IFERROR(__xludf.DUMMYFUNCTION("ifna(QUERY($A$2:$G$2000, ""select G where D="" &amp; AU$1 &amp; "" and E="" &amp; $I43), QUERY($A$2:$G$2000, ""select G where E="" &amp; AU$1 &amp; "" and D="" &amp; $I43))"),7.279069767441861)</f>
        <v>7.279069767</v>
      </c>
      <c r="AV43" s="10">
        <f>IFERROR(__xludf.DUMMYFUNCTION("ifna(QUERY($A$2:$G$2000, ""select G where D="" &amp; AV$1 &amp; "" and E="" &amp; $I43), QUERY($A$2:$G$2000, ""select G where E="" &amp; AV$1 &amp; "" and D="" &amp; $I43))"),7.309302325581395)</f>
        <v>7.309302326</v>
      </c>
      <c r="AW43" s="10">
        <f>IFERROR(__xludf.DUMMYFUNCTION("ifna(QUERY($A$2:$G$2000, ""select G where D="" &amp; AW$1 &amp; "" and E="" &amp; $I43), QUERY($A$2:$G$2000, ""select G where E="" &amp; AW$1 &amp; "" and D="" &amp; $I43))"),7.338060124787295)</f>
        <v>7.338060125</v>
      </c>
      <c r="AX43" s="10">
        <f>IFERROR(__xludf.DUMMYFUNCTION("ifna(QUERY($A$2:$G$2000, ""select G where D="" &amp; AX$1 &amp; "" and E="" &amp; $I43), QUERY($A$2:$G$2000, ""select G where E="" &amp; AX$1 &amp; "" and D="" &amp; $I43))"),7.36766334440753)</f>
        <v>7.367663344</v>
      </c>
      <c r="AY43" s="10">
        <f>IFERROR(__xludf.DUMMYFUNCTION("ifna(QUERY($A$2:$G$2000, ""select G where D="" &amp; AY$1 &amp; "" and E="" &amp; $I43), QUERY($A$2:$G$2000, ""select G where E="" &amp; AY$1 &amp; "" and D="" &amp; $I43))"),7.398053001622499)</f>
        <v>7.398053002</v>
      </c>
      <c r="AZ43" s="10">
        <f>IFERROR(__xludf.DUMMYFUNCTION("ifna(QUERY($A$2:$G$2000, ""select G where D="" &amp; AZ$1 &amp; "" and E="" &amp; $I43), QUERY($A$2:$G$2000, ""select G where E="" &amp; AZ$1 &amp; "" and D="" &amp; $I43))"),7.427061310782241)</f>
        <v>7.427061311</v>
      </c>
      <c r="BA43" s="10">
        <f>IFERROR(__xludf.DUMMYFUNCTION("ifna(QUERY($A$2:$G$2000, ""select G where D="" &amp; BA$1 &amp; "" and E="" &amp; $I43), QUERY($A$2:$G$2000, ""select G where E="" &amp; BA$1 &amp; "" and D="" &amp; $I43))"),7.456847545219638)</f>
        <v>7.456847545</v>
      </c>
      <c r="BB43" s="10">
        <f>IFERROR(__xludf.DUMMYFUNCTION("ifna(QUERY($A$2:$G$2000, ""select G where D="" &amp; BB$1 &amp; "" and E="" &amp; $I43), QUERY($A$2:$G$2000, ""select G where E="" &amp; BB$1 &amp; "" and D="" &amp; $I43))"),7.485338725985844)</f>
        <v>7.485338726</v>
      </c>
      <c r="BC43" s="10">
        <f>IFERROR(__xludf.DUMMYFUNCTION("ifna(QUERY($A$2:$G$2000, ""select G where D="" &amp; BC$1 &amp; "" and E="" &amp; $I43), QUERY($A$2:$G$2000, ""select G where E="" &amp; BC$1 &amp; "" and D="" &amp; $I43))"),7.514596734289955)</f>
        <v>7.514596734</v>
      </c>
      <c r="BD43" s="10">
        <f>IFERROR(__xludf.DUMMYFUNCTION("ifna(QUERY($A$2:$G$2000, ""select G where D="" &amp; BD$1 &amp; "" and E="" &amp; $I43), QUERY($A$2:$G$2000, ""select G where E="" &amp; BD$1 &amp; "" and D="" &amp; $I43))"),7.542635658914729)</f>
        <v>7.542635659</v>
      </c>
      <c r="BE43" s="10">
        <f>IFERROR(__xludf.DUMMYFUNCTION("ifna(QUERY($A$2:$G$2000, ""select G where D="" &amp; BE$1 &amp; "" and E="" &amp; $I43), QUERY($A$2:$G$2000, ""select G where E="" &amp; BE$1 &amp; "" and D="" &amp; $I43))"),7.571428571428571)</f>
        <v>7.571428571</v>
      </c>
      <c r="BF43" s="10">
        <f>IFERROR(__xludf.DUMMYFUNCTION("ifna(QUERY($A$2:$G$2000, ""select G where D="" &amp; BF$1 &amp; "" and E="" &amp; $I43), QUERY($A$2:$G$2000, ""select G where E="" &amp; BF$1 &amp; "" and D="" &amp; $I43))"),7.59906976744186)</f>
        <v>7.599069767</v>
      </c>
      <c r="BG43" s="10">
        <f>IFERROR(__xludf.DUMMYFUNCTION("ifna(QUERY($A$2:$G$2000, ""select G where D="" &amp; BG$1 &amp; "" and E="" &amp; $I43), QUERY($A$2:$G$2000, ""select G where E="" &amp; BG$1 &amp; "" and D="" &amp; $I43))"),7.6256269949840405)</f>
        <v>7.625626995</v>
      </c>
      <c r="BH43" s="10">
        <f>IFERROR(__xludf.DUMMYFUNCTION("ifna(QUERY($A$2:$G$2000, ""select G where D="" &amp; BH$1 &amp; "" and E="" &amp; $I43), QUERY($A$2:$G$2000, ""select G where E="" &amp; BH$1 &amp; "" and D="" &amp; $I43))"),7.651162790697675)</f>
        <v>7.651162791</v>
      </c>
      <c r="BI43" s="10">
        <f>IFERROR(__xludf.DUMMYFUNCTION("ifna(QUERY($A$2:$G$2000, ""select G where D="" &amp; BI$1 &amp; "" and E="" &amp; $I43), QUERY($A$2:$G$2000, ""select G where E="" &amp; BI$1 &amp; "" and D="" &amp; $I43))"),7.6748573935936815)</f>
        <v>7.674857394</v>
      </c>
      <c r="BJ43" s="10">
        <f>IFERROR(__xludf.DUMMYFUNCTION("ifna(QUERY($A$2:$G$2000, ""select G where D="" &amp; BJ$1 &amp; "" and E="" &amp; $I43), QUERY($A$2:$G$2000, ""select G where E="" &amp; BJ$1 &amp; "" and D="" &amp; $I43))"),7.6976744186046515)</f>
        <v>7.697674419</v>
      </c>
      <c r="BK43" s="10">
        <f>IFERROR(__xludf.DUMMYFUNCTION("ifna(QUERY($A$2:$G$2000, ""select G where D="" &amp; BK$1 &amp; "" and E="" &amp; $I43), QUERY($A$2:$G$2000, ""select G where E="" &amp; BK$1 &amp; "" and D="" &amp; $I43))"),7.717970401691332)</f>
        <v>7.717970402</v>
      </c>
      <c r="BL43" s="10"/>
      <c r="BM43" s="10"/>
      <c r="BN43" s="10"/>
      <c r="BO43" s="10"/>
    </row>
    <row r="44">
      <c r="A44" s="3">
        <v>4.0</v>
      </c>
      <c r="B44" s="3">
        <v>8.0</v>
      </c>
      <c r="C44" s="3">
        <v>48.0</v>
      </c>
      <c r="D44" s="3">
        <v>11.0</v>
      </c>
      <c r="E44" s="3">
        <v>3.0</v>
      </c>
      <c r="F44" s="11">
        <f t="shared" si="1"/>
        <v>0.1666666667</v>
      </c>
      <c r="G44" s="5">
        <f t="shared" si="2"/>
        <v>3.833333333</v>
      </c>
      <c r="H44" s="3">
        <v>44.0</v>
      </c>
      <c r="I44" s="2">
        <v>43.0</v>
      </c>
      <c r="J44" s="10">
        <f>IFERROR(__xludf.DUMMYFUNCTION("ifna(QUERY($A$2:$G$2000, ""select G where D="" &amp; J$1 &amp; "" and E="" &amp; $I44), QUERY($A$2:$G$2000, ""select G where E="" &amp; J$1 &amp; "" and D="" &amp; $I44))"),5.5)</f>
        <v>5.5</v>
      </c>
      <c r="K44" s="10">
        <f>IFERROR(__xludf.DUMMYFUNCTION("ifna(QUERY($A$2:$G$2000, ""select G where D="" &amp; K$1 &amp; "" and E="" &amp; $I44), QUERY($A$2:$G$2000, ""select G where E="" &amp; K$1 &amp; "" and D="" &amp; $I44))"),5.53030303030303)</f>
        <v>5.53030303</v>
      </c>
      <c r="L44" s="10">
        <f>IFERROR(__xludf.DUMMYFUNCTION("ifna(QUERY($A$2:$G$2000, ""select G where D="" &amp; L$1 &amp; "" and E="" &amp; $I44), QUERY($A$2:$G$2000, ""select G where E="" &amp; L$1 &amp; "" and D="" &amp; $I44))"),5.636363636363637)</f>
        <v>5.636363636</v>
      </c>
      <c r="M44" s="10">
        <f>IFERROR(__xludf.DUMMYFUNCTION("ifna(QUERY($A$2:$G$2000, ""select G where D="" &amp; M$1 &amp; "" and E="" &amp; $I44), QUERY($A$2:$G$2000, ""select G where E="" &amp; M$1 &amp; "" and D="" &amp; $I44))"),5.745454545454545)</f>
        <v>5.745454545</v>
      </c>
      <c r="N44" s="10">
        <f>IFERROR(__xludf.DUMMYFUNCTION("ifna(QUERY($A$2:$G$2000, ""select G where D="" &amp; N$1 &amp; "" and E="" &amp; $I44), QUERY($A$2:$G$2000, ""select G where E="" &amp; N$1 &amp; "" and D="" &amp; $I44))"),5.848484848484849)</f>
        <v>5.848484848</v>
      </c>
      <c r="O44" s="10">
        <f>IFERROR(__xludf.DUMMYFUNCTION("ifna(QUERY($A$2:$G$2000, ""select G where D="" &amp; O$1 &amp; "" and E="" &amp; $I44), QUERY($A$2:$G$2000, ""select G where E="" &amp; O$1 &amp; "" and D="" &amp; $I44))"),5.909090909090909)</f>
        <v>5.909090909</v>
      </c>
      <c r="P44" s="10">
        <f>IFERROR(__xludf.DUMMYFUNCTION("ifna(QUERY($A$2:$G$2000, ""select G where D="" &amp; P$1 &amp; "" and E="" &amp; $I44), QUERY($A$2:$G$2000, ""select G where E="" &amp; P$1 &amp; "" and D="" &amp; $I44))"),6.011363636363637)</f>
        <v>6.011363636</v>
      </c>
      <c r="Q44" s="10">
        <f>IFERROR(__xludf.DUMMYFUNCTION("ifna(QUERY($A$2:$G$2000, ""select G where D="" &amp; Q$1 &amp; "" and E="" &amp; $I44), QUERY($A$2:$G$2000, ""select G where E="" &amp; Q$1 &amp; "" and D="" &amp; $I44))"),6.0606060606060606)</f>
        <v>6.060606061</v>
      </c>
      <c r="R44" s="10">
        <f>IFERROR(__xludf.DUMMYFUNCTION("ifna(QUERY($A$2:$G$2000, ""select G where D="" &amp; R$1 &amp; "" and E="" &amp; $I44), QUERY($A$2:$G$2000, ""select G where E="" &amp; R$1 &amp; "" and D="" &amp; $I44))"),6.118181818181818)</f>
        <v>6.118181818</v>
      </c>
      <c r="S44" s="10">
        <f>IFERROR(__xludf.DUMMYFUNCTION("ifna(QUERY($A$2:$G$2000, ""select G where D="" &amp; S$1 &amp; "" and E="" &amp; $I44), QUERY($A$2:$G$2000, ""select G where E="" &amp; S$1 &amp; "" and D="" &amp; $I44))"),6.190082644628099)</f>
        <v>6.190082645</v>
      </c>
      <c r="T44" s="10">
        <f>IFERROR(__xludf.DUMMYFUNCTION("ifna(QUERY($A$2:$G$2000, ""select G where D="" &amp; T$1 &amp; "" and E="" &amp; $I44), QUERY($A$2:$G$2000, ""select G where E="" &amp; T$1 &amp; "" and D="" &amp; $I44))"),6.265151515151516)</f>
        <v>6.265151515</v>
      </c>
      <c r="U44" s="10">
        <f>IFERROR(__xludf.DUMMYFUNCTION("ifna(QUERY($A$2:$G$2000, ""select G where D="" &amp; U$1 &amp; "" and E="" &amp; $I44), QUERY($A$2:$G$2000, ""select G where E="" &amp; U$1 &amp; "" and D="" &amp; $I44))"),6.3426573426573425)</f>
        <v>6.342657343</v>
      </c>
      <c r="V44" s="10">
        <f>IFERROR(__xludf.DUMMYFUNCTION("ifna(QUERY($A$2:$G$2000, ""select G where D="" &amp; V$1 &amp; "" and E="" &amp; $I44), QUERY($A$2:$G$2000, ""select G where E="" &amp; V$1 &amp; "" and D="" &amp; $I44))"),6.422077922077922)</f>
        <v>6.422077922</v>
      </c>
      <c r="W44" s="10">
        <f>IFERROR(__xludf.DUMMYFUNCTION("ifna(QUERY($A$2:$G$2000, ""select G where D="" &amp; W$1 &amp; "" and E="" &amp; $I44), QUERY($A$2:$G$2000, ""select G where E="" &amp; W$1 &amp; "" and D="" &amp; $I44))"),6.5)</f>
        <v>6.5</v>
      </c>
      <c r="X44" s="10">
        <f>IFERROR(__xludf.DUMMYFUNCTION("ifna(QUERY($A$2:$G$2000, ""select G where D="" &amp; X$1 &amp; "" and E="" &amp; $I44), QUERY($A$2:$G$2000, ""select G where E="" &amp; X$1 &amp; "" and D="" &amp; $I44))"),6.573863636363637)</f>
        <v>6.573863636</v>
      </c>
      <c r="Y44" s="10">
        <f>IFERROR(__xludf.DUMMYFUNCTION("ifna(QUERY($A$2:$G$2000, ""select G where D="" &amp; Y$1 &amp; "" and E="" &amp; $I44), QUERY($A$2:$G$2000, ""select G where E="" &amp; Y$1 &amp; "" and D="" &amp; $I44))"),6.63903743315508)</f>
        <v>6.639037433</v>
      </c>
      <c r="Z44" s="10">
        <f>IFERROR(__xludf.DUMMYFUNCTION("ifna(QUERY($A$2:$G$2000, ""select G where D="" &amp; Z$1 &amp; "" and E="" &amp; $I44), QUERY($A$2:$G$2000, ""select G where E="" &amp; Z$1 &amp; "" and D="" &amp; $I44))"),6.702020202020202)</f>
        <v>6.702020202</v>
      </c>
      <c r="AA44" s="10">
        <f>IFERROR(__xludf.DUMMYFUNCTION("ifna(QUERY($A$2:$G$2000, ""select G where D="" &amp; AA$1 &amp; "" and E="" &amp; $I44), QUERY($A$2:$G$2000, ""select G where E="" &amp; AA$1 &amp; "" and D="" &amp; $I44))"),6.753588516746412)</f>
        <v>6.753588517</v>
      </c>
      <c r="AB44" s="10">
        <f>IFERROR(__xludf.DUMMYFUNCTION("ifna(QUERY($A$2:$G$2000, ""select G where D="" &amp; AB$1 &amp; "" and E="" &amp; $I44), QUERY($A$2:$G$2000, ""select G where E="" &amp; AB$1 &amp; "" and D="" &amp; $I44))"),6.8)</f>
        <v>6.8</v>
      </c>
      <c r="AC44" s="10">
        <f>IFERROR(__xludf.DUMMYFUNCTION("ifna(QUERY($A$2:$G$2000, ""select G where D="" &amp; AC$1 &amp; "" and E="" &amp; $I44), QUERY($A$2:$G$2000, ""select G where E="" &amp; AC$1 &amp; "" and D="" &amp; $I44))"),6.8354978354978355)</f>
        <v>6.835497835</v>
      </c>
      <c r="AD44" s="10">
        <f>IFERROR(__xludf.DUMMYFUNCTION("ifna(QUERY($A$2:$G$2000, ""select G where D="" &amp; AD$1 &amp; "" and E="" &amp; $I44), QUERY($A$2:$G$2000, ""select G where E="" &amp; AD$1 &amp; "" and D="" &amp; $I44))"),6.867768595041323)</f>
        <v>6.867768595</v>
      </c>
      <c r="AE44" s="10">
        <f>IFERROR(__xludf.DUMMYFUNCTION("ifna(QUERY($A$2:$G$2000, ""select G where D="" &amp; AE$1 &amp; "" and E="" &amp; $I44), QUERY($A$2:$G$2000, ""select G where E="" &amp; AE$1 &amp; "" and D="" &amp; $I44))"),6.893280632411067)</f>
        <v>6.893280632</v>
      </c>
      <c r="AF44" s="10">
        <f>IFERROR(__xludf.DUMMYFUNCTION("ifna(QUERY($A$2:$G$2000, ""select G where D="" &amp; AF$1 &amp; "" and E="" &amp; $I44), QUERY($A$2:$G$2000, ""select G where E="" &amp; AF$1 &amp; "" and D="" &amp; $I44))"),6.926136363636363)</f>
        <v>6.926136364</v>
      </c>
      <c r="AG44" s="10">
        <f>IFERROR(__xludf.DUMMYFUNCTION("ifna(QUERY($A$2:$G$2000, ""select G where D="" &amp; AG$1 &amp; "" and E="" &amp; $I44), QUERY($A$2:$G$2000, ""select G where E="" &amp; AG$1 &amp; "" and D="" &amp; $I44))"),6.990909090909091)</f>
        <v>6.990909091</v>
      </c>
      <c r="AH44" s="10">
        <f>IFERROR(__xludf.DUMMYFUNCTION("ifna(QUERY($A$2:$G$2000, ""select G where D="" &amp; AH$1 &amp; "" and E="" &amp; $I44), QUERY($A$2:$G$2000, ""select G where E="" &amp; AH$1 &amp; "" and D="" &amp; $I44))"),7.006993006993007)</f>
        <v>7.006993007</v>
      </c>
      <c r="AI44" s="10">
        <f>IFERROR(__xludf.DUMMYFUNCTION("ifna(QUERY($A$2:$G$2000, ""select G where D="" &amp; AI$1 &amp; "" and E="" &amp; $I44), QUERY($A$2:$G$2000, ""select G where E="" &amp; AI$1 &amp; "" and D="" &amp; $I44))"),7.016835016835017)</f>
        <v>7.016835017</v>
      </c>
      <c r="AJ44" s="10">
        <f>IFERROR(__xludf.DUMMYFUNCTION("ifna(QUERY($A$2:$G$2000, ""select G where D="" &amp; AJ$1 &amp; "" and E="" &amp; $I44), QUERY($A$2:$G$2000, ""select G where E="" &amp; AJ$1 &amp; "" and D="" &amp; $I44))"),7.032467532467533)</f>
        <v>7.032467532</v>
      </c>
      <c r="AK44" s="10">
        <f>IFERROR(__xludf.DUMMYFUNCTION("ifna(QUERY($A$2:$G$2000, ""select G where D="" &amp; AK$1 &amp; "" and E="" &amp; $I44), QUERY($A$2:$G$2000, ""select G where E="" &amp; AK$1 &amp; "" and D="" &amp; $I44))"),7.0501567398119125)</f>
        <v>7.05015674</v>
      </c>
      <c r="AL44" s="10">
        <f>IFERROR(__xludf.DUMMYFUNCTION("ifna(QUERY($A$2:$G$2000, ""select G where D="" &amp; AL$1 &amp; "" and E="" &amp; $I44), QUERY($A$2:$G$2000, ""select G where E="" &amp; AL$1 &amp; "" and D="" &amp; $I44))"),7.069696969696969)</f>
        <v>7.06969697</v>
      </c>
      <c r="AM44" s="10">
        <f>IFERROR(__xludf.DUMMYFUNCTION("ifna(QUERY($A$2:$G$2000, ""select G where D="" &amp; AM$1 &amp; "" and E="" &amp; $I44), QUERY($A$2:$G$2000, ""select G where E="" &amp; AM$1 &amp; "" and D="" &amp; $I44))"),7.090909090909091)</f>
        <v>7.090909091</v>
      </c>
      <c r="AN44" s="10">
        <f>IFERROR(__xludf.DUMMYFUNCTION("ifna(QUERY($A$2:$G$2000, ""select G where D="" &amp; AN$1 &amp; "" and E="" &amp; $I44), QUERY($A$2:$G$2000, ""select G where E="" &amp; AN$1 &amp; "" and D="" &amp; $I44))"),7.113636363636363)</f>
        <v>7.113636364</v>
      </c>
      <c r="AO44" s="10">
        <f>IFERROR(__xludf.DUMMYFUNCTION("ifna(QUERY($A$2:$G$2000, ""select G where D="" &amp; AO$1 &amp; "" and E="" &amp; $I44), QUERY($A$2:$G$2000, ""select G where E="" &amp; AO$1 &amp; "" and D="" &amp; $I44))"),7.137741046831956)</f>
        <v>7.137741047</v>
      </c>
      <c r="AP44" s="10">
        <f>IFERROR(__xludf.DUMMYFUNCTION("ifna(QUERY($A$2:$G$2000, ""select G where D="" &amp; AP$1 &amp; "" and E="" &amp; $I44), QUERY($A$2:$G$2000, ""select G where E="" &amp; AP$1 &amp; "" and D="" &amp; $I44))"),7.163101604278075)</f>
        <v>7.163101604</v>
      </c>
      <c r="AQ44" s="10">
        <f>IFERROR(__xludf.DUMMYFUNCTION("ifna(QUERY($A$2:$G$2000, ""select G where D="" &amp; AQ$1 &amp; "" and E="" &amp; $I44), QUERY($A$2:$G$2000, ""select G where E="" &amp; AQ$1 &amp; "" and D="" &amp; $I44))"),7.189610389610389)</f>
        <v>7.18961039</v>
      </c>
      <c r="AR44" s="10">
        <f>IFERROR(__xludf.DUMMYFUNCTION("ifna(QUERY($A$2:$G$2000, ""select G where D="" &amp; AR$1 &amp; "" and E="" &amp; $I44), QUERY($A$2:$G$2000, ""select G where E="" &amp; AR$1 &amp; "" and D="" &amp; $I44))"),7.217171717171717)</f>
        <v>7.217171717</v>
      </c>
      <c r="AS44" s="10">
        <f>IFERROR(__xludf.DUMMYFUNCTION("ifna(QUERY($A$2:$G$2000, ""select G where D="" &amp; AS$1 &amp; "" and E="" &amp; $I44), QUERY($A$2:$G$2000, ""select G where E="" &amp; AS$1 &amp; "" and D="" &amp; $I44))"),7.245700245700245)</f>
        <v>7.245700246</v>
      </c>
      <c r="AT44" s="10">
        <f>IFERROR(__xludf.DUMMYFUNCTION("ifna(QUERY($A$2:$G$2000, ""select G where D="" &amp; AT$1 &amp; "" and E="" &amp; $I44), QUERY($A$2:$G$2000, ""select G where E="" &amp; AT$1 &amp; "" and D="" &amp; $I44))"),7.27511961722488)</f>
        <v>7.275119617</v>
      </c>
      <c r="AU44" s="10">
        <f>IFERROR(__xludf.DUMMYFUNCTION("ifna(QUERY($A$2:$G$2000, ""select G where D="" &amp; AU$1 &amp; "" and E="" &amp; $I44), QUERY($A$2:$G$2000, ""select G where E="" &amp; AU$1 &amp; "" and D="" &amp; $I44))"),7.305361305361306)</f>
        <v>7.305361305</v>
      </c>
      <c r="AV44" s="10">
        <f>IFERROR(__xludf.DUMMYFUNCTION("ifna(QUERY($A$2:$G$2000, ""select G where D="" &amp; AV$1 &amp; "" and E="" &amp; $I44), QUERY($A$2:$G$2000, ""select G where E="" &amp; AV$1 &amp; "" and D="" &amp; $I44))"),7.336363636363636)</f>
        <v>7.336363636</v>
      </c>
      <c r="AW44" s="10">
        <f>IFERROR(__xludf.DUMMYFUNCTION("ifna(QUERY($A$2:$G$2000, ""select G where D="" &amp; AW$1 &amp; "" and E="" &amp; $I44), QUERY($A$2:$G$2000, ""select G where E="" &amp; AW$1 &amp; "" and D="" &amp; $I44))"),7.365853658536586)</f>
        <v>7.365853659</v>
      </c>
      <c r="AX44" s="10">
        <f>IFERROR(__xludf.DUMMYFUNCTION("ifna(QUERY($A$2:$G$2000, ""select G where D="" &amp; AX$1 &amp; "" and E="" &amp; $I44), QUERY($A$2:$G$2000, ""select G where E="" &amp; AX$1 &amp; "" and D="" &amp; $I44))"),7.396103896103896)</f>
        <v>7.396103896</v>
      </c>
      <c r="AY44" s="10">
        <f>IFERROR(__xludf.DUMMYFUNCTION("ifna(QUERY($A$2:$G$2000, ""select G where D="" &amp; AY$1 &amp; "" and E="" &amp; $I44), QUERY($A$2:$G$2000, ""select G where E="" &amp; AY$1 &amp; "" and D="" &amp; $I44))"),7.427061310782241)</f>
        <v>7.427061311</v>
      </c>
      <c r="AZ44" s="10">
        <f>IFERROR(__xludf.DUMMYFUNCTION("ifna(QUERY($A$2:$G$2000, ""select G where D="" &amp; AZ$1 &amp; "" and E="" &amp; $I44), QUERY($A$2:$G$2000, ""select G where E="" &amp; AZ$1 &amp; "" and D="" &amp; $I44))"),7.456611570247934)</f>
        <v>7.45661157</v>
      </c>
      <c r="BA44" s="10">
        <f>IFERROR(__xludf.DUMMYFUNCTION("ifna(QUERY($A$2:$G$2000, ""select G where D="" &amp; BA$1 &amp; "" and E="" &amp; $I44), QUERY($A$2:$G$2000, ""select G where E="" &amp; BA$1 &amp; "" and D="" &amp; $I44))"),7.486868686868687)</f>
        <v>7.486868687</v>
      </c>
      <c r="BB44" s="10">
        <f>IFERROR(__xludf.DUMMYFUNCTION("ifna(QUERY($A$2:$G$2000, ""select G where D="" &amp; BB$1 &amp; "" and E="" &amp; $I44), QUERY($A$2:$G$2000, ""select G where E="" &amp; BB$1 &amp; "" and D="" &amp; $I44))"),7.515810276679842)</f>
        <v>7.515810277</v>
      </c>
      <c r="BC44" s="10">
        <f>IFERROR(__xludf.DUMMYFUNCTION("ifna(QUERY($A$2:$G$2000, ""select G where D="" &amp; BC$1 &amp; "" and E="" &amp; $I44), QUERY($A$2:$G$2000, ""select G where E="" &amp; BC$1 &amp; "" and D="" &amp; $I44))"),7.545454545454546)</f>
        <v>7.545454545</v>
      </c>
      <c r="BD44" s="10">
        <f>IFERROR(__xludf.DUMMYFUNCTION("ifna(QUERY($A$2:$G$2000, ""select G where D="" &amp; BD$1 &amp; "" and E="" &amp; $I44), QUERY($A$2:$G$2000, ""select G where E="" &amp; BD$1 &amp; "" and D="" &amp; $I44))"),7.573863636363637)</f>
        <v>7.573863636</v>
      </c>
      <c r="BE44" s="10">
        <f>IFERROR(__xludf.DUMMYFUNCTION("ifna(QUERY($A$2:$G$2000, ""select G where D="" &amp; BE$1 &amp; "" and E="" &amp; $I44), QUERY($A$2:$G$2000, ""select G where E="" &amp; BE$1 &amp; "" and D="" &amp; $I44))"),7.602968460111318)</f>
        <v>7.60296846</v>
      </c>
      <c r="BF44" s="10">
        <f>IFERROR(__xludf.DUMMYFUNCTION("ifna(QUERY($A$2:$G$2000, ""select G where D="" &amp; BF$1 &amp; "" and E="" &amp; $I44), QUERY($A$2:$G$2000, ""select G where E="" &amp; BF$1 &amp; "" and D="" &amp; $I44))"),7.630909090909091)</f>
        <v>7.630909091</v>
      </c>
      <c r="BG44" s="10">
        <f>IFERROR(__xludf.DUMMYFUNCTION("ifna(QUERY($A$2:$G$2000, ""select G where D="" &amp; BG$1 &amp; "" and E="" &amp; $I44), QUERY($A$2:$G$2000, ""select G where E="" &amp; BG$1 &amp; "" and D="" &amp; $I44))"),7.6559714795008915)</f>
        <v>7.65597148</v>
      </c>
      <c r="BH44" s="10">
        <f>IFERROR(__xludf.DUMMYFUNCTION("ifna(QUERY($A$2:$G$2000, ""select G where D="" &amp; BH$1 &amp; "" and E="" &amp; $I44), QUERY($A$2:$G$2000, ""select G where E="" &amp; BH$1 &amp; "" and D="" &amp; $I44))"),7.68006993006993)</f>
        <v>7.68006993</v>
      </c>
      <c r="BI44" s="10">
        <f>IFERROR(__xludf.DUMMYFUNCTION("ifna(QUERY($A$2:$G$2000, ""select G where D="" &amp; BI$1 &amp; "" and E="" &amp; $I44), QUERY($A$2:$G$2000, ""select G where E="" &amp; BI$1 &amp; "" and D="" &amp; $I44))"),7.702401372212693)</f>
        <v>7.702401372</v>
      </c>
      <c r="BJ44" s="10">
        <f>IFERROR(__xludf.DUMMYFUNCTION("ifna(QUERY($A$2:$G$2000, ""select G where D="" &amp; BJ$1 &amp; "" and E="" &amp; $I44), QUERY($A$2:$G$2000, ""select G where E="" &amp; BJ$1 &amp; "" and D="" &amp; $I44))"),7.723905723905724)</f>
        <v>7.723905724</v>
      </c>
      <c r="BK44" s="10">
        <f>IFERROR(__xludf.DUMMYFUNCTION("ifna(QUERY($A$2:$G$2000, ""select G where D="" &amp; BK$1 &amp; "" and E="" &amp; $I44), QUERY($A$2:$G$2000, ""select G where E="" &amp; BK$1 &amp; "" and D="" &amp; $I44))"),7.74297520661157)</f>
        <v>7.742975207</v>
      </c>
      <c r="BL44" s="10"/>
      <c r="BM44" s="10"/>
      <c r="BN44" s="10"/>
      <c r="BO44" s="10"/>
    </row>
    <row r="45">
      <c r="A45" s="3">
        <v>4.0</v>
      </c>
      <c r="B45" s="3">
        <v>10.0</v>
      </c>
      <c r="C45" s="3">
        <v>26.0</v>
      </c>
      <c r="D45" s="3">
        <v>12.0</v>
      </c>
      <c r="E45" s="3">
        <v>1.0</v>
      </c>
      <c r="F45" s="11">
        <f t="shared" si="1"/>
        <v>0.3846153846</v>
      </c>
      <c r="G45" s="5">
        <f t="shared" si="2"/>
        <v>3.615384615</v>
      </c>
      <c r="H45" s="3">
        <v>45.0</v>
      </c>
      <c r="I45" s="2">
        <v>44.0</v>
      </c>
      <c r="J45" s="10">
        <f>IFERROR(__xludf.DUMMYFUNCTION("ifna(QUERY($A$2:$G$2000, ""select G where D="" &amp; J$1 &amp; "" and E="" &amp; $I45), QUERY($A$2:$G$2000, ""select G where E="" &amp; J$1 &amp; "" and D="" &amp; $I45))"),5.533333333333333)</f>
        <v>5.533333333</v>
      </c>
      <c r="K45" s="10">
        <f>IFERROR(__xludf.DUMMYFUNCTION("ifna(QUERY($A$2:$G$2000, ""select G where D="" &amp; K$1 &amp; "" and E="" &amp; $I45), QUERY($A$2:$G$2000, ""select G where E="" &amp; K$1 &amp; "" and D="" &amp; $I45))"),5.562962962962963)</f>
        <v>5.562962963</v>
      </c>
      <c r="L45" s="10">
        <f>IFERROR(__xludf.DUMMYFUNCTION("ifna(QUERY($A$2:$G$2000, ""select G where D="" &amp; L$1 &amp; "" and E="" &amp; $I45), QUERY($A$2:$G$2000, ""select G where E="" &amp; L$1 &amp; "" and D="" &amp; $I45))"),5.666666666666667)</f>
        <v>5.666666667</v>
      </c>
      <c r="M45" s="10">
        <f>IFERROR(__xludf.DUMMYFUNCTION("ifna(QUERY($A$2:$G$2000, ""select G where D="" &amp; M$1 &amp; "" and E="" &amp; $I45), QUERY($A$2:$G$2000, ""select G where E="" &amp; M$1 &amp; "" and D="" &amp; $I45))"),5.773333333333333)</f>
        <v>5.773333333</v>
      </c>
      <c r="N45" s="10">
        <f>IFERROR(__xludf.DUMMYFUNCTION("ifna(QUERY($A$2:$G$2000, ""select G where D="" &amp; N$1 &amp; "" and E="" &amp; $I45), QUERY($A$2:$G$2000, ""select G where E="" &amp; N$1 &amp; "" and D="" &amp; $I45))"),5.874074074074074)</f>
        <v>5.874074074</v>
      </c>
      <c r="O45" s="10">
        <f>IFERROR(__xludf.DUMMYFUNCTION("ifna(QUERY($A$2:$G$2000, ""select G where D="" &amp; O$1 &amp; "" and E="" &amp; $I45), QUERY($A$2:$G$2000, ""select G where E="" &amp; O$1 &amp; "" and D="" &amp; $I45))"),5.926984126984127)</f>
        <v>5.926984127</v>
      </c>
      <c r="P45" s="10">
        <f>IFERROR(__xludf.DUMMYFUNCTION("ifna(QUERY($A$2:$G$2000, ""select G where D="" &amp; P$1 &amp; "" and E="" &amp; $I45), QUERY($A$2:$G$2000, ""select G where E="" &amp; P$1 &amp; "" and D="" &amp; $I45))"),6.022222222222222)</f>
        <v>6.022222222</v>
      </c>
      <c r="Q45" s="10">
        <f>IFERROR(__xludf.DUMMYFUNCTION("ifna(QUERY($A$2:$G$2000, ""select G where D="" &amp; Q$1 &amp; "" and E="" &amp; $I45), QUERY($A$2:$G$2000, ""select G where E="" &amp; Q$1 &amp; "" and D="" &amp; $I45))"),6.079012345679012)</f>
        <v>6.079012346</v>
      </c>
      <c r="R45" s="10">
        <f>IFERROR(__xludf.DUMMYFUNCTION("ifna(QUERY($A$2:$G$2000, ""select G where D="" &amp; R$1 &amp; "" and E="" &amp; $I45), QUERY($A$2:$G$2000, ""select G where E="" &amp; R$1 &amp; "" and D="" &amp; $I45))"),6.142222222222222)</f>
        <v>6.142222222</v>
      </c>
      <c r="S45" s="10">
        <f>IFERROR(__xludf.DUMMYFUNCTION("ifna(QUERY($A$2:$G$2000, ""select G where D="" &amp; S$1 &amp; "" and E="" &amp; $I45), QUERY($A$2:$G$2000, ""select G where E="" &amp; S$1 &amp; "" and D="" &amp; $I45))"),6.218181818181818)</f>
        <v>6.218181818</v>
      </c>
      <c r="T45" s="10">
        <f>IFERROR(__xludf.DUMMYFUNCTION("ifna(QUERY($A$2:$G$2000, ""select G where D="" &amp; T$1 &amp; "" and E="" &amp; $I45), QUERY($A$2:$G$2000, ""select G where E="" &amp; T$1 &amp; "" and D="" &amp; $I45))"),6.296296296296296)</f>
        <v>6.296296296</v>
      </c>
      <c r="U45" s="10">
        <f>IFERROR(__xludf.DUMMYFUNCTION("ifna(QUERY($A$2:$G$2000, ""select G where D="" &amp; U$1 &amp; "" and E="" &amp; $I45), QUERY($A$2:$G$2000, ""select G where E="" &amp; U$1 &amp; "" and D="" &amp; $I45))"),6.3760683760683765)</f>
        <v>6.376068376</v>
      </c>
      <c r="V45" s="10">
        <f>IFERROR(__xludf.DUMMYFUNCTION("ifna(QUERY($A$2:$G$2000, ""select G where D="" &amp; V$1 &amp; "" and E="" &amp; $I45), QUERY($A$2:$G$2000, ""select G where E="" &amp; V$1 &amp; "" and D="" &amp; $I45))"),6.457142857142857)</f>
        <v>6.457142857</v>
      </c>
      <c r="W45" s="10">
        <f>IFERROR(__xludf.DUMMYFUNCTION("ifna(QUERY($A$2:$G$2000, ""select G where D="" &amp; W$1 &amp; "" and E="" &amp; $I45), QUERY($A$2:$G$2000, ""select G where E="" &amp; W$1 &amp; "" and D="" &amp; $I45))"),6.533333333333333)</f>
        <v>6.533333333</v>
      </c>
      <c r="X45" s="10">
        <f>IFERROR(__xludf.DUMMYFUNCTION("ifna(QUERY($A$2:$G$2000, ""select G where D="" &amp; X$1 &amp; "" and E="" &amp; $I45), QUERY($A$2:$G$2000, ""select G where E="" &amp; X$1 &amp; "" and D="" &amp; $I45))"),6.605555555555555)</f>
        <v>6.605555556</v>
      </c>
      <c r="Y45" s="10">
        <f>IFERROR(__xludf.DUMMYFUNCTION("ifna(QUERY($A$2:$G$2000, ""select G where D="" &amp; Y$1 &amp; "" and E="" &amp; $I45), QUERY($A$2:$G$2000, ""select G where E="" &amp; Y$1 &amp; "" and D="" &amp; $I45))"),6.669281045751634)</f>
        <v>6.669281046</v>
      </c>
      <c r="Z45" s="10">
        <f>IFERROR(__xludf.DUMMYFUNCTION("ifna(QUERY($A$2:$G$2000, ""select G where D="" &amp; Z$1 &amp; "" and E="" &amp; $I45), QUERY($A$2:$G$2000, ""select G where E="" &amp; Z$1 &amp; "" and D="" &amp; $I45))"),6.728395061728395)</f>
        <v>6.728395062</v>
      </c>
      <c r="AA45" s="10">
        <f>IFERROR(__xludf.DUMMYFUNCTION("ifna(QUERY($A$2:$G$2000, ""select G where D="" &amp; AA$1 &amp; "" and E="" &amp; $I45), QUERY($A$2:$G$2000, ""select G where E="" &amp; AA$1 &amp; "" and D="" &amp; $I45))"),6.776608187134503)</f>
        <v>6.776608187</v>
      </c>
      <c r="AB45" s="10">
        <f>IFERROR(__xludf.DUMMYFUNCTION("ifna(QUERY($A$2:$G$2000, ""select G where D="" &amp; AB$1 &amp; "" and E="" &amp; $I45), QUERY($A$2:$G$2000, ""select G where E="" &amp; AB$1 &amp; "" and D="" &amp; $I45))"),6.82)</f>
        <v>6.82</v>
      </c>
      <c r="AC45" s="10">
        <f>IFERROR(__xludf.DUMMYFUNCTION("ifna(QUERY($A$2:$G$2000, ""select G where D="" &amp; AC$1 &amp; "" and E="" &amp; $I45), QUERY($A$2:$G$2000, ""select G where E="" &amp; AC$1 &amp; "" and D="" &amp; $I45))"),6.852910052910053)</f>
        <v>6.852910053</v>
      </c>
      <c r="AD45" s="10">
        <f>IFERROR(__xludf.DUMMYFUNCTION("ifna(QUERY($A$2:$G$2000, ""select G where D="" &amp; AD$1 &amp; "" and E="" &amp; $I45), QUERY($A$2:$G$2000, ""select G where E="" &amp; AD$1 &amp; "" and D="" &amp; $I45))"),6.8828282828282825)</f>
        <v>6.882828283</v>
      </c>
      <c r="AE45" s="10">
        <f>IFERROR(__xludf.DUMMYFUNCTION("ifna(QUERY($A$2:$G$2000, ""select G where D="" &amp; AE$1 &amp; "" and E="" &amp; $I45), QUERY($A$2:$G$2000, ""select G where E="" &amp; AE$1 &amp; "" and D="" &amp; $I45))"),6.91207729468599)</f>
        <v>6.912077295</v>
      </c>
      <c r="AF45" s="10">
        <f>IFERROR(__xludf.DUMMYFUNCTION("ifna(QUERY($A$2:$G$2000, ""select G where D="" &amp; AF$1 &amp; "" and E="" &amp; $I45), QUERY($A$2:$G$2000, ""select G where E="" &amp; AF$1 &amp; "" and D="" &amp; $I45))"),6.95)</f>
        <v>6.95</v>
      </c>
      <c r="AG45" s="10">
        <f>IFERROR(__xludf.DUMMYFUNCTION("ifna(QUERY($A$2:$G$2000, ""select G where D="" &amp; AG$1 &amp; "" and E="" &amp; $I45), QUERY($A$2:$G$2000, ""select G where E="" &amp; AG$1 &amp; "" and D="" &amp; $I45))"),7.003555555555556)</f>
        <v>7.003555556</v>
      </c>
      <c r="AH45" s="10">
        <f>IFERROR(__xludf.DUMMYFUNCTION("ifna(QUERY($A$2:$G$2000, ""select G where D="" &amp; AH$1 &amp; "" and E="" &amp; $I45), QUERY($A$2:$G$2000, ""select G where E="" &amp; AH$1 &amp; "" and D="" &amp; $I45))"),7.013675213675214)</f>
        <v>7.013675214</v>
      </c>
      <c r="AI45" s="10">
        <f>IFERROR(__xludf.DUMMYFUNCTION("ifna(QUERY($A$2:$G$2000, ""select G where D="" &amp; AI$1 &amp; "" and E="" &amp; $I45), QUERY($A$2:$G$2000, ""select G where E="" &amp; AI$1 &amp; "" and D="" &amp; $I45))"),7.026337448559671)</f>
        <v>7.026337449</v>
      </c>
      <c r="AJ45" s="10">
        <f>IFERROR(__xludf.DUMMYFUNCTION("ifna(QUERY($A$2:$G$2000, ""select G where D="" &amp; AJ$1 &amp; "" and E="" &amp; $I45), QUERY($A$2:$G$2000, ""select G where E="" &amp; AJ$1 &amp; "" and D="" &amp; $I45))"),7.044444444444444)</f>
        <v>7.044444444</v>
      </c>
      <c r="AK45" s="10">
        <f>IFERROR(__xludf.DUMMYFUNCTION("ifna(QUERY($A$2:$G$2000, ""select G where D="" &amp; AK$1 &amp; "" and E="" &amp; $I45), QUERY($A$2:$G$2000, ""select G where E="" &amp; AK$1 &amp; "" and D="" &amp; $I45))"),7.064367816091954)</f>
        <v>7.064367816</v>
      </c>
      <c r="AL45" s="10">
        <f>IFERROR(__xludf.DUMMYFUNCTION("ifna(QUERY($A$2:$G$2000, ""select G where D="" &amp; AL$1 &amp; "" and E="" &amp; $I45), QUERY($A$2:$G$2000, ""select G where E="" &amp; AL$1 &amp; "" and D="" &amp; $I45))"),7.085925925925926)</f>
        <v>7.085925926</v>
      </c>
      <c r="AM45" s="10">
        <f>IFERROR(__xludf.DUMMYFUNCTION("ifna(QUERY($A$2:$G$2000, ""select G where D="" &amp; AM$1 &amp; "" and E="" &amp; $I45), QUERY($A$2:$G$2000, ""select G where E="" &amp; AM$1 &amp; "" and D="" &amp; $I45))"),7.108960573476702)</f>
        <v>7.108960573</v>
      </c>
      <c r="AN45" s="10">
        <f>IFERROR(__xludf.DUMMYFUNCTION("ifna(QUERY($A$2:$G$2000, ""select G where D="" &amp; AN$1 &amp; "" and E="" &amp; $I45), QUERY($A$2:$G$2000, ""select G where E="" &amp; AN$1 &amp; "" and D="" &amp; $I45))"),7.133333333333333)</f>
        <v>7.133333333</v>
      </c>
      <c r="AO45" s="10">
        <f>IFERROR(__xludf.DUMMYFUNCTION("ifna(QUERY($A$2:$G$2000, ""select G where D="" &amp; AO$1 &amp; "" and E="" &amp; $I45), QUERY($A$2:$G$2000, ""select G where E="" &amp; AO$1 &amp; "" and D="" &amp; $I45))"),7.1589225589225585)</f>
        <v>7.158922559</v>
      </c>
      <c r="AP45" s="10">
        <f>IFERROR(__xludf.DUMMYFUNCTION("ifna(QUERY($A$2:$G$2000, ""select G where D="" &amp; AP$1 &amp; "" and E="" &amp; $I45), QUERY($A$2:$G$2000, ""select G where E="" &amp; AP$1 &amp; "" and D="" &amp; $I45))"),7.18562091503268)</f>
        <v>7.185620915</v>
      </c>
      <c r="AQ45" s="10">
        <f>IFERROR(__xludf.DUMMYFUNCTION("ifna(QUERY($A$2:$G$2000, ""select G where D="" &amp; AQ$1 &amp; "" and E="" &amp; $I45), QUERY($A$2:$G$2000, ""select G where E="" &amp; AQ$1 &amp; "" and D="" &amp; $I45))"),7.213333333333333)</f>
        <v>7.213333333</v>
      </c>
      <c r="AR45" s="10">
        <f>IFERROR(__xludf.DUMMYFUNCTION("ifna(QUERY($A$2:$G$2000, ""select G where D="" &amp; AR$1 &amp; "" and E="" &amp; $I45), QUERY($A$2:$G$2000, ""select G where E="" &amp; AR$1 &amp; "" and D="" &amp; $I45))"),7.241975308641975)</f>
        <v>7.241975309</v>
      </c>
      <c r="AS45" s="10">
        <f>IFERROR(__xludf.DUMMYFUNCTION("ifna(QUERY($A$2:$G$2000, ""select G where D="" &amp; AS$1 &amp; "" and E="" &amp; $I45), QUERY($A$2:$G$2000, ""select G where E="" &amp; AS$1 &amp; "" and D="" &amp; $I45))"),7.271471471471472)</f>
        <v>7.271471471</v>
      </c>
      <c r="AT45" s="10">
        <f>IFERROR(__xludf.DUMMYFUNCTION("ifna(QUERY($A$2:$G$2000, ""select G where D="" &amp; AT$1 &amp; "" and E="" &amp; $I45), QUERY($A$2:$G$2000, ""select G where E="" &amp; AT$1 &amp; "" and D="" &amp; $I45))"),7.301754385964912)</f>
        <v>7.301754386</v>
      </c>
      <c r="AU45" s="10">
        <f>IFERROR(__xludf.DUMMYFUNCTION("ifna(QUERY($A$2:$G$2000, ""select G where D="" &amp; AU$1 &amp; "" and E="" &amp; $I45), QUERY($A$2:$G$2000, ""select G where E="" &amp; AU$1 &amp; "" and D="" &amp; $I45))"),7.332763532763533)</f>
        <v>7.332763533</v>
      </c>
      <c r="AV45" s="10">
        <f>IFERROR(__xludf.DUMMYFUNCTION("ifna(QUERY($A$2:$G$2000, ""select G where D="" &amp; AV$1 &amp; "" and E="" &amp; $I45), QUERY($A$2:$G$2000, ""select G where E="" &amp; AV$1 &amp; "" and D="" &amp; $I45))"),7.364444444444445)</f>
        <v>7.364444444</v>
      </c>
      <c r="AW45" s="10">
        <f>IFERROR(__xludf.DUMMYFUNCTION("ifna(QUERY($A$2:$G$2000, ""select G where D="" &amp; AW$1 &amp; "" and E="" &amp; $I45), QUERY($A$2:$G$2000, ""select G where E="" &amp; AW$1 &amp; "" and D="" &amp; $I45))"),7.394579945799458)</f>
        <v>7.394579946</v>
      </c>
      <c r="AX45" s="10">
        <f>IFERROR(__xludf.DUMMYFUNCTION("ifna(QUERY($A$2:$G$2000, ""select G where D="" &amp; AX$1 &amp; "" and E="" &amp; $I45), QUERY($A$2:$G$2000, ""select G where E="" &amp; AX$1 &amp; "" and D="" &amp; $I45))"),7.425396825396826)</f>
        <v>7.425396825</v>
      </c>
      <c r="AY45" s="10">
        <f>IFERROR(__xludf.DUMMYFUNCTION("ifna(QUERY($A$2:$G$2000, ""select G where D="" &amp; AY$1 &amp; "" and E="" &amp; $I45), QUERY($A$2:$G$2000, ""select G where E="" &amp; AY$1 &amp; "" and D="" &amp; $I45))"),7.456847545219638)</f>
        <v>7.456847545</v>
      </c>
      <c r="AZ45" s="10">
        <f>IFERROR(__xludf.DUMMYFUNCTION("ifna(QUERY($A$2:$G$2000, ""select G where D="" &amp; AZ$1 &amp; "" and E="" &amp; $I45), QUERY($A$2:$G$2000, ""select G where E="" &amp; AZ$1 &amp; "" and D="" &amp; $I45))"),7.486868686868687)</f>
        <v>7.486868687</v>
      </c>
      <c r="BA45" s="10">
        <f>IFERROR(__xludf.DUMMYFUNCTION("ifna(QUERY($A$2:$G$2000, ""select G where D="" &amp; BA$1 &amp; "" and E="" &amp; $I45), QUERY($A$2:$G$2000, ""select G where E="" &amp; BA$1 &amp; "" and D="" &amp; $I45))"),7.517530864197531)</f>
        <v>7.517530864</v>
      </c>
      <c r="BB45" s="10">
        <f>IFERROR(__xludf.DUMMYFUNCTION("ifna(QUERY($A$2:$G$2000, ""select G where D="" &amp; BB$1 &amp; "" and E="" &amp; $I45), QUERY($A$2:$G$2000, ""select G where E="" &amp; BB$1 &amp; "" and D="" &amp; $I45))"),7.546859903381643)</f>
        <v>7.546859903</v>
      </c>
      <c r="BC45" s="10">
        <f>IFERROR(__xludf.DUMMYFUNCTION("ifna(QUERY($A$2:$G$2000, ""select G where D="" &amp; BC$1 &amp; "" and E="" &amp; $I45), QUERY($A$2:$G$2000, ""select G where E="" &amp; BC$1 &amp; "" and D="" &amp; $I45))"),7.576832151300237)</f>
        <v>7.576832151</v>
      </c>
      <c r="BD45" s="10">
        <f>IFERROR(__xludf.DUMMYFUNCTION("ifna(QUERY($A$2:$G$2000, ""select G where D="" &amp; BD$1 &amp; "" and E="" &amp; $I45), QUERY($A$2:$G$2000, ""select G where E="" &amp; BD$1 &amp; "" and D="" &amp; $I45))"),7.605555555555555)</f>
        <v>7.605555556</v>
      </c>
      <c r="BE45" s="10">
        <f>IFERROR(__xludf.DUMMYFUNCTION("ifna(QUERY($A$2:$G$2000, ""select G where D="" &amp; BE$1 &amp; "" and E="" &amp; $I45), QUERY($A$2:$G$2000, ""select G where E="" &amp; BE$1 &amp; "" and D="" &amp; $I45))"),7.633106575963719)</f>
        <v>7.633106576</v>
      </c>
      <c r="BF45" s="10">
        <f>IFERROR(__xludf.DUMMYFUNCTION("ifna(QUERY($A$2:$G$2000, ""select G where D="" &amp; BF$1 &amp; "" and E="" &amp; $I45), QUERY($A$2:$G$2000, ""select G where E="" &amp; BF$1 &amp; "" and D="" &amp; $I45))"),7.6595555555555555)</f>
        <v>7.659555556</v>
      </c>
      <c r="BG45" s="10">
        <f>IFERROR(__xludf.DUMMYFUNCTION("ifna(QUERY($A$2:$G$2000, ""select G where D="" &amp; BG$1 &amp; "" and E="" &amp; $I45), QUERY($A$2:$G$2000, ""select G where E="" &amp; BG$1 &amp; "" and D="" &amp; $I45))"),7.68322440087146)</f>
        <v>7.683224401</v>
      </c>
      <c r="BH45" s="10">
        <f>IFERROR(__xludf.DUMMYFUNCTION("ifna(QUERY($A$2:$G$2000, ""select G where D="" &amp; BH$1 &amp; "" and E="" &amp; $I45), QUERY($A$2:$G$2000, ""select G where E="" &amp; BH$1 &amp; "" and D="" &amp; $I45))"),7.705982905982906)</f>
        <v>7.705982906</v>
      </c>
      <c r="BI45" s="10">
        <f>IFERROR(__xludf.DUMMYFUNCTION("ifna(QUERY($A$2:$G$2000, ""select G where D="" &amp; BI$1 &amp; "" and E="" &amp; $I45), QUERY($A$2:$G$2000, ""select G where E="" &amp; BI$1 &amp; "" and D="" &amp; $I45))"),7.727044025157233)</f>
        <v>7.727044025</v>
      </c>
      <c r="BJ45" s="10">
        <f>IFERROR(__xludf.DUMMYFUNCTION("ifna(QUERY($A$2:$G$2000, ""select G where D="" &amp; BJ$1 &amp; "" and E="" &amp; $I45), QUERY($A$2:$G$2000, ""select G where E="" &amp; BJ$1 &amp; "" and D="" &amp; $I45))"),7.747325102880659)</f>
        <v>7.747325103</v>
      </c>
      <c r="BK45" s="10">
        <f>IFERROR(__xludf.DUMMYFUNCTION("ifna(QUERY($A$2:$G$2000, ""select G where D="" &amp; BK$1 &amp; "" and E="" &amp; $I45), QUERY($A$2:$G$2000, ""select G where E="" &amp; BK$1 &amp; "" and D="" &amp; $I45))"),7.765252525252525)</f>
        <v>7.765252525</v>
      </c>
      <c r="BL45" s="10"/>
      <c r="BM45" s="10"/>
      <c r="BN45" s="10"/>
      <c r="BO45" s="10"/>
    </row>
    <row r="46">
      <c r="A46" s="3">
        <v>4.0</v>
      </c>
      <c r="B46" s="3">
        <v>11.0</v>
      </c>
      <c r="C46" s="3">
        <v>39.0</v>
      </c>
      <c r="D46" s="3">
        <v>12.0</v>
      </c>
      <c r="E46" s="3">
        <v>2.0</v>
      </c>
      <c r="F46" s="11">
        <f t="shared" si="1"/>
        <v>0.2820512821</v>
      </c>
      <c r="G46" s="5">
        <f t="shared" si="2"/>
        <v>3.717948718</v>
      </c>
      <c r="H46" s="3">
        <v>46.0</v>
      </c>
      <c r="I46" s="2">
        <v>45.0</v>
      </c>
      <c r="J46" s="10">
        <f>IFERROR(__xludf.DUMMYFUNCTION("ifna(QUERY($A$2:$G$2000, ""select G where D="" &amp; J$1 &amp; "" and E="" &amp; $I46), QUERY($A$2:$G$2000, ""select G where E="" &amp; J$1 &amp; "" and D="" &amp; $I46))"),5.565217391304348)</f>
        <v>5.565217391</v>
      </c>
      <c r="K46" s="10">
        <f>IFERROR(__xludf.DUMMYFUNCTION("ifna(QUERY($A$2:$G$2000, ""select G where D="" &amp; K$1 &amp; "" and E="" &amp; $I46), QUERY($A$2:$G$2000, ""select G where E="" &amp; K$1 &amp; "" and D="" &amp; $I46))"),5.594202898550725)</f>
        <v>5.594202899</v>
      </c>
      <c r="L46" s="10">
        <f>IFERROR(__xludf.DUMMYFUNCTION("ifna(QUERY($A$2:$G$2000, ""select G where D="" &amp; L$1 &amp; "" and E="" &amp; $I46), QUERY($A$2:$G$2000, ""select G where E="" &amp; L$1 &amp; "" and D="" &amp; $I46))"),5.695652173913043)</f>
        <v>5.695652174</v>
      </c>
      <c r="M46" s="10">
        <f>IFERROR(__xludf.DUMMYFUNCTION("ifna(QUERY($A$2:$G$2000, ""select G where D="" &amp; M$1 &amp; "" and E="" &amp; $I46), QUERY($A$2:$G$2000, ""select G where E="" &amp; M$1 &amp; "" and D="" &amp; $I46))"),5.8)</f>
        <v>5.8</v>
      </c>
      <c r="N46" s="10">
        <f>IFERROR(__xludf.DUMMYFUNCTION("ifna(QUERY($A$2:$G$2000, ""select G where D="" &amp; N$1 &amp; "" and E="" &amp; $I46), QUERY($A$2:$G$2000, ""select G where E="" &amp; N$1 &amp; "" and D="" &amp; $I46))"),5.898550724637682)</f>
        <v>5.898550725</v>
      </c>
      <c r="O46" s="10">
        <f>IFERROR(__xludf.DUMMYFUNCTION("ifna(QUERY($A$2:$G$2000, ""select G where D="" &amp; O$1 &amp; "" and E="" &amp; $I46), QUERY($A$2:$G$2000, ""select G where E="" &amp; O$1 &amp; "" and D="" &amp; $I46))"),5.944099378881988)</f>
        <v>5.944099379</v>
      </c>
      <c r="P46" s="10">
        <f>IFERROR(__xludf.DUMMYFUNCTION("ifna(QUERY($A$2:$G$2000, ""select G where D="" &amp; P$1 &amp; "" and E="" &amp; $I46), QUERY($A$2:$G$2000, ""select G where E="" &amp; P$1 &amp; "" and D="" &amp; $I46))"),6.032608695652174)</f>
        <v>6.032608696</v>
      </c>
      <c r="Q46" s="10">
        <f>IFERROR(__xludf.DUMMYFUNCTION("ifna(QUERY($A$2:$G$2000, ""select G where D="" &amp; Q$1 &amp; "" and E="" &amp; $I46), QUERY($A$2:$G$2000, ""select G where E="" &amp; Q$1 &amp; "" and D="" &amp; $I46))"),6.096618357487923)</f>
        <v>6.096618357</v>
      </c>
      <c r="R46" s="10">
        <f>IFERROR(__xludf.DUMMYFUNCTION("ifna(QUERY($A$2:$G$2000, ""select G where D="" &amp; R$1 &amp; "" and E="" &amp; $I46), QUERY($A$2:$G$2000, ""select G where E="" &amp; R$1 &amp; "" and D="" &amp; $I46))"),6.165217391304348)</f>
        <v>6.165217391</v>
      </c>
      <c r="S46" s="10">
        <f>IFERROR(__xludf.DUMMYFUNCTION("ifna(QUERY($A$2:$G$2000, ""select G where D="" &amp; S$1 &amp; "" and E="" &amp; $I46), QUERY($A$2:$G$2000, ""select G where E="" &amp; S$1 &amp; "" and D="" &amp; $I46))"),6.24505928853755)</f>
        <v>6.245059289</v>
      </c>
      <c r="T46" s="10">
        <f>IFERROR(__xludf.DUMMYFUNCTION("ifna(QUERY($A$2:$G$2000, ""select G where D="" &amp; T$1 &amp; "" and E="" &amp; $I46), QUERY($A$2:$G$2000, ""select G where E="" &amp; T$1 &amp; "" and D="" &amp; $I46))"),6.326086956521739)</f>
        <v>6.326086957</v>
      </c>
      <c r="U46" s="10">
        <f>IFERROR(__xludf.DUMMYFUNCTION("ifna(QUERY($A$2:$G$2000, ""select G where D="" &amp; U$1 &amp; "" and E="" &amp; $I46), QUERY($A$2:$G$2000, ""select G where E="" &amp; U$1 &amp; "" and D="" &amp; $I46))"),6.408026755852843)</f>
        <v>6.408026756</v>
      </c>
      <c r="V46" s="10">
        <f>IFERROR(__xludf.DUMMYFUNCTION("ifna(QUERY($A$2:$G$2000, ""select G where D="" &amp; V$1 &amp; "" and E="" &amp; $I46), QUERY($A$2:$G$2000, ""select G where E="" &amp; V$1 &amp; "" and D="" &amp; $I46))"),6.490683229813665)</f>
        <v>6.49068323</v>
      </c>
      <c r="W46" s="10">
        <f>IFERROR(__xludf.DUMMYFUNCTION("ifna(QUERY($A$2:$G$2000, ""select G where D="" &amp; W$1 &amp; "" and E="" &amp; $I46), QUERY($A$2:$G$2000, ""select G where E="" &amp; W$1 &amp; "" and D="" &amp; $I46))"),6.565217391304348)</f>
        <v>6.565217391</v>
      </c>
      <c r="X46" s="10">
        <f>IFERROR(__xludf.DUMMYFUNCTION("ifna(QUERY($A$2:$G$2000, ""select G where D="" &amp; X$1 &amp; "" and E="" &amp; $I46), QUERY($A$2:$G$2000, ""select G where E="" &amp; X$1 &amp; "" and D="" &amp; $I46))"),6.635869565217392)</f>
        <v>6.635869565</v>
      </c>
      <c r="Y46" s="10">
        <f>IFERROR(__xludf.DUMMYFUNCTION("ifna(QUERY($A$2:$G$2000, ""select G where D="" &amp; Y$1 &amp; "" and E="" &amp; $I46), QUERY($A$2:$G$2000, ""select G where E="" &amp; Y$1 &amp; "" and D="" &amp; $I46))"),6.698209718670077)</f>
        <v>6.698209719</v>
      </c>
      <c r="Z46" s="10">
        <f>IFERROR(__xludf.DUMMYFUNCTION("ifna(QUERY($A$2:$G$2000, ""select G where D="" &amp; Z$1 &amp; "" and E="" &amp; $I46), QUERY($A$2:$G$2000, ""select G where E="" &amp; Z$1 &amp; "" and D="" &amp; $I46))"),6.753623188405797)</f>
        <v>6.753623188</v>
      </c>
      <c r="AA46" s="10">
        <f>IFERROR(__xludf.DUMMYFUNCTION("ifna(QUERY($A$2:$G$2000, ""select G where D="" &amp; AA$1 &amp; "" and E="" &amp; $I46), QUERY($A$2:$G$2000, ""select G where E="" &amp; AA$1 &amp; "" and D="" &amp; $I46))"),6.798627002288329)</f>
        <v>6.798627002</v>
      </c>
      <c r="AB46" s="10">
        <f>IFERROR(__xludf.DUMMYFUNCTION("ifna(QUERY($A$2:$G$2000, ""select G where D="" &amp; AB$1 &amp; "" and E="" &amp; $I46), QUERY($A$2:$G$2000, ""select G where E="" &amp; AB$1 &amp; "" and D="" &amp; $I46))"),6.839130434782609)</f>
        <v>6.839130435</v>
      </c>
      <c r="AC46" s="10">
        <f>IFERROR(__xludf.DUMMYFUNCTION("ifna(QUERY($A$2:$G$2000, ""select G where D="" &amp; AC$1 &amp; "" and E="" &amp; $I46), QUERY($A$2:$G$2000, ""select G where E="" &amp; AC$1 &amp; "" and D="" &amp; $I46))"),6.869565217391305)</f>
        <v>6.869565217</v>
      </c>
      <c r="AD46" s="10">
        <f>IFERROR(__xludf.DUMMYFUNCTION("ifna(QUERY($A$2:$G$2000, ""select G where D="" &amp; AD$1 &amp; "" and E="" &amp; $I46), QUERY($A$2:$G$2000, ""select G where E="" &amp; AD$1 &amp; "" and D="" &amp; $I46))"),6.897233201581027)</f>
        <v>6.897233202</v>
      </c>
      <c r="AE46" s="10">
        <f>IFERROR(__xludf.DUMMYFUNCTION("ifna(QUERY($A$2:$G$2000, ""select G where D="" &amp; AE$1 &amp; "" and E="" &amp; $I46), QUERY($A$2:$G$2000, ""select G where E="" &amp; AE$1 &amp; "" and D="" &amp; $I46))"),6.9319470699432895)</f>
        <v>6.93194707</v>
      </c>
      <c r="AF46" s="10">
        <f>IFERROR(__xludf.DUMMYFUNCTION("ifna(QUERY($A$2:$G$2000, ""select G where D="" &amp; AF$1 &amp; "" and E="" &amp; $I46), QUERY($A$2:$G$2000, ""select G where E="" &amp; AF$1 &amp; "" and D="" &amp; $I46))"),6.994565217391305)</f>
        <v>6.994565217</v>
      </c>
      <c r="AG46" s="10">
        <f>IFERROR(__xludf.DUMMYFUNCTION("ifna(QUERY($A$2:$G$2000, ""select G where D="" &amp; AG$1 &amp; "" and E="" &amp; $I46), QUERY($A$2:$G$2000, ""select G where E="" &amp; AG$1 &amp; "" and D="" &amp; $I46))"),7.006956521739131)</f>
        <v>7.006956522</v>
      </c>
      <c r="AH46" s="10">
        <f>IFERROR(__xludf.DUMMYFUNCTION("ifna(QUERY($A$2:$G$2000, ""select G where D="" &amp; AH$1 &amp; "" and E="" &amp; $I46), QUERY($A$2:$G$2000, ""select G where E="" &amp; AH$1 &amp; "" and D="" &amp; $I46))"),7.020066889632107)</f>
        <v>7.02006689</v>
      </c>
      <c r="AI46" s="10">
        <f>IFERROR(__xludf.DUMMYFUNCTION("ifna(QUERY($A$2:$G$2000, ""select G where D="" &amp; AI$1 &amp; "" and E="" &amp; $I46), QUERY($A$2:$G$2000, ""select G where E="" &amp; AI$1 &amp; "" and D="" &amp; $I46))"),7.035426731078905)</f>
        <v>7.035426731</v>
      </c>
      <c r="AJ46" s="10">
        <f>IFERROR(__xludf.DUMMYFUNCTION("ifna(QUERY($A$2:$G$2000, ""select G where D="" &amp; AJ$1 &amp; "" and E="" &amp; $I46), QUERY($A$2:$G$2000, ""select G where E="" &amp; AJ$1 &amp; "" and D="" &amp; $I46))"),7.055900621118012)</f>
        <v>7.055900621</v>
      </c>
      <c r="AK46" s="10">
        <f>IFERROR(__xludf.DUMMYFUNCTION("ifna(QUERY($A$2:$G$2000, ""select G where D="" &amp; AK$1 &amp; "" and E="" &amp; $I46), QUERY($A$2:$G$2000, ""select G where E="" &amp; AK$1 &amp; "" and D="" &amp; $I46))"),7.077961019490255)</f>
        <v>7.077961019</v>
      </c>
      <c r="AL46" s="10">
        <f>IFERROR(__xludf.DUMMYFUNCTION("ifna(QUERY($A$2:$G$2000, ""select G where D="" &amp; AL$1 &amp; "" and E="" &amp; $I46), QUERY($A$2:$G$2000, ""select G where E="" &amp; AL$1 &amp; "" and D="" &amp; $I46))"),7.101449275362318)</f>
        <v>7.101449275</v>
      </c>
      <c r="AM46" s="10">
        <f>IFERROR(__xludf.DUMMYFUNCTION("ifna(QUERY($A$2:$G$2000, ""select G where D="" &amp; AM$1 &amp; "" and E="" &amp; $I46), QUERY($A$2:$G$2000, ""select G where E="" &amp; AM$1 &amp; "" and D="" &amp; $I46))"),7.126227208976157)</f>
        <v>7.126227209</v>
      </c>
      <c r="AN46" s="10">
        <f>IFERROR(__xludf.DUMMYFUNCTION("ifna(QUERY($A$2:$G$2000, ""select G where D="" &amp; AN$1 &amp; "" and E="" &amp; $I46), QUERY($A$2:$G$2000, ""select G where E="" &amp; AN$1 &amp; "" and D="" &amp; $I46))"),7.1521739130434785)</f>
        <v>7.152173913</v>
      </c>
      <c r="AO46" s="10">
        <f>IFERROR(__xludf.DUMMYFUNCTION("ifna(QUERY($A$2:$G$2000, ""select G where D="" &amp; AO$1 &amp; "" and E="" &amp; $I46), QUERY($A$2:$G$2000, ""select G where E="" &amp; AO$1 &amp; "" and D="" &amp; $I46))"),7.179183135704875)</f>
        <v>7.179183136</v>
      </c>
      <c r="AP46" s="10">
        <f>IFERROR(__xludf.DUMMYFUNCTION("ifna(QUERY($A$2:$G$2000, ""select G where D="" &amp; AP$1 &amp; "" and E="" &amp; $I46), QUERY($A$2:$G$2000, ""select G where E="" &amp; AP$1 &amp; "" and D="" &amp; $I46))"),7.207161125319693)</f>
        <v>7.207161125</v>
      </c>
      <c r="AQ46" s="10">
        <f>IFERROR(__xludf.DUMMYFUNCTION("ifna(QUERY($A$2:$G$2000, ""select G where D="" &amp; AQ$1 &amp; "" and E="" &amp; $I46), QUERY($A$2:$G$2000, ""select G where E="" &amp; AQ$1 &amp; "" and D="" &amp; $I46))"),7.236024844720497)</f>
        <v>7.236024845</v>
      </c>
      <c r="AR46" s="10">
        <f>IFERROR(__xludf.DUMMYFUNCTION("ifna(QUERY($A$2:$G$2000, ""select G where D="" &amp; AR$1 &amp; "" and E="" &amp; $I46), QUERY($A$2:$G$2000, ""select G where E="" &amp; AR$1 &amp; "" and D="" &amp; $I46))"),7.265700483091788)</f>
        <v>7.265700483</v>
      </c>
      <c r="AS46" s="10">
        <f>IFERROR(__xludf.DUMMYFUNCTION("ifna(QUERY($A$2:$G$2000, ""select G where D="" &amp; AS$1 &amp; "" and E="" &amp; $I46), QUERY($A$2:$G$2000, ""select G where E="" &amp; AS$1 &amp; "" and D="" &amp; $I46))"),7.296122209165688)</f>
        <v>7.296122209</v>
      </c>
      <c r="AT46" s="10">
        <f>IFERROR(__xludf.DUMMYFUNCTION("ifna(QUERY($A$2:$G$2000, ""select G where D="" &amp; AT$1 &amp; "" and E="" &amp; $I46), QUERY($A$2:$G$2000, ""select G where E="" &amp; AT$1 &amp; "" and D="" &amp; $I46))"),7.327231121281464)</f>
        <v>7.327231121</v>
      </c>
      <c r="AU46" s="10">
        <f>IFERROR(__xludf.DUMMYFUNCTION("ifna(QUERY($A$2:$G$2000, ""select G where D="" &amp; AU$1 &amp; "" and E="" &amp; $I46), QUERY($A$2:$G$2000, ""select G where E="" &amp; AU$1 &amp; "" and D="" &amp; $I46))"),7.358974358974359)</f>
        <v>7.358974359</v>
      </c>
      <c r="AV46" s="10">
        <f>IFERROR(__xludf.DUMMYFUNCTION("ifna(QUERY($A$2:$G$2000, ""select G where D="" &amp; AV$1 &amp; "" and E="" &amp; $I46), QUERY($A$2:$G$2000, ""select G where E="" &amp; AV$1 &amp; "" and D="" &amp; $I46))"),7.391304347826087)</f>
        <v>7.391304348</v>
      </c>
      <c r="AW46" s="10">
        <f>IFERROR(__xludf.DUMMYFUNCTION("ifna(QUERY($A$2:$G$2000, ""select G where D="" &amp; AW$1 &amp; "" and E="" &amp; $I46), QUERY($A$2:$G$2000, ""select G where E="" &amp; AW$1 &amp; "" and D="" &amp; $I46))"),7.422057264050902)</f>
        <v>7.422057264</v>
      </c>
      <c r="AX46" s="10">
        <f>IFERROR(__xludf.DUMMYFUNCTION("ifna(QUERY($A$2:$G$2000, ""select G where D="" &amp; AX$1 &amp; "" and E="" &amp; $I46), QUERY($A$2:$G$2000, ""select G where E="" &amp; AX$1 &amp; "" and D="" &amp; $I46))"),7.453416149068323)</f>
        <v>7.453416149</v>
      </c>
      <c r="AY46" s="10">
        <f>IFERROR(__xludf.DUMMYFUNCTION("ifna(QUERY($A$2:$G$2000, ""select G where D="" &amp; AY$1 &amp; "" and E="" &amp; $I46), QUERY($A$2:$G$2000, ""select G where E="" &amp; AY$1 &amp; "" and D="" &amp; $I46))"),7.485338725985844)</f>
        <v>7.485338726</v>
      </c>
      <c r="AZ46" s="10">
        <f>IFERROR(__xludf.DUMMYFUNCTION("ifna(QUERY($A$2:$G$2000, ""select G where D="" &amp; AZ$1 &amp; "" and E="" &amp; $I46), QUERY($A$2:$G$2000, ""select G where E="" &amp; AZ$1 &amp; "" and D="" &amp; $I46))"),7.515810276679842)</f>
        <v>7.515810277</v>
      </c>
      <c r="BA46" s="10">
        <f>IFERROR(__xludf.DUMMYFUNCTION("ifna(QUERY($A$2:$G$2000, ""select G where D="" &amp; BA$1 &amp; "" and E="" &amp; $I46), QUERY($A$2:$G$2000, ""select G where E="" &amp; BA$1 &amp; "" and D="" &amp; $I46))"),7.546859903381643)</f>
        <v>7.546859903</v>
      </c>
      <c r="BB46" s="10">
        <f>IFERROR(__xludf.DUMMYFUNCTION("ifna(QUERY($A$2:$G$2000, ""select G where D="" &amp; BB$1 &amp; "" and E="" &amp; $I46), QUERY($A$2:$G$2000, ""select G where E="" &amp; BB$1 &amp; "" and D="" &amp; $I46))"),7.5765595463138)</f>
        <v>7.576559546</v>
      </c>
      <c r="BC46" s="10">
        <f>IFERROR(__xludf.DUMMYFUNCTION("ifna(QUERY($A$2:$G$2000, ""select G where D="" &amp; BC$1 &amp; "" and E="" &amp; $I46), QUERY($A$2:$G$2000, ""select G where E="" &amp; BC$1 &amp; "" and D="" &amp; $I46))"),7.606845513413506)</f>
        <v>7.606845513</v>
      </c>
      <c r="BD46" s="10">
        <f>IFERROR(__xludf.DUMMYFUNCTION("ifna(QUERY($A$2:$G$2000, ""select G where D="" &amp; BD$1 &amp; "" and E="" &amp; $I46), QUERY($A$2:$G$2000, ""select G where E="" &amp; BD$1 &amp; "" and D="" &amp; $I46))"),7.635869565217392)</f>
        <v>7.635869565</v>
      </c>
      <c r="BE46" s="10">
        <f>IFERROR(__xludf.DUMMYFUNCTION("ifna(QUERY($A$2:$G$2000, ""select G where D="" &amp; BE$1 &amp; "" and E="" &amp; $I46), QUERY($A$2:$G$2000, ""select G where E="" &amp; BE$1 &amp; "" and D="" &amp; $I46))"),7.661934338952973)</f>
        <v>7.661934339</v>
      </c>
      <c r="BF46" s="10">
        <f>IFERROR(__xludf.DUMMYFUNCTION("ifna(QUERY($A$2:$G$2000, ""select G where D="" &amp; BF$1 &amp; "" and E="" &amp; $I46), QUERY($A$2:$G$2000, ""select G where E="" &amp; BF$1 &amp; "" and D="" &amp; $I46))"),7.6869565217391305)</f>
        <v>7.686956522</v>
      </c>
      <c r="BG46" s="10">
        <f>IFERROR(__xludf.DUMMYFUNCTION("ifna(QUERY($A$2:$G$2000, ""select G where D="" &amp; BG$1 &amp; "" and E="" &amp; $I46), QUERY($A$2:$G$2000, ""select G where E="" &amp; BG$1 &amp; "" and D="" &amp; $I46))"),7.709292412617221)</f>
        <v>7.709292413</v>
      </c>
      <c r="BH46" s="10">
        <f>IFERROR(__xludf.DUMMYFUNCTION("ifna(QUERY($A$2:$G$2000, ""select G where D="" &amp; BH$1 &amp; "" and E="" &amp; $I46), QUERY($A$2:$G$2000, ""select G where E="" &amp; BH$1 &amp; "" and D="" &amp; $I46))"),7.730769230769231)</f>
        <v>7.730769231</v>
      </c>
      <c r="BI46" s="10">
        <f>IFERROR(__xludf.DUMMYFUNCTION("ifna(QUERY($A$2:$G$2000, ""select G where D="" &amp; BI$1 &amp; "" and E="" &amp; $I46), QUERY($A$2:$G$2000, ""select G where E="" &amp; BI$1 &amp; "" and D="" &amp; $I46))"),7.750615258408532)</f>
        <v>7.750615258</v>
      </c>
      <c r="BJ46" s="10">
        <f>IFERROR(__xludf.DUMMYFUNCTION("ifna(QUERY($A$2:$G$2000, ""select G where D="" &amp; BJ$1 &amp; "" and E="" &amp; $I46), QUERY($A$2:$G$2000, ""select G where E="" &amp; BJ$1 &amp; "" and D="" &amp; $I46))"),7.769726247987117)</f>
        <v>7.769726248</v>
      </c>
      <c r="BK46" s="10">
        <f>IFERROR(__xludf.DUMMYFUNCTION("ifna(QUERY($A$2:$G$2000, ""select G where D="" &amp; BK$1 &amp; "" and E="" &amp; $I46), QUERY($A$2:$G$2000, ""select G where E="" &amp; BK$1 &amp; "" and D="" &amp; $I46))"),7.786561264822135)</f>
        <v>7.786561265</v>
      </c>
      <c r="BL46" s="10"/>
      <c r="BM46" s="10"/>
      <c r="BN46" s="10"/>
      <c r="BO46" s="10"/>
    </row>
    <row r="47">
      <c r="A47" s="3">
        <v>4.0</v>
      </c>
      <c r="B47" s="3">
        <v>6.0</v>
      </c>
      <c r="C47" s="3">
        <v>52.0</v>
      </c>
      <c r="D47" s="3">
        <v>12.0</v>
      </c>
      <c r="E47" s="3">
        <v>3.0</v>
      </c>
      <c r="F47" s="11">
        <f t="shared" si="1"/>
        <v>0.1153846154</v>
      </c>
      <c r="G47" s="5">
        <f t="shared" si="2"/>
        <v>3.884615385</v>
      </c>
      <c r="H47" s="3">
        <v>47.0</v>
      </c>
      <c r="I47" s="2">
        <v>46.0</v>
      </c>
      <c r="J47" s="10">
        <f>IFERROR(__xludf.DUMMYFUNCTION("ifna(QUERY($A$2:$G$2000, ""select G where D="" &amp; J$1 &amp; "" and E="" &amp; $I47), QUERY($A$2:$G$2000, ""select G where E="" &amp; J$1 &amp; "" and D="" &amp; $I47))"),5.595744680851064)</f>
        <v>5.595744681</v>
      </c>
      <c r="K47" s="10">
        <f>IFERROR(__xludf.DUMMYFUNCTION("ifna(QUERY($A$2:$G$2000, ""select G where D="" &amp; K$1 &amp; "" and E="" &amp; $I47), QUERY($A$2:$G$2000, ""select G where E="" &amp; K$1 &amp; "" and D="" &amp; $I47))"),5.624113475177305)</f>
        <v>5.624113475</v>
      </c>
      <c r="L47" s="10">
        <f>IFERROR(__xludf.DUMMYFUNCTION("ifna(QUERY($A$2:$G$2000, ""select G where D="" &amp; L$1 &amp; "" and E="" &amp; $I47), QUERY($A$2:$G$2000, ""select G where E="" &amp; L$1 &amp; "" and D="" &amp; $I47))"),5.723404255319149)</f>
        <v>5.723404255</v>
      </c>
      <c r="M47" s="10">
        <f>IFERROR(__xludf.DUMMYFUNCTION("ifna(QUERY($A$2:$G$2000, ""select G where D="" &amp; M$1 &amp; "" and E="" &amp; $I47), QUERY($A$2:$G$2000, ""select G where E="" &amp; M$1 &amp; "" and D="" &amp; $I47))"),5.825531914893617)</f>
        <v>5.825531915</v>
      </c>
      <c r="N47" s="10">
        <f>IFERROR(__xludf.DUMMYFUNCTION("ifna(QUERY($A$2:$G$2000, ""select G where D="" &amp; N$1 &amp; "" and E="" &amp; $I47), QUERY($A$2:$G$2000, ""select G where E="" &amp; N$1 &amp; "" and D="" &amp; $I47))"),5.914893617021277)</f>
        <v>5.914893617</v>
      </c>
      <c r="O47" s="10">
        <f>IFERROR(__xludf.DUMMYFUNCTION("ifna(QUERY($A$2:$G$2000, ""select G where D="" &amp; O$1 &amp; "" and E="" &amp; $I47), QUERY($A$2:$G$2000, ""select G where E="" &amp; O$1 &amp; "" and D="" &amp; $I47))"),5.9878419452887535)</f>
        <v>5.987841945</v>
      </c>
      <c r="P47" s="10">
        <f>IFERROR(__xludf.DUMMYFUNCTION("ifna(QUERY($A$2:$G$2000, ""select G where D="" &amp; P$1 &amp; "" and E="" &amp; $I47), QUERY($A$2:$G$2000, ""select G where E="" &amp; P$1 &amp; "" and D="" &amp; $I47))"),6.042553191489362)</f>
        <v>6.042553191</v>
      </c>
      <c r="Q47" s="10">
        <f>IFERROR(__xludf.DUMMYFUNCTION("ifna(QUERY($A$2:$G$2000, ""select G where D="" &amp; Q$1 &amp; "" and E="" &amp; $I47), QUERY($A$2:$G$2000, ""select G where E="" &amp; Q$1 &amp; "" and D="" &amp; $I47))"),6.113475177304965)</f>
        <v>6.113475177</v>
      </c>
      <c r="R47" s="10">
        <f>IFERROR(__xludf.DUMMYFUNCTION("ifna(QUERY($A$2:$G$2000, ""select G where D="" &amp; R$1 &amp; "" and E="" &amp; $I47), QUERY($A$2:$G$2000, ""select G where E="" &amp; R$1 &amp; "" and D="" &amp; $I47))"),6.187234042553191)</f>
        <v>6.187234043</v>
      </c>
      <c r="S47" s="10">
        <f>IFERROR(__xludf.DUMMYFUNCTION("ifna(QUERY($A$2:$G$2000, ""select G where D="" &amp; S$1 &amp; "" and E="" &amp; $I47), QUERY($A$2:$G$2000, ""select G where E="" &amp; S$1 &amp; "" and D="" &amp; $I47))"),6.270793036750484)</f>
        <v>6.270793037</v>
      </c>
      <c r="T47" s="10">
        <f>IFERROR(__xludf.DUMMYFUNCTION("ifna(QUERY($A$2:$G$2000, ""select G where D="" &amp; T$1 &amp; "" and E="" &amp; $I47), QUERY($A$2:$G$2000, ""select G where E="" &amp; T$1 &amp; "" and D="" &amp; $I47))"),6.3546099290780145)</f>
        <v>6.354609929</v>
      </c>
      <c r="U47" s="10">
        <f>IFERROR(__xludf.DUMMYFUNCTION("ifna(QUERY($A$2:$G$2000, ""select G where D="" &amp; U$1 &amp; "" and E="" &amp; $I47), QUERY($A$2:$G$2000, ""select G where E="" &amp; U$1 &amp; "" and D="" &amp; $I47))"),6.438625204582651)</f>
        <v>6.438625205</v>
      </c>
      <c r="V47" s="10">
        <f>IFERROR(__xludf.DUMMYFUNCTION("ifna(QUERY($A$2:$G$2000, ""select G where D="" &amp; V$1 &amp; "" and E="" &amp; $I47), QUERY($A$2:$G$2000, ""select G where E="" &amp; V$1 &amp; "" and D="" &amp; $I47))"),6.522796352583587)</f>
        <v>6.522796353</v>
      </c>
      <c r="W47" s="10">
        <f>IFERROR(__xludf.DUMMYFUNCTION("ifna(QUERY($A$2:$G$2000, ""select G where D="" &amp; W$1 &amp; "" and E="" &amp; $I47), QUERY($A$2:$G$2000, ""select G where E="" &amp; W$1 &amp; "" and D="" &amp; $I47))"),6.595744680851064)</f>
        <v>6.595744681</v>
      </c>
      <c r="X47" s="10">
        <f>IFERROR(__xludf.DUMMYFUNCTION("ifna(QUERY($A$2:$G$2000, ""select G where D="" &amp; X$1 &amp; "" and E="" &amp; $I47), QUERY($A$2:$G$2000, ""select G where E="" &amp; X$1 &amp; "" and D="" &amp; $I47))"),6.664893617021277)</f>
        <v>6.664893617</v>
      </c>
      <c r="Y47" s="10">
        <f>IFERROR(__xludf.DUMMYFUNCTION("ifna(QUERY($A$2:$G$2000, ""select G where D="" &amp; Y$1 &amp; "" and E="" &amp; $I47), QUERY($A$2:$G$2000, ""select G where E="" &amp; Y$1 &amp; "" and D="" &amp; $I47))"),6.723404255319149)</f>
        <v>6.723404255</v>
      </c>
      <c r="Z47" s="10">
        <f>IFERROR(__xludf.DUMMYFUNCTION("ifna(QUERY($A$2:$G$2000, ""select G where D="" &amp; Z$1 &amp; "" and E="" &amp; $I47), QUERY($A$2:$G$2000, ""select G where E="" &amp; Z$1 &amp; "" and D="" &amp; $I47))"),6.775413711583925)</f>
        <v>6.775413712</v>
      </c>
      <c r="AA47" s="10">
        <f>IFERROR(__xludf.DUMMYFUNCTION("ifna(QUERY($A$2:$G$2000, ""select G where D="" &amp; AA$1 &amp; "" and E="" &amp; $I47), QUERY($A$2:$G$2000, ""select G where E="" &amp; AA$1 &amp; "" and D="" &amp; $I47))"),6.817469204927212)</f>
        <v>6.817469205</v>
      </c>
      <c r="AB47" s="10">
        <f>IFERROR(__xludf.DUMMYFUNCTION("ifna(QUERY($A$2:$G$2000, ""select G where D="" &amp; AB$1 &amp; "" and E="" &amp; $I47), QUERY($A$2:$G$2000, ""select G where E="" &amp; AB$1 &amp; "" and D="" &amp; $I47))"),6.85531914893617)</f>
        <v>6.855319149</v>
      </c>
      <c r="AC47" s="10">
        <f>IFERROR(__xludf.DUMMYFUNCTION("ifna(QUERY($A$2:$G$2000, ""select G where D="" &amp; AC$1 &amp; "" and E="" &amp; $I47), QUERY($A$2:$G$2000, ""select G where E="" &amp; AC$1 &amp; "" and D="" &amp; $I47))"),6.883485309017224)</f>
        <v>6.883485309</v>
      </c>
      <c r="AD47" s="10">
        <f>IFERROR(__xludf.DUMMYFUNCTION("ifna(QUERY($A$2:$G$2000, ""select G where D="" &amp; AD$1 &amp; "" and E="" &amp; $I47), QUERY($A$2:$G$2000, ""select G where E="" &amp; AD$1 &amp; "" and D="" &amp; $I47))"),6.916827852998066)</f>
        <v>6.916827853</v>
      </c>
      <c r="AE47" s="10">
        <f>IFERROR(__xludf.DUMMYFUNCTION("ifna(QUERY($A$2:$G$2000, ""select G where D="" &amp; AE$1 &amp; "" and E="" &amp; $I47), QUERY($A$2:$G$2000, ""select G where E="" &amp; AE$1 &amp; "" and D="" &amp; $I47))"),6.964847363552266)</f>
        <v>6.964847364</v>
      </c>
      <c r="AF47" s="10">
        <f>IFERROR(__xludf.DUMMYFUNCTION("ifna(QUERY($A$2:$G$2000, ""select G where D="" &amp; AF$1 &amp; "" and E="" &amp; $I47), QUERY($A$2:$G$2000, ""select G where E="" &amp; AF$1 &amp; "" and D="" &amp; $I47))"),7.00354609929078)</f>
        <v>7.003546099</v>
      </c>
      <c r="AG47" s="10">
        <f>IFERROR(__xludf.DUMMYFUNCTION("ifna(QUERY($A$2:$G$2000, ""select G where D="" &amp; AG$1 &amp; "" and E="" &amp; $I47), QUERY($A$2:$G$2000, ""select G where E="" &amp; AG$1 &amp; "" and D="" &amp; $I47))"),7.013617021276596)</f>
        <v>7.013617021</v>
      </c>
      <c r="AH47" s="10">
        <f>IFERROR(__xludf.DUMMYFUNCTION("ifna(QUERY($A$2:$G$2000, ""select G where D="" &amp; AH$1 &amp; "" and E="" &amp; $I47), QUERY($A$2:$G$2000, ""select G where E="" &amp; AH$1 &amp; "" and D="" &amp; $I47))"),7.029459901800327)</f>
        <v>7.029459902</v>
      </c>
      <c r="AI47" s="10">
        <f>IFERROR(__xludf.DUMMYFUNCTION("ifna(QUERY($A$2:$G$2000, ""select G where D="" &amp; AI$1 &amp; "" and E="" &amp; $I47), QUERY($A$2:$G$2000, ""select G where E="" &amp; AI$1 &amp; "" and D="" &amp; $I47))"),7.047281323877068)</f>
        <v>7.047281324</v>
      </c>
      <c r="AJ47" s="10">
        <f>IFERROR(__xludf.DUMMYFUNCTION("ifna(QUERY($A$2:$G$2000, ""select G where D="" &amp; AJ$1 &amp; "" and E="" &amp; $I47), QUERY($A$2:$G$2000, ""select G where E="" &amp; AJ$1 &amp; "" and D="" &amp; $I47))"),7.069908814589666)</f>
        <v>7.069908815</v>
      </c>
      <c r="AK47" s="10">
        <f>IFERROR(__xludf.DUMMYFUNCTION("ifna(QUERY($A$2:$G$2000, ""select G where D="" &amp; AK$1 &amp; "" and E="" &amp; $I47), QUERY($A$2:$G$2000, ""select G where E="" &amp; AK$1 &amp; "" and D="" &amp; $I47))"),7.093910491562729)</f>
        <v>7.093910492</v>
      </c>
      <c r="AL47" s="10">
        <f>IFERROR(__xludf.DUMMYFUNCTION("ifna(QUERY($A$2:$G$2000, ""select G where D="" &amp; AL$1 &amp; "" and E="" &amp; $I47), QUERY($A$2:$G$2000, ""select G where E="" &amp; AL$1 &amp; "" and D="" &amp; $I47))"),7.1191489361702125)</f>
        <v>7.119148936</v>
      </c>
      <c r="AM47" s="10">
        <f>IFERROR(__xludf.DUMMYFUNCTION("ifna(QUERY($A$2:$G$2000, ""select G where D="" &amp; AM$1 &amp; "" and E="" &amp; $I47), QUERY($A$2:$G$2000, ""select G where E="" &amp; AM$1 &amp; "" and D="" &amp; $I47))"),7.145504461221688)</f>
        <v>7.145504461</v>
      </c>
      <c r="AN47" s="10">
        <f>IFERROR(__xludf.DUMMYFUNCTION("ifna(QUERY($A$2:$G$2000, ""select G where D="" &amp; AN$1 &amp; "" and E="" &amp; $I47), QUERY($A$2:$G$2000, ""select G where E="" &amp; AN$1 &amp; "" and D="" &amp; $I47))"),7.172872340425532)</f>
        <v>7.17287234</v>
      </c>
      <c r="AO47" s="10">
        <f>IFERROR(__xludf.DUMMYFUNCTION("ifna(QUERY($A$2:$G$2000, ""select G where D="" &amp; AO$1 &amp; "" and E="" &amp; $I47), QUERY($A$2:$G$2000, ""select G where E="" &amp; AO$1 &amp; "" and D="" &amp; $I47))"),7.2011605415860735)</f>
        <v>7.201160542</v>
      </c>
      <c r="AP47" s="10">
        <f>IFERROR(__xludf.DUMMYFUNCTION("ifna(QUERY($A$2:$G$2000, ""select G where D="" &amp; AP$1 &amp; "" and E="" &amp; $I47), QUERY($A$2:$G$2000, ""select G where E="" &amp; AP$1 &amp; "" and D="" &amp; $I47))"),7.230287859824781)</f>
        <v>7.23028786</v>
      </c>
      <c r="AQ47" s="10">
        <f>IFERROR(__xludf.DUMMYFUNCTION("ifna(QUERY($A$2:$G$2000, ""select G where D="" &amp; AQ$1 &amp; "" and E="" &amp; $I47), QUERY($A$2:$G$2000, ""select G where E="" &amp; AQ$1 &amp; "" and D="" &amp; $I47))"),7.260182370820669)</f>
        <v>7.260182371</v>
      </c>
      <c r="AR47" s="10">
        <f>IFERROR(__xludf.DUMMYFUNCTION("ifna(QUERY($A$2:$G$2000, ""select G where D="" &amp; AR$1 &amp; "" and E="" &amp; $I47), QUERY($A$2:$G$2000, ""select G where E="" &amp; AR$1 &amp; "" and D="" &amp; $I47))"),7.290780141843972)</f>
        <v>7.290780142</v>
      </c>
      <c r="AS47" s="10">
        <f>IFERROR(__xludf.DUMMYFUNCTION("ifna(QUERY($A$2:$G$2000, ""select G where D="" &amp; AS$1 &amp; "" and E="" &amp; $I47), QUERY($A$2:$G$2000, ""select G where E="" &amp; AS$1 &amp; "" and D="" &amp; $I47))"),7.3220241518113856)</f>
        <v>7.322024152</v>
      </c>
      <c r="AT47" s="10">
        <f>IFERROR(__xludf.DUMMYFUNCTION("ifna(QUERY($A$2:$G$2000, ""select G where D="" &amp; AT$1 &amp; "" and E="" &amp; $I47), QUERY($A$2:$G$2000, ""select G where E="" &amp; AT$1 &amp; "" and D="" &amp; $I47))"),7.353863381858902)</f>
        <v>7.353863382</v>
      </c>
      <c r="AU47" s="10">
        <f>IFERROR(__xludf.DUMMYFUNCTION("ifna(QUERY($A$2:$G$2000, ""select G where D="" &amp; AU$1 &amp; "" and E="" &amp; $I47), QUERY($A$2:$G$2000, ""select G where E="" &amp; AU$1 &amp; "" and D="" &amp; $I47))"),7.386252045826514)</f>
        <v>7.386252046</v>
      </c>
      <c r="AV47" s="10">
        <f>IFERROR(__xludf.DUMMYFUNCTION("ifna(QUERY($A$2:$G$2000, ""select G where D="" &amp; AV$1 &amp; "" and E="" &amp; $I47), QUERY($A$2:$G$2000, ""select G where E="" &amp; AV$1 &amp; "" and D="" &amp; $I47))"),7.419148936170213)</f>
        <v>7.419148936</v>
      </c>
      <c r="AW47" s="10">
        <f>IFERROR(__xludf.DUMMYFUNCTION("ifna(QUERY($A$2:$G$2000, ""select G where D="" &amp; AW$1 &amp; "" and E="" &amp; $I47), QUERY($A$2:$G$2000, ""select G where E="" &amp; AW$1 &amp; "" and D="" &amp; $I47))"),7.4504411001556825)</f>
        <v>7.4504411</v>
      </c>
      <c r="AX47" s="10">
        <f>IFERROR(__xludf.DUMMYFUNCTION("ifna(QUERY($A$2:$G$2000, ""select G where D="" &amp; AX$1 &amp; "" and E="" &amp; $I47), QUERY($A$2:$G$2000, ""select G where E="" &amp; AX$1 &amp; "" and D="" &amp; $I47))"),7.4822695035460995)</f>
        <v>7.482269504</v>
      </c>
      <c r="AY47" s="10">
        <f>IFERROR(__xludf.DUMMYFUNCTION("ifna(QUERY($A$2:$G$2000, ""select G where D="" &amp; AY$1 &amp; "" and E="" &amp; $I47), QUERY($A$2:$G$2000, ""select G where E="" &amp; AY$1 &amp; "" and D="" &amp; $I47))"),7.514596734289955)</f>
        <v>7.514596734</v>
      </c>
      <c r="AZ47" s="10">
        <f>IFERROR(__xludf.DUMMYFUNCTION("ifna(QUERY($A$2:$G$2000, ""select G where D="" &amp; AZ$1 &amp; "" and E="" &amp; $I47), QUERY($A$2:$G$2000, ""select G where E="" &amp; AZ$1 &amp; "" and D="" &amp; $I47))"),7.545454545454546)</f>
        <v>7.545454545</v>
      </c>
      <c r="BA47" s="10">
        <f>IFERROR(__xludf.DUMMYFUNCTION("ifna(QUERY($A$2:$G$2000, ""select G where D="" &amp; BA$1 &amp; "" and E="" &amp; $I47), QUERY($A$2:$G$2000, ""select G where E="" &amp; BA$1 &amp; "" and D="" &amp; $I47))"),7.576832151300237)</f>
        <v>7.576832151</v>
      </c>
      <c r="BB47" s="10">
        <f>IFERROR(__xludf.DUMMYFUNCTION("ifna(QUERY($A$2:$G$2000, ""select G where D="" &amp; BB$1 &amp; "" and E="" &amp; $I47), QUERY($A$2:$G$2000, ""select G where E="" &amp; BB$1 &amp; "" and D="" &amp; $I47))"),7.606845513413506)</f>
        <v>7.606845513</v>
      </c>
      <c r="BC47" s="10">
        <f>IFERROR(__xludf.DUMMYFUNCTION("ifna(QUERY($A$2:$G$2000, ""select G where D="" &amp; BC$1 &amp; "" and E="" &amp; $I47), QUERY($A$2:$G$2000, ""select G where E="" &amp; BC$1 &amp; "" and D="" &amp; $I47))"),7.63558171118153)</f>
        <v>7.635581711</v>
      </c>
      <c r="BD47" s="10">
        <f>IFERROR(__xludf.DUMMYFUNCTION("ifna(QUERY($A$2:$G$2000, ""select G where D="" &amp; BD$1 &amp; "" and E="" &amp; $I47), QUERY($A$2:$G$2000, ""select G where E="" &amp; BD$1 &amp; "" and D="" &amp; $I47))"),7.663120567375887)</f>
        <v>7.663120567</v>
      </c>
      <c r="BE47" s="10">
        <f>IFERROR(__xludf.DUMMYFUNCTION("ifna(QUERY($A$2:$G$2000, ""select G where D="" &amp; BE$1 &amp; "" and E="" &amp; $I47), QUERY($A$2:$G$2000, ""select G where E="" &amp; BE$1 &amp; "" and D="" &amp; $I47))"),7.687798523664785)</f>
        <v>7.687798524</v>
      </c>
      <c r="BF47" s="10">
        <f>IFERROR(__xludf.DUMMYFUNCTION("ifna(QUERY($A$2:$G$2000, ""select G where D="" &amp; BF$1 &amp; "" and E="" &amp; $I47), QUERY($A$2:$G$2000, ""select G where E="" &amp; BF$1 &amp; "" and D="" &amp; $I47))"),7.711489361702128)</f>
        <v>7.711489362</v>
      </c>
      <c r="BG47" s="10">
        <f>IFERROR(__xludf.DUMMYFUNCTION("ifna(QUERY($A$2:$G$2000, ""select G where D="" &amp; BG$1 &amp; "" and E="" &amp; $I47), QUERY($A$2:$G$2000, ""select G where E="" &amp; BG$1 &amp; "" and D="" &amp; $I47))"),7.732582394659992)</f>
        <v>7.732582395</v>
      </c>
      <c r="BH47" s="10">
        <f>IFERROR(__xludf.DUMMYFUNCTION("ifna(QUERY($A$2:$G$2000, ""select G where D="" &amp; BH$1 &amp; "" and E="" &amp; $I47), QUERY($A$2:$G$2000, ""select G where E="" &amp; BH$1 &amp; "" and D="" &amp; $I47))"),7.752864157119476)</f>
        <v>7.752864157</v>
      </c>
      <c r="BI47" s="10">
        <f>IFERROR(__xludf.DUMMYFUNCTION("ifna(QUERY($A$2:$G$2000, ""select G where D="" &amp; BI$1 &amp; "" and E="" &amp; $I47), QUERY($A$2:$G$2000, ""select G where E="" &amp; BI$1 &amp; "" and D="" &amp; $I47))"),7.771577679646728)</f>
        <v>7.77157768</v>
      </c>
      <c r="BJ47" s="10">
        <f>IFERROR(__xludf.DUMMYFUNCTION("ifna(QUERY($A$2:$G$2000, ""select G where D="" &amp; BJ$1 &amp; "" and E="" &amp; $I47), QUERY($A$2:$G$2000, ""select G where E="" &amp; BJ$1 &amp; "" and D="" &amp; $I47))"),7.789598108747045)</f>
        <v>7.789598109</v>
      </c>
      <c r="BK47" s="10">
        <f>IFERROR(__xludf.DUMMYFUNCTION("ifna(QUERY($A$2:$G$2000, ""select G where D="" &amp; BK$1 &amp; "" and E="" &amp; $I47), QUERY($A$2:$G$2000, ""select G where E="" &amp; BK$1 &amp; "" and D="" &amp; $I47))"),7.8054158607350095)</f>
        <v>7.805415861</v>
      </c>
      <c r="BL47" s="10"/>
      <c r="BM47" s="10"/>
      <c r="BN47" s="10"/>
      <c r="BO47" s="10"/>
    </row>
    <row r="48">
      <c r="A48" s="3">
        <v>4.0</v>
      </c>
      <c r="B48" s="3">
        <v>8.0</v>
      </c>
      <c r="C48" s="3">
        <v>28.0</v>
      </c>
      <c r="D48" s="3">
        <v>13.0</v>
      </c>
      <c r="E48" s="3">
        <v>1.0</v>
      </c>
      <c r="F48" s="11">
        <f t="shared" si="1"/>
        <v>0.2857142857</v>
      </c>
      <c r="G48" s="5">
        <f t="shared" si="2"/>
        <v>3.714285714</v>
      </c>
      <c r="H48" s="3">
        <v>48.0</v>
      </c>
      <c r="I48" s="2">
        <v>47.0</v>
      </c>
      <c r="J48" s="10">
        <f>IFERROR(__xludf.DUMMYFUNCTION("ifna(QUERY($A$2:$G$2000, ""select G where D="" &amp; J$1 &amp; "" and E="" &amp; $I48), QUERY($A$2:$G$2000, ""select G where E="" &amp; J$1 &amp; "" and D="" &amp; $I48))"),5.625)</f>
        <v>5.625</v>
      </c>
      <c r="K48" s="10">
        <f>IFERROR(__xludf.DUMMYFUNCTION("ifna(QUERY($A$2:$G$2000, ""select G where D="" &amp; K$1 &amp; "" and E="" &amp; $I48), QUERY($A$2:$G$2000, ""select G where E="" &amp; K$1 &amp; "" and D="" &amp; $I48))"),5.652777777777778)</f>
        <v>5.652777778</v>
      </c>
      <c r="L48" s="10">
        <f>IFERROR(__xludf.DUMMYFUNCTION("ifna(QUERY($A$2:$G$2000, ""select G where D="" &amp; L$1 &amp; "" and E="" &amp; $I48), QUERY($A$2:$G$2000, ""select G where E="" &amp; L$1 &amp; "" and D="" &amp; $I48))"),5.75)</f>
        <v>5.75</v>
      </c>
      <c r="M48" s="10">
        <f>IFERROR(__xludf.DUMMYFUNCTION("ifna(QUERY($A$2:$G$2000, ""select G where D="" &amp; M$1 &amp; "" and E="" &amp; $I48), QUERY($A$2:$G$2000, ""select G where E="" &amp; M$1 &amp; "" and D="" &amp; $I48))"),5.85)</f>
        <v>5.85</v>
      </c>
      <c r="N48" s="10">
        <f>IFERROR(__xludf.DUMMYFUNCTION("ifna(QUERY($A$2:$G$2000, ""select G where D="" &amp; N$1 &amp; "" and E="" &amp; $I48), QUERY($A$2:$G$2000, ""select G where E="" &amp; N$1 &amp; "" and D="" &amp; $I48))"),5.930555555555555)</f>
        <v>5.930555556</v>
      </c>
      <c r="O48" s="10">
        <f>IFERROR(__xludf.DUMMYFUNCTION("ifna(QUERY($A$2:$G$2000, ""select G where D="" &amp; O$1 &amp; "" and E="" &amp; $I48), QUERY($A$2:$G$2000, ""select G where E="" &amp; O$1 &amp; "" and D="" &amp; $I48))"),6.011904761904762)</f>
        <v>6.011904762</v>
      </c>
      <c r="P48" s="10">
        <f>IFERROR(__xludf.DUMMYFUNCTION("ifna(QUERY($A$2:$G$2000, ""select G where D="" &amp; P$1 &amp; "" and E="" &amp; $I48), QUERY($A$2:$G$2000, ""select G where E="" &amp; P$1 &amp; "" and D="" &amp; $I48))"),6.0625)</f>
        <v>6.0625</v>
      </c>
      <c r="Q48" s="10">
        <f>IFERROR(__xludf.DUMMYFUNCTION("ifna(QUERY($A$2:$G$2000, ""select G where D="" &amp; Q$1 &amp; "" and E="" &amp; $I48), QUERY($A$2:$G$2000, ""select G where E="" &amp; Q$1 &amp; "" and D="" &amp; $I48))"),6.138888888888889)</f>
        <v>6.138888889</v>
      </c>
      <c r="R48" s="10">
        <f>IFERROR(__xludf.DUMMYFUNCTION("ifna(QUERY($A$2:$G$2000, ""select G where D="" &amp; R$1 &amp; "" and E="" &amp; $I48), QUERY($A$2:$G$2000, ""select G where E="" &amp; R$1 &amp; "" and D="" &amp; $I48))"),6.216666666666667)</f>
        <v>6.216666667</v>
      </c>
      <c r="S48" s="10">
        <f>IFERROR(__xludf.DUMMYFUNCTION("ifna(QUERY($A$2:$G$2000, ""select G where D="" &amp; S$1 &amp; "" and E="" &amp; $I48), QUERY($A$2:$G$2000, ""select G where E="" &amp; S$1 &amp; "" and D="" &amp; $I48))"),6.303030303030303)</f>
        <v>6.303030303</v>
      </c>
      <c r="T48" s="10">
        <f>IFERROR(__xludf.DUMMYFUNCTION("ifna(QUERY($A$2:$G$2000, ""select G where D="" &amp; T$1 &amp; "" and E="" &amp; $I48), QUERY($A$2:$G$2000, ""select G where E="" &amp; T$1 &amp; "" and D="" &amp; $I48))"),6.388888888888889)</f>
        <v>6.388888889</v>
      </c>
      <c r="U48" s="10">
        <f>IFERROR(__xludf.DUMMYFUNCTION("ifna(QUERY($A$2:$G$2000, ""select G where D="" &amp; U$1 &amp; "" and E="" &amp; $I48), QUERY($A$2:$G$2000, ""select G where E="" &amp; U$1 &amp; "" and D="" &amp; $I48))"),6.471153846153846)</f>
        <v>6.471153846</v>
      </c>
      <c r="V48" s="10">
        <f>IFERROR(__xludf.DUMMYFUNCTION("ifna(QUERY($A$2:$G$2000, ""select G where D="" &amp; V$1 &amp; "" and E="" &amp; $I48), QUERY($A$2:$G$2000, ""select G where E="" &amp; V$1 &amp; "" and D="" &amp; $I48))"),6.553571428571429)</f>
        <v>6.553571429</v>
      </c>
      <c r="W48" s="10">
        <f>IFERROR(__xludf.DUMMYFUNCTION("ifna(QUERY($A$2:$G$2000, ""select G where D="" &amp; W$1 &amp; "" and E="" &amp; $I48), QUERY($A$2:$G$2000, ""select G where E="" &amp; W$1 &amp; "" and D="" &amp; $I48))"),6.625)</f>
        <v>6.625</v>
      </c>
      <c r="X48" s="10">
        <f>IFERROR(__xludf.DUMMYFUNCTION("ifna(QUERY($A$2:$G$2000, ""select G where D="" &amp; X$1 &amp; "" and E="" &amp; $I48), QUERY($A$2:$G$2000, ""select G where E="" &amp; X$1 &amp; "" and D="" &amp; $I48))"),6.692708333333333)</f>
        <v>6.692708333</v>
      </c>
      <c r="Y48" s="10">
        <f>IFERROR(__xludf.DUMMYFUNCTION("ifna(QUERY($A$2:$G$2000, ""select G where D="" &amp; Y$1 &amp; "" and E="" &amp; $I48), QUERY($A$2:$G$2000, ""select G where E="" &amp; Y$1 &amp; "" and D="" &amp; $I48))"),6.747549019607844)</f>
        <v>6.74754902</v>
      </c>
      <c r="Z48" s="10">
        <f>IFERROR(__xludf.DUMMYFUNCTION("ifna(QUERY($A$2:$G$2000, ""select G where D="" &amp; Z$1 &amp; "" and E="" &amp; $I48), QUERY($A$2:$G$2000, ""select G where E="" &amp; Z$1 &amp; "" and D="" &amp; $I48))"),6.796296296296297)</f>
        <v>6.796296296</v>
      </c>
      <c r="AA48" s="10">
        <f>IFERROR(__xludf.DUMMYFUNCTION("ifna(QUERY($A$2:$G$2000, ""select G where D="" &amp; AA$1 &amp; "" and E="" &amp; $I48), QUERY($A$2:$G$2000, ""select G where E="" &amp; AA$1 &amp; "" and D="" &amp; $I48))"),6.8355263157894735)</f>
        <v>6.835526316</v>
      </c>
      <c r="AB48" s="10">
        <f>IFERROR(__xludf.DUMMYFUNCTION("ifna(QUERY($A$2:$G$2000, ""select G where D="" &amp; AB$1 &amp; "" and E="" &amp; $I48), QUERY($A$2:$G$2000, ""select G where E="" &amp; AB$1 &amp; "" and D="" &amp; $I48))"),6.870833333333334)</f>
        <v>6.870833333</v>
      </c>
      <c r="AC48" s="10">
        <f>IFERROR(__xludf.DUMMYFUNCTION("ifna(QUERY($A$2:$G$2000, ""select G where D="" &amp; AC$1 &amp; "" and E="" &amp; $I48), QUERY($A$2:$G$2000, ""select G where E="" &amp; AC$1 &amp; "" and D="" &amp; $I48))"),6.898809523809524)</f>
        <v>6.898809524</v>
      </c>
      <c r="AD48" s="10">
        <f>IFERROR(__xludf.DUMMYFUNCTION("ifna(QUERY($A$2:$G$2000, ""select G where D="" &amp; AD$1 &amp; "" and E="" &amp; $I48), QUERY($A$2:$G$2000, ""select G where E="" &amp; AD$1 &amp; "" and D="" &amp; $I48))"),6.933712121212121)</f>
        <v>6.933712121</v>
      </c>
      <c r="AE48" s="10">
        <f>IFERROR(__xludf.DUMMYFUNCTION("ifna(QUERY($A$2:$G$2000, ""select G where D="" &amp; AE$1 &amp; "" and E="" &amp; $I48), QUERY($A$2:$G$2000, ""select G where E="" &amp; AE$1 &amp; "" and D="" &amp; $I48))"),6.996376811594203)</f>
        <v>6.996376812</v>
      </c>
      <c r="AF48" s="10">
        <f>IFERROR(__xludf.DUMMYFUNCTION("ifna(QUERY($A$2:$G$2000, ""select G where D="" &amp; AF$1 &amp; "" and E="" &amp; $I48), QUERY($A$2:$G$2000, ""select G where E="" &amp; AF$1 &amp; "" and D="" &amp; $I48))"),7.006944444444445)</f>
        <v>7.006944444</v>
      </c>
      <c r="AG48" s="10">
        <f>IFERROR(__xludf.DUMMYFUNCTION("ifna(QUERY($A$2:$G$2000, ""select G where D="" &amp; AG$1 &amp; "" and E="" &amp; $I48), QUERY($A$2:$G$2000, ""select G where E="" &amp; AG$1 &amp; "" and D="" &amp; $I48))"),7.02)</f>
        <v>7.02</v>
      </c>
      <c r="AH48" s="10">
        <f>IFERROR(__xludf.DUMMYFUNCTION("ifna(QUERY($A$2:$G$2000, ""select G where D="" &amp; AH$1 &amp; "" and E="" &amp; $I48), QUERY($A$2:$G$2000, ""select G where E="" &amp; AH$1 &amp; "" and D="" &amp; $I48))"),7.038461538461538)</f>
        <v>7.038461538</v>
      </c>
      <c r="AI48" s="10">
        <f>IFERROR(__xludf.DUMMYFUNCTION("ifna(QUERY($A$2:$G$2000, ""select G where D="" &amp; AI$1 &amp; "" and E="" &amp; $I48), QUERY($A$2:$G$2000, ""select G where E="" &amp; AI$1 &amp; "" and D="" &amp; $I48))"),7.0586419753086425)</f>
        <v>7.058641975</v>
      </c>
      <c r="AJ48" s="10">
        <f>IFERROR(__xludf.DUMMYFUNCTION("ifna(QUERY($A$2:$G$2000, ""select G where D="" &amp; AJ$1 &amp; "" and E="" &amp; $I48), QUERY($A$2:$G$2000, ""select G where E="" &amp; AJ$1 &amp; "" and D="" &amp; $I48))"),7.083333333333333)</f>
        <v>7.083333333</v>
      </c>
      <c r="AK48" s="10">
        <f>IFERROR(__xludf.DUMMYFUNCTION("ifna(QUERY($A$2:$G$2000, ""select G where D="" &amp; AK$1 &amp; "" and E="" &amp; $I48), QUERY($A$2:$G$2000, ""select G where E="" &amp; AK$1 &amp; "" and D="" &amp; $I48))"),7.109195402298851)</f>
        <v>7.109195402</v>
      </c>
      <c r="AL48" s="10">
        <f>IFERROR(__xludf.DUMMYFUNCTION("ifna(QUERY($A$2:$G$2000, ""select G where D="" &amp; AL$1 &amp; "" and E="" &amp; $I48), QUERY($A$2:$G$2000, ""select G where E="" &amp; AL$1 &amp; "" and D="" &amp; $I48))"),7.136111111111111)</f>
        <v>7.136111111</v>
      </c>
      <c r="AM48" s="10">
        <f>IFERROR(__xludf.DUMMYFUNCTION("ifna(QUERY($A$2:$G$2000, ""select G where D="" &amp; AM$1 &amp; "" and E="" &amp; $I48), QUERY($A$2:$G$2000, ""select G where E="" &amp; AM$1 &amp; "" and D="" &amp; $I48))"),7.163978494623656)</f>
        <v>7.163978495</v>
      </c>
      <c r="AN48" s="10">
        <f>IFERROR(__xludf.DUMMYFUNCTION("ifna(QUERY($A$2:$G$2000, ""select G where D="" &amp; AN$1 &amp; "" and E="" &amp; $I48), QUERY($A$2:$G$2000, ""select G where E="" &amp; AN$1 &amp; "" and D="" &amp; $I48))"),7.192708333333333)</f>
        <v>7.192708333</v>
      </c>
      <c r="AO48" s="10">
        <f>IFERROR(__xludf.DUMMYFUNCTION("ifna(QUERY($A$2:$G$2000, ""select G where D="" &amp; AO$1 &amp; "" and E="" &amp; $I48), QUERY($A$2:$G$2000, ""select G where E="" &amp; AO$1 &amp; "" and D="" &amp; $I48))"),7.222222222222222)</f>
        <v>7.222222222</v>
      </c>
      <c r="AP48" s="10">
        <f>IFERROR(__xludf.DUMMYFUNCTION("ifna(QUERY($A$2:$G$2000, ""select G where D="" &amp; AP$1 &amp; "" and E="" &amp; $I48), QUERY($A$2:$G$2000, ""select G where E="" &amp; AP$1 &amp; "" and D="" &amp; $I48))"),7.252450980392156)</f>
        <v>7.25245098</v>
      </c>
      <c r="AQ48" s="10">
        <f>IFERROR(__xludf.DUMMYFUNCTION("ifna(QUERY($A$2:$G$2000, ""select G where D="" &amp; AQ$1 &amp; "" and E="" &amp; $I48), QUERY($A$2:$G$2000, ""select G where E="" &amp; AQ$1 &amp; "" and D="" &amp; $I48))"),7.283333333333333)</f>
        <v>7.283333333</v>
      </c>
      <c r="AR48" s="10">
        <f>IFERROR(__xludf.DUMMYFUNCTION("ifna(QUERY($A$2:$G$2000, ""select G where D="" &amp; AR$1 &amp; "" and E="" &amp; $I48), QUERY($A$2:$G$2000, ""select G where E="" &amp; AR$1 &amp; "" and D="" &amp; $I48))"),7.314814814814815)</f>
        <v>7.314814815</v>
      </c>
      <c r="AS48" s="10">
        <f>IFERROR(__xludf.DUMMYFUNCTION("ifna(QUERY($A$2:$G$2000, ""select G where D="" &amp; AS$1 &amp; "" and E="" &amp; $I48), QUERY($A$2:$G$2000, ""select G where E="" &amp; AS$1 &amp; "" and D="" &amp; $I48))"),7.346846846846847)</f>
        <v>7.346846847</v>
      </c>
      <c r="AT48" s="10">
        <f>IFERROR(__xludf.DUMMYFUNCTION("ifna(QUERY($A$2:$G$2000, ""select G where D="" &amp; AT$1 &amp; "" and E="" &amp; $I48), QUERY($A$2:$G$2000, ""select G where E="" &amp; AT$1 &amp; "" and D="" &amp; $I48))"),7.379385964912281)</f>
        <v>7.379385965</v>
      </c>
      <c r="AU48" s="10">
        <f>IFERROR(__xludf.DUMMYFUNCTION("ifna(QUERY($A$2:$G$2000, ""select G where D="" &amp; AU$1 &amp; "" and E="" &amp; $I48), QUERY($A$2:$G$2000, ""select G where E="" &amp; AU$1 &amp; "" and D="" &amp; $I48))"),7.412393162393163)</f>
        <v>7.412393162</v>
      </c>
      <c r="AV48" s="10">
        <f>IFERROR(__xludf.DUMMYFUNCTION("ifna(QUERY($A$2:$G$2000, ""select G where D="" &amp; AV$1 &amp; "" and E="" &amp; $I48), QUERY($A$2:$G$2000, ""select G where E="" &amp; AV$1 &amp; "" and D="" &amp; $I48))"),7.445833333333333)</f>
        <v>7.445833333</v>
      </c>
      <c r="AW48" s="10">
        <f>IFERROR(__xludf.DUMMYFUNCTION("ifna(QUERY($A$2:$G$2000, ""select G where D="" &amp; AW$1 &amp; "" and E="" &amp; $I48), QUERY($A$2:$G$2000, ""select G where E="" &amp; AW$1 &amp; "" and D="" &amp; $I48))"),7.477642276422764)</f>
        <v>7.477642276</v>
      </c>
      <c r="AX48" s="10">
        <f>IFERROR(__xludf.DUMMYFUNCTION("ifna(QUERY($A$2:$G$2000, ""select G where D="" &amp; AX$1 &amp; "" and E="" &amp; $I48), QUERY($A$2:$G$2000, ""select G where E="" &amp; AX$1 &amp; "" and D="" &amp; $I48))"),7.509920634920635)</f>
        <v>7.509920635</v>
      </c>
      <c r="AY48" s="10">
        <f>IFERROR(__xludf.DUMMYFUNCTION("ifna(QUERY($A$2:$G$2000, ""select G where D="" &amp; AY$1 &amp; "" and E="" &amp; $I48), QUERY($A$2:$G$2000, ""select G where E="" &amp; AY$1 &amp; "" and D="" &amp; $I48))"),7.542635658914729)</f>
        <v>7.542635659</v>
      </c>
      <c r="AZ48" s="10">
        <f>IFERROR(__xludf.DUMMYFUNCTION("ifna(QUERY($A$2:$G$2000, ""select G where D="" &amp; AZ$1 &amp; "" and E="" &amp; $I48), QUERY($A$2:$G$2000, ""select G where E="" &amp; AZ$1 &amp; "" and D="" &amp; $I48))"),7.573863636363637)</f>
        <v>7.573863636</v>
      </c>
      <c r="BA48" s="10">
        <f>IFERROR(__xludf.DUMMYFUNCTION("ifna(QUERY($A$2:$G$2000, ""select G where D="" &amp; BA$1 &amp; "" and E="" &amp; $I48), QUERY($A$2:$G$2000, ""select G where E="" &amp; BA$1 &amp; "" and D="" &amp; $I48))"),7.605555555555555)</f>
        <v>7.605555556</v>
      </c>
      <c r="BB48" s="10">
        <f>IFERROR(__xludf.DUMMYFUNCTION("ifna(QUERY($A$2:$G$2000, ""select G where D="" &amp; BB$1 &amp; "" and E="" &amp; $I48), QUERY($A$2:$G$2000, ""select G where E="" &amp; BB$1 &amp; "" and D="" &amp; $I48))"),7.635869565217392)</f>
        <v>7.635869565</v>
      </c>
      <c r="BC48" s="10">
        <f>IFERROR(__xludf.DUMMYFUNCTION("ifna(QUERY($A$2:$G$2000, ""select G where D="" &amp; BC$1 &amp; "" and E="" &amp; $I48), QUERY($A$2:$G$2000, ""select G where E="" &amp; BC$1 &amp; "" and D="" &amp; $I48))"),7.663120567375887)</f>
        <v>7.663120567</v>
      </c>
      <c r="BD48" s="10">
        <f>IFERROR(__xludf.DUMMYFUNCTION("ifna(QUERY($A$2:$G$2000, ""select G where D="" &amp; BD$1 &amp; "" and E="" &amp; $I48), QUERY($A$2:$G$2000, ""select G where E="" &amp; BD$1 &amp; "" and D="" &amp; $I48))"),7.689236111111111)</f>
        <v>7.689236111</v>
      </c>
      <c r="BE48" s="10">
        <f>IFERROR(__xludf.DUMMYFUNCTION("ifna(QUERY($A$2:$G$2000, ""select G where D="" &amp; BE$1 &amp; "" and E="" &amp; $I48), QUERY($A$2:$G$2000, ""select G where E="" &amp; BE$1 &amp; "" and D="" &amp; $I48))"),7.712585034013605)</f>
        <v>7.712585034</v>
      </c>
      <c r="BF48" s="10">
        <f>IFERROR(__xludf.DUMMYFUNCTION("ifna(QUERY($A$2:$G$2000, ""select G where D="" &amp; BF$1 &amp; "" and E="" &amp; $I48), QUERY($A$2:$G$2000, ""select G where E="" &amp; BF$1 &amp; "" and D="" &amp; $I48))"),7.735)</f>
        <v>7.735</v>
      </c>
      <c r="BG48" s="10">
        <f>IFERROR(__xludf.DUMMYFUNCTION("ifna(QUERY($A$2:$G$2000, ""select G where D="" &amp; BG$1 &amp; "" and E="" &amp; $I48), QUERY($A$2:$G$2000, ""select G where E="" &amp; BG$1 &amp; "" and D="" &amp; $I48))"),7.754901960784314)</f>
        <v>7.754901961</v>
      </c>
      <c r="BH48" s="10">
        <f>IFERROR(__xludf.DUMMYFUNCTION("ifna(QUERY($A$2:$G$2000, ""select G where D="" &amp; BH$1 &amp; "" and E="" &amp; $I48), QUERY($A$2:$G$2000, ""select G where E="" &amp; BH$1 &amp; "" and D="" &amp; $I48))"),7.774038461538462)</f>
        <v>7.774038462</v>
      </c>
      <c r="BI48" s="10">
        <f>IFERROR(__xludf.DUMMYFUNCTION("ifna(QUERY($A$2:$G$2000, ""select G where D="" &amp; BI$1 &amp; "" and E="" &amp; $I48), QUERY($A$2:$G$2000, ""select G where E="" &amp; BI$1 &amp; "" and D="" &amp; $I48))"),7.791666666666667)</f>
        <v>7.791666667</v>
      </c>
      <c r="BJ48" s="10">
        <f>IFERROR(__xludf.DUMMYFUNCTION("ifna(QUERY($A$2:$G$2000, ""select G where D="" &amp; BJ$1 &amp; "" and E="" &amp; $I48), QUERY($A$2:$G$2000, ""select G where E="" &amp; BJ$1 &amp; "" and D="" &amp; $I48))"),7.808641975308642)</f>
        <v>7.808641975</v>
      </c>
      <c r="BK48" s="10">
        <f>IFERROR(__xludf.DUMMYFUNCTION("ifna(QUERY($A$2:$G$2000, ""select G where D="" &amp; BK$1 &amp; "" and E="" &amp; $I48), QUERY($A$2:$G$2000, ""select G where E="" &amp; BK$1 &amp; "" and D="" &amp; $I48))"),7.823484848484848)</f>
        <v>7.823484848</v>
      </c>
      <c r="BL48" s="10"/>
      <c r="BM48" s="10"/>
      <c r="BN48" s="10"/>
      <c r="BO48" s="10"/>
    </row>
    <row r="49">
      <c r="A49" s="3">
        <v>4.0</v>
      </c>
      <c r="B49" s="3">
        <v>8.0</v>
      </c>
      <c r="C49" s="3">
        <v>42.0</v>
      </c>
      <c r="D49" s="3">
        <v>13.0</v>
      </c>
      <c r="E49" s="3">
        <v>2.0</v>
      </c>
      <c r="F49" s="11">
        <f t="shared" si="1"/>
        <v>0.1904761905</v>
      </c>
      <c r="G49" s="5">
        <f t="shared" si="2"/>
        <v>3.80952381</v>
      </c>
      <c r="H49" s="3">
        <v>49.0</v>
      </c>
      <c r="I49" s="2">
        <v>48.0</v>
      </c>
      <c r="J49" s="10">
        <f>IFERROR(__xludf.DUMMYFUNCTION("ifna(QUERY($A$2:$G$2000, ""select G where D="" &amp; J$1 &amp; "" and E="" &amp; $I49), QUERY($A$2:$G$2000, ""select G where E="" &amp; J$1 &amp; "" and D="" &amp; $I49))"),5.653061224489796)</f>
        <v>5.653061224</v>
      </c>
      <c r="K49" s="10">
        <f>IFERROR(__xludf.DUMMYFUNCTION("ifna(QUERY($A$2:$G$2000, ""select G where D="" &amp; K$1 &amp; "" and E="" &amp; $I49), QUERY($A$2:$G$2000, ""select G where E="" &amp; K$1 &amp; "" and D="" &amp; $I49))"),5.680272108843537)</f>
        <v>5.680272109</v>
      </c>
      <c r="L49" s="10">
        <f>IFERROR(__xludf.DUMMYFUNCTION("ifna(QUERY($A$2:$G$2000, ""select G where D="" &amp; L$1 &amp; "" and E="" &amp; $I49), QUERY($A$2:$G$2000, ""select G where E="" &amp; L$1 &amp; "" and D="" &amp; $I49))"),5.775510204081633)</f>
        <v>5.775510204</v>
      </c>
      <c r="M49" s="10">
        <f>IFERROR(__xludf.DUMMYFUNCTION("ifna(QUERY($A$2:$G$2000, ""select G where D="" &amp; M$1 &amp; "" and E="" &amp; $I49), QUERY($A$2:$G$2000, ""select G where E="" &amp; M$1 &amp; "" and D="" &amp; $I49))"),5.873469387755102)</f>
        <v>5.873469388</v>
      </c>
      <c r="N49" s="10">
        <f>IFERROR(__xludf.DUMMYFUNCTION("ifna(QUERY($A$2:$G$2000, ""select G where D="" &amp; N$1 &amp; "" and E="" &amp; $I49), QUERY($A$2:$G$2000, ""select G where E="" &amp; N$1 &amp; "" and D="" &amp; $I49))"),5.945578231292517)</f>
        <v>5.945578231</v>
      </c>
      <c r="O49" s="10">
        <f>IFERROR(__xludf.DUMMYFUNCTION("ifna(QUERY($A$2:$G$2000, ""select G where D="" &amp; O$1 &amp; "" and E="" &amp; $I49), QUERY($A$2:$G$2000, ""select G where E="" &amp; O$1 &amp; "" and D="" &amp; $I49))"),6.02332361516035)</f>
        <v>6.023323615</v>
      </c>
      <c r="P49" s="10">
        <f>IFERROR(__xludf.DUMMYFUNCTION("ifna(QUERY($A$2:$G$2000, ""select G where D="" &amp; P$1 &amp; "" and E="" &amp; $I49), QUERY($A$2:$G$2000, ""select G where E="" &amp; P$1 &amp; "" and D="" &amp; $I49))"),6.081632653061225)</f>
        <v>6.081632653</v>
      </c>
      <c r="Q49" s="10">
        <f>IFERROR(__xludf.DUMMYFUNCTION("ifna(QUERY($A$2:$G$2000, ""select G where D="" &amp; Q$1 &amp; "" and E="" &amp; $I49), QUERY($A$2:$G$2000, ""select G where E="" &amp; Q$1 &amp; "" and D="" &amp; $I49))"),6.163265306122449)</f>
        <v>6.163265306</v>
      </c>
      <c r="R49" s="10">
        <f>IFERROR(__xludf.DUMMYFUNCTION("ifna(QUERY($A$2:$G$2000, ""select G where D="" &amp; R$1 &amp; "" and E="" &amp; $I49), QUERY($A$2:$G$2000, ""select G where E="" &amp; R$1 &amp; "" and D="" &amp; $I49))"),6.244897959183674)</f>
        <v>6.244897959</v>
      </c>
      <c r="S49" s="10">
        <f>IFERROR(__xludf.DUMMYFUNCTION("ifna(QUERY($A$2:$G$2000, ""select G where D="" &amp; S$1 &amp; "" and E="" &amp; $I49), QUERY($A$2:$G$2000, ""select G where E="" &amp; S$1 &amp; "" and D="" &amp; $I49))"),6.333951762523191)</f>
        <v>6.333951763</v>
      </c>
      <c r="T49" s="10">
        <f>IFERROR(__xludf.DUMMYFUNCTION("ifna(QUERY($A$2:$G$2000, ""select G where D="" &amp; T$1 &amp; "" and E="" &amp; $I49), QUERY($A$2:$G$2000, ""select G where E="" &amp; T$1 &amp; "" and D="" &amp; $I49))"),6.421768707482993)</f>
        <v>6.421768707</v>
      </c>
      <c r="U49" s="10">
        <f>IFERROR(__xludf.DUMMYFUNCTION("ifna(QUERY($A$2:$G$2000, ""select G where D="" &amp; U$1 &amp; "" and E="" &amp; $I49), QUERY($A$2:$G$2000, ""select G where E="" &amp; U$1 &amp; "" and D="" &amp; $I49))"),6.5023547880690735)</f>
        <v>6.502354788</v>
      </c>
      <c r="V49" s="10">
        <f>IFERROR(__xludf.DUMMYFUNCTION("ifna(QUERY($A$2:$G$2000, ""select G where D="" &amp; V$1 &amp; "" and E="" &amp; $I49), QUERY($A$2:$G$2000, ""select G where E="" &amp; V$1 &amp; "" and D="" &amp; $I49))"),6.5830903790087465)</f>
        <v>6.583090379</v>
      </c>
      <c r="W49" s="10">
        <f>IFERROR(__xludf.DUMMYFUNCTION("ifna(QUERY($A$2:$G$2000, ""select G where D="" &amp; W$1 &amp; "" and E="" &amp; $I49), QUERY($A$2:$G$2000, ""select G where E="" &amp; W$1 &amp; "" and D="" &amp; $I49))"),6.653061224489796)</f>
        <v>6.653061224</v>
      </c>
      <c r="X49" s="10">
        <f>IFERROR(__xludf.DUMMYFUNCTION("ifna(QUERY($A$2:$G$2000, ""select G where D="" &amp; X$1 &amp; "" and E="" &amp; $I49), QUERY($A$2:$G$2000, ""select G where E="" &amp; X$1 &amp; "" and D="" &amp; $I49))"),6.719387755102041)</f>
        <v>6.719387755</v>
      </c>
      <c r="Y49" s="10">
        <f>IFERROR(__xludf.DUMMYFUNCTION("ifna(QUERY($A$2:$G$2000, ""select G where D="" &amp; Y$1 &amp; "" and E="" &amp; $I49), QUERY($A$2:$G$2000, ""select G where E="" &amp; Y$1 &amp; "" and D="" &amp; $I49))"),6.770708283313326)</f>
        <v>6.770708283</v>
      </c>
      <c r="Z49" s="10">
        <f>IFERROR(__xludf.DUMMYFUNCTION("ifna(QUERY($A$2:$G$2000, ""select G where D="" &amp; Z$1 &amp; "" and E="" &amp; $I49), QUERY($A$2:$G$2000, ""select G where E="" &amp; Z$1 &amp; "" and D="" &amp; $I49))"),6.816326530612245)</f>
        <v>6.816326531</v>
      </c>
      <c r="AA49" s="10">
        <f>IFERROR(__xludf.DUMMYFUNCTION("ifna(QUERY($A$2:$G$2000, ""select G where D="" &amp; AA$1 &amp; "" and E="" &amp; $I49), QUERY($A$2:$G$2000, ""select G where E="" &amp; AA$1 &amp; "" and D="" &amp; $I49))"),6.852846401718582)</f>
        <v>6.852846402</v>
      </c>
      <c r="AB49" s="10">
        <f>IFERROR(__xludf.DUMMYFUNCTION("ifna(QUERY($A$2:$G$2000, ""select G where D="" &amp; AB$1 &amp; "" and E="" &amp; $I49), QUERY($A$2:$G$2000, ""select G where E="" &amp; AB$1 &amp; "" and D="" &amp; $I49))"),6.885714285714286)</f>
        <v>6.885714286</v>
      </c>
      <c r="AC49" s="10">
        <f>IFERROR(__xludf.DUMMYFUNCTION("ifna(QUERY($A$2:$G$2000, ""select G where D="" &amp; AC$1 &amp; "" and E="" &amp; $I49), QUERY($A$2:$G$2000, ""select G where E="" &amp; AC$1 &amp; "" and D="" &amp; $I49))"),6.9173955296404275)</f>
        <v>6.91739553</v>
      </c>
      <c r="AD49" s="10">
        <f>IFERROR(__xludf.DUMMYFUNCTION("ifna(QUERY($A$2:$G$2000, ""select G where D="" &amp; AD$1 &amp; "" and E="" &amp; $I49), QUERY($A$2:$G$2000, ""select G where E="" &amp; AD$1 &amp; "" and D="" &amp; $I49))"),6.970315398886828)</f>
        <v>6.970315399</v>
      </c>
      <c r="AE49" s="10">
        <f>IFERROR(__xludf.DUMMYFUNCTION("ifna(QUERY($A$2:$G$2000, ""select G where D="" &amp; AE$1 &amp; "" and E="" &amp; $I49), QUERY($A$2:$G$2000, ""select G where E="" &amp; AE$1 &amp; "" and D="" &amp; $I49))"),7.003549245785271)</f>
        <v>7.003549246</v>
      </c>
      <c r="AF49" s="10">
        <f>IFERROR(__xludf.DUMMYFUNCTION("ifna(QUERY($A$2:$G$2000, ""select G where D="" &amp; AF$1 &amp; "" and E="" &amp; $I49), QUERY($A$2:$G$2000, ""select G where E="" &amp; AF$1 &amp; "" and D="" &amp; $I49))"),7.013605442176871)</f>
        <v>7.013605442</v>
      </c>
      <c r="AG49" s="10">
        <f>IFERROR(__xludf.DUMMYFUNCTION("ifna(QUERY($A$2:$G$2000, ""select G where D="" &amp; AG$1 &amp; "" and E="" &amp; $I49), QUERY($A$2:$G$2000, ""select G where E="" &amp; AG$1 &amp; "" and D="" &amp; $I49))"),7.029387755102041)</f>
        <v>7.029387755</v>
      </c>
      <c r="AH49" s="10">
        <f>IFERROR(__xludf.DUMMYFUNCTION("ifna(QUERY($A$2:$G$2000, ""select G where D="" &amp; AH$1 &amp; "" and E="" &amp; $I49), QUERY($A$2:$G$2000, ""select G where E="" &amp; AH$1 &amp; "" and D="" &amp; $I49))"),7.050235478806908)</f>
        <v>7.050235479</v>
      </c>
      <c r="AI49" s="10">
        <f>IFERROR(__xludf.DUMMYFUNCTION("ifna(QUERY($A$2:$G$2000, ""select G where D="" &amp; AI$1 &amp; "" and E="" &amp; $I49), QUERY($A$2:$G$2000, ""select G where E="" &amp; AI$1 &amp; "" and D="" &amp; $I49))"),7.072562358276644)</f>
        <v>7.072562358</v>
      </c>
      <c r="AJ49" s="10">
        <f>IFERROR(__xludf.DUMMYFUNCTION("ifna(QUERY($A$2:$G$2000, ""select G where D="" &amp; AJ$1 &amp; "" and E="" &amp; $I49), QUERY($A$2:$G$2000, ""select G where E="" &amp; AJ$1 &amp; "" and D="" &amp; $I49))"),7.099125364431487)</f>
        <v>7.099125364</v>
      </c>
      <c r="AK49" s="10">
        <f>IFERROR(__xludf.DUMMYFUNCTION("ifna(QUERY($A$2:$G$2000, ""select G where D="" &amp; AK$1 &amp; "" and E="" &amp; $I49), QUERY($A$2:$G$2000, ""select G where E="" &amp; AK$1 &amp; "" and D="" &amp; $I49))"),7.126671358198452)</f>
        <v>7.126671358</v>
      </c>
      <c r="AL49" s="10">
        <f>IFERROR(__xludf.DUMMYFUNCTION("ifna(QUERY($A$2:$G$2000, ""select G where D="" &amp; AL$1 &amp; "" and E="" &amp; $I49), QUERY($A$2:$G$2000, ""select G where E="" &amp; AL$1 &amp; "" and D="" &amp; $I49))"),7.155102040816327)</f>
        <v>7.155102041</v>
      </c>
      <c r="AM49" s="10">
        <f>IFERROR(__xludf.DUMMYFUNCTION("ifna(QUERY($A$2:$G$2000, ""select G where D="" &amp; AM$1 &amp; "" and E="" &amp; $I49), QUERY($A$2:$G$2000, ""select G where E="" &amp; AM$1 &amp; "" and D="" &amp; $I49))"),7.184331797235023)</f>
        <v>7.184331797</v>
      </c>
      <c r="AN49" s="10">
        <f>IFERROR(__xludf.DUMMYFUNCTION("ifna(QUERY($A$2:$G$2000, ""select G where D="" &amp; AN$1 &amp; "" and E="" &amp; $I49), QUERY($A$2:$G$2000, ""select G where E="" &amp; AN$1 &amp; "" and D="" &amp; $I49))"),7.214285714285714)</f>
        <v>7.214285714</v>
      </c>
      <c r="AO49" s="10">
        <f>IFERROR(__xludf.DUMMYFUNCTION("ifna(QUERY($A$2:$G$2000, ""select G where D="" &amp; AO$1 &amp; "" and E="" &amp; $I49), QUERY($A$2:$G$2000, ""select G where E="" &amp; AO$1 &amp; "" and D="" &amp; $I49))"),7.244897959183674)</f>
        <v>7.244897959</v>
      </c>
      <c r="AP49" s="10">
        <f>IFERROR(__xludf.DUMMYFUNCTION("ifna(QUERY($A$2:$G$2000, ""select G where D="" &amp; AP$1 &amp; "" and E="" &amp; $I49), QUERY($A$2:$G$2000, ""select G where E="" &amp; AP$1 &amp; "" and D="" &amp; $I49))"),7.276110444177671)</f>
        <v>7.276110444</v>
      </c>
      <c r="AQ49" s="10">
        <f>IFERROR(__xludf.DUMMYFUNCTION("ifna(QUERY($A$2:$G$2000, ""select G where D="" &amp; AQ$1 &amp; "" and E="" &amp; $I49), QUERY($A$2:$G$2000, ""select G where E="" &amp; AQ$1 &amp; "" and D="" &amp; $I49))"),7.307871720116618)</f>
        <v>7.30787172</v>
      </c>
      <c r="AR49" s="10">
        <f>IFERROR(__xludf.DUMMYFUNCTION("ifna(QUERY($A$2:$G$2000, ""select G where D="" &amp; AR$1 &amp; "" and E="" &amp; $I49), QUERY($A$2:$G$2000, ""select G where E="" &amp; AR$1 &amp; "" and D="" &amp; $I49))"),7.340136054421769)</f>
        <v>7.340136054</v>
      </c>
      <c r="AS49" s="10">
        <f>IFERROR(__xludf.DUMMYFUNCTION("ifna(QUERY($A$2:$G$2000, ""select G where D="" &amp; AS$1 &amp; "" and E="" &amp; $I49), QUERY($A$2:$G$2000, ""select G where E="" &amp; AS$1 &amp; "" and D="" &amp; $I49))"),7.372862658576945)</f>
        <v>7.372862659</v>
      </c>
      <c r="AT49" s="10">
        <f>IFERROR(__xludf.DUMMYFUNCTION("ifna(QUERY($A$2:$G$2000, ""select G where D="" &amp; AT$1 &amp; "" and E="" &amp; $I49), QUERY($A$2:$G$2000, ""select G where E="" &amp; AT$1 &amp; "" and D="" &amp; $I49))"),7.406015037593985)</f>
        <v>7.406015038</v>
      </c>
      <c r="AU49" s="10">
        <f>IFERROR(__xludf.DUMMYFUNCTION("ifna(QUERY($A$2:$G$2000, ""select G where D="" &amp; AU$1 &amp; "" and E="" &amp; $I49), QUERY($A$2:$G$2000, ""select G where E="" &amp; AU$1 &amp; "" and D="" &amp; $I49))"),7.43956043956044)</f>
        <v>7.43956044</v>
      </c>
      <c r="AV49" s="10">
        <f>IFERROR(__xludf.DUMMYFUNCTION("ifna(QUERY($A$2:$G$2000, ""select G where D="" &amp; AV$1 &amp; "" and E="" &amp; $I49), QUERY($A$2:$G$2000, ""select G where E="" &amp; AV$1 &amp; "" and D="" &amp; $I49))"),7.473469387755102)</f>
        <v>7.473469388</v>
      </c>
      <c r="AW49" s="10">
        <f>IFERROR(__xludf.DUMMYFUNCTION("ifna(QUERY($A$2:$G$2000, ""select G where D="" &amp; AW$1 &amp; "" and E="" &amp; $I49), QUERY($A$2:$G$2000, ""select G where E="" &amp; AW$1 &amp; "" and D="" &amp; $I49))"),7.505724240915878)</f>
        <v>7.505724241</v>
      </c>
      <c r="AX49" s="10">
        <f>IFERROR(__xludf.DUMMYFUNCTION("ifna(QUERY($A$2:$G$2000, ""select G where D="" &amp; AX$1 &amp; "" and E="" &amp; $I49), QUERY($A$2:$G$2000, ""select G where E="" &amp; AX$1 &amp; "" and D="" &amp; $I49))"),7.538386783284743)</f>
        <v>7.538386783</v>
      </c>
      <c r="AY49" s="10">
        <f>IFERROR(__xludf.DUMMYFUNCTION("ifna(QUERY($A$2:$G$2000, ""select G where D="" &amp; AY$1 &amp; "" and E="" &amp; $I49), QUERY($A$2:$G$2000, ""select G where E="" &amp; AY$1 &amp; "" and D="" &amp; $I49))"),7.571428571428571)</f>
        <v>7.571428571</v>
      </c>
      <c r="AZ49" s="10">
        <f>IFERROR(__xludf.DUMMYFUNCTION("ifna(QUERY($A$2:$G$2000, ""select G where D="" &amp; AZ$1 &amp; "" and E="" &amp; $I49), QUERY($A$2:$G$2000, ""select G where E="" &amp; AZ$1 &amp; "" and D="" &amp; $I49))"),7.602968460111318)</f>
        <v>7.60296846</v>
      </c>
      <c r="BA49" s="10">
        <f>IFERROR(__xludf.DUMMYFUNCTION("ifna(QUERY($A$2:$G$2000, ""select G where D="" &amp; BA$1 &amp; "" and E="" &amp; $I49), QUERY($A$2:$G$2000, ""select G where E="" &amp; BA$1 &amp; "" and D="" &amp; $I49))"),7.633106575963719)</f>
        <v>7.633106576</v>
      </c>
      <c r="BB49" s="10">
        <f>IFERROR(__xludf.DUMMYFUNCTION("ifna(QUERY($A$2:$G$2000, ""select G where D="" &amp; BB$1 &amp; "" and E="" &amp; $I49), QUERY($A$2:$G$2000, ""select G where E="" &amp; BB$1 &amp; "" and D="" &amp; $I49))"),7.661934338952973)</f>
        <v>7.661934339</v>
      </c>
      <c r="BC49" s="10">
        <f>IFERROR(__xludf.DUMMYFUNCTION("ifna(QUERY($A$2:$G$2000, ""select G where D="" &amp; BC$1 &amp; "" and E="" &amp; $I49), QUERY($A$2:$G$2000, ""select G where E="" &amp; BC$1 &amp; "" and D="" &amp; $I49))"),7.687798523664785)</f>
        <v>7.687798524</v>
      </c>
      <c r="BD49" s="10">
        <f>IFERROR(__xludf.DUMMYFUNCTION("ifna(QUERY($A$2:$G$2000, ""select G where D="" &amp; BD$1 &amp; "" and E="" &amp; $I49), QUERY($A$2:$G$2000, ""select G where E="" &amp; BD$1 &amp; "" and D="" &amp; $I49))"),7.712585034013605)</f>
        <v>7.712585034</v>
      </c>
      <c r="BE49" s="10">
        <f>IFERROR(__xludf.DUMMYFUNCTION("ifna(QUERY($A$2:$G$2000, ""select G where D="" &amp; BE$1 &amp; "" and E="" &amp; $I49), QUERY($A$2:$G$2000, ""select G where E="" &amp; BE$1 &amp; "" and D="" &amp; $I49))"),7.73469387755102)</f>
        <v>7.734693878</v>
      </c>
      <c r="BF49" s="10">
        <f>IFERROR(__xludf.DUMMYFUNCTION("ifna(QUERY($A$2:$G$2000, ""select G where D="" &amp; BF$1 &amp; "" and E="" &amp; $I49), QUERY($A$2:$G$2000, ""select G where E="" &amp; BF$1 &amp; "" and D="" &amp; $I49))"),7.755918367346939)</f>
        <v>7.755918367</v>
      </c>
      <c r="BG49" s="10">
        <f>IFERROR(__xludf.DUMMYFUNCTION("ifna(QUERY($A$2:$G$2000, ""select G where D="" &amp; BG$1 &amp; "" and E="" &amp; $I49), QUERY($A$2:$G$2000, ""select G where E="" &amp; BG$1 &amp; "" and D="" &amp; $I49))"),7.774709883953581)</f>
        <v>7.774709884</v>
      </c>
      <c r="BH49" s="10">
        <f>IFERROR(__xludf.DUMMYFUNCTION("ifna(QUERY($A$2:$G$2000, ""select G where D="" &amp; BH$1 &amp; "" and E="" &amp; $I49), QUERY($A$2:$G$2000, ""select G where E="" &amp; BH$1 &amp; "" and D="" &amp; $I49))"),7.792778649921507)</f>
        <v>7.79277865</v>
      </c>
      <c r="BI49" s="10">
        <f>IFERROR(__xludf.DUMMYFUNCTION("ifna(QUERY($A$2:$G$2000, ""select G where D="" &amp; BI$1 &amp; "" and E="" &amp; $I49), QUERY($A$2:$G$2000, ""select G where E="" &amp; BI$1 &amp; "" and D="" &amp; $I49))"),7.809395456295726)</f>
        <v>7.809395456</v>
      </c>
      <c r="BJ49" s="10">
        <f>IFERROR(__xludf.DUMMYFUNCTION("ifna(QUERY($A$2:$G$2000, ""select G where D="" &amp; BJ$1 &amp; "" and E="" &amp; $I49), QUERY($A$2:$G$2000, ""select G where E="" &amp; BJ$1 &amp; "" and D="" &amp; $I49))"),7.825396825396825)</f>
        <v>7.825396825</v>
      </c>
      <c r="BK49" s="10">
        <f>IFERROR(__xludf.DUMMYFUNCTION("ifna(QUERY($A$2:$G$2000, ""select G where D="" &amp; BK$1 &amp; "" and E="" &amp; $I49), QUERY($A$2:$G$2000, ""select G where E="" &amp; BK$1 &amp; "" and D="" &amp; $I49))"),7.839332096474954)</f>
        <v>7.839332096</v>
      </c>
      <c r="BL49" s="10"/>
      <c r="BM49" s="10"/>
      <c r="BN49" s="10"/>
      <c r="BO49" s="10"/>
    </row>
    <row r="50">
      <c r="A50" s="3">
        <v>4.0</v>
      </c>
      <c r="B50" s="3">
        <v>6.0</v>
      </c>
      <c r="C50" s="3">
        <v>30.0</v>
      </c>
      <c r="D50" s="3">
        <v>14.0</v>
      </c>
      <c r="E50" s="3">
        <v>1.0</v>
      </c>
      <c r="F50" s="11">
        <f t="shared" si="1"/>
        <v>0.2</v>
      </c>
      <c r="G50" s="5">
        <f t="shared" si="2"/>
        <v>3.8</v>
      </c>
      <c r="H50" s="3">
        <v>50.0</v>
      </c>
      <c r="I50" s="2">
        <v>49.0</v>
      </c>
      <c r="J50" s="10">
        <f>IFERROR(__xludf.DUMMYFUNCTION("ifna(QUERY($A$2:$G$2000, ""select G where D="" &amp; J$1 &amp; "" and E="" &amp; $I50), QUERY($A$2:$G$2000, ""select G where E="" &amp; J$1 &amp; "" and D="" &amp; $I50))"),5.68)</f>
        <v>5.68</v>
      </c>
      <c r="K50" s="10">
        <f>IFERROR(__xludf.DUMMYFUNCTION("ifna(QUERY($A$2:$G$2000, ""select G where D="" &amp; K$1 &amp; "" and E="" &amp; $I50), QUERY($A$2:$G$2000, ""select G where E="" &amp; K$1 &amp; "" and D="" &amp; $I50))"),5.706666666666667)</f>
        <v>5.706666667</v>
      </c>
      <c r="L50" s="10">
        <f>IFERROR(__xludf.DUMMYFUNCTION("ifna(QUERY($A$2:$G$2000, ""select G where D="" &amp; L$1 &amp; "" and E="" &amp; $I50), QUERY($A$2:$G$2000, ""select G where E="" &amp; L$1 &amp; "" and D="" &amp; $I50))"),5.8)</f>
        <v>5.8</v>
      </c>
      <c r="M50" s="10">
        <f>IFERROR(__xludf.DUMMYFUNCTION("ifna(QUERY($A$2:$G$2000, ""select G where D="" &amp; M$1 &amp; "" and E="" &amp; $I50), QUERY($A$2:$G$2000, ""select G where E="" &amp; M$1 &amp; "" and D="" &amp; $I50))"),5.896)</f>
        <v>5.896</v>
      </c>
      <c r="N50" s="10">
        <f>IFERROR(__xludf.DUMMYFUNCTION("ifna(QUERY($A$2:$G$2000, ""select G where D="" &amp; N$1 &amp; "" and E="" &amp; $I50), QUERY($A$2:$G$2000, ""select G where E="" &amp; N$1 &amp; "" and D="" &amp; $I50))"),5.96)</f>
        <v>5.96</v>
      </c>
      <c r="O50" s="10">
        <f>IFERROR(__xludf.DUMMYFUNCTION("ifna(QUERY($A$2:$G$2000, ""select G where D="" &amp; O$1 &amp; "" and E="" &amp; $I50), QUERY($A$2:$G$2000, ""select G where E="" &amp; O$1 &amp; "" and D="" &amp; $I50))"),6.034285714285714)</f>
        <v>6.034285714</v>
      </c>
      <c r="P50" s="10">
        <f>IFERROR(__xludf.DUMMYFUNCTION("ifna(QUERY($A$2:$G$2000, ""select G where D="" &amp; P$1 &amp; "" and E="" &amp; $I50), QUERY($A$2:$G$2000, ""select G where E="" &amp; P$1 &amp; "" and D="" &amp; $I50))"),6.1)</f>
        <v>6.1</v>
      </c>
      <c r="Q50" s="10">
        <f>IFERROR(__xludf.DUMMYFUNCTION("ifna(QUERY($A$2:$G$2000, ""select G where D="" &amp; Q$1 &amp; "" and E="" &amp; $I50), QUERY($A$2:$G$2000, ""select G where E="" &amp; Q$1 &amp; "" and D="" &amp; $I50))"),6.1866666666666665)</f>
        <v>6.186666667</v>
      </c>
      <c r="R50" s="10">
        <f>IFERROR(__xludf.DUMMYFUNCTION("ifna(QUERY($A$2:$G$2000, ""select G where D="" &amp; R$1 &amp; "" and E="" &amp; $I50), QUERY($A$2:$G$2000, ""select G where E="" &amp; R$1 &amp; "" and D="" &amp; $I50))"),6.272)</f>
        <v>6.272</v>
      </c>
      <c r="S50" s="10">
        <f>IFERROR(__xludf.DUMMYFUNCTION("ifna(QUERY($A$2:$G$2000, ""select G where D="" &amp; S$1 &amp; "" and E="" &amp; $I50), QUERY($A$2:$G$2000, ""select G where E="" &amp; S$1 &amp; "" and D="" &amp; $I50))"),6.363636363636363)</f>
        <v>6.363636364</v>
      </c>
      <c r="T50" s="10">
        <f>IFERROR(__xludf.DUMMYFUNCTION("ifna(QUERY($A$2:$G$2000, ""select G where D="" &amp; T$1 &amp; "" and E="" &amp; $I50), QUERY($A$2:$G$2000, ""select G where E="" &amp; T$1 &amp; "" and D="" &amp; $I50))"),6.453333333333333)</f>
        <v>6.453333333</v>
      </c>
      <c r="U50" s="10">
        <f>IFERROR(__xludf.DUMMYFUNCTION("ifna(QUERY($A$2:$G$2000, ""select G where D="" &amp; U$1 &amp; "" and E="" &amp; $I50), QUERY($A$2:$G$2000, ""select G where E="" &amp; U$1 &amp; "" and D="" &amp; $I50))"),6.532307692307692)</f>
        <v>6.532307692</v>
      </c>
      <c r="V50" s="10">
        <f>IFERROR(__xludf.DUMMYFUNCTION("ifna(QUERY($A$2:$G$2000, ""select G where D="" &amp; V$1 &amp; "" and E="" &amp; $I50), QUERY($A$2:$G$2000, ""select G where E="" &amp; V$1 &amp; "" and D="" &amp; $I50))"),6.611428571428571)</f>
        <v>6.611428571</v>
      </c>
      <c r="W50" s="10">
        <f>IFERROR(__xludf.DUMMYFUNCTION("ifna(QUERY($A$2:$G$2000, ""select G where D="" &amp; W$1 &amp; "" and E="" &amp; $I50), QUERY($A$2:$G$2000, ""select G where E="" &amp; W$1 &amp; "" and D="" &amp; $I50))"),6.68)</f>
        <v>6.68</v>
      </c>
      <c r="X50" s="10">
        <f>IFERROR(__xludf.DUMMYFUNCTION("ifna(QUERY($A$2:$G$2000, ""select G where D="" &amp; X$1 &amp; "" and E="" &amp; $I50), QUERY($A$2:$G$2000, ""select G where E="" &amp; X$1 &amp; "" and D="" &amp; $I50))"),6.745)</f>
        <v>6.745</v>
      </c>
      <c r="Y50" s="10">
        <f>IFERROR(__xludf.DUMMYFUNCTION("ifna(QUERY($A$2:$G$2000, ""select G where D="" &amp; Y$1 &amp; "" and E="" &amp; $I50), QUERY($A$2:$G$2000, ""select G where E="" &amp; Y$1 &amp; "" and D="" &amp; $I50))"),6.792941176470588)</f>
        <v>6.792941176</v>
      </c>
      <c r="Z50" s="10">
        <f>IFERROR(__xludf.DUMMYFUNCTION("ifna(QUERY($A$2:$G$2000, ""select G where D="" &amp; Z$1 &amp; "" and E="" &amp; $I50), QUERY($A$2:$G$2000, ""select G where E="" &amp; Z$1 &amp; "" and D="" &amp; $I50))"),6.835555555555556)</f>
        <v>6.835555556</v>
      </c>
      <c r="AA50" s="10">
        <f>IFERROR(__xludf.DUMMYFUNCTION("ifna(QUERY($A$2:$G$2000, ""select G where D="" &amp; AA$1 &amp; "" and E="" &amp; $I50), QUERY($A$2:$G$2000, ""select G where E="" &amp; AA$1 &amp; "" and D="" &amp; $I50))"),6.869473684210527)</f>
        <v>6.869473684</v>
      </c>
      <c r="AB50" s="10">
        <f>IFERROR(__xludf.DUMMYFUNCTION("ifna(QUERY($A$2:$G$2000, ""select G where D="" &amp; AB$1 &amp; "" and E="" &amp; $I50), QUERY($A$2:$G$2000, ""select G where E="" &amp; AB$1 &amp; "" and D="" &amp; $I50))"),6.902)</f>
        <v>6.902</v>
      </c>
      <c r="AC50" s="10">
        <f>IFERROR(__xludf.DUMMYFUNCTION("ifna(QUERY($A$2:$G$2000, ""select G where D="" &amp; AC$1 &amp; "" and E="" &amp; $I50), QUERY($A$2:$G$2000, ""select G where E="" &amp; AC$1 &amp; "" and D="" &amp; $I50))"),6.937142857142857)</f>
        <v>6.937142857</v>
      </c>
      <c r="AD50" s="10">
        <f>IFERROR(__xludf.DUMMYFUNCTION("ifna(QUERY($A$2:$G$2000, ""select G where D="" &amp; AD$1 &amp; "" and E="" &amp; $I50), QUERY($A$2:$G$2000, ""select G where E="" &amp; AD$1 &amp; "" and D="" &amp; $I50))"),6.998181818181818)</f>
        <v>6.998181818</v>
      </c>
      <c r="AE50" s="10">
        <f>IFERROR(__xludf.DUMMYFUNCTION("ifna(QUERY($A$2:$G$2000, ""select G where D="" &amp; AE$1 &amp; "" and E="" &amp; $I50), QUERY($A$2:$G$2000, ""select G where E="" &amp; AE$1 &amp; "" and D="" &amp; $I50))"),7.006956521739131)</f>
        <v>7.006956522</v>
      </c>
      <c r="AF50" s="10">
        <f>IFERROR(__xludf.DUMMYFUNCTION("ifna(QUERY($A$2:$G$2000, ""select G where D="" &amp; AF$1 &amp; "" and E="" &amp; $I50), QUERY($A$2:$G$2000, ""select G where E="" &amp; AF$1 &amp; "" and D="" &amp; $I50))"),7.02)</f>
        <v>7.02</v>
      </c>
      <c r="AG50" s="10">
        <f>IFERROR(__xludf.DUMMYFUNCTION("ifna(QUERY($A$2:$G$2000, ""select G where D="" &amp; AG$1 &amp; "" and E="" &amp; $I50), QUERY($A$2:$G$2000, ""select G where E="" &amp; AG$1 &amp; "" and D="" &amp; $I50))"),7.0384)</f>
        <v>7.0384</v>
      </c>
      <c r="AH50" s="10">
        <f>IFERROR(__xludf.DUMMYFUNCTION("ifna(QUERY($A$2:$G$2000, ""select G where D="" &amp; AH$1 &amp; "" and E="" &amp; $I50), QUERY($A$2:$G$2000, ""select G where E="" &amp; AH$1 &amp; "" and D="" &amp; $I50))"),7.061538461538461)</f>
        <v>7.061538462</v>
      </c>
      <c r="AI50" s="10">
        <f>IFERROR(__xludf.DUMMYFUNCTION("ifna(QUERY($A$2:$G$2000, ""select G where D="" &amp; AI$1 &amp; "" and E="" &amp; $I50), QUERY($A$2:$G$2000, ""select G where E="" &amp; AI$1 &amp; "" and D="" &amp; $I50))"),7.085925925925926)</f>
        <v>7.085925926</v>
      </c>
      <c r="AJ50" s="10">
        <f>IFERROR(__xludf.DUMMYFUNCTION("ifna(QUERY($A$2:$G$2000, ""select G where D="" &amp; AJ$1 &amp; "" and E="" &amp; $I50), QUERY($A$2:$G$2000, ""select G where E="" &amp; AJ$1 &amp; "" and D="" &amp; $I50))"),7.114285714285714)</f>
        <v>7.114285714</v>
      </c>
      <c r="AK50" s="10">
        <f>IFERROR(__xludf.DUMMYFUNCTION("ifna(QUERY($A$2:$G$2000, ""select G where D="" &amp; AK$1 &amp; "" and E="" &amp; $I50), QUERY($A$2:$G$2000, ""select G where E="" &amp; AK$1 &amp; "" and D="" &amp; $I50))"),7.1434482758620685)</f>
        <v>7.143448276</v>
      </c>
      <c r="AL50" s="10">
        <f>IFERROR(__xludf.DUMMYFUNCTION("ifna(QUERY($A$2:$G$2000, ""select G where D="" &amp; AL$1 &amp; "" and E="" &amp; $I50), QUERY($A$2:$G$2000, ""select G where E="" &amp; AL$1 &amp; "" and D="" &amp; $I50))"),7.173333333333334)</f>
        <v>7.173333333</v>
      </c>
      <c r="AM50" s="10">
        <f>IFERROR(__xludf.DUMMYFUNCTION("ifna(QUERY($A$2:$G$2000, ""select G where D="" &amp; AM$1 &amp; "" and E="" &amp; $I50), QUERY($A$2:$G$2000, ""select G where E="" &amp; AM$1 &amp; "" and D="" &amp; $I50))"),7.203870967741936)</f>
        <v>7.203870968</v>
      </c>
      <c r="AN50" s="10">
        <f>IFERROR(__xludf.DUMMYFUNCTION("ifna(QUERY($A$2:$G$2000, ""select G where D="" &amp; AN$1 &amp; "" and E="" &amp; $I50), QUERY($A$2:$G$2000, ""select G where E="" &amp; AN$1 &amp; "" and D="" &amp; $I50))"),7.235)</f>
        <v>7.235</v>
      </c>
      <c r="AO50" s="10">
        <f>IFERROR(__xludf.DUMMYFUNCTION("ifna(QUERY($A$2:$G$2000, ""select G where D="" &amp; AO$1 &amp; "" and E="" &amp; $I50), QUERY($A$2:$G$2000, ""select G where E="" &amp; AO$1 &amp; "" and D="" &amp; $I50))"),7.266666666666667)</f>
        <v>7.266666667</v>
      </c>
      <c r="AP50" s="10">
        <f>IFERROR(__xludf.DUMMYFUNCTION("ifna(QUERY($A$2:$G$2000, ""select G where D="" &amp; AP$1 &amp; "" and E="" &amp; $I50), QUERY($A$2:$G$2000, ""select G where E="" &amp; AP$1 &amp; "" and D="" &amp; $I50))"),7.298823529411765)</f>
        <v>7.298823529</v>
      </c>
      <c r="AQ50" s="10">
        <f>IFERROR(__xludf.DUMMYFUNCTION("ifna(QUERY($A$2:$G$2000, ""select G where D="" &amp; AQ$1 &amp; "" and E="" &amp; $I50), QUERY($A$2:$G$2000, ""select G where E="" &amp; AQ$1 &amp; "" and D="" &amp; $I50))"),7.331428571428571)</f>
        <v>7.331428571</v>
      </c>
      <c r="AR50" s="10">
        <f>IFERROR(__xludf.DUMMYFUNCTION("ifna(QUERY($A$2:$G$2000, ""select G where D="" &amp; AR$1 &amp; "" and E="" &amp; $I50), QUERY($A$2:$G$2000, ""select G where E="" &amp; AR$1 &amp; "" and D="" &amp; $I50))"),7.364444444444445)</f>
        <v>7.364444444</v>
      </c>
      <c r="AS50" s="10">
        <f>IFERROR(__xludf.DUMMYFUNCTION("ifna(QUERY($A$2:$G$2000, ""select G where D="" &amp; AS$1 &amp; "" and E="" &amp; $I50), QUERY($A$2:$G$2000, ""select G where E="" &amp; AS$1 &amp; "" and D="" &amp; $I50))"),7.397837837837838)</f>
        <v>7.397837838</v>
      </c>
      <c r="AT50" s="10">
        <f>IFERROR(__xludf.DUMMYFUNCTION("ifna(QUERY($A$2:$G$2000, ""select G where D="" &amp; AT$1 &amp; "" and E="" &amp; $I50), QUERY($A$2:$G$2000, ""select G where E="" &amp; AT$1 &amp; "" and D="" &amp; $I50))"),7.431578947368421)</f>
        <v>7.431578947</v>
      </c>
      <c r="AU50" s="10">
        <f>IFERROR(__xludf.DUMMYFUNCTION("ifna(QUERY($A$2:$G$2000, ""select G where D="" &amp; AU$1 &amp; "" and E="" &amp; $I50), QUERY($A$2:$G$2000, ""select G where E="" &amp; AU$1 &amp; "" and D="" &amp; $I50))"),7.465641025641026)</f>
        <v>7.465641026</v>
      </c>
      <c r="AV50" s="10">
        <f>IFERROR(__xludf.DUMMYFUNCTION("ifna(QUERY($A$2:$G$2000, ""select G where D="" &amp; AV$1 &amp; "" and E="" &amp; $I50), QUERY($A$2:$G$2000, ""select G where E="" &amp; AV$1 &amp; "" and D="" &amp; $I50))"),7.5)</f>
        <v>7.5</v>
      </c>
      <c r="AW50" s="10">
        <f>IFERROR(__xludf.DUMMYFUNCTION("ifna(QUERY($A$2:$G$2000, ""select G where D="" &amp; AW$1 &amp; "" and E="" &amp; $I50), QUERY($A$2:$G$2000, ""select G where E="" &amp; AW$1 &amp; "" and D="" &amp; $I50))"),7.532682926829268)</f>
        <v>7.532682927</v>
      </c>
      <c r="AX50" s="10">
        <f>IFERROR(__xludf.DUMMYFUNCTION("ifna(QUERY($A$2:$G$2000, ""select G where D="" &amp; AX$1 &amp; "" and E="" &amp; $I50), QUERY($A$2:$G$2000, ""select G where E="" &amp; AX$1 &amp; "" and D="" &amp; $I50))"),7.565714285714286)</f>
        <v>7.565714286</v>
      </c>
      <c r="AY50" s="10">
        <f>IFERROR(__xludf.DUMMYFUNCTION("ifna(QUERY($A$2:$G$2000, ""select G where D="" &amp; AY$1 &amp; "" and E="" &amp; $I50), QUERY($A$2:$G$2000, ""select G where E="" &amp; AY$1 &amp; "" and D="" &amp; $I50))"),7.59906976744186)</f>
        <v>7.599069767</v>
      </c>
      <c r="AZ50" s="10">
        <f>IFERROR(__xludf.DUMMYFUNCTION("ifna(QUERY($A$2:$G$2000, ""select G where D="" &amp; AZ$1 &amp; "" and E="" &amp; $I50), QUERY($A$2:$G$2000, ""select G where E="" &amp; AZ$1 &amp; "" and D="" &amp; $I50))"),7.630909090909091)</f>
        <v>7.630909091</v>
      </c>
      <c r="BA50" s="10">
        <f>IFERROR(__xludf.DUMMYFUNCTION("ifna(QUERY($A$2:$G$2000, ""select G where D="" &amp; BA$1 &amp; "" and E="" &amp; $I50), QUERY($A$2:$G$2000, ""select G where E="" &amp; BA$1 &amp; "" and D="" &amp; $I50))"),7.6595555555555555)</f>
        <v>7.659555556</v>
      </c>
      <c r="BB50" s="10">
        <f>IFERROR(__xludf.DUMMYFUNCTION("ifna(QUERY($A$2:$G$2000, ""select G where D="" &amp; BB$1 &amp; "" and E="" &amp; $I50), QUERY($A$2:$G$2000, ""select G where E="" &amp; BB$1 &amp; "" and D="" &amp; $I50))"),7.6869565217391305)</f>
        <v>7.686956522</v>
      </c>
      <c r="BC50" s="10">
        <f>IFERROR(__xludf.DUMMYFUNCTION("ifna(QUERY($A$2:$G$2000, ""select G where D="" &amp; BC$1 &amp; "" and E="" &amp; $I50), QUERY($A$2:$G$2000, ""select G where E="" &amp; BC$1 &amp; "" and D="" &amp; $I50))"),7.711489361702128)</f>
        <v>7.711489362</v>
      </c>
      <c r="BD50" s="10">
        <f>IFERROR(__xludf.DUMMYFUNCTION("ifna(QUERY($A$2:$G$2000, ""select G where D="" &amp; BD$1 &amp; "" and E="" &amp; $I50), QUERY($A$2:$G$2000, ""select G where E="" &amp; BD$1 &amp; "" and D="" &amp; $I50))"),7.735)</f>
        <v>7.735</v>
      </c>
      <c r="BE50" s="10">
        <f>IFERROR(__xludf.DUMMYFUNCTION("ifna(QUERY($A$2:$G$2000, ""select G where D="" &amp; BE$1 &amp; "" and E="" &amp; $I50), QUERY($A$2:$G$2000, ""select G where E="" &amp; BE$1 &amp; "" and D="" &amp; $I50))"),7.755918367346939)</f>
        <v>7.755918367</v>
      </c>
      <c r="BF50" s="10">
        <f>IFERROR(__xludf.DUMMYFUNCTION("ifna(QUERY($A$2:$G$2000, ""select G where D="" &amp; BF$1 &amp; "" and E="" &amp; $I50), QUERY($A$2:$G$2000, ""select G where E="" &amp; BF$1 &amp; "" and D="" &amp; $I50))"),7.776)</f>
        <v>7.776</v>
      </c>
      <c r="BG50" s="10">
        <f>IFERROR(__xludf.DUMMYFUNCTION("ifna(QUERY($A$2:$G$2000, ""select G where D="" &amp; BG$1 &amp; "" and E="" &amp; $I50), QUERY($A$2:$G$2000, ""select G where E="" &amp; BG$1 &amp; "" and D="" &amp; $I50))"),7.793725490196079)</f>
        <v>7.79372549</v>
      </c>
      <c r="BH50" s="10">
        <f>IFERROR(__xludf.DUMMYFUNCTION("ifna(QUERY($A$2:$G$2000, ""select G where D="" &amp; BH$1 &amp; "" and E="" &amp; $I50), QUERY($A$2:$G$2000, ""select G where E="" &amp; BH$1 &amp; "" and D="" &amp; $I50))"),7.810769230769231)</f>
        <v>7.810769231</v>
      </c>
      <c r="BI50" s="10">
        <f>IFERROR(__xludf.DUMMYFUNCTION("ifna(QUERY($A$2:$G$2000, ""select G where D="" &amp; BI$1 &amp; "" and E="" &amp; $I50), QUERY($A$2:$G$2000, ""select G where E="" &amp; BI$1 &amp; "" and D="" &amp; $I50))"),7.826415094339622)</f>
        <v>7.826415094</v>
      </c>
      <c r="BJ50" s="10">
        <f>IFERROR(__xludf.DUMMYFUNCTION("ifna(QUERY($A$2:$G$2000, ""select G where D="" &amp; BJ$1 &amp; "" and E="" &amp; $I50), QUERY($A$2:$G$2000, ""select G where E="" &amp; BJ$1 &amp; "" and D="" &amp; $I50))"),7.841481481481481)</f>
        <v>7.841481481</v>
      </c>
      <c r="BK50" s="10">
        <f>IFERROR(__xludf.DUMMYFUNCTION("ifna(QUERY($A$2:$G$2000, ""select G where D="" &amp; BK$1 &amp; "" and E="" &amp; $I50), QUERY($A$2:$G$2000, ""select G where E="" &amp; BK$1 &amp; "" and D="" &amp; $I50))"),7.8545454545454545)</f>
        <v>7.854545455</v>
      </c>
      <c r="BL50" s="10"/>
      <c r="BM50" s="10"/>
      <c r="BN50" s="10"/>
      <c r="BO50" s="10"/>
    </row>
    <row r="51">
      <c r="A51" s="3">
        <v>4.0</v>
      </c>
      <c r="B51" s="3">
        <v>5.0</v>
      </c>
      <c r="C51" s="3">
        <v>45.0</v>
      </c>
      <c r="D51" s="3">
        <v>14.0</v>
      </c>
      <c r="E51" s="3">
        <v>2.0</v>
      </c>
      <c r="F51" s="11">
        <f t="shared" si="1"/>
        <v>0.1111111111</v>
      </c>
      <c r="G51" s="5">
        <f t="shared" si="2"/>
        <v>3.888888889</v>
      </c>
      <c r="H51" s="3">
        <v>51.0</v>
      </c>
      <c r="I51" s="2">
        <v>50.0</v>
      </c>
      <c r="J51" s="10">
        <f>IFERROR(__xludf.DUMMYFUNCTION("ifna(QUERY($A$2:$G$2000, ""select G where D="" &amp; J$1 &amp; "" and E="" &amp; $I51), QUERY($A$2:$G$2000, ""select G where E="" &amp; J$1 &amp; "" and D="" &amp; $I51))"),5.705882352941177)</f>
        <v>5.705882353</v>
      </c>
      <c r="K51" s="10">
        <f>IFERROR(__xludf.DUMMYFUNCTION("ifna(QUERY($A$2:$G$2000, ""select G where D="" &amp; K$1 &amp; "" and E="" &amp; $I51), QUERY($A$2:$G$2000, ""select G where E="" &amp; K$1 &amp; "" and D="" &amp; $I51))"),5.73202614379085)</f>
        <v>5.732026144</v>
      </c>
      <c r="L51" s="10">
        <f>IFERROR(__xludf.DUMMYFUNCTION("ifna(QUERY($A$2:$G$2000, ""select G where D="" &amp; L$1 &amp; "" and E="" &amp; $I51), QUERY($A$2:$G$2000, ""select G where E="" &amp; L$1 &amp; "" and D="" &amp; $I51))"),5.823529411764706)</f>
        <v>5.823529412</v>
      </c>
      <c r="M51" s="10">
        <f>IFERROR(__xludf.DUMMYFUNCTION("ifna(QUERY($A$2:$G$2000, ""select G where D="" &amp; M$1 &amp; "" and E="" &amp; $I51), QUERY($A$2:$G$2000, ""select G where E="" &amp; M$1 &amp; "" and D="" &amp; $I51))"),5.909803921568628)</f>
        <v>5.909803922</v>
      </c>
      <c r="N51" s="10">
        <f>IFERROR(__xludf.DUMMYFUNCTION("ifna(QUERY($A$2:$G$2000, ""select G where D="" &amp; N$1 &amp; "" and E="" &amp; $I51), QUERY($A$2:$G$2000, ""select G where E="" &amp; N$1 &amp; "" and D="" &amp; $I51))"),5.967320261437909)</f>
        <v>5.967320261</v>
      </c>
      <c r="O51" s="10">
        <f>IFERROR(__xludf.DUMMYFUNCTION("ifna(QUERY($A$2:$G$2000, ""select G where D="" &amp; O$1 &amp; "" and E="" &amp; $I51), QUERY($A$2:$G$2000, ""select G where E="" &amp; O$1 &amp; "" and D="" &amp; $I51))"),6.044817927170868)</f>
        <v>6.044817927</v>
      </c>
      <c r="P51" s="10">
        <f>IFERROR(__xludf.DUMMYFUNCTION("ifna(QUERY($A$2:$G$2000, ""select G where D="" &amp; P$1 &amp; "" and E="" &amp; $I51), QUERY($A$2:$G$2000, ""select G where E="" &amp; P$1 &amp; "" and D="" &amp; $I51))"),6.117647058823529)</f>
        <v>6.117647059</v>
      </c>
      <c r="Q51" s="10">
        <f>IFERROR(__xludf.DUMMYFUNCTION("ifna(QUERY($A$2:$G$2000, ""select G where D="" &amp; Q$1 &amp; "" and E="" &amp; $I51), QUERY($A$2:$G$2000, ""select G where E="" &amp; Q$1 &amp; "" and D="" &amp; $I51))"),6.209150326797386)</f>
        <v>6.209150327</v>
      </c>
      <c r="R51" s="10">
        <f>IFERROR(__xludf.DUMMYFUNCTION("ifna(QUERY($A$2:$G$2000, ""select G where D="" &amp; R$1 &amp; "" and E="" &amp; $I51), QUERY($A$2:$G$2000, ""select G where E="" &amp; R$1 &amp; "" and D="" &amp; $I51))"),6.298039215686274)</f>
        <v>6.298039216</v>
      </c>
      <c r="S51" s="10">
        <f>IFERROR(__xludf.DUMMYFUNCTION("ifna(QUERY($A$2:$G$2000, ""select G where D="" &amp; S$1 &amp; "" and E="" &amp; $I51), QUERY($A$2:$G$2000, ""select G where E="" &amp; S$1 &amp; "" and D="" &amp; $I51))"),6.392156862745098)</f>
        <v>6.392156863</v>
      </c>
      <c r="T51" s="10">
        <f>IFERROR(__xludf.DUMMYFUNCTION("ifna(QUERY($A$2:$G$2000, ""select G where D="" &amp; T$1 &amp; "" and E="" &amp; $I51), QUERY($A$2:$G$2000, ""select G where E="" &amp; T$1 &amp; "" and D="" &amp; $I51))"),6.483660130718954)</f>
        <v>6.483660131</v>
      </c>
      <c r="U51" s="10">
        <f>IFERROR(__xludf.DUMMYFUNCTION("ifna(QUERY($A$2:$G$2000, ""select G where D="" &amp; U$1 &amp; "" and E="" &amp; $I51), QUERY($A$2:$G$2000, ""select G where E="" &amp; U$1 &amp; "" and D="" &amp; $I51))"),6.5610859728506785)</f>
        <v>6.561085973</v>
      </c>
      <c r="V51" s="10">
        <f>IFERROR(__xludf.DUMMYFUNCTION("ifna(QUERY($A$2:$G$2000, ""select G where D="" &amp; V$1 &amp; "" and E="" &amp; $I51), QUERY($A$2:$G$2000, ""select G where E="" &amp; V$1 &amp; "" and D="" &amp; $I51))"),6.638655462184874)</f>
        <v>6.638655462</v>
      </c>
      <c r="W51" s="10">
        <f>IFERROR(__xludf.DUMMYFUNCTION("ifna(QUERY($A$2:$G$2000, ""select G where D="" &amp; W$1 &amp; "" and E="" &amp; $I51), QUERY($A$2:$G$2000, ""select G where E="" &amp; W$1 &amp; "" and D="" &amp; $I51))"),6.705882352941177)</f>
        <v>6.705882353</v>
      </c>
      <c r="X51" s="10">
        <f>IFERROR(__xludf.DUMMYFUNCTION("ifna(QUERY($A$2:$G$2000, ""select G where D="" &amp; X$1 &amp; "" and E="" &amp; $I51), QUERY($A$2:$G$2000, ""select G where E="" &amp; X$1 &amp; "" and D="" &amp; $I51))"),6.767156862745098)</f>
        <v>6.767156863</v>
      </c>
      <c r="Y51" s="10">
        <f>IFERROR(__xludf.DUMMYFUNCTION("ifna(QUERY($A$2:$G$2000, ""select G where D="" &amp; Y$1 &amp; "" and E="" &amp; $I51), QUERY($A$2:$G$2000, ""select G where E="" &amp; Y$1 &amp; "" and D="" &amp; $I51))"),6.81199538638985)</f>
        <v>6.811995386</v>
      </c>
      <c r="Z51" s="10">
        <f>IFERROR(__xludf.DUMMYFUNCTION("ifna(QUERY($A$2:$G$2000, ""select G where D="" &amp; Z$1 &amp; "" and E="" &amp; $I51), QUERY($A$2:$G$2000, ""select G where E="" &amp; Z$1 &amp; "" and D="" &amp; $I51))"),6.851851851851852)</f>
        <v>6.851851852</v>
      </c>
      <c r="AA51" s="10">
        <f>IFERROR(__xludf.DUMMYFUNCTION("ifna(QUERY($A$2:$G$2000, ""select G where D="" &amp; AA$1 &amp; "" and E="" &amp; $I51), QUERY($A$2:$G$2000, ""select G where E="" &amp; AA$1 &amp; "" and D="" &amp; $I51))"),6.883384932920537)</f>
        <v>6.883384933</v>
      </c>
      <c r="AB51" s="10">
        <f>IFERROR(__xludf.DUMMYFUNCTION("ifna(QUERY($A$2:$G$2000, ""select G where D="" &amp; AB$1 &amp; "" and E="" &amp; $I51), QUERY($A$2:$G$2000, ""select G where E="" &amp; AB$1 &amp; "" and D="" &amp; $I51))"),6.919607843137255)</f>
        <v>6.919607843</v>
      </c>
      <c r="AC51" s="10">
        <f>IFERROR(__xludf.DUMMYFUNCTION("ifna(QUERY($A$2:$G$2000, ""select G where D="" &amp; AC$1 &amp; "" and E="" &amp; $I51), QUERY($A$2:$G$2000, ""select G where E="" &amp; AC$1 &amp; "" and D="" &amp; $I51))"),6.979458450046685)</f>
        <v>6.97945845</v>
      </c>
      <c r="AD51" s="10">
        <f>IFERROR(__xludf.DUMMYFUNCTION("ifna(QUERY($A$2:$G$2000, ""select G where D="" &amp; AD$1 &amp; "" and E="" &amp; $I51), QUERY($A$2:$G$2000, ""select G where E="" &amp; AD$1 &amp; "" and D="" &amp; $I51))"),7.003565062388592)</f>
        <v>7.003565062</v>
      </c>
      <c r="AE51" s="10">
        <f>IFERROR(__xludf.DUMMYFUNCTION("ifna(QUERY($A$2:$G$2000, ""select G where D="" &amp; AE$1 &amp; "" and E="" &amp; $I51), QUERY($A$2:$G$2000, ""select G where E="" &amp; AE$1 &amp; "" and D="" &amp; $I51))"),7.013640238704177)</f>
        <v>7.013640239</v>
      </c>
      <c r="AF51" s="10">
        <f>IFERROR(__xludf.DUMMYFUNCTION("ifna(QUERY($A$2:$G$2000, ""select G where D="" &amp; AF$1 &amp; "" and E="" &amp; $I51), QUERY($A$2:$G$2000, ""select G where E="" &amp; AF$1 &amp; "" and D="" &amp; $I51))"),7.029411764705882)</f>
        <v>7.029411765</v>
      </c>
      <c r="AG51" s="10">
        <f>IFERROR(__xludf.DUMMYFUNCTION("ifna(QUERY($A$2:$G$2000, ""select G where D="" &amp; AG$1 &amp; "" and E="" &amp; $I51), QUERY($A$2:$G$2000, ""select G where E="" &amp; AG$1 &amp; "" and D="" &amp; $I51))"),7.050196078431372)</f>
        <v>7.050196078</v>
      </c>
      <c r="AH51" s="10">
        <f>IFERROR(__xludf.DUMMYFUNCTION("ifna(QUERY($A$2:$G$2000, ""select G where D="" &amp; AH$1 &amp; "" and E="" &amp; $I51), QUERY($A$2:$G$2000, ""select G where E="" &amp; AH$1 &amp; "" and D="" &amp; $I51))"),7.075414781297134)</f>
        <v>7.075414781</v>
      </c>
      <c r="AI51" s="10">
        <f>IFERROR(__xludf.DUMMYFUNCTION("ifna(QUERY($A$2:$G$2000, ""select G where D="" &amp; AI$1 &amp; "" and E="" &amp; $I51), QUERY($A$2:$G$2000, ""select G where E="" &amp; AI$1 &amp; "" and D="" &amp; $I51))"),7.101670297748729)</f>
        <v>7.101670298</v>
      </c>
      <c r="AJ51" s="10">
        <f>IFERROR(__xludf.DUMMYFUNCTION("ifna(QUERY($A$2:$G$2000, ""select G where D="" &amp; AJ$1 &amp; "" and E="" &amp; $I51), QUERY($A$2:$G$2000, ""select G where E="" &amp; AJ$1 &amp; "" and D="" &amp; $I51))"),7.131652661064425)</f>
        <v>7.131652661</v>
      </c>
      <c r="AK51" s="10">
        <f>IFERROR(__xludf.DUMMYFUNCTION("ifna(QUERY($A$2:$G$2000, ""select G where D="" &amp; AK$1 &amp; "" and E="" &amp; $I51), QUERY($A$2:$G$2000, ""select G where E="" &amp; AK$1 &amp; "" and D="" &amp; $I51))"),7.162271805273834)</f>
        <v>7.162271805</v>
      </c>
      <c r="AL51" s="10">
        <f>IFERROR(__xludf.DUMMYFUNCTION("ifna(QUERY($A$2:$G$2000, ""select G where D="" &amp; AL$1 &amp; "" and E="" &amp; $I51), QUERY($A$2:$G$2000, ""select G where E="" &amp; AL$1 &amp; "" and D="" &amp; $I51))"),7.193464052287582)</f>
        <v>7.193464052</v>
      </c>
      <c r="AM51" s="10">
        <f>IFERROR(__xludf.DUMMYFUNCTION("ifna(QUERY($A$2:$G$2000, ""select G where D="" &amp; AM$1 &amp; "" and E="" &amp; $I51), QUERY($A$2:$G$2000, ""select G where E="" &amp; AM$1 &amp; "" and D="" &amp; $I51))"),7.22517394054396)</f>
        <v>7.225173941</v>
      </c>
      <c r="AN51" s="10">
        <f>IFERROR(__xludf.DUMMYFUNCTION("ifna(QUERY($A$2:$G$2000, ""select G where D="" &amp; AN$1 &amp; "" and E="" &amp; $I51), QUERY($A$2:$G$2000, ""select G where E="" &amp; AN$1 &amp; "" and D="" &amp; $I51))"),7.257352941176471)</f>
        <v>7.257352941</v>
      </c>
      <c r="AO51" s="10">
        <f>IFERROR(__xludf.DUMMYFUNCTION("ifna(QUERY($A$2:$G$2000, ""select G where D="" &amp; AO$1 &amp; "" and E="" &amp; $I51), QUERY($A$2:$G$2000, ""select G where E="" &amp; AO$1 &amp; "" and D="" &amp; $I51))"),7.289958407605466)</f>
        <v>7.289958408</v>
      </c>
      <c r="AP51" s="10">
        <f>IFERROR(__xludf.DUMMYFUNCTION("ifna(QUERY($A$2:$G$2000, ""select G where D="" &amp; AP$1 &amp; "" and E="" &amp; $I51), QUERY($A$2:$G$2000, ""select G where E="" &amp; AP$1 &amp; "" and D="" &amp; $I51))"),7.322952710495963)</f>
        <v>7.32295271</v>
      </c>
      <c r="AQ51" s="10">
        <f>IFERROR(__xludf.DUMMYFUNCTION("ifna(QUERY($A$2:$G$2000, ""select G where D="" &amp; AQ$1 &amp; "" and E="" &amp; $I51), QUERY($A$2:$G$2000, ""select G where E="" &amp; AQ$1 &amp; "" and D="" &amp; $I51))"),7.356302521008403)</f>
        <v>7.356302521</v>
      </c>
      <c r="AR51" s="10">
        <f>IFERROR(__xludf.DUMMYFUNCTION("ifna(QUERY($A$2:$G$2000, ""select G where D="" &amp; AR$1 &amp; "" and E="" &amp; $I51), QUERY($A$2:$G$2000, ""select G where E="" &amp; AR$1 &amp; "" and D="" &amp; $I51))"),7.389978213507625)</f>
        <v>7.389978214</v>
      </c>
      <c r="AS51" s="10">
        <f>IFERROR(__xludf.DUMMYFUNCTION("ifna(QUERY($A$2:$G$2000, ""select G where D="" &amp; AS$1 &amp; "" and E="" &amp; $I51), QUERY($A$2:$G$2000, ""select G where E="" &amp; AS$1 &amp; "" and D="" &amp; $I51))"),7.423953365129836)</f>
        <v>7.423953365</v>
      </c>
      <c r="AT51" s="10">
        <f>IFERROR(__xludf.DUMMYFUNCTION("ifna(QUERY($A$2:$G$2000, ""select G where D="" &amp; AT$1 &amp; "" and E="" &amp; $I51), QUERY($A$2:$G$2000, ""select G where E="" &amp; AT$1 &amp; "" and D="" &amp; $I51))"),7.458204334365325)</f>
        <v>7.458204334</v>
      </c>
      <c r="AU51" s="10">
        <f>IFERROR(__xludf.DUMMYFUNCTION("ifna(QUERY($A$2:$G$2000, ""select G where D="" &amp; AU$1 &amp; "" and E="" &amp; $I51), QUERY($A$2:$G$2000, ""select G where E="" &amp; AU$1 &amp; "" and D="" &amp; $I51))"),7.49270990447461)</f>
        <v>7.492709904</v>
      </c>
      <c r="AV51" s="10">
        <f>IFERROR(__xludf.DUMMYFUNCTION("ifna(QUERY($A$2:$G$2000, ""select G where D="" &amp; AV$1 &amp; "" and E="" &amp; $I51), QUERY($A$2:$G$2000, ""select G where E="" &amp; AV$1 &amp; "" and D="" &amp; $I51))"),7.527450980392157)</f>
        <v>7.52745098</v>
      </c>
      <c r="AW51" s="10">
        <f>IFERROR(__xludf.DUMMYFUNCTION("ifna(QUERY($A$2:$G$2000, ""select G where D="" &amp; AW$1 &amp; "" and E="" &amp; $I51), QUERY($A$2:$G$2000, ""select G where E="" &amp; AW$1 &amp; "" and D="" &amp; $I51))"),7.560497369679579)</f>
        <v>7.56049737</v>
      </c>
      <c r="AX51" s="10">
        <f>IFERROR(__xludf.DUMMYFUNCTION("ifna(QUERY($A$2:$G$2000, ""select G where D="" &amp; AX$1 &amp; "" and E="" &amp; $I51), QUERY($A$2:$G$2000, ""select G where E="" &amp; AX$1 &amp; "" and D="" &amp; $I51))"),7.593837535014005)</f>
        <v>7.593837535</v>
      </c>
      <c r="AY51" s="10">
        <f>IFERROR(__xludf.DUMMYFUNCTION("ifna(QUERY($A$2:$G$2000, ""select G where D="" &amp; AY$1 &amp; "" and E="" &amp; $I51), QUERY($A$2:$G$2000, ""select G where E="" &amp; AY$1 &amp; "" and D="" &amp; $I51))"),7.6256269949840405)</f>
        <v>7.625626995</v>
      </c>
      <c r="AZ51" s="10">
        <f>IFERROR(__xludf.DUMMYFUNCTION("ifna(QUERY($A$2:$G$2000, ""select G where D="" &amp; AZ$1 &amp; "" and E="" &amp; $I51), QUERY($A$2:$G$2000, ""select G where E="" &amp; AZ$1 &amp; "" and D="" &amp; $I51))"),7.6559714795008915)</f>
        <v>7.65597148</v>
      </c>
      <c r="BA51" s="10">
        <f>IFERROR(__xludf.DUMMYFUNCTION("ifna(QUERY($A$2:$G$2000, ""select G where D="" &amp; BA$1 &amp; "" and E="" &amp; $I51), QUERY($A$2:$G$2000, ""select G where E="" &amp; BA$1 &amp; "" and D="" &amp; $I51))"),7.68322440087146)</f>
        <v>7.683224401</v>
      </c>
      <c r="BB51" s="10">
        <f>IFERROR(__xludf.DUMMYFUNCTION("ifna(QUERY($A$2:$G$2000, ""select G where D="" &amp; BB$1 &amp; "" and E="" &amp; $I51), QUERY($A$2:$G$2000, ""select G where E="" &amp; BB$1 &amp; "" and D="" &amp; $I51))"),7.709292412617221)</f>
        <v>7.709292413</v>
      </c>
      <c r="BC51" s="10">
        <f>IFERROR(__xludf.DUMMYFUNCTION("ifna(QUERY($A$2:$G$2000, ""select G where D="" &amp; BC$1 &amp; "" and E="" &amp; $I51), QUERY($A$2:$G$2000, ""select G where E="" &amp; BC$1 &amp; "" and D="" &amp; $I51))"),7.732582394659992)</f>
        <v>7.732582395</v>
      </c>
      <c r="BD51" s="10">
        <f>IFERROR(__xludf.DUMMYFUNCTION("ifna(QUERY($A$2:$G$2000, ""select G where D="" &amp; BD$1 &amp; "" and E="" &amp; $I51), QUERY($A$2:$G$2000, ""select G where E="" &amp; BD$1 &amp; "" and D="" &amp; $I51))"),7.754901960784314)</f>
        <v>7.754901961</v>
      </c>
      <c r="BE51" s="10">
        <f>IFERROR(__xludf.DUMMYFUNCTION("ifna(QUERY($A$2:$G$2000, ""select G where D="" &amp; BE$1 &amp; "" and E="" &amp; $I51), QUERY($A$2:$G$2000, ""select G where E="" &amp; BE$1 &amp; "" and D="" &amp; $I51))"),7.774709883953581)</f>
        <v>7.774709884</v>
      </c>
      <c r="BF51" s="10">
        <f>IFERROR(__xludf.DUMMYFUNCTION("ifna(QUERY($A$2:$G$2000, ""select G where D="" &amp; BF$1 &amp; "" and E="" &amp; $I51), QUERY($A$2:$G$2000, ""select G where E="" &amp; BF$1 &amp; "" and D="" &amp; $I51))"),7.793725490196079)</f>
        <v>7.79372549</v>
      </c>
      <c r="BG51" s="10">
        <f>IFERROR(__xludf.DUMMYFUNCTION("ifna(QUERY($A$2:$G$2000, ""select G where D="" &amp; BG$1 &amp; "" and E="" &amp; $I51), QUERY($A$2:$G$2000, ""select G where E="" &amp; BG$1 &amp; "" and D="" &amp; $I51))"),7.810457516339869)</f>
        <v>7.810457516</v>
      </c>
      <c r="BH51" s="10">
        <f>IFERROR(__xludf.DUMMYFUNCTION("ifna(QUERY($A$2:$G$2000, ""select G where D="" &amp; BH$1 &amp; "" and E="" &amp; $I51), QUERY($A$2:$G$2000, ""select G where E="" &amp; BH$1 &amp; "" and D="" &amp; $I51))"),7.826546003016591)</f>
        <v>7.826546003</v>
      </c>
      <c r="BI51" s="10">
        <f>IFERROR(__xludf.DUMMYFUNCTION("ifna(QUERY($A$2:$G$2000, ""select G where D="" &amp; BI$1 &amp; "" and E="" &amp; $I51), QUERY($A$2:$G$2000, ""select G where E="" &amp; BI$1 &amp; "" and D="" &amp; $I51))"),7.841287458379578)</f>
        <v>7.841287458</v>
      </c>
      <c r="BJ51" s="10">
        <f>IFERROR(__xludf.DUMMYFUNCTION("ifna(QUERY($A$2:$G$2000, ""select G where D="" &amp; BJ$1 &amp; "" and E="" &amp; $I51), QUERY($A$2:$G$2000, ""select G where E="" &amp; BJ$1 &amp; "" and D="" &amp; $I51))"),7.855482933914306)</f>
        <v>7.855482934</v>
      </c>
      <c r="BK51" s="10" t="str">
        <f>IFERROR(__xludf.DUMMYFUNCTION("ifna(QUERY($A$2:$G$2000, ""select G where D="" &amp; BK$1 &amp; "" and E="" &amp; $I51), QUERY($A$2:$G$2000, ""select G where E="" &amp; BK$1 &amp; "" and D="" &amp; $I51))"),"#N/A")</f>
        <v>#N/A</v>
      </c>
      <c r="BL51" s="10"/>
      <c r="BM51" s="10"/>
      <c r="BN51" s="10"/>
      <c r="BO51" s="10"/>
    </row>
    <row r="52">
      <c r="A52" s="3">
        <v>4.0</v>
      </c>
      <c r="B52" s="3">
        <v>4.0</v>
      </c>
      <c r="C52" s="3">
        <v>32.0</v>
      </c>
      <c r="D52" s="3">
        <v>15.0</v>
      </c>
      <c r="E52" s="3">
        <v>1.0</v>
      </c>
      <c r="F52" s="11">
        <f t="shared" si="1"/>
        <v>0.125</v>
      </c>
      <c r="G52" s="5">
        <f t="shared" si="2"/>
        <v>3.875</v>
      </c>
      <c r="H52" s="3">
        <v>52.0</v>
      </c>
      <c r="I52" s="2">
        <v>51.0</v>
      </c>
      <c r="J52" s="10">
        <f>IFERROR(__xludf.DUMMYFUNCTION("ifna(QUERY($A$2:$G$2000, ""select G where D="" &amp; J$1 &amp; "" and E="" &amp; $I52), QUERY($A$2:$G$2000, ""select G where E="" &amp; J$1 &amp; "" and D="" &amp; $I52))"),5.730769230769231)</f>
        <v>5.730769231</v>
      </c>
      <c r="K52" s="10">
        <f>IFERROR(__xludf.DUMMYFUNCTION("ifna(QUERY($A$2:$G$2000, ""select G where D="" &amp; K$1 &amp; "" and E="" &amp; $I52), QUERY($A$2:$G$2000, ""select G where E="" &amp; K$1 &amp; "" and D="" &amp; $I52))"),5.756410256410256)</f>
        <v>5.756410256</v>
      </c>
      <c r="L52" s="10">
        <f>IFERROR(__xludf.DUMMYFUNCTION("ifna(QUERY($A$2:$G$2000, ""select G where D="" &amp; L$1 &amp; "" and E="" &amp; $I52), QUERY($A$2:$G$2000, ""select G where E="" &amp; L$1 &amp; "" and D="" &amp; $I52))"),5.846153846153846)</f>
        <v>5.846153846</v>
      </c>
      <c r="M52" s="10">
        <f>IFERROR(__xludf.DUMMYFUNCTION("ifna(QUERY($A$2:$G$2000, ""select G where D="" &amp; M$1 &amp; "" and E="" &amp; $I52), QUERY($A$2:$G$2000, ""select G where E="" &amp; M$1 &amp; "" and D="" &amp; $I52))"),5.923076923076923)</f>
        <v>5.923076923</v>
      </c>
      <c r="N52" s="10">
        <f>IFERROR(__xludf.DUMMYFUNCTION("ifna(QUERY($A$2:$G$2000, ""select G where D="" &amp; N$1 &amp; "" and E="" &amp; $I52), QUERY($A$2:$G$2000, ""select G where E="" &amp; N$1 &amp; "" and D="" &amp; $I52))"),6.012820512820513)</f>
        <v>6.012820513</v>
      </c>
      <c r="O52" s="10">
        <f>IFERROR(__xludf.DUMMYFUNCTION("ifna(QUERY($A$2:$G$2000, ""select G where D="" &amp; O$1 &amp; "" and E="" &amp; $I52), QUERY($A$2:$G$2000, ""select G where E="" &amp; O$1 &amp; "" and D="" &amp; $I52))"),6.065934065934066)</f>
        <v>6.065934066</v>
      </c>
      <c r="P52" s="10">
        <f>IFERROR(__xludf.DUMMYFUNCTION("ifna(QUERY($A$2:$G$2000, ""select G where D="" &amp; P$1 &amp; "" and E="" &amp; $I52), QUERY($A$2:$G$2000, ""select G where E="" &amp; P$1 &amp; "" and D="" &amp; $I52))"),6.144230769230769)</f>
        <v>6.144230769</v>
      </c>
      <c r="Q52" s="10">
        <f>IFERROR(__xludf.DUMMYFUNCTION("ifna(QUERY($A$2:$G$2000, ""select G where D="" &amp; Q$1 &amp; "" and E="" &amp; $I52), QUERY($A$2:$G$2000, ""select G where E="" &amp; Q$1 &amp; "" and D="" &amp; $I52))"),6.239316239316239)</f>
        <v>6.239316239</v>
      </c>
      <c r="R52" s="10">
        <f>IFERROR(__xludf.DUMMYFUNCTION("ifna(QUERY($A$2:$G$2000, ""select G where D="" &amp; R$1 &amp; "" and E="" &amp; $I52), QUERY($A$2:$G$2000, ""select G where E="" &amp; R$1 &amp; "" and D="" &amp; $I52))"),6.3307692307692305)</f>
        <v>6.330769231</v>
      </c>
      <c r="S52" s="10">
        <f>IFERROR(__xludf.DUMMYFUNCTION("ifna(QUERY($A$2:$G$2000, ""select G where D="" &amp; S$1 &amp; "" and E="" &amp; $I52), QUERY($A$2:$G$2000, ""select G where E="" &amp; S$1 &amp; "" and D="" &amp; $I52))"),6.423076923076923)</f>
        <v>6.423076923</v>
      </c>
      <c r="T52" s="10">
        <f>IFERROR(__xludf.DUMMYFUNCTION("ifna(QUERY($A$2:$G$2000, ""select G where D="" &amp; T$1 &amp; "" and E="" &amp; $I52), QUERY($A$2:$G$2000, ""select G where E="" &amp; T$1 &amp; "" and D="" &amp; $I52))"),6.512820512820513)</f>
        <v>6.512820513</v>
      </c>
      <c r="U52" s="10">
        <f>IFERROR(__xludf.DUMMYFUNCTION("ifna(QUERY($A$2:$G$2000, ""select G where D="" &amp; U$1 &amp; "" and E="" &amp; $I52), QUERY($A$2:$G$2000, ""select G where E="" &amp; U$1 &amp; "" and D="" &amp; $I52))"),6.588757396449704)</f>
        <v>6.588757396</v>
      </c>
      <c r="V52" s="10">
        <f>IFERROR(__xludf.DUMMYFUNCTION("ifna(QUERY($A$2:$G$2000, ""select G where D="" &amp; V$1 &amp; "" and E="" &amp; $I52), QUERY($A$2:$G$2000, ""select G where E="" &amp; V$1 &amp; "" and D="" &amp; $I52))"),6.664835164835165)</f>
        <v>6.664835165</v>
      </c>
      <c r="W52" s="10">
        <f>IFERROR(__xludf.DUMMYFUNCTION("ifna(QUERY($A$2:$G$2000, ""select G where D="" &amp; W$1 &amp; "" and E="" &amp; $I52), QUERY($A$2:$G$2000, ""select G where E="" &amp; W$1 &amp; "" and D="" &amp; $I52))"),6.730769230769231)</f>
        <v>6.730769231</v>
      </c>
      <c r="X52" s="10">
        <f>IFERROR(__xludf.DUMMYFUNCTION("ifna(QUERY($A$2:$G$2000, ""select G where D="" &amp; X$1 &amp; "" and E="" &amp; $I52), QUERY($A$2:$G$2000, ""select G where E="" &amp; X$1 &amp; "" and D="" &amp; $I52))"),6.788461538461538)</f>
        <v>6.788461538</v>
      </c>
      <c r="Y52" s="10">
        <f>IFERROR(__xludf.DUMMYFUNCTION("ifna(QUERY($A$2:$G$2000, ""select G where D="" &amp; Y$1 &amp; "" and E="" &amp; $I52), QUERY($A$2:$G$2000, ""select G where E="" &amp; Y$1 &amp; "" and D="" &amp; $I52))"),6.830316742081448)</f>
        <v>6.830316742</v>
      </c>
      <c r="Z52" s="10">
        <f>IFERROR(__xludf.DUMMYFUNCTION("ifna(QUERY($A$2:$G$2000, ""select G where D="" &amp; Z$1 &amp; "" and E="" &amp; $I52), QUERY($A$2:$G$2000, ""select G where E="" &amp; Z$1 &amp; "" and D="" &amp; $I52))"),6.867521367521367)</f>
        <v>6.867521368</v>
      </c>
      <c r="AA52" s="10">
        <f>IFERROR(__xludf.DUMMYFUNCTION("ifna(QUERY($A$2:$G$2000, ""select G where D="" &amp; AA$1 &amp; "" and E="" &amp; $I52), QUERY($A$2:$G$2000, ""select G where E="" &amp; AA$1 &amp; "" and D="" &amp; $I52))"),6.896761133603239)</f>
        <v>6.896761134</v>
      </c>
      <c r="AB52" s="10">
        <f>IFERROR(__xludf.DUMMYFUNCTION("ifna(QUERY($A$2:$G$2000, ""select G where D="" &amp; AB$1 &amp; "" and E="" &amp; $I52), QUERY($A$2:$G$2000, ""select G where E="" &amp; AB$1 &amp; "" and D="" &amp; $I52))"),6.936538461538461)</f>
        <v>6.936538462</v>
      </c>
      <c r="AC52" s="10">
        <f>IFERROR(__xludf.DUMMYFUNCTION("ifna(QUERY($A$2:$G$2000, ""select G where D="" &amp; AC$1 &amp; "" and E="" &amp; $I52), QUERY($A$2:$G$2000, ""select G where E="" &amp; AC$1 &amp; "" and D="" &amp; $I52))"),6.998168498168498)</f>
        <v>6.998168498</v>
      </c>
      <c r="AD52" s="10">
        <f>IFERROR(__xludf.DUMMYFUNCTION("ifna(QUERY($A$2:$G$2000, ""select G where D="" &amp; AD$1 &amp; "" and E="" &amp; $I52), QUERY($A$2:$G$2000, ""select G where E="" &amp; AD$1 &amp; "" and D="" &amp; $I52))"),7.006993006993007)</f>
        <v>7.006993007</v>
      </c>
      <c r="AE52" s="10">
        <f>IFERROR(__xludf.DUMMYFUNCTION("ifna(QUERY($A$2:$G$2000, ""select G where D="" &amp; AE$1 &amp; "" and E="" &amp; $I52), QUERY($A$2:$G$2000, ""select G where E="" &amp; AE$1 &amp; "" and D="" &amp; $I52))"),7.020066889632107)</f>
        <v>7.02006689</v>
      </c>
      <c r="AF52" s="10">
        <f>IFERROR(__xludf.DUMMYFUNCTION("ifna(QUERY($A$2:$G$2000, ""select G where D="" &amp; AF$1 &amp; "" and E="" &amp; $I52), QUERY($A$2:$G$2000, ""select G where E="" &amp; AF$1 &amp; "" and D="" &amp; $I52))"),7.038461538461538)</f>
        <v>7.038461538</v>
      </c>
      <c r="AG52" s="10">
        <f>IFERROR(__xludf.DUMMYFUNCTION("ifna(QUERY($A$2:$G$2000, ""select G where D="" &amp; AG$1 &amp; "" and E="" &amp; $I52), QUERY($A$2:$G$2000, ""select G where E="" &amp; AG$1 &amp; "" and D="" &amp; $I52))"),7.061538461538461)</f>
        <v>7.061538462</v>
      </c>
      <c r="AH52" s="10">
        <f>IFERROR(__xludf.DUMMYFUNCTION("ifna(QUERY($A$2:$G$2000, ""select G where D="" &amp; AH$1 &amp; "" and E="" &amp; $I52), QUERY($A$2:$G$2000, ""select G where E="" &amp; AH$1 &amp; "" and D="" &amp; $I52))"),7.088757396449704)</f>
        <v>7.088757396</v>
      </c>
      <c r="AI52" s="10">
        <f>IFERROR(__xludf.DUMMYFUNCTION("ifna(QUERY($A$2:$G$2000, ""select G where D="" &amp; AI$1 &amp; "" and E="" &amp; $I52), QUERY($A$2:$G$2000, ""select G where E="" &amp; AI$1 &amp; "" and D="" &amp; $I52))"),7.116809116809117)</f>
        <v>7.116809117</v>
      </c>
      <c r="AJ52" s="10">
        <f>IFERROR(__xludf.DUMMYFUNCTION("ifna(QUERY($A$2:$G$2000, ""select G where D="" &amp; AJ$1 &amp; "" and E="" &amp; $I52), QUERY($A$2:$G$2000, ""select G where E="" &amp; AJ$1 &amp; "" and D="" &amp; $I52))"),7.148351648351649)</f>
        <v>7.148351648</v>
      </c>
      <c r="AK52" s="10">
        <f>IFERROR(__xludf.DUMMYFUNCTION("ifna(QUERY($A$2:$G$2000, ""select G where D="" &amp; AK$1 &amp; "" and E="" &amp; $I52), QUERY($A$2:$G$2000, ""select G where E="" &amp; AK$1 &amp; "" and D="" &amp; $I52))"),7.180371352785146)</f>
        <v>7.180371353</v>
      </c>
      <c r="AL52" s="10">
        <f>IFERROR(__xludf.DUMMYFUNCTION("ifna(QUERY($A$2:$G$2000, ""select G where D="" &amp; AL$1 &amp; "" and E="" &amp; $I52), QUERY($A$2:$G$2000, ""select G where E="" &amp; AL$1 &amp; "" and D="" &amp; $I52))"),7.212820512820513)</f>
        <v>7.212820513</v>
      </c>
      <c r="AM52" s="10">
        <f>IFERROR(__xludf.DUMMYFUNCTION("ifna(QUERY($A$2:$G$2000, ""select G where D="" &amp; AM$1 &amp; "" and E="" &amp; $I52), QUERY($A$2:$G$2000, ""select G where E="" &amp; AM$1 &amp; "" and D="" &amp; $I52))"),7.245657568238213)</f>
        <v>7.245657568</v>
      </c>
      <c r="AN52" s="10">
        <f>IFERROR(__xludf.DUMMYFUNCTION("ifna(QUERY($A$2:$G$2000, ""select G where D="" &amp; AN$1 &amp; "" and E="" &amp; $I52), QUERY($A$2:$G$2000, ""select G where E="" &amp; AN$1 &amp; "" and D="" &amp; $I52))"),7.278846153846154)</f>
        <v>7.278846154</v>
      </c>
      <c r="AO52" s="10">
        <f>IFERROR(__xludf.DUMMYFUNCTION("ifna(QUERY($A$2:$G$2000, ""select G where D="" &amp; AO$1 &amp; "" and E="" &amp; $I52), QUERY($A$2:$G$2000, ""select G where E="" &amp; AO$1 &amp; "" and D="" &amp; $I52))"),7.312354312354312)</f>
        <v>7.312354312</v>
      </c>
      <c r="AP52" s="10">
        <f>IFERROR(__xludf.DUMMYFUNCTION("ifna(QUERY($A$2:$G$2000, ""select G where D="" &amp; AP$1 &amp; "" and E="" &amp; $I52), QUERY($A$2:$G$2000, ""select G where E="" &amp; AP$1 &amp; "" and D="" &amp; $I52))"),7.346153846153846)</f>
        <v>7.346153846</v>
      </c>
      <c r="AQ52" s="10">
        <f>IFERROR(__xludf.DUMMYFUNCTION("ifna(QUERY($A$2:$G$2000, ""select G where D="" &amp; AQ$1 &amp; "" and E="" &amp; $I52), QUERY($A$2:$G$2000, ""select G where E="" &amp; AQ$1 &amp; "" and D="" &amp; $I52))"),7.380219780219781)</f>
        <v>7.38021978</v>
      </c>
      <c r="AR52" s="10">
        <f>IFERROR(__xludf.DUMMYFUNCTION("ifna(QUERY($A$2:$G$2000, ""select G where D="" &amp; AR$1 &amp; "" and E="" &amp; $I52), QUERY($A$2:$G$2000, ""select G where E="" &amp; AR$1 &amp; "" and D="" &amp; $I52))"),7.414529914529915)</f>
        <v>7.414529915</v>
      </c>
      <c r="AS52" s="10">
        <f>IFERROR(__xludf.DUMMYFUNCTION("ifna(QUERY($A$2:$G$2000, ""select G where D="" &amp; AS$1 &amp; "" and E="" &amp; $I52), QUERY($A$2:$G$2000, ""select G where E="" &amp; AS$1 &amp; "" and D="" &amp; $I52))"),7.4490644490644495)</f>
        <v>7.449064449</v>
      </c>
      <c r="AT52" s="10">
        <f>IFERROR(__xludf.DUMMYFUNCTION("ifna(QUERY($A$2:$G$2000, ""select G where D="" &amp; AT$1 &amp; "" and E="" &amp; $I52), QUERY($A$2:$G$2000, ""select G where E="" &amp; AT$1 &amp; "" and D="" &amp; $I52))"),7.483805668016195)</f>
        <v>7.483805668</v>
      </c>
      <c r="AU52" s="10">
        <f>IFERROR(__xludf.DUMMYFUNCTION("ifna(QUERY($A$2:$G$2000, ""select G where D="" &amp; AU$1 &amp; "" and E="" &amp; $I52), QUERY($A$2:$G$2000, ""select G where E="" &amp; AU$1 &amp; "" and D="" &amp; $I52))"),7.518737672583827)</f>
        <v>7.518737673</v>
      </c>
      <c r="AV52" s="10">
        <f>IFERROR(__xludf.DUMMYFUNCTION("ifna(QUERY($A$2:$G$2000, ""select G where D="" &amp; AV$1 &amp; "" and E="" &amp; $I52), QUERY($A$2:$G$2000, ""select G where E="" &amp; AV$1 &amp; "" and D="" &amp; $I52))"),7.553846153846154)</f>
        <v>7.553846154</v>
      </c>
      <c r="AW52" s="10">
        <f>IFERROR(__xludf.DUMMYFUNCTION("ifna(QUERY($A$2:$G$2000, ""select G where D="" &amp; AW$1 &amp; "" and E="" &amp; $I52), QUERY($A$2:$G$2000, ""select G where E="" &amp; AW$1 &amp; "" and D="" &amp; $I52))"),7.587242026266416)</f>
        <v>7.587242026</v>
      </c>
      <c r="AX52" s="10">
        <f>IFERROR(__xludf.DUMMYFUNCTION("ifna(QUERY($A$2:$G$2000, ""select G where D="" &amp; AX$1 &amp; "" and E="" &amp; $I52), QUERY($A$2:$G$2000, ""select G where E="" &amp; AX$1 &amp; "" and D="" &amp; $I52))"),7.6208791208791204)</f>
        <v>7.620879121</v>
      </c>
      <c r="AY52" s="10">
        <f>IFERROR(__xludf.DUMMYFUNCTION("ifna(QUERY($A$2:$G$2000, ""select G where D="" &amp; AY$1 &amp; "" and E="" &amp; $I52), QUERY($A$2:$G$2000, ""select G where E="" &amp; AY$1 &amp; "" and D="" &amp; $I52))"),7.651162790697675)</f>
        <v>7.651162791</v>
      </c>
      <c r="AZ52" s="10">
        <f>IFERROR(__xludf.DUMMYFUNCTION("ifna(QUERY($A$2:$G$2000, ""select G where D="" &amp; AZ$1 &amp; "" and E="" &amp; $I52), QUERY($A$2:$G$2000, ""select G where E="" &amp; AZ$1 &amp; "" and D="" &amp; $I52))"),7.68006993006993)</f>
        <v>7.68006993</v>
      </c>
      <c r="BA52" s="10">
        <f>IFERROR(__xludf.DUMMYFUNCTION("ifna(QUERY($A$2:$G$2000, ""select G where D="" &amp; BA$1 &amp; "" and E="" &amp; $I52), QUERY($A$2:$G$2000, ""select G where E="" &amp; BA$1 &amp; "" and D="" &amp; $I52))"),7.705982905982906)</f>
        <v>7.705982906</v>
      </c>
      <c r="BB52" s="10">
        <f>IFERROR(__xludf.DUMMYFUNCTION("ifna(QUERY($A$2:$G$2000, ""select G where D="" &amp; BB$1 &amp; "" and E="" &amp; $I52), QUERY($A$2:$G$2000, ""select G where E="" &amp; BB$1 &amp; "" and D="" &amp; $I52))"),7.730769230769231)</f>
        <v>7.730769231</v>
      </c>
      <c r="BC52" s="10">
        <f>IFERROR(__xludf.DUMMYFUNCTION("ifna(QUERY($A$2:$G$2000, ""select G where D="" &amp; BC$1 &amp; "" and E="" &amp; $I52), QUERY($A$2:$G$2000, ""select G where E="" &amp; BC$1 &amp; "" and D="" &amp; $I52))"),7.752864157119476)</f>
        <v>7.752864157</v>
      </c>
      <c r="BD52" s="10">
        <f>IFERROR(__xludf.DUMMYFUNCTION("ifna(QUERY($A$2:$G$2000, ""select G where D="" &amp; BD$1 &amp; "" and E="" &amp; $I52), QUERY($A$2:$G$2000, ""select G where E="" &amp; BD$1 &amp; "" and D="" &amp; $I52))"),7.774038461538462)</f>
        <v>7.774038462</v>
      </c>
      <c r="BE52" s="10">
        <f>IFERROR(__xludf.DUMMYFUNCTION("ifna(QUERY($A$2:$G$2000, ""select G where D="" &amp; BE$1 &amp; "" and E="" &amp; $I52), QUERY($A$2:$G$2000, ""select G where E="" &amp; BE$1 &amp; "" and D="" &amp; $I52))"),7.792778649921507)</f>
        <v>7.79277865</v>
      </c>
      <c r="BF52" s="10">
        <f>IFERROR(__xludf.DUMMYFUNCTION("ifna(QUERY($A$2:$G$2000, ""select G where D="" &amp; BF$1 &amp; "" and E="" &amp; $I52), QUERY($A$2:$G$2000, ""select G where E="" &amp; BF$1 &amp; "" and D="" &amp; $I52))"),7.810769230769231)</f>
        <v>7.810769231</v>
      </c>
      <c r="BG52" s="10">
        <f>IFERROR(__xludf.DUMMYFUNCTION("ifna(QUERY($A$2:$G$2000, ""select G where D="" &amp; BG$1 &amp; "" and E="" &amp; $I52), QUERY($A$2:$G$2000, ""select G where E="" &amp; BG$1 &amp; "" and D="" &amp; $I52))"),7.826546003016591)</f>
        <v>7.826546003</v>
      </c>
      <c r="BH52" s="10">
        <f>IFERROR(__xludf.DUMMYFUNCTION("ifna(QUERY($A$2:$G$2000, ""select G where D="" &amp; BH$1 &amp; "" and E="" &amp; $I52), QUERY($A$2:$G$2000, ""select G where E="" &amp; BH$1 &amp; "" and D="" &amp; $I52))"),7.841715976331361)</f>
        <v>7.841715976</v>
      </c>
      <c r="BI52" s="10">
        <f>IFERROR(__xludf.DUMMYFUNCTION("ifna(QUERY($A$2:$G$2000, ""select G where D="" &amp; BI$1 &amp; "" and E="" &amp; $I52), QUERY($A$2:$G$2000, ""select G where E="" &amp; BI$1 &amp; "" and D="" &amp; $I52))"),7.855587808417997)</f>
        <v>7.855587808</v>
      </c>
      <c r="BJ52" s="10">
        <f>IFERROR(__xludf.DUMMYFUNCTION("ifna(QUERY($A$2:$G$2000, ""select G where D="" &amp; BJ$1 &amp; "" and E="" &amp; $I52), QUERY($A$2:$G$2000, ""select G where E="" &amp; BJ$1 &amp; "" and D="" &amp; $I52))"),7.868945868945869)</f>
        <v>7.868945869</v>
      </c>
      <c r="BK52" s="10" t="str">
        <f>IFERROR(__xludf.DUMMYFUNCTION("ifna(QUERY($A$2:$G$2000, ""select G where D="" &amp; BK$1 &amp; "" and E="" &amp; $I52), QUERY($A$2:$G$2000, ""select G where E="" &amp; BK$1 &amp; "" and D="" &amp; $I52))"),"#N/A")</f>
        <v>#N/A</v>
      </c>
      <c r="BL52" s="10"/>
      <c r="BM52" s="10"/>
      <c r="BN52" s="10"/>
      <c r="BO52" s="10"/>
    </row>
    <row r="53">
      <c r="A53" s="3">
        <v>4.0</v>
      </c>
      <c r="B53" s="3">
        <v>2.0</v>
      </c>
      <c r="C53" s="3">
        <v>48.0</v>
      </c>
      <c r="D53" s="3">
        <v>15.0</v>
      </c>
      <c r="E53" s="3">
        <v>2.0</v>
      </c>
      <c r="F53" s="11">
        <f t="shared" si="1"/>
        <v>0.04166666667</v>
      </c>
      <c r="G53" s="5">
        <f t="shared" si="2"/>
        <v>3.958333333</v>
      </c>
      <c r="H53" s="3">
        <v>53.0</v>
      </c>
      <c r="I53" s="2">
        <v>52.0</v>
      </c>
      <c r="J53" s="10">
        <f>IFERROR(__xludf.DUMMYFUNCTION("ifna(QUERY($A$2:$G$2000, ""select G where D="" &amp; J$1 &amp; "" and E="" &amp; $I53), QUERY($A$2:$G$2000, ""select G where E="" &amp; J$1 &amp; "" and D="" &amp; $I53))"),5.754716981132075)</f>
        <v>5.754716981</v>
      </c>
      <c r="K53" s="10">
        <f>IFERROR(__xludf.DUMMYFUNCTION("ifna(QUERY($A$2:$G$2000, ""select G where D="" &amp; K$1 &amp; "" and E="" &amp; $I53), QUERY($A$2:$G$2000, ""select G where E="" &amp; K$1 &amp; "" and D="" &amp; $I53))"),5.779874213836478)</f>
        <v>5.779874214</v>
      </c>
      <c r="L53" s="10">
        <f>IFERROR(__xludf.DUMMYFUNCTION("ifna(QUERY($A$2:$G$2000, ""select G where D="" &amp; L$1 &amp; "" and E="" &amp; $I53), QUERY($A$2:$G$2000, ""select G where E="" &amp; L$1 &amp; "" and D="" &amp; $I53))"),5.867924528301887)</f>
        <v>5.867924528</v>
      </c>
      <c r="M53" s="10">
        <f>IFERROR(__xludf.DUMMYFUNCTION("ifna(QUERY($A$2:$G$2000, ""select G where D="" &amp; M$1 &amp; "" and E="" &amp; $I53), QUERY($A$2:$G$2000, ""select G where E="" &amp; M$1 &amp; "" and D="" &amp; $I53))"),5.935849056603773)</f>
        <v>5.935849057</v>
      </c>
      <c r="N53" s="10">
        <f>IFERROR(__xludf.DUMMYFUNCTION("ifna(QUERY($A$2:$G$2000, ""select G where D="" &amp; N$1 &amp; "" and E="" &amp; $I53), QUERY($A$2:$G$2000, ""select G where E="" &amp; N$1 &amp; "" and D="" &amp; $I53))"),6.0251572327044025)</f>
        <v>6.025157233</v>
      </c>
      <c r="O53" s="10">
        <f>IFERROR(__xludf.DUMMYFUNCTION("ifna(QUERY($A$2:$G$2000, ""select G where D="" &amp; O$1 &amp; "" and E="" &amp; $I53), QUERY($A$2:$G$2000, ""select G where E="" &amp; O$1 &amp; "" and D="" &amp; $I53))"),6.086253369272237)</f>
        <v>6.086253369</v>
      </c>
      <c r="P53" s="10">
        <f>IFERROR(__xludf.DUMMYFUNCTION("ifna(QUERY($A$2:$G$2000, ""select G where D="" &amp; P$1 &amp; "" and E="" &amp; $I53), QUERY($A$2:$G$2000, ""select G where E="" &amp; P$1 &amp; "" and D="" &amp; $I53))"),6.169811320754717)</f>
        <v>6.169811321</v>
      </c>
      <c r="Q53" s="10">
        <f>IFERROR(__xludf.DUMMYFUNCTION("ifna(QUERY($A$2:$G$2000, ""select G where D="" &amp; Q$1 &amp; "" and E="" &amp; $I53), QUERY($A$2:$G$2000, ""select G where E="" &amp; Q$1 &amp; "" and D="" &amp; $I53))"),6.268343815513627)</f>
        <v>6.268343816</v>
      </c>
      <c r="R53" s="10">
        <f>IFERROR(__xludf.DUMMYFUNCTION("ifna(QUERY($A$2:$G$2000, ""select G where D="" &amp; R$1 &amp; "" and E="" &amp; $I53), QUERY($A$2:$G$2000, ""select G where E="" &amp; R$1 &amp; "" and D="" &amp; $I53))"),6.362264150943396)</f>
        <v>6.362264151</v>
      </c>
      <c r="S53" s="10">
        <f>IFERROR(__xludf.DUMMYFUNCTION("ifna(QUERY($A$2:$G$2000, ""select G where D="" &amp; S$1 &amp; "" and E="" &amp; $I53), QUERY($A$2:$G$2000, ""select G where E="" &amp; S$1 &amp; "" and D="" &amp; $I53))"),6.452830188679245)</f>
        <v>6.452830189</v>
      </c>
      <c r="T53" s="10">
        <f>IFERROR(__xludf.DUMMYFUNCTION("ifna(QUERY($A$2:$G$2000, ""select G where D="" &amp; T$1 &amp; "" and E="" &amp; $I53), QUERY($A$2:$G$2000, ""select G where E="" &amp; T$1 &amp; "" and D="" &amp; $I53))"),6.540880503144654)</f>
        <v>6.540880503</v>
      </c>
      <c r="U53" s="10">
        <f>IFERROR(__xludf.DUMMYFUNCTION("ifna(QUERY($A$2:$G$2000, ""select G where D="" &amp; U$1 &amp; "" and E="" &amp; $I53), QUERY($A$2:$G$2000, ""select G where E="" &amp; U$1 &amp; "" and D="" &amp; $I53))"),6.615384615384615)</f>
        <v>6.615384615</v>
      </c>
      <c r="V53" s="10">
        <f>IFERROR(__xludf.DUMMYFUNCTION("ifna(QUERY($A$2:$G$2000, ""select G where D="" &amp; V$1 &amp; "" and E="" &amp; $I53), QUERY($A$2:$G$2000, ""select G where E="" &amp; V$1 &amp; "" and D="" &amp; $I53))"),6.690026954177897)</f>
        <v>6.690026954</v>
      </c>
      <c r="W53" s="10">
        <f>IFERROR(__xludf.DUMMYFUNCTION("ifna(QUERY($A$2:$G$2000, ""select G where D="" &amp; W$1 &amp; "" and E="" &amp; $I53), QUERY($A$2:$G$2000, ""select G where E="" &amp; W$1 &amp; "" and D="" &amp; $I53))"),6.7522012578616355)</f>
        <v>6.752201258</v>
      </c>
      <c r="X53" s="10">
        <f>IFERROR(__xludf.DUMMYFUNCTION("ifna(QUERY($A$2:$G$2000, ""select G where D="" &amp; X$1 &amp; "" and E="" &amp; $I53), QUERY($A$2:$G$2000, ""select G where E="" &amp; X$1 &amp; "" and D="" &amp; $I53))"),6.806603773584905)</f>
        <v>6.806603774</v>
      </c>
      <c r="Y53" s="10">
        <f>IFERROR(__xludf.DUMMYFUNCTION("ifna(QUERY($A$2:$G$2000, ""select G where D="" &amp; Y$1 &amp; "" and E="" &amp; $I53), QUERY($A$2:$G$2000, ""select G where E="" &amp; Y$1 &amp; "" and D="" &amp; $I53))"),6.845726970033296)</f>
        <v>6.84572697</v>
      </c>
      <c r="Z53" s="10">
        <f>IFERROR(__xludf.DUMMYFUNCTION("ifna(QUERY($A$2:$G$2000, ""select G where D="" &amp; Z$1 &amp; "" and E="" &amp; $I53), QUERY($A$2:$G$2000, ""select G where E="" &amp; Z$1 &amp; "" and D="" &amp; $I53))"),6.880503144654088)</f>
        <v>6.880503145</v>
      </c>
      <c r="AA53" s="10">
        <f>IFERROR(__xludf.DUMMYFUNCTION("ifna(QUERY($A$2:$G$2000, ""select G where D="" &amp; AA$1 &amp; "" and E="" &amp; $I53), QUERY($A$2:$G$2000, ""select G where E="" &amp; AA$1 &amp; "" and D="" &amp; $I53))"),6.911618669314796)</f>
        <v>6.911618669</v>
      </c>
      <c r="AB53" s="10">
        <f>IFERROR(__xludf.DUMMYFUNCTION("ifna(QUERY($A$2:$G$2000, ""select G where D="" &amp; AB$1 &amp; "" and E="" &amp; $I53), QUERY($A$2:$G$2000, ""select G where E="" &amp; AB$1 &amp; "" and D="" &amp; $I53))"),6.964150943396226)</f>
        <v>6.964150943</v>
      </c>
      <c r="AC53" s="10">
        <f>IFERROR(__xludf.DUMMYFUNCTION("ifna(QUERY($A$2:$G$2000, ""select G where D="" &amp; AC$1 &amp; "" and E="" &amp; $I53), QUERY($A$2:$G$2000, ""select G where E="" &amp; AC$1 &amp; "" and D="" &amp; $I53))"),7.003593890386343)</f>
        <v>7.00359389</v>
      </c>
      <c r="AD53" s="10">
        <f>IFERROR(__xludf.DUMMYFUNCTION("ifna(QUERY($A$2:$G$2000, ""select G where D="" &amp; AD$1 &amp; "" and E="" &amp; $I53), QUERY($A$2:$G$2000, ""select G where E="" &amp; AD$1 &amp; "" and D="" &amp; $I53))"),7.013722126929674)</f>
        <v>7.013722127</v>
      </c>
      <c r="AE53" s="10">
        <f>IFERROR(__xludf.DUMMYFUNCTION("ifna(QUERY($A$2:$G$2000, ""select G where D="" &amp; AE$1 &amp; "" and E="" &amp; $I53), QUERY($A$2:$G$2000, ""select G where E="" &amp; AE$1 &amp; "" and D="" &amp; $I53))"),7.029532403609516)</f>
        <v>7.029532404</v>
      </c>
      <c r="AF53" s="10">
        <f>IFERROR(__xludf.DUMMYFUNCTION("ifna(QUERY($A$2:$G$2000, ""select G where D="" &amp; AF$1 &amp; "" and E="" &amp; $I53), QUERY($A$2:$G$2000, ""select G where E="" &amp; AF$1 &amp; "" and D="" &amp; $I53))"),7.050314465408805)</f>
        <v>7.050314465</v>
      </c>
      <c r="AG53" s="10">
        <f>IFERROR(__xludf.DUMMYFUNCTION("ifna(QUERY($A$2:$G$2000, ""select G where D="" &amp; AG$1 &amp; "" and E="" &amp; $I53), QUERY($A$2:$G$2000, ""select G where E="" &amp; AG$1 &amp; "" and D="" &amp; $I53))"),7.0754716981132075)</f>
        <v>7.075471698</v>
      </c>
      <c r="AH53" s="10">
        <f>IFERROR(__xludf.DUMMYFUNCTION("ifna(QUERY($A$2:$G$2000, ""select G where D="" &amp; AH$1 &amp; "" and E="" &amp; $I53), QUERY($A$2:$G$2000, ""select G where E="" &amp; AH$1 &amp; "" and D="" &amp; $I53))"),7.104499274310595)</f>
        <v>7.104499274</v>
      </c>
      <c r="AI53" s="10">
        <f>IFERROR(__xludf.DUMMYFUNCTION("ifna(QUERY($A$2:$G$2000, ""select G where D="" &amp; AI$1 &amp; "" and E="" &amp; $I53), QUERY($A$2:$G$2000, ""select G where E="" &amp; AI$1 &amp; "" and D="" &amp; $I53))"),7.134171907756813)</f>
        <v>7.134171908</v>
      </c>
      <c r="AJ53" s="10">
        <f>IFERROR(__xludf.DUMMYFUNCTION("ifna(QUERY($A$2:$G$2000, ""select G where D="" &amp; AJ$1 &amp; "" and E="" &amp; $I53), QUERY($A$2:$G$2000, ""select G where E="" &amp; AJ$1 &amp; "" and D="" &amp; $I53))"),7.16711590296496)</f>
        <v>7.167115903</v>
      </c>
      <c r="AK53" s="10">
        <f>IFERROR(__xludf.DUMMYFUNCTION("ifna(QUERY($A$2:$G$2000, ""select G where D="" &amp; AK$1 &amp; "" and E="" &amp; $I53), QUERY($A$2:$G$2000, ""select G where E="" &amp; AK$1 &amp; "" and D="" &amp; $I53))"),7.200390370852309)</f>
        <v>7.200390371</v>
      </c>
      <c r="AL53" s="10">
        <f>IFERROR(__xludf.DUMMYFUNCTION("ifna(QUERY($A$2:$G$2000, ""select G where D="" &amp; AL$1 &amp; "" and E="" &amp; $I53), QUERY($A$2:$G$2000, ""select G where E="" &amp; AL$1 &amp; "" and D="" &amp; $I53))"),7.233962264150943)</f>
        <v>7.233962264</v>
      </c>
      <c r="AM53" s="10">
        <f>IFERROR(__xludf.DUMMYFUNCTION("ifna(QUERY($A$2:$G$2000, ""select G where D="" &amp; AM$1 &amp; "" and E="" &amp; $I53), QUERY($A$2:$G$2000, ""select G where E="" &amp; AM$1 &amp; "" and D="" &amp; $I53))"),7.267802799756543)</f>
        <v>7.2678028</v>
      </c>
      <c r="AN53" s="10">
        <f>IFERROR(__xludf.DUMMYFUNCTION("ifna(QUERY($A$2:$G$2000, ""select G where D="" &amp; AN$1 &amp; "" and E="" &amp; $I53), QUERY($A$2:$G$2000, ""select G where E="" &amp; AN$1 &amp; "" and D="" &amp; $I53))"),7.30188679245283)</f>
        <v>7.301886792</v>
      </c>
      <c r="AO53" s="10">
        <f>IFERROR(__xludf.DUMMYFUNCTION("ifna(QUERY($A$2:$G$2000, ""select G where D="" &amp; AO$1 &amp; "" and E="" &amp; $I53), QUERY($A$2:$G$2000, ""select G where E="" &amp; AO$1 &amp; "" and D="" &amp; $I53))"),7.3361921097770155)</f>
        <v>7.33619211</v>
      </c>
      <c r="AP53" s="10">
        <f>IFERROR(__xludf.DUMMYFUNCTION("ifna(QUERY($A$2:$G$2000, ""select G where D="" &amp; AP$1 &amp; "" and E="" &amp; $I53), QUERY($A$2:$G$2000, ""select G where E="" &amp; AP$1 &amp; "" and D="" &amp; $I53))"),7.37069922308546)</f>
        <v>7.370699223</v>
      </c>
      <c r="AQ53" s="10">
        <f>IFERROR(__xludf.DUMMYFUNCTION("ifna(QUERY($A$2:$G$2000, ""select G where D="" &amp; AQ$1 &amp; "" and E="" &amp; $I53), QUERY($A$2:$G$2000, ""select G where E="" &amp; AQ$1 &amp; "" and D="" &amp; $I53))"),7.405390835579515)</f>
        <v>7.405390836</v>
      </c>
      <c r="AR53" s="10">
        <f>IFERROR(__xludf.DUMMYFUNCTION("ifna(QUERY($A$2:$G$2000, ""select G where D="" &amp; AR$1 &amp; "" and E="" &amp; $I53), QUERY($A$2:$G$2000, ""select G where E="" &amp; AR$1 &amp; "" and D="" &amp; $I53))"),7.440251572327044)</f>
        <v>7.440251572</v>
      </c>
      <c r="AS53" s="10">
        <f>IFERROR(__xludf.DUMMYFUNCTION("ifna(QUERY($A$2:$G$2000, ""select G where D="" &amp; AS$1 &amp; "" and E="" &amp; $I53), QUERY($A$2:$G$2000, ""select G where E="" &amp; AS$1 &amp; "" and D="" &amp; $I53))"),7.47526772055074)</f>
        <v>7.475267721</v>
      </c>
      <c r="AT53" s="10">
        <f>IFERROR(__xludf.DUMMYFUNCTION("ifna(QUERY($A$2:$G$2000, ""select G where D="" &amp; AT$1 &amp; "" and E="" &amp; $I53), QUERY($A$2:$G$2000, ""select G where E="" &amp; AT$1 &amp; "" and D="" &amp; $I53))"),7.510427010923535)</f>
        <v>7.510427011</v>
      </c>
      <c r="AU53" s="10">
        <f>IFERROR(__xludf.DUMMYFUNCTION("ifna(QUERY($A$2:$G$2000, ""select G where D="" &amp; AU$1 &amp; "" and E="" &amp; $I53), QUERY($A$2:$G$2000, ""select G where E="" &amp; AU$1 &amp; "" and D="" &amp; $I53))"),7.545718432510886)</f>
        <v>7.545718433</v>
      </c>
      <c r="AV53" s="10">
        <f>IFERROR(__xludf.DUMMYFUNCTION("ifna(QUERY($A$2:$G$2000, ""select G where D="" &amp; AV$1 &amp; "" and E="" &amp; $I53), QUERY($A$2:$G$2000, ""select G where E="" &amp; AV$1 &amp; "" and D="" &amp; $I53))"),7.581132075471698)</f>
        <v>7.581132075</v>
      </c>
      <c r="AW53" s="10">
        <f>IFERROR(__xludf.DUMMYFUNCTION("ifna(QUERY($A$2:$G$2000, ""select G where D="" &amp; AW$1 &amp; "" and E="" &amp; $I53), QUERY($A$2:$G$2000, ""select G where E="" &amp; AW$1 &amp; "" and D="" &amp; $I53))"),7.613897837091579)</f>
        <v>7.613897837</v>
      </c>
      <c r="AX53" s="10">
        <f>IFERROR(__xludf.DUMMYFUNCTION("ifna(QUERY($A$2:$G$2000, ""select G where D="" &amp; AX$1 &amp; "" and E="" &amp; $I53), QUERY($A$2:$G$2000, ""select G where E="" &amp; AX$1 &amp; "" and D="" &amp; $I53))"),7.646001796945193)</f>
        <v>7.646001797</v>
      </c>
      <c r="AY53" s="10">
        <f>IFERROR(__xludf.DUMMYFUNCTION("ifna(QUERY($A$2:$G$2000, ""select G where D="" &amp; AY$1 &amp; "" and E="" &amp; $I53), QUERY($A$2:$G$2000, ""select G where E="" &amp; AY$1 &amp; "" and D="" &amp; $I53))"),7.6748573935936815)</f>
        <v>7.674857394</v>
      </c>
      <c r="AZ53" s="10">
        <f>IFERROR(__xludf.DUMMYFUNCTION("ifna(QUERY($A$2:$G$2000, ""select G where D="" &amp; AZ$1 &amp; "" and E="" &amp; $I53), QUERY($A$2:$G$2000, ""select G where E="" &amp; AZ$1 &amp; "" and D="" &amp; $I53))"),7.702401372212693)</f>
        <v>7.702401372</v>
      </c>
      <c r="BA53" s="10">
        <f>IFERROR(__xludf.DUMMYFUNCTION("ifna(QUERY($A$2:$G$2000, ""select G where D="" &amp; BA$1 &amp; "" and E="" &amp; $I53), QUERY($A$2:$G$2000, ""select G where E="" &amp; BA$1 &amp; "" and D="" &amp; $I53))"),7.727044025157233)</f>
        <v>7.727044025</v>
      </c>
      <c r="BB53" s="10">
        <f>IFERROR(__xludf.DUMMYFUNCTION("ifna(QUERY($A$2:$G$2000, ""select G where D="" &amp; BB$1 &amp; "" and E="" &amp; $I53), QUERY($A$2:$G$2000, ""select G where E="" &amp; BB$1 &amp; "" and D="" &amp; $I53))"),7.750615258408532)</f>
        <v>7.750615258</v>
      </c>
      <c r="BC53" s="10">
        <f>IFERROR(__xludf.DUMMYFUNCTION("ifna(QUERY($A$2:$G$2000, ""select G where D="" &amp; BC$1 &amp; "" and E="" &amp; $I53), QUERY($A$2:$G$2000, ""select G where E="" &amp; BC$1 &amp; "" and D="" &amp; $I53))"),7.771577679646728)</f>
        <v>7.77157768</v>
      </c>
      <c r="BD53" s="10">
        <f>IFERROR(__xludf.DUMMYFUNCTION("ifna(QUERY($A$2:$G$2000, ""select G where D="" &amp; BD$1 &amp; "" and E="" &amp; $I53), QUERY($A$2:$G$2000, ""select G where E="" &amp; BD$1 &amp; "" and D="" &amp; $I53))"),7.791666666666667)</f>
        <v>7.791666667</v>
      </c>
      <c r="BE53" s="10">
        <f>IFERROR(__xludf.DUMMYFUNCTION("ifna(QUERY($A$2:$G$2000, ""select G where D="" &amp; BE$1 &amp; "" and E="" &amp; $I53), QUERY($A$2:$G$2000, ""select G where E="" &amp; BE$1 &amp; "" and D="" &amp; $I53))"),7.809395456295726)</f>
        <v>7.809395456</v>
      </c>
      <c r="BF53" s="10">
        <f>IFERROR(__xludf.DUMMYFUNCTION("ifna(QUERY($A$2:$G$2000, ""select G where D="" &amp; BF$1 &amp; "" and E="" &amp; $I53), QUERY($A$2:$G$2000, ""select G where E="" &amp; BF$1 &amp; "" and D="" &amp; $I53))"),7.826415094339622)</f>
        <v>7.826415094</v>
      </c>
      <c r="BG53" s="10">
        <f>IFERROR(__xludf.DUMMYFUNCTION("ifna(QUERY($A$2:$G$2000, ""select G where D="" &amp; BG$1 &amp; "" and E="" &amp; $I53), QUERY($A$2:$G$2000, ""select G where E="" &amp; BG$1 &amp; "" and D="" &amp; $I53))"),7.841287458379578)</f>
        <v>7.841287458</v>
      </c>
      <c r="BH53" s="10">
        <f>IFERROR(__xludf.DUMMYFUNCTION("ifna(QUERY($A$2:$G$2000, ""select G where D="" &amp; BH$1 &amp; "" and E="" &amp; $I53), QUERY($A$2:$G$2000, ""select G where E="" &amp; BH$1 &amp; "" and D="" &amp; $I53))"),7.855587808417997)</f>
        <v>7.855587808</v>
      </c>
      <c r="BI53" s="10">
        <f>IFERROR(__xludf.DUMMYFUNCTION("ifna(QUERY($A$2:$G$2000, ""select G where D="" &amp; BI$1 &amp; "" and E="" &amp; $I53), QUERY($A$2:$G$2000, ""select G where E="" &amp; BI$1 &amp; "" and D="" &amp; $I53))"),7.868636525453899)</f>
        <v>7.868636525</v>
      </c>
      <c r="BJ53" s="10">
        <f>IFERROR(__xludf.DUMMYFUNCTION("ifna(QUERY($A$2:$G$2000, ""select G where D="" &amp; BJ$1 &amp; "" and E="" &amp; $I53), QUERY($A$2:$G$2000, ""select G where E="" &amp; BJ$1 &amp; "" and D="" &amp; $I53))"),7.881201956673655)</f>
        <v>7.881201957</v>
      </c>
      <c r="BK53" s="10" t="str">
        <f>IFERROR(__xludf.DUMMYFUNCTION("ifna(QUERY($A$2:$G$2000, ""select G where D="" &amp; BK$1 &amp; "" and E="" &amp; $I53), QUERY($A$2:$G$2000, ""select G where E="" &amp; BK$1 &amp; "" and D="" &amp; $I53))"),"#N/A")</f>
        <v>#N/A</v>
      </c>
      <c r="BL53" s="10"/>
      <c r="BM53" s="10"/>
      <c r="BN53" s="10"/>
      <c r="BO53" s="10"/>
    </row>
    <row r="54">
      <c r="A54" s="3">
        <v>4.0</v>
      </c>
      <c r="B54" s="3">
        <v>2.0</v>
      </c>
      <c r="C54" s="3">
        <v>34.0</v>
      </c>
      <c r="D54" s="3">
        <v>16.0</v>
      </c>
      <c r="E54" s="3">
        <v>1.0</v>
      </c>
      <c r="F54" s="11">
        <f t="shared" si="1"/>
        <v>0.05882352941</v>
      </c>
      <c r="G54" s="5">
        <f t="shared" si="2"/>
        <v>3.941176471</v>
      </c>
      <c r="H54" s="3">
        <v>54.0</v>
      </c>
      <c r="I54" s="2">
        <v>53.0</v>
      </c>
      <c r="J54" s="10">
        <f>IFERROR(__xludf.DUMMYFUNCTION("ifna(QUERY($A$2:$G$2000, ""select G where D="" &amp; J$1 &amp; "" and E="" &amp; $I54), QUERY($A$2:$G$2000, ""select G where E="" &amp; J$1 &amp; "" and D="" &amp; $I54))"),5.777777777777778)</f>
        <v>5.777777778</v>
      </c>
      <c r="K54" s="10">
        <f>IFERROR(__xludf.DUMMYFUNCTION("ifna(QUERY($A$2:$G$2000, ""select G where D="" &amp; K$1 &amp; "" and E="" &amp; $I54), QUERY($A$2:$G$2000, ""select G where E="" &amp; K$1 &amp; "" and D="" &amp; $I54))"),5.802469135802469)</f>
        <v>5.802469136</v>
      </c>
      <c r="L54" s="10">
        <f>IFERROR(__xludf.DUMMYFUNCTION("ifna(QUERY($A$2:$G$2000, ""select G where D="" &amp; L$1 &amp; "" and E="" &amp; $I54), QUERY($A$2:$G$2000, ""select G where E="" &amp; L$1 &amp; "" and D="" &amp; $I54))"),5.888888888888889)</f>
        <v>5.888888889</v>
      </c>
      <c r="M54" s="10">
        <f>IFERROR(__xludf.DUMMYFUNCTION("ifna(QUERY($A$2:$G$2000, ""select G where D="" &amp; M$1 &amp; "" and E="" &amp; $I54), QUERY($A$2:$G$2000, ""select G where E="" &amp; M$1 &amp; "" and D="" &amp; $I54))"),5.948148148148148)</f>
        <v>5.948148148</v>
      </c>
      <c r="N54" s="10">
        <f>IFERROR(__xludf.DUMMYFUNCTION("ifna(QUERY($A$2:$G$2000, ""select G where D="" &amp; N$1 &amp; "" and E="" &amp; $I54), QUERY($A$2:$G$2000, ""select G where E="" &amp; N$1 &amp; "" and D="" &amp; $I54))"),6.037037037037037)</f>
        <v>6.037037037</v>
      </c>
      <c r="O54" s="10">
        <f>IFERROR(__xludf.DUMMYFUNCTION("ifna(QUERY($A$2:$G$2000, ""select G where D="" &amp; O$1 &amp; "" and E="" &amp; $I54), QUERY($A$2:$G$2000, ""select G where E="" &amp; O$1 &amp; "" and D="" &amp; $I54))"),6.105820105820106)</f>
        <v>6.105820106</v>
      </c>
      <c r="P54" s="10">
        <f>IFERROR(__xludf.DUMMYFUNCTION("ifna(QUERY($A$2:$G$2000, ""select G where D="" &amp; P$1 &amp; "" and E="" &amp; $I54), QUERY($A$2:$G$2000, ""select G where E="" &amp; P$1 &amp; "" and D="" &amp; $I54))"),6.194444444444445)</f>
        <v>6.194444444</v>
      </c>
      <c r="Q54" s="10">
        <f>IFERROR(__xludf.DUMMYFUNCTION("ifna(QUERY($A$2:$G$2000, ""select G where D="" &amp; Q$1 &amp; "" and E="" &amp; $I54), QUERY($A$2:$G$2000, ""select G where E="" &amp; Q$1 &amp; "" and D="" &amp; $I54))"),6.296296296296296)</f>
        <v>6.296296296</v>
      </c>
      <c r="R54" s="10">
        <f>IFERROR(__xludf.DUMMYFUNCTION("ifna(QUERY($A$2:$G$2000, ""select G where D="" &amp; R$1 &amp; "" and E="" &amp; $I54), QUERY($A$2:$G$2000, ""select G where E="" &amp; R$1 &amp; "" and D="" &amp; $I54))"),6.392592592592592)</f>
        <v>6.392592593</v>
      </c>
      <c r="S54" s="10">
        <f>IFERROR(__xludf.DUMMYFUNCTION("ifna(QUERY($A$2:$G$2000, ""select G where D="" &amp; S$1 &amp; "" and E="" &amp; $I54), QUERY($A$2:$G$2000, ""select G where E="" &amp; S$1 &amp; "" and D="" &amp; $I54))"),6.481481481481482)</f>
        <v>6.481481481</v>
      </c>
      <c r="T54" s="10">
        <f>IFERROR(__xludf.DUMMYFUNCTION("ifna(QUERY($A$2:$G$2000, ""select G where D="" &amp; T$1 &amp; "" and E="" &amp; $I54), QUERY($A$2:$G$2000, ""select G where E="" &amp; T$1 &amp; "" and D="" &amp; $I54))"),6.567901234567901)</f>
        <v>6.567901235</v>
      </c>
      <c r="U54" s="10">
        <f>IFERROR(__xludf.DUMMYFUNCTION("ifna(QUERY($A$2:$G$2000, ""select G where D="" &amp; U$1 &amp; "" and E="" &amp; $I54), QUERY($A$2:$G$2000, ""select G where E="" &amp; U$1 &amp; "" and D="" &amp; $I54))"),6.641025641025641)</f>
        <v>6.641025641</v>
      </c>
      <c r="V54" s="10">
        <f>IFERROR(__xludf.DUMMYFUNCTION("ifna(QUERY($A$2:$G$2000, ""select G where D="" &amp; V$1 &amp; "" and E="" &amp; $I54), QUERY($A$2:$G$2000, ""select G where E="" &amp; V$1 &amp; "" and D="" &amp; $I54))"),6.714285714285714)</f>
        <v>6.714285714</v>
      </c>
      <c r="W54" s="10">
        <f>IFERROR(__xludf.DUMMYFUNCTION("ifna(QUERY($A$2:$G$2000, ""select G where D="" &amp; W$1 &amp; "" and E="" &amp; $I54), QUERY($A$2:$G$2000, ""select G where E="" &amp; W$1 &amp; "" and D="" &amp; $I54))"),6.77283950617284)</f>
        <v>6.772839506</v>
      </c>
      <c r="X54" s="10">
        <f>IFERROR(__xludf.DUMMYFUNCTION("ifna(QUERY($A$2:$G$2000, ""select G where D="" &amp; X$1 &amp; "" and E="" &amp; $I54), QUERY($A$2:$G$2000, ""select G where E="" &amp; X$1 &amp; "" and D="" &amp; $I54))"),6.824074074074074)</f>
        <v>6.824074074</v>
      </c>
      <c r="Y54" s="10">
        <f>IFERROR(__xludf.DUMMYFUNCTION("ifna(QUERY($A$2:$G$2000, ""select G where D="" &amp; Y$1 &amp; "" and E="" &amp; $I54), QUERY($A$2:$G$2000, ""select G where E="" &amp; Y$1 &amp; "" and D="" &amp; $I54))"),6.860566448801743)</f>
        <v>6.860566449</v>
      </c>
      <c r="Z54" s="10">
        <f>IFERROR(__xludf.DUMMYFUNCTION("ifna(QUERY($A$2:$G$2000, ""select G where D="" &amp; Z$1 &amp; "" and E="" &amp; $I54), QUERY($A$2:$G$2000, ""select G where E="" &amp; Z$1 &amp; "" and D="" &amp; $I54))"),6.893004115226337)</f>
        <v>6.893004115</v>
      </c>
      <c r="AA54" s="10">
        <f>IFERROR(__xludf.DUMMYFUNCTION("ifna(QUERY($A$2:$G$2000, ""select G where D="" &amp; AA$1 &amp; "" and E="" &amp; $I54), QUERY($A$2:$G$2000, ""select G where E="" &amp; AA$1 &amp; "" and D="" &amp; $I54))"),6.9317738791423)</f>
        <v>6.931773879</v>
      </c>
      <c r="AB54" s="10">
        <f>IFERROR(__xludf.DUMMYFUNCTION("ifna(QUERY($A$2:$G$2000, ""select G where D="" &amp; AB$1 &amp; "" and E="" &amp; $I54), QUERY($A$2:$G$2000, ""select G where E="" &amp; AB$1 &amp; "" and D="" &amp; $I54))"),6.9981481481481485)</f>
        <v>6.998148148</v>
      </c>
      <c r="AC54" s="10">
        <f>IFERROR(__xludf.DUMMYFUNCTION("ifna(QUERY($A$2:$G$2000, ""select G where D="" &amp; AC$1 &amp; "" and E="" &amp; $I54), QUERY($A$2:$G$2000, ""select G where E="" &amp; AC$1 &amp; "" and D="" &amp; $I54))"),7.00705467372134)</f>
        <v>7.007054674</v>
      </c>
      <c r="AD54" s="10">
        <f>IFERROR(__xludf.DUMMYFUNCTION("ifna(QUERY($A$2:$G$2000, ""select G where D="" &amp; AD$1 &amp; "" and E="" &amp; $I54), QUERY($A$2:$G$2000, ""select G where E="" &amp; AD$1 &amp; "" and D="" &amp; $I54))"),7.02020202020202)</f>
        <v>7.02020202</v>
      </c>
      <c r="AE54" s="10">
        <f>IFERROR(__xludf.DUMMYFUNCTION("ifna(QUERY($A$2:$G$2000, ""select G where D="" &amp; AE$1 &amp; "" and E="" &amp; $I54), QUERY($A$2:$G$2000, ""select G where E="" &amp; AE$1 &amp; "" and D="" &amp; $I54))"),7.038647342995169)</f>
        <v>7.038647343</v>
      </c>
      <c r="AF54" s="10">
        <f>IFERROR(__xludf.DUMMYFUNCTION("ifna(QUERY($A$2:$G$2000, ""select G where D="" &amp; AF$1 &amp; "" and E="" &amp; $I54), QUERY($A$2:$G$2000, ""select G where E="" &amp; AF$1 &amp; "" and D="" &amp; $I54))"),7.061728395061729)</f>
        <v>7.061728395</v>
      </c>
      <c r="AG54" s="10">
        <f>IFERROR(__xludf.DUMMYFUNCTION("ifna(QUERY($A$2:$G$2000, ""select G where D="" &amp; AG$1 &amp; "" and E="" &amp; $I54), QUERY($A$2:$G$2000, ""select G where E="" &amp; AG$1 &amp; "" and D="" &amp; $I54))"),7.088888888888889)</f>
        <v>7.088888889</v>
      </c>
      <c r="AH54" s="10">
        <f>IFERROR(__xludf.DUMMYFUNCTION("ifna(QUERY($A$2:$G$2000, ""select G where D="" &amp; AH$1 &amp; "" and E="" &amp; $I54), QUERY($A$2:$G$2000, ""select G where E="" &amp; AH$1 &amp; "" and D="" &amp; $I54))"),7.119658119658119)</f>
        <v>7.11965812</v>
      </c>
      <c r="AI54" s="10">
        <f>IFERROR(__xludf.DUMMYFUNCTION("ifna(QUERY($A$2:$G$2000, ""select G where D="" &amp; AI$1 &amp; "" and E="" &amp; $I54), QUERY($A$2:$G$2000, ""select G where E="" &amp; AI$1 &amp; "" and D="" &amp; $I54))"),7.1508916323731135)</f>
        <v>7.150891632</v>
      </c>
      <c r="AJ54" s="10">
        <f>IFERROR(__xludf.DUMMYFUNCTION("ifna(QUERY($A$2:$G$2000, ""select G where D="" &amp; AJ$1 &amp; "" and E="" &amp; $I54), QUERY($A$2:$G$2000, ""select G where E="" &amp; AJ$1 &amp; "" and D="" &amp; $I54))"),7.185185185185185)</f>
        <v>7.185185185</v>
      </c>
      <c r="AK54" s="10">
        <f>IFERROR(__xludf.DUMMYFUNCTION("ifna(QUERY($A$2:$G$2000, ""select G where D="" &amp; AK$1 &amp; "" and E="" &amp; $I54), QUERY($A$2:$G$2000, ""select G where E="" &amp; AK$1 &amp; "" and D="" &amp; $I54))"),7.219667943805875)</f>
        <v>7.219667944</v>
      </c>
      <c r="AL54" s="10">
        <f>IFERROR(__xludf.DUMMYFUNCTION("ifna(QUERY($A$2:$G$2000, ""select G where D="" &amp; AL$1 &amp; "" and E="" &amp; $I54), QUERY($A$2:$G$2000, ""select G where E="" &amp; AL$1 &amp; "" and D="" &amp; $I54))"),7.254320987654321)</f>
        <v>7.254320988</v>
      </c>
      <c r="AM54" s="10">
        <f>IFERROR(__xludf.DUMMYFUNCTION("ifna(QUERY($A$2:$G$2000, ""select G where D="" &amp; AM$1 &amp; "" and E="" &amp; $I54), QUERY($A$2:$G$2000, ""select G where E="" &amp; AM$1 &amp; "" and D="" &amp; $I54))"),7.289127837514934)</f>
        <v>7.289127838</v>
      </c>
      <c r="AN54" s="10">
        <f>IFERROR(__xludf.DUMMYFUNCTION("ifna(QUERY($A$2:$G$2000, ""select G where D="" &amp; AN$1 &amp; "" and E="" &amp; $I54), QUERY($A$2:$G$2000, ""select G where E="" &amp; AN$1 &amp; "" and D="" &amp; $I54))"),7.324074074074074)</f>
        <v>7.324074074</v>
      </c>
      <c r="AO54" s="10">
        <f>IFERROR(__xludf.DUMMYFUNCTION("ifna(QUERY($A$2:$G$2000, ""select G where D="" &amp; AO$1 &amp; "" and E="" &amp; $I54), QUERY($A$2:$G$2000, ""select G where E="" &amp; AO$1 &amp; "" and D="" &amp; $I54))"),7.359147025813693)</f>
        <v>7.359147026</v>
      </c>
      <c r="AP54" s="10">
        <f>IFERROR(__xludf.DUMMYFUNCTION("ifna(QUERY($A$2:$G$2000, ""select G where D="" &amp; AP$1 &amp; "" and E="" &amp; $I54), QUERY($A$2:$G$2000, ""select G where E="" &amp; AP$1 &amp; "" and D="" &amp; $I54))"),7.394335511982571)</f>
        <v>7.394335512</v>
      </c>
      <c r="AQ54" s="10">
        <f>IFERROR(__xludf.DUMMYFUNCTION("ifna(QUERY($A$2:$G$2000, ""select G where D="" &amp; AQ$1 &amp; "" and E="" &amp; $I54), QUERY($A$2:$G$2000, ""select G where E="" &amp; AQ$1 &amp; "" and D="" &amp; $I54))"),7.42962962962963)</f>
        <v>7.42962963</v>
      </c>
      <c r="AR54" s="10">
        <f>IFERROR(__xludf.DUMMYFUNCTION("ifna(QUERY($A$2:$G$2000, ""select G where D="" &amp; AR$1 &amp; "" and E="" &amp; $I54), QUERY($A$2:$G$2000, ""select G where E="" &amp; AR$1 &amp; "" and D="" &amp; $I54))"),7.465020576131687)</f>
        <v>7.465020576</v>
      </c>
      <c r="AS54" s="10">
        <f>IFERROR(__xludf.DUMMYFUNCTION("ifna(QUERY($A$2:$G$2000, ""select G where D="" &amp; AS$1 &amp; "" and E="" &amp; $I54), QUERY($A$2:$G$2000, ""select G where E="" &amp; AS$1 &amp; "" and D="" &amp; $I54))"),7.5005005005005)</f>
        <v>7.500500501</v>
      </c>
      <c r="AT54" s="10">
        <f>IFERROR(__xludf.DUMMYFUNCTION("ifna(QUERY($A$2:$G$2000, ""select G where D="" &amp; AT$1 &amp; "" and E="" &amp; $I54), QUERY($A$2:$G$2000, ""select G where E="" &amp; AT$1 &amp; "" and D="" &amp; $I54))"),7.5360623781676415)</f>
        <v>7.536062378</v>
      </c>
      <c r="AU54" s="10">
        <f>IFERROR(__xludf.DUMMYFUNCTION("ifna(QUERY($A$2:$G$2000, ""select G where D="" &amp; AU$1 &amp; "" and E="" &amp; $I54), QUERY($A$2:$G$2000, ""select G where E="" &amp; AU$1 &amp; "" and D="" &amp; $I54))"),7.571699905033238)</f>
        <v>7.571699905</v>
      </c>
      <c r="AV54" s="10">
        <f>IFERROR(__xludf.DUMMYFUNCTION("ifna(QUERY($A$2:$G$2000, ""select G where D="" &amp; AV$1 &amp; "" and E="" &amp; $I54), QUERY($A$2:$G$2000, ""select G where E="" &amp; AV$1 &amp; "" and D="" &amp; $I54))"),7.607407407407408)</f>
        <v>7.607407407</v>
      </c>
      <c r="AW54" s="10">
        <f>IFERROR(__xludf.DUMMYFUNCTION("ifna(QUERY($A$2:$G$2000, ""select G where D="" &amp; AW$1 &amp; "" and E="" &amp; $I54), QUERY($A$2:$G$2000, ""select G where E="" &amp; AW$1 &amp; "" and D="" &amp; $I54))"),7.639566395663957)</f>
        <v>7.639566396</v>
      </c>
      <c r="AX54" s="10">
        <f>IFERROR(__xludf.DUMMYFUNCTION("ifna(QUERY($A$2:$G$2000, ""select G where D="" &amp; AX$1 &amp; "" and E="" &amp; $I54), QUERY($A$2:$G$2000, ""select G where E="" &amp; AX$1 &amp; "" and D="" &amp; $I54))"),7.670194003527337)</f>
        <v>7.670194004</v>
      </c>
      <c r="AY54" s="10">
        <f>IFERROR(__xludf.DUMMYFUNCTION("ifna(QUERY($A$2:$G$2000, ""select G where D="" &amp; AY$1 &amp; "" and E="" &amp; $I54), QUERY($A$2:$G$2000, ""select G where E="" &amp; AY$1 &amp; "" and D="" &amp; $I54))"),7.6976744186046515)</f>
        <v>7.697674419</v>
      </c>
      <c r="AZ54" s="10">
        <f>IFERROR(__xludf.DUMMYFUNCTION("ifna(QUERY($A$2:$G$2000, ""select G where D="" &amp; AZ$1 &amp; "" and E="" &amp; $I54), QUERY($A$2:$G$2000, ""select G where E="" &amp; AZ$1 &amp; "" and D="" &amp; $I54))"),7.723905723905724)</f>
        <v>7.723905724</v>
      </c>
      <c r="BA54" s="10">
        <f>IFERROR(__xludf.DUMMYFUNCTION("ifna(QUERY($A$2:$G$2000, ""select G where D="" &amp; BA$1 &amp; "" and E="" &amp; $I54), QUERY($A$2:$G$2000, ""select G where E="" &amp; BA$1 &amp; "" and D="" &amp; $I54))"),7.747325102880659)</f>
        <v>7.747325103</v>
      </c>
      <c r="BB54" s="10">
        <f>IFERROR(__xludf.DUMMYFUNCTION("ifna(QUERY($A$2:$G$2000, ""select G where D="" &amp; BB$1 &amp; "" and E="" &amp; $I54), QUERY($A$2:$G$2000, ""select G where E="" &amp; BB$1 &amp; "" and D="" &amp; $I54))"),7.769726247987117)</f>
        <v>7.769726248</v>
      </c>
      <c r="BC54" s="10">
        <f>IFERROR(__xludf.DUMMYFUNCTION("ifna(QUERY($A$2:$G$2000, ""select G where D="" &amp; BC$1 &amp; "" and E="" &amp; $I54), QUERY($A$2:$G$2000, ""select G where E="" &amp; BC$1 &amp; "" and D="" &amp; $I54))"),7.789598108747045)</f>
        <v>7.789598109</v>
      </c>
      <c r="BD54" s="10">
        <f>IFERROR(__xludf.DUMMYFUNCTION("ifna(QUERY($A$2:$G$2000, ""select G where D="" &amp; BD$1 &amp; "" and E="" &amp; $I54), QUERY($A$2:$G$2000, ""select G where E="" &amp; BD$1 &amp; "" and D="" &amp; $I54))"),7.808641975308642)</f>
        <v>7.808641975</v>
      </c>
      <c r="BE54" s="10">
        <f>IFERROR(__xludf.DUMMYFUNCTION("ifna(QUERY($A$2:$G$2000, ""select G where D="" &amp; BE$1 &amp; "" and E="" &amp; $I54), QUERY($A$2:$G$2000, ""select G where E="" &amp; BE$1 &amp; "" and D="" &amp; $I54))"),7.825396825396825)</f>
        <v>7.825396825</v>
      </c>
      <c r="BF54" s="10">
        <f>IFERROR(__xludf.DUMMYFUNCTION("ifna(QUERY($A$2:$G$2000, ""select G where D="" &amp; BF$1 &amp; "" and E="" &amp; $I54), QUERY($A$2:$G$2000, ""select G where E="" &amp; BF$1 &amp; "" and D="" &amp; $I54))"),7.841481481481481)</f>
        <v>7.841481481</v>
      </c>
      <c r="BG54" s="10">
        <f>IFERROR(__xludf.DUMMYFUNCTION("ifna(QUERY($A$2:$G$2000, ""select G where D="" &amp; BG$1 &amp; "" and E="" &amp; $I54), QUERY($A$2:$G$2000, ""select G where E="" &amp; BG$1 &amp; "" and D="" &amp; $I54))"),7.855482933914306)</f>
        <v>7.855482934</v>
      </c>
      <c r="BH54" s="10">
        <f>IFERROR(__xludf.DUMMYFUNCTION("ifna(QUERY($A$2:$G$2000, ""select G where D="" &amp; BH$1 &amp; "" and E="" &amp; $I54), QUERY($A$2:$G$2000, ""select G where E="" &amp; BH$1 &amp; "" and D="" &amp; $I54))"),7.868945868945869)</f>
        <v>7.868945869</v>
      </c>
      <c r="BI54" s="10">
        <f>IFERROR(__xludf.DUMMYFUNCTION("ifna(QUERY($A$2:$G$2000, ""select G where D="" &amp; BI$1 &amp; "" and E="" &amp; $I54), QUERY($A$2:$G$2000, ""select G where E="" &amp; BI$1 &amp; "" and D="" &amp; $I54))"),7.881201956673655)</f>
        <v>7.881201957</v>
      </c>
      <c r="BJ54" s="10">
        <f>IFERROR(__xludf.DUMMYFUNCTION("ifna(QUERY($A$2:$G$2000, ""select G where D="" &amp; BJ$1 &amp; "" and E="" &amp; $I54), QUERY($A$2:$G$2000, ""select G where E="" &amp; BJ$1 &amp; "" and D="" &amp; $I54))"),7.893004115226337)</f>
        <v>7.893004115</v>
      </c>
      <c r="BK54" s="10" t="str">
        <f>IFERROR(__xludf.DUMMYFUNCTION("ifna(QUERY($A$2:$G$2000, ""select G where D="" &amp; BK$1 &amp; "" and E="" &amp; $I54), QUERY($A$2:$G$2000, ""select G where E="" &amp; BK$1 &amp; "" and D="" &amp; $I54))"),"#N/A")</f>
        <v>#N/A</v>
      </c>
      <c r="BL54" s="10"/>
      <c r="BM54" s="10"/>
      <c r="BN54" s="10"/>
      <c r="BO54" s="10"/>
    </row>
    <row r="55">
      <c r="A55" s="3">
        <v>5.0</v>
      </c>
      <c r="B55" s="3">
        <v>60.0</v>
      </c>
      <c r="C55" s="3">
        <v>64.0</v>
      </c>
      <c r="D55" s="3">
        <v>7.0</v>
      </c>
      <c r="E55" s="3">
        <v>7.0</v>
      </c>
      <c r="F55" s="11">
        <f t="shared" si="1"/>
        <v>0.9375</v>
      </c>
      <c r="G55" s="5">
        <f t="shared" si="2"/>
        <v>4.0625</v>
      </c>
      <c r="H55" s="3">
        <v>55.0</v>
      </c>
      <c r="I55" s="2">
        <v>54.0</v>
      </c>
      <c r="J55" s="10">
        <f>IFERROR(__xludf.DUMMYFUNCTION("ifna(QUERY($A$2:$G$2000, ""select G where D="" &amp; J$1 &amp; "" and E="" &amp; $I55), QUERY($A$2:$G$2000, ""select G where E="" &amp; J$1 &amp; "" and D="" &amp; $I55))"),5.8)</f>
        <v>5.8</v>
      </c>
      <c r="K55" s="10">
        <f>IFERROR(__xludf.DUMMYFUNCTION("ifna(QUERY($A$2:$G$2000, ""select G where D="" &amp; K$1 &amp; "" and E="" &amp; $I55), QUERY($A$2:$G$2000, ""select G where E="" &amp; K$1 &amp; "" and D="" &amp; $I55))"),5.824242424242424)</f>
        <v>5.824242424</v>
      </c>
      <c r="L55" s="10">
        <f>IFERROR(__xludf.DUMMYFUNCTION("ifna(QUERY($A$2:$G$2000, ""select G where D="" &amp; L$1 &amp; "" and E="" &amp; $I55), QUERY($A$2:$G$2000, ""select G where E="" &amp; L$1 &amp; "" and D="" &amp; $I55))"),5.909090909090909)</f>
        <v>5.909090909</v>
      </c>
      <c r="M55" s="10">
        <f>IFERROR(__xludf.DUMMYFUNCTION("ifna(QUERY($A$2:$G$2000, ""select G where D="" &amp; M$1 &amp; "" and E="" &amp; $I55), QUERY($A$2:$G$2000, ""select G where E="" &amp; M$1 &amp; "" and D="" &amp; $I55))"),5.974545454545455)</f>
        <v>5.974545455</v>
      </c>
      <c r="N55" s="10">
        <f>IFERROR(__xludf.DUMMYFUNCTION("ifna(QUERY($A$2:$G$2000, ""select G where D="" &amp; N$1 &amp; "" and E="" &amp; $I55), QUERY($A$2:$G$2000, ""select G where E="" &amp; N$1 &amp; "" and D="" &amp; $I55))"),6.048484848484849)</f>
        <v>6.048484848</v>
      </c>
      <c r="O55" s="10">
        <f>IFERROR(__xludf.DUMMYFUNCTION("ifna(QUERY($A$2:$G$2000, ""select G where D="" &amp; O$1 &amp; "" and E="" &amp; $I55), QUERY($A$2:$G$2000, ""select G where E="" &amp; O$1 &amp; "" and D="" &amp; $I55))"),6.124675324675325)</f>
        <v>6.124675325</v>
      </c>
      <c r="P55" s="10">
        <f>IFERROR(__xludf.DUMMYFUNCTION("ifna(QUERY($A$2:$G$2000, ""select G where D="" &amp; P$1 &amp; "" and E="" &amp; $I55), QUERY($A$2:$G$2000, ""select G where E="" &amp; P$1 &amp; "" and D="" &amp; $I55))"),6.218181818181818)</f>
        <v>6.218181818</v>
      </c>
      <c r="Q55" s="10">
        <f>IFERROR(__xludf.DUMMYFUNCTION("ifna(QUERY($A$2:$G$2000, ""select G where D="" &amp; Q$1 &amp; "" and E="" &amp; $I55), QUERY($A$2:$G$2000, ""select G where E="" &amp; Q$1 &amp; "" and D="" &amp; $I55))"),6.3232323232323235)</f>
        <v>6.323232323</v>
      </c>
      <c r="R55" s="10">
        <f>IFERROR(__xludf.DUMMYFUNCTION("ifna(QUERY($A$2:$G$2000, ""select G where D="" &amp; R$1 &amp; "" and E="" &amp; $I55), QUERY($A$2:$G$2000, ""select G where E="" &amp; R$1 &amp; "" and D="" &amp; $I55))"),6.421818181818182)</f>
        <v>6.421818182</v>
      </c>
      <c r="S55" s="10">
        <f>IFERROR(__xludf.DUMMYFUNCTION("ifna(QUERY($A$2:$G$2000, ""select G where D="" &amp; S$1 &amp; "" and E="" &amp; $I55), QUERY($A$2:$G$2000, ""select G where E="" &amp; S$1 &amp; "" and D="" &amp; $I55))"),6.509090909090909)</f>
        <v>6.509090909</v>
      </c>
      <c r="T55" s="10">
        <f>IFERROR(__xludf.DUMMYFUNCTION("ifna(QUERY($A$2:$G$2000, ""select G where D="" &amp; T$1 &amp; "" and E="" &amp; $I55), QUERY($A$2:$G$2000, ""select G where E="" &amp; T$1 &amp; "" and D="" &amp; $I55))"),6.593939393939394)</f>
        <v>6.593939394</v>
      </c>
      <c r="U55" s="10">
        <f>IFERROR(__xludf.DUMMYFUNCTION("ifna(QUERY($A$2:$G$2000, ""select G where D="" &amp; U$1 &amp; "" and E="" &amp; $I55), QUERY($A$2:$G$2000, ""select G where E="" &amp; U$1 &amp; "" and D="" &amp; $I55))"),6.665734265734265)</f>
        <v>6.665734266</v>
      </c>
      <c r="V55" s="10">
        <f>IFERROR(__xludf.DUMMYFUNCTION("ifna(QUERY($A$2:$G$2000, ""select G where D="" &amp; V$1 &amp; "" and E="" &amp; $I55), QUERY($A$2:$G$2000, ""select G where E="" &amp; V$1 &amp; "" and D="" &amp; $I55))"),6.7376623376623375)</f>
        <v>6.737662338</v>
      </c>
      <c r="W55" s="10">
        <f>IFERROR(__xludf.DUMMYFUNCTION("ifna(QUERY($A$2:$G$2000, ""select G where D="" &amp; W$1 &amp; "" and E="" &amp; $I55), QUERY($A$2:$G$2000, ""select G where E="" &amp; W$1 &amp; "" and D="" &amp; $I55))"),6.792727272727273)</f>
        <v>6.792727273</v>
      </c>
      <c r="X55" s="10">
        <f>IFERROR(__xludf.DUMMYFUNCTION("ifna(QUERY($A$2:$G$2000, ""select G where D="" &amp; X$1 &amp; "" and E="" &amp; $I55), QUERY($A$2:$G$2000, ""select G where E="" &amp; X$1 &amp; "" and D="" &amp; $I55))"),6.840909090909091)</f>
        <v>6.840909091</v>
      </c>
      <c r="Y55" s="10">
        <f>IFERROR(__xludf.DUMMYFUNCTION("ifna(QUERY($A$2:$G$2000, ""select G where D="" &amp; Y$1 &amp; "" and E="" &amp; $I55), QUERY($A$2:$G$2000, ""select G where E="" &amp; Y$1 &amp; "" and D="" &amp; $I55))"),6.874866310160428)</f>
        <v>6.87486631</v>
      </c>
      <c r="Z55" s="10">
        <f>IFERROR(__xludf.DUMMYFUNCTION("ifna(QUERY($A$2:$G$2000, ""select G where D="" &amp; Z$1 &amp; "" and E="" &amp; $I55), QUERY($A$2:$G$2000, ""select G where E="" &amp; Z$1 &amp; "" and D="" &amp; $I55))"),6.907070707070707)</f>
        <v>6.907070707</v>
      </c>
      <c r="AA55" s="10">
        <f>IFERROR(__xludf.DUMMYFUNCTION("ifna(QUERY($A$2:$G$2000, ""select G where D="" &amp; AA$1 &amp; "" and E="" &amp; $I55), QUERY($A$2:$G$2000, ""select G where E="" &amp; AA$1 &amp; "" and D="" &amp; $I55))"),6.955023923444976)</f>
        <v>6.955023923</v>
      </c>
      <c r="AB55" s="10">
        <f>IFERROR(__xludf.DUMMYFUNCTION("ifna(QUERY($A$2:$G$2000, ""select G where D="" &amp; AB$1 &amp; "" and E="" &amp; $I55), QUERY($A$2:$G$2000, ""select G where E="" &amp; AB$1 &amp; "" and D="" &amp; $I55))"),7.003636363636364)</f>
        <v>7.003636364</v>
      </c>
      <c r="AC55" s="10">
        <f>IFERROR(__xludf.DUMMYFUNCTION("ifna(QUERY($A$2:$G$2000, ""select G where D="" &amp; AC$1 &amp; "" and E="" &amp; $I55), QUERY($A$2:$G$2000, ""select G where E="" &amp; AC$1 &amp; "" and D="" &amp; $I55))"),7.013852813852814)</f>
        <v>7.013852814</v>
      </c>
      <c r="AD55" s="10">
        <f>IFERROR(__xludf.DUMMYFUNCTION("ifna(QUERY($A$2:$G$2000, ""select G where D="" &amp; AD$1 &amp; "" and E="" &amp; $I55), QUERY($A$2:$G$2000, ""select G where E="" &amp; AD$1 &amp; "" and D="" &amp; $I55))"),7.0297520661157025)</f>
        <v>7.029752066</v>
      </c>
      <c r="AE55" s="10">
        <f>IFERROR(__xludf.DUMMYFUNCTION("ifna(QUERY($A$2:$G$2000, ""select G where D="" &amp; AE$1 &amp; "" and E="" &amp; $I55), QUERY($A$2:$G$2000, ""select G where E="" &amp; AE$1 &amp; "" and D="" &amp; $I55))"),7.050592885375494)</f>
        <v>7.050592885</v>
      </c>
      <c r="AF55" s="10">
        <f>IFERROR(__xludf.DUMMYFUNCTION("ifna(QUERY($A$2:$G$2000, ""select G where D="" &amp; AF$1 &amp; "" and E="" &amp; $I55), QUERY($A$2:$G$2000, ""select G where E="" &amp; AF$1 &amp; "" and D="" &amp; $I55))"),7.075757575757576)</f>
        <v>7.075757576</v>
      </c>
      <c r="AG55" s="10">
        <f>IFERROR(__xludf.DUMMYFUNCTION("ifna(QUERY($A$2:$G$2000, ""select G where D="" &amp; AG$1 &amp; "" and E="" &amp; $I55), QUERY($A$2:$G$2000, ""select G where E="" &amp; AG$1 &amp; "" and D="" &amp; $I55))"),7.104727272727272)</f>
        <v>7.104727273</v>
      </c>
      <c r="AH55" s="10">
        <f>IFERROR(__xludf.DUMMYFUNCTION("ifna(QUERY($A$2:$G$2000, ""select G where D="" &amp; AH$1 &amp; "" and E="" &amp; $I55), QUERY($A$2:$G$2000, ""select G where E="" &amp; AH$1 &amp; "" and D="" &amp; $I55))"),7.137062937062937)</f>
        <v>7.137062937</v>
      </c>
      <c r="AI55" s="10">
        <f>IFERROR(__xludf.DUMMYFUNCTION("ifna(QUERY($A$2:$G$2000, ""select G where D="" &amp; AI$1 &amp; "" and E="" &amp; $I55), QUERY($A$2:$G$2000, ""select G where E="" &amp; AI$1 &amp; "" and D="" &amp; $I55))"),7.16969696969697)</f>
        <v>7.16969697</v>
      </c>
      <c r="AJ55" s="10">
        <f>IFERROR(__xludf.DUMMYFUNCTION("ifna(QUERY($A$2:$G$2000, ""select G where D="" &amp; AJ$1 &amp; "" and E="" &amp; $I55), QUERY($A$2:$G$2000, ""select G where E="" &amp; AJ$1 &amp; "" and D="" &amp; $I55))"),7.205194805194806)</f>
        <v>7.205194805</v>
      </c>
      <c r="AK55" s="10">
        <f>IFERROR(__xludf.DUMMYFUNCTION("ifna(QUERY($A$2:$G$2000, ""select G where D="" &amp; AK$1 &amp; "" and E="" &amp; $I55), QUERY($A$2:$G$2000, ""select G where E="" &amp; AK$1 &amp; "" and D="" &amp; $I55))"),7.2407523510971785)</f>
        <v>7.240752351</v>
      </c>
      <c r="AL55" s="10">
        <f>IFERROR(__xludf.DUMMYFUNCTION("ifna(QUERY($A$2:$G$2000, ""select G where D="" &amp; AL$1 &amp; "" and E="" &amp; $I55), QUERY($A$2:$G$2000, ""select G where E="" &amp; AL$1 &amp; "" and D="" &amp; $I55))"),7.276363636363636)</f>
        <v>7.276363636</v>
      </c>
      <c r="AM55" s="10">
        <f>IFERROR(__xludf.DUMMYFUNCTION("ifna(QUERY($A$2:$G$2000, ""select G where D="" &amp; AM$1 &amp; "" and E="" &amp; $I55), QUERY($A$2:$G$2000, ""select G where E="" &amp; AM$1 &amp; "" and D="" &amp; $I55))"),7.312023460410558)</f>
        <v>7.31202346</v>
      </c>
      <c r="AN55" s="10">
        <f>IFERROR(__xludf.DUMMYFUNCTION("ifna(QUERY($A$2:$G$2000, ""select G where D="" &amp; AN$1 &amp; "" and E="" &amp; $I55), QUERY($A$2:$G$2000, ""select G where E="" &amp; AN$1 &amp; "" and D="" &amp; $I55))"),7.347727272727273)</f>
        <v>7.347727273</v>
      </c>
      <c r="AO55" s="10">
        <f>IFERROR(__xludf.DUMMYFUNCTION("ifna(QUERY($A$2:$G$2000, ""select G where D="" &amp; AO$1 &amp; "" and E="" &amp; $I55), QUERY($A$2:$G$2000, ""select G where E="" &amp; AO$1 &amp; "" and D="" &amp; $I55))"),7.383471074380165)</f>
        <v>7.383471074</v>
      </c>
      <c r="AP55" s="10">
        <f>IFERROR(__xludf.DUMMYFUNCTION("ifna(QUERY($A$2:$G$2000, ""select G where D="" &amp; AP$1 &amp; "" and E="" &amp; $I55), QUERY($A$2:$G$2000, ""select G where E="" &amp; AP$1 &amp; "" and D="" &amp; $I55))"),7.419251336898395)</f>
        <v>7.419251337</v>
      </c>
      <c r="AQ55" s="10">
        <f>IFERROR(__xludf.DUMMYFUNCTION("ifna(QUERY($A$2:$G$2000, ""select G where D="" &amp; AQ$1 &amp; "" and E="" &amp; $I55), QUERY($A$2:$G$2000, ""select G where E="" &amp; AQ$1 &amp; "" and D="" &amp; $I55))"),7.455064935064935)</f>
        <v>7.455064935</v>
      </c>
      <c r="AR55" s="10">
        <f>IFERROR(__xludf.DUMMYFUNCTION("ifna(QUERY($A$2:$G$2000, ""select G where D="" &amp; AR$1 &amp; "" and E="" &amp; $I55), QUERY($A$2:$G$2000, ""select G where E="" &amp; AR$1 &amp; "" and D="" &amp; $I55))"),7.490909090909091)</f>
        <v>7.490909091</v>
      </c>
      <c r="AS55" s="10">
        <f>IFERROR(__xludf.DUMMYFUNCTION("ifna(QUERY($A$2:$G$2000, ""select G where D="" &amp; AS$1 &amp; "" and E="" &amp; $I55), QUERY($A$2:$G$2000, ""select G where E="" &amp; AS$1 &amp; "" and D="" &amp; $I55))"),7.526781326781327)</f>
        <v>7.526781327</v>
      </c>
      <c r="AT55" s="10">
        <f>IFERROR(__xludf.DUMMYFUNCTION("ifna(QUERY($A$2:$G$2000, ""select G where D="" &amp; AT$1 &amp; "" and E="" &amp; $I55), QUERY($A$2:$G$2000, ""select G where E="" &amp; AT$1 &amp; "" and D="" &amp; $I55))"),7.56267942583732)</f>
        <v>7.562679426</v>
      </c>
      <c r="AU55" s="10">
        <f>IFERROR(__xludf.DUMMYFUNCTION("ifna(QUERY($A$2:$G$2000, ""select G where D="" &amp; AU$1 &amp; "" and E="" &amp; $I55), QUERY($A$2:$G$2000, ""select G where E="" &amp; AU$1 &amp; "" and D="" &amp; $I55))"),7.597668997668998)</f>
        <v>7.597668998</v>
      </c>
      <c r="AV55" s="10">
        <f>IFERROR(__xludf.DUMMYFUNCTION("ifna(QUERY($A$2:$G$2000, ""select G where D="" &amp; AV$1 &amp; "" and E="" &amp; $I55), QUERY($A$2:$G$2000, ""select G where E="" &amp; AV$1 &amp; "" and D="" &amp; $I55))"),7.631818181818182)</f>
        <v>7.631818182</v>
      </c>
      <c r="AW55" s="10">
        <f>IFERROR(__xludf.DUMMYFUNCTION("ifna(QUERY($A$2:$G$2000, ""select G where D="" &amp; AW$1 &amp; "" and E="" &amp; $I55), QUERY($A$2:$G$2000, ""select G where E="" &amp; AW$1 &amp; "" and D="" &amp; $I55))"),7.662527716186252)</f>
        <v>7.662527716</v>
      </c>
      <c r="AX55" s="10">
        <f>IFERROR(__xludf.DUMMYFUNCTION("ifna(QUERY($A$2:$G$2000, ""select G where D="" &amp; AX$1 &amp; "" and E="" &amp; $I55), QUERY($A$2:$G$2000, ""select G where E="" &amp; AX$1 &amp; "" and D="" &amp; $I55))"),7.691774891774892)</f>
        <v>7.691774892</v>
      </c>
      <c r="AY55" s="10">
        <f>IFERROR(__xludf.DUMMYFUNCTION("ifna(QUERY($A$2:$G$2000, ""select G where D="" &amp; AY$1 &amp; "" and E="" &amp; $I55), QUERY($A$2:$G$2000, ""select G where E="" &amp; AY$1 &amp; "" and D="" &amp; $I55))"),7.717970401691332)</f>
        <v>7.717970402</v>
      </c>
      <c r="AZ55" s="10">
        <f>IFERROR(__xludf.DUMMYFUNCTION("ifna(QUERY($A$2:$G$2000, ""select G where D="" &amp; AZ$1 &amp; "" and E="" &amp; $I55), QUERY($A$2:$G$2000, ""select G where E="" &amp; AZ$1 &amp; "" and D="" &amp; $I55))"),7.74297520661157)</f>
        <v>7.742975207</v>
      </c>
      <c r="BA55" s="10">
        <f>IFERROR(__xludf.DUMMYFUNCTION("ifna(QUERY($A$2:$G$2000, ""select G where D="" &amp; BA$1 &amp; "" and E="" &amp; $I55), QUERY($A$2:$G$2000, ""select G where E="" &amp; BA$1 &amp; "" and D="" &amp; $I55))"),7.765252525252525)</f>
        <v>7.765252525</v>
      </c>
      <c r="BB55" s="10">
        <f>IFERROR(__xludf.DUMMYFUNCTION("ifna(QUERY($A$2:$G$2000, ""select G where D="" &amp; BB$1 &amp; "" and E="" &amp; $I55), QUERY($A$2:$G$2000, ""select G where E="" &amp; BB$1 &amp; "" and D="" &amp; $I55))"),7.786561264822135)</f>
        <v>7.786561265</v>
      </c>
      <c r="BC55" s="10">
        <f>IFERROR(__xludf.DUMMYFUNCTION("ifna(QUERY($A$2:$G$2000, ""select G where D="" &amp; BC$1 &amp; "" and E="" &amp; $I55), QUERY($A$2:$G$2000, ""select G where E="" &amp; BC$1 &amp; "" and D="" &amp; $I55))"),7.8054158607350095)</f>
        <v>7.805415861</v>
      </c>
      <c r="BD55" s="10">
        <f>IFERROR(__xludf.DUMMYFUNCTION("ifna(QUERY($A$2:$G$2000, ""select G where D="" &amp; BD$1 &amp; "" and E="" &amp; $I55), QUERY($A$2:$G$2000, ""select G where E="" &amp; BD$1 &amp; "" and D="" &amp; $I55))"),7.823484848484848)</f>
        <v>7.823484848</v>
      </c>
      <c r="BE55" s="10">
        <f>IFERROR(__xludf.DUMMYFUNCTION("ifna(QUERY($A$2:$G$2000, ""select G where D="" &amp; BE$1 &amp; "" and E="" &amp; $I55), QUERY($A$2:$G$2000, ""select G where E="" &amp; BE$1 &amp; "" and D="" &amp; $I55))"),7.839332096474954)</f>
        <v>7.839332096</v>
      </c>
      <c r="BF55" s="10">
        <f>IFERROR(__xludf.DUMMYFUNCTION("ifna(QUERY($A$2:$G$2000, ""select G where D="" &amp; BF$1 &amp; "" and E="" &amp; $I55), QUERY($A$2:$G$2000, ""select G where E="" &amp; BF$1 &amp; "" and D="" &amp; $I55))"),7.8545454545454545)</f>
        <v>7.854545455</v>
      </c>
      <c r="BG55" s="10" t="str">
        <f>IFERROR(__xludf.DUMMYFUNCTION("ifna(QUERY($A$2:$G$2000, ""select G where D="" &amp; BG$1 &amp; "" and E="" &amp; $I55), QUERY($A$2:$G$2000, ""select G where E="" &amp; BG$1 &amp; "" and D="" &amp; $I55))"),"#N/A")</f>
        <v>#N/A</v>
      </c>
      <c r="BH55" s="10" t="str">
        <f>IFERROR(__xludf.DUMMYFUNCTION("ifna(QUERY($A$2:$G$2000, ""select G where D="" &amp; BH$1 &amp; "" and E="" &amp; $I55), QUERY($A$2:$G$2000, ""select G where E="" &amp; BH$1 &amp; "" and D="" &amp; $I55))"),"#N/A")</f>
        <v>#N/A</v>
      </c>
      <c r="BI55" s="10" t="str">
        <f>IFERROR(__xludf.DUMMYFUNCTION("ifna(QUERY($A$2:$G$2000, ""select G where D="" &amp; BI$1 &amp; "" and E="" &amp; $I55), QUERY($A$2:$G$2000, ""select G where E="" &amp; BI$1 &amp; "" and D="" &amp; $I55))"),"#N/A")</f>
        <v>#N/A</v>
      </c>
      <c r="BJ55" s="10" t="str">
        <f>IFERROR(__xludf.DUMMYFUNCTION("ifna(QUERY($A$2:$G$2000, ""select G where D="" &amp; BJ$1 &amp; "" and E="" &amp; $I55), QUERY($A$2:$G$2000, ""select G where E="" &amp; BJ$1 &amp; "" and D="" &amp; $I55))"),"#N/A")</f>
        <v>#N/A</v>
      </c>
      <c r="BK55" s="10" t="str">
        <f>IFERROR(__xludf.DUMMYFUNCTION("ifna(QUERY($A$2:$G$2000, ""select G where D="" &amp; BK$1 &amp; "" and E="" &amp; $I55), QUERY($A$2:$G$2000, ""select G where E="" &amp; BK$1 &amp; "" and D="" &amp; $I55))"),"#N/A")</f>
        <v>#N/A</v>
      </c>
      <c r="BL55" s="10"/>
      <c r="BM55" s="10"/>
      <c r="BN55" s="10"/>
      <c r="BO55" s="10"/>
    </row>
    <row r="56">
      <c r="A56" s="3">
        <v>5.0</v>
      </c>
      <c r="B56" s="3">
        <v>59.0</v>
      </c>
      <c r="C56" s="3">
        <v>63.0</v>
      </c>
      <c r="D56" s="3">
        <v>8.0</v>
      </c>
      <c r="E56" s="3">
        <v>6.0</v>
      </c>
      <c r="F56" s="11">
        <f t="shared" si="1"/>
        <v>0.9365079365</v>
      </c>
      <c r="G56" s="5">
        <f t="shared" si="2"/>
        <v>4.063492063</v>
      </c>
      <c r="H56" s="3">
        <v>56.0</v>
      </c>
      <c r="I56" s="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</row>
    <row r="57">
      <c r="A57" s="3">
        <v>5.0</v>
      </c>
      <c r="B57" s="3">
        <v>60.0</v>
      </c>
      <c r="C57" s="3">
        <v>72.0</v>
      </c>
      <c r="D57" s="3">
        <v>8.0</v>
      </c>
      <c r="E57" s="3">
        <v>7.0</v>
      </c>
      <c r="F57" s="11">
        <f t="shared" si="1"/>
        <v>0.8333333333</v>
      </c>
      <c r="G57" s="5">
        <f t="shared" si="2"/>
        <v>4.166666667</v>
      </c>
      <c r="H57" s="3">
        <v>57.0</v>
      </c>
      <c r="I57" s="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</row>
    <row r="58">
      <c r="A58" s="3">
        <v>5.0</v>
      </c>
      <c r="B58" s="3">
        <v>57.0</v>
      </c>
      <c r="C58" s="3">
        <v>81.0</v>
      </c>
      <c r="D58" s="3">
        <v>8.0</v>
      </c>
      <c r="E58" s="3">
        <v>8.0</v>
      </c>
      <c r="F58" s="11">
        <f t="shared" si="1"/>
        <v>0.7037037037</v>
      </c>
      <c r="G58" s="5">
        <f t="shared" si="2"/>
        <v>4.296296296</v>
      </c>
      <c r="H58" s="3">
        <v>58.0</v>
      </c>
      <c r="I58" s="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</row>
    <row r="59">
      <c r="A59" s="3">
        <v>5.0</v>
      </c>
      <c r="B59" s="3">
        <v>62.0</v>
      </c>
      <c r="C59" s="3">
        <v>70.0</v>
      </c>
      <c r="D59" s="3">
        <v>9.0</v>
      </c>
      <c r="E59" s="3">
        <v>6.0</v>
      </c>
      <c r="F59" s="11">
        <f t="shared" si="1"/>
        <v>0.8857142857</v>
      </c>
      <c r="G59" s="5">
        <f t="shared" si="2"/>
        <v>4.114285714</v>
      </c>
      <c r="H59" s="3">
        <v>59.0</v>
      </c>
      <c r="I59" s="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</row>
    <row r="60">
      <c r="A60" s="3">
        <v>5.0</v>
      </c>
      <c r="B60" s="3">
        <v>60.0</v>
      </c>
      <c r="C60" s="3">
        <v>80.0</v>
      </c>
      <c r="D60" s="3">
        <v>9.0</v>
      </c>
      <c r="E60" s="3">
        <v>7.0</v>
      </c>
      <c r="F60" s="11">
        <f t="shared" si="1"/>
        <v>0.75</v>
      </c>
      <c r="G60" s="5">
        <f t="shared" si="2"/>
        <v>4.25</v>
      </c>
      <c r="H60" s="3">
        <v>60.0</v>
      </c>
      <c r="I60" s="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</row>
    <row r="61">
      <c r="A61" s="3">
        <v>5.0</v>
      </c>
      <c r="B61" s="3">
        <v>54.0</v>
      </c>
      <c r="C61" s="3">
        <v>90.0</v>
      </c>
      <c r="D61" s="3">
        <v>9.0</v>
      </c>
      <c r="E61" s="3">
        <v>8.0</v>
      </c>
      <c r="F61" s="11">
        <f t="shared" si="1"/>
        <v>0.6</v>
      </c>
      <c r="G61" s="5">
        <f t="shared" si="2"/>
        <v>4.4</v>
      </c>
      <c r="H61" s="3">
        <v>61.0</v>
      </c>
      <c r="I61" s="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</row>
    <row r="62">
      <c r="A62" s="3">
        <v>5.0</v>
      </c>
      <c r="B62" s="3">
        <v>48.0</v>
      </c>
      <c r="C62" s="3">
        <v>100.0</v>
      </c>
      <c r="D62" s="3">
        <v>9.0</v>
      </c>
      <c r="E62" s="3">
        <v>9.0</v>
      </c>
      <c r="F62" s="11">
        <f t="shared" si="1"/>
        <v>0.48</v>
      </c>
      <c r="G62" s="5">
        <f t="shared" si="2"/>
        <v>4.52</v>
      </c>
      <c r="H62" s="3">
        <v>62.0</v>
      </c>
      <c r="I62" s="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</row>
    <row r="63">
      <c r="A63" s="3">
        <v>5.0</v>
      </c>
      <c r="B63" s="3">
        <v>62.0</v>
      </c>
      <c r="C63" s="3">
        <v>66.0</v>
      </c>
      <c r="D63" s="3">
        <v>10.0</v>
      </c>
      <c r="E63" s="3">
        <v>5.0</v>
      </c>
      <c r="F63" s="11">
        <f t="shared" si="1"/>
        <v>0.9393939394</v>
      </c>
      <c r="G63" s="5">
        <f t="shared" si="2"/>
        <v>4.060606061</v>
      </c>
      <c r="H63" s="3">
        <v>63.0</v>
      </c>
      <c r="I63" s="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</row>
    <row r="64">
      <c r="A64" s="3">
        <v>5.0</v>
      </c>
      <c r="B64" s="3">
        <v>61.0</v>
      </c>
      <c r="C64" s="3">
        <v>77.0</v>
      </c>
      <c r="D64" s="3">
        <v>10.0</v>
      </c>
      <c r="E64" s="3">
        <v>6.0</v>
      </c>
      <c r="F64" s="11">
        <f t="shared" si="1"/>
        <v>0.7922077922</v>
      </c>
      <c r="G64" s="5">
        <f t="shared" si="2"/>
        <v>4.207792208</v>
      </c>
      <c r="H64" s="3">
        <v>64.0</v>
      </c>
      <c r="I64" s="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</row>
    <row r="65">
      <c r="A65" s="3">
        <v>5.0</v>
      </c>
      <c r="B65" s="3">
        <v>56.0</v>
      </c>
      <c r="C65" s="3">
        <v>88.0</v>
      </c>
      <c r="D65" s="3">
        <v>10.0</v>
      </c>
      <c r="E65" s="3">
        <v>7.0</v>
      </c>
      <c r="F65" s="11">
        <f t="shared" si="1"/>
        <v>0.6363636364</v>
      </c>
      <c r="G65" s="5">
        <f t="shared" si="2"/>
        <v>4.363636364</v>
      </c>
      <c r="H65" s="3">
        <v>65.0</v>
      </c>
      <c r="I65" s="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</row>
    <row r="66">
      <c r="A66" s="3">
        <v>5.0</v>
      </c>
      <c r="B66" s="3">
        <v>47.0</v>
      </c>
      <c r="C66" s="3">
        <v>99.0</v>
      </c>
      <c r="D66" s="3">
        <v>10.0</v>
      </c>
      <c r="E66" s="3">
        <v>8.0</v>
      </c>
      <c r="F66" s="11">
        <f t="shared" si="1"/>
        <v>0.4747474747</v>
      </c>
      <c r="G66" s="5">
        <f t="shared" si="2"/>
        <v>4.525252525</v>
      </c>
      <c r="H66" s="3">
        <v>66.0</v>
      </c>
      <c r="I66" s="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</row>
    <row r="67">
      <c r="A67" s="3">
        <v>5.0</v>
      </c>
      <c r="B67" s="3">
        <v>38.0</v>
      </c>
      <c r="C67" s="3">
        <v>110.0</v>
      </c>
      <c r="D67" s="3">
        <v>10.0</v>
      </c>
      <c r="E67" s="3">
        <v>9.0</v>
      </c>
      <c r="F67" s="11">
        <f t="shared" si="1"/>
        <v>0.3454545455</v>
      </c>
      <c r="G67" s="5">
        <f t="shared" si="2"/>
        <v>4.654545455</v>
      </c>
      <c r="H67" s="3">
        <v>67.0</v>
      </c>
      <c r="I67" s="2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</row>
    <row r="68">
      <c r="A68" s="3">
        <v>5.0</v>
      </c>
      <c r="B68" s="3">
        <v>29.0</v>
      </c>
      <c r="C68" s="3">
        <v>121.0</v>
      </c>
      <c r="D68" s="3">
        <v>10.0</v>
      </c>
      <c r="E68" s="3">
        <v>10.0</v>
      </c>
      <c r="F68" s="11">
        <f t="shared" si="1"/>
        <v>0.2396694215</v>
      </c>
      <c r="G68" s="5">
        <f t="shared" si="2"/>
        <v>4.760330579</v>
      </c>
      <c r="H68" s="3">
        <v>68.0</v>
      </c>
      <c r="I68" s="2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</row>
    <row r="69">
      <c r="A69" s="3">
        <v>5.0</v>
      </c>
      <c r="B69" s="3">
        <v>56.0</v>
      </c>
      <c r="C69" s="3">
        <v>60.0</v>
      </c>
      <c r="D69" s="3">
        <v>11.0</v>
      </c>
      <c r="E69" s="3">
        <v>4.0</v>
      </c>
      <c r="F69" s="11">
        <f t="shared" si="1"/>
        <v>0.9333333333</v>
      </c>
      <c r="G69" s="5">
        <f t="shared" si="2"/>
        <v>4.066666667</v>
      </c>
      <c r="H69" s="3">
        <v>69.0</v>
      </c>
      <c r="I69" s="2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</row>
    <row r="70">
      <c r="A70" s="3">
        <v>5.0</v>
      </c>
      <c r="B70" s="3">
        <v>60.0</v>
      </c>
      <c r="C70" s="3">
        <v>72.0</v>
      </c>
      <c r="D70" s="3">
        <v>11.0</v>
      </c>
      <c r="E70" s="3">
        <v>5.0</v>
      </c>
      <c r="F70" s="11">
        <f t="shared" si="1"/>
        <v>0.8333333333</v>
      </c>
      <c r="G70" s="5">
        <f t="shared" si="2"/>
        <v>4.166666667</v>
      </c>
      <c r="H70" s="3">
        <v>70.0</v>
      </c>
      <c r="I70" s="2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</row>
    <row r="71">
      <c r="A71" s="3">
        <v>5.0</v>
      </c>
      <c r="B71" s="3">
        <v>56.0</v>
      </c>
      <c r="C71" s="3">
        <v>84.0</v>
      </c>
      <c r="D71" s="3">
        <v>11.0</v>
      </c>
      <c r="E71" s="3">
        <v>6.0</v>
      </c>
      <c r="F71" s="11">
        <f t="shared" si="1"/>
        <v>0.6666666667</v>
      </c>
      <c r="G71" s="5">
        <f t="shared" si="2"/>
        <v>4.333333333</v>
      </c>
      <c r="H71" s="3">
        <v>71.0</v>
      </c>
      <c r="I71" s="2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>
      <c r="A72" s="3">
        <v>5.0</v>
      </c>
      <c r="B72" s="3">
        <v>48.0</v>
      </c>
      <c r="C72" s="3">
        <v>96.0</v>
      </c>
      <c r="D72" s="3">
        <v>11.0</v>
      </c>
      <c r="E72" s="3">
        <v>7.0</v>
      </c>
      <c r="F72" s="11">
        <f t="shared" si="1"/>
        <v>0.5</v>
      </c>
      <c r="G72" s="5">
        <f t="shared" si="2"/>
        <v>4.5</v>
      </c>
      <c r="H72" s="3">
        <v>72.0</v>
      </c>
      <c r="I72" s="2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</row>
    <row r="73">
      <c r="A73" s="3">
        <v>5.0</v>
      </c>
      <c r="B73" s="3">
        <v>38.0</v>
      </c>
      <c r="C73" s="3">
        <v>108.0</v>
      </c>
      <c r="D73" s="3">
        <v>11.0</v>
      </c>
      <c r="E73" s="3">
        <v>8.0</v>
      </c>
      <c r="F73" s="11">
        <f t="shared" si="1"/>
        <v>0.3518518519</v>
      </c>
      <c r="G73" s="5">
        <f t="shared" si="2"/>
        <v>4.648148148</v>
      </c>
      <c r="H73" s="3">
        <v>73.0</v>
      </c>
      <c r="I73" s="2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</row>
    <row r="74">
      <c r="A74" s="3">
        <v>5.0</v>
      </c>
      <c r="B74" s="3">
        <v>28.0</v>
      </c>
      <c r="C74" s="3">
        <v>120.0</v>
      </c>
      <c r="D74" s="3">
        <v>11.0</v>
      </c>
      <c r="E74" s="3">
        <v>9.0</v>
      </c>
      <c r="F74" s="11">
        <f t="shared" si="1"/>
        <v>0.2333333333</v>
      </c>
      <c r="G74" s="5">
        <f t="shared" si="2"/>
        <v>4.766666667</v>
      </c>
      <c r="H74" s="3">
        <v>74.0</v>
      </c>
      <c r="I74" s="2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</row>
    <row r="75">
      <c r="A75" s="3">
        <v>5.0</v>
      </c>
      <c r="B75" s="3">
        <v>20.0</v>
      </c>
      <c r="C75" s="3">
        <v>132.0</v>
      </c>
      <c r="D75" s="3">
        <v>11.0</v>
      </c>
      <c r="E75" s="3">
        <v>10.0</v>
      </c>
      <c r="F75" s="11">
        <f t="shared" si="1"/>
        <v>0.1515151515</v>
      </c>
      <c r="G75" s="5">
        <f t="shared" si="2"/>
        <v>4.848484848</v>
      </c>
      <c r="H75" s="3">
        <v>75.0</v>
      </c>
      <c r="I75" s="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</row>
    <row r="76">
      <c r="A76" s="3">
        <v>5.0</v>
      </c>
      <c r="B76" s="3">
        <v>12.0</v>
      </c>
      <c r="C76" s="3">
        <v>144.0</v>
      </c>
      <c r="D76" s="3">
        <v>11.0</v>
      </c>
      <c r="E76" s="3">
        <v>11.0</v>
      </c>
      <c r="F76" s="11">
        <f t="shared" si="1"/>
        <v>0.08333333333</v>
      </c>
      <c r="G76" s="5">
        <f t="shared" si="2"/>
        <v>4.916666667</v>
      </c>
      <c r="H76" s="3">
        <v>76.0</v>
      </c>
      <c r="I76" s="2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</row>
    <row r="77">
      <c r="A77" s="3">
        <v>5.0</v>
      </c>
      <c r="B77" s="3">
        <v>57.0</v>
      </c>
      <c r="C77" s="3">
        <v>65.0</v>
      </c>
      <c r="D77" s="3">
        <v>12.0</v>
      </c>
      <c r="E77" s="3">
        <v>4.0</v>
      </c>
      <c r="F77" s="11">
        <f t="shared" si="1"/>
        <v>0.8769230769</v>
      </c>
      <c r="G77" s="5">
        <f t="shared" si="2"/>
        <v>4.123076923</v>
      </c>
      <c r="H77" s="3">
        <v>77.0</v>
      </c>
      <c r="I77" s="17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</row>
    <row r="78">
      <c r="A78" s="3">
        <v>5.0</v>
      </c>
      <c r="B78" s="3">
        <v>58.0</v>
      </c>
      <c r="C78" s="3">
        <v>78.0</v>
      </c>
      <c r="D78" s="3">
        <v>12.0</v>
      </c>
      <c r="E78" s="3">
        <v>5.0</v>
      </c>
      <c r="F78" s="11">
        <f t="shared" si="1"/>
        <v>0.7435897436</v>
      </c>
      <c r="G78" s="5">
        <f t="shared" si="2"/>
        <v>4.256410256</v>
      </c>
      <c r="H78" s="3">
        <v>78.0</v>
      </c>
      <c r="I78" s="17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</row>
    <row r="79">
      <c r="A79" s="3">
        <v>5.0</v>
      </c>
      <c r="B79" s="3">
        <v>51.0</v>
      </c>
      <c r="C79" s="3">
        <v>91.0</v>
      </c>
      <c r="D79" s="3">
        <v>12.0</v>
      </c>
      <c r="E79" s="3">
        <v>6.0</v>
      </c>
      <c r="F79" s="11">
        <f t="shared" si="1"/>
        <v>0.5604395604</v>
      </c>
      <c r="G79" s="5">
        <f t="shared" si="2"/>
        <v>4.43956044</v>
      </c>
      <c r="H79" s="3">
        <v>79.0</v>
      </c>
      <c r="I79" s="17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</row>
    <row r="80">
      <c r="A80" s="3">
        <v>5.0</v>
      </c>
      <c r="B80" s="3">
        <v>40.0</v>
      </c>
      <c r="C80" s="3">
        <v>104.0</v>
      </c>
      <c r="D80" s="3">
        <v>12.0</v>
      </c>
      <c r="E80" s="3">
        <v>7.0</v>
      </c>
      <c r="F80" s="11">
        <f t="shared" si="1"/>
        <v>0.3846153846</v>
      </c>
      <c r="G80" s="5">
        <f t="shared" si="2"/>
        <v>4.615384615</v>
      </c>
      <c r="H80" s="3">
        <v>80.0</v>
      </c>
      <c r="I80" s="17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</row>
    <row r="81">
      <c r="A81" s="3">
        <v>5.0</v>
      </c>
      <c r="B81" s="3">
        <v>31.0</v>
      </c>
      <c r="C81" s="3">
        <v>117.0</v>
      </c>
      <c r="D81" s="3">
        <v>12.0</v>
      </c>
      <c r="E81" s="3">
        <v>8.0</v>
      </c>
      <c r="F81" s="11">
        <f t="shared" si="1"/>
        <v>0.264957265</v>
      </c>
      <c r="G81" s="5">
        <f t="shared" si="2"/>
        <v>4.735042735</v>
      </c>
      <c r="H81" s="3">
        <v>81.0</v>
      </c>
      <c r="I81" s="17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</row>
    <row r="82">
      <c r="A82" s="3">
        <v>5.0</v>
      </c>
      <c r="B82" s="3">
        <v>22.0</v>
      </c>
      <c r="C82" s="3">
        <v>130.0</v>
      </c>
      <c r="D82" s="3">
        <v>12.0</v>
      </c>
      <c r="E82" s="3">
        <v>9.0</v>
      </c>
      <c r="F82" s="11">
        <f t="shared" si="1"/>
        <v>0.1692307692</v>
      </c>
      <c r="G82" s="5">
        <f t="shared" si="2"/>
        <v>4.830769231</v>
      </c>
      <c r="H82" s="3">
        <v>82.0</v>
      </c>
      <c r="I82" s="17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</row>
    <row r="83">
      <c r="A83" s="3">
        <v>5.0</v>
      </c>
      <c r="B83" s="3">
        <v>15.0</v>
      </c>
      <c r="C83" s="3">
        <v>143.0</v>
      </c>
      <c r="D83" s="3">
        <v>12.0</v>
      </c>
      <c r="E83" s="3">
        <v>10.0</v>
      </c>
      <c r="F83" s="11">
        <f t="shared" si="1"/>
        <v>0.1048951049</v>
      </c>
      <c r="G83" s="5">
        <f t="shared" si="2"/>
        <v>4.895104895</v>
      </c>
      <c r="H83" s="3">
        <v>83.0</v>
      </c>
      <c r="I83" s="1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</row>
    <row r="84">
      <c r="A84" s="3">
        <v>5.0</v>
      </c>
      <c r="B84" s="3">
        <v>52.0</v>
      </c>
      <c r="C84" s="3">
        <v>56.0</v>
      </c>
      <c r="D84" s="3">
        <v>13.0</v>
      </c>
      <c r="E84" s="3">
        <v>3.0</v>
      </c>
      <c r="F84" s="11">
        <f t="shared" si="1"/>
        <v>0.9285714286</v>
      </c>
      <c r="G84" s="5">
        <f t="shared" si="2"/>
        <v>4.071428571</v>
      </c>
      <c r="H84" s="3">
        <v>84.0</v>
      </c>
      <c r="I84" s="17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</row>
    <row r="85">
      <c r="A85" s="3">
        <v>5.0</v>
      </c>
      <c r="B85" s="3">
        <v>54.0</v>
      </c>
      <c r="C85" s="3">
        <v>70.0</v>
      </c>
      <c r="D85" s="3">
        <v>13.0</v>
      </c>
      <c r="E85" s="3">
        <v>4.0</v>
      </c>
      <c r="F85" s="11">
        <f t="shared" si="1"/>
        <v>0.7714285714</v>
      </c>
      <c r="G85" s="5">
        <f t="shared" si="2"/>
        <v>4.228571429</v>
      </c>
      <c r="H85" s="3">
        <v>85.0</v>
      </c>
      <c r="I85" s="17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</row>
    <row r="86">
      <c r="A86" s="3">
        <v>5.0</v>
      </c>
      <c r="B86" s="3">
        <v>52.0</v>
      </c>
      <c r="C86" s="3">
        <v>84.0</v>
      </c>
      <c r="D86" s="3">
        <v>13.0</v>
      </c>
      <c r="E86" s="3">
        <v>5.0</v>
      </c>
      <c r="F86" s="11">
        <f t="shared" si="1"/>
        <v>0.619047619</v>
      </c>
      <c r="G86" s="5">
        <f t="shared" si="2"/>
        <v>4.380952381</v>
      </c>
      <c r="H86" s="3">
        <v>86.0</v>
      </c>
      <c r="I86" s="17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</row>
    <row r="87">
      <c r="A87" s="3">
        <v>5.0</v>
      </c>
      <c r="B87" s="3">
        <v>44.0</v>
      </c>
      <c r="C87" s="3">
        <v>98.0</v>
      </c>
      <c r="D87" s="3">
        <v>13.0</v>
      </c>
      <c r="E87" s="3">
        <v>6.0</v>
      </c>
      <c r="F87" s="11">
        <f t="shared" si="1"/>
        <v>0.4489795918</v>
      </c>
      <c r="G87" s="5">
        <f t="shared" si="2"/>
        <v>4.551020408</v>
      </c>
      <c r="H87" s="3">
        <v>87.0</v>
      </c>
      <c r="I87" s="17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</row>
    <row r="88">
      <c r="A88" s="3">
        <v>5.0</v>
      </c>
      <c r="B88" s="3">
        <v>32.0</v>
      </c>
      <c r="C88" s="3">
        <v>112.0</v>
      </c>
      <c r="D88" s="3">
        <v>13.0</v>
      </c>
      <c r="E88" s="3">
        <v>7.0</v>
      </c>
      <c r="F88" s="11">
        <f t="shared" si="1"/>
        <v>0.2857142857</v>
      </c>
      <c r="G88" s="5">
        <f t="shared" si="2"/>
        <v>4.714285714</v>
      </c>
      <c r="H88" s="3">
        <v>88.0</v>
      </c>
      <c r="I88" s="17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</row>
    <row r="89">
      <c r="A89" s="3">
        <v>5.0</v>
      </c>
      <c r="B89" s="3">
        <v>24.0</v>
      </c>
      <c r="C89" s="3">
        <v>126.0</v>
      </c>
      <c r="D89" s="3">
        <v>13.0</v>
      </c>
      <c r="E89" s="3">
        <v>8.0</v>
      </c>
      <c r="F89" s="11">
        <f t="shared" si="1"/>
        <v>0.1904761905</v>
      </c>
      <c r="G89" s="5">
        <f t="shared" si="2"/>
        <v>4.80952381</v>
      </c>
      <c r="H89" s="3">
        <v>89.0</v>
      </c>
      <c r="I89" s="17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</row>
    <row r="90">
      <c r="A90" s="3">
        <v>5.0</v>
      </c>
      <c r="B90" s="3">
        <v>14.0</v>
      </c>
      <c r="C90" s="3">
        <v>140.0</v>
      </c>
      <c r="D90" s="3">
        <v>13.0</v>
      </c>
      <c r="E90" s="3">
        <v>9.0</v>
      </c>
      <c r="F90" s="11">
        <f t="shared" si="1"/>
        <v>0.1</v>
      </c>
      <c r="G90" s="5">
        <f t="shared" si="2"/>
        <v>4.9</v>
      </c>
      <c r="H90" s="3">
        <v>90.0</v>
      </c>
      <c r="I90" s="17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</row>
    <row r="91">
      <c r="A91" s="3">
        <v>5.0</v>
      </c>
      <c r="B91" s="3">
        <v>52.0</v>
      </c>
      <c r="C91" s="3">
        <v>60.0</v>
      </c>
      <c r="D91" s="3">
        <v>14.0</v>
      </c>
      <c r="E91" s="3">
        <v>3.0</v>
      </c>
      <c r="F91" s="11">
        <f t="shared" si="1"/>
        <v>0.8666666667</v>
      </c>
      <c r="G91" s="5">
        <f t="shared" si="2"/>
        <v>4.133333333</v>
      </c>
      <c r="H91" s="3">
        <v>91.0</v>
      </c>
      <c r="I91" s="17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</row>
    <row r="92">
      <c r="A92" s="3">
        <v>5.0</v>
      </c>
      <c r="B92" s="3">
        <v>51.0</v>
      </c>
      <c r="C92" s="3">
        <v>75.0</v>
      </c>
      <c r="D92" s="3">
        <v>14.0</v>
      </c>
      <c r="E92" s="3">
        <v>4.0</v>
      </c>
      <c r="F92" s="11">
        <f t="shared" si="1"/>
        <v>0.68</v>
      </c>
      <c r="G92" s="5">
        <f t="shared" si="2"/>
        <v>4.32</v>
      </c>
      <c r="H92" s="3">
        <v>92.0</v>
      </c>
      <c r="I92" s="17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</row>
    <row r="93">
      <c r="A93" s="3">
        <v>5.0</v>
      </c>
      <c r="B93" s="3">
        <v>46.0</v>
      </c>
      <c r="C93" s="3">
        <v>90.0</v>
      </c>
      <c r="D93" s="3">
        <v>14.0</v>
      </c>
      <c r="E93" s="3">
        <v>5.0</v>
      </c>
      <c r="F93" s="11">
        <f t="shared" si="1"/>
        <v>0.5111111111</v>
      </c>
      <c r="G93" s="5">
        <f t="shared" si="2"/>
        <v>4.488888889</v>
      </c>
      <c r="H93" s="3">
        <v>93.0</v>
      </c>
      <c r="I93" s="17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</row>
    <row r="94">
      <c r="A94" s="3">
        <v>5.0</v>
      </c>
      <c r="B94" s="3">
        <v>37.0</v>
      </c>
      <c r="C94" s="3">
        <v>105.0</v>
      </c>
      <c r="D94" s="3">
        <v>14.0</v>
      </c>
      <c r="E94" s="3">
        <v>6.0</v>
      </c>
      <c r="F94" s="11">
        <f t="shared" si="1"/>
        <v>0.3523809524</v>
      </c>
      <c r="G94" s="5">
        <f t="shared" si="2"/>
        <v>4.647619048</v>
      </c>
      <c r="H94" s="3">
        <v>94.0</v>
      </c>
      <c r="I94" s="17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</row>
    <row r="95">
      <c r="A95" s="3">
        <v>5.0</v>
      </c>
      <c r="B95" s="3">
        <v>26.0</v>
      </c>
      <c r="C95" s="3">
        <v>120.0</v>
      </c>
      <c r="D95" s="3">
        <v>14.0</v>
      </c>
      <c r="E95" s="3">
        <v>7.0</v>
      </c>
      <c r="F95" s="11">
        <f t="shared" si="1"/>
        <v>0.2166666667</v>
      </c>
      <c r="G95" s="5">
        <f t="shared" si="2"/>
        <v>4.783333333</v>
      </c>
      <c r="H95" s="3">
        <v>95.0</v>
      </c>
      <c r="I95" s="17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</row>
    <row r="96">
      <c r="A96" s="3">
        <v>5.0</v>
      </c>
      <c r="B96" s="3">
        <v>19.0</v>
      </c>
      <c r="C96" s="3">
        <v>135.0</v>
      </c>
      <c r="D96" s="3">
        <v>14.0</v>
      </c>
      <c r="E96" s="3">
        <v>8.0</v>
      </c>
      <c r="F96" s="11">
        <f t="shared" si="1"/>
        <v>0.1407407407</v>
      </c>
      <c r="G96" s="5">
        <f t="shared" si="2"/>
        <v>4.859259259</v>
      </c>
      <c r="H96" s="3">
        <v>96.0</v>
      </c>
      <c r="I96" s="17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</row>
    <row r="97">
      <c r="A97" s="3">
        <v>5.0</v>
      </c>
      <c r="B97" s="3">
        <v>4.0</v>
      </c>
      <c r="C97" s="3">
        <v>150.0</v>
      </c>
      <c r="D97" s="3">
        <v>14.0</v>
      </c>
      <c r="E97" s="3">
        <v>9.0</v>
      </c>
      <c r="F97" s="11">
        <f t="shared" si="1"/>
        <v>0.02666666667</v>
      </c>
      <c r="G97" s="5">
        <f t="shared" si="2"/>
        <v>4.973333333</v>
      </c>
      <c r="H97" s="3">
        <v>97.0</v>
      </c>
      <c r="I97" s="17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</row>
    <row r="98">
      <c r="A98" s="3">
        <v>5.0</v>
      </c>
      <c r="B98" s="3">
        <v>52.0</v>
      </c>
      <c r="C98" s="3">
        <v>64.0</v>
      </c>
      <c r="D98" s="3">
        <v>15.0</v>
      </c>
      <c r="E98" s="3">
        <v>3.0</v>
      </c>
      <c r="F98" s="11">
        <f t="shared" si="1"/>
        <v>0.8125</v>
      </c>
      <c r="G98" s="5">
        <f t="shared" si="2"/>
        <v>4.1875</v>
      </c>
      <c r="H98" s="3">
        <v>98.0</v>
      </c>
      <c r="I98" s="17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</row>
    <row r="99">
      <c r="A99" s="3">
        <v>5.0</v>
      </c>
      <c r="B99" s="3">
        <v>48.0</v>
      </c>
      <c r="C99" s="3">
        <v>80.0</v>
      </c>
      <c r="D99" s="3">
        <v>15.0</v>
      </c>
      <c r="E99" s="3">
        <v>4.0</v>
      </c>
      <c r="F99" s="11">
        <f t="shared" si="1"/>
        <v>0.6</v>
      </c>
      <c r="G99" s="5">
        <f t="shared" si="2"/>
        <v>4.4</v>
      </c>
      <c r="H99" s="3">
        <v>99.0</v>
      </c>
      <c r="I99" s="17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</row>
    <row r="100">
      <c r="A100" s="3">
        <v>5.0</v>
      </c>
      <c r="B100" s="3">
        <v>40.0</v>
      </c>
      <c r="C100" s="3">
        <v>96.0</v>
      </c>
      <c r="D100" s="3">
        <v>15.0</v>
      </c>
      <c r="E100" s="3">
        <v>5.0</v>
      </c>
      <c r="F100" s="11">
        <f t="shared" si="1"/>
        <v>0.4166666667</v>
      </c>
      <c r="G100" s="5">
        <f t="shared" si="2"/>
        <v>4.583333333</v>
      </c>
      <c r="H100" s="3">
        <v>100.0</v>
      </c>
      <c r="I100" s="17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</row>
    <row r="101">
      <c r="A101" s="3">
        <v>5.0</v>
      </c>
      <c r="B101" s="3">
        <v>30.0</v>
      </c>
      <c r="C101" s="3">
        <v>112.0</v>
      </c>
      <c r="D101" s="3">
        <v>15.0</v>
      </c>
      <c r="E101" s="3">
        <v>6.0</v>
      </c>
      <c r="F101" s="11">
        <f t="shared" si="1"/>
        <v>0.2678571429</v>
      </c>
      <c r="G101" s="5">
        <f t="shared" si="2"/>
        <v>4.732142857</v>
      </c>
      <c r="H101" s="3">
        <v>101.0</v>
      </c>
      <c r="I101" s="17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</row>
    <row r="102">
      <c r="A102" s="3">
        <v>5.0</v>
      </c>
      <c r="B102" s="3">
        <v>20.0</v>
      </c>
      <c r="C102" s="3">
        <v>128.0</v>
      </c>
      <c r="D102" s="3">
        <v>15.0</v>
      </c>
      <c r="E102" s="3">
        <v>7.0</v>
      </c>
      <c r="F102" s="11">
        <f t="shared" si="1"/>
        <v>0.15625</v>
      </c>
      <c r="G102" s="5">
        <f t="shared" si="2"/>
        <v>4.84375</v>
      </c>
      <c r="H102" s="3">
        <v>102.0</v>
      </c>
      <c r="I102" s="17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</row>
    <row r="103">
      <c r="A103" s="3">
        <v>5.0</v>
      </c>
      <c r="B103" s="3">
        <v>10.0</v>
      </c>
      <c r="C103" s="3">
        <v>144.0</v>
      </c>
      <c r="D103" s="3">
        <v>15.0</v>
      </c>
      <c r="E103" s="3">
        <v>8.0</v>
      </c>
      <c r="F103" s="11">
        <f t="shared" si="1"/>
        <v>0.06944444444</v>
      </c>
      <c r="G103" s="5">
        <f t="shared" si="2"/>
        <v>4.930555556</v>
      </c>
      <c r="H103" s="3">
        <v>103.0</v>
      </c>
      <c r="I103" s="17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</row>
    <row r="104">
      <c r="A104" s="3">
        <v>5.0</v>
      </c>
      <c r="B104" s="3">
        <v>47.0</v>
      </c>
      <c r="C104" s="3">
        <v>51.0</v>
      </c>
      <c r="D104" s="3">
        <v>16.0</v>
      </c>
      <c r="E104" s="3">
        <v>2.0</v>
      </c>
      <c r="F104" s="11">
        <f t="shared" si="1"/>
        <v>0.9215686275</v>
      </c>
      <c r="G104" s="5">
        <f t="shared" si="2"/>
        <v>4.078431373</v>
      </c>
      <c r="H104" s="3">
        <v>104.0</v>
      </c>
      <c r="I104" s="17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</row>
    <row r="105">
      <c r="A105" s="3">
        <v>5.0</v>
      </c>
      <c r="B105" s="3">
        <v>48.0</v>
      </c>
      <c r="C105" s="3">
        <v>68.0</v>
      </c>
      <c r="D105" s="3">
        <v>16.0</v>
      </c>
      <c r="E105" s="3">
        <v>3.0</v>
      </c>
      <c r="F105" s="11">
        <f t="shared" si="1"/>
        <v>0.7058823529</v>
      </c>
      <c r="G105" s="5">
        <f t="shared" si="2"/>
        <v>4.294117647</v>
      </c>
      <c r="H105" s="3">
        <v>105.0</v>
      </c>
      <c r="I105" s="17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</row>
    <row r="106">
      <c r="A106" s="3">
        <v>5.0</v>
      </c>
      <c r="B106" s="3">
        <v>43.0</v>
      </c>
      <c r="C106" s="3">
        <v>85.0</v>
      </c>
      <c r="D106" s="3">
        <v>16.0</v>
      </c>
      <c r="E106" s="3">
        <v>4.0</v>
      </c>
      <c r="F106" s="11">
        <f t="shared" si="1"/>
        <v>0.5058823529</v>
      </c>
      <c r="G106" s="5">
        <f t="shared" si="2"/>
        <v>4.494117647</v>
      </c>
      <c r="H106" s="3">
        <v>106.0</v>
      </c>
      <c r="I106" s="17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</row>
    <row r="107">
      <c r="A107" s="3">
        <v>5.0</v>
      </c>
      <c r="B107" s="3">
        <v>34.0</v>
      </c>
      <c r="C107" s="3">
        <v>102.0</v>
      </c>
      <c r="D107" s="3">
        <v>16.0</v>
      </c>
      <c r="E107" s="3">
        <v>5.0</v>
      </c>
      <c r="F107" s="11">
        <f t="shared" si="1"/>
        <v>0.3333333333</v>
      </c>
      <c r="G107" s="5">
        <f t="shared" si="2"/>
        <v>4.666666667</v>
      </c>
      <c r="H107" s="3">
        <v>107.0</v>
      </c>
      <c r="I107" s="17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</row>
    <row r="108">
      <c r="A108" s="3">
        <v>5.0</v>
      </c>
      <c r="B108" s="3">
        <v>25.0</v>
      </c>
      <c r="C108" s="3">
        <v>119.0</v>
      </c>
      <c r="D108" s="3">
        <v>16.0</v>
      </c>
      <c r="E108" s="3">
        <v>6.0</v>
      </c>
      <c r="F108" s="11">
        <f t="shared" si="1"/>
        <v>0.2100840336</v>
      </c>
      <c r="G108" s="5">
        <f t="shared" si="2"/>
        <v>4.789915966</v>
      </c>
      <c r="H108" s="3">
        <v>108.0</v>
      </c>
      <c r="I108" s="17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</row>
    <row r="109">
      <c r="A109" s="3">
        <v>5.0</v>
      </c>
      <c r="B109" s="3">
        <v>16.0</v>
      </c>
      <c r="C109" s="3">
        <v>136.0</v>
      </c>
      <c r="D109" s="3">
        <v>16.0</v>
      </c>
      <c r="E109" s="3">
        <v>7.0</v>
      </c>
      <c r="F109" s="11">
        <f t="shared" si="1"/>
        <v>0.1176470588</v>
      </c>
      <c r="G109" s="5">
        <f t="shared" si="2"/>
        <v>4.882352941</v>
      </c>
      <c r="H109" s="3">
        <v>109.0</v>
      </c>
      <c r="I109" s="17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</row>
    <row r="110">
      <c r="A110" s="3">
        <v>5.0</v>
      </c>
      <c r="B110" s="3">
        <v>32.0</v>
      </c>
      <c r="C110" s="3">
        <v>36.0</v>
      </c>
      <c r="D110" s="3">
        <v>17.0</v>
      </c>
      <c r="E110" s="3">
        <v>1.0</v>
      </c>
      <c r="F110" s="11">
        <f t="shared" si="1"/>
        <v>0.8888888889</v>
      </c>
      <c r="G110" s="5">
        <f t="shared" si="2"/>
        <v>4.111111111</v>
      </c>
      <c r="H110" s="3">
        <v>110.0</v>
      </c>
      <c r="I110" s="17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</row>
    <row r="111">
      <c r="A111" s="3">
        <v>5.0</v>
      </c>
      <c r="B111" s="3">
        <v>44.0</v>
      </c>
      <c r="C111" s="3">
        <v>54.0</v>
      </c>
      <c r="D111" s="3">
        <v>17.0</v>
      </c>
      <c r="E111" s="3">
        <v>2.0</v>
      </c>
      <c r="F111" s="11">
        <f t="shared" si="1"/>
        <v>0.8148148148</v>
      </c>
      <c r="G111" s="5">
        <f t="shared" si="2"/>
        <v>4.185185185</v>
      </c>
      <c r="H111" s="3">
        <v>111.0</v>
      </c>
      <c r="I111" s="17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</row>
    <row r="112">
      <c r="A112" s="3">
        <v>5.0</v>
      </c>
      <c r="B112" s="3">
        <v>44.0</v>
      </c>
      <c r="C112" s="3">
        <v>72.0</v>
      </c>
      <c r="D112" s="3">
        <v>17.0</v>
      </c>
      <c r="E112" s="3">
        <v>3.0</v>
      </c>
      <c r="F112" s="11">
        <f t="shared" si="1"/>
        <v>0.6111111111</v>
      </c>
      <c r="G112" s="5">
        <f t="shared" si="2"/>
        <v>4.388888889</v>
      </c>
      <c r="H112" s="3">
        <v>112.0</v>
      </c>
      <c r="I112" s="17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</row>
    <row r="113">
      <c r="A113" s="3">
        <v>5.0</v>
      </c>
      <c r="B113" s="3">
        <v>38.0</v>
      </c>
      <c r="C113" s="3">
        <v>90.0</v>
      </c>
      <c r="D113" s="3">
        <v>17.0</v>
      </c>
      <c r="E113" s="3">
        <v>4.0</v>
      </c>
      <c r="F113" s="11">
        <f t="shared" si="1"/>
        <v>0.4222222222</v>
      </c>
      <c r="G113" s="5">
        <f t="shared" si="2"/>
        <v>4.577777778</v>
      </c>
      <c r="H113" s="3">
        <v>113.0</v>
      </c>
      <c r="I113" s="17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</row>
    <row r="114">
      <c r="A114" s="3">
        <v>5.0</v>
      </c>
      <c r="B114" s="3">
        <v>28.0</v>
      </c>
      <c r="C114" s="3">
        <v>108.0</v>
      </c>
      <c r="D114" s="3">
        <v>17.0</v>
      </c>
      <c r="E114" s="3">
        <v>5.0</v>
      </c>
      <c r="F114" s="11">
        <f t="shared" si="1"/>
        <v>0.2592592593</v>
      </c>
      <c r="G114" s="5">
        <f t="shared" si="2"/>
        <v>4.740740741</v>
      </c>
      <c r="H114" s="3">
        <v>114.0</v>
      </c>
      <c r="I114" s="17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</row>
    <row r="115">
      <c r="A115" s="3">
        <v>5.0</v>
      </c>
      <c r="B115" s="3">
        <v>20.0</v>
      </c>
      <c r="C115" s="3">
        <v>126.0</v>
      </c>
      <c r="D115" s="3">
        <v>17.0</v>
      </c>
      <c r="E115" s="3">
        <v>6.0</v>
      </c>
      <c r="F115" s="11">
        <f t="shared" si="1"/>
        <v>0.1587301587</v>
      </c>
      <c r="G115" s="5">
        <f t="shared" si="2"/>
        <v>4.841269841</v>
      </c>
      <c r="H115" s="3">
        <v>115.0</v>
      </c>
      <c r="I115" s="17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</row>
    <row r="116">
      <c r="A116" s="3">
        <v>5.0</v>
      </c>
      <c r="B116" s="3">
        <v>4.0</v>
      </c>
      <c r="C116" s="3">
        <v>144.0</v>
      </c>
      <c r="D116" s="3">
        <v>17.0</v>
      </c>
      <c r="E116" s="3">
        <v>7.0</v>
      </c>
      <c r="F116" s="11">
        <f t="shared" si="1"/>
        <v>0.02777777778</v>
      </c>
      <c r="G116" s="5">
        <f t="shared" si="2"/>
        <v>4.972222222</v>
      </c>
      <c r="H116" s="3">
        <v>116.0</v>
      </c>
      <c r="I116" s="17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</row>
    <row r="117">
      <c r="A117" s="3">
        <v>5.0</v>
      </c>
      <c r="B117" s="3">
        <v>30.0</v>
      </c>
      <c r="C117" s="3">
        <v>38.0</v>
      </c>
      <c r="D117" s="3">
        <v>18.0</v>
      </c>
      <c r="E117" s="3">
        <v>1.0</v>
      </c>
      <c r="F117" s="11">
        <f t="shared" si="1"/>
        <v>0.7894736842</v>
      </c>
      <c r="G117" s="5">
        <f t="shared" si="2"/>
        <v>4.210526316</v>
      </c>
      <c r="H117" s="3">
        <v>117.0</v>
      </c>
      <c r="I117" s="17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</row>
    <row r="118">
      <c r="A118" s="3">
        <v>5.0</v>
      </c>
      <c r="B118" s="3">
        <v>41.0</v>
      </c>
      <c r="C118" s="3">
        <v>57.0</v>
      </c>
      <c r="D118" s="3">
        <v>18.0</v>
      </c>
      <c r="E118" s="3">
        <v>2.0</v>
      </c>
      <c r="F118" s="11">
        <f t="shared" si="1"/>
        <v>0.7192982456</v>
      </c>
      <c r="G118" s="5">
        <f t="shared" si="2"/>
        <v>4.280701754</v>
      </c>
      <c r="H118" s="3">
        <v>118.0</v>
      </c>
      <c r="I118" s="17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</row>
    <row r="119">
      <c r="A119" s="3">
        <v>5.0</v>
      </c>
      <c r="B119" s="3">
        <v>40.0</v>
      </c>
      <c r="C119" s="3">
        <v>76.0</v>
      </c>
      <c r="D119" s="3">
        <v>18.0</v>
      </c>
      <c r="E119" s="3">
        <v>3.0</v>
      </c>
      <c r="F119" s="11">
        <f t="shared" si="1"/>
        <v>0.5263157895</v>
      </c>
      <c r="G119" s="5">
        <f t="shared" si="2"/>
        <v>4.473684211</v>
      </c>
      <c r="H119" s="3">
        <v>119.0</v>
      </c>
      <c r="I119" s="17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</row>
    <row r="120">
      <c r="A120" s="3">
        <v>5.0</v>
      </c>
      <c r="B120" s="3">
        <v>33.0</v>
      </c>
      <c r="C120" s="3">
        <v>95.0</v>
      </c>
      <c r="D120" s="3">
        <v>18.0</v>
      </c>
      <c r="E120" s="3">
        <v>4.0</v>
      </c>
      <c r="F120" s="11">
        <f t="shared" si="1"/>
        <v>0.3473684211</v>
      </c>
      <c r="G120" s="5">
        <f t="shared" si="2"/>
        <v>4.652631579</v>
      </c>
      <c r="H120" s="3">
        <v>120.0</v>
      </c>
      <c r="I120" s="17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</row>
    <row r="121">
      <c r="A121" s="3">
        <v>5.0</v>
      </c>
      <c r="B121" s="3">
        <v>22.0</v>
      </c>
      <c r="C121" s="3">
        <v>114.0</v>
      </c>
      <c r="D121" s="3">
        <v>18.0</v>
      </c>
      <c r="E121" s="3">
        <v>5.0</v>
      </c>
      <c r="F121" s="11">
        <f t="shared" si="1"/>
        <v>0.1929824561</v>
      </c>
      <c r="G121" s="5">
        <f t="shared" si="2"/>
        <v>4.807017544</v>
      </c>
      <c r="H121" s="3">
        <v>121.0</v>
      </c>
      <c r="I121" s="17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</row>
    <row r="122">
      <c r="A122" s="3">
        <v>5.0</v>
      </c>
      <c r="B122" s="3">
        <v>15.0</v>
      </c>
      <c r="C122" s="3">
        <v>133.0</v>
      </c>
      <c r="D122" s="3">
        <v>18.0</v>
      </c>
      <c r="E122" s="3">
        <v>6.0</v>
      </c>
      <c r="F122" s="11">
        <f t="shared" si="1"/>
        <v>0.1127819549</v>
      </c>
      <c r="G122" s="5">
        <f t="shared" si="2"/>
        <v>4.887218045</v>
      </c>
      <c r="H122" s="3">
        <v>122.0</v>
      </c>
      <c r="I122" s="17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</row>
    <row r="123">
      <c r="A123" s="3">
        <v>5.0</v>
      </c>
      <c r="B123" s="3">
        <v>28.0</v>
      </c>
      <c r="C123" s="3">
        <v>40.0</v>
      </c>
      <c r="D123" s="3">
        <v>19.0</v>
      </c>
      <c r="E123" s="3">
        <v>1.0</v>
      </c>
      <c r="F123" s="11">
        <f t="shared" si="1"/>
        <v>0.7</v>
      </c>
      <c r="G123" s="5">
        <f t="shared" si="2"/>
        <v>4.3</v>
      </c>
      <c r="H123" s="3">
        <v>123.0</v>
      </c>
      <c r="I123" s="17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</row>
    <row r="124">
      <c r="A124" s="3">
        <v>5.0</v>
      </c>
      <c r="B124" s="3">
        <v>38.0</v>
      </c>
      <c r="C124" s="3">
        <v>60.0</v>
      </c>
      <c r="D124" s="3">
        <v>19.0</v>
      </c>
      <c r="E124" s="3">
        <v>2.0</v>
      </c>
      <c r="F124" s="11">
        <f t="shared" si="1"/>
        <v>0.6333333333</v>
      </c>
      <c r="G124" s="5">
        <f t="shared" si="2"/>
        <v>4.366666667</v>
      </c>
      <c r="H124" s="3">
        <v>124.0</v>
      </c>
      <c r="I124" s="17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</row>
    <row r="125">
      <c r="A125" s="3">
        <v>5.0</v>
      </c>
      <c r="B125" s="3">
        <v>36.0</v>
      </c>
      <c r="C125" s="3">
        <v>80.0</v>
      </c>
      <c r="D125" s="3">
        <v>19.0</v>
      </c>
      <c r="E125" s="3">
        <v>3.0</v>
      </c>
      <c r="F125" s="11">
        <f t="shared" si="1"/>
        <v>0.45</v>
      </c>
      <c r="G125" s="5">
        <f t="shared" si="2"/>
        <v>4.55</v>
      </c>
      <c r="H125" s="3">
        <v>125.0</v>
      </c>
      <c r="I125" s="17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</row>
    <row r="126">
      <c r="A126" s="3">
        <v>5.0</v>
      </c>
      <c r="B126" s="3">
        <v>28.0</v>
      </c>
      <c r="C126" s="3">
        <v>100.0</v>
      </c>
      <c r="D126" s="3">
        <v>19.0</v>
      </c>
      <c r="E126" s="3">
        <v>4.0</v>
      </c>
      <c r="F126" s="11">
        <f t="shared" si="1"/>
        <v>0.28</v>
      </c>
      <c r="G126" s="5">
        <f t="shared" si="2"/>
        <v>4.72</v>
      </c>
      <c r="H126" s="3">
        <v>126.0</v>
      </c>
      <c r="I126" s="17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</row>
    <row r="127">
      <c r="A127" s="3">
        <v>5.0</v>
      </c>
      <c r="B127" s="3">
        <v>16.0</v>
      </c>
      <c r="C127" s="3">
        <v>120.0</v>
      </c>
      <c r="D127" s="3">
        <v>19.0</v>
      </c>
      <c r="E127" s="3">
        <v>5.0</v>
      </c>
      <c r="F127" s="11">
        <f t="shared" si="1"/>
        <v>0.1333333333</v>
      </c>
      <c r="G127" s="5">
        <f t="shared" si="2"/>
        <v>4.866666667</v>
      </c>
      <c r="H127" s="3">
        <v>127.0</v>
      </c>
      <c r="I127" s="17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</row>
    <row r="128">
      <c r="A128" s="3">
        <v>5.0</v>
      </c>
      <c r="B128" s="3">
        <v>8.0</v>
      </c>
      <c r="C128" s="3">
        <v>140.0</v>
      </c>
      <c r="D128" s="3">
        <v>19.0</v>
      </c>
      <c r="E128" s="3">
        <v>6.0</v>
      </c>
      <c r="F128" s="11">
        <f t="shared" si="1"/>
        <v>0.05714285714</v>
      </c>
      <c r="G128" s="5">
        <f t="shared" si="2"/>
        <v>4.942857143</v>
      </c>
      <c r="H128" s="3">
        <v>128.0</v>
      </c>
      <c r="I128" s="17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</row>
    <row r="129">
      <c r="A129" s="3">
        <v>5.0</v>
      </c>
      <c r="B129" s="3">
        <v>26.0</v>
      </c>
      <c r="C129" s="3">
        <v>42.0</v>
      </c>
      <c r="D129" s="3">
        <v>20.0</v>
      </c>
      <c r="E129" s="3">
        <v>1.0</v>
      </c>
      <c r="F129" s="11">
        <f t="shared" si="1"/>
        <v>0.619047619</v>
      </c>
      <c r="G129" s="5">
        <f t="shared" si="2"/>
        <v>4.380952381</v>
      </c>
      <c r="H129" s="3">
        <v>129.0</v>
      </c>
      <c r="I129" s="17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</row>
    <row r="130">
      <c r="A130" s="3">
        <v>5.0</v>
      </c>
      <c r="B130" s="3">
        <v>35.0</v>
      </c>
      <c r="C130" s="3">
        <v>63.0</v>
      </c>
      <c r="D130" s="3">
        <v>20.0</v>
      </c>
      <c r="E130" s="3">
        <v>2.0</v>
      </c>
      <c r="F130" s="11">
        <f t="shared" si="1"/>
        <v>0.5555555556</v>
      </c>
      <c r="G130" s="5">
        <f t="shared" si="2"/>
        <v>4.444444444</v>
      </c>
      <c r="H130" s="3">
        <v>130.0</v>
      </c>
      <c r="I130" s="17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</row>
    <row r="131">
      <c r="A131" s="3">
        <v>5.0</v>
      </c>
      <c r="B131" s="3">
        <v>32.0</v>
      </c>
      <c r="C131" s="3">
        <v>84.0</v>
      </c>
      <c r="D131" s="3">
        <v>20.0</v>
      </c>
      <c r="E131" s="3">
        <v>3.0</v>
      </c>
      <c r="F131" s="11">
        <f t="shared" si="1"/>
        <v>0.380952381</v>
      </c>
      <c r="G131" s="5">
        <f t="shared" si="2"/>
        <v>4.619047619</v>
      </c>
      <c r="H131" s="3">
        <v>131.0</v>
      </c>
      <c r="I131" s="17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</row>
    <row r="132">
      <c r="A132" s="3">
        <v>5.0</v>
      </c>
      <c r="B132" s="3">
        <v>23.0</v>
      </c>
      <c r="C132" s="3">
        <v>105.0</v>
      </c>
      <c r="D132" s="3">
        <v>20.0</v>
      </c>
      <c r="E132" s="3">
        <v>4.0</v>
      </c>
      <c r="F132" s="11">
        <f t="shared" si="1"/>
        <v>0.219047619</v>
      </c>
      <c r="G132" s="5">
        <f t="shared" si="2"/>
        <v>4.780952381</v>
      </c>
      <c r="H132" s="3">
        <v>132.0</v>
      </c>
      <c r="I132" s="17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</row>
    <row r="133">
      <c r="A133" s="3">
        <v>5.0</v>
      </c>
      <c r="B133" s="3">
        <v>12.0</v>
      </c>
      <c r="C133" s="3">
        <v>126.0</v>
      </c>
      <c r="D133" s="3">
        <v>20.0</v>
      </c>
      <c r="E133" s="3">
        <v>5.0</v>
      </c>
      <c r="F133" s="11">
        <f t="shared" si="1"/>
        <v>0.09523809524</v>
      </c>
      <c r="G133" s="5">
        <f t="shared" si="2"/>
        <v>4.904761905</v>
      </c>
      <c r="H133" s="3">
        <v>133.0</v>
      </c>
      <c r="I133" s="17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</row>
    <row r="134">
      <c r="A134" s="3">
        <v>5.0</v>
      </c>
      <c r="B134" s="3">
        <v>24.0</v>
      </c>
      <c r="C134" s="3">
        <v>44.0</v>
      </c>
      <c r="D134" s="3">
        <v>21.0</v>
      </c>
      <c r="E134" s="3">
        <v>1.0</v>
      </c>
      <c r="F134" s="11">
        <f t="shared" si="1"/>
        <v>0.5454545455</v>
      </c>
      <c r="G134" s="5">
        <f t="shared" si="2"/>
        <v>4.454545455</v>
      </c>
      <c r="H134" s="3">
        <v>134.0</v>
      </c>
      <c r="I134" s="17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</row>
    <row r="135">
      <c r="A135" s="3">
        <v>5.0</v>
      </c>
      <c r="B135" s="3">
        <v>32.0</v>
      </c>
      <c r="C135" s="3">
        <v>66.0</v>
      </c>
      <c r="D135" s="3">
        <v>21.0</v>
      </c>
      <c r="E135" s="3">
        <v>2.0</v>
      </c>
      <c r="F135" s="11">
        <f t="shared" si="1"/>
        <v>0.4848484848</v>
      </c>
      <c r="G135" s="5">
        <f t="shared" si="2"/>
        <v>4.515151515</v>
      </c>
      <c r="H135" s="3">
        <v>135.0</v>
      </c>
      <c r="I135" s="17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</row>
    <row r="136">
      <c r="A136" s="3">
        <v>5.0</v>
      </c>
      <c r="B136" s="3">
        <v>28.0</v>
      </c>
      <c r="C136" s="3">
        <v>88.0</v>
      </c>
      <c r="D136" s="3">
        <v>21.0</v>
      </c>
      <c r="E136" s="3">
        <v>3.0</v>
      </c>
      <c r="F136" s="11">
        <f t="shared" si="1"/>
        <v>0.3181818182</v>
      </c>
      <c r="G136" s="5">
        <f t="shared" si="2"/>
        <v>4.681818182</v>
      </c>
      <c r="H136" s="3">
        <v>136.0</v>
      </c>
      <c r="I136" s="17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</row>
    <row r="137">
      <c r="A137" s="3">
        <v>5.0</v>
      </c>
      <c r="B137" s="3">
        <v>18.0</v>
      </c>
      <c r="C137" s="3">
        <v>110.0</v>
      </c>
      <c r="D137" s="3">
        <v>21.0</v>
      </c>
      <c r="E137" s="3">
        <v>4.0</v>
      </c>
      <c r="F137" s="11">
        <f t="shared" si="1"/>
        <v>0.1636363636</v>
      </c>
      <c r="G137" s="5">
        <f t="shared" si="2"/>
        <v>4.836363636</v>
      </c>
      <c r="H137" s="3">
        <v>137.0</v>
      </c>
      <c r="I137" s="17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</row>
    <row r="138">
      <c r="A138" s="3">
        <v>5.0</v>
      </c>
      <c r="B138" s="3">
        <v>8.0</v>
      </c>
      <c r="C138" s="3">
        <v>132.0</v>
      </c>
      <c r="D138" s="3">
        <v>21.0</v>
      </c>
      <c r="E138" s="3">
        <v>5.0</v>
      </c>
      <c r="F138" s="11">
        <f t="shared" si="1"/>
        <v>0.06060606061</v>
      </c>
      <c r="G138" s="5">
        <f t="shared" si="2"/>
        <v>4.939393939</v>
      </c>
      <c r="H138" s="3">
        <v>138.0</v>
      </c>
      <c r="I138" s="17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</row>
    <row r="139">
      <c r="A139" s="3">
        <v>5.0</v>
      </c>
      <c r="B139" s="3">
        <v>22.0</v>
      </c>
      <c r="C139" s="3">
        <v>46.0</v>
      </c>
      <c r="D139" s="3">
        <v>22.0</v>
      </c>
      <c r="E139" s="3">
        <v>1.0</v>
      </c>
      <c r="F139" s="11">
        <f t="shared" si="1"/>
        <v>0.4782608696</v>
      </c>
      <c r="G139" s="5">
        <f t="shared" si="2"/>
        <v>4.52173913</v>
      </c>
      <c r="H139" s="3">
        <v>139.0</v>
      </c>
      <c r="I139" s="17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</row>
    <row r="140">
      <c r="A140" s="3">
        <v>5.0</v>
      </c>
      <c r="B140" s="3">
        <v>29.0</v>
      </c>
      <c r="C140" s="3">
        <v>69.0</v>
      </c>
      <c r="D140" s="3">
        <v>22.0</v>
      </c>
      <c r="E140" s="3">
        <v>2.0</v>
      </c>
      <c r="F140" s="11">
        <f t="shared" si="1"/>
        <v>0.4202898551</v>
      </c>
      <c r="G140" s="5">
        <f t="shared" si="2"/>
        <v>4.579710145</v>
      </c>
      <c r="H140" s="3">
        <v>140.0</v>
      </c>
      <c r="I140" s="17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</row>
    <row r="141">
      <c r="A141" s="3">
        <v>5.0</v>
      </c>
      <c r="B141" s="3">
        <v>24.0</v>
      </c>
      <c r="C141" s="3">
        <v>92.0</v>
      </c>
      <c r="D141" s="3">
        <v>22.0</v>
      </c>
      <c r="E141" s="3">
        <v>3.0</v>
      </c>
      <c r="F141" s="11">
        <f t="shared" si="1"/>
        <v>0.2608695652</v>
      </c>
      <c r="G141" s="5">
        <f t="shared" si="2"/>
        <v>4.739130435</v>
      </c>
      <c r="H141" s="3">
        <v>141.0</v>
      </c>
      <c r="I141" s="17"/>
    </row>
    <row r="142">
      <c r="A142" s="3">
        <v>5.0</v>
      </c>
      <c r="B142" s="3">
        <v>15.0</v>
      </c>
      <c r="C142" s="3">
        <v>115.0</v>
      </c>
      <c r="D142" s="3">
        <v>22.0</v>
      </c>
      <c r="E142" s="3">
        <v>4.0</v>
      </c>
      <c r="F142" s="11">
        <f t="shared" si="1"/>
        <v>0.1304347826</v>
      </c>
      <c r="G142" s="5">
        <f t="shared" si="2"/>
        <v>4.869565217</v>
      </c>
      <c r="H142" s="3">
        <v>142.0</v>
      </c>
      <c r="I142" s="17"/>
    </row>
    <row r="143">
      <c r="A143" s="3">
        <v>5.0</v>
      </c>
      <c r="B143" s="3">
        <v>6.0</v>
      </c>
      <c r="C143" s="3">
        <v>138.0</v>
      </c>
      <c r="D143" s="3">
        <v>22.0</v>
      </c>
      <c r="E143" s="3">
        <v>5.0</v>
      </c>
      <c r="F143" s="11">
        <f t="shared" si="1"/>
        <v>0.04347826087</v>
      </c>
      <c r="G143" s="5">
        <f t="shared" si="2"/>
        <v>4.956521739</v>
      </c>
      <c r="H143" s="3">
        <v>143.0</v>
      </c>
      <c r="I143" s="17"/>
    </row>
    <row r="144">
      <c r="A144" s="3">
        <v>5.0</v>
      </c>
      <c r="B144" s="3">
        <v>20.0</v>
      </c>
      <c r="C144" s="3">
        <v>48.0</v>
      </c>
      <c r="D144" s="3">
        <v>23.0</v>
      </c>
      <c r="E144" s="3">
        <v>1.0</v>
      </c>
      <c r="F144" s="11">
        <f t="shared" si="1"/>
        <v>0.4166666667</v>
      </c>
      <c r="G144" s="5">
        <f t="shared" si="2"/>
        <v>4.583333333</v>
      </c>
      <c r="H144" s="3">
        <v>144.0</v>
      </c>
      <c r="I144" s="17"/>
    </row>
    <row r="145">
      <c r="A145" s="3">
        <v>5.0</v>
      </c>
      <c r="B145" s="3">
        <v>26.0</v>
      </c>
      <c r="C145" s="3">
        <v>72.0</v>
      </c>
      <c r="D145" s="3">
        <v>23.0</v>
      </c>
      <c r="E145" s="3">
        <v>2.0</v>
      </c>
      <c r="F145" s="11">
        <f t="shared" si="1"/>
        <v>0.3611111111</v>
      </c>
      <c r="G145" s="5">
        <f t="shared" si="2"/>
        <v>4.638888889</v>
      </c>
      <c r="H145" s="3">
        <v>145.0</v>
      </c>
      <c r="I145" s="17"/>
    </row>
    <row r="146">
      <c r="A146" s="3">
        <v>5.0</v>
      </c>
      <c r="B146" s="3">
        <v>20.0</v>
      </c>
      <c r="C146" s="3">
        <v>96.0</v>
      </c>
      <c r="D146" s="3">
        <v>23.0</v>
      </c>
      <c r="E146" s="3">
        <v>3.0</v>
      </c>
      <c r="F146" s="11">
        <f t="shared" si="1"/>
        <v>0.2083333333</v>
      </c>
      <c r="G146" s="5">
        <f t="shared" si="2"/>
        <v>4.791666667</v>
      </c>
      <c r="H146" s="3">
        <v>146.0</v>
      </c>
      <c r="I146" s="17"/>
    </row>
    <row r="147">
      <c r="A147" s="3">
        <v>5.0</v>
      </c>
      <c r="B147" s="3">
        <v>12.0</v>
      </c>
      <c r="C147" s="3">
        <v>120.0</v>
      </c>
      <c r="D147" s="3">
        <v>23.0</v>
      </c>
      <c r="E147" s="3">
        <v>4.0</v>
      </c>
      <c r="F147" s="11">
        <f t="shared" si="1"/>
        <v>0.1</v>
      </c>
      <c r="G147" s="5">
        <f t="shared" si="2"/>
        <v>4.9</v>
      </c>
      <c r="H147" s="3">
        <v>147.0</v>
      </c>
      <c r="I147" s="17"/>
    </row>
    <row r="148">
      <c r="A148" s="3">
        <v>5.0</v>
      </c>
      <c r="B148" s="3">
        <v>18.0</v>
      </c>
      <c r="C148" s="3">
        <v>50.0</v>
      </c>
      <c r="D148" s="3">
        <v>24.0</v>
      </c>
      <c r="E148" s="3">
        <v>1.0</v>
      </c>
      <c r="F148" s="11">
        <f t="shared" si="1"/>
        <v>0.36</v>
      </c>
      <c r="G148" s="5">
        <f t="shared" si="2"/>
        <v>4.64</v>
      </c>
      <c r="H148" s="3">
        <v>148.0</v>
      </c>
      <c r="I148" s="17"/>
    </row>
    <row r="149">
      <c r="A149" s="3">
        <v>5.0</v>
      </c>
      <c r="B149" s="3">
        <v>23.0</v>
      </c>
      <c r="C149" s="3">
        <v>75.0</v>
      </c>
      <c r="D149" s="3">
        <v>24.0</v>
      </c>
      <c r="E149" s="3">
        <v>2.0</v>
      </c>
      <c r="F149" s="11">
        <f t="shared" si="1"/>
        <v>0.3066666667</v>
      </c>
      <c r="G149" s="5">
        <f t="shared" si="2"/>
        <v>4.693333333</v>
      </c>
      <c r="H149" s="3">
        <v>149.0</v>
      </c>
      <c r="I149" s="17"/>
    </row>
    <row r="150">
      <c r="A150" s="3">
        <v>5.0</v>
      </c>
      <c r="B150" s="3">
        <v>16.0</v>
      </c>
      <c r="C150" s="3">
        <v>100.0</v>
      </c>
      <c r="D150" s="3">
        <v>24.0</v>
      </c>
      <c r="E150" s="3">
        <v>3.0</v>
      </c>
      <c r="F150" s="11">
        <f t="shared" si="1"/>
        <v>0.16</v>
      </c>
      <c r="G150" s="5">
        <f t="shared" si="2"/>
        <v>4.84</v>
      </c>
      <c r="H150" s="3">
        <v>150.0</v>
      </c>
      <c r="I150" s="17"/>
    </row>
    <row r="151">
      <c r="A151" s="3">
        <v>5.0</v>
      </c>
      <c r="B151" s="3">
        <v>5.0</v>
      </c>
      <c r="C151" s="3">
        <v>125.0</v>
      </c>
      <c r="D151" s="3">
        <v>24.0</v>
      </c>
      <c r="E151" s="3">
        <v>4.0</v>
      </c>
      <c r="F151" s="11">
        <f t="shared" si="1"/>
        <v>0.04</v>
      </c>
      <c r="G151" s="5">
        <f t="shared" si="2"/>
        <v>4.96</v>
      </c>
      <c r="H151" s="3">
        <v>151.0</v>
      </c>
      <c r="I151" s="17"/>
    </row>
    <row r="152">
      <c r="A152" s="3">
        <v>5.0</v>
      </c>
      <c r="B152" s="3">
        <v>16.0</v>
      </c>
      <c r="C152" s="3">
        <v>52.0</v>
      </c>
      <c r="D152" s="3">
        <v>25.0</v>
      </c>
      <c r="E152" s="3">
        <v>1.0</v>
      </c>
      <c r="F152" s="11">
        <f t="shared" si="1"/>
        <v>0.3076923077</v>
      </c>
      <c r="G152" s="5">
        <f t="shared" si="2"/>
        <v>4.692307692</v>
      </c>
      <c r="H152" s="3">
        <v>152.0</v>
      </c>
      <c r="I152" s="17"/>
    </row>
    <row r="153">
      <c r="A153" s="3">
        <v>5.0</v>
      </c>
      <c r="B153" s="3">
        <v>20.0</v>
      </c>
      <c r="C153" s="3">
        <v>78.0</v>
      </c>
      <c r="D153" s="3">
        <v>25.0</v>
      </c>
      <c r="E153" s="3">
        <v>2.0</v>
      </c>
      <c r="F153" s="11">
        <f t="shared" si="1"/>
        <v>0.2564102564</v>
      </c>
      <c r="G153" s="5">
        <f t="shared" si="2"/>
        <v>4.743589744</v>
      </c>
      <c r="H153" s="3">
        <v>153.0</v>
      </c>
      <c r="I153" s="17"/>
    </row>
    <row r="154">
      <c r="A154" s="3">
        <v>5.0</v>
      </c>
      <c r="B154" s="3">
        <v>12.0</v>
      </c>
      <c r="C154" s="3">
        <v>104.0</v>
      </c>
      <c r="D154" s="3">
        <v>25.0</v>
      </c>
      <c r="E154" s="3">
        <v>3.0</v>
      </c>
      <c r="F154" s="11">
        <f t="shared" si="1"/>
        <v>0.1153846154</v>
      </c>
      <c r="G154" s="5">
        <f t="shared" si="2"/>
        <v>4.884615385</v>
      </c>
      <c r="H154" s="3">
        <v>154.0</v>
      </c>
      <c r="I154" s="17"/>
    </row>
    <row r="155">
      <c r="A155" s="3">
        <v>5.0</v>
      </c>
      <c r="B155" s="3">
        <v>14.0</v>
      </c>
      <c r="C155" s="3">
        <v>54.0</v>
      </c>
      <c r="D155" s="3">
        <v>26.0</v>
      </c>
      <c r="E155" s="3">
        <v>1.0</v>
      </c>
      <c r="F155" s="11">
        <f t="shared" si="1"/>
        <v>0.2592592593</v>
      </c>
      <c r="G155" s="5">
        <f t="shared" si="2"/>
        <v>4.740740741</v>
      </c>
      <c r="H155" s="3">
        <v>155.0</v>
      </c>
      <c r="I155" s="17"/>
    </row>
    <row r="156">
      <c r="A156" s="3">
        <v>5.0</v>
      </c>
      <c r="B156" s="3">
        <v>17.0</v>
      </c>
      <c r="C156" s="3">
        <v>81.0</v>
      </c>
      <c r="D156" s="3">
        <v>26.0</v>
      </c>
      <c r="E156" s="3">
        <v>2.0</v>
      </c>
      <c r="F156" s="11">
        <f t="shared" si="1"/>
        <v>0.2098765432</v>
      </c>
      <c r="G156" s="5">
        <f t="shared" si="2"/>
        <v>4.790123457</v>
      </c>
      <c r="H156" s="3">
        <v>156.0</v>
      </c>
      <c r="I156" s="17"/>
    </row>
    <row r="157">
      <c r="A157" s="3">
        <v>5.0</v>
      </c>
      <c r="B157" s="3">
        <v>10.0</v>
      </c>
      <c r="C157" s="3">
        <v>108.0</v>
      </c>
      <c r="D157" s="3">
        <v>26.0</v>
      </c>
      <c r="E157" s="3">
        <v>3.0</v>
      </c>
      <c r="F157" s="11">
        <f t="shared" si="1"/>
        <v>0.09259259259</v>
      </c>
      <c r="G157" s="5">
        <f t="shared" si="2"/>
        <v>4.907407407</v>
      </c>
      <c r="H157" s="3">
        <v>157.0</v>
      </c>
      <c r="I157" s="17"/>
    </row>
    <row r="158">
      <c r="A158" s="3">
        <v>5.0</v>
      </c>
      <c r="B158" s="3">
        <v>12.0</v>
      </c>
      <c r="C158" s="3">
        <v>56.0</v>
      </c>
      <c r="D158" s="3">
        <v>27.0</v>
      </c>
      <c r="E158" s="3">
        <v>1.0</v>
      </c>
      <c r="F158" s="11">
        <f t="shared" si="1"/>
        <v>0.2142857143</v>
      </c>
      <c r="G158" s="5">
        <f t="shared" si="2"/>
        <v>4.785714286</v>
      </c>
      <c r="H158" s="3">
        <v>158.0</v>
      </c>
      <c r="I158" s="17"/>
    </row>
    <row r="159">
      <c r="A159" s="3">
        <v>5.0</v>
      </c>
      <c r="B159" s="3">
        <v>14.0</v>
      </c>
      <c r="C159" s="3">
        <v>84.0</v>
      </c>
      <c r="D159" s="3">
        <v>27.0</v>
      </c>
      <c r="E159" s="3">
        <v>2.0</v>
      </c>
      <c r="F159" s="11">
        <f t="shared" si="1"/>
        <v>0.1666666667</v>
      </c>
      <c r="G159" s="5">
        <f t="shared" si="2"/>
        <v>4.833333333</v>
      </c>
      <c r="H159" s="3">
        <v>159.0</v>
      </c>
      <c r="I159" s="17"/>
    </row>
    <row r="160">
      <c r="A160" s="3">
        <v>5.0</v>
      </c>
      <c r="B160" s="3">
        <v>8.0</v>
      </c>
      <c r="C160" s="3">
        <v>112.0</v>
      </c>
      <c r="D160" s="3">
        <v>27.0</v>
      </c>
      <c r="E160" s="3">
        <v>3.0</v>
      </c>
      <c r="F160" s="11">
        <f t="shared" si="1"/>
        <v>0.07142857143</v>
      </c>
      <c r="G160" s="5">
        <f t="shared" si="2"/>
        <v>4.928571429</v>
      </c>
      <c r="H160" s="3">
        <v>160.0</v>
      </c>
      <c r="I160" s="17"/>
    </row>
    <row r="161">
      <c r="A161" s="3">
        <v>5.0</v>
      </c>
      <c r="B161" s="3">
        <v>10.0</v>
      </c>
      <c r="C161" s="3">
        <v>58.0</v>
      </c>
      <c r="D161" s="3">
        <v>28.0</v>
      </c>
      <c r="E161" s="3">
        <v>1.0</v>
      </c>
      <c r="F161" s="11">
        <f t="shared" si="1"/>
        <v>0.1724137931</v>
      </c>
      <c r="G161" s="5">
        <f t="shared" si="2"/>
        <v>4.827586207</v>
      </c>
      <c r="H161" s="3">
        <v>161.0</v>
      </c>
      <c r="I161" s="17"/>
    </row>
    <row r="162">
      <c r="A162" s="3">
        <v>5.0</v>
      </c>
      <c r="B162" s="3">
        <v>11.0</v>
      </c>
      <c r="C162" s="3">
        <v>87.0</v>
      </c>
      <c r="D162" s="3">
        <v>28.0</v>
      </c>
      <c r="E162" s="3">
        <v>2.0</v>
      </c>
      <c r="F162" s="11">
        <f t="shared" si="1"/>
        <v>0.1264367816</v>
      </c>
      <c r="G162" s="5">
        <f t="shared" si="2"/>
        <v>4.873563218</v>
      </c>
      <c r="H162" s="3">
        <v>162.0</v>
      </c>
      <c r="I162" s="17"/>
    </row>
    <row r="163">
      <c r="A163" s="3">
        <v>5.0</v>
      </c>
      <c r="B163" s="3">
        <v>8.0</v>
      </c>
      <c r="C163" s="3">
        <v>60.0</v>
      </c>
      <c r="D163" s="3">
        <v>29.0</v>
      </c>
      <c r="E163" s="3">
        <v>1.0</v>
      </c>
      <c r="F163" s="11">
        <f t="shared" si="1"/>
        <v>0.1333333333</v>
      </c>
      <c r="G163" s="5">
        <f t="shared" si="2"/>
        <v>4.866666667</v>
      </c>
      <c r="H163" s="3">
        <v>163.0</v>
      </c>
      <c r="I163" s="17"/>
    </row>
    <row r="164">
      <c r="A164" s="3">
        <v>5.0</v>
      </c>
      <c r="B164" s="3">
        <v>8.0</v>
      </c>
      <c r="C164" s="3">
        <v>90.0</v>
      </c>
      <c r="D164" s="3">
        <v>29.0</v>
      </c>
      <c r="E164" s="3">
        <v>2.0</v>
      </c>
      <c r="F164" s="11">
        <f t="shared" si="1"/>
        <v>0.08888888889</v>
      </c>
      <c r="G164" s="5">
        <f t="shared" si="2"/>
        <v>4.911111111</v>
      </c>
      <c r="H164" s="3">
        <v>164.0</v>
      </c>
      <c r="I164" s="17"/>
    </row>
    <row r="165">
      <c r="A165" s="3">
        <v>5.0</v>
      </c>
      <c r="B165" s="3">
        <v>6.0</v>
      </c>
      <c r="C165" s="3">
        <v>62.0</v>
      </c>
      <c r="D165" s="3">
        <v>30.0</v>
      </c>
      <c r="E165" s="3">
        <v>1.0</v>
      </c>
      <c r="F165" s="11">
        <f t="shared" si="1"/>
        <v>0.09677419355</v>
      </c>
      <c r="G165" s="5">
        <f t="shared" si="2"/>
        <v>4.903225806</v>
      </c>
      <c r="H165" s="3">
        <v>165.0</v>
      </c>
      <c r="I165" s="17"/>
    </row>
    <row r="166">
      <c r="A166" s="3">
        <v>5.0</v>
      </c>
      <c r="B166" s="3">
        <v>5.0</v>
      </c>
      <c r="C166" s="3">
        <v>93.0</v>
      </c>
      <c r="D166" s="3">
        <v>30.0</v>
      </c>
      <c r="E166" s="3">
        <v>2.0</v>
      </c>
      <c r="F166" s="11">
        <f t="shared" si="1"/>
        <v>0.05376344086</v>
      </c>
      <c r="G166" s="5">
        <f t="shared" si="2"/>
        <v>4.946236559</v>
      </c>
      <c r="H166" s="3">
        <v>166.0</v>
      </c>
      <c r="I166" s="17"/>
    </row>
    <row r="167">
      <c r="A167" s="3">
        <v>5.0</v>
      </c>
      <c r="B167" s="3">
        <v>4.0</v>
      </c>
      <c r="C167" s="3">
        <v>64.0</v>
      </c>
      <c r="D167" s="3">
        <v>31.0</v>
      </c>
      <c r="E167" s="3">
        <v>1.0</v>
      </c>
      <c r="F167" s="11">
        <f t="shared" si="1"/>
        <v>0.0625</v>
      </c>
      <c r="G167" s="5">
        <f t="shared" si="2"/>
        <v>4.9375</v>
      </c>
      <c r="H167" s="3">
        <v>167.0</v>
      </c>
      <c r="I167" s="17"/>
    </row>
    <row r="168">
      <c r="A168" s="3">
        <v>5.0</v>
      </c>
      <c r="B168" s="3">
        <v>2.0</v>
      </c>
      <c r="C168" s="3">
        <v>96.0</v>
      </c>
      <c r="D168" s="3">
        <v>31.0</v>
      </c>
      <c r="E168" s="3">
        <v>2.0</v>
      </c>
      <c r="F168" s="11">
        <f t="shared" si="1"/>
        <v>0.02083333333</v>
      </c>
      <c r="G168" s="5">
        <f t="shared" si="2"/>
        <v>4.979166667</v>
      </c>
      <c r="H168" s="3">
        <v>168.0</v>
      </c>
      <c r="I168" s="17"/>
    </row>
    <row r="169">
      <c r="A169" s="3">
        <v>5.0</v>
      </c>
      <c r="B169" s="3">
        <v>2.0</v>
      </c>
      <c r="C169" s="3">
        <v>66.0</v>
      </c>
      <c r="D169" s="3">
        <v>32.0</v>
      </c>
      <c r="E169" s="3">
        <v>1.0</v>
      </c>
      <c r="F169" s="11">
        <f t="shared" si="1"/>
        <v>0.0303030303</v>
      </c>
      <c r="G169" s="5">
        <f t="shared" si="2"/>
        <v>4.96969697</v>
      </c>
      <c r="H169" s="3">
        <v>169.0</v>
      </c>
      <c r="I169" s="17"/>
    </row>
    <row r="170">
      <c r="A170" s="3">
        <v>6.0</v>
      </c>
      <c r="B170" s="3">
        <v>152.0</v>
      </c>
      <c r="C170" s="3">
        <v>156.0</v>
      </c>
      <c r="D170" s="3">
        <v>12.0</v>
      </c>
      <c r="E170" s="3">
        <v>11.0</v>
      </c>
      <c r="F170" s="11">
        <f t="shared" si="1"/>
        <v>0.9743589744</v>
      </c>
      <c r="G170" s="5">
        <f t="shared" si="2"/>
        <v>5.025641026</v>
      </c>
      <c r="H170" s="3">
        <v>170.0</v>
      </c>
      <c r="I170" s="17"/>
    </row>
    <row r="171">
      <c r="A171" s="3">
        <v>6.0</v>
      </c>
      <c r="B171" s="3">
        <v>157.0</v>
      </c>
      <c r="C171" s="3">
        <v>169.0</v>
      </c>
      <c r="D171" s="3">
        <v>12.0</v>
      </c>
      <c r="E171" s="3">
        <v>12.0</v>
      </c>
      <c r="F171" s="11">
        <f t="shared" si="1"/>
        <v>0.9289940828</v>
      </c>
      <c r="G171" s="5">
        <f t="shared" si="2"/>
        <v>5.071005917</v>
      </c>
      <c r="H171" s="3">
        <v>171.0</v>
      </c>
      <c r="I171" s="17"/>
    </row>
    <row r="172">
      <c r="A172" s="3">
        <v>6.0</v>
      </c>
      <c r="B172" s="3">
        <v>150.0</v>
      </c>
      <c r="C172" s="3">
        <v>154.0</v>
      </c>
      <c r="D172" s="3">
        <v>13.0</v>
      </c>
      <c r="E172" s="3">
        <v>10.0</v>
      </c>
      <c r="F172" s="11">
        <f t="shared" si="1"/>
        <v>0.974025974</v>
      </c>
      <c r="G172" s="5">
        <f t="shared" si="2"/>
        <v>5.025974026</v>
      </c>
      <c r="H172" s="3">
        <v>172.0</v>
      </c>
      <c r="I172" s="17"/>
    </row>
    <row r="173">
      <c r="A173" s="3">
        <v>6.0</v>
      </c>
      <c r="B173" s="3">
        <v>156.0</v>
      </c>
      <c r="C173" s="3">
        <v>168.0</v>
      </c>
      <c r="D173" s="3">
        <v>13.0</v>
      </c>
      <c r="E173" s="3">
        <v>11.0</v>
      </c>
      <c r="F173" s="11">
        <f t="shared" si="1"/>
        <v>0.9285714286</v>
      </c>
      <c r="G173" s="5">
        <f t="shared" si="2"/>
        <v>5.071428571</v>
      </c>
      <c r="H173" s="3">
        <v>173.0</v>
      </c>
      <c r="I173" s="17"/>
    </row>
    <row r="174">
      <c r="A174" s="3">
        <v>6.0</v>
      </c>
      <c r="B174" s="3">
        <v>158.0</v>
      </c>
      <c r="C174" s="3">
        <v>182.0</v>
      </c>
      <c r="D174" s="3">
        <v>13.0</v>
      </c>
      <c r="E174" s="3">
        <v>12.0</v>
      </c>
      <c r="F174" s="11">
        <f t="shared" si="1"/>
        <v>0.8681318681</v>
      </c>
      <c r="G174" s="5">
        <f t="shared" si="2"/>
        <v>5.131868132</v>
      </c>
      <c r="H174" s="3">
        <v>174.0</v>
      </c>
      <c r="I174" s="17"/>
    </row>
    <row r="175">
      <c r="A175" s="3">
        <v>6.0</v>
      </c>
      <c r="B175" s="3">
        <v>156.0</v>
      </c>
      <c r="C175" s="3">
        <v>196.0</v>
      </c>
      <c r="D175" s="3">
        <v>13.0</v>
      </c>
      <c r="E175" s="3">
        <v>13.0</v>
      </c>
      <c r="F175" s="11">
        <f t="shared" si="1"/>
        <v>0.7959183673</v>
      </c>
      <c r="G175" s="5">
        <f t="shared" si="2"/>
        <v>5.204081633</v>
      </c>
      <c r="H175" s="3">
        <v>175.0</v>
      </c>
      <c r="I175" s="17"/>
    </row>
    <row r="176">
      <c r="A176" s="3">
        <v>6.0</v>
      </c>
      <c r="B176" s="3">
        <v>157.0</v>
      </c>
      <c r="C176" s="3">
        <v>165.0</v>
      </c>
      <c r="D176" s="3">
        <v>14.0</v>
      </c>
      <c r="E176" s="3">
        <v>10.0</v>
      </c>
      <c r="F176" s="11">
        <f t="shared" si="1"/>
        <v>0.9515151515</v>
      </c>
      <c r="G176" s="5">
        <f t="shared" si="2"/>
        <v>5.048484848</v>
      </c>
      <c r="H176" s="3">
        <v>176.0</v>
      </c>
      <c r="I176" s="17"/>
    </row>
    <row r="177">
      <c r="A177" s="3">
        <v>6.0</v>
      </c>
      <c r="B177" s="3">
        <v>160.0</v>
      </c>
      <c r="C177" s="3">
        <v>180.0</v>
      </c>
      <c r="D177" s="3">
        <v>14.0</v>
      </c>
      <c r="E177" s="3">
        <v>11.0</v>
      </c>
      <c r="F177" s="11">
        <f t="shared" si="1"/>
        <v>0.8888888889</v>
      </c>
      <c r="G177" s="5">
        <f t="shared" si="2"/>
        <v>5.111111111</v>
      </c>
      <c r="H177" s="3">
        <v>177.0</v>
      </c>
      <c r="I177" s="17"/>
    </row>
    <row r="178">
      <c r="A178" s="3">
        <v>6.0</v>
      </c>
      <c r="B178" s="3">
        <v>159.0</v>
      </c>
      <c r="C178" s="3">
        <v>195.0</v>
      </c>
      <c r="D178" s="3">
        <v>14.0</v>
      </c>
      <c r="E178" s="3">
        <v>12.0</v>
      </c>
      <c r="F178" s="11">
        <f t="shared" si="1"/>
        <v>0.8153846154</v>
      </c>
      <c r="G178" s="5">
        <f t="shared" si="2"/>
        <v>5.184615385</v>
      </c>
      <c r="H178" s="3">
        <v>178.0</v>
      </c>
      <c r="I178" s="17"/>
    </row>
    <row r="179">
      <c r="A179" s="3">
        <v>6.0</v>
      </c>
      <c r="B179" s="3">
        <v>154.0</v>
      </c>
      <c r="C179" s="3">
        <v>210.0</v>
      </c>
      <c r="D179" s="3">
        <v>14.0</v>
      </c>
      <c r="E179" s="3">
        <v>13.0</v>
      </c>
      <c r="F179" s="11">
        <f t="shared" si="1"/>
        <v>0.7333333333</v>
      </c>
      <c r="G179" s="5">
        <f t="shared" si="2"/>
        <v>5.266666667</v>
      </c>
      <c r="H179" s="3">
        <v>179.0</v>
      </c>
      <c r="I179" s="17"/>
    </row>
    <row r="180">
      <c r="A180" s="3">
        <v>6.0</v>
      </c>
      <c r="B180" s="3">
        <v>149.0</v>
      </c>
      <c r="C180" s="3">
        <v>225.0</v>
      </c>
      <c r="D180" s="3">
        <v>14.0</v>
      </c>
      <c r="E180" s="3">
        <v>14.0</v>
      </c>
      <c r="F180" s="11">
        <f t="shared" si="1"/>
        <v>0.6622222222</v>
      </c>
      <c r="G180" s="5">
        <f t="shared" si="2"/>
        <v>5.337777778</v>
      </c>
      <c r="H180" s="3">
        <v>180.0</v>
      </c>
      <c r="I180" s="17"/>
    </row>
    <row r="181">
      <c r="A181" s="3">
        <v>6.0</v>
      </c>
      <c r="B181" s="3">
        <v>156.0</v>
      </c>
      <c r="C181" s="3">
        <v>160.0</v>
      </c>
      <c r="D181" s="3">
        <v>15.0</v>
      </c>
      <c r="E181" s="3">
        <v>9.0</v>
      </c>
      <c r="F181" s="11">
        <f t="shared" si="1"/>
        <v>0.975</v>
      </c>
      <c r="G181" s="5">
        <f t="shared" si="2"/>
        <v>5.025</v>
      </c>
      <c r="H181" s="3">
        <v>181.0</v>
      </c>
      <c r="I181" s="17"/>
    </row>
    <row r="182">
      <c r="A182" s="3">
        <v>6.0</v>
      </c>
      <c r="B182" s="3">
        <v>160.0</v>
      </c>
      <c r="C182" s="3">
        <v>176.0</v>
      </c>
      <c r="D182" s="3">
        <v>15.0</v>
      </c>
      <c r="E182" s="3">
        <v>10.0</v>
      </c>
      <c r="F182" s="11">
        <f t="shared" si="1"/>
        <v>0.9090909091</v>
      </c>
      <c r="G182" s="5">
        <f t="shared" si="2"/>
        <v>5.090909091</v>
      </c>
      <c r="H182" s="3">
        <v>182.0</v>
      </c>
      <c r="I182" s="17"/>
    </row>
    <row r="183">
      <c r="A183" s="3">
        <v>6.0</v>
      </c>
      <c r="B183" s="3">
        <v>160.0</v>
      </c>
      <c r="C183" s="3">
        <v>192.0</v>
      </c>
      <c r="D183" s="3">
        <v>15.0</v>
      </c>
      <c r="E183" s="3">
        <v>11.0</v>
      </c>
      <c r="F183" s="11">
        <f t="shared" si="1"/>
        <v>0.8333333333</v>
      </c>
      <c r="G183" s="5">
        <f t="shared" si="2"/>
        <v>5.166666667</v>
      </c>
      <c r="H183" s="3">
        <v>183.0</v>
      </c>
      <c r="I183" s="17"/>
    </row>
    <row r="184">
      <c r="A184" s="3">
        <v>6.0</v>
      </c>
      <c r="B184" s="3">
        <v>156.0</v>
      </c>
      <c r="C184" s="3">
        <v>208.0</v>
      </c>
      <c r="D184" s="3">
        <v>15.0</v>
      </c>
      <c r="E184" s="3">
        <v>12.0</v>
      </c>
      <c r="F184" s="11">
        <f t="shared" si="1"/>
        <v>0.75</v>
      </c>
      <c r="G184" s="5">
        <f t="shared" si="2"/>
        <v>5.25</v>
      </c>
      <c r="H184" s="3">
        <v>184.0</v>
      </c>
      <c r="I184" s="17"/>
    </row>
    <row r="185">
      <c r="A185" s="3">
        <v>6.0</v>
      </c>
      <c r="B185" s="3">
        <v>148.0</v>
      </c>
      <c r="C185" s="3">
        <v>224.0</v>
      </c>
      <c r="D185" s="3">
        <v>15.0</v>
      </c>
      <c r="E185" s="3">
        <v>13.0</v>
      </c>
      <c r="F185" s="11">
        <f t="shared" si="1"/>
        <v>0.6607142857</v>
      </c>
      <c r="G185" s="5">
        <f t="shared" si="2"/>
        <v>5.339285714</v>
      </c>
      <c r="H185" s="3">
        <v>185.0</v>
      </c>
      <c r="I185" s="17"/>
    </row>
    <row r="186">
      <c r="A186" s="3">
        <v>6.0</v>
      </c>
      <c r="B186" s="3">
        <v>140.0</v>
      </c>
      <c r="C186" s="3">
        <v>240.0</v>
      </c>
      <c r="D186" s="3">
        <v>15.0</v>
      </c>
      <c r="E186" s="3">
        <v>14.0</v>
      </c>
      <c r="F186" s="11">
        <f t="shared" si="1"/>
        <v>0.5833333333</v>
      </c>
      <c r="G186" s="5">
        <f t="shared" si="2"/>
        <v>5.416666667</v>
      </c>
      <c r="H186" s="3">
        <v>186.0</v>
      </c>
      <c r="I186" s="17"/>
    </row>
    <row r="187">
      <c r="A187" s="3">
        <v>6.0</v>
      </c>
      <c r="B187" s="3">
        <v>128.0</v>
      </c>
      <c r="C187" s="3">
        <v>256.0</v>
      </c>
      <c r="D187" s="3">
        <v>15.0</v>
      </c>
      <c r="E187" s="3">
        <v>15.0</v>
      </c>
      <c r="F187" s="11">
        <f t="shared" si="1"/>
        <v>0.5</v>
      </c>
      <c r="G187" s="5">
        <f t="shared" si="2"/>
        <v>5.5</v>
      </c>
      <c r="H187" s="3">
        <v>187.0</v>
      </c>
      <c r="I187" s="17"/>
    </row>
    <row r="188">
      <c r="A188" s="3">
        <v>6.0</v>
      </c>
      <c r="B188" s="3">
        <v>149.0</v>
      </c>
      <c r="C188" s="3">
        <v>153.0</v>
      </c>
      <c r="D188" s="3">
        <v>16.0</v>
      </c>
      <c r="E188" s="3">
        <v>8.0</v>
      </c>
      <c r="F188" s="11">
        <f t="shared" si="1"/>
        <v>0.9738562092</v>
      </c>
      <c r="G188" s="5">
        <f t="shared" si="2"/>
        <v>5.026143791</v>
      </c>
      <c r="H188" s="3">
        <v>188.0</v>
      </c>
      <c r="I188" s="17"/>
    </row>
    <row r="189">
      <c r="A189" s="3">
        <v>6.0</v>
      </c>
      <c r="B189" s="3">
        <v>158.0</v>
      </c>
      <c r="C189" s="3">
        <v>170.0</v>
      </c>
      <c r="D189" s="3">
        <v>16.0</v>
      </c>
      <c r="E189" s="3">
        <v>9.0</v>
      </c>
      <c r="F189" s="11">
        <f t="shared" si="1"/>
        <v>0.9294117647</v>
      </c>
      <c r="G189" s="5">
        <f t="shared" si="2"/>
        <v>5.070588235</v>
      </c>
      <c r="H189" s="3">
        <v>189.0</v>
      </c>
      <c r="I189" s="17"/>
    </row>
    <row r="190">
      <c r="A190" s="3">
        <v>6.0</v>
      </c>
      <c r="B190" s="3">
        <v>159.0</v>
      </c>
      <c r="C190" s="3">
        <v>187.0</v>
      </c>
      <c r="D190" s="3">
        <v>16.0</v>
      </c>
      <c r="E190" s="3">
        <v>10.0</v>
      </c>
      <c r="F190" s="11">
        <f t="shared" si="1"/>
        <v>0.8502673797</v>
      </c>
      <c r="G190" s="5">
        <f t="shared" si="2"/>
        <v>5.14973262</v>
      </c>
      <c r="H190" s="3">
        <v>190.0</v>
      </c>
      <c r="I190" s="17"/>
    </row>
    <row r="191">
      <c r="A191" s="3">
        <v>6.0</v>
      </c>
      <c r="B191" s="3">
        <v>156.0</v>
      </c>
      <c r="C191" s="3">
        <v>204.0</v>
      </c>
      <c r="D191" s="3">
        <v>16.0</v>
      </c>
      <c r="E191" s="3">
        <v>11.0</v>
      </c>
      <c r="F191" s="11">
        <f t="shared" si="1"/>
        <v>0.7647058824</v>
      </c>
      <c r="G191" s="5">
        <f t="shared" si="2"/>
        <v>5.235294118</v>
      </c>
      <c r="H191" s="3">
        <v>191.0</v>
      </c>
      <c r="I191" s="17"/>
    </row>
    <row r="192">
      <c r="A192" s="3">
        <v>6.0</v>
      </c>
      <c r="B192" s="3">
        <v>149.0</v>
      </c>
      <c r="C192" s="3">
        <v>221.0</v>
      </c>
      <c r="D192" s="3">
        <v>16.0</v>
      </c>
      <c r="E192" s="3">
        <v>12.0</v>
      </c>
      <c r="F192" s="11">
        <f t="shared" si="1"/>
        <v>0.6742081448</v>
      </c>
      <c r="G192" s="5">
        <f t="shared" si="2"/>
        <v>5.325791855</v>
      </c>
      <c r="H192" s="3">
        <v>192.0</v>
      </c>
      <c r="I192" s="17"/>
    </row>
    <row r="193">
      <c r="A193" s="3">
        <v>6.0</v>
      </c>
      <c r="B193" s="3">
        <v>138.0</v>
      </c>
      <c r="C193" s="3">
        <v>238.0</v>
      </c>
      <c r="D193" s="3">
        <v>16.0</v>
      </c>
      <c r="E193" s="3">
        <v>13.0</v>
      </c>
      <c r="F193" s="11">
        <f t="shared" si="1"/>
        <v>0.5798319328</v>
      </c>
      <c r="G193" s="5">
        <f t="shared" si="2"/>
        <v>5.420168067</v>
      </c>
      <c r="H193" s="3">
        <v>193.0</v>
      </c>
      <c r="I193" s="17"/>
    </row>
    <row r="194">
      <c r="A194" s="3">
        <v>6.0</v>
      </c>
      <c r="B194" s="3">
        <v>127.0</v>
      </c>
      <c r="C194" s="3">
        <v>255.0</v>
      </c>
      <c r="D194" s="3">
        <v>16.0</v>
      </c>
      <c r="E194" s="3">
        <v>14.0</v>
      </c>
      <c r="F194" s="11">
        <f t="shared" si="1"/>
        <v>0.4980392157</v>
      </c>
      <c r="G194" s="5">
        <f t="shared" si="2"/>
        <v>5.501960784</v>
      </c>
      <c r="H194" s="3">
        <v>194.0</v>
      </c>
      <c r="I194" s="17"/>
    </row>
    <row r="195">
      <c r="A195" s="3">
        <v>6.0</v>
      </c>
      <c r="B195" s="3">
        <v>112.0</v>
      </c>
      <c r="C195" s="3">
        <v>272.0</v>
      </c>
      <c r="D195" s="3">
        <v>16.0</v>
      </c>
      <c r="E195" s="3">
        <v>15.0</v>
      </c>
      <c r="F195" s="11">
        <f t="shared" si="1"/>
        <v>0.4117647059</v>
      </c>
      <c r="G195" s="5">
        <f t="shared" si="2"/>
        <v>5.588235294</v>
      </c>
      <c r="H195" s="3">
        <v>195.0</v>
      </c>
      <c r="I195" s="17"/>
    </row>
    <row r="196">
      <c r="A196" s="3">
        <v>6.0</v>
      </c>
      <c r="B196" s="3">
        <v>97.0</v>
      </c>
      <c r="C196" s="3">
        <v>289.0</v>
      </c>
      <c r="D196" s="3">
        <v>16.0</v>
      </c>
      <c r="E196" s="3">
        <v>16.0</v>
      </c>
      <c r="F196" s="11">
        <f t="shared" si="1"/>
        <v>0.3356401384</v>
      </c>
      <c r="G196" s="5">
        <f t="shared" si="2"/>
        <v>5.664359862</v>
      </c>
      <c r="H196" s="3">
        <v>196.0</v>
      </c>
      <c r="I196" s="17"/>
    </row>
    <row r="197">
      <c r="A197" s="3">
        <v>6.0</v>
      </c>
      <c r="B197" s="3">
        <v>154.0</v>
      </c>
      <c r="C197" s="3">
        <v>162.0</v>
      </c>
      <c r="D197" s="3">
        <v>17.0</v>
      </c>
      <c r="E197" s="3">
        <v>8.0</v>
      </c>
      <c r="F197" s="11">
        <f t="shared" si="1"/>
        <v>0.950617284</v>
      </c>
      <c r="G197" s="5">
        <f t="shared" si="2"/>
        <v>5.049382716</v>
      </c>
      <c r="H197" s="3">
        <v>197.0</v>
      </c>
      <c r="I197" s="17"/>
    </row>
    <row r="198">
      <c r="A198" s="3">
        <v>6.0</v>
      </c>
      <c r="B198" s="3">
        <v>160.0</v>
      </c>
      <c r="C198" s="3">
        <v>180.0</v>
      </c>
      <c r="D198" s="3">
        <v>17.0</v>
      </c>
      <c r="E198" s="3">
        <v>9.0</v>
      </c>
      <c r="F198" s="11">
        <f t="shared" si="1"/>
        <v>0.8888888889</v>
      </c>
      <c r="G198" s="5">
        <f t="shared" si="2"/>
        <v>5.111111111</v>
      </c>
      <c r="H198" s="3">
        <v>198.0</v>
      </c>
      <c r="I198" s="17"/>
    </row>
    <row r="199">
      <c r="A199" s="3">
        <v>6.0</v>
      </c>
      <c r="B199" s="3">
        <v>158.0</v>
      </c>
      <c r="C199" s="3">
        <v>198.0</v>
      </c>
      <c r="D199" s="3">
        <v>17.0</v>
      </c>
      <c r="E199" s="3">
        <v>10.0</v>
      </c>
      <c r="F199" s="11">
        <f t="shared" si="1"/>
        <v>0.797979798</v>
      </c>
      <c r="G199" s="5">
        <f t="shared" si="2"/>
        <v>5.202020202</v>
      </c>
      <c r="H199" s="3">
        <v>199.0</v>
      </c>
      <c r="I199" s="17"/>
    </row>
    <row r="200">
      <c r="A200" s="3">
        <v>6.0</v>
      </c>
      <c r="B200" s="3">
        <v>152.0</v>
      </c>
      <c r="C200" s="3">
        <v>216.0</v>
      </c>
      <c r="D200" s="3">
        <v>17.0</v>
      </c>
      <c r="E200" s="3">
        <v>11.0</v>
      </c>
      <c r="F200" s="11">
        <f t="shared" si="1"/>
        <v>0.7037037037</v>
      </c>
      <c r="G200" s="5">
        <f t="shared" si="2"/>
        <v>5.296296296</v>
      </c>
      <c r="H200" s="3">
        <v>200.0</v>
      </c>
      <c r="I200" s="17"/>
    </row>
    <row r="201">
      <c r="A201" s="3">
        <v>6.0</v>
      </c>
      <c r="B201" s="3">
        <v>142.0</v>
      </c>
      <c r="C201" s="3">
        <v>234.0</v>
      </c>
      <c r="D201" s="3">
        <v>17.0</v>
      </c>
      <c r="E201" s="3">
        <v>12.0</v>
      </c>
      <c r="F201" s="11">
        <f t="shared" si="1"/>
        <v>0.6068376068</v>
      </c>
      <c r="G201" s="5">
        <f t="shared" si="2"/>
        <v>5.393162393</v>
      </c>
      <c r="H201" s="3">
        <v>201.0</v>
      </c>
      <c r="I201" s="17"/>
    </row>
    <row r="202">
      <c r="A202" s="3">
        <v>6.0</v>
      </c>
      <c r="B202" s="3">
        <v>128.0</v>
      </c>
      <c r="C202" s="3">
        <v>252.0</v>
      </c>
      <c r="D202" s="3">
        <v>17.0</v>
      </c>
      <c r="E202" s="3">
        <v>13.0</v>
      </c>
      <c r="F202" s="11">
        <f t="shared" si="1"/>
        <v>0.5079365079</v>
      </c>
      <c r="G202" s="5">
        <f t="shared" si="2"/>
        <v>5.492063492</v>
      </c>
      <c r="H202" s="3">
        <v>202.0</v>
      </c>
      <c r="I202" s="17"/>
    </row>
    <row r="203">
      <c r="A203" s="3">
        <v>6.0</v>
      </c>
      <c r="B203" s="3">
        <v>114.0</v>
      </c>
      <c r="C203" s="3">
        <v>270.0</v>
      </c>
      <c r="D203" s="3">
        <v>17.0</v>
      </c>
      <c r="E203" s="3">
        <v>14.0</v>
      </c>
      <c r="F203" s="11">
        <f t="shared" si="1"/>
        <v>0.4222222222</v>
      </c>
      <c r="G203" s="5">
        <f t="shared" si="2"/>
        <v>5.577777778</v>
      </c>
      <c r="H203" s="3">
        <v>203.0</v>
      </c>
      <c r="I203" s="17"/>
    </row>
    <row r="204">
      <c r="A204" s="3">
        <v>6.0</v>
      </c>
      <c r="B204" s="3">
        <v>96.0</v>
      </c>
      <c r="C204" s="3">
        <v>288.0</v>
      </c>
      <c r="D204" s="3">
        <v>17.0</v>
      </c>
      <c r="E204" s="3">
        <v>15.0</v>
      </c>
      <c r="F204" s="11">
        <f t="shared" si="1"/>
        <v>0.3333333333</v>
      </c>
      <c r="G204" s="5">
        <f t="shared" si="2"/>
        <v>5.666666667</v>
      </c>
      <c r="H204" s="3">
        <v>204.0</v>
      </c>
      <c r="I204" s="17"/>
    </row>
    <row r="205">
      <c r="A205" s="3">
        <v>6.0</v>
      </c>
      <c r="B205" s="3">
        <v>82.0</v>
      </c>
      <c r="C205" s="3">
        <v>306.0</v>
      </c>
      <c r="D205" s="3">
        <v>17.0</v>
      </c>
      <c r="E205" s="3">
        <v>16.0</v>
      </c>
      <c r="F205" s="11">
        <f t="shared" si="1"/>
        <v>0.2679738562</v>
      </c>
      <c r="G205" s="5">
        <f t="shared" si="2"/>
        <v>5.732026144</v>
      </c>
      <c r="H205" s="3">
        <v>205.0</v>
      </c>
      <c r="I205" s="17"/>
    </row>
    <row r="206">
      <c r="A206" s="3">
        <v>6.0</v>
      </c>
      <c r="B206" s="3">
        <v>68.0</v>
      </c>
      <c r="C206" s="3">
        <v>324.0</v>
      </c>
      <c r="D206" s="3">
        <v>17.0</v>
      </c>
      <c r="E206" s="3">
        <v>17.0</v>
      </c>
      <c r="F206" s="11">
        <f t="shared" si="1"/>
        <v>0.2098765432</v>
      </c>
      <c r="G206" s="5">
        <f t="shared" si="2"/>
        <v>5.790123457</v>
      </c>
      <c r="H206" s="3">
        <v>206.0</v>
      </c>
      <c r="I206" s="17"/>
    </row>
    <row r="207">
      <c r="A207" s="3">
        <v>6.0</v>
      </c>
      <c r="B207" s="3">
        <v>148.0</v>
      </c>
      <c r="C207" s="3">
        <v>152.0</v>
      </c>
      <c r="D207" s="3">
        <v>18.0</v>
      </c>
      <c r="E207" s="3">
        <v>7.0</v>
      </c>
      <c r="F207" s="11">
        <f t="shared" si="1"/>
        <v>0.9736842105</v>
      </c>
      <c r="G207" s="5">
        <f t="shared" si="2"/>
        <v>5.026315789</v>
      </c>
      <c r="H207" s="3">
        <v>207.0</v>
      </c>
      <c r="I207" s="17"/>
    </row>
    <row r="208">
      <c r="A208" s="3">
        <v>6.0</v>
      </c>
      <c r="B208" s="3">
        <v>155.0</v>
      </c>
      <c r="C208" s="3">
        <v>171.0</v>
      </c>
      <c r="D208" s="3">
        <v>18.0</v>
      </c>
      <c r="E208" s="3">
        <v>8.0</v>
      </c>
      <c r="F208" s="11">
        <f t="shared" si="1"/>
        <v>0.9064327485</v>
      </c>
      <c r="G208" s="5">
        <f t="shared" si="2"/>
        <v>5.093567251</v>
      </c>
      <c r="H208" s="3">
        <v>208.0</v>
      </c>
      <c r="I208" s="17"/>
    </row>
    <row r="209">
      <c r="A209" s="3">
        <v>6.0</v>
      </c>
      <c r="B209" s="3">
        <v>158.0</v>
      </c>
      <c r="C209" s="3">
        <v>190.0</v>
      </c>
      <c r="D209" s="3">
        <v>18.0</v>
      </c>
      <c r="E209" s="3">
        <v>9.0</v>
      </c>
      <c r="F209" s="11">
        <f t="shared" si="1"/>
        <v>0.8315789474</v>
      </c>
      <c r="G209" s="5">
        <f t="shared" si="2"/>
        <v>5.168421053</v>
      </c>
      <c r="H209" s="3">
        <v>209.0</v>
      </c>
      <c r="I209" s="17"/>
    </row>
    <row r="210">
      <c r="A210" s="3">
        <v>6.0</v>
      </c>
      <c r="B210" s="3">
        <v>153.0</v>
      </c>
      <c r="C210" s="3">
        <v>209.0</v>
      </c>
      <c r="D210" s="3">
        <v>18.0</v>
      </c>
      <c r="E210" s="3">
        <v>10.0</v>
      </c>
      <c r="F210" s="11">
        <f t="shared" si="1"/>
        <v>0.7320574163</v>
      </c>
      <c r="G210" s="5">
        <f t="shared" si="2"/>
        <v>5.267942584</v>
      </c>
      <c r="H210" s="3">
        <v>210.0</v>
      </c>
      <c r="I210" s="17"/>
    </row>
    <row r="211">
      <c r="A211" s="3">
        <v>6.0</v>
      </c>
      <c r="B211" s="3">
        <v>144.0</v>
      </c>
      <c r="C211" s="3">
        <v>228.0</v>
      </c>
      <c r="D211" s="3">
        <v>18.0</v>
      </c>
      <c r="E211" s="3">
        <v>11.0</v>
      </c>
      <c r="F211" s="11">
        <f t="shared" si="1"/>
        <v>0.6315789474</v>
      </c>
      <c r="G211" s="5">
        <f t="shared" si="2"/>
        <v>5.368421053</v>
      </c>
      <c r="H211" s="3">
        <v>211.0</v>
      </c>
      <c r="I211" s="17"/>
    </row>
    <row r="212">
      <c r="A212" s="3">
        <v>6.0</v>
      </c>
      <c r="B212" s="3">
        <v>131.0</v>
      </c>
      <c r="C212" s="3">
        <v>247.0</v>
      </c>
      <c r="D212" s="3">
        <v>18.0</v>
      </c>
      <c r="E212" s="3">
        <v>12.0</v>
      </c>
      <c r="F212" s="11">
        <f t="shared" si="1"/>
        <v>0.5303643725</v>
      </c>
      <c r="G212" s="5">
        <f t="shared" si="2"/>
        <v>5.469635628</v>
      </c>
      <c r="H212" s="3">
        <v>212.0</v>
      </c>
      <c r="I212" s="17"/>
    </row>
    <row r="213">
      <c r="A213" s="3">
        <v>6.0</v>
      </c>
      <c r="B213" s="3">
        <v>114.0</v>
      </c>
      <c r="C213" s="3">
        <v>266.0</v>
      </c>
      <c r="D213" s="3">
        <v>18.0</v>
      </c>
      <c r="E213" s="3">
        <v>13.0</v>
      </c>
      <c r="F213" s="11">
        <f t="shared" si="1"/>
        <v>0.4285714286</v>
      </c>
      <c r="G213" s="5">
        <f t="shared" si="2"/>
        <v>5.571428571</v>
      </c>
      <c r="H213" s="3">
        <v>213.0</v>
      </c>
      <c r="I213" s="17"/>
    </row>
    <row r="214">
      <c r="A214" s="3">
        <v>6.0</v>
      </c>
      <c r="B214" s="3">
        <v>99.0</v>
      </c>
      <c r="C214" s="3">
        <v>285.0</v>
      </c>
      <c r="D214" s="3">
        <v>18.0</v>
      </c>
      <c r="E214" s="3">
        <v>14.0</v>
      </c>
      <c r="F214" s="11">
        <f t="shared" si="1"/>
        <v>0.3473684211</v>
      </c>
      <c r="G214" s="5">
        <f t="shared" si="2"/>
        <v>5.652631579</v>
      </c>
      <c r="H214" s="3">
        <v>214.0</v>
      </c>
      <c r="I214" s="17"/>
    </row>
    <row r="215">
      <c r="A215" s="3">
        <v>6.0</v>
      </c>
      <c r="B215" s="3">
        <v>82.0</v>
      </c>
      <c r="C215" s="3">
        <v>304.0</v>
      </c>
      <c r="D215" s="3">
        <v>18.0</v>
      </c>
      <c r="E215" s="3">
        <v>15.0</v>
      </c>
      <c r="F215" s="11">
        <f t="shared" si="1"/>
        <v>0.2697368421</v>
      </c>
      <c r="G215" s="5">
        <f t="shared" si="2"/>
        <v>5.730263158</v>
      </c>
      <c r="H215" s="3">
        <v>215.0</v>
      </c>
      <c r="I215" s="17"/>
    </row>
    <row r="216">
      <c r="A216" s="3">
        <v>6.0</v>
      </c>
      <c r="B216" s="3">
        <v>69.0</v>
      </c>
      <c r="C216" s="3">
        <v>323.0</v>
      </c>
      <c r="D216" s="3">
        <v>18.0</v>
      </c>
      <c r="E216" s="3">
        <v>16.0</v>
      </c>
      <c r="F216" s="11">
        <f t="shared" si="1"/>
        <v>0.213622291</v>
      </c>
      <c r="G216" s="5">
        <f t="shared" si="2"/>
        <v>5.786377709</v>
      </c>
      <c r="H216" s="3">
        <v>216.0</v>
      </c>
      <c r="I216" s="17"/>
    </row>
    <row r="217">
      <c r="A217" s="3">
        <v>6.0</v>
      </c>
      <c r="B217" s="3">
        <v>56.0</v>
      </c>
      <c r="C217" s="3">
        <v>342.0</v>
      </c>
      <c r="D217" s="3">
        <v>18.0</v>
      </c>
      <c r="E217" s="3">
        <v>17.0</v>
      </c>
      <c r="F217" s="11">
        <f t="shared" si="1"/>
        <v>0.1637426901</v>
      </c>
      <c r="G217" s="5">
        <f t="shared" si="2"/>
        <v>5.83625731</v>
      </c>
      <c r="H217" s="3">
        <v>217.0</v>
      </c>
      <c r="I217" s="17"/>
    </row>
    <row r="218">
      <c r="A218" s="3">
        <v>6.0</v>
      </c>
      <c r="B218" s="3">
        <v>45.0</v>
      </c>
      <c r="C218" s="3">
        <v>361.0</v>
      </c>
      <c r="D218" s="3">
        <v>18.0</v>
      </c>
      <c r="E218" s="3">
        <v>18.0</v>
      </c>
      <c r="F218" s="11">
        <f t="shared" si="1"/>
        <v>0.1246537396</v>
      </c>
      <c r="G218" s="5">
        <f t="shared" si="2"/>
        <v>5.87534626</v>
      </c>
      <c r="H218" s="3">
        <v>218.0</v>
      </c>
      <c r="I218" s="17"/>
    </row>
    <row r="219">
      <c r="A219" s="3">
        <v>6.0</v>
      </c>
      <c r="B219" s="3">
        <v>152.0</v>
      </c>
      <c r="C219" s="3">
        <v>160.0</v>
      </c>
      <c r="D219" s="3">
        <v>19.0</v>
      </c>
      <c r="E219" s="3">
        <v>7.0</v>
      </c>
      <c r="F219" s="11">
        <f t="shared" si="1"/>
        <v>0.95</v>
      </c>
      <c r="G219" s="5">
        <f t="shared" si="2"/>
        <v>5.05</v>
      </c>
      <c r="H219" s="3">
        <v>219.0</v>
      </c>
      <c r="I219" s="17"/>
    </row>
    <row r="220">
      <c r="A220" s="3">
        <v>6.0</v>
      </c>
      <c r="B220" s="3">
        <v>156.0</v>
      </c>
      <c r="C220" s="3">
        <v>180.0</v>
      </c>
      <c r="D220" s="3">
        <v>19.0</v>
      </c>
      <c r="E220" s="3">
        <v>8.0</v>
      </c>
      <c r="F220" s="11">
        <f t="shared" si="1"/>
        <v>0.8666666667</v>
      </c>
      <c r="G220" s="5">
        <f t="shared" si="2"/>
        <v>5.133333333</v>
      </c>
      <c r="H220" s="3">
        <v>220.0</v>
      </c>
      <c r="I220" s="17"/>
    </row>
    <row r="221">
      <c r="A221" s="3">
        <v>6.0</v>
      </c>
      <c r="B221" s="3">
        <v>156.0</v>
      </c>
      <c r="C221" s="3">
        <v>200.0</v>
      </c>
      <c r="D221" s="3">
        <v>19.0</v>
      </c>
      <c r="E221" s="3">
        <v>9.0</v>
      </c>
      <c r="F221" s="11">
        <f t="shared" si="1"/>
        <v>0.78</v>
      </c>
      <c r="G221" s="5">
        <f t="shared" si="2"/>
        <v>5.22</v>
      </c>
      <c r="H221" s="3">
        <v>221.0</v>
      </c>
      <c r="I221" s="17"/>
    </row>
    <row r="222">
      <c r="A222" s="3">
        <v>6.0</v>
      </c>
      <c r="B222" s="3">
        <v>148.0</v>
      </c>
      <c r="C222" s="3">
        <v>220.0</v>
      </c>
      <c r="D222" s="3">
        <v>19.0</v>
      </c>
      <c r="E222" s="3">
        <v>10.0</v>
      </c>
      <c r="F222" s="11">
        <f t="shared" si="1"/>
        <v>0.6727272727</v>
      </c>
      <c r="G222" s="5">
        <f t="shared" si="2"/>
        <v>5.327272727</v>
      </c>
      <c r="H222" s="3">
        <v>222.0</v>
      </c>
      <c r="I222" s="17"/>
    </row>
    <row r="223">
      <c r="A223" s="3">
        <v>6.0</v>
      </c>
      <c r="B223" s="3">
        <v>136.0</v>
      </c>
      <c r="C223" s="3">
        <v>240.0</v>
      </c>
      <c r="D223" s="3">
        <v>19.0</v>
      </c>
      <c r="E223" s="3">
        <v>11.0</v>
      </c>
      <c r="F223" s="11">
        <f t="shared" si="1"/>
        <v>0.5666666667</v>
      </c>
      <c r="G223" s="5">
        <f t="shared" si="2"/>
        <v>5.433333333</v>
      </c>
      <c r="H223" s="3">
        <v>223.0</v>
      </c>
      <c r="I223" s="17"/>
    </row>
    <row r="224">
      <c r="A224" s="3">
        <v>6.0</v>
      </c>
      <c r="B224" s="3">
        <v>120.0</v>
      </c>
      <c r="C224" s="3">
        <v>260.0</v>
      </c>
      <c r="D224" s="3">
        <v>19.0</v>
      </c>
      <c r="E224" s="3">
        <v>12.0</v>
      </c>
      <c r="F224" s="11">
        <f t="shared" si="1"/>
        <v>0.4615384615</v>
      </c>
      <c r="G224" s="5">
        <f t="shared" si="2"/>
        <v>5.538461538</v>
      </c>
      <c r="H224" s="3">
        <v>224.0</v>
      </c>
      <c r="I224" s="17"/>
    </row>
    <row r="225">
      <c r="A225" s="3">
        <v>6.0</v>
      </c>
      <c r="B225" s="3">
        <v>100.0</v>
      </c>
      <c r="C225" s="3">
        <v>280.0</v>
      </c>
      <c r="D225" s="3">
        <v>19.0</v>
      </c>
      <c r="E225" s="3">
        <v>13.0</v>
      </c>
      <c r="F225" s="11">
        <f t="shared" si="1"/>
        <v>0.3571428571</v>
      </c>
      <c r="G225" s="5">
        <f t="shared" si="2"/>
        <v>5.642857143</v>
      </c>
      <c r="H225" s="3">
        <v>225.0</v>
      </c>
      <c r="I225" s="17"/>
    </row>
    <row r="226">
      <c r="A226" s="3">
        <v>6.0</v>
      </c>
      <c r="B226" s="3">
        <v>84.0</v>
      </c>
      <c r="C226" s="3">
        <v>300.0</v>
      </c>
      <c r="D226" s="3">
        <v>19.0</v>
      </c>
      <c r="E226" s="3">
        <v>14.0</v>
      </c>
      <c r="F226" s="11">
        <f t="shared" si="1"/>
        <v>0.28</v>
      </c>
      <c r="G226" s="5">
        <f t="shared" si="2"/>
        <v>5.72</v>
      </c>
      <c r="H226" s="3">
        <v>226.0</v>
      </c>
      <c r="I226" s="17"/>
    </row>
    <row r="227">
      <c r="A227" s="3">
        <v>6.0</v>
      </c>
      <c r="B227" s="3">
        <v>68.0</v>
      </c>
      <c r="C227" s="3">
        <v>320.0</v>
      </c>
      <c r="D227" s="3">
        <v>19.0</v>
      </c>
      <c r="E227" s="3">
        <v>15.0</v>
      </c>
      <c r="F227" s="11">
        <f t="shared" si="1"/>
        <v>0.2125</v>
      </c>
      <c r="G227" s="5">
        <f t="shared" si="2"/>
        <v>5.7875</v>
      </c>
      <c r="H227" s="3">
        <v>227.0</v>
      </c>
      <c r="I227" s="17"/>
    </row>
    <row r="228">
      <c r="A228" s="3">
        <v>6.0</v>
      </c>
      <c r="B228" s="3">
        <v>56.0</v>
      </c>
      <c r="C228" s="3">
        <v>340.0</v>
      </c>
      <c r="D228" s="3">
        <v>19.0</v>
      </c>
      <c r="E228" s="3">
        <v>16.0</v>
      </c>
      <c r="F228" s="11">
        <f t="shared" si="1"/>
        <v>0.1647058824</v>
      </c>
      <c r="G228" s="5">
        <f t="shared" si="2"/>
        <v>5.835294118</v>
      </c>
      <c r="H228" s="3">
        <v>228.0</v>
      </c>
      <c r="I228" s="17"/>
    </row>
    <row r="229">
      <c r="A229" s="3">
        <v>6.0</v>
      </c>
      <c r="B229" s="3">
        <v>44.0</v>
      </c>
      <c r="C229" s="3">
        <v>360.0</v>
      </c>
      <c r="D229" s="3">
        <v>19.0</v>
      </c>
      <c r="E229" s="3">
        <v>17.0</v>
      </c>
      <c r="F229" s="11">
        <f t="shared" si="1"/>
        <v>0.1222222222</v>
      </c>
      <c r="G229" s="5">
        <f t="shared" si="2"/>
        <v>5.877777778</v>
      </c>
      <c r="H229" s="3">
        <v>229.0</v>
      </c>
      <c r="I229" s="17"/>
    </row>
    <row r="230">
      <c r="A230" s="3">
        <v>6.0</v>
      </c>
      <c r="B230" s="3">
        <v>34.0</v>
      </c>
      <c r="C230" s="3">
        <v>380.0</v>
      </c>
      <c r="D230" s="3">
        <v>19.0</v>
      </c>
      <c r="E230" s="3">
        <v>18.0</v>
      </c>
      <c r="F230" s="11">
        <f t="shared" si="1"/>
        <v>0.08947368421</v>
      </c>
      <c r="G230" s="5">
        <f t="shared" si="2"/>
        <v>5.910526316</v>
      </c>
      <c r="H230" s="3">
        <v>230.0</v>
      </c>
      <c r="I230" s="17"/>
    </row>
    <row r="231">
      <c r="A231" s="3">
        <v>6.0</v>
      </c>
      <c r="B231" s="3">
        <v>6.0</v>
      </c>
      <c r="C231" s="3">
        <v>400.0</v>
      </c>
      <c r="D231" s="3">
        <v>19.0</v>
      </c>
      <c r="E231" s="3">
        <v>19.0</v>
      </c>
      <c r="F231" s="11">
        <f t="shared" si="1"/>
        <v>0.015</v>
      </c>
      <c r="G231" s="5">
        <f t="shared" si="2"/>
        <v>5.985</v>
      </c>
      <c r="H231" s="3">
        <v>231.0</v>
      </c>
      <c r="I231" s="17"/>
    </row>
    <row r="232">
      <c r="A232" s="3">
        <v>6.0</v>
      </c>
      <c r="B232" s="3">
        <v>143.0</v>
      </c>
      <c r="C232" s="3">
        <v>147.0</v>
      </c>
      <c r="D232" s="3">
        <v>20.0</v>
      </c>
      <c r="E232" s="3">
        <v>6.0</v>
      </c>
      <c r="F232" s="11">
        <f t="shared" si="1"/>
        <v>0.9727891156</v>
      </c>
      <c r="G232" s="5">
        <f t="shared" si="2"/>
        <v>5.027210884</v>
      </c>
      <c r="H232" s="3">
        <v>232.0</v>
      </c>
      <c r="I232" s="17"/>
    </row>
    <row r="233">
      <c r="A233" s="3">
        <v>6.0</v>
      </c>
      <c r="B233" s="3">
        <v>152.0</v>
      </c>
      <c r="C233" s="3">
        <v>168.0</v>
      </c>
      <c r="D233" s="3">
        <v>20.0</v>
      </c>
      <c r="E233" s="3">
        <v>7.0</v>
      </c>
      <c r="F233" s="11">
        <f t="shared" si="1"/>
        <v>0.9047619048</v>
      </c>
      <c r="G233" s="5">
        <f t="shared" si="2"/>
        <v>5.095238095</v>
      </c>
      <c r="H233" s="3">
        <v>233.0</v>
      </c>
      <c r="I233" s="17"/>
    </row>
    <row r="234">
      <c r="A234" s="3">
        <v>6.0</v>
      </c>
      <c r="B234" s="3">
        <v>153.0</v>
      </c>
      <c r="C234" s="3">
        <v>189.0</v>
      </c>
      <c r="D234" s="3">
        <v>20.0</v>
      </c>
      <c r="E234" s="3">
        <v>8.0</v>
      </c>
      <c r="F234" s="11">
        <f t="shared" si="1"/>
        <v>0.8095238095</v>
      </c>
      <c r="G234" s="5">
        <f t="shared" si="2"/>
        <v>5.19047619</v>
      </c>
      <c r="H234" s="3">
        <v>234.0</v>
      </c>
      <c r="I234" s="17"/>
    </row>
    <row r="235">
      <c r="A235" s="3">
        <v>6.0</v>
      </c>
      <c r="B235" s="3">
        <v>150.0</v>
      </c>
      <c r="C235" s="3">
        <v>210.0</v>
      </c>
      <c r="D235" s="3">
        <v>20.0</v>
      </c>
      <c r="E235" s="3">
        <v>9.0</v>
      </c>
      <c r="F235" s="11">
        <f t="shared" si="1"/>
        <v>0.7142857143</v>
      </c>
      <c r="G235" s="5">
        <f t="shared" si="2"/>
        <v>5.285714286</v>
      </c>
      <c r="H235" s="3">
        <v>235.0</v>
      </c>
      <c r="I235" s="17"/>
    </row>
    <row r="236">
      <c r="A236" s="3">
        <v>6.0</v>
      </c>
      <c r="B236" s="3">
        <v>139.0</v>
      </c>
      <c r="C236" s="3">
        <v>231.0</v>
      </c>
      <c r="D236" s="3">
        <v>20.0</v>
      </c>
      <c r="E236" s="3">
        <v>10.0</v>
      </c>
      <c r="F236" s="11">
        <f t="shared" si="1"/>
        <v>0.6017316017</v>
      </c>
      <c r="G236" s="5">
        <f t="shared" si="2"/>
        <v>5.398268398</v>
      </c>
      <c r="H236" s="3">
        <v>236.0</v>
      </c>
      <c r="I236" s="17"/>
    </row>
    <row r="237">
      <c r="A237" s="3">
        <v>6.0</v>
      </c>
      <c r="B237" s="3">
        <v>124.0</v>
      </c>
      <c r="C237" s="3">
        <v>252.0</v>
      </c>
      <c r="D237" s="3">
        <v>20.0</v>
      </c>
      <c r="E237" s="3">
        <v>11.0</v>
      </c>
      <c r="F237" s="11">
        <f t="shared" si="1"/>
        <v>0.4920634921</v>
      </c>
      <c r="G237" s="5">
        <f t="shared" si="2"/>
        <v>5.507936508</v>
      </c>
      <c r="H237" s="3">
        <v>237.0</v>
      </c>
      <c r="I237" s="17"/>
    </row>
    <row r="238">
      <c r="A238" s="3">
        <v>6.0</v>
      </c>
      <c r="B238" s="3">
        <v>107.0</v>
      </c>
      <c r="C238" s="3">
        <v>273.0</v>
      </c>
      <c r="D238" s="3">
        <v>20.0</v>
      </c>
      <c r="E238" s="3">
        <v>12.0</v>
      </c>
      <c r="F238" s="11">
        <f t="shared" si="1"/>
        <v>0.3919413919</v>
      </c>
      <c r="G238" s="5">
        <f t="shared" si="2"/>
        <v>5.608058608</v>
      </c>
      <c r="H238" s="3">
        <v>238.0</v>
      </c>
      <c r="I238" s="17"/>
    </row>
    <row r="239">
      <c r="A239" s="3">
        <v>6.0</v>
      </c>
      <c r="B239" s="3">
        <v>88.0</v>
      </c>
      <c r="C239" s="3">
        <v>294.0</v>
      </c>
      <c r="D239" s="3">
        <v>20.0</v>
      </c>
      <c r="E239" s="3">
        <v>13.0</v>
      </c>
      <c r="F239" s="11">
        <f t="shared" si="1"/>
        <v>0.2993197279</v>
      </c>
      <c r="G239" s="5">
        <f t="shared" si="2"/>
        <v>5.700680272</v>
      </c>
      <c r="H239" s="3">
        <v>239.0</v>
      </c>
      <c r="I239" s="17"/>
    </row>
    <row r="240">
      <c r="A240" s="3">
        <v>6.0</v>
      </c>
      <c r="B240" s="3">
        <v>73.0</v>
      </c>
      <c r="C240" s="3">
        <v>315.0</v>
      </c>
      <c r="D240" s="3">
        <v>20.0</v>
      </c>
      <c r="E240" s="3">
        <v>14.0</v>
      </c>
      <c r="F240" s="11">
        <f t="shared" si="1"/>
        <v>0.2317460317</v>
      </c>
      <c r="G240" s="5">
        <f t="shared" si="2"/>
        <v>5.768253968</v>
      </c>
      <c r="H240" s="3">
        <v>240.0</v>
      </c>
      <c r="I240" s="17"/>
    </row>
    <row r="241">
      <c r="A241" s="3">
        <v>6.0</v>
      </c>
      <c r="B241" s="3">
        <v>58.0</v>
      </c>
      <c r="C241" s="3">
        <v>336.0</v>
      </c>
      <c r="D241" s="3">
        <v>20.0</v>
      </c>
      <c r="E241" s="3">
        <v>15.0</v>
      </c>
      <c r="F241" s="11">
        <f t="shared" si="1"/>
        <v>0.1726190476</v>
      </c>
      <c r="G241" s="5">
        <f t="shared" si="2"/>
        <v>5.827380952</v>
      </c>
      <c r="H241" s="3">
        <v>241.0</v>
      </c>
      <c r="I241" s="17"/>
    </row>
    <row r="242">
      <c r="A242" s="3">
        <v>6.0</v>
      </c>
      <c r="B242" s="3">
        <v>47.0</v>
      </c>
      <c r="C242" s="3">
        <v>357.0</v>
      </c>
      <c r="D242" s="3">
        <v>20.0</v>
      </c>
      <c r="E242" s="3">
        <v>16.0</v>
      </c>
      <c r="F242" s="11">
        <f t="shared" si="1"/>
        <v>0.1316526611</v>
      </c>
      <c r="G242" s="5">
        <f t="shared" si="2"/>
        <v>5.868347339</v>
      </c>
      <c r="H242" s="3">
        <v>242.0</v>
      </c>
      <c r="I242" s="17"/>
    </row>
    <row r="243">
      <c r="A243" s="3">
        <v>6.0</v>
      </c>
      <c r="B243" s="3">
        <v>36.0</v>
      </c>
      <c r="C243" s="3">
        <v>378.0</v>
      </c>
      <c r="D243" s="3">
        <v>20.0</v>
      </c>
      <c r="E243" s="3">
        <v>17.0</v>
      </c>
      <c r="F243" s="11">
        <f t="shared" si="1"/>
        <v>0.09523809524</v>
      </c>
      <c r="G243" s="5">
        <f t="shared" si="2"/>
        <v>5.904761905</v>
      </c>
      <c r="H243" s="3">
        <v>243.0</v>
      </c>
      <c r="I243" s="17"/>
    </row>
    <row r="244">
      <c r="A244" s="3">
        <v>6.0</v>
      </c>
      <c r="B244" s="3">
        <v>4.0</v>
      </c>
      <c r="C244" s="3">
        <v>399.0</v>
      </c>
      <c r="D244" s="3">
        <v>20.0</v>
      </c>
      <c r="E244" s="3">
        <v>18.0</v>
      </c>
      <c r="F244" s="11">
        <f t="shared" si="1"/>
        <v>0.01002506266</v>
      </c>
      <c r="G244" s="5">
        <f t="shared" si="2"/>
        <v>5.989974937</v>
      </c>
      <c r="H244" s="3">
        <v>244.0</v>
      </c>
      <c r="I244" s="17"/>
    </row>
    <row r="245">
      <c r="A245" s="3">
        <v>6.0</v>
      </c>
      <c r="B245" s="3">
        <v>146.0</v>
      </c>
      <c r="C245" s="3">
        <v>154.0</v>
      </c>
      <c r="D245" s="3">
        <v>21.0</v>
      </c>
      <c r="E245" s="3">
        <v>6.0</v>
      </c>
      <c r="F245" s="11">
        <f t="shared" si="1"/>
        <v>0.9480519481</v>
      </c>
      <c r="G245" s="5">
        <f t="shared" si="2"/>
        <v>5.051948052</v>
      </c>
      <c r="H245" s="3">
        <v>245.0</v>
      </c>
      <c r="I245" s="17"/>
    </row>
    <row r="246">
      <c r="A246" s="3">
        <v>6.0</v>
      </c>
      <c r="B246" s="3">
        <v>152.0</v>
      </c>
      <c r="C246" s="3">
        <v>176.0</v>
      </c>
      <c r="D246" s="3">
        <v>21.0</v>
      </c>
      <c r="E246" s="3">
        <v>7.0</v>
      </c>
      <c r="F246" s="11">
        <f t="shared" si="1"/>
        <v>0.8636363636</v>
      </c>
      <c r="G246" s="5">
        <f t="shared" si="2"/>
        <v>5.136363636</v>
      </c>
      <c r="H246" s="3">
        <v>246.0</v>
      </c>
      <c r="I246" s="17"/>
    </row>
    <row r="247">
      <c r="A247" s="3">
        <v>6.0</v>
      </c>
      <c r="B247" s="3">
        <v>150.0</v>
      </c>
      <c r="C247" s="3">
        <v>198.0</v>
      </c>
      <c r="D247" s="3">
        <v>21.0</v>
      </c>
      <c r="E247" s="3">
        <v>8.0</v>
      </c>
      <c r="F247" s="11">
        <f t="shared" si="1"/>
        <v>0.7575757576</v>
      </c>
      <c r="G247" s="5">
        <f t="shared" si="2"/>
        <v>5.242424242</v>
      </c>
      <c r="H247" s="3">
        <v>247.0</v>
      </c>
      <c r="I247" s="17"/>
    </row>
    <row r="248">
      <c r="A248" s="3">
        <v>6.0</v>
      </c>
      <c r="B248" s="3">
        <v>144.0</v>
      </c>
      <c r="C248" s="3">
        <v>220.0</v>
      </c>
      <c r="D248" s="3">
        <v>21.0</v>
      </c>
      <c r="E248" s="3">
        <v>9.0</v>
      </c>
      <c r="F248" s="11">
        <f t="shared" si="1"/>
        <v>0.6545454545</v>
      </c>
      <c r="G248" s="5">
        <f t="shared" si="2"/>
        <v>5.345454545</v>
      </c>
      <c r="H248" s="3">
        <v>248.0</v>
      </c>
      <c r="I248" s="17"/>
    </row>
    <row r="249">
      <c r="A249" s="3">
        <v>6.0</v>
      </c>
      <c r="B249" s="3">
        <v>130.0</v>
      </c>
      <c r="C249" s="3">
        <v>242.0</v>
      </c>
      <c r="D249" s="3">
        <v>21.0</v>
      </c>
      <c r="E249" s="3">
        <v>10.0</v>
      </c>
      <c r="F249" s="11">
        <f t="shared" si="1"/>
        <v>0.5371900826</v>
      </c>
      <c r="G249" s="5">
        <f t="shared" si="2"/>
        <v>5.462809917</v>
      </c>
      <c r="H249" s="3">
        <v>249.0</v>
      </c>
      <c r="I249" s="17"/>
    </row>
    <row r="250">
      <c r="A250" s="3">
        <v>6.0</v>
      </c>
      <c r="B250" s="3">
        <v>112.0</v>
      </c>
      <c r="C250" s="3">
        <v>264.0</v>
      </c>
      <c r="D250" s="3">
        <v>21.0</v>
      </c>
      <c r="E250" s="3">
        <v>11.0</v>
      </c>
      <c r="F250" s="11">
        <f t="shared" si="1"/>
        <v>0.4242424242</v>
      </c>
      <c r="G250" s="5">
        <f t="shared" si="2"/>
        <v>5.575757576</v>
      </c>
      <c r="H250" s="3">
        <v>250.0</v>
      </c>
      <c r="I250" s="17"/>
    </row>
    <row r="251">
      <c r="A251" s="3">
        <v>6.0</v>
      </c>
      <c r="B251" s="3">
        <v>94.0</v>
      </c>
      <c r="C251" s="3">
        <v>286.0</v>
      </c>
      <c r="D251" s="3">
        <v>21.0</v>
      </c>
      <c r="E251" s="3">
        <v>12.0</v>
      </c>
      <c r="F251" s="11">
        <f t="shared" si="1"/>
        <v>0.3286713287</v>
      </c>
      <c r="G251" s="5">
        <f t="shared" si="2"/>
        <v>5.671328671</v>
      </c>
      <c r="H251" s="3">
        <v>251.0</v>
      </c>
      <c r="I251" s="17"/>
    </row>
    <row r="252">
      <c r="A252" s="3">
        <v>6.0</v>
      </c>
      <c r="B252" s="3">
        <v>76.0</v>
      </c>
      <c r="C252" s="3">
        <v>308.0</v>
      </c>
      <c r="D252" s="3">
        <v>21.0</v>
      </c>
      <c r="E252" s="3">
        <v>13.0</v>
      </c>
      <c r="F252" s="11">
        <f t="shared" si="1"/>
        <v>0.2467532468</v>
      </c>
      <c r="G252" s="5">
        <f t="shared" si="2"/>
        <v>5.753246753</v>
      </c>
      <c r="H252" s="3">
        <v>252.0</v>
      </c>
      <c r="I252" s="17"/>
    </row>
    <row r="253">
      <c r="A253" s="3">
        <v>6.0</v>
      </c>
      <c r="B253" s="3">
        <v>62.0</v>
      </c>
      <c r="C253" s="3">
        <v>330.0</v>
      </c>
      <c r="D253" s="3">
        <v>21.0</v>
      </c>
      <c r="E253" s="3">
        <v>14.0</v>
      </c>
      <c r="F253" s="11">
        <f t="shared" si="1"/>
        <v>0.1878787879</v>
      </c>
      <c r="G253" s="5">
        <f t="shared" si="2"/>
        <v>5.812121212</v>
      </c>
      <c r="H253" s="3">
        <v>253.0</v>
      </c>
      <c r="I253" s="17"/>
    </row>
    <row r="254">
      <c r="A254" s="3">
        <v>6.0</v>
      </c>
      <c r="B254" s="3">
        <v>48.0</v>
      </c>
      <c r="C254" s="3">
        <v>352.0</v>
      </c>
      <c r="D254" s="3">
        <v>21.0</v>
      </c>
      <c r="E254" s="3">
        <v>15.0</v>
      </c>
      <c r="F254" s="11">
        <f t="shared" si="1"/>
        <v>0.1363636364</v>
      </c>
      <c r="G254" s="5">
        <f t="shared" si="2"/>
        <v>5.863636364</v>
      </c>
      <c r="H254" s="3">
        <v>254.0</v>
      </c>
      <c r="I254" s="17"/>
    </row>
    <row r="255">
      <c r="A255" s="3">
        <v>6.0</v>
      </c>
      <c r="B255" s="3">
        <v>38.0</v>
      </c>
      <c r="C255" s="3">
        <v>374.0</v>
      </c>
      <c r="D255" s="3">
        <v>21.0</v>
      </c>
      <c r="E255" s="3">
        <v>16.0</v>
      </c>
      <c r="F255" s="11">
        <f t="shared" si="1"/>
        <v>0.1016042781</v>
      </c>
      <c r="G255" s="5">
        <f t="shared" si="2"/>
        <v>5.898395722</v>
      </c>
      <c r="H255" s="3">
        <v>255.0</v>
      </c>
      <c r="I255" s="17"/>
    </row>
    <row r="256">
      <c r="A256" s="3">
        <v>6.0</v>
      </c>
      <c r="B256" s="3">
        <v>12.0</v>
      </c>
      <c r="C256" s="3">
        <v>396.0</v>
      </c>
      <c r="D256" s="3">
        <v>21.0</v>
      </c>
      <c r="E256" s="3">
        <v>17.0</v>
      </c>
      <c r="F256" s="11">
        <f t="shared" si="1"/>
        <v>0.0303030303</v>
      </c>
      <c r="G256" s="5">
        <f t="shared" si="2"/>
        <v>5.96969697</v>
      </c>
      <c r="H256" s="3">
        <v>256.0</v>
      </c>
      <c r="I256" s="17"/>
    </row>
    <row r="257">
      <c r="A257" s="3">
        <v>6.0</v>
      </c>
      <c r="B257" s="3">
        <v>149.0</v>
      </c>
      <c r="C257" s="3">
        <v>161.0</v>
      </c>
      <c r="D257" s="3">
        <v>22.0</v>
      </c>
      <c r="E257" s="3">
        <v>6.0</v>
      </c>
      <c r="F257" s="11">
        <f t="shared" si="1"/>
        <v>0.9254658385</v>
      </c>
      <c r="G257" s="5">
        <f t="shared" si="2"/>
        <v>5.074534161</v>
      </c>
      <c r="H257" s="3">
        <v>257.0</v>
      </c>
      <c r="I257" s="17"/>
    </row>
    <row r="258">
      <c r="A258" s="3">
        <v>6.0</v>
      </c>
      <c r="B258" s="3">
        <v>152.0</v>
      </c>
      <c r="C258" s="3">
        <v>184.0</v>
      </c>
      <c r="D258" s="3">
        <v>22.0</v>
      </c>
      <c r="E258" s="3">
        <v>7.0</v>
      </c>
      <c r="F258" s="11">
        <f t="shared" si="1"/>
        <v>0.8260869565</v>
      </c>
      <c r="G258" s="5">
        <f t="shared" si="2"/>
        <v>5.173913043</v>
      </c>
      <c r="H258" s="3">
        <v>258.0</v>
      </c>
      <c r="I258" s="17"/>
    </row>
    <row r="259">
      <c r="A259" s="3">
        <v>6.0</v>
      </c>
      <c r="B259" s="3">
        <v>147.0</v>
      </c>
      <c r="C259" s="3">
        <v>207.0</v>
      </c>
      <c r="D259" s="3">
        <v>22.0</v>
      </c>
      <c r="E259" s="3">
        <v>8.0</v>
      </c>
      <c r="F259" s="11">
        <f t="shared" si="1"/>
        <v>0.7101449275</v>
      </c>
      <c r="G259" s="5">
        <f t="shared" si="2"/>
        <v>5.289855072</v>
      </c>
      <c r="H259" s="3">
        <v>259.0</v>
      </c>
      <c r="I259" s="17"/>
    </row>
    <row r="260">
      <c r="A260" s="3">
        <v>6.0</v>
      </c>
      <c r="B260" s="3">
        <v>138.0</v>
      </c>
      <c r="C260" s="3">
        <v>230.0</v>
      </c>
      <c r="D260" s="3">
        <v>22.0</v>
      </c>
      <c r="E260" s="3">
        <v>9.0</v>
      </c>
      <c r="F260" s="11">
        <f t="shared" si="1"/>
        <v>0.6</v>
      </c>
      <c r="G260" s="5">
        <f t="shared" si="2"/>
        <v>5.4</v>
      </c>
      <c r="H260" s="3">
        <v>260.0</v>
      </c>
      <c r="I260" s="17"/>
    </row>
    <row r="261">
      <c r="A261" s="3">
        <v>6.0</v>
      </c>
      <c r="B261" s="3">
        <v>121.0</v>
      </c>
      <c r="C261" s="3">
        <v>253.0</v>
      </c>
      <c r="D261" s="3">
        <v>22.0</v>
      </c>
      <c r="E261" s="3">
        <v>10.0</v>
      </c>
      <c r="F261" s="11">
        <f t="shared" si="1"/>
        <v>0.4782608696</v>
      </c>
      <c r="G261" s="5">
        <f t="shared" si="2"/>
        <v>5.52173913</v>
      </c>
      <c r="H261" s="3">
        <v>261.0</v>
      </c>
      <c r="I261" s="17"/>
    </row>
    <row r="262">
      <c r="A262" s="3">
        <v>6.0</v>
      </c>
      <c r="B262" s="3">
        <v>100.0</v>
      </c>
      <c r="C262" s="3">
        <v>276.0</v>
      </c>
      <c r="D262" s="3">
        <v>22.0</v>
      </c>
      <c r="E262" s="3">
        <v>11.0</v>
      </c>
      <c r="F262" s="11">
        <f t="shared" si="1"/>
        <v>0.3623188406</v>
      </c>
      <c r="G262" s="5">
        <f t="shared" si="2"/>
        <v>5.637681159</v>
      </c>
      <c r="H262" s="3">
        <v>262.0</v>
      </c>
      <c r="I262" s="17"/>
    </row>
    <row r="263">
      <c r="A263" s="3">
        <v>6.0</v>
      </c>
      <c r="B263" s="3">
        <v>83.0</v>
      </c>
      <c r="C263" s="3">
        <v>299.0</v>
      </c>
      <c r="D263" s="3">
        <v>22.0</v>
      </c>
      <c r="E263" s="3">
        <v>12.0</v>
      </c>
      <c r="F263" s="11">
        <f t="shared" si="1"/>
        <v>0.2775919732</v>
      </c>
      <c r="G263" s="5">
        <f t="shared" si="2"/>
        <v>5.722408027</v>
      </c>
      <c r="H263" s="3">
        <v>263.0</v>
      </c>
      <c r="I263" s="17"/>
    </row>
    <row r="264">
      <c r="A264" s="3">
        <v>6.0</v>
      </c>
      <c r="B264" s="3">
        <v>66.0</v>
      </c>
      <c r="C264" s="3">
        <v>322.0</v>
      </c>
      <c r="D264" s="3">
        <v>22.0</v>
      </c>
      <c r="E264" s="3">
        <v>13.0</v>
      </c>
      <c r="F264" s="11">
        <f t="shared" si="1"/>
        <v>0.2049689441</v>
      </c>
      <c r="G264" s="5">
        <f t="shared" si="2"/>
        <v>5.795031056</v>
      </c>
      <c r="H264" s="3">
        <v>264.0</v>
      </c>
      <c r="I264" s="17"/>
    </row>
    <row r="265">
      <c r="A265" s="3">
        <v>6.0</v>
      </c>
      <c r="B265" s="3">
        <v>53.0</v>
      </c>
      <c r="C265" s="3">
        <v>345.0</v>
      </c>
      <c r="D265" s="3">
        <v>22.0</v>
      </c>
      <c r="E265" s="3">
        <v>14.0</v>
      </c>
      <c r="F265" s="11">
        <f t="shared" si="1"/>
        <v>0.1536231884</v>
      </c>
      <c r="G265" s="5">
        <f t="shared" si="2"/>
        <v>5.846376812</v>
      </c>
      <c r="H265" s="3">
        <v>265.0</v>
      </c>
      <c r="I265" s="17"/>
    </row>
    <row r="266">
      <c r="A266" s="3">
        <v>6.0</v>
      </c>
      <c r="B266" s="3">
        <v>40.0</v>
      </c>
      <c r="C266" s="3">
        <v>368.0</v>
      </c>
      <c r="D266" s="3">
        <v>22.0</v>
      </c>
      <c r="E266" s="3">
        <v>15.0</v>
      </c>
      <c r="F266" s="11">
        <f t="shared" si="1"/>
        <v>0.1086956522</v>
      </c>
      <c r="G266" s="5">
        <f t="shared" si="2"/>
        <v>5.891304348</v>
      </c>
      <c r="H266" s="3">
        <v>266.0</v>
      </c>
      <c r="I266" s="17"/>
    </row>
    <row r="267">
      <c r="A267" s="3">
        <v>6.0</v>
      </c>
      <c r="B267" s="3">
        <v>23.0</v>
      </c>
      <c r="C267" s="3">
        <v>391.0</v>
      </c>
      <c r="D267" s="3">
        <v>22.0</v>
      </c>
      <c r="E267" s="3">
        <v>16.0</v>
      </c>
      <c r="F267" s="11">
        <f t="shared" si="1"/>
        <v>0.05882352941</v>
      </c>
      <c r="G267" s="5">
        <f t="shared" si="2"/>
        <v>5.941176471</v>
      </c>
      <c r="H267" s="3">
        <v>267.0</v>
      </c>
      <c r="I267" s="17"/>
    </row>
    <row r="268">
      <c r="A268" s="3">
        <v>6.0</v>
      </c>
      <c r="B268" s="3">
        <v>140.0</v>
      </c>
      <c r="C268" s="3">
        <v>144.0</v>
      </c>
      <c r="D268" s="3">
        <v>23.0</v>
      </c>
      <c r="E268" s="3">
        <v>5.0</v>
      </c>
      <c r="F268" s="11">
        <f t="shared" si="1"/>
        <v>0.9722222222</v>
      </c>
      <c r="G268" s="5">
        <f t="shared" si="2"/>
        <v>5.027777778</v>
      </c>
      <c r="H268" s="3">
        <v>268.0</v>
      </c>
      <c r="I268" s="17"/>
    </row>
    <row r="269">
      <c r="A269" s="3">
        <v>6.0</v>
      </c>
      <c r="B269" s="3">
        <v>148.0</v>
      </c>
      <c r="C269" s="3">
        <v>168.0</v>
      </c>
      <c r="D269" s="3">
        <v>23.0</v>
      </c>
      <c r="E269" s="3">
        <v>6.0</v>
      </c>
      <c r="F269" s="11">
        <f t="shared" si="1"/>
        <v>0.880952381</v>
      </c>
      <c r="G269" s="5">
        <f t="shared" si="2"/>
        <v>5.119047619</v>
      </c>
      <c r="H269" s="3">
        <v>269.0</v>
      </c>
      <c r="I269" s="17"/>
    </row>
    <row r="270">
      <c r="A270" s="3">
        <v>6.0</v>
      </c>
      <c r="B270" s="3">
        <v>148.0</v>
      </c>
      <c r="C270" s="3">
        <v>192.0</v>
      </c>
      <c r="D270" s="3">
        <v>23.0</v>
      </c>
      <c r="E270" s="3">
        <v>7.0</v>
      </c>
      <c r="F270" s="11">
        <f t="shared" si="1"/>
        <v>0.7708333333</v>
      </c>
      <c r="G270" s="5">
        <f t="shared" si="2"/>
        <v>5.229166667</v>
      </c>
      <c r="H270" s="3">
        <v>270.0</v>
      </c>
      <c r="I270" s="17"/>
    </row>
    <row r="271">
      <c r="A271" s="3">
        <v>6.0</v>
      </c>
      <c r="B271" s="3">
        <v>140.0</v>
      </c>
      <c r="C271" s="3">
        <v>216.0</v>
      </c>
      <c r="D271" s="3">
        <v>23.0</v>
      </c>
      <c r="E271" s="3">
        <v>8.0</v>
      </c>
      <c r="F271" s="11">
        <f t="shared" si="1"/>
        <v>0.6481481481</v>
      </c>
      <c r="G271" s="5">
        <f t="shared" si="2"/>
        <v>5.351851852</v>
      </c>
      <c r="H271" s="3">
        <v>271.0</v>
      </c>
      <c r="I271" s="17"/>
    </row>
    <row r="272">
      <c r="A272" s="3">
        <v>6.0</v>
      </c>
      <c r="B272" s="3">
        <v>128.0</v>
      </c>
      <c r="C272" s="3">
        <v>240.0</v>
      </c>
      <c r="D272" s="3">
        <v>23.0</v>
      </c>
      <c r="E272" s="3">
        <v>9.0</v>
      </c>
      <c r="F272" s="11">
        <f t="shared" si="1"/>
        <v>0.5333333333</v>
      </c>
      <c r="G272" s="5">
        <f t="shared" si="2"/>
        <v>5.466666667</v>
      </c>
      <c r="H272" s="3">
        <v>272.0</v>
      </c>
      <c r="I272" s="17"/>
    </row>
    <row r="273">
      <c r="A273" s="3">
        <v>6.0</v>
      </c>
      <c r="B273" s="3">
        <v>110.0</v>
      </c>
      <c r="C273" s="3">
        <v>264.0</v>
      </c>
      <c r="D273" s="3">
        <v>23.0</v>
      </c>
      <c r="E273" s="3">
        <v>10.0</v>
      </c>
      <c r="F273" s="11">
        <f t="shared" si="1"/>
        <v>0.4166666667</v>
      </c>
      <c r="G273" s="5">
        <f t="shared" si="2"/>
        <v>5.583333333</v>
      </c>
      <c r="H273" s="3">
        <v>273.0</v>
      </c>
      <c r="I273" s="17"/>
    </row>
    <row r="274">
      <c r="A274" s="3">
        <v>6.0</v>
      </c>
      <c r="B274" s="3">
        <v>88.0</v>
      </c>
      <c r="C274" s="3">
        <v>288.0</v>
      </c>
      <c r="D274" s="3">
        <v>23.0</v>
      </c>
      <c r="E274" s="3">
        <v>11.0</v>
      </c>
      <c r="F274" s="11">
        <f t="shared" si="1"/>
        <v>0.3055555556</v>
      </c>
      <c r="G274" s="5">
        <f t="shared" si="2"/>
        <v>5.694444444</v>
      </c>
      <c r="H274" s="3">
        <v>274.0</v>
      </c>
      <c r="I274" s="17"/>
    </row>
    <row r="275">
      <c r="A275" s="3">
        <v>6.0</v>
      </c>
      <c r="B275" s="3">
        <v>72.0</v>
      </c>
      <c r="C275" s="3">
        <v>312.0</v>
      </c>
      <c r="D275" s="3">
        <v>23.0</v>
      </c>
      <c r="E275" s="3">
        <v>12.0</v>
      </c>
      <c r="F275" s="11">
        <f t="shared" si="1"/>
        <v>0.2307692308</v>
      </c>
      <c r="G275" s="5">
        <f t="shared" si="2"/>
        <v>5.769230769</v>
      </c>
      <c r="H275" s="3">
        <v>275.0</v>
      </c>
      <c r="I275" s="17"/>
    </row>
    <row r="276">
      <c r="A276" s="3">
        <v>6.0</v>
      </c>
      <c r="B276" s="3">
        <v>56.0</v>
      </c>
      <c r="C276" s="3">
        <v>336.0</v>
      </c>
      <c r="D276" s="3">
        <v>23.0</v>
      </c>
      <c r="E276" s="3">
        <v>13.0</v>
      </c>
      <c r="F276" s="11">
        <f t="shared" si="1"/>
        <v>0.1666666667</v>
      </c>
      <c r="G276" s="5">
        <f t="shared" si="2"/>
        <v>5.833333333</v>
      </c>
      <c r="H276" s="3">
        <v>276.0</v>
      </c>
      <c r="I276" s="17"/>
    </row>
    <row r="277">
      <c r="A277" s="3">
        <v>6.0</v>
      </c>
      <c r="B277" s="3">
        <v>44.0</v>
      </c>
      <c r="C277" s="3">
        <v>360.0</v>
      </c>
      <c r="D277" s="3">
        <v>23.0</v>
      </c>
      <c r="E277" s="3">
        <v>14.0</v>
      </c>
      <c r="F277" s="11">
        <f t="shared" si="1"/>
        <v>0.1222222222</v>
      </c>
      <c r="G277" s="5">
        <f t="shared" si="2"/>
        <v>5.877777778</v>
      </c>
      <c r="H277" s="3">
        <v>277.0</v>
      </c>
      <c r="I277" s="17"/>
    </row>
    <row r="278">
      <c r="A278" s="3">
        <v>6.0</v>
      </c>
      <c r="B278" s="3">
        <v>30.0</v>
      </c>
      <c r="C278" s="3">
        <v>384.0</v>
      </c>
      <c r="D278" s="3">
        <v>23.0</v>
      </c>
      <c r="E278" s="3">
        <v>15.0</v>
      </c>
      <c r="F278" s="11">
        <f t="shared" si="1"/>
        <v>0.078125</v>
      </c>
      <c r="G278" s="5">
        <f t="shared" si="2"/>
        <v>5.921875</v>
      </c>
      <c r="H278" s="3">
        <v>278.0</v>
      </c>
      <c r="I278" s="17"/>
    </row>
    <row r="279">
      <c r="A279" s="3">
        <v>6.0</v>
      </c>
      <c r="B279" s="3">
        <v>142.0</v>
      </c>
      <c r="C279" s="3">
        <v>150.0</v>
      </c>
      <c r="D279" s="3">
        <v>24.0</v>
      </c>
      <c r="E279" s="3">
        <v>5.0</v>
      </c>
      <c r="F279" s="11">
        <f t="shared" si="1"/>
        <v>0.9466666667</v>
      </c>
      <c r="G279" s="5">
        <f t="shared" si="2"/>
        <v>5.053333333</v>
      </c>
      <c r="H279" s="3">
        <v>279.0</v>
      </c>
      <c r="I279" s="17"/>
    </row>
    <row r="280">
      <c r="A280" s="3">
        <v>6.0</v>
      </c>
      <c r="B280" s="3">
        <v>147.0</v>
      </c>
      <c r="C280" s="3">
        <v>175.0</v>
      </c>
      <c r="D280" s="3">
        <v>24.0</v>
      </c>
      <c r="E280" s="3">
        <v>6.0</v>
      </c>
      <c r="F280" s="11">
        <f t="shared" si="1"/>
        <v>0.84</v>
      </c>
      <c r="G280" s="5">
        <f t="shared" si="2"/>
        <v>5.16</v>
      </c>
      <c r="H280" s="3">
        <v>280.0</v>
      </c>
      <c r="I280" s="17"/>
    </row>
    <row r="281">
      <c r="A281" s="3">
        <v>6.0</v>
      </c>
      <c r="B281" s="3">
        <v>144.0</v>
      </c>
      <c r="C281" s="3">
        <v>200.0</v>
      </c>
      <c r="D281" s="3">
        <v>24.0</v>
      </c>
      <c r="E281" s="3">
        <v>7.0</v>
      </c>
      <c r="F281" s="11">
        <f t="shared" si="1"/>
        <v>0.72</v>
      </c>
      <c r="G281" s="5">
        <f t="shared" si="2"/>
        <v>5.28</v>
      </c>
      <c r="H281" s="3">
        <v>281.0</v>
      </c>
      <c r="I281" s="17"/>
    </row>
    <row r="282">
      <c r="A282" s="3">
        <v>6.0</v>
      </c>
      <c r="B282" s="3">
        <v>133.0</v>
      </c>
      <c r="C282" s="3">
        <v>225.0</v>
      </c>
      <c r="D282" s="3">
        <v>24.0</v>
      </c>
      <c r="E282" s="3">
        <v>8.0</v>
      </c>
      <c r="F282" s="11">
        <f t="shared" si="1"/>
        <v>0.5911111111</v>
      </c>
      <c r="G282" s="5">
        <f t="shared" si="2"/>
        <v>5.408888889</v>
      </c>
      <c r="H282" s="3">
        <v>282.0</v>
      </c>
      <c r="I282" s="17"/>
    </row>
    <row r="283">
      <c r="A283" s="3">
        <v>6.0</v>
      </c>
      <c r="B283" s="3">
        <v>118.0</v>
      </c>
      <c r="C283" s="3">
        <v>250.0</v>
      </c>
      <c r="D283" s="3">
        <v>24.0</v>
      </c>
      <c r="E283" s="3">
        <v>9.0</v>
      </c>
      <c r="F283" s="11">
        <f t="shared" si="1"/>
        <v>0.472</v>
      </c>
      <c r="G283" s="5">
        <f t="shared" si="2"/>
        <v>5.528</v>
      </c>
      <c r="H283" s="3">
        <v>283.0</v>
      </c>
      <c r="I283" s="17"/>
    </row>
    <row r="284">
      <c r="A284" s="3">
        <v>6.0</v>
      </c>
      <c r="B284" s="3">
        <v>99.0</v>
      </c>
      <c r="C284" s="3">
        <v>275.0</v>
      </c>
      <c r="D284" s="3">
        <v>24.0</v>
      </c>
      <c r="E284" s="3">
        <v>10.0</v>
      </c>
      <c r="F284" s="11">
        <f t="shared" si="1"/>
        <v>0.36</v>
      </c>
      <c r="G284" s="5">
        <f t="shared" si="2"/>
        <v>5.64</v>
      </c>
      <c r="H284" s="3">
        <v>284.0</v>
      </c>
      <c r="I284" s="17"/>
    </row>
    <row r="285">
      <c r="A285" s="3">
        <v>6.0</v>
      </c>
      <c r="B285" s="3">
        <v>78.0</v>
      </c>
      <c r="C285" s="3">
        <v>300.0</v>
      </c>
      <c r="D285" s="3">
        <v>24.0</v>
      </c>
      <c r="E285" s="3">
        <v>11.0</v>
      </c>
      <c r="F285" s="11">
        <f t="shared" si="1"/>
        <v>0.26</v>
      </c>
      <c r="G285" s="5">
        <f t="shared" si="2"/>
        <v>5.74</v>
      </c>
      <c r="H285" s="3">
        <v>285.0</v>
      </c>
      <c r="I285" s="17"/>
    </row>
    <row r="286">
      <c r="A286" s="3">
        <v>6.0</v>
      </c>
      <c r="B286" s="3">
        <v>63.0</v>
      </c>
      <c r="C286" s="3">
        <v>325.0</v>
      </c>
      <c r="D286" s="3">
        <v>24.0</v>
      </c>
      <c r="E286" s="3">
        <v>12.0</v>
      </c>
      <c r="F286" s="11">
        <f t="shared" si="1"/>
        <v>0.1938461538</v>
      </c>
      <c r="G286" s="5">
        <f t="shared" si="2"/>
        <v>5.806153846</v>
      </c>
      <c r="H286" s="3">
        <v>286.0</v>
      </c>
      <c r="I286" s="17"/>
    </row>
    <row r="287">
      <c r="A287" s="3">
        <v>6.0</v>
      </c>
      <c r="B287" s="3">
        <v>48.0</v>
      </c>
      <c r="C287" s="3">
        <v>350.0</v>
      </c>
      <c r="D287" s="3">
        <v>24.0</v>
      </c>
      <c r="E287" s="3">
        <v>13.0</v>
      </c>
      <c r="F287" s="11">
        <f t="shared" si="1"/>
        <v>0.1371428571</v>
      </c>
      <c r="G287" s="5">
        <f t="shared" si="2"/>
        <v>5.862857143</v>
      </c>
      <c r="H287" s="3">
        <v>287.0</v>
      </c>
      <c r="I287" s="17"/>
    </row>
    <row r="288">
      <c r="A288" s="3">
        <v>6.0</v>
      </c>
      <c r="B288" s="3">
        <v>35.0</v>
      </c>
      <c r="C288" s="3">
        <v>375.0</v>
      </c>
      <c r="D288" s="3">
        <v>24.0</v>
      </c>
      <c r="E288" s="3">
        <v>14.0</v>
      </c>
      <c r="F288" s="11">
        <f t="shared" si="1"/>
        <v>0.09333333333</v>
      </c>
      <c r="G288" s="5">
        <f t="shared" si="2"/>
        <v>5.906666667</v>
      </c>
      <c r="H288" s="3">
        <v>288.0</v>
      </c>
      <c r="I288" s="17"/>
    </row>
    <row r="289">
      <c r="A289" s="3">
        <v>6.0</v>
      </c>
      <c r="B289" s="3">
        <v>12.0</v>
      </c>
      <c r="C289" s="3">
        <v>400.0</v>
      </c>
      <c r="D289" s="3">
        <v>24.0</v>
      </c>
      <c r="E289" s="3">
        <v>15.0</v>
      </c>
      <c r="F289" s="11">
        <f t="shared" si="1"/>
        <v>0.03</v>
      </c>
      <c r="G289" s="5">
        <f t="shared" si="2"/>
        <v>5.97</v>
      </c>
      <c r="H289" s="3">
        <v>289.0</v>
      </c>
      <c r="I289" s="17"/>
    </row>
    <row r="290">
      <c r="A290" s="3">
        <v>6.0</v>
      </c>
      <c r="B290" s="3">
        <v>126.0</v>
      </c>
      <c r="C290" s="3">
        <v>130.0</v>
      </c>
      <c r="D290" s="3">
        <v>25.0</v>
      </c>
      <c r="E290" s="3">
        <v>4.0</v>
      </c>
      <c r="F290" s="11">
        <f t="shared" si="1"/>
        <v>0.9692307692</v>
      </c>
      <c r="G290" s="5">
        <f t="shared" si="2"/>
        <v>5.030769231</v>
      </c>
      <c r="H290" s="3">
        <v>290.0</v>
      </c>
      <c r="I290" s="17"/>
    </row>
    <row r="291">
      <c r="A291" s="3">
        <v>6.0</v>
      </c>
      <c r="B291" s="3">
        <v>140.0</v>
      </c>
      <c r="C291" s="3">
        <v>156.0</v>
      </c>
      <c r="D291" s="3">
        <v>25.0</v>
      </c>
      <c r="E291" s="3">
        <v>5.0</v>
      </c>
      <c r="F291" s="11">
        <f t="shared" si="1"/>
        <v>0.8974358974</v>
      </c>
      <c r="G291" s="5">
        <f t="shared" si="2"/>
        <v>5.102564103</v>
      </c>
      <c r="H291" s="3">
        <v>291.0</v>
      </c>
      <c r="I291" s="17"/>
    </row>
    <row r="292">
      <c r="A292" s="3">
        <v>6.0</v>
      </c>
      <c r="B292" s="3">
        <v>142.0</v>
      </c>
      <c r="C292" s="3">
        <v>182.0</v>
      </c>
      <c r="D292" s="3">
        <v>25.0</v>
      </c>
      <c r="E292" s="3">
        <v>6.0</v>
      </c>
      <c r="F292" s="11">
        <f t="shared" si="1"/>
        <v>0.7802197802</v>
      </c>
      <c r="G292" s="5">
        <f t="shared" si="2"/>
        <v>5.21978022</v>
      </c>
      <c r="H292" s="3">
        <v>292.0</v>
      </c>
      <c r="I292" s="17"/>
    </row>
    <row r="293">
      <c r="A293" s="3">
        <v>6.0</v>
      </c>
      <c r="B293" s="3">
        <v>136.0</v>
      </c>
      <c r="C293" s="3">
        <v>208.0</v>
      </c>
      <c r="D293" s="3">
        <v>25.0</v>
      </c>
      <c r="E293" s="3">
        <v>7.0</v>
      </c>
      <c r="F293" s="11">
        <f t="shared" si="1"/>
        <v>0.6538461538</v>
      </c>
      <c r="G293" s="5">
        <f t="shared" si="2"/>
        <v>5.346153846</v>
      </c>
      <c r="H293" s="3">
        <v>293.0</v>
      </c>
      <c r="I293" s="17"/>
    </row>
    <row r="294">
      <c r="A294" s="3">
        <v>6.0</v>
      </c>
      <c r="B294" s="3">
        <v>124.0</v>
      </c>
      <c r="C294" s="3">
        <v>234.0</v>
      </c>
      <c r="D294" s="3">
        <v>25.0</v>
      </c>
      <c r="E294" s="3">
        <v>8.0</v>
      </c>
      <c r="F294" s="11">
        <f t="shared" si="1"/>
        <v>0.5299145299</v>
      </c>
      <c r="G294" s="5">
        <f t="shared" si="2"/>
        <v>5.47008547</v>
      </c>
      <c r="H294" s="3">
        <v>294.0</v>
      </c>
      <c r="I294" s="17"/>
    </row>
    <row r="295">
      <c r="A295" s="3">
        <v>6.0</v>
      </c>
      <c r="B295" s="3">
        <v>108.0</v>
      </c>
      <c r="C295" s="3">
        <v>260.0</v>
      </c>
      <c r="D295" s="3">
        <v>25.0</v>
      </c>
      <c r="E295" s="3">
        <v>9.0</v>
      </c>
      <c r="F295" s="11">
        <f t="shared" si="1"/>
        <v>0.4153846154</v>
      </c>
      <c r="G295" s="5">
        <f t="shared" si="2"/>
        <v>5.584615385</v>
      </c>
      <c r="H295" s="3">
        <v>295.0</v>
      </c>
      <c r="I295" s="17"/>
    </row>
    <row r="296">
      <c r="A296" s="3">
        <v>6.0</v>
      </c>
      <c r="B296" s="3">
        <v>88.0</v>
      </c>
      <c r="C296" s="3">
        <v>286.0</v>
      </c>
      <c r="D296" s="3">
        <v>25.0</v>
      </c>
      <c r="E296" s="3">
        <v>10.0</v>
      </c>
      <c r="F296" s="11">
        <f t="shared" si="1"/>
        <v>0.3076923077</v>
      </c>
      <c r="G296" s="5">
        <f t="shared" si="2"/>
        <v>5.692307692</v>
      </c>
      <c r="H296" s="3">
        <v>296.0</v>
      </c>
      <c r="I296" s="17"/>
    </row>
    <row r="297">
      <c r="A297" s="3">
        <v>6.0</v>
      </c>
      <c r="B297" s="3">
        <v>68.0</v>
      </c>
      <c r="C297" s="3">
        <v>312.0</v>
      </c>
      <c r="D297" s="3">
        <v>25.0</v>
      </c>
      <c r="E297" s="3">
        <v>11.0</v>
      </c>
      <c r="F297" s="11">
        <f t="shared" si="1"/>
        <v>0.2179487179</v>
      </c>
      <c r="G297" s="5">
        <f t="shared" si="2"/>
        <v>5.782051282</v>
      </c>
      <c r="H297" s="3">
        <v>297.0</v>
      </c>
      <c r="I297" s="17"/>
    </row>
    <row r="298">
      <c r="A298" s="3">
        <v>6.0</v>
      </c>
      <c r="B298" s="3">
        <v>54.0</v>
      </c>
      <c r="C298" s="3">
        <v>338.0</v>
      </c>
      <c r="D298" s="3">
        <v>25.0</v>
      </c>
      <c r="E298" s="3">
        <v>12.0</v>
      </c>
      <c r="F298" s="11">
        <f t="shared" si="1"/>
        <v>0.1597633136</v>
      </c>
      <c r="G298" s="5">
        <f t="shared" si="2"/>
        <v>5.840236686</v>
      </c>
      <c r="H298" s="3">
        <v>298.0</v>
      </c>
      <c r="I298" s="17"/>
    </row>
    <row r="299">
      <c r="A299" s="3">
        <v>6.0</v>
      </c>
      <c r="B299" s="3">
        <v>40.0</v>
      </c>
      <c r="C299" s="3">
        <v>364.0</v>
      </c>
      <c r="D299" s="3">
        <v>25.0</v>
      </c>
      <c r="E299" s="3">
        <v>13.0</v>
      </c>
      <c r="F299" s="11">
        <f t="shared" si="1"/>
        <v>0.1098901099</v>
      </c>
      <c r="G299" s="5">
        <f t="shared" si="2"/>
        <v>5.89010989</v>
      </c>
      <c r="H299" s="3">
        <v>299.0</v>
      </c>
      <c r="I299" s="17"/>
    </row>
    <row r="300">
      <c r="A300" s="3">
        <v>6.0</v>
      </c>
      <c r="B300" s="3">
        <v>24.0</v>
      </c>
      <c r="C300" s="3">
        <v>390.0</v>
      </c>
      <c r="D300" s="3">
        <v>25.0</v>
      </c>
      <c r="E300" s="3">
        <v>14.0</v>
      </c>
      <c r="F300" s="11">
        <f t="shared" si="1"/>
        <v>0.06153846154</v>
      </c>
      <c r="G300" s="5">
        <f t="shared" si="2"/>
        <v>5.938461538</v>
      </c>
      <c r="H300" s="3">
        <v>300.0</v>
      </c>
      <c r="I300" s="17"/>
    </row>
    <row r="301">
      <c r="A301" s="3">
        <v>6.0</v>
      </c>
      <c r="B301" s="3">
        <v>127.0</v>
      </c>
      <c r="C301" s="3">
        <v>135.0</v>
      </c>
      <c r="D301" s="3">
        <v>26.0</v>
      </c>
      <c r="E301" s="3">
        <v>4.0</v>
      </c>
      <c r="F301" s="11">
        <f t="shared" si="1"/>
        <v>0.9407407407</v>
      </c>
      <c r="G301" s="5">
        <f t="shared" si="2"/>
        <v>5.059259259</v>
      </c>
      <c r="H301" s="3">
        <v>301.0</v>
      </c>
      <c r="I301" s="17"/>
    </row>
    <row r="302">
      <c r="A302" s="3">
        <v>6.0</v>
      </c>
      <c r="B302" s="3">
        <v>138.0</v>
      </c>
      <c r="C302" s="3">
        <v>162.0</v>
      </c>
      <c r="D302" s="3">
        <v>26.0</v>
      </c>
      <c r="E302" s="3">
        <v>5.0</v>
      </c>
      <c r="F302" s="11">
        <f t="shared" si="1"/>
        <v>0.8518518519</v>
      </c>
      <c r="G302" s="5">
        <f t="shared" si="2"/>
        <v>5.148148148</v>
      </c>
      <c r="H302" s="3">
        <v>302.0</v>
      </c>
      <c r="I302" s="17"/>
    </row>
    <row r="303">
      <c r="A303" s="3">
        <v>6.0</v>
      </c>
      <c r="B303" s="3">
        <v>137.0</v>
      </c>
      <c r="C303" s="3">
        <v>189.0</v>
      </c>
      <c r="D303" s="3">
        <v>26.0</v>
      </c>
      <c r="E303" s="3">
        <v>6.0</v>
      </c>
      <c r="F303" s="11">
        <f t="shared" si="1"/>
        <v>0.7248677249</v>
      </c>
      <c r="G303" s="5">
        <f t="shared" si="2"/>
        <v>5.275132275</v>
      </c>
      <c r="H303" s="3">
        <v>303.0</v>
      </c>
      <c r="I303" s="17"/>
    </row>
    <row r="304">
      <c r="A304" s="3">
        <v>6.0</v>
      </c>
      <c r="B304" s="3">
        <v>128.0</v>
      </c>
      <c r="C304" s="3">
        <v>216.0</v>
      </c>
      <c r="D304" s="3">
        <v>26.0</v>
      </c>
      <c r="E304" s="3">
        <v>7.0</v>
      </c>
      <c r="F304" s="11">
        <f t="shared" si="1"/>
        <v>0.5925925926</v>
      </c>
      <c r="G304" s="5">
        <f t="shared" si="2"/>
        <v>5.407407407</v>
      </c>
      <c r="H304" s="3">
        <v>304.0</v>
      </c>
      <c r="I304" s="17"/>
    </row>
    <row r="305">
      <c r="A305" s="3">
        <v>6.0</v>
      </c>
      <c r="B305" s="3">
        <v>115.0</v>
      </c>
      <c r="C305" s="3">
        <v>243.0</v>
      </c>
      <c r="D305" s="3">
        <v>26.0</v>
      </c>
      <c r="E305" s="3">
        <v>8.0</v>
      </c>
      <c r="F305" s="11">
        <f t="shared" si="1"/>
        <v>0.4732510288</v>
      </c>
      <c r="G305" s="5">
        <f t="shared" si="2"/>
        <v>5.526748971</v>
      </c>
      <c r="H305" s="3">
        <v>305.0</v>
      </c>
      <c r="I305" s="17"/>
    </row>
    <row r="306">
      <c r="A306" s="3">
        <v>6.0</v>
      </c>
      <c r="B306" s="3">
        <v>98.0</v>
      </c>
      <c r="C306" s="3">
        <v>270.0</v>
      </c>
      <c r="D306" s="3">
        <v>26.0</v>
      </c>
      <c r="E306" s="3">
        <v>9.0</v>
      </c>
      <c r="F306" s="11">
        <f t="shared" si="1"/>
        <v>0.362962963</v>
      </c>
      <c r="G306" s="5">
        <f t="shared" si="2"/>
        <v>5.637037037</v>
      </c>
      <c r="H306" s="3">
        <v>306.0</v>
      </c>
      <c r="I306" s="17"/>
    </row>
    <row r="307">
      <c r="A307" s="3">
        <v>6.0</v>
      </c>
      <c r="B307" s="3">
        <v>79.0</v>
      </c>
      <c r="C307" s="3">
        <v>297.0</v>
      </c>
      <c r="D307" s="3">
        <v>26.0</v>
      </c>
      <c r="E307" s="3">
        <v>10.0</v>
      </c>
      <c r="F307" s="11">
        <f t="shared" si="1"/>
        <v>0.265993266</v>
      </c>
      <c r="G307" s="5">
        <f t="shared" si="2"/>
        <v>5.734006734</v>
      </c>
      <c r="H307" s="3">
        <v>307.0</v>
      </c>
      <c r="I307" s="17"/>
    </row>
    <row r="308">
      <c r="A308" s="3">
        <v>6.0</v>
      </c>
      <c r="B308" s="3">
        <v>60.0</v>
      </c>
      <c r="C308" s="3">
        <v>324.0</v>
      </c>
      <c r="D308" s="3">
        <v>26.0</v>
      </c>
      <c r="E308" s="3">
        <v>11.0</v>
      </c>
      <c r="F308" s="11">
        <f t="shared" si="1"/>
        <v>0.1851851852</v>
      </c>
      <c r="G308" s="5">
        <f t="shared" si="2"/>
        <v>5.814814815</v>
      </c>
      <c r="H308" s="3">
        <v>308.0</v>
      </c>
      <c r="I308" s="17"/>
    </row>
    <row r="309">
      <c r="A309" s="3">
        <v>6.0</v>
      </c>
      <c r="B309" s="3">
        <v>47.0</v>
      </c>
      <c r="C309" s="3">
        <v>351.0</v>
      </c>
      <c r="D309" s="3">
        <v>26.0</v>
      </c>
      <c r="E309" s="3">
        <v>12.0</v>
      </c>
      <c r="F309" s="11">
        <f t="shared" si="1"/>
        <v>0.1339031339</v>
      </c>
      <c r="G309" s="5">
        <f t="shared" si="2"/>
        <v>5.866096866</v>
      </c>
      <c r="H309" s="3">
        <v>309.0</v>
      </c>
      <c r="I309" s="17"/>
    </row>
    <row r="310">
      <c r="A310" s="3">
        <v>6.0</v>
      </c>
      <c r="B310" s="3">
        <v>30.0</v>
      </c>
      <c r="C310" s="3">
        <v>378.0</v>
      </c>
      <c r="D310" s="3">
        <v>26.0</v>
      </c>
      <c r="E310" s="3">
        <v>13.0</v>
      </c>
      <c r="F310" s="11">
        <f t="shared" si="1"/>
        <v>0.07936507937</v>
      </c>
      <c r="G310" s="5">
        <f t="shared" si="2"/>
        <v>5.920634921</v>
      </c>
      <c r="H310" s="3">
        <v>310.0</v>
      </c>
      <c r="I310" s="17"/>
    </row>
    <row r="311">
      <c r="A311" s="3">
        <v>6.0</v>
      </c>
      <c r="B311" s="3">
        <v>128.0</v>
      </c>
      <c r="C311" s="3">
        <v>140.0</v>
      </c>
      <c r="D311" s="3">
        <v>27.0</v>
      </c>
      <c r="E311" s="3">
        <v>4.0</v>
      </c>
      <c r="F311" s="11">
        <f t="shared" si="1"/>
        <v>0.9142857143</v>
      </c>
      <c r="G311" s="5">
        <f t="shared" si="2"/>
        <v>5.085714286</v>
      </c>
      <c r="H311" s="3">
        <v>311.0</v>
      </c>
      <c r="I311" s="17"/>
    </row>
    <row r="312">
      <c r="A312" s="3">
        <v>6.0</v>
      </c>
      <c r="B312" s="3">
        <v>136.0</v>
      </c>
      <c r="C312" s="3">
        <v>168.0</v>
      </c>
      <c r="D312" s="3">
        <v>27.0</v>
      </c>
      <c r="E312" s="3">
        <v>5.0</v>
      </c>
      <c r="F312" s="11">
        <f t="shared" si="1"/>
        <v>0.8095238095</v>
      </c>
      <c r="G312" s="5">
        <f t="shared" si="2"/>
        <v>5.19047619</v>
      </c>
      <c r="H312" s="3">
        <v>312.0</v>
      </c>
      <c r="I312" s="17"/>
    </row>
    <row r="313">
      <c r="A313" s="3">
        <v>6.0</v>
      </c>
      <c r="B313" s="3">
        <v>132.0</v>
      </c>
      <c r="C313" s="3">
        <v>196.0</v>
      </c>
      <c r="D313" s="3">
        <v>27.0</v>
      </c>
      <c r="E313" s="3">
        <v>6.0</v>
      </c>
      <c r="F313" s="11">
        <f t="shared" si="1"/>
        <v>0.6734693878</v>
      </c>
      <c r="G313" s="5">
        <f t="shared" si="2"/>
        <v>5.326530612</v>
      </c>
      <c r="H313" s="3">
        <v>313.0</v>
      </c>
      <c r="I313" s="17"/>
    </row>
    <row r="314">
      <c r="A314" s="3">
        <v>6.0</v>
      </c>
      <c r="B314" s="3">
        <v>120.0</v>
      </c>
      <c r="C314" s="3">
        <v>224.0</v>
      </c>
      <c r="D314" s="3">
        <v>27.0</v>
      </c>
      <c r="E314" s="3">
        <v>7.0</v>
      </c>
      <c r="F314" s="11">
        <f t="shared" si="1"/>
        <v>0.5357142857</v>
      </c>
      <c r="G314" s="5">
        <f t="shared" si="2"/>
        <v>5.464285714</v>
      </c>
      <c r="H314" s="3">
        <v>314.0</v>
      </c>
      <c r="I314" s="17"/>
    </row>
    <row r="315">
      <c r="A315" s="3">
        <v>6.0</v>
      </c>
      <c r="B315" s="3">
        <v>106.0</v>
      </c>
      <c r="C315" s="3">
        <v>252.0</v>
      </c>
      <c r="D315" s="3">
        <v>27.0</v>
      </c>
      <c r="E315" s="3">
        <v>8.0</v>
      </c>
      <c r="F315" s="11">
        <f t="shared" si="1"/>
        <v>0.4206349206</v>
      </c>
      <c r="G315" s="5">
        <f t="shared" si="2"/>
        <v>5.579365079</v>
      </c>
      <c r="H315" s="3">
        <v>315.0</v>
      </c>
      <c r="I315" s="17"/>
    </row>
    <row r="316">
      <c r="A316" s="3">
        <v>6.0</v>
      </c>
      <c r="B316" s="3">
        <v>88.0</v>
      </c>
      <c r="C316" s="3">
        <v>280.0</v>
      </c>
      <c r="D316" s="3">
        <v>27.0</v>
      </c>
      <c r="E316" s="3">
        <v>9.0</v>
      </c>
      <c r="F316" s="11">
        <f t="shared" si="1"/>
        <v>0.3142857143</v>
      </c>
      <c r="G316" s="5">
        <f t="shared" si="2"/>
        <v>5.685714286</v>
      </c>
      <c r="H316" s="3">
        <v>316.0</v>
      </c>
      <c r="I316" s="17"/>
    </row>
    <row r="317">
      <c r="A317" s="3">
        <v>6.0</v>
      </c>
      <c r="B317" s="3">
        <v>70.0</v>
      </c>
      <c r="C317" s="3">
        <v>308.0</v>
      </c>
      <c r="D317" s="3">
        <v>27.0</v>
      </c>
      <c r="E317" s="3">
        <v>10.0</v>
      </c>
      <c r="F317" s="11">
        <f t="shared" si="1"/>
        <v>0.2272727273</v>
      </c>
      <c r="G317" s="5">
        <f t="shared" si="2"/>
        <v>5.772727273</v>
      </c>
      <c r="H317" s="3">
        <v>317.0</v>
      </c>
      <c r="I317" s="17"/>
    </row>
    <row r="318">
      <c r="A318" s="3">
        <v>6.0</v>
      </c>
      <c r="B318" s="3">
        <v>52.0</v>
      </c>
      <c r="C318" s="3">
        <v>336.0</v>
      </c>
      <c r="D318" s="3">
        <v>27.0</v>
      </c>
      <c r="E318" s="3">
        <v>11.0</v>
      </c>
      <c r="F318" s="11">
        <f t="shared" si="1"/>
        <v>0.1547619048</v>
      </c>
      <c r="G318" s="5">
        <f t="shared" si="2"/>
        <v>5.845238095</v>
      </c>
      <c r="H318" s="3">
        <v>318.0</v>
      </c>
      <c r="I318" s="17"/>
    </row>
    <row r="319">
      <c r="A319" s="3">
        <v>6.0</v>
      </c>
      <c r="B319" s="3">
        <v>40.0</v>
      </c>
      <c r="C319" s="3">
        <v>364.0</v>
      </c>
      <c r="D319" s="3">
        <v>27.0</v>
      </c>
      <c r="E319" s="3">
        <v>12.0</v>
      </c>
      <c r="F319" s="11">
        <f t="shared" si="1"/>
        <v>0.1098901099</v>
      </c>
      <c r="G319" s="5">
        <f t="shared" si="2"/>
        <v>5.89010989</v>
      </c>
      <c r="H319" s="3">
        <v>319.0</v>
      </c>
      <c r="I319" s="17"/>
    </row>
    <row r="320">
      <c r="A320" s="3">
        <v>6.0</v>
      </c>
      <c r="B320" s="3">
        <v>18.0</v>
      </c>
      <c r="C320" s="3">
        <v>392.0</v>
      </c>
      <c r="D320" s="3">
        <v>27.0</v>
      </c>
      <c r="E320" s="3">
        <v>13.0</v>
      </c>
      <c r="F320" s="11">
        <f t="shared" si="1"/>
        <v>0.04591836735</v>
      </c>
      <c r="G320" s="5">
        <f t="shared" si="2"/>
        <v>5.954081633</v>
      </c>
      <c r="H320" s="3">
        <v>320.0</v>
      </c>
      <c r="I320" s="17"/>
    </row>
    <row r="321">
      <c r="A321" s="3">
        <v>6.0</v>
      </c>
      <c r="B321" s="3">
        <v>112.0</v>
      </c>
      <c r="C321" s="3">
        <v>116.0</v>
      </c>
      <c r="D321" s="3">
        <v>28.0</v>
      </c>
      <c r="E321" s="3">
        <v>3.0</v>
      </c>
      <c r="F321" s="11">
        <f t="shared" si="1"/>
        <v>0.9655172414</v>
      </c>
      <c r="G321" s="5">
        <f t="shared" si="2"/>
        <v>5.034482759</v>
      </c>
      <c r="H321" s="3">
        <v>321.0</v>
      </c>
      <c r="I321" s="17"/>
    </row>
    <row r="322">
      <c r="A322" s="3">
        <v>6.0</v>
      </c>
      <c r="B322" s="3">
        <v>125.0</v>
      </c>
      <c r="C322" s="3">
        <v>145.0</v>
      </c>
      <c r="D322" s="3">
        <v>28.0</v>
      </c>
      <c r="E322" s="3">
        <v>4.0</v>
      </c>
      <c r="F322" s="11">
        <f t="shared" si="1"/>
        <v>0.8620689655</v>
      </c>
      <c r="G322" s="5">
        <f t="shared" si="2"/>
        <v>5.137931034</v>
      </c>
      <c r="H322" s="3">
        <v>322.0</v>
      </c>
      <c r="I322" s="17"/>
    </row>
    <row r="323">
      <c r="A323" s="3">
        <v>6.0</v>
      </c>
      <c r="B323" s="3">
        <v>130.0</v>
      </c>
      <c r="C323" s="3">
        <v>174.0</v>
      </c>
      <c r="D323" s="3">
        <v>28.0</v>
      </c>
      <c r="E323" s="3">
        <v>5.0</v>
      </c>
      <c r="F323" s="11">
        <f t="shared" si="1"/>
        <v>0.7471264368</v>
      </c>
      <c r="G323" s="5">
        <f t="shared" si="2"/>
        <v>5.252873563</v>
      </c>
      <c r="H323" s="3">
        <v>323.0</v>
      </c>
      <c r="I323" s="17"/>
    </row>
    <row r="324">
      <c r="A324" s="3">
        <v>6.0</v>
      </c>
      <c r="B324" s="3">
        <v>125.0</v>
      </c>
      <c r="C324" s="3">
        <v>203.0</v>
      </c>
      <c r="D324" s="3">
        <v>28.0</v>
      </c>
      <c r="E324" s="3">
        <v>6.0</v>
      </c>
      <c r="F324" s="11">
        <f t="shared" si="1"/>
        <v>0.6157635468</v>
      </c>
      <c r="G324" s="5">
        <f t="shared" si="2"/>
        <v>5.384236453</v>
      </c>
      <c r="H324" s="3">
        <v>324.0</v>
      </c>
      <c r="I324" s="17"/>
    </row>
    <row r="325">
      <c r="A325" s="3">
        <v>6.0</v>
      </c>
      <c r="B325" s="3">
        <v>112.0</v>
      </c>
      <c r="C325" s="3">
        <v>232.0</v>
      </c>
      <c r="D325" s="3">
        <v>28.0</v>
      </c>
      <c r="E325" s="3">
        <v>7.0</v>
      </c>
      <c r="F325" s="11">
        <f t="shared" si="1"/>
        <v>0.4827586207</v>
      </c>
      <c r="G325" s="5">
        <f t="shared" si="2"/>
        <v>5.517241379</v>
      </c>
      <c r="H325" s="3">
        <v>325.0</v>
      </c>
      <c r="I325" s="17"/>
    </row>
    <row r="326">
      <c r="A326" s="3">
        <v>6.0</v>
      </c>
      <c r="B326" s="3">
        <v>97.0</v>
      </c>
      <c r="C326" s="3">
        <v>261.0</v>
      </c>
      <c r="D326" s="3">
        <v>28.0</v>
      </c>
      <c r="E326" s="3">
        <v>8.0</v>
      </c>
      <c r="F326" s="11">
        <f t="shared" si="1"/>
        <v>0.3716475096</v>
      </c>
      <c r="G326" s="5">
        <f t="shared" si="2"/>
        <v>5.62835249</v>
      </c>
      <c r="H326" s="3">
        <v>326.0</v>
      </c>
      <c r="I326" s="17"/>
    </row>
    <row r="327">
      <c r="A327" s="3">
        <v>6.0</v>
      </c>
      <c r="B327" s="3">
        <v>78.0</v>
      </c>
      <c r="C327" s="3">
        <v>290.0</v>
      </c>
      <c r="D327" s="3">
        <v>28.0</v>
      </c>
      <c r="E327" s="3">
        <v>9.0</v>
      </c>
      <c r="F327" s="11">
        <f t="shared" si="1"/>
        <v>0.2689655172</v>
      </c>
      <c r="G327" s="5">
        <f t="shared" si="2"/>
        <v>5.731034483</v>
      </c>
      <c r="H327" s="3">
        <v>327.0</v>
      </c>
      <c r="I327" s="17"/>
    </row>
    <row r="328">
      <c r="A328" s="3">
        <v>6.0</v>
      </c>
      <c r="B328" s="3">
        <v>61.0</v>
      </c>
      <c r="C328" s="3">
        <v>319.0</v>
      </c>
      <c r="D328" s="3">
        <v>28.0</v>
      </c>
      <c r="E328" s="3">
        <v>10.0</v>
      </c>
      <c r="F328" s="11">
        <f t="shared" si="1"/>
        <v>0.1912225705</v>
      </c>
      <c r="G328" s="5">
        <f t="shared" si="2"/>
        <v>5.808777429</v>
      </c>
      <c r="H328" s="3">
        <v>328.0</v>
      </c>
      <c r="I328" s="17"/>
    </row>
    <row r="329">
      <c r="A329" s="3">
        <v>6.0</v>
      </c>
      <c r="B329" s="3">
        <v>44.0</v>
      </c>
      <c r="C329" s="3">
        <v>348.0</v>
      </c>
      <c r="D329" s="3">
        <v>28.0</v>
      </c>
      <c r="E329" s="3">
        <v>11.0</v>
      </c>
      <c r="F329" s="11">
        <f t="shared" si="1"/>
        <v>0.1264367816</v>
      </c>
      <c r="G329" s="5">
        <f t="shared" si="2"/>
        <v>5.873563218</v>
      </c>
      <c r="H329" s="3">
        <v>329.0</v>
      </c>
      <c r="I329" s="17"/>
    </row>
    <row r="330">
      <c r="A330" s="3">
        <v>6.0</v>
      </c>
      <c r="B330" s="3">
        <v>31.0</v>
      </c>
      <c r="C330" s="3">
        <v>377.0</v>
      </c>
      <c r="D330" s="3">
        <v>28.0</v>
      </c>
      <c r="E330" s="3">
        <v>12.0</v>
      </c>
      <c r="F330" s="11">
        <f t="shared" si="1"/>
        <v>0.08222811671</v>
      </c>
      <c r="G330" s="5">
        <f t="shared" si="2"/>
        <v>5.917771883</v>
      </c>
      <c r="H330" s="3">
        <v>330.0</v>
      </c>
      <c r="I330" s="17"/>
    </row>
    <row r="331">
      <c r="A331" s="3">
        <v>6.0</v>
      </c>
      <c r="B331" s="3">
        <v>112.0</v>
      </c>
      <c r="C331" s="3">
        <v>120.0</v>
      </c>
      <c r="D331" s="3">
        <v>29.0</v>
      </c>
      <c r="E331" s="3">
        <v>3.0</v>
      </c>
      <c r="F331" s="11">
        <f t="shared" si="1"/>
        <v>0.9333333333</v>
      </c>
      <c r="G331" s="5">
        <f t="shared" si="2"/>
        <v>5.066666667</v>
      </c>
      <c r="H331" s="3">
        <v>331.0</v>
      </c>
      <c r="I331" s="17"/>
    </row>
    <row r="332">
      <c r="A332" s="3">
        <v>6.0</v>
      </c>
      <c r="B332" s="3">
        <v>122.0</v>
      </c>
      <c r="C332" s="3">
        <v>150.0</v>
      </c>
      <c r="D332" s="3">
        <v>29.0</v>
      </c>
      <c r="E332" s="3">
        <v>4.0</v>
      </c>
      <c r="F332" s="11">
        <f t="shared" si="1"/>
        <v>0.8133333333</v>
      </c>
      <c r="G332" s="5">
        <f t="shared" si="2"/>
        <v>5.186666667</v>
      </c>
      <c r="H332" s="3">
        <v>332.0</v>
      </c>
      <c r="I332" s="17"/>
    </row>
    <row r="333">
      <c r="A333" s="3">
        <v>6.0</v>
      </c>
      <c r="B333" s="3">
        <v>124.0</v>
      </c>
      <c r="C333" s="3">
        <v>180.0</v>
      </c>
      <c r="D333" s="3">
        <v>29.0</v>
      </c>
      <c r="E333" s="3">
        <v>5.0</v>
      </c>
      <c r="F333" s="11">
        <f t="shared" si="1"/>
        <v>0.6888888889</v>
      </c>
      <c r="G333" s="5">
        <f t="shared" si="2"/>
        <v>5.311111111</v>
      </c>
      <c r="H333" s="3">
        <v>333.0</v>
      </c>
      <c r="I333" s="17"/>
    </row>
    <row r="334">
      <c r="A334" s="3">
        <v>6.0</v>
      </c>
      <c r="B334" s="3">
        <v>118.0</v>
      </c>
      <c r="C334" s="3">
        <v>210.0</v>
      </c>
      <c r="D334" s="3">
        <v>29.0</v>
      </c>
      <c r="E334" s="3">
        <v>6.0</v>
      </c>
      <c r="F334" s="11">
        <f t="shared" si="1"/>
        <v>0.5619047619</v>
      </c>
      <c r="G334" s="5">
        <f t="shared" si="2"/>
        <v>5.438095238</v>
      </c>
      <c r="H334" s="3">
        <v>334.0</v>
      </c>
      <c r="I334" s="17"/>
    </row>
    <row r="335">
      <c r="A335" s="3">
        <v>6.0</v>
      </c>
      <c r="B335" s="3">
        <v>104.0</v>
      </c>
      <c r="C335" s="3">
        <v>240.0</v>
      </c>
      <c r="D335" s="3">
        <v>29.0</v>
      </c>
      <c r="E335" s="3">
        <v>7.0</v>
      </c>
      <c r="F335" s="11">
        <f t="shared" si="1"/>
        <v>0.4333333333</v>
      </c>
      <c r="G335" s="5">
        <f t="shared" si="2"/>
        <v>5.566666667</v>
      </c>
      <c r="H335" s="3">
        <v>335.0</v>
      </c>
      <c r="I335" s="17"/>
    </row>
    <row r="336">
      <c r="A336" s="3">
        <v>6.0</v>
      </c>
      <c r="B336" s="3">
        <v>88.0</v>
      </c>
      <c r="C336" s="3">
        <v>270.0</v>
      </c>
      <c r="D336" s="3">
        <v>29.0</v>
      </c>
      <c r="E336" s="3">
        <v>8.0</v>
      </c>
      <c r="F336" s="11">
        <f t="shared" si="1"/>
        <v>0.3259259259</v>
      </c>
      <c r="G336" s="5">
        <f t="shared" si="2"/>
        <v>5.674074074</v>
      </c>
      <c r="H336" s="3">
        <v>336.0</v>
      </c>
      <c r="I336" s="17"/>
    </row>
    <row r="337">
      <c r="A337" s="3">
        <v>6.0</v>
      </c>
      <c r="B337" s="3">
        <v>68.0</v>
      </c>
      <c r="C337" s="3">
        <v>300.0</v>
      </c>
      <c r="D337" s="3">
        <v>29.0</v>
      </c>
      <c r="E337" s="3">
        <v>9.0</v>
      </c>
      <c r="F337" s="11">
        <f t="shared" si="1"/>
        <v>0.2266666667</v>
      </c>
      <c r="G337" s="5">
        <f t="shared" si="2"/>
        <v>5.773333333</v>
      </c>
      <c r="H337" s="3">
        <v>337.0</v>
      </c>
      <c r="I337" s="17"/>
    </row>
    <row r="338">
      <c r="A338" s="3">
        <v>6.0</v>
      </c>
      <c r="B338" s="3">
        <v>52.0</v>
      </c>
      <c r="C338" s="3">
        <v>330.0</v>
      </c>
      <c r="D338" s="3">
        <v>29.0</v>
      </c>
      <c r="E338" s="3">
        <v>10.0</v>
      </c>
      <c r="F338" s="11">
        <f t="shared" si="1"/>
        <v>0.1575757576</v>
      </c>
      <c r="G338" s="5">
        <f t="shared" si="2"/>
        <v>5.842424242</v>
      </c>
      <c r="H338" s="3">
        <v>338.0</v>
      </c>
      <c r="I338" s="17"/>
    </row>
    <row r="339">
      <c r="A339" s="3">
        <v>6.0</v>
      </c>
      <c r="B339" s="3">
        <v>36.0</v>
      </c>
      <c r="C339" s="3">
        <v>360.0</v>
      </c>
      <c r="D339" s="3">
        <v>29.0</v>
      </c>
      <c r="E339" s="3">
        <v>11.0</v>
      </c>
      <c r="F339" s="11">
        <f t="shared" si="1"/>
        <v>0.1</v>
      </c>
      <c r="G339" s="5">
        <f t="shared" si="2"/>
        <v>5.9</v>
      </c>
      <c r="H339" s="3">
        <v>339.0</v>
      </c>
      <c r="I339" s="17"/>
    </row>
    <row r="340">
      <c r="A340" s="3">
        <v>6.0</v>
      </c>
      <c r="B340" s="3">
        <v>6.0</v>
      </c>
      <c r="C340" s="3">
        <v>390.0</v>
      </c>
      <c r="D340" s="3">
        <v>29.0</v>
      </c>
      <c r="E340" s="3">
        <v>12.0</v>
      </c>
      <c r="F340" s="11">
        <f t="shared" si="1"/>
        <v>0.01538461538</v>
      </c>
      <c r="G340" s="5">
        <f t="shared" si="2"/>
        <v>5.984615385</v>
      </c>
      <c r="H340" s="3">
        <v>340.0</v>
      </c>
      <c r="I340" s="17"/>
    </row>
    <row r="341">
      <c r="A341" s="3">
        <v>6.0</v>
      </c>
      <c r="B341" s="3">
        <v>112.0</v>
      </c>
      <c r="C341" s="3">
        <v>124.0</v>
      </c>
      <c r="D341" s="3">
        <v>30.0</v>
      </c>
      <c r="E341" s="3">
        <v>3.0</v>
      </c>
      <c r="F341" s="11">
        <f t="shared" si="1"/>
        <v>0.9032258065</v>
      </c>
      <c r="G341" s="5">
        <f t="shared" si="2"/>
        <v>5.096774194</v>
      </c>
      <c r="H341" s="3">
        <v>341.0</v>
      </c>
      <c r="I341" s="17"/>
    </row>
    <row r="342">
      <c r="A342" s="3">
        <v>6.0</v>
      </c>
      <c r="B342" s="3">
        <v>119.0</v>
      </c>
      <c r="C342" s="3">
        <v>155.0</v>
      </c>
      <c r="D342" s="3">
        <v>30.0</v>
      </c>
      <c r="E342" s="3">
        <v>4.0</v>
      </c>
      <c r="F342" s="11">
        <f t="shared" si="1"/>
        <v>0.7677419355</v>
      </c>
      <c r="G342" s="5">
        <f t="shared" si="2"/>
        <v>5.232258065</v>
      </c>
      <c r="H342" s="3">
        <v>342.0</v>
      </c>
      <c r="I342" s="17"/>
    </row>
    <row r="343">
      <c r="A343" s="3">
        <v>6.0</v>
      </c>
      <c r="B343" s="3">
        <v>118.0</v>
      </c>
      <c r="C343" s="3">
        <v>186.0</v>
      </c>
      <c r="D343" s="3">
        <v>30.0</v>
      </c>
      <c r="E343" s="3">
        <v>5.0</v>
      </c>
      <c r="F343" s="11">
        <f t="shared" si="1"/>
        <v>0.6344086022</v>
      </c>
      <c r="G343" s="5">
        <f t="shared" si="2"/>
        <v>5.365591398</v>
      </c>
      <c r="H343" s="3">
        <v>343.0</v>
      </c>
      <c r="I343" s="17"/>
    </row>
    <row r="344">
      <c r="A344" s="3">
        <v>6.0</v>
      </c>
      <c r="B344" s="3">
        <v>111.0</v>
      </c>
      <c r="C344" s="3">
        <v>217.0</v>
      </c>
      <c r="D344" s="3">
        <v>30.0</v>
      </c>
      <c r="E344" s="3">
        <v>6.0</v>
      </c>
      <c r="F344" s="11">
        <f t="shared" si="1"/>
        <v>0.5115207373</v>
      </c>
      <c r="G344" s="5">
        <f t="shared" si="2"/>
        <v>5.488479263</v>
      </c>
      <c r="H344" s="3">
        <v>344.0</v>
      </c>
      <c r="I344" s="17"/>
    </row>
    <row r="345">
      <c r="A345" s="3">
        <v>6.0</v>
      </c>
      <c r="B345" s="3">
        <v>96.0</v>
      </c>
      <c r="C345" s="3">
        <v>248.0</v>
      </c>
      <c r="D345" s="3">
        <v>30.0</v>
      </c>
      <c r="E345" s="3">
        <v>7.0</v>
      </c>
      <c r="F345" s="11">
        <f t="shared" si="1"/>
        <v>0.3870967742</v>
      </c>
      <c r="G345" s="5">
        <f t="shared" si="2"/>
        <v>5.612903226</v>
      </c>
      <c r="H345" s="3">
        <v>345.0</v>
      </c>
      <c r="I345" s="17"/>
    </row>
    <row r="346">
      <c r="A346" s="3">
        <v>6.0</v>
      </c>
      <c r="B346" s="3">
        <v>79.0</v>
      </c>
      <c r="C346" s="3">
        <v>279.0</v>
      </c>
      <c r="D346" s="3">
        <v>30.0</v>
      </c>
      <c r="E346" s="3">
        <v>8.0</v>
      </c>
      <c r="F346" s="11">
        <f t="shared" si="1"/>
        <v>0.2831541219</v>
      </c>
      <c r="G346" s="5">
        <f t="shared" si="2"/>
        <v>5.716845878</v>
      </c>
      <c r="H346" s="3">
        <v>346.0</v>
      </c>
      <c r="I346" s="17"/>
    </row>
    <row r="347">
      <c r="A347" s="3">
        <v>6.0</v>
      </c>
      <c r="B347" s="3">
        <v>60.0</v>
      </c>
      <c r="C347" s="3">
        <v>310.0</v>
      </c>
      <c r="D347" s="3">
        <v>30.0</v>
      </c>
      <c r="E347" s="3">
        <v>9.0</v>
      </c>
      <c r="F347" s="11">
        <f t="shared" si="1"/>
        <v>0.1935483871</v>
      </c>
      <c r="G347" s="5">
        <f t="shared" si="2"/>
        <v>5.806451613</v>
      </c>
      <c r="H347" s="3">
        <v>347.0</v>
      </c>
      <c r="I347" s="17"/>
    </row>
    <row r="348">
      <c r="A348" s="3">
        <v>6.0</v>
      </c>
      <c r="B348" s="3">
        <v>45.0</v>
      </c>
      <c r="C348" s="3">
        <v>341.0</v>
      </c>
      <c r="D348" s="3">
        <v>30.0</v>
      </c>
      <c r="E348" s="3">
        <v>10.0</v>
      </c>
      <c r="F348" s="11">
        <f t="shared" si="1"/>
        <v>0.1319648094</v>
      </c>
      <c r="G348" s="5">
        <f t="shared" si="2"/>
        <v>5.868035191</v>
      </c>
      <c r="H348" s="3">
        <v>348.0</v>
      </c>
      <c r="I348" s="17"/>
    </row>
    <row r="349">
      <c r="A349" s="3">
        <v>6.0</v>
      </c>
      <c r="B349" s="3">
        <v>26.0</v>
      </c>
      <c r="C349" s="3">
        <v>372.0</v>
      </c>
      <c r="D349" s="3">
        <v>30.0</v>
      </c>
      <c r="E349" s="3">
        <v>11.0</v>
      </c>
      <c r="F349" s="11">
        <f t="shared" si="1"/>
        <v>0.06989247312</v>
      </c>
      <c r="G349" s="5">
        <f t="shared" si="2"/>
        <v>5.930107527</v>
      </c>
      <c r="H349" s="3">
        <v>349.0</v>
      </c>
      <c r="I349" s="17"/>
    </row>
    <row r="350">
      <c r="A350" s="3">
        <v>6.0</v>
      </c>
      <c r="B350" s="3">
        <v>112.0</v>
      </c>
      <c r="C350" s="3">
        <v>128.0</v>
      </c>
      <c r="D350" s="3">
        <v>31.0</v>
      </c>
      <c r="E350" s="3">
        <v>3.0</v>
      </c>
      <c r="F350" s="11">
        <f t="shared" si="1"/>
        <v>0.875</v>
      </c>
      <c r="G350" s="5">
        <f t="shared" si="2"/>
        <v>5.125</v>
      </c>
      <c r="H350" s="3">
        <v>350.0</v>
      </c>
      <c r="I350" s="17"/>
    </row>
    <row r="351">
      <c r="A351" s="3">
        <v>6.0</v>
      </c>
      <c r="B351" s="3">
        <v>116.0</v>
      </c>
      <c r="C351" s="3">
        <v>160.0</v>
      </c>
      <c r="D351" s="3">
        <v>31.0</v>
      </c>
      <c r="E351" s="3">
        <v>4.0</v>
      </c>
      <c r="F351" s="11">
        <f t="shared" si="1"/>
        <v>0.725</v>
      </c>
      <c r="G351" s="5">
        <f t="shared" si="2"/>
        <v>5.275</v>
      </c>
      <c r="H351" s="3">
        <v>351.0</v>
      </c>
      <c r="I351" s="17"/>
    </row>
    <row r="352">
      <c r="A352" s="3">
        <v>6.0</v>
      </c>
      <c r="B352" s="3">
        <v>112.0</v>
      </c>
      <c r="C352" s="3">
        <v>192.0</v>
      </c>
      <c r="D352" s="3">
        <v>31.0</v>
      </c>
      <c r="E352" s="3">
        <v>5.0</v>
      </c>
      <c r="F352" s="11">
        <f t="shared" si="1"/>
        <v>0.5833333333</v>
      </c>
      <c r="G352" s="5">
        <f t="shared" si="2"/>
        <v>5.416666667</v>
      </c>
      <c r="H352" s="3">
        <v>352.0</v>
      </c>
      <c r="I352" s="17"/>
    </row>
    <row r="353">
      <c r="A353" s="3">
        <v>6.0</v>
      </c>
      <c r="B353" s="3">
        <v>104.0</v>
      </c>
      <c r="C353" s="3">
        <v>224.0</v>
      </c>
      <c r="D353" s="3">
        <v>31.0</v>
      </c>
      <c r="E353" s="3">
        <v>6.0</v>
      </c>
      <c r="F353" s="11">
        <f t="shared" si="1"/>
        <v>0.4642857143</v>
      </c>
      <c r="G353" s="5">
        <f t="shared" si="2"/>
        <v>5.535714286</v>
      </c>
      <c r="H353" s="3">
        <v>353.0</v>
      </c>
      <c r="I353" s="17"/>
    </row>
    <row r="354">
      <c r="A354" s="3">
        <v>6.0</v>
      </c>
      <c r="B354" s="3">
        <v>88.0</v>
      </c>
      <c r="C354" s="3">
        <v>256.0</v>
      </c>
      <c r="D354" s="3">
        <v>31.0</v>
      </c>
      <c r="E354" s="3">
        <v>7.0</v>
      </c>
      <c r="F354" s="11">
        <f t="shared" si="1"/>
        <v>0.34375</v>
      </c>
      <c r="G354" s="5">
        <f t="shared" si="2"/>
        <v>5.65625</v>
      </c>
      <c r="H354" s="3">
        <v>354.0</v>
      </c>
      <c r="I354" s="17"/>
    </row>
    <row r="355">
      <c r="A355" s="3">
        <v>6.0</v>
      </c>
      <c r="B355" s="3">
        <v>70.0</v>
      </c>
      <c r="C355" s="3">
        <v>288.0</v>
      </c>
      <c r="D355" s="3">
        <v>31.0</v>
      </c>
      <c r="E355" s="3">
        <v>8.0</v>
      </c>
      <c r="F355" s="11">
        <f t="shared" si="1"/>
        <v>0.2430555556</v>
      </c>
      <c r="G355" s="5">
        <f t="shared" si="2"/>
        <v>5.756944444</v>
      </c>
      <c r="H355" s="3">
        <v>355.0</v>
      </c>
      <c r="I355" s="17"/>
    </row>
    <row r="356">
      <c r="A356" s="3">
        <v>6.0</v>
      </c>
      <c r="B356" s="3">
        <v>52.0</v>
      </c>
      <c r="C356" s="3">
        <v>320.0</v>
      </c>
      <c r="D356" s="3">
        <v>31.0</v>
      </c>
      <c r="E356" s="3">
        <v>9.0</v>
      </c>
      <c r="F356" s="11">
        <f t="shared" si="1"/>
        <v>0.1625</v>
      </c>
      <c r="G356" s="5">
        <f t="shared" si="2"/>
        <v>5.8375</v>
      </c>
      <c r="H356" s="3">
        <v>356.0</v>
      </c>
      <c r="I356" s="17"/>
    </row>
    <row r="357">
      <c r="A357" s="3">
        <v>6.0</v>
      </c>
      <c r="B357" s="3">
        <v>36.0</v>
      </c>
      <c r="C357" s="3">
        <v>352.0</v>
      </c>
      <c r="D357" s="3">
        <v>31.0</v>
      </c>
      <c r="E357" s="3">
        <v>10.0</v>
      </c>
      <c r="F357" s="11">
        <f t="shared" si="1"/>
        <v>0.1022727273</v>
      </c>
      <c r="G357" s="5">
        <f t="shared" si="2"/>
        <v>5.897727273</v>
      </c>
      <c r="H357" s="3">
        <v>357.0</v>
      </c>
      <c r="I357" s="17"/>
    </row>
    <row r="358">
      <c r="A358" s="3">
        <v>6.0</v>
      </c>
      <c r="B358" s="3">
        <v>6.0</v>
      </c>
      <c r="C358" s="3">
        <v>384.0</v>
      </c>
      <c r="D358" s="3">
        <v>31.0</v>
      </c>
      <c r="E358" s="3">
        <v>11.0</v>
      </c>
      <c r="F358" s="11">
        <f t="shared" si="1"/>
        <v>0.015625</v>
      </c>
      <c r="G358" s="5">
        <f t="shared" si="2"/>
        <v>5.984375</v>
      </c>
      <c r="H358" s="3">
        <v>358.0</v>
      </c>
      <c r="I358" s="17"/>
    </row>
    <row r="359">
      <c r="A359" s="3">
        <v>6.0</v>
      </c>
      <c r="B359" s="3">
        <v>95.0</v>
      </c>
      <c r="C359" s="3">
        <v>99.0</v>
      </c>
      <c r="D359" s="3">
        <v>32.0</v>
      </c>
      <c r="E359" s="3">
        <v>2.0</v>
      </c>
      <c r="F359" s="11">
        <f t="shared" si="1"/>
        <v>0.9595959596</v>
      </c>
      <c r="G359" s="5">
        <f t="shared" si="2"/>
        <v>5.04040404</v>
      </c>
      <c r="H359" s="3">
        <v>359.0</v>
      </c>
      <c r="I359" s="17"/>
    </row>
    <row r="360">
      <c r="A360" s="3">
        <v>6.0</v>
      </c>
      <c r="B360" s="3">
        <v>108.0</v>
      </c>
      <c r="C360" s="3">
        <v>132.0</v>
      </c>
      <c r="D360" s="3">
        <v>32.0</v>
      </c>
      <c r="E360" s="3">
        <v>3.0</v>
      </c>
      <c r="F360" s="11">
        <f t="shared" si="1"/>
        <v>0.8181818182</v>
      </c>
      <c r="G360" s="5">
        <f t="shared" si="2"/>
        <v>5.181818182</v>
      </c>
      <c r="H360" s="3">
        <v>360.0</v>
      </c>
      <c r="I360" s="17"/>
    </row>
    <row r="361">
      <c r="A361" s="3">
        <v>6.0</v>
      </c>
      <c r="B361" s="3">
        <v>111.0</v>
      </c>
      <c r="C361" s="3">
        <v>165.0</v>
      </c>
      <c r="D361" s="3">
        <v>32.0</v>
      </c>
      <c r="E361" s="3">
        <v>4.0</v>
      </c>
      <c r="F361" s="11">
        <f t="shared" si="1"/>
        <v>0.6727272727</v>
      </c>
      <c r="G361" s="5">
        <f t="shared" si="2"/>
        <v>5.327272727</v>
      </c>
      <c r="H361" s="3">
        <v>361.0</v>
      </c>
      <c r="I361" s="17"/>
    </row>
    <row r="362">
      <c r="A362" s="3">
        <v>6.0</v>
      </c>
      <c r="B362" s="3">
        <v>106.0</v>
      </c>
      <c r="C362" s="3">
        <v>198.0</v>
      </c>
      <c r="D362" s="3">
        <v>32.0</v>
      </c>
      <c r="E362" s="3">
        <v>5.0</v>
      </c>
      <c r="F362" s="11">
        <f t="shared" si="1"/>
        <v>0.5353535354</v>
      </c>
      <c r="G362" s="5">
        <f t="shared" si="2"/>
        <v>5.464646465</v>
      </c>
      <c r="H362" s="3">
        <v>362.0</v>
      </c>
      <c r="I362" s="17"/>
    </row>
    <row r="363">
      <c r="A363" s="3">
        <v>6.0</v>
      </c>
      <c r="B363" s="3">
        <v>97.0</v>
      </c>
      <c r="C363" s="3">
        <v>231.0</v>
      </c>
      <c r="D363" s="3">
        <v>32.0</v>
      </c>
      <c r="E363" s="3">
        <v>6.0</v>
      </c>
      <c r="F363" s="11">
        <f t="shared" si="1"/>
        <v>0.4199134199</v>
      </c>
      <c r="G363" s="5">
        <f t="shared" si="2"/>
        <v>5.58008658</v>
      </c>
      <c r="H363" s="3">
        <v>363.0</v>
      </c>
      <c r="I363" s="17"/>
    </row>
    <row r="364">
      <c r="A364" s="3">
        <v>6.0</v>
      </c>
      <c r="B364" s="3">
        <v>80.0</v>
      </c>
      <c r="C364" s="3">
        <v>264.0</v>
      </c>
      <c r="D364" s="3">
        <v>32.0</v>
      </c>
      <c r="E364" s="3">
        <v>7.0</v>
      </c>
      <c r="F364" s="11">
        <f t="shared" si="1"/>
        <v>0.303030303</v>
      </c>
      <c r="G364" s="5">
        <f t="shared" si="2"/>
        <v>5.696969697</v>
      </c>
      <c r="H364" s="3">
        <v>364.0</v>
      </c>
      <c r="I364" s="17"/>
    </row>
    <row r="365">
      <c r="A365" s="3">
        <v>6.0</v>
      </c>
      <c r="B365" s="3">
        <v>63.0</v>
      </c>
      <c r="C365" s="3">
        <v>297.0</v>
      </c>
      <c r="D365" s="3">
        <v>32.0</v>
      </c>
      <c r="E365" s="3">
        <v>8.0</v>
      </c>
      <c r="F365" s="11">
        <f t="shared" si="1"/>
        <v>0.2121212121</v>
      </c>
      <c r="G365" s="5">
        <f t="shared" si="2"/>
        <v>5.787878788</v>
      </c>
      <c r="H365" s="3">
        <v>365.0</v>
      </c>
      <c r="I365" s="17"/>
    </row>
    <row r="366">
      <c r="A366" s="3">
        <v>6.0</v>
      </c>
      <c r="B366" s="3">
        <v>46.0</v>
      </c>
      <c r="C366" s="3">
        <v>330.0</v>
      </c>
      <c r="D366" s="3">
        <v>32.0</v>
      </c>
      <c r="E366" s="3">
        <v>9.0</v>
      </c>
      <c r="F366" s="11">
        <f t="shared" si="1"/>
        <v>0.1393939394</v>
      </c>
      <c r="G366" s="5">
        <f t="shared" si="2"/>
        <v>5.860606061</v>
      </c>
      <c r="H366" s="3">
        <v>366.0</v>
      </c>
      <c r="I366" s="17"/>
    </row>
    <row r="367">
      <c r="A367" s="3">
        <v>6.0</v>
      </c>
      <c r="B367" s="3">
        <v>29.0</v>
      </c>
      <c r="C367" s="3">
        <v>363.0</v>
      </c>
      <c r="D367" s="3">
        <v>32.0</v>
      </c>
      <c r="E367" s="3">
        <v>10.0</v>
      </c>
      <c r="F367" s="11">
        <f t="shared" si="1"/>
        <v>0.07988980716</v>
      </c>
      <c r="G367" s="5">
        <f t="shared" si="2"/>
        <v>5.920110193</v>
      </c>
      <c r="H367" s="3">
        <v>367.0</v>
      </c>
      <c r="I367" s="17"/>
    </row>
    <row r="368">
      <c r="A368" s="3">
        <v>6.0</v>
      </c>
      <c r="B368" s="3">
        <v>64.0</v>
      </c>
      <c r="C368" s="3">
        <v>68.0</v>
      </c>
      <c r="D368" s="3">
        <v>33.0</v>
      </c>
      <c r="E368" s="3">
        <v>1.0</v>
      </c>
      <c r="F368" s="11">
        <f t="shared" si="1"/>
        <v>0.9411764706</v>
      </c>
      <c r="G368" s="5">
        <f t="shared" si="2"/>
        <v>5.058823529</v>
      </c>
      <c r="H368" s="3">
        <v>368.0</v>
      </c>
      <c r="I368" s="17"/>
    </row>
    <row r="369">
      <c r="A369" s="3">
        <v>6.0</v>
      </c>
      <c r="B369" s="3">
        <v>92.0</v>
      </c>
      <c r="C369" s="3">
        <v>102.0</v>
      </c>
      <c r="D369" s="3">
        <v>33.0</v>
      </c>
      <c r="E369" s="3">
        <v>2.0</v>
      </c>
      <c r="F369" s="11">
        <f t="shared" si="1"/>
        <v>0.9019607843</v>
      </c>
      <c r="G369" s="5">
        <f t="shared" si="2"/>
        <v>5.098039216</v>
      </c>
      <c r="H369" s="3">
        <v>369.0</v>
      </c>
      <c r="I369" s="17"/>
    </row>
    <row r="370">
      <c r="A370" s="3">
        <v>6.0</v>
      </c>
      <c r="B370" s="3">
        <v>104.0</v>
      </c>
      <c r="C370" s="3">
        <v>136.0</v>
      </c>
      <c r="D370" s="3">
        <v>33.0</v>
      </c>
      <c r="E370" s="3">
        <v>3.0</v>
      </c>
      <c r="F370" s="11">
        <f t="shared" si="1"/>
        <v>0.7647058824</v>
      </c>
      <c r="G370" s="5">
        <f t="shared" si="2"/>
        <v>5.235294118</v>
      </c>
      <c r="H370" s="3">
        <v>370.0</v>
      </c>
      <c r="I370" s="17"/>
    </row>
    <row r="371">
      <c r="A371" s="3">
        <v>6.0</v>
      </c>
      <c r="B371" s="3">
        <v>106.0</v>
      </c>
      <c r="C371" s="3">
        <v>170.0</v>
      </c>
      <c r="D371" s="3">
        <v>33.0</v>
      </c>
      <c r="E371" s="3">
        <v>4.0</v>
      </c>
      <c r="F371" s="11">
        <f t="shared" si="1"/>
        <v>0.6235294118</v>
      </c>
      <c r="G371" s="5">
        <f t="shared" si="2"/>
        <v>5.376470588</v>
      </c>
      <c r="H371" s="3">
        <v>371.0</v>
      </c>
      <c r="I371" s="17"/>
    </row>
    <row r="372">
      <c r="A372" s="3">
        <v>6.0</v>
      </c>
      <c r="B372" s="3">
        <v>100.0</v>
      </c>
      <c r="C372" s="3">
        <v>204.0</v>
      </c>
      <c r="D372" s="3">
        <v>33.0</v>
      </c>
      <c r="E372" s="3">
        <v>5.0</v>
      </c>
      <c r="F372" s="11">
        <f t="shared" si="1"/>
        <v>0.4901960784</v>
      </c>
      <c r="G372" s="5">
        <f t="shared" si="2"/>
        <v>5.509803922</v>
      </c>
      <c r="H372" s="3">
        <v>372.0</v>
      </c>
      <c r="I372" s="17"/>
    </row>
    <row r="373">
      <c r="A373" s="3">
        <v>6.0</v>
      </c>
      <c r="B373" s="3">
        <v>90.0</v>
      </c>
      <c r="C373" s="3">
        <v>238.0</v>
      </c>
      <c r="D373" s="3">
        <v>33.0</v>
      </c>
      <c r="E373" s="3">
        <v>6.0</v>
      </c>
      <c r="F373" s="11">
        <f t="shared" si="1"/>
        <v>0.3781512605</v>
      </c>
      <c r="G373" s="5">
        <f t="shared" si="2"/>
        <v>5.621848739</v>
      </c>
      <c r="H373" s="3">
        <v>373.0</v>
      </c>
      <c r="I373" s="17"/>
    </row>
    <row r="374">
      <c r="A374" s="3">
        <v>6.0</v>
      </c>
      <c r="B374" s="3">
        <v>72.0</v>
      </c>
      <c r="C374" s="3">
        <v>272.0</v>
      </c>
      <c r="D374" s="3">
        <v>33.0</v>
      </c>
      <c r="E374" s="3">
        <v>7.0</v>
      </c>
      <c r="F374" s="11">
        <f t="shared" si="1"/>
        <v>0.2647058824</v>
      </c>
      <c r="G374" s="5">
        <f t="shared" si="2"/>
        <v>5.735294118</v>
      </c>
      <c r="H374" s="3">
        <v>374.0</v>
      </c>
      <c r="I374" s="17"/>
    </row>
    <row r="375">
      <c r="A375" s="3">
        <v>6.0</v>
      </c>
      <c r="B375" s="3">
        <v>56.0</v>
      </c>
      <c r="C375" s="3">
        <v>306.0</v>
      </c>
      <c r="D375" s="3">
        <v>33.0</v>
      </c>
      <c r="E375" s="3">
        <v>8.0</v>
      </c>
      <c r="F375" s="11">
        <f t="shared" si="1"/>
        <v>0.1830065359</v>
      </c>
      <c r="G375" s="5">
        <f t="shared" si="2"/>
        <v>5.816993464</v>
      </c>
      <c r="H375" s="3">
        <v>375.0</v>
      </c>
      <c r="I375" s="17"/>
    </row>
    <row r="376">
      <c r="A376" s="3">
        <v>6.0</v>
      </c>
      <c r="B376" s="3">
        <v>40.0</v>
      </c>
      <c r="C376" s="3">
        <v>340.0</v>
      </c>
      <c r="D376" s="3">
        <v>33.0</v>
      </c>
      <c r="E376" s="3">
        <v>9.0</v>
      </c>
      <c r="F376" s="11">
        <f t="shared" si="1"/>
        <v>0.1176470588</v>
      </c>
      <c r="G376" s="5">
        <f t="shared" si="2"/>
        <v>5.882352941</v>
      </c>
      <c r="H376" s="3">
        <v>376.0</v>
      </c>
      <c r="I376" s="17"/>
    </row>
    <row r="377">
      <c r="A377" s="3">
        <v>6.0</v>
      </c>
      <c r="B377" s="3">
        <v>8.0</v>
      </c>
      <c r="C377" s="3">
        <v>374.0</v>
      </c>
      <c r="D377" s="3">
        <v>33.0</v>
      </c>
      <c r="E377" s="3">
        <v>10.0</v>
      </c>
      <c r="F377" s="11">
        <f t="shared" si="1"/>
        <v>0.02139037433</v>
      </c>
      <c r="G377" s="5">
        <f t="shared" si="2"/>
        <v>5.978609626</v>
      </c>
      <c r="H377" s="3">
        <v>377.0</v>
      </c>
      <c r="I377" s="17"/>
    </row>
    <row r="378">
      <c r="A378" s="3">
        <v>6.0</v>
      </c>
      <c r="B378" s="3">
        <v>62.0</v>
      </c>
      <c r="C378" s="3">
        <v>70.0</v>
      </c>
      <c r="D378" s="3">
        <v>34.0</v>
      </c>
      <c r="E378" s="3">
        <v>1.0</v>
      </c>
      <c r="F378" s="11">
        <f t="shared" si="1"/>
        <v>0.8857142857</v>
      </c>
      <c r="G378" s="5">
        <f t="shared" si="2"/>
        <v>5.114285714</v>
      </c>
      <c r="H378" s="3">
        <v>378.0</v>
      </c>
      <c r="I378" s="17"/>
    </row>
    <row r="379">
      <c r="A379" s="3">
        <v>6.0</v>
      </c>
      <c r="B379" s="3">
        <v>89.0</v>
      </c>
      <c r="C379" s="3">
        <v>105.0</v>
      </c>
      <c r="D379" s="3">
        <v>34.0</v>
      </c>
      <c r="E379" s="3">
        <v>2.0</v>
      </c>
      <c r="F379" s="11">
        <f t="shared" si="1"/>
        <v>0.8476190476</v>
      </c>
      <c r="G379" s="5">
        <f t="shared" si="2"/>
        <v>5.152380952</v>
      </c>
      <c r="H379" s="3">
        <v>379.0</v>
      </c>
      <c r="I379" s="17"/>
    </row>
    <row r="380">
      <c r="A380" s="3">
        <v>6.0</v>
      </c>
      <c r="B380" s="3">
        <v>100.0</v>
      </c>
      <c r="C380" s="3">
        <v>140.0</v>
      </c>
      <c r="D380" s="3">
        <v>34.0</v>
      </c>
      <c r="E380" s="3">
        <v>3.0</v>
      </c>
      <c r="F380" s="11">
        <f t="shared" si="1"/>
        <v>0.7142857143</v>
      </c>
      <c r="G380" s="5">
        <f t="shared" si="2"/>
        <v>5.285714286</v>
      </c>
      <c r="H380" s="3">
        <v>380.0</v>
      </c>
      <c r="I380" s="17"/>
    </row>
    <row r="381">
      <c r="A381" s="3">
        <v>6.0</v>
      </c>
      <c r="B381" s="3">
        <v>101.0</v>
      </c>
      <c r="C381" s="3">
        <v>175.0</v>
      </c>
      <c r="D381" s="3">
        <v>34.0</v>
      </c>
      <c r="E381" s="3">
        <v>4.0</v>
      </c>
      <c r="F381" s="11">
        <f t="shared" si="1"/>
        <v>0.5771428571</v>
      </c>
      <c r="G381" s="5">
        <f t="shared" si="2"/>
        <v>5.422857143</v>
      </c>
      <c r="H381" s="3">
        <v>381.0</v>
      </c>
      <c r="I381" s="17"/>
    </row>
    <row r="382">
      <c r="A382" s="3">
        <v>6.0</v>
      </c>
      <c r="B382" s="3">
        <v>94.0</v>
      </c>
      <c r="C382" s="3">
        <v>210.0</v>
      </c>
      <c r="D382" s="3">
        <v>34.0</v>
      </c>
      <c r="E382" s="3">
        <v>5.0</v>
      </c>
      <c r="F382" s="11">
        <f t="shared" si="1"/>
        <v>0.4476190476</v>
      </c>
      <c r="G382" s="5">
        <f t="shared" si="2"/>
        <v>5.552380952</v>
      </c>
      <c r="H382" s="3">
        <v>382.0</v>
      </c>
      <c r="I382" s="17"/>
    </row>
    <row r="383">
      <c r="A383" s="3">
        <v>6.0</v>
      </c>
      <c r="B383" s="3">
        <v>83.0</v>
      </c>
      <c r="C383" s="3">
        <v>245.0</v>
      </c>
      <c r="D383" s="3">
        <v>34.0</v>
      </c>
      <c r="E383" s="3">
        <v>6.0</v>
      </c>
      <c r="F383" s="11">
        <f t="shared" si="1"/>
        <v>0.3387755102</v>
      </c>
      <c r="G383" s="5">
        <f t="shared" si="2"/>
        <v>5.66122449</v>
      </c>
      <c r="H383" s="3">
        <v>383.0</v>
      </c>
      <c r="I383" s="17"/>
    </row>
    <row r="384">
      <c r="A384" s="3">
        <v>6.0</v>
      </c>
      <c r="B384" s="3">
        <v>64.0</v>
      </c>
      <c r="C384" s="3">
        <v>280.0</v>
      </c>
      <c r="D384" s="3">
        <v>34.0</v>
      </c>
      <c r="E384" s="3">
        <v>7.0</v>
      </c>
      <c r="F384" s="11">
        <f t="shared" si="1"/>
        <v>0.2285714286</v>
      </c>
      <c r="G384" s="5">
        <f t="shared" si="2"/>
        <v>5.771428571</v>
      </c>
      <c r="H384" s="3">
        <v>384.0</v>
      </c>
      <c r="I384" s="17"/>
    </row>
    <row r="385">
      <c r="A385" s="3">
        <v>6.0</v>
      </c>
      <c r="B385" s="3">
        <v>49.0</v>
      </c>
      <c r="C385" s="3">
        <v>315.0</v>
      </c>
      <c r="D385" s="3">
        <v>34.0</v>
      </c>
      <c r="E385" s="3">
        <v>8.0</v>
      </c>
      <c r="F385" s="11">
        <f t="shared" si="1"/>
        <v>0.1555555556</v>
      </c>
      <c r="G385" s="5">
        <f t="shared" si="2"/>
        <v>5.844444444</v>
      </c>
      <c r="H385" s="3">
        <v>385.0</v>
      </c>
      <c r="I385" s="17"/>
    </row>
    <row r="386">
      <c r="A386" s="3">
        <v>6.0</v>
      </c>
      <c r="B386" s="3">
        <v>32.0</v>
      </c>
      <c r="C386" s="3">
        <v>350.0</v>
      </c>
      <c r="D386" s="3">
        <v>34.0</v>
      </c>
      <c r="E386" s="3">
        <v>9.0</v>
      </c>
      <c r="F386" s="11">
        <f t="shared" si="1"/>
        <v>0.09142857143</v>
      </c>
      <c r="G386" s="5">
        <f t="shared" si="2"/>
        <v>5.908571429</v>
      </c>
      <c r="H386" s="3">
        <v>386.0</v>
      </c>
      <c r="I386" s="17"/>
    </row>
    <row r="387">
      <c r="A387" s="3">
        <v>6.0</v>
      </c>
      <c r="B387" s="3">
        <v>60.0</v>
      </c>
      <c r="C387" s="3">
        <v>72.0</v>
      </c>
      <c r="D387" s="3">
        <v>35.0</v>
      </c>
      <c r="E387" s="3">
        <v>1.0</v>
      </c>
      <c r="F387" s="11">
        <f t="shared" si="1"/>
        <v>0.8333333333</v>
      </c>
      <c r="G387" s="5">
        <f t="shared" si="2"/>
        <v>5.166666667</v>
      </c>
      <c r="H387" s="3">
        <v>387.0</v>
      </c>
      <c r="I387" s="17"/>
    </row>
    <row r="388">
      <c r="A388" s="3">
        <v>6.0</v>
      </c>
      <c r="B388" s="3">
        <v>86.0</v>
      </c>
      <c r="C388" s="3">
        <v>108.0</v>
      </c>
      <c r="D388" s="3">
        <v>35.0</v>
      </c>
      <c r="E388" s="3">
        <v>2.0</v>
      </c>
      <c r="F388" s="11">
        <f t="shared" si="1"/>
        <v>0.7962962963</v>
      </c>
      <c r="G388" s="5">
        <f t="shared" si="2"/>
        <v>5.203703704</v>
      </c>
      <c r="H388" s="3">
        <v>388.0</v>
      </c>
      <c r="I388" s="17"/>
    </row>
    <row r="389">
      <c r="A389" s="3">
        <v>6.0</v>
      </c>
      <c r="B389" s="3">
        <v>96.0</v>
      </c>
      <c r="C389" s="3">
        <v>144.0</v>
      </c>
      <c r="D389" s="3">
        <v>35.0</v>
      </c>
      <c r="E389" s="3">
        <v>3.0</v>
      </c>
      <c r="F389" s="11">
        <f t="shared" si="1"/>
        <v>0.6666666667</v>
      </c>
      <c r="G389" s="5">
        <f t="shared" si="2"/>
        <v>5.333333333</v>
      </c>
      <c r="H389" s="3">
        <v>389.0</v>
      </c>
      <c r="I389" s="17"/>
    </row>
    <row r="390">
      <c r="A390" s="3">
        <v>6.0</v>
      </c>
      <c r="B390" s="3">
        <v>96.0</v>
      </c>
      <c r="C390" s="3">
        <v>180.0</v>
      </c>
      <c r="D390" s="3">
        <v>35.0</v>
      </c>
      <c r="E390" s="3">
        <v>4.0</v>
      </c>
      <c r="F390" s="11">
        <f t="shared" si="1"/>
        <v>0.5333333333</v>
      </c>
      <c r="G390" s="5">
        <f t="shared" si="2"/>
        <v>5.466666667</v>
      </c>
      <c r="H390" s="3">
        <v>390.0</v>
      </c>
      <c r="I390" s="17"/>
    </row>
    <row r="391">
      <c r="A391" s="3">
        <v>6.0</v>
      </c>
      <c r="B391" s="3">
        <v>88.0</v>
      </c>
      <c r="C391" s="3">
        <v>216.0</v>
      </c>
      <c r="D391" s="3">
        <v>35.0</v>
      </c>
      <c r="E391" s="3">
        <v>5.0</v>
      </c>
      <c r="F391" s="11">
        <f t="shared" si="1"/>
        <v>0.4074074074</v>
      </c>
      <c r="G391" s="5">
        <f t="shared" si="2"/>
        <v>5.592592593</v>
      </c>
      <c r="H391" s="3">
        <v>391.0</v>
      </c>
      <c r="I391" s="17"/>
    </row>
    <row r="392">
      <c r="A392" s="3">
        <v>6.0</v>
      </c>
      <c r="B392" s="3">
        <v>76.0</v>
      </c>
      <c r="C392" s="3">
        <v>252.0</v>
      </c>
      <c r="D392" s="3">
        <v>35.0</v>
      </c>
      <c r="E392" s="3">
        <v>6.0</v>
      </c>
      <c r="F392" s="11">
        <f t="shared" si="1"/>
        <v>0.3015873016</v>
      </c>
      <c r="G392" s="5">
        <f t="shared" si="2"/>
        <v>5.698412698</v>
      </c>
      <c r="H392" s="3">
        <v>392.0</v>
      </c>
      <c r="I392" s="17"/>
    </row>
    <row r="393">
      <c r="A393" s="3">
        <v>6.0</v>
      </c>
      <c r="B393" s="3">
        <v>56.0</v>
      </c>
      <c r="C393" s="3">
        <v>288.0</v>
      </c>
      <c r="D393" s="3">
        <v>35.0</v>
      </c>
      <c r="E393" s="3">
        <v>7.0</v>
      </c>
      <c r="F393" s="11">
        <f t="shared" si="1"/>
        <v>0.1944444444</v>
      </c>
      <c r="G393" s="5">
        <f t="shared" si="2"/>
        <v>5.805555556</v>
      </c>
      <c r="H393" s="3">
        <v>393.0</v>
      </c>
      <c r="I393" s="17"/>
    </row>
    <row r="394">
      <c r="A394" s="3">
        <v>6.0</v>
      </c>
      <c r="B394" s="3">
        <v>42.0</v>
      </c>
      <c r="C394" s="3">
        <v>324.0</v>
      </c>
      <c r="D394" s="3">
        <v>35.0</v>
      </c>
      <c r="E394" s="3">
        <v>8.0</v>
      </c>
      <c r="F394" s="11">
        <f t="shared" si="1"/>
        <v>0.1296296296</v>
      </c>
      <c r="G394" s="5">
        <f t="shared" si="2"/>
        <v>5.87037037</v>
      </c>
      <c r="H394" s="3">
        <v>394.0</v>
      </c>
      <c r="I394" s="17"/>
    </row>
    <row r="395">
      <c r="A395" s="3">
        <v>6.0</v>
      </c>
      <c r="B395" s="3">
        <v>18.0</v>
      </c>
      <c r="C395" s="3">
        <v>360.0</v>
      </c>
      <c r="D395" s="3">
        <v>35.0</v>
      </c>
      <c r="E395" s="3">
        <v>9.0</v>
      </c>
      <c r="F395" s="11">
        <f t="shared" si="1"/>
        <v>0.05</v>
      </c>
      <c r="G395" s="5">
        <f t="shared" si="2"/>
        <v>5.95</v>
      </c>
      <c r="H395" s="3">
        <v>395.0</v>
      </c>
      <c r="I395" s="17"/>
    </row>
    <row r="396">
      <c r="A396" s="3">
        <v>6.0</v>
      </c>
      <c r="B396" s="3">
        <v>58.0</v>
      </c>
      <c r="C396" s="3">
        <v>74.0</v>
      </c>
      <c r="D396" s="3">
        <v>36.0</v>
      </c>
      <c r="E396" s="3">
        <v>1.0</v>
      </c>
      <c r="F396" s="11">
        <f t="shared" si="1"/>
        <v>0.7837837838</v>
      </c>
      <c r="G396" s="5">
        <f t="shared" si="2"/>
        <v>5.216216216</v>
      </c>
      <c r="H396" s="3">
        <v>396.0</v>
      </c>
      <c r="I396" s="17"/>
    </row>
    <row r="397">
      <c r="A397" s="3">
        <v>6.0</v>
      </c>
      <c r="B397" s="3">
        <v>83.0</v>
      </c>
      <c r="C397" s="3">
        <v>111.0</v>
      </c>
      <c r="D397" s="3">
        <v>36.0</v>
      </c>
      <c r="E397" s="3">
        <v>2.0</v>
      </c>
      <c r="F397" s="11">
        <f t="shared" si="1"/>
        <v>0.7477477477</v>
      </c>
      <c r="G397" s="5">
        <f t="shared" si="2"/>
        <v>5.252252252</v>
      </c>
      <c r="H397" s="3">
        <v>397.0</v>
      </c>
      <c r="I397" s="17"/>
    </row>
    <row r="398">
      <c r="A398" s="3">
        <v>6.0</v>
      </c>
      <c r="B398" s="3">
        <v>92.0</v>
      </c>
      <c r="C398" s="3">
        <v>148.0</v>
      </c>
      <c r="D398" s="3">
        <v>36.0</v>
      </c>
      <c r="E398" s="3">
        <v>3.0</v>
      </c>
      <c r="F398" s="11">
        <f t="shared" si="1"/>
        <v>0.6216216216</v>
      </c>
      <c r="G398" s="5">
        <f t="shared" si="2"/>
        <v>5.378378378</v>
      </c>
      <c r="H398" s="3">
        <v>398.0</v>
      </c>
      <c r="I398" s="17"/>
    </row>
    <row r="399">
      <c r="A399" s="3">
        <v>6.0</v>
      </c>
      <c r="B399" s="3">
        <v>91.0</v>
      </c>
      <c r="C399" s="3">
        <v>185.0</v>
      </c>
      <c r="D399" s="3">
        <v>36.0</v>
      </c>
      <c r="E399" s="3">
        <v>4.0</v>
      </c>
      <c r="F399" s="11">
        <f t="shared" si="1"/>
        <v>0.4918918919</v>
      </c>
      <c r="G399" s="5">
        <f t="shared" si="2"/>
        <v>5.508108108</v>
      </c>
      <c r="H399" s="3">
        <v>399.0</v>
      </c>
      <c r="I399" s="17"/>
    </row>
    <row r="400">
      <c r="A400" s="3">
        <v>6.0</v>
      </c>
      <c r="B400" s="3">
        <v>82.0</v>
      </c>
      <c r="C400" s="3">
        <v>222.0</v>
      </c>
      <c r="D400" s="3">
        <v>36.0</v>
      </c>
      <c r="E400" s="3">
        <v>5.0</v>
      </c>
      <c r="F400" s="11">
        <f t="shared" si="1"/>
        <v>0.3693693694</v>
      </c>
      <c r="G400" s="5">
        <f t="shared" si="2"/>
        <v>5.630630631</v>
      </c>
      <c r="H400" s="3">
        <v>400.0</v>
      </c>
      <c r="I400" s="17"/>
    </row>
    <row r="401">
      <c r="A401" s="3">
        <v>6.0</v>
      </c>
      <c r="B401" s="3">
        <v>69.0</v>
      </c>
      <c r="C401" s="3">
        <v>259.0</v>
      </c>
      <c r="D401" s="3">
        <v>36.0</v>
      </c>
      <c r="E401" s="3">
        <v>6.0</v>
      </c>
      <c r="F401" s="11">
        <f t="shared" si="1"/>
        <v>0.2664092664</v>
      </c>
      <c r="G401" s="5">
        <f t="shared" si="2"/>
        <v>5.733590734</v>
      </c>
      <c r="H401" s="3">
        <v>401.0</v>
      </c>
      <c r="I401" s="17"/>
    </row>
    <row r="402">
      <c r="A402" s="3">
        <v>6.0</v>
      </c>
      <c r="B402" s="3">
        <v>50.0</v>
      </c>
      <c r="C402" s="3">
        <v>296.0</v>
      </c>
      <c r="D402" s="3">
        <v>36.0</v>
      </c>
      <c r="E402" s="3">
        <v>7.0</v>
      </c>
      <c r="F402" s="11">
        <f t="shared" si="1"/>
        <v>0.1689189189</v>
      </c>
      <c r="G402" s="5">
        <f t="shared" si="2"/>
        <v>5.831081081</v>
      </c>
      <c r="H402" s="3">
        <v>402.0</v>
      </c>
      <c r="I402" s="17"/>
    </row>
    <row r="403">
      <c r="A403" s="3">
        <v>6.0</v>
      </c>
      <c r="B403" s="3">
        <v>37.0</v>
      </c>
      <c r="C403" s="3">
        <v>333.0</v>
      </c>
      <c r="D403" s="3">
        <v>36.0</v>
      </c>
      <c r="E403" s="3">
        <v>8.0</v>
      </c>
      <c r="F403" s="11">
        <f t="shared" si="1"/>
        <v>0.1111111111</v>
      </c>
      <c r="G403" s="5">
        <f t="shared" si="2"/>
        <v>5.888888889</v>
      </c>
      <c r="H403" s="3">
        <v>403.0</v>
      </c>
      <c r="I403" s="17"/>
    </row>
    <row r="404">
      <c r="A404" s="3">
        <v>6.0</v>
      </c>
      <c r="B404" s="3">
        <v>2.0</v>
      </c>
      <c r="C404" s="3">
        <v>370.0</v>
      </c>
      <c r="D404" s="3">
        <v>36.0</v>
      </c>
      <c r="E404" s="3">
        <v>9.0</v>
      </c>
      <c r="F404" s="11">
        <f t="shared" si="1"/>
        <v>0.005405405405</v>
      </c>
      <c r="G404" s="5">
        <f t="shared" si="2"/>
        <v>5.994594595</v>
      </c>
      <c r="H404" s="3">
        <v>404.0</v>
      </c>
      <c r="I404" s="17"/>
    </row>
    <row r="405">
      <c r="A405" s="3">
        <v>6.0</v>
      </c>
      <c r="B405" s="3">
        <v>56.0</v>
      </c>
      <c r="C405" s="3">
        <v>76.0</v>
      </c>
      <c r="D405" s="3">
        <v>37.0</v>
      </c>
      <c r="E405" s="3">
        <v>1.0</v>
      </c>
      <c r="F405" s="11">
        <f t="shared" si="1"/>
        <v>0.7368421053</v>
      </c>
      <c r="G405" s="5">
        <f t="shared" si="2"/>
        <v>5.263157895</v>
      </c>
      <c r="H405" s="3">
        <v>405.0</v>
      </c>
      <c r="I405" s="17"/>
    </row>
    <row r="406">
      <c r="A406" s="3">
        <v>6.0</v>
      </c>
      <c r="B406" s="3">
        <v>80.0</v>
      </c>
      <c r="C406" s="3">
        <v>114.0</v>
      </c>
      <c r="D406" s="3">
        <v>37.0</v>
      </c>
      <c r="E406" s="3">
        <v>2.0</v>
      </c>
      <c r="F406" s="11">
        <f t="shared" si="1"/>
        <v>0.701754386</v>
      </c>
      <c r="G406" s="5">
        <f t="shared" si="2"/>
        <v>5.298245614</v>
      </c>
      <c r="H406" s="3">
        <v>406.0</v>
      </c>
      <c r="I406" s="17"/>
    </row>
    <row r="407">
      <c r="A407" s="3">
        <v>6.0</v>
      </c>
      <c r="B407" s="3">
        <v>88.0</v>
      </c>
      <c r="C407" s="3">
        <v>152.0</v>
      </c>
      <c r="D407" s="3">
        <v>37.0</v>
      </c>
      <c r="E407" s="3">
        <v>3.0</v>
      </c>
      <c r="F407" s="11">
        <f t="shared" si="1"/>
        <v>0.5789473684</v>
      </c>
      <c r="G407" s="5">
        <f t="shared" si="2"/>
        <v>5.421052632</v>
      </c>
      <c r="H407" s="3">
        <v>407.0</v>
      </c>
      <c r="I407" s="17"/>
    </row>
    <row r="408">
      <c r="A408" s="3">
        <v>6.0</v>
      </c>
      <c r="B408" s="3">
        <v>86.0</v>
      </c>
      <c r="C408" s="3">
        <v>190.0</v>
      </c>
      <c r="D408" s="3">
        <v>37.0</v>
      </c>
      <c r="E408" s="3">
        <v>4.0</v>
      </c>
      <c r="F408" s="11">
        <f t="shared" si="1"/>
        <v>0.4526315789</v>
      </c>
      <c r="G408" s="5">
        <f t="shared" si="2"/>
        <v>5.547368421</v>
      </c>
      <c r="H408" s="3">
        <v>408.0</v>
      </c>
      <c r="I408" s="17"/>
    </row>
    <row r="409">
      <c r="A409" s="3">
        <v>6.0</v>
      </c>
      <c r="B409" s="3">
        <v>76.0</v>
      </c>
      <c r="C409" s="3">
        <v>228.0</v>
      </c>
      <c r="D409" s="3">
        <v>37.0</v>
      </c>
      <c r="E409" s="3">
        <v>5.0</v>
      </c>
      <c r="F409" s="11">
        <f t="shared" si="1"/>
        <v>0.3333333333</v>
      </c>
      <c r="G409" s="5">
        <f t="shared" si="2"/>
        <v>5.666666667</v>
      </c>
      <c r="H409" s="3">
        <v>409.0</v>
      </c>
      <c r="I409" s="17"/>
    </row>
    <row r="410">
      <c r="A410" s="3">
        <v>6.0</v>
      </c>
      <c r="B410" s="3">
        <v>62.0</v>
      </c>
      <c r="C410" s="3">
        <v>266.0</v>
      </c>
      <c r="D410" s="3">
        <v>37.0</v>
      </c>
      <c r="E410" s="3">
        <v>6.0</v>
      </c>
      <c r="F410" s="11">
        <f t="shared" si="1"/>
        <v>0.2330827068</v>
      </c>
      <c r="G410" s="5">
        <f t="shared" si="2"/>
        <v>5.766917293</v>
      </c>
      <c r="H410" s="3">
        <v>410.0</v>
      </c>
      <c r="I410" s="17"/>
    </row>
    <row r="411">
      <c r="A411" s="3">
        <v>6.0</v>
      </c>
      <c r="B411" s="3">
        <v>44.0</v>
      </c>
      <c r="C411" s="3">
        <v>304.0</v>
      </c>
      <c r="D411" s="3">
        <v>37.0</v>
      </c>
      <c r="E411" s="3">
        <v>7.0</v>
      </c>
      <c r="F411" s="11">
        <f t="shared" si="1"/>
        <v>0.1447368421</v>
      </c>
      <c r="G411" s="5">
        <f t="shared" si="2"/>
        <v>5.855263158</v>
      </c>
      <c r="H411" s="3">
        <v>411.0</v>
      </c>
      <c r="I411" s="17"/>
    </row>
    <row r="412">
      <c r="A412" s="3">
        <v>6.0</v>
      </c>
      <c r="B412" s="3">
        <v>30.0</v>
      </c>
      <c r="C412" s="3">
        <v>342.0</v>
      </c>
      <c r="D412" s="3">
        <v>37.0</v>
      </c>
      <c r="E412" s="3">
        <v>8.0</v>
      </c>
      <c r="F412" s="11">
        <f t="shared" si="1"/>
        <v>0.08771929825</v>
      </c>
      <c r="G412" s="5">
        <f t="shared" si="2"/>
        <v>5.912280702</v>
      </c>
      <c r="H412" s="3">
        <v>412.0</v>
      </c>
      <c r="I412" s="17"/>
    </row>
    <row r="413">
      <c r="A413" s="3">
        <v>6.0</v>
      </c>
      <c r="B413" s="3">
        <v>54.0</v>
      </c>
      <c r="C413" s="3">
        <v>78.0</v>
      </c>
      <c r="D413" s="3">
        <v>38.0</v>
      </c>
      <c r="E413" s="3">
        <v>1.0</v>
      </c>
      <c r="F413" s="11">
        <f t="shared" si="1"/>
        <v>0.6923076923</v>
      </c>
      <c r="G413" s="5">
        <f t="shared" si="2"/>
        <v>5.307692308</v>
      </c>
      <c r="H413" s="3">
        <v>413.0</v>
      </c>
      <c r="I413" s="17"/>
    </row>
    <row r="414">
      <c r="A414" s="3">
        <v>6.0</v>
      </c>
      <c r="B414" s="3">
        <v>77.0</v>
      </c>
      <c r="C414" s="3">
        <v>117.0</v>
      </c>
      <c r="D414" s="3">
        <v>38.0</v>
      </c>
      <c r="E414" s="3">
        <v>2.0</v>
      </c>
      <c r="F414" s="11">
        <f t="shared" si="1"/>
        <v>0.6581196581</v>
      </c>
      <c r="G414" s="5">
        <f t="shared" si="2"/>
        <v>5.341880342</v>
      </c>
      <c r="H414" s="3">
        <v>414.0</v>
      </c>
      <c r="I414" s="17"/>
    </row>
    <row r="415">
      <c r="A415" s="3">
        <v>6.0</v>
      </c>
      <c r="B415" s="3">
        <v>84.0</v>
      </c>
      <c r="C415" s="3">
        <v>156.0</v>
      </c>
      <c r="D415" s="3">
        <v>38.0</v>
      </c>
      <c r="E415" s="3">
        <v>3.0</v>
      </c>
      <c r="F415" s="11">
        <f t="shared" si="1"/>
        <v>0.5384615385</v>
      </c>
      <c r="G415" s="5">
        <f t="shared" si="2"/>
        <v>5.461538462</v>
      </c>
      <c r="H415" s="3">
        <v>415.0</v>
      </c>
      <c r="I415" s="17"/>
    </row>
    <row r="416">
      <c r="A416" s="3">
        <v>6.0</v>
      </c>
      <c r="B416" s="3">
        <v>81.0</v>
      </c>
      <c r="C416" s="3">
        <v>195.0</v>
      </c>
      <c r="D416" s="3">
        <v>38.0</v>
      </c>
      <c r="E416" s="3">
        <v>4.0</v>
      </c>
      <c r="F416" s="11">
        <f t="shared" si="1"/>
        <v>0.4153846154</v>
      </c>
      <c r="G416" s="5">
        <f t="shared" si="2"/>
        <v>5.584615385</v>
      </c>
      <c r="H416" s="3">
        <v>416.0</v>
      </c>
      <c r="I416" s="17"/>
    </row>
    <row r="417">
      <c r="A417" s="3">
        <v>6.0</v>
      </c>
      <c r="B417" s="3">
        <v>70.0</v>
      </c>
      <c r="C417" s="3">
        <v>234.0</v>
      </c>
      <c r="D417" s="3">
        <v>38.0</v>
      </c>
      <c r="E417" s="3">
        <v>5.0</v>
      </c>
      <c r="F417" s="11">
        <f t="shared" si="1"/>
        <v>0.2991452991</v>
      </c>
      <c r="G417" s="5">
        <f t="shared" si="2"/>
        <v>5.700854701</v>
      </c>
      <c r="H417" s="3">
        <v>417.0</v>
      </c>
      <c r="I417" s="17"/>
    </row>
    <row r="418">
      <c r="A418" s="3">
        <v>6.0</v>
      </c>
      <c r="B418" s="3">
        <v>55.0</v>
      </c>
      <c r="C418" s="3">
        <v>273.0</v>
      </c>
      <c r="D418" s="3">
        <v>38.0</v>
      </c>
      <c r="E418" s="3">
        <v>6.0</v>
      </c>
      <c r="F418" s="11">
        <f t="shared" si="1"/>
        <v>0.2014652015</v>
      </c>
      <c r="G418" s="5">
        <f t="shared" si="2"/>
        <v>5.798534799</v>
      </c>
      <c r="H418" s="3">
        <v>418.0</v>
      </c>
      <c r="I418" s="17"/>
    </row>
    <row r="419">
      <c r="A419" s="3">
        <v>6.0</v>
      </c>
      <c r="B419" s="3">
        <v>38.0</v>
      </c>
      <c r="C419" s="3">
        <v>312.0</v>
      </c>
      <c r="D419" s="3">
        <v>38.0</v>
      </c>
      <c r="E419" s="3">
        <v>7.0</v>
      </c>
      <c r="F419" s="11">
        <f t="shared" si="1"/>
        <v>0.1217948718</v>
      </c>
      <c r="G419" s="5">
        <f t="shared" si="2"/>
        <v>5.878205128</v>
      </c>
      <c r="H419" s="3">
        <v>419.0</v>
      </c>
      <c r="I419" s="17"/>
    </row>
    <row r="420">
      <c r="A420" s="3">
        <v>6.0</v>
      </c>
      <c r="B420" s="3">
        <v>19.0</v>
      </c>
      <c r="C420" s="3">
        <v>351.0</v>
      </c>
      <c r="D420" s="3">
        <v>38.0</v>
      </c>
      <c r="E420" s="3">
        <v>8.0</v>
      </c>
      <c r="F420" s="11">
        <f t="shared" si="1"/>
        <v>0.05413105413</v>
      </c>
      <c r="G420" s="5">
        <f t="shared" si="2"/>
        <v>5.945868946</v>
      </c>
      <c r="H420" s="3">
        <v>420.0</v>
      </c>
      <c r="I420" s="17"/>
    </row>
    <row r="421">
      <c r="A421" s="3">
        <v>6.0</v>
      </c>
      <c r="B421" s="3">
        <v>52.0</v>
      </c>
      <c r="C421" s="3">
        <v>80.0</v>
      </c>
      <c r="D421" s="3">
        <v>39.0</v>
      </c>
      <c r="E421" s="3">
        <v>1.0</v>
      </c>
      <c r="F421" s="11">
        <f t="shared" si="1"/>
        <v>0.65</v>
      </c>
      <c r="G421" s="5">
        <f t="shared" si="2"/>
        <v>5.35</v>
      </c>
      <c r="H421" s="3">
        <v>421.0</v>
      </c>
      <c r="I421" s="17"/>
    </row>
    <row r="422">
      <c r="A422" s="3">
        <v>6.0</v>
      </c>
      <c r="B422" s="3">
        <v>74.0</v>
      </c>
      <c r="C422" s="3">
        <v>120.0</v>
      </c>
      <c r="D422" s="3">
        <v>39.0</v>
      </c>
      <c r="E422" s="3">
        <v>2.0</v>
      </c>
      <c r="F422" s="11">
        <f t="shared" si="1"/>
        <v>0.6166666667</v>
      </c>
      <c r="G422" s="5">
        <f t="shared" si="2"/>
        <v>5.383333333</v>
      </c>
      <c r="H422" s="3">
        <v>422.0</v>
      </c>
      <c r="I422" s="17"/>
    </row>
    <row r="423">
      <c r="A423" s="3">
        <v>6.0</v>
      </c>
      <c r="B423" s="3">
        <v>80.0</v>
      </c>
      <c r="C423" s="3">
        <v>160.0</v>
      </c>
      <c r="D423" s="3">
        <v>39.0</v>
      </c>
      <c r="E423" s="3">
        <v>3.0</v>
      </c>
      <c r="F423" s="11">
        <f t="shared" si="1"/>
        <v>0.5</v>
      </c>
      <c r="G423" s="5">
        <f t="shared" si="2"/>
        <v>5.5</v>
      </c>
      <c r="H423" s="3">
        <v>423.0</v>
      </c>
      <c r="I423" s="17"/>
    </row>
    <row r="424">
      <c r="A424" s="3">
        <v>6.0</v>
      </c>
      <c r="B424" s="3">
        <v>76.0</v>
      </c>
      <c r="C424" s="3">
        <v>200.0</v>
      </c>
      <c r="D424" s="3">
        <v>39.0</v>
      </c>
      <c r="E424" s="3">
        <v>4.0</v>
      </c>
      <c r="F424" s="11">
        <f t="shared" si="1"/>
        <v>0.38</v>
      </c>
      <c r="G424" s="5">
        <f t="shared" si="2"/>
        <v>5.62</v>
      </c>
      <c r="H424" s="3">
        <v>424.0</v>
      </c>
      <c r="I424" s="17"/>
    </row>
    <row r="425">
      <c r="A425" s="3">
        <v>6.0</v>
      </c>
      <c r="B425" s="3">
        <v>64.0</v>
      </c>
      <c r="C425" s="3">
        <v>240.0</v>
      </c>
      <c r="D425" s="3">
        <v>39.0</v>
      </c>
      <c r="E425" s="3">
        <v>5.0</v>
      </c>
      <c r="F425" s="11">
        <f t="shared" si="1"/>
        <v>0.2666666667</v>
      </c>
      <c r="G425" s="5">
        <f t="shared" si="2"/>
        <v>5.733333333</v>
      </c>
      <c r="H425" s="3">
        <v>425.0</v>
      </c>
      <c r="I425" s="17"/>
    </row>
    <row r="426">
      <c r="A426" s="3">
        <v>6.0</v>
      </c>
      <c r="B426" s="3">
        <v>48.0</v>
      </c>
      <c r="C426" s="3">
        <v>280.0</v>
      </c>
      <c r="D426" s="3">
        <v>39.0</v>
      </c>
      <c r="E426" s="3">
        <v>6.0</v>
      </c>
      <c r="F426" s="11">
        <f t="shared" si="1"/>
        <v>0.1714285714</v>
      </c>
      <c r="G426" s="5">
        <f t="shared" si="2"/>
        <v>5.828571429</v>
      </c>
      <c r="H426" s="3">
        <v>426.0</v>
      </c>
      <c r="I426" s="17"/>
    </row>
    <row r="427">
      <c r="A427" s="3">
        <v>6.0</v>
      </c>
      <c r="B427" s="3">
        <v>32.0</v>
      </c>
      <c r="C427" s="3">
        <v>320.0</v>
      </c>
      <c r="D427" s="3">
        <v>39.0</v>
      </c>
      <c r="E427" s="3">
        <v>7.0</v>
      </c>
      <c r="F427" s="11">
        <f t="shared" si="1"/>
        <v>0.1</v>
      </c>
      <c r="G427" s="5">
        <f t="shared" si="2"/>
        <v>5.9</v>
      </c>
      <c r="H427" s="3">
        <v>427.0</v>
      </c>
      <c r="I427" s="17"/>
    </row>
    <row r="428">
      <c r="A428" s="3">
        <v>6.0</v>
      </c>
      <c r="B428" s="3">
        <v>50.0</v>
      </c>
      <c r="C428" s="3">
        <v>82.0</v>
      </c>
      <c r="D428" s="3">
        <v>40.0</v>
      </c>
      <c r="E428" s="3">
        <v>1.0</v>
      </c>
      <c r="F428" s="11">
        <f t="shared" si="1"/>
        <v>0.6097560976</v>
      </c>
      <c r="G428" s="5">
        <f t="shared" si="2"/>
        <v>5.390243902</v>
      </c>
      <c r="H428" s="3">
        <v>428.0</v>
      </c>
      <c r="I428" s="17"/>
    </row>
    <row r="429">
      <c r="A429" s="3">
        <v>6.0</v>
      </c>
      <c r="B429" s="3">
        <v>71.0</v>
      </c>
      <c r="C429" s="3">
        <v>123.0</v>
      </c>
      <c r="D429" s="3">
        <v>40.0</v>
      </c>
      <c r="E429" s="3">
        <v>2.0</v>
      </c>
      <c r="F429" s="11">
        <f t="shared" si="1"/>
        <v>0.5772357724</v>
      </c>
      <c r="G429" s="5">
        <f t="shared" si="2"/>
        <v>5.422764228</v>
      </c>
      <c r="H429" s="3">
        <v>429.0</v>
      </c>
      <c r="I429" s="17"/>
    </row>
    <row r="430">
      <c r="A430" s="3">
        <v>6.0</v>
      </c>
      <c r="B430" s="3">
        <v>76.0</v>
      </c>
      <c r="C430" s="3">
        <v>164.0</v>
      </c>
      <c r="D430" s="3">
        <v>40.0</v>
      </c>
      <c r="E430" s="3">
        <v>3.0</v>
      </c>
      <c r="F430" s="11">
        <f t="shared" si="1"/>
        <v>0.4634146341</v>
      </c>
      <c r="G430" s="5">
        <f t="shared" si="2"/>
        <v>5.536585366</v>
      </c>
      <c r="H430" s="3">
        <v>430.0</v>
      </c>
      <c r="I430" s="17"/>
    </row>
    <row r="431">
      <c r="A431" s="3">
        <v>6.0</v>
      </c>
      <c r="B431" s="3">
        <v>71.0</v>
      </c>
      <c r="C431" s="3">
        <v>205.0</v>
      </c>
      <c r="D431" s="3">
        <v>40.0</v>
      </c>
      <c r="E431" s="3">
        <v>4.0</v>
      </c>
      <c r="F431" s="11">
        <f t="shared" si="1"/>
        <v>0.3463414634</v>
      </c>
      <c r="G431" s="5">
        <f t="shared" si="2"/>
        <v>5.653658537</v>
      </c>
      <c r="H431" s="3">
        <v>431.0</v>
      </c>
      <c r="I431" s="17"/>
    </row>
    <row r="432">
      <c r="A432" s="3">
        <v>6.0</v>
      </c>
      <c r="B432" s="3">
        <v>58.0</v>
      </c>
      <c r="C432" s="3">
        <v>246.0</v>
      </c>
      <c r="D432" s="3">
        <v>40.0</v>
      </c>
      <c r="E432" s="3">
        <v>5.0</v>
      </c>
      <c r="F432" s="11">
        <f t="shared" si="1"/>
        <v>0.2357723577</v>
      </c>
      <c r="G432" s="5">
        <f t="shared" si="2"/>
        <v>5.764227642</v>
      </c>
      <c r="H432" s="3">
        <v>432.0</v>
      </c>
      <c r="I432" s="17"/>
    </row>
    <row r="433">
      <c r="A433" s="3">
        <v>6.0</v>
      </c>
      <c r="B433" s="3">
        <v>43.0</v>
      </c>
      <c r="C433" s="3">
        <v>287.0</v>
      </c>
      <c r="D433" s="3">
        <v>40.0</v>
      </c>
      <c r="E433" s="3">
        <v>6.0</v>
      </c>
      <c r="F433" s="11">
        <f t="shared" si="1"/>
        <v>0.149825784</v>
      </c>
      <c r="G433" s="5">
        <f t="shared" si="2"/>
        <v>5.850174216</v>
      </c>
      <c r="H433" s="3">
        <v>433.0</v>
      </c>
      <c r="I433" s="17"/>
    </row>
    <row r="434">
      <c r="A434" s="3">
        <v>6.0</v>
      </c>
      <c r="B434" s="3">
        <v>26.0</v>
      </c>
      <c r="C434" s="3">
        <v>328.0</v>
      </c>
      <c r="D434" s="3">
        <v>40.0</v>
      </c>
      <c r="E434" s="3">
        <v>7.0</v>
      </c>
      <c r="F434" s="11">
        <f t="shared" si="1"/>
        <v>0.07926829268</v>
      </c>
      <c r="G434" s="5">
        <f t="shared" si="2"/>
        <v>5.920731707</v>
      </c>
      <c r="H434" s="3">
        <v>434.0</v>
      </c>
      <c r="I434" s="17"/>
    </row>
    <row r="435">
      <c r="A435" s="3">
        <v>6.0</v>
      </c>
      <c r="B435" s="3">
        <v>48.0</v>
      </c>
      <c r="C435" s="3">
        <v>84.0</v>
      </c>
      <c r="D435" s="3">
        <v>41.0</v>
      </c>
      <c r="E435" s="3">
        <v>1.0</v>
      </c>
      <c r="F435" s="11">
        <f t="shared" si="1"/>
        <v>0.5714285714</v>
      </c>
      <c r="G435" s="5">
        <f t="shared" si="2"/>
        <v>5.428571429</v>
      </c>
      <c r="H435" s="3">
        <v>435.0</v>
      </c>
      <c r="I435" s="17"/>
    </row>
    <row r="436">
      <c r="A436" s="3">
        <v>6.0</v>
      </c>
      <c r="B436" s="3">
        <v>68.0</v>
      </c>
      <c r="C436" s="3">
        <v>126.0</v>
      </c>
      <c r="D436" s="3">
        <v>41.0</v>
      </c>
      <c r="E436" s="3">
        <v>2.0</v>
      </c>
      <c r="F436" s="11">
        <f t="shared" si="1"/>
        <v>0.5396825397</v>
      </c>
      <c r="G436" s="5">
        <f t="shared" si="2"/>
        <v>5.46031746</v>
      </c>
      <c r="H436" s="3">
        <v>436.0</v>
      </c>
      <c r="I436" s="17"/>
    </row>
    <row r="437">
      <c r="A437" s="3">
        <v>6.0</v>
      </c>
      <c r="B437" s="3">
        <v>72.0</v>
      </c>
      <c r="C437" s="3">
        <v>168.0</v>
      </c>
      <c r="D437" s="3">
        <v>41.0</v>
      </c>
      <c r="E437" s="3">
        <v>3.0</v>
      </c>
      <c r="F437" s="11">
        <f t="shared" si="1"/>
        <v>0.4285714286</v>
      </c>
      <c r="G437" s="5">
        <f t="shared" si="2"/>
        <v>5.571428571</v>
      </c>
      <c r="H437" s="3">
        <v>437.0</v>
      </c>
      <c r="I437" s="17"/>
    </row>
    <row r="438">
      <c r="A438" s="3">
        <v>6.0</v>
      </c>
      <c r="B438" s="3">
        <v>66.0</v>
      </c>
      <c r="C438" s="3">
        <v>210.0</v>
      </c>
      <c r="D438" s="3">
        <v>41.0</v>
      </c>
      <c r="E438" s="3">
        <v>4.0</v>
      </c>
      <c r="F438" s="11">
        <f t="shared" si="1"/>
        <v>0.3142857143</v>
      </c>
      <c r="G438" s="5">
        <f t="shared" si="2"/>
        <v>5.685714286</v>
      </c>
      <c r="H438" s="3">
        <v>438.0</v>
      </c>
      <c r="I438" s="17"/>
    </row>
    <row r="439">
      <c r="A439" s="3">
        <v>6.0</v>
      </c>
      <c r="B439" s="3">
        <v>52.0</v>
      </c>
      <c r="C439" s="3">
        <v>252.0</v>
      </c>
      <c r="D439" s="3">
        <v>41.0</v>
      </c>
      <c r="E439" s="3">
        <v>5.0</v>
      </c>
      <c r="F439" s="11">
        <f t="shared" si="1"/>
        <v>0.2063492063</v>
      </c>
      <c r="G439" s="5">
        <f t="shared" si="2"/>
        <v>5.793650794</v>
      </c>
      <c r="H439" s="3">
        <v>439.0</v>
      </c>
      <c r="I439" s="17"/>
    </row>
    <row r="440">
      <c r="A440" s="3">
        <v>6.0</v>
      </c>
      <c r="B440" s="3">
        <v>38.0</v>
      </c>
      <c r="C440" s="3">
        <v>294.0</v>
      </c>
      <c r="D440" s="3">
        <v>41.0</v>
      </c>
      <c r="E440" s="3">
        <v>6.0</v>
      </c>
      <c r="F440" s="11">
        <f t="shared" si="1"/>
        <v>0.1292517007</v>
      </c>
      <c r="G440" s="5">
        <f t="shared" si="2"/>
        <v>5.870748299</v>
      </c>
      <c r="H440" s="3">
        <v>440.0</v>
      </c>
      <c r="I440" s="17"/>
    </row>
    <row r="441">
      <c r="A441" s="3">
        <v>6.0</v>
      </c>
      <c r="B441" s="3">
        <v>14.0</v>
      </c>
      <c r="C441" s="3">
        <v>336.0</v>
      </c>
      <c r="D441" s="3">
        <v>41.0</v>
      </c>
      <c r="E441" s="3">
        <v>7.0</v>
      </c>
      <c r="F441" s="11">
        <f t="shared" si="1"/>
        <v>0.04166666667</v>
      </c>
      <c r="G441" s="5">
        <f t="shared" si="2"/>
        <v>5.958333333</v>
      </c>
      <c r="H441" s="3">
        <v>441.0</v>
      </c>
      <c r="I441" s="17"/>
    </row>
    <row r="442">
      <c r="A442" s="3">
        <v>6.0</v>
      </c>
      <c r="B442" s="3">
        <v>46.0</v>
      </c>
      <c r="C442" s="3">
        <v>86.0</v>
      </c>
      <c r="D442" s="3">
        <v>42.0</v>
      </c>
      <c r="E442" s="3">
        <v>1.0</v>
      </c>
      <c r="F442" s="11">
        <f t="shared" si="1"/>
        <v>0.5348837209</v>
      </c>
      <c r="G442" s="5">
        <f t="shared" si="2"/>
        <v>5.465116279</v>
      </c>
      <c r="H442" s="3">
        <v>442.0</v>
      </c>
      <c r="I442" s="17"/>
    </row>
    <row r="443">
      <c r="A443" s="3">
        <v>6.0</v>
      </c>
      <c r="B443" s="3">
        <v>65.0</v>
      </c>
      <c r="C443" s="3">
        <v>129.0</v>
      </c>
      <c r="D443" s="3">
        <v>42.0</v>
      </c>
      <c r="E443" s="3">
        <v>2.0</v>
      </c>
      <c r="F443" s="11">
        <f t="shared" si="1"/>
        <v>0.503875969</v>
      </c>
      <c r="G443" s="5">
        <f t="shared" si="2"/>
        <v>5.496124031</v>
      </c>
      <c r="H443" s="3">
        <v>443.0</v>
      </c>
      <c r="I443" s="17"/>
    </row>
    <row r="444">
      <c r="A444" s="3">
        <v>6.0</v>
      </c>
      <c r="B444" s="3">
        <v>68.0</v>
      </c>
      <c r="C444" s="3">
        <v>172.0</v>
      </c>
      <c r="D444" s="3">
        <v>42.0</v>
      </c>
      <c r="E444" s="3">
        <v>3.0</v>
      </c>
      <c r="F444" s="11">
        <f t="shared" si="1"/>
        <v>0.3953488372</v>
      </c>
      <c r="G444" s="5">
        <f t="shared" si="2"/>
        <v>5.604651163</v>
      </c>
      <c r="H444" s="3">
        <v>444.0</v>
      </c>
      <c r="I444" s="17"/>
    </row>
    <row r="445">
      <c r="A445" s="3">
        <v>6.0</v>
      </c>
      <c r="B445" s="3">
        <v>61.0</v>
      </c>
      <c r="C445" s="3">
        <v>215.0</v>
      </c>
      <c r="D445" s="3">
        <v>42.0</v>
      </c>
      <c r="E445" s="3">
        <v>4.0</v>
      </c>
      <c r="F445" s="11">
        <f t="shared" si="1"/>
        <v>0.2837209302</v>
      </c>
      <c r="G445" s="5">
        <f t="shared" si="2"/>
        <v>5.71627907</v>
      </c>
      <c r="H445" s="3">
        <v>445.0</v>
      </c>
      <c r="I445" s="17"/>
    </row>
    <row r="446">
      <c r="A446" s="3">
        <v>6.0</v>
      </c>
      <c r="B446" s="3">
        <v>46.0</v>
      </c>
      <c r="C446" s="3">
        <v>258.0</v>
      </c>
      <c r="D446" s="3">
        <v>42.0</v>
      </c>
      <c r="E446" s="3">
        <v>5.0</v>
      </c>
      <c r="F446" s="11">
        <f t="shared" si="1"/>
        <v>0.1782945736</v>
      </c>
      <c r="G446" s="5">
        <f t="shared" si="2"/>
        <v>5.821705426</v>
      </c>
      <c r="H446" s="3">
        <v>446.0</v>
      </c>
      <c r="I446" s="17"/>
    </row>
    <row r="447">
      <c r="A447" s="3">
        <v>6.0</v>
      </c>
      <c r="B447" s="3">
        <v>33.0</v>
      </c>
      <c r="C447" s="3">
        <v>301.0</v>
      </c>
      <c r="D447" s="3">
        <v>42.0</v>
      </c>
      <c r="E447" s="3">
        <v>6.0</v>
      </c>
      <c r="F447" s="11">
        <f t="shared" si="1"/>
        <v>0.1096345515</v>
      </c>
      <c r="G447" s="5">
        <f t="shared" si="2"/>
        <v>5.890365449</v>
      </c>
      <c r="H447" s="3">
        <v>447.0</v>
      </c>
      <c r="I447" s="17"/>
    </row>
    <row r="448">
      <c r="A448" s="3">
        <v>6.0</v>
      </c>
      <c r="B448" s="3">
        <v>6.0</v>
      </c>
      <c r="C448" s="3">
        <v>344.0</v>
      </c>
      <c r="D448" s="3">
        <v>42.0</v>
      </c>
      <c r="E448" s="3">
        <v>7.0</v>
      </c>
      <c r="F448" s="11">
        <f t="shared" si="1"/>
        <v>0.01744186047</v>
      </c>
      <c r="G448" s="5">
        <f t="shared" si="2"/>
        <v>5.98255814</v>
      </c>
      <c r="H448" s="3">
        <v>448.0</v>
      </c>
      <c r="I448" s="17"/>
    </row>
    <row r="449">
      <c r="A449" s="3">
        <v>6.0</v>
      </c>
      <c r="B449" s="3">
        <v>44.0</v>
      </c>
      <c r="C449" s="3">
        <v>88.0</v>
      </c>
      <c r="D449" s="3">
        <v>43.0</v>
      </c>
      <c r="E449" s="3">
        <v>1.0</v>
      </c>
      <c r="F449" s="11">
        <f t="shared" si="1"/>
        <v>0.5</v>
      </c>
      <c r="G449" s="5">
        <f t="shared" si="2"/>
        <v>5.5</v>
      </c>
      <c r="H449" s="3">
        <v>449.0</v>
      </c>
      <c r="I449" s="17"/>
    </row>
    <row r="450">
      <c r="A450" s="3">
        <v>6.0</v>
      </c>
      <c r="B450" s="3">
        <v>62.0</v>
      </c>
      <c r="C450" s="3">
        <v>132.0</v>
      </c>
      <c r="D450" s="3">
        <v>43.0</v>
      </c>
      <c r="E450" s="3">
        <v>2.0</v>
      </c>
      <c r="F450" s="11">
        <f t="shared" si="1"/>
        <v>0.4696969697</v>
      </c>
      <c r="G450" s="5">
        <f t="shared" si="2"/>
        <v>5.53030303</v>
      </c>
      <c r="H450" s="3">
        <v>450.0</v>
      </c>
      <c r="I450" s="17"/>
    </row>
    <row r="451">
      <c r="A451" s="3">
        <v>6.0</v>
      </c>
      <c r="B451" s="3">
        <v>64.0</v>
      </c>
      <c r="C451" s="3">
        <v>176.0</v>
      </c>
      <c r="D451" s="3">
        <v>43.0</v>
      </c>
      <c r="E451" s="3">
        <v>3.0</v>
      </c>
      <c r="F451" s="11">
        <f t="shared" si="1"/>
        <v>0.3636363636</v>
      </c>
      <c r="G451" s="5">
        <f t="shared" si="2"/>
        <v>5.636363636</v>
      </c>
      <c r="H451" s="3">
        <v>451.0</v>
      </c>
      <c r="I451" s="17"/>
    </row>
    <row r="452">
      <c r="A452" s="3">
        <v>6.0</v>
      </c>
      <c r="B452" s="3">
        <v>56.0</v>
      </c>
      <c r="C452" s="3">
        <v>220.0</v>
      </c>
      <c r="D452" s="3">
        <v>43.0</v>
      </c>
      <c r="E452" s="3">
        <v>4.0</v>
      </c>
      <c r="F452" s="11">
        <f t="shared" si="1"/>
        <v>0.2545454545</v>
      </c>
      <c r="G452" s="5">
        <f t="shared" si="2"/>
        <v>5.745454545</v>
      </c>
      <c r="H452" s="3">
        <v>452.0</v>
      </c>
      <c r="I452" s="17"/>
    </row>
    <row r="453">
      <c r="A453" s="3">
        <v>6.0</v>
      </c>
      <c r="B453" s="3">
        <v>40.0</v>
      </c>
      <c r="C453" s="3">
        <v>264.0</v>
      </c>
      <c r="D453" s="3">
        <v>43.0</v>
      </c>
      <c r="E453" s="3">
        <v>5.0</v>
      </c>
      <c r="F453" s="11">
        <f t="shared" si="1"/>
        <v>0.1515151515</v>
      </c>
      <c r="G453" s="5">
        <f t="shared" si="2"/>
        <v>5.848484848</v>
      </c>
      <c r="H453" s="3">
        <v>453.0</v>
      </c>
      <c r="I453" s="17"/>
    </row>
    <row r="454">
      <c r="A454" s="3">
        <v>6.0</v>
      </c>
      <c r="B454" s="3">
        <v>28.0</v>
      </c>
      <c r="C454" s="3">
        <v>308.0</v>
      </c>
      <c r="D454" s="3">
        <v>43.0</v>
      </c>
      <c r="E454" s="3">
        <v>6.0</v>
      </c>
      <c r="F454" s="11">
        <f t="shared" si="1"/>
        <v>0.09090909091</v>
      </c>
      <c r="G454" s="5">
        <f t="shared" si="2"/>
        <v>5.909090909</v>
      </c>
      <c r="H454" s="3">
        <v>454.0</v>
      </c>
      <c r="I454" s="17"/>
    </row>
    <row r="455">
      <c r="A455" s="3">
        <v>6.0</v>
      </c>
      <c r="B455" s="3">
        <v>42.0</v>
      </c>
      <c r="C455" s="3">
        <v>90.0</v>
      </c>
      <c r="D455" s="3">
        <v>44.0</v>
      </c>
      <c r="E455" s="3">
        <v>1.0</v>
      </c>
      <c r="F455" s="11">
        <f t="shared" si="1"/>
        <v>0.4666666667</v>
      </c>
      <c r="G455" s="5">
        <f t="shared" si="2"/>
        <v>5.533333333</v>
      </c>
      <c r="H455" s="3">
        <v>455.0</v>
      </c>
      <c r="I455" s="17"/>
    </row>
    <row r="456">
      <c r="A456" s="3">
        <v>6.0</v>
      </c>
      <c r="B456" s="3">
        <v>59.0</v>
      </c>
      <c r="C456" s="3">
        <v>135.0</v>
      </c>
      <c r="D456" s="3">
        <v>44.0</v>
      </c>
      <c r="E456" s="3">
        <v>2.0</v>
      </c>
      <c r="F456" s="11">
        <f t="shared" si="1"/>
        <v>0.437037037</v>
      </c>
      <c r="G456" s="5">
        <f t="shared" si="2"/>
        <v>5.562962963</v>
      </c>
      <c r="H456" s="3">
        <v>456.0</v>
      </c>
      <c r="I456" s="17"/>
    </row>
    <row r="457">
      <c r="A457" s="3">
        <v>6.0</v>
      </c>
      <c r="B457" s="3">
        <v>60.0</v>
      </c>
      <c r="C457" s="3">
        <v>180.0</v>
      </c>
      <c r="D457" s="3">
        <v>44.0</v>
      </c>
      <c r="E457" s="3">
        <v>3.0</v>
      </c>
      <c r="F457" s="11">
        <f t="shared" si="1"/>
        <v>0.3333333333</v>
      </c>
      <c r="G457" s="5">
        <f t="shared" si="2"/>
        <v>5.666666667</v>
      </c>
      <c r="H457" s="3">
        <v>457.0</v>
      </c>
      <c r="I457" s="17"/>
    </row>
    <row r="458">
      <c r="A458" s="3">
        <v>6.0</v>
      </c>
      <c r="B458" s="3">
        <v>51.0</v>
      </c>
      <c r="C458" s="3">
        <v>225.0</v>
      </c>
      <c r="D458" s="3">
        <v>44.0</v>
      </c>
      <c r="E458" s="3">
        <v>4.0</v>
      </c>
      <c r="F458" s="11">
        <f t="shared" si="1"/>
        <v>0.2266666667</v>
      </c>
      <c r="G458" s="5">
        <f t="shared" si="2"/>
        <v>5.773333333</v>
      </c>
      <c r="H458" s="3">
        <v>458.0</v>
      </c>
      <c r="I458" s="17"/>
    </row>
    <row r="459">
      <c r="A459" s="3">
        <v>6.0</v>
      </c>
      <c r="B459" s="3">
        <v>34.0</v>
      </c>
      <c r="C459" s="3">
        <v>270.0</v>
      </c>
      <c r="D459" s="3">
        <v>44.0</v>
      </c>
      <c r="E459" s="3">
        <v>5.0</v>
      </c>
      <c r="F459" s="11">
        <f t="shared" si="1"/>
        <v>0.1259259259</v>
      </c>
      <c r="G459" s="5">
        <f t="shared" si="2"/>
        <v>5.874074074</v>
      </c>
      <c r="H459" s="3">
        <v>459.0</v>
      </c>
      <c r="I459" s="17"/>
    </row>
    <row r="460">
      <c r="A460" s="3">
        <v>6.0</v>
      </c>
      <c r="B460" s="3">
        <v>23.0</v>
      </c>
      <c r="C460" s="3">
        <v>315.0</v>
      </c>
      <c r="D460" s="3">
        <v>44.0</v>
      </c>
      <c r="E460" s="3">
        <v>6.0</v>
      </c>
      <c r="F460" s="11">
        <f t="shared" si="1"/>
        <v>0.07301587302</v>
      </c>
      <c r="G460" s="5">
        <f t="shared" si="2"/>
        <v>5.926984127</v>
      </c>
      <c r="H460" s="3">
        <v>460.0</v>
      </c>
      <c r="I460" s="17"/>
    </row>
    <row r="461">
      <c r="A461" s="3">
        <v>6.0</v>
      </c>
      <c r="B461" s="3">
        <v>40.0</v>
      </c>
      <c r="C461" s="3">
        <v>92.0</v>
      </c>
      <c r="D461" s="3">
        <v>45.0</v>
      </c>
      <c r="E461" s="3">
        <v>1.0</v>
      </c>
      <c r="F461" s="11">
        <f t="shared" si="1"/>
        <v>0.4347826087</v>
      </c>
      <c r="G461" s="5">
        <f t="shared" si="2"/>
        <v>5.565217391</v>
      </c>
      <c r="H461" s="3">
        <v>461.0</v>
      </c>
      <c r="I461" s="17"/>
    </row>
    <row r="462">
      <c r="A462" s="3">
        <v>6.0</v>
      </c>
      <c r="B462" s="3">
        <v>56.0</v>
      </c>
      <c r="C462" s="3">
        <v>138.0</v>
      </c>
      <c r="D462" s="3">
        <v>45.0</v>
      </c>
      <c r="E462" s="3">
        <v>2.0</v>
      </c>
      <c r="F462" s="11">
        <f t="shared" si="1"/>
        <v>0.4057971014</v>
      </c>
      <c r="G462" s="5">
        <f t="shared" si="2"/>
        <v>5.594202899</v>
      </c>
      <c r="H462" s="3">
        <v>462.0</v>
      </c>
      <c r="I462" s="17"/>
    </row>
    <row r="463">
      <c r="A463" s="3">
        <v>6.0</v>
      </c>
      <c r="B463" s="3">
        <v>56.0</v>
      </c>
      <c r="C463" s="3">
        <v>184.0</v>
      </c>
      <c r="D463" s="3">
        <v>45.0</v>
      </c>
      <c r="E463" s="3">
        <v>3.0</v>
      </c>
      <c r="F463" s="11">
        <f t="shared" si="1"/>
        <v>0.3043478261</v>
      </c>
      <c r="G463" s="5">
        <f t="shared" si="2"/>
        <v>5.695652174</v>
      </c>
      <c r="H463" s="3">
        <v>463.0</v>
      </c>
      <c r="I463" s="17"/>
    </row>
    <row r="464">
      <c r="A464" s="3">
        <v>6.0</v>
      </c>
      <c r="B464" s="3">
        <v>46.0</v>
      </c>
      <c r="C464" s="3">
        <v>230.0</v>
      </c>
      <c r="D464" s="3">
        <v>45.0</v>
      </c>
      <c r="E464" s="3">
        <v>4.0</v>
      </c>
      <c r="F464" s="11">
        <f t="shared" si="1"/>
        <v>0.2</v>
      </c>
      <c r="G464" s="5">
        <f t="shared" si="2"/>
        <v>5.8</v>
      </c>
      <c r="H464" s="3">
        <v>464.0</v>
      </c>
      <c r="I464" s="17"/>
    </row>
    <row r="465">
      <c r="A465" s="3">
        <v>6.0</v>
      </c>
      <c r="B465" s="3">
        <v>28.0</v>
      </c>
      <c r="C465" s="3">
        <v>276.0</v>
      </c>
      <c r="D465" s="3">
        <v>45.0</v>
      </c>
      <c r="E465" s="3">
        <v>5.0</v>
      </c>
      <c r="F465" s="11">
        <f t="shared" si="1"/>
        <v>0.1014492754</v>
      </c>
      <c r="G465" s="5">
        <f t="shared" si="2"/>
        <v>5.898550725</v>
      </c>
      <c r="H465" s="3">
        <v>465.0</v>
      </c>
      <c r="I465" s="17"/>
    </row>
    <row r="466">
      <c r="A466" s="3">
        <v>6.0</v>
      </c>
      <c r="B466" s="3">
        <v>18.0</v>
      </c>
      <c r="C466" s="3">
        <v>322.0</v>
      </c>
      <c r="D466" s="3">
        <v>45.0</v>
      </c>
      <c r="E466" s="3">
        <v>6.0</v>
      </c>
      <c r="F466" s="11">
        <f t="shared" si="1"/>
        <v>0.05590062112</v>
      </c>
      <c r="G466" s="5">
        <f t="shared" si="2"/>
        <v>5.944099379</v>
      </c>
      <c r="H466" s="3">
        <v>466.0</v>
      </c>
      <c r="I466" s="17"/>
    </row>
    <row r="467">
      <c r="A467" s="3">
        <v>6.0</v>
      </c>
      <c r="B467" s="3">
        <v>38.0</v>
      </c>
      <c r="C467" s="3">
        <v>94.0</v>
      </c>
      <c r="D467" s="3">
        <v>46.0</v>
      </c>
      <c r="E467" s="3">
        <v>1.0</v>
      </c>
      <c r="F467" s="11">
        <f t="shared" si="1"/>
        <v>0.4042553191</v>
      </c>
      <c r="G467" s="5">
        <f t="shared" si="2"/>
        <v>5.595744681</v>
      </c>
      <c r="H467" s="3">
        <v>467.0</v>
      </c>
      <c r="I467" s="17"/>
    </row>
    <row r="468">
      <c r="A468" s="3">
        <v>6.0</v>
      </c>
      <c r="B468" s="3">
        <v>53.0</v>
      </c>
      <c r="C468" s="3">
        <v>141.0</v>
      </c>
      <c r="D468" s="3">
        <v>46.0</v>
      </c>
      <c r="E468" s="3">
        <v>2.0</v>
      </c>
      <c r="F468" s="11">
        <f t="shared" si="1"/>
        <v>0.3758865248</v>
      </c>
      <c r="G468" s="5">
        <f t="shared" si="2"/>
        <v>5.624113475</v>
      </c>
      <c r="H468" s="3">
        <v>468.0</v>
      </c>
      <c r="I468" s="17"/>
    </row>
    <row r="469">
      <c r="A469" s="3">
        <v>6.0</v>
      </c>
      <c r="B469" s="3">
        <v>52.0</v>
      </c>
      <c r="C469" s="3">
        <v>188.0</v>
      </c>
      <c r="D469" s="3">
        <v>46.0</v>
      </c>
      <c r="E469" s="3">
        <v>3.0</v>
      </c>
      <c r="F469" s="11">
        <f t="shared" si="1"/>
        <v>0.2765957447</v>
      </c>
      <c r="G469" s="5">
        <f t="shared" si="2"/>
        <v>5.723404255</v>
      </c>
      <c r="H469" s="3">
        <v>469.0</v>
      </c>
      <c r="I469" s="17"/>
    </row>
    <row r="470">
      <c r="A470" s="3">
        <v>6.0</v>
      </c>
      <c r="B470" s="3">
        <v>41.0</v>
      </c>
      <c r="C470" s="3">
        <v>235.0</v>
      </c>
      <c r="D470" s="3">
        <v>46.0</v>
      </c>
      <c r="E470" s="3">
        <v>4.0</v>
      </c>
      <c r="F470" s="11">
        <f t="shared" si="1"/>
        <v>0.1744680851</v>
      </c>
      <c r="G470" s="5">
        <f t="shared" si="2"/>
        <v>5.825531915</v>
      </c>
      <c r="H470" s="3">
        <v>470.0</v>
      </c>
      <c r="I470" s="17"/>
    </row>
    <row r="471">
      <c r="A471" s="3">
        <v>6.0</v>
      </c>
      <c r="B471" s="3">
        <v>24.0</v>
      </c>
      <c r="C471" s="3">
        <v>282.0</v>
      </c>
      <c r="D471" s="3">
        <v>46.0</v>
      </c>
      <c r="E471" s="3">
        <v>5.0</v>
      </c>
      <c r="F471" s="11">
        <f t="shared" si="1"/>
        <v>0.08510638298</v>
      </c>
      <c r="G471" s="5">
        <f t="shared" si="2"/>
        <v>5.914893617</v>
      </c>
      <c r="H471" s="3">
        <v>471.0</v>
      </c>
      <c r="I471" s="17"/>
    </row>
    <row r="472">
      <c r="A472" s="3">
        <v>6.0</v>
      </c>
      <c r="B472" s="3">
        <v>4.0</v>
      </c>
      <c r="C472" s="3">
        <v>329.0</v>
      </c>
      <c r="D472" s="3">
        <v>46.0</v>
      </c>
      <c r="E472" s="3">
        <v>6.0</v>
      </c>
      <c r="F472" s="11">
        <f t="shared" si="1"/>
        <v>0.01215805471</v>
      </c>
      <c r="G472" s="5">
        <f t="shared" si="2"/>
        <v>5.987841945</v>
      </c>
      <c r="H472" s="3">
        <v>472.0</v>
      </c>
      <c r="I472" s="17"/>
    </row>
    <row r="473">
      <c r="A473" s="3">
        <v>6.0</v>
      </c>
      <c r="B473" s="3">
        <v>36.0</v>
      </c>
      <c r="C473" s="3">
        <v>96.0</v>
      </c>
      <c r="D473" s="3">
        <v>47.0</v>
      </c>
      <c r="E473" s="3">
        <v>1.0</v>
      </c>
      <c r="F473" s="11">
        <f t="shared" si="1"/>
        <v>0.375</v>
      </c>
      <c r="G473" s="5">
        <f t="shared" si="2"/>
        <v>5.625</v>
      </c>
      <c r="H473" s="3">
        <v>473.0</v>
      </c>
      <c r="I473" s="17"/>
    </row>
    <row r="474">
      <c r="A474" s="3">
        <v>6.0</v>
      </c>
      <c r="B474" s="3">
        <v>50.0</v>
      </c>
      <c r="C474" s="3">
        <v>144.0</v>
      </c>
      <c r="D474" s="3">
        <v>47.0</v>
      </c>
      <c r="E474" s="3">
        <v>2.0</v>
      </c>
      <c r="F474" s="11">
        <f t="shared" si="1"/>
        <v>0.3472222222</v>
      </c>
      <c r="G474" s="5">
        <f t="shared" si="2"/>
        <v>5.652777778</v>
      </c>
      <c r="H474" s="3">
        <v>474.0</v>
      </c>
      <c r="I474" s="17"/>
    </row>
    <row r="475">
      <c r="A475" s="3">
        <v>6.0</v>
      </c>
      <c r="B475" s="3">
        <v>48.0</v>
      </c>
      <c r="C475" s="3">
        <v>192.0</v>
      </c>
      <c r="D475" s="3">
        <v>47.0</v>
      </c>
      <c r="E475" s="3">
        <v>3.0</v>
      </c>
      <c r="F475" s="11">
        <f t="shared" si="1"/>
        <v>0.25</v>
      </c>
      <c r="G475" s="5">
        <f t="shared" si="2"/>
        <v>5.75</v>
      </c>
      <c r="H475" s="3">
        <v>475.0</v>
      </c>
      <c r="I475" s="17"/>
    </row>
    <row r="476">
      <c r="A476" s="3">
        <v>6.0</v>
      </c>
      <c r="B476" s="3">
        <v>36.0</v>
      </c>
      <c r="C476" s="3">
        <v>240.0</v>
      </c>
      <c r="D476" s="3">
        <v>47.0</v>
      </c>
      <c r="E476" s="3">
        <v>4.0</v>
      </c>
      <c r="F476" s="11">
        <f t="shared" si="1"/>
        <v>0.15</v>
      </c>
      <c r="G476" s="5">
        <f t="shared" si="2"/>
        <v>5.85</v>
      </c>
      <c r="H476" s="3">
        <v>476.0</v>
      </c>
      <c r="I476" s="17"/>
    </row>
    <row r="477">
      <c r="A477" s="3">
        <v>6.0</v>
      </c>
      <c r="B477" s="3">
        <v>20.0</v>
      </c>
      <c r="C477" s="3">
        <v>288.0</v>
      </c>
      <c r="D477" s="3">
        <v>47.0</v>
      </c>
      <c r="E477" s="3">
        <v>5.0</v>
      </c>
      <c r="F477" s="11">
        <f t="shared" si="1"/>
        <v>0.06944444444</v>
      </c>
      <c r="G477" s="5">
        <f t="shared" si="2"/>
        <v>5.930555556</v>
      </c>
      <c r="H477" s="3">
        <v>477.0</v>
      </c>
      <c r="I477" s="17"/>
    </row>
    <row r="478">
      <c r="A478" s="3">
        <v>6.0</v>
      </c>
      <c r="B478" s="3">
        <v>34.0</v>
      </c>
      <c r="C478" s="3">
        <v>98.0</v>
      </c>
      <c r="D478" s="3">
        <v>48.0</v>
      </c>
      <c r="E478" s="3">
        <v>1.0</v>
      </c>
      <c r="F478" s="11">
        <f t="shared" si="1"/>
        <v>0.3469387755</v>
      </c>
      <c r="G478" s="5">
        <f t="shared" si="2"/>
        <v>5.653061224</v>
      </c>
      <c r="H478" s="3">
        <v>478.0</v>
      </c>
      <c r="I478" s="17"/>
    </row>
    <row r="479">
      <c r="A479" s="3">
        <v>6.0</v>
      </c>
      <c r="B479" s="3">
        <v>47.0</v>
      </c>
      <c r="C479" s="3">
        <v>147.0</v>
      </c>
      <c r="D479" s="3">
        <v>48.0</v>
      </c>
      <c r="E479" s="3">
        <v>2.0</v>
      </c>
      <c r="F479" s="11">
        <f t="shared" si="1"/>
        <v>0.3197278912</v>
      </c>
      <c r="G479" s="5">
        <f t="shared" si="2"/>
        <v>5.680272109</v>
      </c>
      <c r="H479" s="3">
        <v>479.0</v>
      </c>
      <c r="I479" s="17"/>
    </row>
    <row r="480">
      <c r="A480" s="3">
        <v>6.0</v>
      </c>
      <c r="B480" s="3">
        <v>44.0</v>
      </c>
      <c r="C480" s="3">
        <v>196.0</v>
      </c>
      <c r="D480" s="3">
        <v>48.0</v>
      </c>
      <c r="E480" s="3">
        <v>3.0</v>
      </c>
      <c r="F480" s="11">
        <f t="shared" si="1"/>
        <v>0.2244897959</v>
      </c>
      <c r="G480" s="5">
        <f t="shared" si="2"/>
        <v>5.775510204</v>
      </c>
      <c r="H480" s="3">
        <v>480.0</v>
      </c>
      <c r="I480" s="17"/>
    </row>
    <row r="481">
      <c r="A481" s="3">
        <v>6.0</v>
      </c>
      <c r="B481" s="3">
        <v>31.0</v>
      </c>
      <c r="C481" s="3">
        <v>245.0</v>
      </c>
      <c r="D481" s="3">
        <v>48.0</v>
      </c>
      <c r="E481" s="3">
        <v>4.0</v>
      </c>
      <c r="F481" s="11">
        <f t="shared" si="1"/>
        <v>0.1265306122</v>
      </c>
      <c r="G481" s="5">
        <f t="shared" si="2"/>
        <v>5.873469388</v>
      </c>
      <c r="H481" s="3">
        <v>481.0</v>
      </c>
      <c r="I481" s="17"/>
    </row>
    <row r="482">
      <c r="A482" s="3">
        <v>6.0</v>
      </c>
      <c r="B482" s="3">
        <v>16.0</v>
      </c>
      <c r="C482" s="3">
        <v>294.0</v>
      </c>
      <c r="D482" s="3">
        <v>48.0</v>
      </c>
      <c r="E482" s="3">
        <v>5.0</v>
      </c>
      <c r="F482" s="11">
        <f t="shared" si="1"/>
        <v>0.05442176871</v>
      </c>
      <c r="G482" s="5">
        <f t="shared" si="2"/>
        <v>5.945578231</v>
      </c>
      <c r="H482" s="3">
        <v>482.0</v>
      </c>
      <c r="I482" s="17"/>
    </row>
    <row r="483">
      <c r="A483" s="3">
        <v>6.0</v>
      </c>
      <c r="B483" s="3">
        <v>32.0</v>
      </c>
      <c r="C483" s="3">
        <v>100.0</v>
      </c>
      <c r="D483" s="3">
        <v>49.0</v>
      </c>
      <c r="E483" s="3">
        <v>1.0</v>
      </c>
      <c r="F483" s="11">
        <f t="shared" si="1"/>
        <v>0.32</v>
      </c>
      <c r="G483" s="5">
        <f t="shared" si="2"/>
        <v>5.68</v>
      </c>
      <c r="H483" s="3">
        <v>483.0</v>
      </c>
      <c r="I483" s="17"/>
    </row>
    <row r="484">
      <c r="A484" s="3">
        <v>6.0</v>
      </c>
      <c r="B484" s="3">
        <v>44.0</v>
      </c>
      <c r="C484" s="3">
        <v>150.0</v>
      </c>
      <c r="D484" s="3">
        <v>49.0</v>
      </c>
      <c r="E484" s="3">
        <v>2.0</v>
      </c>
      <c r="F484" s="11">
        <f t="shared" si="1"/>
        <v>0.2933333333</v>
      </c>
      <c r="G484" s="5">
        <f t="shared" si="2"/>
        <v>5.706666667</v>
      </c>
      <c r="H484" s="3">
        <v>484.0</v>
      </c>
      <c r="I484" s="17"/>
    </row>
    <row r="485">
      <c r="A485" s="3">
        <v>6.0</v>
      </c>
      <c r="B485" s="3">
        <v>40.0</v>
      </c>
      <c r="C485" s="3">
        <v>200.0</v>
      </c>
      <c r="D485" s="3">
        <v>49.0</v>
      </c>
      <c r="E485" s="3">
        <v>3.0</v>
      </c>
      <c r="F485" s="11">
        <f t="shared" si="1"/>
        <v>0.2</v>
      </c>
      <c r="G485" s="5">
        <f t="shared" si="2"/>
        <v>5.8</v>
      </c>
      <c r="H485" s="3">
        <v>485.0</v>
      </c>
      <c r="I485" s="17"/>
    </row>
    <row r="486">
      <c r="A486" s="3">
        <v>6.0</v>
      </c>
      <c r="B486" s="3">
        <v>26.0</v>
      </c>
      <c r="C486" s="3">
        <v>250.0</v>
      </c>
      <c r="D486" s="3">
        <v>49.0</v>
      </c>
      <c r="E486" s="3">
        <v>4.0</v>
      </c>
      <c r="F486" s="11">
        <f t="shared" si="1"/>
        <v>0.104</v>
      </c>
      <c r="G486" s="5">
        <f t="shared" si="2"/>
        <v>5.896</v>
      </c>
      <c r="H486" s="3">
        <v>486.0</v>
      </c>
      <c r="I486" s="17"/>
    </row>
    <row r="487">
      <c r="A487" s="3">
        <v>6.0</v>
      </c>
      <c r="B487" s="3">
        <v>12.0</v>
      </c>
      <c r="C487" s="3">
        <v>300.0</v>
      </c>
      <c r="D487" s="3">
        <v>49.0</v>
      </c>
      <c r="E487" s="3">
        <v>5.0</v>
      </c>
      <c r="F487" s="11">
        <f t="shared" si="1"/>
        <v>0.04</v>
      </c>
      <c r="G487" s="5">
        <f t="shared" si="2"/>
        <v>5.96</v>
      </c>
      <c r="H487" s="3">
        <v>487.0</v>
      </c>
      <c r="I487" s="17"/>
    </row>
    <row r="488">
      <c r="A488" s="3">
        <v>6.0</v>
      </c>
      <c r="B488" s="3">
        <v>30.0</v>
      </c>
      <c r="C488" s="3">
        <v>102.0</v>
      </c>
      <c r="D488" s="3">
        <v>50.0</v>
      </c>
      <c r="E488" s="3">
        <v>1.0</v>
      </c>
      <c r="F488" s="11">
        <f t="shared" si="1"/>
        <v>0.2941176471</v>
      </c>
      <c r="G488" s="5">
        <f t="shared" si="2"/>
        <v>5.705882353</v>
      </c>
      <c r="H488" s="3">
        <v>488.0</v>
      </c>
      <c r="I488" s="17"/>
    </row>
    <row r="489">
      <c r="A489" s="3">
        <v>6.0</v>
      </c>
      <c r="B489" s="3">
        <v>41.0</v>
      </c>
      <c r="C489" s="3">
        <v>153.0</v>
      </c>
      <c r="D489" s="3">
        <v>50.0</v>
      </c>
      <c r="E489" s="3">
        <v>2.0</v>
      </c>
      <c r="F489" s="11">
        <f t="shared" si="1"/>
        <v>0.2679738562</v>
      </c>
      <c r="G489" s="5">
        <f t="shared" si="2"/>
        <v>5.732026144</v>
      </c>
      <c r="H489" s="3">
        <v>489.0</v>
      </c>
      <c r="I489" s="17"/>
    </row>
    <row r="490">
      <c r="A490" s="3">
        <v>6.0</v>
      </c>
      <c r="B490" s="3">
        <v>36.0</v>
      </c>
      <c r="C490" s="3">
        <v>204.0</v>
      </c>
      <c r="D490" s="3">
        <v>50.0</v>
      </c>
      <c r="E490" s="3">
        <v>3.0</v>
      </c>
      <c r="F490" s="11">
        <f t="shared" si="1"/>
        <v>0.1764705882</v>
      </c>
      <c r="G490" s="5">
        <f t="shared" si="2"/>
        <v>5.823529412</v>
      </c>
      <c r="H490" s="3">
        <v>490.0</v>
      </c>
      <c r="I490" s="17"/>
    </row>
    <row r="491">
      <c r="A491" s="3">
        <v>6.0</v>
      </c>
      <c r="B491" s="3">
        <v>23.0</v>
      </c>
      <c r="C491" s="3">
        <v>255.0</v>
      </c>
      <c r="D491" s="3">
        <v>50.0</v>
      </c>
      <c r="E491" s="3">
        <v>4.0</v>
      </c>
      <c r="F491" s="11">
        <f t="shared" si="1"/>
        <v>0.09019607843</v>
      </c>
      <c r="G491" s="5">
        <f t="shared" si="2"/>
        <v>5.909803922</v>
      </c>
      <c r="H491" s="3">
        <v>491.0</v>
      </c>
      <c r="I491" s="17"/>
    </row>
    <row r="492">
      <c r="A492" s="3">
        <v>6.0</v>
      </c>
      <c r="B492" s="3">
        <v>10.0</v>
      </c>
      <c r="C492" s="3">
        <v>306.0</v>
      </c>
      <c r="D492" s="3">
        <v>50.0</v>
      </c>
      <c r="E492" s="3">
        <v>5.0</v>
      </c>
      <c r="F492" s="11">
        <f t="shared" si="1"/>
        <v>0.03267973856</v>
      </c>
      <c r="G492" s="5">
        <f t="shared" si="2"/>
        <v>5.967320261</v>
      </c>
      <c r="H492" s="3">
        <v>492.0</v>
      </c>
      <c r="I492" s="17"/>
    </row>
    <row r="493">
      <c r="A493" s="3">
        <v>6.0</v>
      </c>
      <c r="B493" s="3">
        <v>28.0</v>
      </c>
      <c r="C493" s="3">
        <v>104.0</v>
      </c>
      <c r="D493" s="3">
        <v>51.0</v>
      </c>
      <c r="E493" s="3">
        <v>1.0</v>
      </c>
      <c r="F493" s="11">
        <f t="shared" si="1"/>
        <v>0.2692307692</v>
      </c>
      <c r="G493" s="5">
        <f t="shared" si="2"/>
        <v>5.730769231</v>
      </c>
      <c r="H493" s="3">
        <v>493.0</v>
      </c>
      <c r="I493" s="17"/>
    </row>
    <row r="494">
      <c r="A494" s="3">
        <v>6.0</v>
      </c>
      <c r="B494" s="3">
        <v>38.0</v>
      </c>
      <c r="C494" s="3">
        <v>156.0</v>
      </c>
      <c r="D494" s="3">
        <v>51.0</v>
      </c>
      <c r="E494" s="3">
        <v>2.0</v>
      </c>
      <c r="F494" s="11">
        <f t="shared" si="1"/>
        <v>0.2435897436</v>
      </c>
      <c r="G494" s="5">
        <f t="shared" si="2"/>
        <v>5.756410256</v>
      </c>
      <c r="H494" s="3">
        <v>494.0</v>
      </c>
      <c r="I494" s="17"/>
    </row>
    <row r="495">
      <c r="A495" s="3">
        <v>6.0</v>
      </c>
      <c r="B495" s="3">
        <v>32.0</v>
      </c>
      <c r="C495" s="3">
        <v>208.0</v>
      </c>
      <c r="D495" s="3">
        <v>51.0</v>
      </c>
      <c r="E495" s="3">
        <v>3.0</v>
      </c>
      <c r="F495" s="11">
        <f t="shared" si="1"/>
        <v>0.1538461538</v>
      </c>
      <c r="G495" s="5">
        <f t="shared" si="2"/>
        <v>5.846153846</v>
      </c>
      <c r="H495" s="3">
        <v>495.0</v>
      </c>
      <c r="I495" s="17"/>
    </row>
    <row r="496">
      <c r="A496" s="3">
        <v>6.0</v>
      </c>
      <c r="B496" s="3">
        <v>20.0</v>
      </c>
      <c r="C496" s="3">
        <v>260.0</v>
      </c>
      <c r="D496" s="3">
        <v>51.0</v>
      </c>
      <c r="E496" s="3">
        <v>4.0</v>
      </c>
      <c r="F496" s="11">
        <f t="shared" si="1"/>
        <v>0.07692307692</v>
      </c>
      <c r="G496" s="5">
        <f t="shared" si="2"/>
        <v>5.923076923</v>
      </c>
      <c r="H496" s="3">
        <v>496.0</v>
      </c>
      <c r="I496" s="17"/>
    </row>
    <row r="497">
      <c r="A497" s="3">
        <v>6.0</v>
      </c>
      <c r="B497" s="3">
        <v>26.0</v>
      </c>
      <c r="C497" s="3">
        <v>106.0</v>
      </c>
      <c r="D497" s="3">
        <v>52.0</v>
      </c>
      <c r="E497" s="3">
        <v>1.0</v>
      </c>
      <c r="F497" s="11">
        <f t="shared" si="1"/>
        <v>0.2452830189</v>
      </c>
      <c r="G497" s="5">
        <f t="shared" si="2"/>
        <v>5.754716981</v>
      </c>
      <c r="H497" s="3">
        <v>497.0</v>
      </c>
      <c r="I497" s="17"/>
    </row>
    <row r="498">
      <c r="A498" s="3">
        <v>6.0</v>
      </c>
      <c r="B498" s="3">
        <v>35.0</v>
      </c>
      <c r="C498" s="3">
        <v>159.0</v>
      </c>
      <c r="D498" s="3">
        <v>52.0</v>
      </c>
      <c r="E498" s="3">
        <v>2.0</v>
      </c>
      <c r="F498" s="11">
        <f t="shared" si="1"/>
        <v>0.2201257862</v>
      </c>
      <c r="G498" s="5">
        <f t="shared" si="2"/>
        <v>5.779874214</v>
      </c>
      <c r="H498" s="3">
        <v>498.0</v>
      </c>
      <c r="I498" s="17"/>
    </row>
    <row r="499">
      <c r="A499" s="3">
        <v>6.0</v>
      </c>
      <c r="B499" s="3">
        <v>28.0</v>
      </c>
      <c r="C499" s="3">
        <v>212.0</v>
      </c>
      <c r="D499" s="3">
        <v>52.0</v>
      </c>
      <c r="E499" s="3">
        <v>3.0</v>
      </c>
      <c r="F499" s="11">
        <f t="shared" si="1"/>
        <v>0.1320754717</v>
      </c>
      <c r="G499" s="5">
        <f t="shared" si="2"/>
        <v>5.867924528</v>
      </c>
      <c r="H499" s="3">
        <v>499.0</v>
      </c>
      <c r="I499" s="17"/>
    </row>
    <row r="500">
      <c r="A500" s="3">
        <v>6.0</v>
      </c>
      <c r="B500" s="3">
        <v>17.0</v>
      </c>
      <c r="C500" s="3">
        <v>265.0</v>
      </c>
      <c r="D500" s="3">
        <v>52.0</v>
      </c>
      <c r="E500" s="3">
        <v>4.0</v>
      </c>
      <c r="F500" s="11">
        <f t="shared" si="1"/>
        <v>0.0641509434</v>
      </c>
      <c r="G500" s="5">
        <f t="shared" si="2"/>
        <v>5.935849057</v>
      </c>
      <c r="H500" s="3">
        <v>500.0</v>
      </c>
      <c r="I500" s="17"/>
    </row>
    <row r="501">
      <c r="A501" s="3">
        <v>6.0</v>
      </c>
      <c r="B501" s="3">
        <v>24.0</v>
      </c>
      <c r="C501" s="3">
        <v>108.0</v>
      </c>
      <c r="D501" s="3">
        <v>53.0</v>
      </c>
      <c r="E501" s="3">
        <v>1.0</v>
      </c>
      <c r="F501" s="11">
        <f t="shared" si="1"/>
        <v>0.2222222222</v>
      </c>
      <c r="G501" s="5">
        <f t="shared" si="2"/>
        <v>5.777777778</v>
      </c>
      <c r="H501" s="3">
        <v>501.0</v>
      </c>
      <c r="I501" s="17"/>
    </row>
    <row r="502">
      <c r="A502" s="3">
        <v>6.0</v>
      </c>
      <c r="B502" s="3">
        <v>32.0</v>
      </c>
      <c r="C502" s="3">
        <v>162.0</v>
      </c>
      <c r="D502" s="3">
        <v>53.0</v>
      </c>
      <c r="E502" s="3">
        <v>2.0</v>
      </c>
      <c r="F502" s="11">
        <f t="shared" si="1"/>
        <v>0.1975308642</v>
      </c>
      <c r="G502" s="5">
        <f t="shared" si="2"/>
        <v>5.802469136</v>
      </c>
      <c r="H502" s="3">
        <v>502.0</v>
      </c>
      <c r="I502" s="17"/>
    </row>
    <row r="503">
      <c r="A503" s="3">
        <v>6.0</v>
      </c>
      <c r="B503" s="3">
        <v>24.0</v>
      </c>
      <c r="C503" s="3">
        <v>216.0</v>
      </c>
      <c r="D503" s="3">
        <v>53.0</v>
      </c>
      <c r="E503" s="3">
        <v>3.0</v>
      </c>
      <c r="F503" s="11">
        <f t="shared" si="1"/>
        <v>0.1111111111</v>
      </c>
      <c r="G503" s="5">
        <f t="shared" si="2"/>
        <v>5.888888889</v>
      </c>
      <c r="H503" s="3">
        <v>503.0</v>
      </c>
      <c r="I503" s="17"/>
    </row>
    <row r="504">
      <c r="A504" s="3">
        <v>6.0</v>
      </c>
      <c r="B504" s="3">
        <v>14.0</v>
      </c>
      <c r="C504" s="3">
        <v>270.0</v>
      </c>
      <c r="D504" s="3">
        <v>53.0</v>
      </c>
      <c r="E504" s="3">
        <v>4.0</v>
      </c>
      <c r="F504" s="11">
        <f t="shared" si="1"/>
        <v>0.05185185185</v>
      </c>
      <c r="G504" s="5">
        <f t="shared" si="2"/>
        <v>5.948148148</v>
      </c>
      <c r="H504" s="3">
        <v>504.0</v>
      </c>
      <c r="I504" s="17"/>
    </row>
    <row r="505">
      <c r="A505" s="3">
        <v>6.0</v>
      </c>
      <c r="B505" s="3">
        <v>22.0</v>
      </c>
      <c r="C505" s="3">
        <v>110.0</v>
      </c>
      <c r="D505" s="3">
        <v>54.0</v>
      </c>
      <c r="E505" s="3">
        <v>1.0</v>
      </c>
      <c r="F505" s="11">
        <f t="shared" si="1"/>
        <v>0.2</v>
      </c>
      <c r="G505" s="5">
        <f t="shared" si="2"/>
        <v>5.8</v>
      </c>
      <c r="H505" s="3">
        <v>505.0</v>
      </c>
      <c r="I505" s="17"/>
    </row>
    <row r="506">
      <c r="A506" s="3">
        <v>6.0</v>
      </c>
      <c r="B506" s="3">
        <v>29.0</v>
      </c>
      <c r="C506" s="3">
        <v>165.0</v>
      </c>
      <c r="D506" s="3">
        <v>54.0</v>
      </c>
      <c r="E506" s="3">
        <v>2.0</v>
      </c>
      <c r="F506" s="11">
        <f t="shared" si="1"/>
        <v>0.1757575758</v>
      </c>
      <c r="G506" s="5">
        <f t="shared" si="2"/>
        <v>5.824242424</v>
      </c>
      <c r="H506" s="3">
        <v>506.0</v>
      </c>
      <c r="I506" s="17"/>
    </row>
    <row r="507">
      <c r="A507" s="3">
        <v>6.0</v>
      </c>
      <c r="B507" s="3">
        <v>20.0</v>
      </c>
      <c r="C507" s="3">
        <v>220.0</v>
      </c>
      <c r="D507" s="3">
        <v>54.0</v>
      </c>
      <c r="E507" s="3">
        <v>3.0</v>
      </c>
      <c r="F507" s="11">
        <f t="shared" si="1"/>
        <v>0.09090909091</v>
      </c>
      <c r="G507" s="5">
        <f t="shared" si="2"/>
        <v>5.909090909</v>
      </c>
      <c r="H507" s="3">
        <v>507.0</v>
      </c>
      <c r="I507" s="17"/>
    </row>
    <row r="508">
      <c r="A508" s="3">
        <v>6.0</v>
      </c>
      <c r="B508" s="3">
        <v>7.0</v>
      </c>
      <c r="C508" s="3">
        <v>275.0</v>
      </c>
      <c r="D508" s="3">
        <v>54.0</v>
      </c>
      <c r="E508" s="3">
        <v>4.0</v>
      </c>
      <c r="F508" s="11">
        <f t="shared" si="1"/>
        <v>0.02545454545</v>
      </c>
      <c r="G508" s="5">
        <f t="shared" si="2"/>
        <v>5.974545455</v>
      </c>
      <c r="H508" s="3">
        <v>508.0</v>
      </c>
      <c r="I508" s="17"/>
    </row>
    <row r="509">
      <c r="A509" s="3">
        <v>7.0</v>
      </c>
      <c r="B509" s="3">
        <v>416.0</v>
      </c>
      <c r="C509" s="3">
        <v>420.0</v>
      </c>
      <c r="D509" s="3">
        <v>20.0</v>
      </c>
      <c r="E509" s="3">
        <v>19.0</v>
      </c>
      <c r="F509" s="11">
        <f t="shared" si="1"/>
        <v>0.9904761905</v>
      </c>
      <c r="G509" s="5">
        <f t="shared" si="2"/>
        <v>6.00952381</v>
      </c>
      <c r="H509" s="3">
        <v>509.0</v>
      </c>
      <c r="I509" s="17"/>
    </row>
    <row r="510">
      <c r="A510" s="3">
        <v>7.0</v>
      </c>
      <c r="B510" s="3">
        <v>429.0</v>
      </c>
      <c r="C510" s="3">
        <v>441.0</v>
      </c>
      <c r="D510" s="3">
        <v>20.0</v>
      </c>
      <c r="E510" s="3">
        <v>20.0</v>
      </c>
      <c r="F510" s="11">
        <f t="shared" si="1"/>
        <v>0.9727891156</v>
      </c>
      <c r="G510" s="5">
        <f t="shared" si="2"/>
        <v>6.027210884</v>
      </c>
      <c r="H510" s="3">
        <v>510.0</v>
      </c>
      <c r="I510" s="17"/>
    </row>
    <row r="511">
      <c r="A511" s="3">
        <v>7.0</v>
      </c>
      <c r="B511" s="3">
        <v>414.0</v>
      </c>
      <c r="C511" s="3">
        <v>418.0</v>
      </c>
      <c r="D511" s="3">
        <v>21.0</v>
      </c>
      <c r="E511" s="3">
        <v>18.0</v>
      </c>
      <c r="F511" s="11">
        <f t="shared" si="1"/>
        <v>0.990430622</v>
      </c>
      <c r="G511" s="5">
        <f t="shared" si="2"/>
        <v>6.009569378</v>
      </c>
      <c r="H511" s="3">
        <v>511.0</v>
      </c>
      <c r="I511" s="17"/>
    </row>
    <row r="512">
      <c r="A512" s="3">
        <v>7.0</v>
      </c>
      <c r="B512" s="3">
        <v>428.0</v>
      </c>
      <c r="C512" s="3">
        <v>440.0</v>
      </c>
      <c r="D512" s="3">
        <v>21.0</v>
      </c>
      <c r="E512" s="3">
        <v>19.0</v>
      </c>
      <c r="F512" s="11">
        <f t="shared" si="1"/>
        <v>0.9727272727</v>
      </c>
      <c r="G512" s="5">
        <f t="shared" si="2"/>
        <v>6.027272727</v>
      </c>
      <c r="H512" s="3">
        <v>512.0</v>
      </c>
      <c r="I512" s="17"/>
    </row>
    <row r="513">
      <c r="A513" s="3">
        <v>7.0</v>
      </c>
      <c r="B513" s="3">
        <v>438.0</v>
      </c>
      <c r="C513" s="3">
        <v>462.0</v>
      </c>
      <c r="D513" s="3">
        <v>21.0</v>
      </c>
      <c r="E513" s="3">
        <v>20.0</v>
      </c>
      <c r="F513" s="11">
        <f t="shared" si="1"/>
        <v>0.9480519481</v>
      </c>
      <c r="G513" s="5">
        <f t="shared" si="2"/>
        <v>6.051948052</v>
      </c>
      <c r="H513" s="3">
        <v>513.0</v>
      </c>
      <c r="I513" s="17"/>
    </row>
    <row r="514">
      <c r="A514" s="3">
        <v>7.0</v>
      </c>
      <c r="B514" s="3">
        <v>444.0</v>
      </c>
      <c r="C514" s="3">
        <v>484.0</v>
      </c>
      <c r="D514" s="3">
        <v>21.0</v>
      </c>
      <c r="E514" s="3">
        <v>21.0</v>
      </c>
      <c r="F514" s="11">
        <f t="shared" si="1"/>
        <v>0.9173553719</v>
      </c>
      <c r="G514" s="5">
        <f t="shared" si="2"/>
        <v>6.082644628</v>
      </c>
      <c r="H514" s="3">
        <v>514.0</v>
      </c>
      <c r="I514" s="17"/>
    </row>
    <row r="515">
      <c r="A515" s="3">
        <v>7.0</v>
      </c>
      <c r="B515" s="3">
        <v>410.0</v>
      </c>
      <c r="C515" s="3">
        <v>414.0</v>
      </c>
      <c r="D515" s="3">
        <v>22.0</v>
      </c>
      <c r="E515" s="3">
        <v>17.0</v>
      </c>
      <c r="F515" s="11">
        <f t="shared" si="1"/>
        <v>0.9903381643</v>
      </c>
      <c r="G515" s="5">
        <f t="shared" si="2"/>
        <v>6.009661836</v>
      </c>
      <c r="H515" s="3">
        <v>515.0</v>
      </c>
      <c r="I515" s="17"/>
    </row>
    <row r="516">
      <c r="A516" s="3">
        <v>7.0</v>
      </c>
      <c r="B516" s="3">
        <v>425.0</v>
      </c>
      <c r="C516" s="3">
        <v>437.0</v>
      </c>
      <c r="D516" s="3">
        <v>22.0</v>
      </c>
      <c r="E516" s="3">
        <v>18.0</v>
      </c>
      <c r="F516" s="11">
        <f t="shared" si="1"/>
        <v>0.9725400458</v>
      </c>
      <c r="G516" s="5">
        <f t="shared" si="2"/>
        <v>6.027459954</v>
      </c>
      <c r="H516" s="3">
        <v>516.0</v>
      </c>
      <c r="I516" s="17"/>
    </row>
    <row r="517">
      <c r="A517" s="3">
        <v>7.0</v>
      </c>
      <c r="B517" s="3">
        <v>436.0</v>
      </c>
      <c r="C517" s="3">
        <v>460.0</v>
      </c>
      <c r="D517" s="3">
        <v>22.0</v>
      </c>
      <c r="E517" s="3">
        <v>19.0</v>
      </c>
      <c r="F517" s="11">
        <f t="shared" si="1"/>
        <v>0.947826087</v>
      </c>
      <c r="G517" s="5">
        <f t="shared" si="2"/>
        <v>6.052173913</v>
      </c>
      <c r="H517" s="3">
        <v>517.0</v>
      </c>
      <c r="I517" s="17"/>
    </row>
    <row r="518">
      <c r="A518" s="3">
        <v>7.0</v>
      </c>
      <c r="B518" s="3">
        <v>443.0</v>
      </c>
      <c r="C518" s="3">
        <v>483.0</v>
      </c>
      <c r="D518" s="3">
        <v>22.0</v>
      </c>
      <c r="E518" s="3">
        <v>20.0</v>
      </c>
      <c r="F518" s="11">
        <f t="shared" si="1"/>
        <v>0.917184265</v>
      </c>
      <c r="G518" s="5">
        <f t="shared" si="2"/>
        <v>6.082815735</v>
      </c>
      <c r="H518" s="3">
        <v>518.0</v>
      </c>
      <c r="I518" s="17"/>
    </row>
    <row r="519">
      <c r="A519" s="3">
        <v>7.0</v>
      </c>
      <c r="B519" s="3">
        <v>446.0</v>
      </c>
      <c r="C519" s="3">
        <v>506.0</v>
      </c>
      <c r="D519" s="3">
        <v>22.0</v>
      </c>
      <c r="E519" s="3">
        <v>21.0</v>
      </c>
      <c r="F519" s="11">
        <f t="shared" si="1"/>
        <v>0.8814229249</v>
      </c>
      <c r="G519" s="5">
        <f t="shared" si="2"/>
        <v>6.118577075</v>
      </c>
      <c r="H519" s="3">
        <v>519.0</v>
      </c>
      <c r="I519" s="17"/>
    </row>
    <row r="520">
      <c r="A520" s="3">
        <v>7.0</v>
      </c>
      <c r="B520" s="3">
        <v>445.0</v>
      </c>
      <c r="C520" s="3">
        <v>529.0</v>
      </c>
      <c r="D520" s="3">
        <v>22.0</v>
      </c>
      <c r="E520" s="3">
        <v>22.0</v>
      </c>
      <c r="F520" s="11">
        <f t="shared" si="1"/>
        <v>0.8412098299</v>
      </c>
      <c r="G520" s="5">
        <f t="shared" si="2"/>
        <v>6.15879017</v>
      </c>
      <c r="H520" s="3">
        <v>520.0</v>
      </c>
      <c r="I520" s="17"/>
    </row>
    <row r="521">
      <c r="A521" s="3">
        <v>7.0</v>
      </c>
      <c r="B521" s="3">
        <v>404.0</v>
      </c>
      <c r="C521" s="3">
        <v>408.0</v>
      </c>
      <c r="D521" s="3">
        <v>23.0</v>
      </c>
      <c r="E521" s="3">
        <v>16.0</v>
      </c>
      <c r="F521" s="11">
        <f t="shared" si="1"/>
        <v>0.9901960784</v>
      </c>
      <c r="G521" s="5">
        <f t="shared" si="2"/>
        <v>6.009803922</v>
      </c>
      <c r="H521" s="3">
        <v>521.0</v>
      </c>
      <c r="I521" s="17"/>
    </row>
    <row r="522">
      <c r="A522" s="3">
        <v>7.0</v>
      </c>
      <c r="B522" s="3">
        <v>420.0</v>
      </c>
      <c r="C522" s="3">
        <v>432.0</v>
      </c>
      <c r="D522" s="3">
        <v>23.0</v>
      </c>
      <c r="E522" s="3">
        <v>17.0</v>
      </c>
      <c r="F522" s="11">
        <f t="shared" si="1"/>
        <v>0.9722222222</v>
      </c>
      <c r="G522" s="5">
        <f t="shared" si="2"/>
        <v>6.027777778</v>
      </c>
      <c r="H522" s="3">
        <v>522.0</v>
      </c>
      <c r="I522" s="17"/>
    </row>
    <row r="523">
      <c r="A523" s="3">
        <v>7.0</v>
      </c>
      <c r="B523" s="3">
        <v>432.0</v>
      </c>
      <c r="C523" s="3">
        <v>456.0</v>
      </c>
      <c r="D523" s="3">
        <v>23.0</v>
      </c>
      <c r="E523" s="3">
        <v>18.0</v>
      </c>
      <c r="F523" s="11">
        <f t="shared" si="1"/>
        <v>0.9473684211</v>
      </c>
      <c r="G523" s="5">
        <f t="shared" si="2"/>
        <v>6.052631579</v>
      </c>
      <c r="H523" s="3">
        <v>523.0</v>
      </c>
      <c r="I523" s="17"/>
    </row>
    <row r="524">
      <c r="A524" s="3">
        <v>7.0</v>
      </c>
      <c r="B524" s="3">
        <v>440.0</v>
      </c>
      <c r="C524" s="3">
        <v>480.0</v>
      </c>
      <c r="D524" s="3">
        <v>23.0</v>
      </c>
      <c r="E524" s="3">
        <v>19.0</v>
      </c>
      <c r="F524" s="11">
        <f t="shared" si="1"/>
        <v>0.9166666667</v>
      </c>
      <c r="G524" s="5">
        <f t="shared" si="2"/>
        <v>6.083333333</v>
      </c>
      <c r="H524" s="3">
        <v>524.0</v>
      </c>
      <c r="I524" s="17"/>
    </row>
    <row r="525">
      <c r="A525" s="3">
        <v>7.0</v>
      </c>
      <c r="B525" s="3">
        <v>444.0</v>
      </c>
      <c r="C525" s="3">
        <v>504.0</v>
      </c>
      <c r="D525" s="3">
        <v>23.0</v>
      </c>
      <c r="E525" s="3">
        <v>20.0</v>
      </c>
      <c r="F525" s="11">
        <f t="shared" si="1"/>
        <v>0.880952381</v>
      </c>
      <c r="G525" s="5">
        <f t="shared" si="2"/>
        <v>6.119047619</v>
      </c>
      <c r="H525" s="3">
        <v>525.0</v>
      </c>
      <c r="I525" s="17"/>
    </row>
    <row r="526">
      <c r="A526" s="3">
        <v>7.0</v>
      </c>
      <c r="B526" s="3">
        <v>444.0</v>
      </c>
      <c r="C526" s="3">
        <v>528.0</v>
      </c>
      <c r="D526" s="3">
        <v>23.0</v>
      </c>
      <c r="E526" s="3">
        <v>21.0</v>
      </c>
      <c r="F526" s="11">
        <f t="shared" si="1"/>
        <v>0.8409090909</v>
      </c>
      <c r="G526" s="5">
        <f t="shared" si="2"/>
        <v>6.159090909</v>
      </c>
      <c r="H526" s="3">
        <v>526.0</v>
      </c>
      <c r="I526" s="17"/>
    </row>
    <row r="527">
      <c r="A527" s="3">
        <v>7.0</v>
      </c>
      <c r="B527" s="3">
        <v>440.0</v>
      </c>
      <c r="C527" s="3">
        <v>552.0</v>
      </c>
      <c r="D527" s="3">
        <v>23.0</v>
      </c>
      <c r="E527" s="3">
        <v>22.0</v>
      </c>
      <c r="F527" s="11">
        <f t="shared" si="1"/>
        <v>0.7971014493</v>
      </c>
      <c r="G527" s="5">
        <f t="shared" si="2"/>
        <v>6.202898551</v>
      </c>
      <c r="H527" s="3">
        <v>527.0</v>
      </c>
      <c r="I527" s="17"/>
    </row>
    <row r="528">
      <c r="A528" s="3">
        <v>7.0</v>
      </c>
      <c r="B528" s="3">
        <v>432.0</v>
      </c>
      <c r="C528" s="3">
        <v>576.0</v>
      </c>
      <c r="D528" s="3">
        <v>23.0</v>
      </c>
      <c r="E528" s="3">
        <v>23.0</v>
      </c>
      <c r="F528" s="11">
        <f t="shared" si="1"/>
        <v>0.75</v>
      </c>
      <c r="G528" s="5">
        <f t="shared" si="2"/>
        <v>6.25</v>
      </c>
      <c r="H528" s="3">
        <v>528.0</v>
      </c>
      <c r="I528" s="17"/>
    </row>
    <row r="529">
      <c r="A529" s="3">
        <v>7.0</v>
      </c>
      <c r="B529" s="3">
        <v>417.0</v>
      </c>
      <c r="C529" s="3">
        <v>425.0</v>
      </c>
      <c r="D529" s="3">
        <v>24.0</v>
      </c>
      <c r="E529" s="3">
        <v>16.0</v>
      </c>
      <c r="F529" s="11">
        <f t="shared" si="1"/>
        <v>0.9811764706</v>
      </c>
      <c r="G529" s="5">
        <f t="shared" si="2"/>
        <v>6.018823529</v>
      </c>
      <c r="H529" s="3">
        <v>529.0</v>
      </c>
      <c r="I529" s="17"/>
    </row>
    <row r="530">
      <c r="A530" s="3">
        <v>7.0</v>
      </c>
      <c r="B530" s="3">
        <v>430.0</v>
      </c>
      <c r="C530" s="3">
        <v>450.0</v>
      </c>
      <c r="D530" s="3">
        <v>24.0</v>
      </c>
      <c r="E530" s="3">
        <v>17.0</v>
      </c>
      <c r="F530" s="11">
        <f t="shared" si="1"/>
        <v>0.9555555556</v>
      </c>
      <c r="G530" s="5">
        <f t="shared" si="2"/>
        <v>6.044444444</v>
      </c>
      <c r="H530" s="3">
        <v>530.0</v>
      </c>
      <c r="I530" s="17"/>
    </row>
    <row r="531">
      <c r="A531" s="3">
        <v>7.0</v>
      </c>
      <c r="B531" s="3">
        <v>439.0</v>
      </c>
      <c r="C531" s="3">
        <v>475.0</v>
      </c>
      <c r="D531" s="3">
        <v>24.0</v>
      </c>
      <c r="E531" s="3">
        <v>18.0</v>
      </c>
      <c r="F531" s="11">
        <f t="shared" si="1"/>
        <v>0.9242105263</v>
      </c>
      <c r="G531" s="5">
        <f t="shared" si="2"/>
        <v>6.075789474</v>
      </c>
      <c r="H531" s="3">
        <v>531.0</v>
      </c>
      <c r="I531" s="17"/>
    </row>
    <row r="532">
      <c r="A532" s="3">
        <v>7.0</v>
      </c>
      <c r="B532" s="3">
        <v>444.0</v>
      </c>
      <c r="C532" s="3">
        <v>500.0</v>
      </c>
      <c r="D532" s="3">
        <v>24.0</v>
      </c>
      <c r="E532" s="3">
        <v>19.0</v>
      </c>
      <c r="F532" s="11">
        <f t="shared" si="1"/>
        <v>0.888</v>
      </c>
      <c r="G532" s="5">
        <f t="shared" si="2"/>
        <v>6.112</v>
      </c>
      <c r="H532" s="3">
        <v>532.0</v>
      </c>
      <c r="I532" s="17"/>
    </row>
    <row r="533">
      <c r="A533" s="3">
        <v>7.0</v>
      </c>
      <c r="B533" s="3">
        <v>445.0</v>
      </c>
      <c r="C533" s="3">
        <v>525.0</v>
      </c>
      <c r="D533" s="3">
        <v>24.0</v>
      </c>
      <c r="E533" s="3">
        <v>20.0</v>
      </c>
      <c r="F533" s="11">
        <f t="shared" si="1"/>
        <v>0.8476190476</v>
      </c>
      <c r="G533" s="5">
        <f t="shared" si="2"/>
        <v>6.152380952</v>
      </c>
      <c r="H533" s="3">
        <v>533.0</v>
      </c>
      <c r="I533" s="17"/>
    </row>
    <row r="534">
      <c r="A534" s="3">
        <v>7.0</v>
      </c>
      <c r="B534" s="3">
        <v>442.0</v>
      </c>
      <c r="C534" s="3">
        <v>550.0</v>
      </c>
      <c r="D534" s="3">
        <v>24.0</v>
      </c>
      <c r="E534" s="3">
        <v>21.0</v>
      </c>
      <c r="F534" s="11">
        <f t="shared" si="1"/>
        <v>0.8036363636</v>
      </c>
      <c r="G534" s="5">
        <f t="shared" si="2"/>
        <v>6.196363636</v>
      </c>
      <c r="H534" s="3">
        <v>534.0</v>
      </c>
      <c r="I534" s="17"/>
    </row>
    <row r="535">
      <c r="A535" s="3">
        <v>7.0</v>
      </c>
      <c r="B535" s="3">
        <v>435.0</v>
      </c>
      <c r="C535" s="3">
        <v>575.0</v>
      </c>
      <c r="D535" s="3">
        <v>24.0</v>
      </c>
      <c r="E535" s="3">
        <v>22.0</v>
      </c>
      <c r="F535" s="11">
        <f t="shared" si="1"/>
        <v>0.7565217391</v>
      </c>
      <c r="G535" s="5">
        <f t="shared" si="2"/>
        <v>6.243478261</v>
      </c>
      <c r="H535" s="3">
        <v>535.0</v>
      </c>
      <c r="I535" s="17"/>
    </row>
    <row r="536">
      <c r="A536" s="3">
        <v>7.0</v>
      </c>
      <c r="B536" s="3">
        <v>424.0</v>
      </c>
      <c r="C536" s="3">
        <v>600.0</v>
      </c>
      <c r="D536" s="3">
        <v>24.0</v>
      </c>
      <c r="E536" s="3">
        <v>23.0</v>
      </c>
      <c r="F536" s="11">
        <f t="shared" si="1"/>
        <v>0.7066666667</v>
      </c>
      <c r="G536" s="5">
        <f t="shared" si="2"/>
        <v>6.293333333</v>
      </c>
      <c r="H536" s="3">
        <v>536.0</v>
      </c>
      <c r="I536" s="17"/>
    </row>
    <row r="537">
      <c r="A537" s="3">
        <v>7.0</v>
      </c>
      <c r="B537" s="3">
        <v>413.0</v>
      </c>
      <c r="C537" s="3">
        <v>625.0</v>
      </c>
      <c r="D537" s="3">
        <v>24.0</v>
      </c>
      <c r="E537" s="3">
        <v>24.0</v>
      </c>
      <c r="F537" s="11">
        <f t="shared" si="1"/>
        <v>0.6608</v>
      </c>
      <c r="G537" s="5">
        <f t="shared" si="2"/>
        <v>6.3392</v>
      </c>
      <c r="H537" s="3">
        <v>537.0</v>
      </c>
      <c r="I537" s="17"/>
    </row>
    <row r="538">
      <c r="A538" s="3">
        <v>7.0</v>
      </c>
      <c r="B538" s="3">
        <v>412.0</v>
      </c>
      <c r="C538" s="3">
        <v>416.0</v>
      </c>
      <c r="D538" s="3">
        <v>25.0</v>
      </c>
      <c r="E538" s="3">
        <v>15.0</v>
      </c>
      <c r="F538" s="11">
        <f t="shared" si="1"/>
        <v>0.9903846154</v>
      </c>
      <c r="G538" s="5">
        <f t="shared" si="2"/>
        <v>6.009615385</v>
      </c>
      <c r="H538" s="3">
        <v>538.0</v>
      </c>
      <c r="I538" s="17"/>
    </row>
    <row r="539">
      <c r="A539" s="3">
        <v>7.0</v>
      </c>
      <c r="B539" s="3">
        <v>426.0</v>
      </c>
      <c r="C539" s="3">
        <v>442.0</v>
      </c>
      <c r="D539" s="3">
        <v>25.0</v>
      </c>
      <c r="E539" s="3">
        <v>16.0</v>
      </c>
      <c r="F539" s="11">
        <f t="shared" si="1"/>
        <v>0.963800905</v>
      </c>
      <c r="G539" s="5">
        <f t="shared" si="2"/>
        <v>6.036199095</v>
      </c>
      <c r="H539" s="3">
        <v>539.0</v>
      </c>
      <c r="I539" s="17"/>
    </row>
    <row r="540">
      <c r="A540" s="3">
        <v>7.0</v>
      </c>
      <c r="B540" s="3">
        <v>436.0</v>
      </c>
      <c r="C540" s="3">
        <v>468.0</v>
      </c>
      <c r="D540" s="3">
        <v>25.0</v>
      </c>
      <c r="E540" s="3">
        <v>17.0</v>
      </c>
      <c r="F540" s="11">
        <f t="shared" si="1"/>
        <v>0.9316239316</v>
      </c>
      <c r="G540" s="5">
        <f t="shared" si="2"/>
        <v>6.068376068</v>
      </c>
      <c r="H540" s="3">
        <v>540.0</v>
      </c>
      <c r="I540" s="17"/>
    </row>
    <row r="541">
      <c r="A541" s="3">
        <v>7.0</v>
      </c>
      <c r="B541" s="3">
        <v>442.0</v>
      </c>
      <c r="C541" s="3">
        <v>494.0</v>
      </c>
      <c r="D541" s="3">
        <v>25.0</v>
      </c>
      <c r="E541" s="3">
        <v>18.0</v>
      </c>
      <c r="F541" s="11">
        <f t="shared" si="1"/>
        <v>0.8947368421</v>
      </c>
      <c r="G541" s="5">
        <f t="shared" si="2"/>
        <v>6.105263158</v>
      </c>
      <c r="H541" s="3">
        <v>541.0</v>
      </c>
      <c r="I541" s="17"/>
    </row>
    <row r="542">
      <c r="A542" s="3">
        <v>7.0</v>
      </c>
      <c r="B542" s="3">
        <v>444.0</v>
      </c>
      <c r="C542" s="3">
        <v>520.0</v>
      </c>
      <c r="D542" s="3">
        <v>25.0</v>
      </c>
      <c r="E542" s="3">
        <v>19.0</v>
      </c>
      <c r="F542" s="11">
        <f t="shared" si="1"/>
        <v>0.8538461538</v>
      </c>
      <c r="G542" s="5">
        <f t="shared" si="2"/>
        <v>6.146153846</v>
      </c>
      <c r="H542" s="3">
        <v>542.0</v>
      </c>
      <c r="I542" s="17"/>
    </row>
    <row r="543">
      <c r="A543" s="3">
        <v>7.0</v>
      </c>
      <c r="B543" s="3">
        <v>442.0</v>
      </c>
      <c r="C543" s="3">
        <v>546.0</v>
      </c>
      <c r="D543" s="3">
        <v>25.0</v>
      </c>
      <c r="E543" s="3">
        <v>20.0</v>
      </c>
      <c r="F543" s="11">
        <f t="shared" si="1"/>
        <v>0.8095238095</v>
      </c>
      <c r="G543" s="5">
        <f t="shared" si="2"/>
        <v>6.19047619</v>
      </c>
      <c r="H543" s="3">
        <v>543.0</v>
      </c>
      <c r="I543" s="17"/>
    </row>
    <row r="544">
      <c r="A544" s="3">
        <v>7.0</v>
      </c>
      <c r="B544" s="3">
        <v>436.0</v>
      </c>
      <c r="C544" s="3">
        <v>572.0</v>
      </c>
      <c r="D544" s="3">
        <v>25.0</v>
      </c>
      <c r="E544" s="3">
        <v>21.0</v>
      </c>
      <c r="F544" s="11">
        <f t="shared" si="1"/>
        <v>0.7622377622</v>
      </c>
      <c r="G544" s="5">
        <f t="shared" si="2"/>
        <v>6.237762238</v>
      </c>
      <c r="H544" s="3">
        <v>544.0</v>
      </c>
      <c r="I544" s="17"/>
    </row>
    <row r="545">
      <c r="A545" s="3">
        <v>7.0</v>
      </c>
      <c r="B545" s="3">
        <v>426.0</v>
      </c>
      <c r="C545" s="3">
        <v>598.0</v>
      </c>
      <c r="D545" s="3">
        <v>25.0</v>
      </c>
      <c r="E545" s="3">
        <v>22.0</v>
      </c>
      <c r="F545" s="11">
        <f t="shared" si="1"/>
        <v>0.7123745819</v>
      </c>
      <c r="G545" s="5">
        <f t="shared" si="2"/>
        <v>6.287625418</v>
      </c>
      <c r="H545" s="3">
        <v>545.0</v>
      </c>
      <c r="I545" s="17"/>
    </row>
    <row r="546">
      <c r="A546" s="3">
        <v>7.0</v>
      </c>
      <c r="B546" s="3">
        <v>412.0</v>
      </c>
      <c r="C546" s="3">
        <v>624.0</v>
      </c>
      <c r="D546" s="3">
        <v>25.0</v>
      </c>
      <c r="E546" s="3">
        <v>23.0</v>
      </c>
      <c r="F546" s="11">
        <f t="shared" si="1"/>
        <v>0.6602564103</v>
      </c>
      <c r="G546" s="5">
        <f t="shared" si="2"/>
        <v>6.33974359</v>
      </c>
      <c r="H546" s="3">
        <v>546.0</v>
      </c>
      <c r="I546" s="17"/>
    </row>
    <row r="547">
      <c r="A547" s="3">
        <v>7.0</v>
      </c>
      <c r="B547" s="3">
        <v>398.0</v>
      </c>
      <c r="C547" s="3">
        <v>650.0</v>
      </c>
      <c r="D547" s="3">
        <v>25.0</v>
      </c>
      <c r="E547" s="3">
        <v>24.0</v>
      </c>
      <c r="F547" s="11">
        <f t="shared" si="1"/>
        <v>0.6123076923</v>
      </c>
      <c r="G547" s="5">
        <f t="shared" si="2"/>
        <v>6.387692308</v>
      </c>
      <c r="H547" s="3">
        <v>547.0</v>
      </c>
      <c r="I547" s="17"/>
    </row>
    <row r="548">
      <c r="A548" s="3">
        <v>7.0</v>
      </c>
      <c r="B548" s="3">
        <v>380.0</v>
      </c>
      <c r="C548" s="3">
        <v>676.0</v>
      </c>
      <c r="D548" s="3">
        <v>25.0</v>
      </c>
      <c r="E548" s="3">
        <v>25.0</v>
      </c>
      <c r="F548" s="11">
        <f t="shared" si="1"/>
        <v>0.5621301775</v>
      </c>
      <c r="G548" s="5">
        <f t="shared" si="2"/>
        <v>6.437869822</v>
      </c>
      <c r="H548" s="3">
        <v>548.0</v>
      </c>
      <c r="I548" s="17"/>
    </row>
    <row r="549">
      <c r="A549" s="3">
        <v>7.0</v>
      </c>
      <c r="B549" s="3">
        <v>401.0</v>
      </c>
      <c r="C549" s="3">
        <v>405.0</v>
      </c>
      <c r="D549" s="3">
        <v>26.0</v>
      </c>
      <c r="E549" s="3">
        <v>14.0</v>
      </c>
      <c r="F549" s="11">
        <f t="shared" si="1"/>
        <v>0.9901234568</v>
      </c>
      <c r="G549" s="5">
        <f t="shared" si="2"/>
        <v>6.009876543</v>
      </c>
      <c r="H549" s="3">
        <v>549.0</v>
      </c>
      <c r="I549" s="17"/>
    </row>
    <row r="550">
      <c r="A550" s="3">
        <v>7.0</v>
      </c>
      <c r="B550" s="3">
        <v>420.0</v>
      </c>
      <c r="C550" s="3">
        <v>432.0</v>
      </c>
      <c r="D550" s="3">
        <v>26.0</v>
      </c>
      <c r="E550" s="3">
        <v>15.0</v>
      </c>
      <c r="F550" s="11">
        <f t="shared" si="1"/>
        <v>0.9722222222</v>
      </c>
      <c r="G550" s="5">
        <f t="shared" si="2"/>
        <v>6.027777778</v>
      </c>
      <c r="H550" s="3">
        <v>550.0</v>
      </c>
      <c r="I550" s="17"/>
    </row>
    <row r="551">
      <c r="A551" s="3">
        <v>7.0</v>
      </c>
      <c r="B551" s="3">
        <v>431.0</v>
      </c>
      <c r="C551" s="3">
        <v>459.0</v>
      </c>
      <c r="D551" s="3">
        <v>26.0</v>
      </c>
      <c r="E551" s="3">
        <v>16.0</v>
      </c>
      <c r="F551" s="11">
        <f t="shared" si="1"/>
        <v>0.9389978214</v>
      </c>
      <c r="G551" s="5">
        <f t="shared" si="2"/>
        <v>6.061002179</v>
      </c>
      <c r="H551" s="3">
        <v>551.0</v>
      </c>
      <c r="I551" s="17"/>
    </row>
    <row r="552">
      <c r="A552" s="3">
        <v>7.0</v>
      </c>
      <c r="B552" s="3">
        <v>438.0</v>
      </c>
      <c r="C552" s="3">
        <v>486.0</v>
      </c>
      <c r="D552" s="3">
        <v>26.0</v>
      </c>
      <c r="E552" s="3">
        <v>17.0</v>
      </c>
      <c r="F552" s="11">
        <f t="shared" si="1"/>
        <v>0.9012345679</v>
      </c>
      <c r="G552" s="5">
        <f t="shared" si="2"/>
        <v>6.098765432</v>
      </c>
      <c r="H552" s="3">
        <v>552.0</v>
      </c>
      <c r="I552" s="17"/>
    </row>
    <row r="553">
      <c r="A553" s="3">
        <v>7.0</v>
      </c>
      <c r="B553" s="3">
        <v>441.0</v>
      </c>
      <c r="C553" s="3">
        <v>513.0</v>
      </c>
      <c r="D553" s="3">
        <v>26.0</v>
      </c>
      <c r="E553" s="3">
        <v>18.0</v>
      </c>
      <c r="F553" s="11">
        <f t="shared" si="1"/>
        <v>0.8596491228</v>
      </c>
      <c r="G553" s="5">
        <f t="shared" si="2"/>
        <v>6.140350877</v>
      </c>
      <c r="H553" s="3">
        <v>553.0</v>
      </c>
      <c r="I553" s="17"/>
    </row>
    <row r="554">
      <c r="A554" s="3">
        <v>7.0</v>
      </c>
      <c r="B554" s="3">
        <v>440.0</v>
      </c>
      <c r="C554" s="3">
        <v>540.0</v>
      </c>
      <c r="D554" s="3">
        <v>26.0</v>
      </c>
      <c r="E554" s="3">
        <v>19.0</v>
      </c>
      <c r="F554" s="11">
        <f t="shared" si="1"/>
        <v>0.8148148148</v>
      </c>
      <c r="G554" s="5">
        <f t="shared" si="2"/>
        <v>6.185185185</v>
      </c>
      <c r="H554" s="3">
        <v>554.0</v>
      </c>
      <c r="I554" s="17"/>
    </row>
    <row r="555">
      <c r="A555" s="3">
        <v>7.0</v>
      </c>
      <c r="B555" s="3">
        <v>435.0</v>
      </c>
      <c r="C555" s="3">
        <v>567.0</v>
      </c>
      <c r="D555" s="3">
        <v>26.0</v>
      </c>
      <c r="E555" s="3">
        <v>20.0</v>
      </c>
      <c r="F555" s="11">
        <f t="shared" si="1"/>
        <v>0.7671957672</v>
      </c>
      <c r="G555" s="5">
        <f t="shared" si="2"/>
        <v>6.232804233</v>
      </c>
      <c r="H555" s="3">
        <v>555.0</v>
      </c>
      <c r="I555" s="17"/>
    </row>
    <row r="556">
      <c r="A556" s="3">
        <v>7.0</v>
      </c>
      <c r="B556" s="3">
        <v>426.0</v>
      </c>
      <c r="C556" s="3">
        <v>594.0</v>
      </c>
      <c r="D556" s="3">
        <v>26.0</v>
      </c>
      <c r="E556" s="3">
        <v>21.0</v>
      </c>
      <c r="F556" s="11">
        <f t="shared" si="1"/>
        <v>0.7171717172</v>
      </c>
      <c r="G556" s="5">
        <f t="shared" si="2"/>
        <v>6.282828283</v>
      </c>
      <c r="H556" s="3">
        <v>556.0</v>
      </c>
      <c r="I556" s="17"/>
    </row>
    <row r="557">
      <c r="A557" s="3">
        <v>7.0</v>
      </c>
      <c r="B557" s="3">
        <v>413.0</v>
      </c>
      <c r="C557" s="3">
        <v>621.0</v>
      </c>
      <c r="D557" s="3">
        <v>26.0</v>
      </c>
      <c r="E557" s="3">
        <v>22.0</v>
      </c>
      <c r="F557" s="11">
        <f t="shared" si="1"/>
        <v>0.6650563607</v>
      </c>
      <c r="G557" s="5">
        <f t="shared" si="2"/>
        <v>6.334943639</v>
      </c>
      <c r="H557" s="3">
        <v>557.0</v>
      </c>
      <c r="I557" s="17"/>
    </row>
    <row r="558">
      <c r="A558" s="3">
        <v>7.0</v>
      </c>
      <c r="B558" s="3">
        <v>396.0</v>
      </c>
      <c r="C558" s="3">
        <v>648.0</v>
      </c>
      <c r="D558" s="3">
        <v>26.0</v>
      </c>
      <c r="E558" s="3">
        <v>23.0</v>
      </c>
      <c r="F558" s="11">
        <f t="shared" si="1"/>
        <v>0.6111111111</v>
      </c>
      <c r="G558" s="5">
        <f t="shared" si="2"/>
        <v>6.388888889</v>
      </c>
      <c r="H558" s="3">
        <v>558.0</v>
      </c>
      <c r="I558" s="17"/>
    </row>
    <row r="559">
      <c r="A559" s="3">
        <v>7.0</v>
      </c>
      <c r="B559" s="3">
        <v>379.0</v>
      </c>
      <c r="C559" s="3">
        <v>675.0</v>
      </c>
      <c r="D559" s="3">
        <v>26.0</v>
      </c>
      <c r="E559" s="3">
        <v>24.0</v>
      </c>
      <c r="F559" s="11">
        <f t="shared" si="1"/>
        <v>0.5614814815</v>
      </c>
      <c r="G559" s="5">
        <f t="shared" si="2"/>
        <v>6.438518519</v>
      </c>
      <c r="H559" s="3">
        <v>559.0</v>
      </c>
      <c r="I559" s="17"/>
    </row>
    <row r="560">
      <c r="A560" s="3">
        <v>7.0</v>
      </c>
      <c r="B560" s="3">
        <v>358.0</v>
      </c>
      <c r="C560" s="3">
        <v>702.0</v>
      </c>
      <c r="D560" s="3">
        <v>26.0</v>
      </c>
      <c r="E560" s="3">
        <v>25.0</v>
      </c>
      <c r="F560" s="11">
        <f t="shared" si="1"/>
        <v>0.50997151</v>
      </c>
      <c r="G560" s="5">
        <f t="shared" si="2"/>
        <v>6.49002849</v>
      </c>
      <c r="H560" s="3">
        <v>560.0</v>
      </c>
      <c r="I560" s="17"/>
    </row>
    <row r="561">
      <c r="A561" s="3">
        <v>7.0</v>
      </c>
      <c r="B561" s="3">
        <v>333.0</v>
      </c>
      <c r="C561" s="3">
        <v>729.0</v>
      </c>
      <c r="D561" s="3">
        <v>26.0</v>
      </c>
      <c r="E561" s="3">
        <v>26.0</v>
      </c>
      <c r="F561" s="11">
        <f t="shared" si="1"/>
        <v>0.4567901235</v>
      </c>
      <c r="G561" s="5">
        <f t="shared" si="2"/>
        <v>6.543209877</v>
      </c>
      <c r="H561" s="3">
        <v>561.0</v>
      </c>
      <c r="I561" s="17"/>
    </row>
    <row r="562">
      <c r="A562" s="3">
        <v>7.0</v>
      </c>
      <c r="B562" s="3">
        <v>412.0</v>
      </c>
      <c r="C562" s="3">
        <v>420.0</v>
      </c>
      <c r="D562" s="3">
        <v>27.0</v>
      </c>
      <c r="E562" s="3">
        <v>14.0</v>
      </c>
      <c r="F562" s="11">
        <f t="shared" si="1"/>
        <v>0.980952381</v>
      </c>
      <c r="G562" s="5">
        <f t="shared" si="2"/>
        <v>6.019047619</v>
      </c>
      <c r="H562" s="3">
        <v>562.0</v>
      </c>
      <c r="I562" s="17"/>
    </row>
    <row r="563">
      <c r="A563" s="3">
        <v>7.0</v>
      </c>
      <c r="B563" s="3">
        <v>428.0</v>
      </c>
      <c r="C563" s="3">
        <v>448.0</v>
      </c>
      <c r="D563" s="3">
        <v>27.0</v>
      </c>
      <c r="E563" s="3">
        <v>15.0</v>
      </c>
      <c r="F563" s="11">
        <f t="shared" si="1"/>
        <v>0.9553571429</v>
      </c>
      <c r="G563" s="5">
        <f t="shared" si="2"/>
        <v>6.044642857</v>
      </c>
      <c r="H563" s="3">
        <v>563.0</v>
      </c>
      <c r="I563" s="17"/>
    </row>
    <row r="564">
      <c r="A564" s="3">
        <v>7.0</v>
      </c>
      <c r="B564" s="3">
        <v>436.0</v>
      </c>
      <c r="C564" s="3">
        <v>476.0</v>
      </c>
      <c r="D564" s="3">
        <v>27.0</v>
      </c>
      <c r="E564" s="3">
        <v>16.0</v>
      </c>
      <c r="F564" s="11">
        <f t="shared" si="1"/>
        <v>0.9159663866</v>
      </c>
      <c r="G564" s="5">
        <f t="shared" si="2"/>
        <v>6.084033613</v>
      </c>
      <c r="H564" s="3">
        <v>564.0</v>
      </c>
      <c r="I564" s="17"/>
    </row>
    <row r="565">
      <c r="A565" s="3">
        <v>7.0</v>
      </c>
      <c r="B565" s="3">
        <v>440.0</v>
      </c>
      <c r="C565" s="3">
        <v>504.0</v>
      </c>
      <c r="D565" s="3">
        <v>27.0</v>
      </c>
      <c r="E565" s="3">
        <v>17.0</v>
      </c>
      <c r="F565" s="11">
        <f t="shared" si="1"/>
        <v>0.873015873</v>
      </c>
      <c r="G565" s="5">
        <f t="shared" si="2"/>
        <v>6.126984127</v>
      </c>
      <c r="H565" s="3">
        <v>565.0</v>
      </c>
      <c r="I565" s="17"/>
    </row>
    <row r="566">
      <c r="A566" s="3">
        <v>7.0</v>
      </c>
      <c r="B566" s="3">
        <v>440.0</v>
      </c>
      <c r="C566" s="3">
        <v>532.0</v>
      </c>
      <c r="D566" s="3">
        <v>27.0</v>
      </c>
      <c r="E566" s="3">
        <v>18.0</v>
      </c>
      <c r="F566" s="11">
        <f t="shared" si="1"/>
        <v>0.8270676692</v>
      </c>
      <c r="G566" s="5">
        <f t="shared" si="2"/>
        <v>6.172932331</v>
      </c>
      <c r="H566" s="3">
        <v>566.0</v>
      </c>
      <c r="I566" s="17"/>
    </row>
    <row r="567">
      <c r="A567" s="3">
        <v>7.0</v>
      </c>
      <c r="B567" s="3">
        <v>436.0</v>
      </c>
      <c r="C567" s="3">
        <v>560.0</v>
      </c>
      <c r="D567" s="3">
        <v>27.0</v>
      </c>
      <c r="E567" s="3">
        <v>19.0</v>
      </c>
      <c r="F567" s="11">
        <f t="shared" si="1"/>
        <v>0.7785714286</v>
      </c>
      <c r="G567" s="5">
        <f t="shared" si="2"/>
        <v>6.221428571</v>
      </c>
      <c r="H567" s="3">
        <v>567.0</v>
      </c>
      <c r="I567" s="17"/>
    </row>
    <row r="568">
      <c r="A568" s="3">
        <v>7.0</v>
      </c>
      <c r="B568" s="3">
        <v>428.0</v>
      </c>
      <c r="C568" s="3">
        <v>588.0</v>
      </c>
      <c r="D568" s="3">
        <v>27.0</v>
      </c>
      <c r="E568" s="3">
        <v>20.0</v>
      </c>
      <c r="F568" s="11">
        <f t="shared" si="1"/>
        <v>0.7278911565</v>
      </c>
      <c r="G568" s="5">
        <f t="shared" si="2"/>
        <v>6.272108844</v>
      </c>
      <c r="H568" s="3">
        <v>568.0</v>
      </c>
      <c r="I568" s="17"/>
    </row>
    <row r="569">
      <c r="A569" s="3">
        <v>7.0</v>
      </c>
      <c r="B569" s="3">
        <v>416.0</v>
      </c>
      <c r="C569" s="3">
        <v>616.0</v>
      </c>
      <c r="D569" s="3">
        <v>27.0</v>
      </c>
      <c r="E569" s="3">
        <v>21.0</v>
      </c>
      <c r="F569" s="11">
        <f t="shared" si="1"/>
        <v>0.6753246753</v>
      </c>
      <c r="G569" s="5">
        <f t="shared" si="2"/>
        <v>6.324675325</v>
      </c>
      <c r="H569" s="3">
        <v>569.0</v>
      </c>
      <c r="I569" s="17"/>
    </row>
    <row r="570">
      <c r="A570" s="3">
        <v>7.0</v>
      </c>
      <c r="B570" s="3">
        <v>400.0</v>
      </c>
      <c r="C570" s="3">
        <v>644.0</v>
      </c>
      <c r="D570" s="3">
        <v>27.0</v>
      </c>
      <c r="E570" s="3">
        <v>22.0</v>
      </c>
      <c r="F570" s="11">
        <f t="shared" si="1"/>
        <v>0.6211180124</v>
      </c>
      <c r="G570" s="5">
        <f t="shared" si="2"/>
        <v>6.378881988</v>
      </c>
      <c r="H570" s="3">
        <v>570.0</v>
      </c>
      <c r="I570" s="17"/>
    </row>
    <row r="571">
      <c r="A571" s="3">
        <v>7.0</v>
      </c>
      <c r="B571" s="3">
        <v>380.0</v>
      </c>
      <c r="C571" s="3">
        <v>672.0</v>
      </c>
      <c r="D571" s="3">
        <v>27.0</v>
      </c>
      <c r="E571" s="3">
        <v>23.0</v>
      </c>
      <c r="F571" s="11">
        <f t="shared" si="1"/>
        <v>0.5654761905</v>
      </c>
      <c r="G571" s="5">
        <f t="shared" si="2"/>
        <v>6.43452381</v>
      </c>
      <c r="H571" s="3">
        <v>571.0</v>
      </c>
      <c r="I571" s="17"/>
    </row>
    <row r="572">
      <c r="A572" s="3">
        <v>7.0</v>
      </c>
      <c r="B572" s="3">
        <v>360.0</v>
      </c>
      <c r="C572" s="3">
        <v>700.0</v>
      </c>
      <c r="D572" s="3">
        <v>27.0</v>
      </c>
      <c r="E572" s="3">
        <v>24.0</v>
      </c>
      <c r="F572" s="11">
        <f t="shared" si="1"/>
        <v>0.5142857143</v>
      </c>
      <c r="G572" s="5">
        <f t="shared" si="2"/>
        <v>6.485714286</v>
      </c>
      <c r="H572" s="3">
        <v>572.0</v>
      </c>
      <c r="I572" s="17"/>
    </row>
    <row r="573">
      <c r="A573" s="3">
        <v>7.0</v>
      </c>
      <c r="B573" s="3">
        <v>336.0</v>
      </c>
      <c r="C573" s="3">
        <v>728.0</v>
      </c>
      <c r="D573" s="3">
        <v>27.0</v>
      </c>
      <c r="E573" s="3">
        <v>25.0</v>
      </c>
      <c r="F573" s="11">
        <f t="shared" si="1"/>
        <v>0.4615384615</v>
      </c>
      <c r="G573" s="5">
        <f t="shared" si="2"/>
        <v>6.538461538</v>
      </c>
      <c r="H573" s="3">
        <v>573.0</v>
      </c>
      <c r="I573" s="17"/>
    </row>
    <row r="574">
      <c r="A574" s="3">
        <v>7.0</v>
      </c>
      <c r="B574" s="3">
        <v>308.0</v>
      </c>
      <c r="C574" s="3">
        <v>756.0</v>
      </c>
      <c r="D574" s="3">
        <v>27.0</v>
      </c>
      <c r="E574" s="3">
        <v>26.0</v>
      </c>
      <c r="F574" s="11">
        <f t="shared" si="1"/>
        <v>0.4074074074</v>
      </c>
      <c r="G574" s="5">
        <f t="shared" si="2"/>
        <v>6.592592593</v>
      </c>
      <c r="H574" s="3">
        <v>574.0</v>
      </c>
      <c r="I574" s="17"/>
    </row>
    <row r="575">
      <c r="A575" s="3">
        <v>7.0</v>
      </c>
      <c r="B575" s="3">
        <v>280.0</v>
      </c>
      <c r="C575" s="3">
        <v>784.0</v>
      </c>
      <c r="D575" s="3">
        <v>27.0</v>
      </c>
      <c r="E575" s="3">
        <v>27.0</v>
      </c>
      <c r="F575" s="11">
        <f t="shared" si="1"/>
        <v>0.3571428571</v>
      </c>
      <c r="G575" s="5">
        <f t="shared" si="2"/>
        <v>6.642857143</v>
      </c>
      <c r="H575" s="3">
        <v>575.0</v>
      </c>
      <c r="I575" s="17"/>
    </row>
    <row r="576">
      <c r="A576" s="3">
        <v>7.0</v>
      </c>
      <c r="B576" s="3">
        <v>402.0</v>
      </c>
      <c r="C576" s="3">
        <v>406.0</v>
      </c>
      <c r="D576" s="3">
        <v>28.0</v>
      </c>
      <c r="E576" s="3">
        <v>13.0</v>
      </c>
      <c r="F576" s="11">
        <f t="shared" si="1"/>
        <v>0.9901477833</v>
      </c>
      <c r="G576" s="5">
        <f t="shared" si="2"/>
        <v>6.009852217</v>
      </c>
      <c r="H576" s="3">
        <v>576.0</v>
      </c>
      <c r="I576" s="17"/>
    </row>
    <row r="577">
      <c r="A577" s="3">
        <v>7.0</v>
      </c>
      <c r="B577" s="3">
        <v>419.0</v>
      </c>
      <c r="C577" s="3">
        <v>435.0</v>
      </c>
      <c r="D577" s="3">
        <v>28.0</v>
      </c>
      <c r="E577" s="3">
        <v>14.0</v>
      </c>
      <c r="F577" s="11">
        <f t="shared" si="1"/>
        <v>0.9632183908</v>
      </c>
      <c r="G577" s="5">
        <f t="shared" si="2"/>
        <v>6.036781609</v>
      </c>
      <c r="H577" s="3">
        <v>577.0</v>
      </c>
      <c r="I577" s="17"/>
    </row>
    <row r="578">
      <c r="A578" s="3">
        <v>7.0</v>
      </c>
      <c r="B578" s="3">
        <v>432.0</v>
      </c>
      <c r="C578" s="3">
        <v>464.0</v>
      </c>
      <c r="D578" s="3">
        <v>28.0</v>
      </c>
      <c r="E578" s="3">
        <v>15.0</v>
      </c>
      <c r="F578" s="11">
        <f t="shared" si="1"/>
        <v>0.9310344828</v>
      </c>
      <c r="G578" s="5">
        <f t="shared" si="2"/>
        <v>6.068965517</v>
      </c>
      <c r="H578" s="3">
        <v>578.0</v>
      </c>
      <c r="I578" s="17"/>
    </row>
    <row r="579">
      <c r="A579" s="3">
        <v>7.0</v>
      </c>
      <c r="B579" s="3">
        <v>437.0</v>
      </c>
      <c r="C579" s="3">
        <v>493.0</v>
      </c>
      <c r="D579" s="3">
        <v>28.0</v>
      </c>
      <c r="E579" s="3">
        <v>16.0</v>
      </c>
      <c r="F579" s="11">
        <f t="shared" si="1"/>
        <v>0.8864097363</v>
      </c>
      <c r="G579" s="5">
        <f t="shared" si="2"/>
        <v>6.113590264</v>
      </c>
      <c r="H579" s="3">
        <v>579.0</v>
      </c>
      <c r="I579" s="17"/>
    </row>
    <row r="580">
      <c r="A580" s="3">
        <v>7.0</v>
      </c>
      <c r="B580" s="3">
        <v>438.0</v>
      </c>
      <c r="C580" s="3">
        <v>522.0</v>
      </c>
      <c r="D580" s="3">
        <v>28.0</v>
      </c>
      <c r="E580" s="3">
        <v>17.0</v>
      </c>
      <c r="F580" s="11">
        <f t="shared" si="1"/>
        <v>0.8390804598</v>
      </c>
      <c r="G580" s="5">
        <f t="shared" si="2"/>
        <v>6.16091954</v>
      </c>
      <c r="H580" s="3">
        <v>580.0</v>
      </c>
      <c r="I580" s="17"/>
    </row>
    <row r="581">
      <c r="A581" s="3">
        <v>7.0</v>
      </c>
      <c r="B581" s="3">
        <v>435.0</v>
      </c>
      <c r="C581" s="3">
        <v>551.0</v>
      </c>
      <c r="D581" s="3">
        <v>28.0</v>
      </c>
      <c r="E581" s="3">
        <v>18.0</v>
      </c>
      <c r="F581" s="11">
        <f t="shared" si="1"/>
        <v>0.7894736842</v>
      </c>
      <c r="G581" s="5">
        <f t="shared" si="2"/>
        <v>6.210526316</v>
      </c>
      <c r="H581" s="3">
        <v>581.0</v>
      </c>
      <c r="I581" s="17"/>
    </row>
    <row r="582">
      <c r="A582" s="3">
        <v>7.0</v>
      </c>
      <c r="B582" s="3">
        <v>428.0</v>
      </c>
      <c r="C582" s="3">
        <v>580.0</v>
      </c>
      <c r="D582" s="3">
        <v>28.0</v>
      </c>
      <c r="E582" s="3">
        <v>19.0</v>
      </c>
      <c r="F582" s="11">
        <f t="shared" si="1"/>
        <v>0.7379310345</v>
      </c>
      <c r="G582" s="5">
        <f t="shared" si="2"/>
        <v>6.262068966</v>
      </c>
      <c r="H582" s="3">
        <v>582.0</v>
      </c>
      <c r="I582" s="17"/>
    </row>
    <row r="583">
      <c r="A583" s="3">
        <v>7.0</v>
      </c>
      <c r="B583" s="3">
        <v>417.0</v>
      </c>
      <c r="C583" s="3">
        <v>609.0</v>
      </c>
      <c r="D583" s="3">
        <v>28.0</v>
      </c>
      <c r="E583" s="3">
        <v>20.0</v>
      </c>
      <c r="F583" s="11">
        <f t="shared" si="1"/>
        <v>0.684729064</v>
      </c>
      <c r="G583" s="5">
        <f t="shared" si="2"/>
        <v>6.315270936</v>
      </c>
      <c r="H583" s="3">
        <v>583.0</v>
      </c>
      <c r="I583" s="17"/>
    </row>
    <row r="584">
      <c r="A584" s="3">
        <v>7.0</v>
      </c>
      <c r="B584" s="3">
        <v>402.0</v>
      </c>
      <c r="C584" s="3">
        <v>638.0</v>
      </c>
      <c r="D584" s="3">
        <v>28.0</v>
      </c>
      <c r="E584" s="3">
        <v>21.0</v>
      </c>
      <c r="F584" s="11">
        <f t="shared" si="1"/>
        <v>0.6300940439</v>
      </c>
      <c r="G584" s="5">
        <f t="shared" si="2"/>
        <v>6.369905956</v>
      </c>
      <c r="H584" s="3">
        <v>584.0</v>
      </c>
      <c r="I584" s="17"/>
    </row>
    <row r="585">
      <c r="A585" s="3">
        <v>7.0</v>
      </c>
      <c r="B585" s="3">
        <v>383.0</v>
      </c>
      <c r="C585" s="3">
        <v>667.0</v>
      </c>
      <c r="D585" s="3">
        <v>28.0</v>
      </c>
      <c r="E585" s="3">
        <v>22.0</v>
      </c>
      <c r="F585" s="11">
        <f t="shared" si="1"/>
        <v>0.5742128936</v>
      </c>
      <c r="G585" s="5">
        <f t="shared" si="2"/>
        <v>6.425787106</v>
      </c>
      <c r="H585" s="3">
        <v>585.0</v>
      </c>
      <c r="I585" s="17"/>
    </row>
    <row r="586">
      <c r="A586" s="3">
        <v>7.0</v>
      </c>
      <c r="B586" s="3">
        <v>360.0</v>
      </c>
      <c r="C586" s="3">
        <v>696.0</v>
      </c>
      <c r="D586" s="3">
        <v>28.0</v>
      </c>
      <c r="E586" s="3">
        <v>23.0</v>
      </c>
      <c r="F586" s="11">
        <f t="shared" si="1"/>
        <v>0.5172413793</v>
      </c>
      <c r="G586" s="5">
        <f t="shared" si="2"/>
        <v>6.482758621</v>
      </c>
      <c r="H586" s="3">
        <v>586.0</v>
      </c>
      <c r="I586" s="17"/>
    </row>
    <row r="587">
      <c r="A587" s="3">
        <v>7.0</v>
      </c>
      <c r="B587" s="3">
        <v>337.0</v>
      </c>
      <c r="C587" s="3">
        <v>725.0</v>
      </c>
      <c r="D587" s="3">
        <v>28.0</v>
      </c>
      <c r="E587" s="3">
        <v>24.0</v>
      </c>
      <c r="F587" s="11">
        <f t="shared" si="1"/>
        <v>0.4648275862</v>
      </c>
      <c r="G587" s="5">
        <f t="shared" si="2"/>
        <v>6.535172414</v>
      </c>
      <c r="H587" s="3">
        <v>587.0</v>
      </c>
      <c r="I587" s="17"/>
    </row>
    <row r="588">
      <c r="A588" s="3">
        <v>7.0</v>
      </c>
      <c r="B588" s="3">
        <v>310.0</v>
      </c>
      <c r="C588" s="3">
        <v>754.0</v>
      </c>
      <c r="D588" s="3">
        <v>28.0</v>
      </c>
      <c r="E588" s="3">
        <v>25.0</v>
      </c>
      <c r="F588" s="11">
        <f t="shared" si="1"/>
        <v>0.4111405836</v>
      </c>
      <c r="G588" s="5">
        <f t="shared" si="2"/>
        <v>6.588859416</v>
      </c>
      <c r="H588" s="3">
        <v>588.0</v>
      </c>
      <c r="I588" s="17"/>
    </row>
    <row r="589">
      <c r="A589" s="3">
        <v>7.0</v>
      </c>
      <c r="B589" s="3">
        <v>283.0</v>
      </c>
      <c r="C589" s="3">
        <v>783.0</v>
      </c>
      <c r="D589" s="3">
        <v>28.0</v>
      </c>
      <c r="E589" s="3">
        <v>26.0</v>
      </c>
      <c r="F589" s="11">
        <f t="shared" si="1"/>
        <v>0.3614303959</v>
      </c>
      <c r="G589" s="5">
        <f t="shared" si="2"/>
        <v>6.638569604</v>
      </c>
      <c r="H589" s="3">
        <v>589.0</v>
      </c>
      <c r="I589" s="17"/>
    </row>
    <row r="590">
      <c r="A590" s="3">
        <v>7.0</v>
      </c>
      <c r="B590" s="3">
        <v>256.0</v>
      </c>
      <c r="C590" s="3">
        <v>812.0</v>
      </c>
      <c r="D590" s="3">
        <v>28.0</v>
      </c>
      <c r="E590" s="3">
        <v>27.0</v>
      </c>
      <c r="F590" s="11">
        <f t="shared" si="1"/>
        <v>0.315270936</v>
      </c>
      <c r="G590" s="5">
        <f t="shared" si="2"/>
        <v>6.684729064</v>
      </c>
      <c r="H590" s="3">
        <v>590.0</v>
      </c>
      <c r="I590" s="17"/>
    </row>
    <row r="591">
      <c r="A591" s="3">
        <v>7.0</v>
      </c>
      <c r="B591" s="3">
        <v>233.0</v>
      </c>
      <c r="C591" s="3">
        <v>841.0</v>
      </c>
      <c r="D591" s="3">
        <v>28.0</v>
      </c>
      <c r="E591" s="3">
        <v>28.0</v>
      </c>
      <c r="F591" s="11">
        <f t="shared" si="1"/>
        <v>0.2770511296</v>
      </c>
      <c r="G591" s="5">
        <f t="shared" si="2"/>
        <v>6.72294887</v>
      </c>
      <c r="H591" s="3">
        <v>591.0</v>
      </c>
      <c r="I591" s="17"/>
    </row>
    <row r="592">
      <c r="A592" s="3">
        <v>7.0</v>
      </c>
      <c r="B592" s="3">
        <v>412.0</v>
      </c>
      <c r="C592" s="3">
        <v>420.0</v>
      </c>
      <c r="D592" s="3">
        <v>29.0</v>
      </c>
      <c r="E592" s="3">
        <v>13.0</v>
      </c>
      <c r="F592" s="11">
        <f t="shared" si="1"/>
        <v>0.980952381</v>
      </c>
      <c r="G592" s="5">
        <f t="shared" si="2"/>
        <v>6.019047619</v>
      </c>
      <c r="H592" s="3">
        <v>592.0</v>
      </c>
      <c r="I592" s="17"/>
    </row>
    <row r="593">
      <c r="A593" s="3">
        <v>7.0</v>
      </c>
      <c r="B593" s="3">
        <v>426.0</v>
      </c>
      <c r="C593" s="3">
        <v>450.0</v>
      </c>
      <c r="D593" s="3">
        <v>29.0</v>
      </c>
      <c r="E593" s="3">
        <v>14.0</v>
      </c>
      <c r="F593" s="11">
        <f t="shared" si="1"/>
        <v>0.9466666667</v>
      </c>
      <c r="G593" s="5">
        <f t="shared" si="2"/>
        <v>6.053333333</v>
      </c>
      <c r="H593" s="3">
        <v>593.0</v>
      </c>
      <c r="I593" s="17"/>
    </row>
    <row r="594">
      <c r="A594" s="3">
        <v>7.0</v>
      </c>
      <c r="B594" s="3">
        <v>436.0</v>
      </c>
      <c r="C594" s="3">
        <v>480.0</v>
      </c>
      <c r="D594" s="3">
        <v>29.0</v>
      </c>
      <c r="E594" s="3">
        <v>15.0</v>
      </c>
      <c r="F594" s="11">
        <f t="shared" si="1"/>
        <v>0.9083333333</v>
      </c>
      <c r="G594" s="5">
        <f t="shared" si="2"/>
        <v>6.091666667</v>
      </c>
      <c r="H594" s="3">
        <v>594.0</v>
      </c>
      <c r="I594" s="17"/>
    </row>
    <row r="595">
      <c r="A595" s="3">
        <v>7.0</v>
      </c>
      <c r="B595" s="3">
        <v>438.0</v>
      </c>
      <c r="C595" s="3">
        <v>510.0</v>
      </c>
      <c r="D595" s="3">
        <v>29.0</v>
      </c>
      <c r="E595" s="3">
        <v>16.0</v>
      </c>
      <c r="F595" s="11">
        <f t="shared" si="1"/>
        <v>0.8588235294</v>
      </c>
      <c r="G595" s="5">
        <f t="shared" si="2"/>
        <v>6.141176471</v>
      </c>
      <c r="H595" s="3">
        <v>595.0</v>
      </c>
      <c r="I595" s="17"/>
    </row>
    <row r="596">
      <c r="A596" s="3">
        <v>7.0</v>
      </c>
      <c r="B596" s="3">
        <v>436.0</v>
      </c>
      <c r="C596" s="3">
        <v>540.0</v>
      </c>
      <c r="D596" s="3">
        <v>29.0</v>
      </c>
      <c r="E596" s="3">
        <v>17.0</v>
      </c>
      <c r="F596" s="11">
        <f t="shared" si="1"/>
        <v>0.8074074074</v>
      </c>
      <c r="G596" s="5">
        <f t="shared" si="2"/>
        <v>6.192592593</v>
      </c>
      <c r="H596" s="3">
        <v>596.0</v>
      </c>
      <c r="I596" s="17"/>
    </row>
    <row r="597">
      <c r="A597" s="3">
        <v>7.0</v>
      </c>
      <c r="B597" s="3">
        <v>430.0</v>
      </c>
      <c r="C597" s="3">
        <v>570.0</v>
      </c>
      <c r="D597" s="3">
        <v>29.0</v>
      </c>
      <c r="E597" s="3">
        <v>18.0</v>
      </c>
      <c r="F597" s="11">
        <f t="shared" si="1"/>
        <v>0.7543859649</v>
      </c>
      <c r="G597" s="5">
        <f t="shared" si="2"/>
        <v>6.245614035</v>
      </c>
      <c r="H597" s="3">
        <v>597.0</v>
      </c>
      <c r="I597" s="17"/>
    </row>
    <row r="598">
      <c r="A598" s="3">
        <v>7.0</v>
      </c>
      <c r="B598" s="3">
        <v>420.0</v>
      </c>
      <c r="C598" s="3">
        <v>600.0</v>
      </c>
      <c r="D598" s="3">
        <v>29.0</v>
      </c>
      <c r="E598" s="3">
        <v>19.0</v>
      </c>
      <c r="F598" s="11">
        <f t="shared" si="1"/>
        <v>0.7</v>
      </c>
      <c r="G598" s="5">
        <f t="shared" si="2"/>
        <v>6.3</v>
      </c>
      <c r="H598" s="3">
        <v>598.0</v>
      </c>
      <c r="I598" s="17"/>
    </row>
    <row r="599">
      <c r="A599" s="3">
        <v>7.0</v>
      </c>
      <c r="B599" s="3">
        <v>406.0</v>
      </c>
      <c r="C599" s="3">
        <v>630.0</v>
      </c>
      <c r="D599" s="3">
        <v>29.0</v>
      </c>
      <c r="E599" s="3">
        <v>20.0</v>
      </c>
      <c r="F599" s="11">
        <f t="shared" si="1"/>
        <v>0.6444444444</v>
      </c>
      <c r="G599" s="5">
        <f t="shared" si="2"/>
        <v>6.355555556</v>
      </c>
      <c r="H599" s="3">
        <v>599.0</v>
      </c>
      <c r="I599" s="17"/>
    </row>
    <row r="600">
      <c r="A600" s="3">
        <v>7.0</v>
      </c>
      <c r="B600" s="3">
        <v>388.0</v>
      </c>
      <c r="C600" s="3">
        <v>660.0</v>
      </c>
      <c r="D600" s="3">
        <v>29.0</v>
      </c>
      <c r="E600" s="3">
        <v>21.0</v>
      </c>
      <c r="F600" s="11">
        <f t="shared" si="1"/>
        <v>0.5878787879</v>
      </c>
      <c r="G600" s="5">
        <f t="shared" si="2"/>
        <v>6.412121212</v>
      </c>
      <c r="H600" s="3">
        <v>600.0</v>
      </c>
      <c r="I600" s="17"/>
    </row>
    <row r="601">
      <c r="A601" s="3">
        <v>7.0</v>
      </c>
      <c r="B601" s="3">
        <v>366.0</v>
      </c>
      <c r="C601" s="3">
        <v>690.0</v>
      </c>
      <c r="D601" s="3">
        <v>29.0</v>
      </c>
      <c r="E601" s="3">
        <v>22.0</v>
      </c>
      <c r="F601" s="11">
        <f t="shared" si="1"/>
        <v>0.5304347826</v>
      </c>
      <c r="G601" s="5">
        <f t="shared" si="2"/>
        <v>6.469565217</v>
      </c>
      <c r="H601" s="3">
        <v>601.0</v>
      </c>
      <c r="I601" s="17"/>
    </row>
    <row r="602">
      <c r="A602" s="3">
        <v>7.0</v>
      </c>
      <c r="B602" s="3">
        <v>340.0</v>
      </c>
      <c r="C602" s="3">
        <v>720.0</v>
      </c>
      <c r="D602" s="3">
        <v>29.0</v>
      </c>
      <c r="E602" s="3">
        <v>23.0</v>
      </c>
      <c r="F602" s="11">
        <f t="shared" si="1"/>
        <v>0.4722222222</v>
      </c>
      <c r="G602" s="5">
        <f t="shared" si="2"/>
        <v>6.527777778</v>
      </c>
      <c r="H602" s="3">
        <v>602.0</v>
      </c>
      <c r="I602" s="17"/>
    </row>
    <row r="603">
      <c r="A603" s="3">
        <v>7.0</v>
      </c>
      <c r="B603" s="3">
        <v>314.0</v>
      </c>
      <c r="C603" s="3">
        <v>750.0</v>
      </c>
      <c r="D603" s="3">
        <v>29.0</v>
      </c>
      <c r="E603" s="3">
        <v>24.0</v>
      </c>
      <c r="F603" s="11">
        <f t="shared" si="1"/>
        <v>0.4186666667</v>
      </c>
      <c r="G603" s="5">
        <f t="shared" si="2"/>
        <v>6.581333333</v>
      </c>
      <c r="H603" s="3">
        <v>603.0</v>
      </c>
      <c r="I603" s="17"/>
    </row>
    <row r="604">
      <c r="A604" s="3">
        <v>7.0</v>
      </c>
      <c r="B604" s="3">
        <v>284.0</v>
      </c>
      <c r="C604" s="3">
        <v>780.0</v>
      </c>
      <c r="D604" s="3">
        <v>29.0</v>
      </c>
      <c r="E604" s="3">
        <v>25.0</v>
      </c>
      <c r="F604" s="11">
        <f t="shared" si="1"/>
        <v>0.3641025641</v>
      </c>
      <c r="G604" s="5">
        <f t="shared" si="2"/>
        <v>6.635897436</v>
      </c>
      <c r="H604" s="3">
        <v>604.0</v>
      </c>
      <c r="I604" s="17"/>
    </row>
    <row r="605">
      <c r="A605" s="3">
        <v>7.0</v>
      </c>
      <c r="B605" s="3">
        <v>258.0</v>
      </c>
      <c r="C605" s="3">
        <v>810.0</v>
      </c>
      <c r="D605" s="3">
        <v>29.0</v>
      </c>
      <c r="E605" s="3">
        <v>26.0</v>
      </c>
      <c r="F605" s="11">
        <f t="shared" si="1"/>
        <v>0.3185185185</v>
      </c>
      <c r="G605" s="5">
        <f t="shared" si="2"/>
        <v>6.681481481</v>
      </c>
      <c r="H605" s="3">
        <v>605.0</v>
      </c>
      <c r="I605" s="17"/>
    </row>
    <row r="606">
      <c r="A606" s="3">
        <v>7.0</v>
      </c>
      <c r="B606" s="3">
        <v>232.0</v>
      </c>
      <c r="C606" s="3">
        <v>840.0</v>
      </c>
      <c r="D606" s="3">
        <v>29.0</v>
      </c>
      <c r="E606" s="3">
        <v>27.0</v>
      </c>
      <c r="F606" s="11">
        <f t="shared" si="1"/>
        <v>0.2761904762</v>
      </c>
      <c r="G606" s="5">
        <f t="shared" si="2"/>
        <v>6.723809524</v>
      </c>
      <c r="H606" s="3">
        <v>606.0</v>
      </c>
      <c r="I606" s="17"/>
    </row>
    <row r="607">
      <c r="A607" s="3">
        <v>7.0</v>
      </c>
      <c r="B607" s="3">
        <v>210.0</v>
      </c>
      <c r="C607" s="3">
        <v>870.0</v>
      </c>
      <c r="D607" s="3">
        <v>29.0</v>
      </c>
      <c r="E607" s="3">
        <v>28.0</v>
      </c>
      <c r="F607" s="11">
        <f t="shared" si="1"/>
        <v>0.2413793103</v>
      </c>
      <c r="G607" s="5">
        <f t="shared" si="2"/>
        <v>6.75862069</v>
      </c>
      <c r="H607" s="3">
        <v>607.0</v>
      </c>
      <c r="I607" s="17"/>
    </row>
    <row r="608">
      <c r="A608" s="3">
        <v>7.0</v>
      </c>
      <c r="B608" s="3">
        <v>188.0</v>
      </c>
      <c r="C608" s="3">
        <v>900.0</v>
      </c>
      <c r="D608" s="3">
        <v>29.0</v>
      </c>
      <c r="E608" s="3">
        <v>29.0</v>
      </c>
      <c r="F608" s="11">
        <f t="shared" si="1"/>
        <v>0.2088888889</v>
      </c>
      <c r="G608" s="5">
        <f t="shared" si="2"/>
        <v>6.791111111</v>
      </c>
      <c r="H608" s="3">
        <v>608.0</v>
      </c>
      <c r="I608" s="17"/>
    </row>
    <row r="609">
      <c r="A609" s="3">
        <v>7.0</v>
      </c>
      <c r="B609" s="3">
        <v>399.0</v>
      </c>
      <c r="C609" s="3">
        <v>403.0</v>
      </c>
      <c r="D609" s="3">
        <v>30.0</v>
      </c>
      <c r="E609" s="3">
        <v>12.0</v>
      </c>
      <c r="F609" s="11">
        <f t="shared" si="1"/>
        <v>0.9900744417</v>
      </c>
      <c r="G609" s="5">
        <f t="shared" si="2"/>
        <v>6.009925558</v>
      </c>
      <c r="H609" s="3">
        <v>609.0</v>
      </c>
      <c r="I609" s="17"/>
    </row>
    <row r="610">
      <c r="A610" s="3">
        <v>7.0</v>
      </c>
      <c r="B610" s="3">
        <v>418.0</v>
      </c>
      <c r="C610" s="3">
        <v>434.0</v>
      </c>
      <c r="D610" s="3">
        <v>30.0</v>
      </c>
      <c r="E610" s="3">
        <v>13.0</v>
      </c>
      <c r="F610" s="11">
        <f t="shared" si="1"/>
        <v>0.9631336406</v>
      </c>
      <c r="G610" s="5">
        <f t="shared" si="2"/>
        <v>6.036866359</v>
      </c>
      <c r="H610" s="3">
        <v>610.0</v>
      </c>
      <c r="I610" s="17"/>
    </row>
    <row r="611">
      <c r="A611" s="3">
        <v>7.0</v>
      </c>
      <c r="B611" s="3">
        <v>429.0</v>
      </c>
      <c r="C611" s="3">
        <v>465.0</v>
      </c>
      <c r="D611" s="3">
        <v>30.0</v>
      </c>
      <c r="E611" s="3">
        <v>14.0</v>
      </c>
      <c r="F611" s="11">
        <f t="shared" si="1"/>
        <v>0.9225806452</v>
      </c>
      <c r="G611" s="5">
        <f t="shared" si="2"/>
        <v>6.077419355</v>
      </c>
      <c r="H611" s="3">
        <v>611.0</v>
      </c>
      <c r="I611" s="17"/>
    </row>
    <row r="612">
      <c r="A612" s="3">
        <v>7.0</v>
      </c>
      <c r="B612" s="3">
        <v>436.0</v>
      </c>
      <c r="C612" s="3">
        <v>496.0</v>
      </c>
      <c r="D612" s="3">
        <v>30.0</v>
      </c>
      <c r="E612" s="3">
        <v>15.0</v>
      </c>
      <c r="F612" s="11">
        <f t="shared" si="1"/>
        <v>0.8790322581</v>
      </c>
      <c r="G612" s="5">
        <f t="shared" si="2"/>
        <v>6.120967742</v>
      </c>
      <c r="H612" s="3">
        <v>612.0</v>
      </c>
      <c r="I612" s="17"/>
    </row>
    <row r="613">
      <c r="A613" s="3">
        <v>7.0</v>
      </c>
      <c r="B613" s="3">
        <v>435.0</v>
      </c>
      <c r="C613" s="3">
        <v>527.0</v>
      </c>
      <c r="D613" s="3">
        <v>30.0</v>
      </c>
      <c r="E613" s="3">
        <v>16.0</v>
      </c>
      <c r="F613" s="11">
        <f t="shared" si="1"/>
        <v>0.825426945</v>
      </c>
      <c r="G613" s="5">
        <f t="shared" si="2"/>
        <v>6.174573055</v>
      </c>
      <c r="H613" s="3">
        <v>613.0</v>
      </c>
      <c r="I613" s="17"/>
    </row>
    <row r="614">
      <c r="A614" s="3">
        <v>7.0</v>
      </c>
      <c r="B614" s="3">
        <v>430.0</v>
      </c>
      <c r="C614" s="3">
        <v>558.0</v>
      </c>
      <c r="D614" s="3">
        <v>30.0</v>
      </c>
      <c r="E614" s="3">
        <v>17.0</v>
      </c>
      <c r="F614" s="11">
        <f t="shared" si="1"/>
        <v>0.770609319</v>
      </c>
      <c r="G614" s="5">
        <f t="shared" si="2"/>
        <v>6.229390681</v>
      </c>
      <c r="H614" s="3">
        <v>614.0</v>
      </c>
      <c r="I614" s="17"/>
    </row>
    <row r="615">
      <c r="A615" s="3">
        <v>7.0</v>
      </c>
      <c r="B615" s="3">
        <v>421.0</v>
      </c>
      <c r="C615" s="3">
        <v>589.0</v>
      </c>
      <c r="D615" s="3">
        <v>30.0</v>
      </c>
      <c r="E615" s="3">
        <v>18.0</v>
      </c>
      <c r="F615" s="11">
        <f t="shared" si="1"/>
        <v>0.714770798</v>
      </c>
      <c r="G615" s="5">
        <f t="shared" si="2"/>
        <v>6.285229202</v>
      </c>
      <c r="H615" s="3">
        <v>615.0</v>
      </c>
      <c r="I615" s="17"/>
    </row>
    <row r="616">
      <c r="A616" s="3">
        <v>7.0</v>
      </c>
      <c r="B616" s="3">
        <v>408.0</v>
      </c>
      <c r="C616" s="3">
        <v>620.0</v>
      </c>
      <c r="D616" s="3">
        <v>30.0</v>
      </c>
      <c r="E616" s="3">
        <v>19.0</v>
      </c>
      <c r="F616" s="11">
        <f t="shared" si="1"/>
        <v>0.6580645161</v>
      </c>
      <c r="G616" s="5">
        <f t="shared" si="2"/>
        <v>6.341935484</v>
      </c>
      <c r="H616" s="3">
        <v>616.0</v>
      </c>
      <c r="I616" s="17"/>
    </row>
    <row r="617">
      <c r="A617" s="3">
        <v>7.0</v>
      </c>
      <c r="B617" s="3">
        <v>391.0</v>
      </c>
      <c r="C617" s="3">
        <v>651.0</v>
      </c>
      <c r="D617" s="3">
        <v>30.0</v>
      </c>
      <c r="E617" s="3">
        <v>20.0</v>
      </c>
      <c r="F617" s="11">
        <f t="shared" si="1"/>
        <v>0.6006144393</v>
      </c>
      <c r="G617" s="5">
        <f t="shared" si="2"/>
        <v>6.399385561</v>
      </c>
      <c r="H617" s="3">
        <v>617.0</v>
      </c>
      <c r="I617" s="17"/>
    </row>
    <row r="618">
      <c r="A618" s="3">
        <v>7.0</v>
      </c>
      <c r="B618" s="3">
        <v>370.0</v>
      </c>
      <c r="C618" s="3">
        <v>682.0</v>
      </c>
      <c r="D618" s="3">
        <v>30.0</v>
      </c>
      <c r="E618" s="3">
        <v>21.0</v>
      </c>
      <c r="F618" s="11">
        <f t="shared" si="1"/>
        <v>0.5425219941</v>
      </c>
      <c r="G618" s="5">
        <f t="shared" si="2"/>
        <v>6.457478006</v>
      </c>
      <c r="H618" s="3">
        <v>618.0</v>
      </c>
      <c r="I618" s="17"/>
    </row>
    <row r="619">
      <c r="A619" s="3">
        <v>7.0</v>
      </c>
      <c r="B619" s="3">
        <v>345.0</v>
      </c>
      <c r="C619" s="3">
        <v>713.0</v>
      </c>
      <c r="D619" s="3">
        <v>30.0</v>
      </c>
      <c r="E619" s="3">
        <v>22.0</v>
      </c>
      <c r="F619" s="11">
        <f t="shared" si="1"/>
        <v>0.4838709677</v>
      </c>
      <c r="G619" s="5">
        <f t="shared" si="2"/>
        <v>6.516129032</v>
      </c>
      <c r="H619" s="3">
        <v>619.0</v>
      </c>
      <c r="I619" s="17"/>
    </row>
    <row r="620">
      <c r="A620" s="3">
        <v>7.0</v>
      </c>
      <c r="B620" s="3">
        <v>316.0</v>
      </c>
      <c r="C620" s="3">
        <v>744.0</v>
      </c>
      <c r="D620" s="3">
        <v>30.0</v>
      </c>
      <c r="E620" s="3">
        <v>23.0</v>
      </c>
      <c r="F620" s="11">
        <f t="shared" si="1"/>
        <v>0.4247311828</v>
      </c>
      <c r="G620" s="5">
        <f t="shared" si="2"/>
        <v>6.575268817</v>
      </c>
      <c r="H620" s="3">
        <v>620.0</v>
      </c>
      <c r="I620" s="17"/>
    </row>
    <row r="621">
      <c r="A621" s="3">
        <v>7.0</v>
      </c>
      <c r="B621" s="3">
        <v>289.0</v>
      </c>
      <c r="C621" s="3">
        <v>775.0</v>
      </c>
      <c r="D621" s="3">
        <v>30.0</v>
      </c>
      <c r="E621" s="3">
        <v>24.0</v>
      </c>
      <c r="F621" s="11">
        <f t="shared" si="1"/>
        <v>0.3729032258</v>
      </c>
      <c r="G621" s="5">
        <f t="shared" si="2"/>
        <v>6.627096774</v>
      </c>
      <c r="H621" s="3">
        <v>621.0</v>
      </c>
      <c r="I621" s="17"/>
    </row>
    <row r="622">
      <c r="A622" s="3">
        <v>7.0</v>
      </c>
      <c r="B622" s="3">
        <v>260.0</v>
      </c>
      <c r="C622" s="3">
        <v>806.0</v>
      </c>
      <c r="D622" s="3">
        <v>30.0</v>
      </c>
      <c r="E622" s="3">
        <v>25.0</v>
      </c>
      <c r="F622" s="11">
        <f t="shared" si="1"/>
        <v>0.3225806452</v>
      </c>
      <c r="G622" s="5">
        <f t="shared" si="2"/>
        <v>6.677419355</v>
      </c>
      <c r="H622" s="3">
        <v>622.0</v>
      </c>
      <c r="I622" s="17"/>
    </row>
    <row r="623">
      <c r="A623" s="3">
        <v>7.0</v>
      </c>
      <c r="B623" s="3">
        <v>235.0</v>
      </c>
      <c r="C623" s="3">
        <v>837.0</v>
      </c>
      <c r="D623" s="3">
        <v>30.0</v>
      </c>
      <c r="E623" s="3">
        <v>26.0</v>
      </c>
      <c r="F623" s="11">
        <f t="shared" si="1"/>
        <v>0.2807646356</v>
      </c>
      <c r="G623" s="5">
        <f t="shared" si="2"/>
        <v>6.719235364</v>
      </c>
      <c r="H623" s="3">
        <v>623.0</v>
      </c>
      <c r="I623" s="17"/>
    </row>
    <row r="624">
      <c r="A624" s="3">
        <v>7.0</v>
      </c>
      <c r="B624" s="3">
        <v>210.0</v>
      </c>
      <c r="C624" s="3">
        <v>868.0</v>
      </c>
      <c r="D624" s="3">
        <v>30.0</v>
      </c>
      <c r="E624" s="3">
        <v>27.0</v>
      </c>
      <c r="F624" s="11">
        <f t="shared" si="1"/>
        <v>0.2419354839</v>
      </c>
      <c r="G624" s="5">
        <f t="shared" si="2"/>
        <v>6.758064516</v>
      </c>
      <c r="H624" s="3">
        <v>624.0</v>
      </c>
      <c r="I624" s="17"/>
    </row>
    <row r="625">
      <c r="A625" s="3">
        <v>7.0</v>
      </c>
      <c r="B625" s="3">
        <v>189.0</v>
      </c>
      <c r="C625" s="3">
        <v>899.0</v>
      </c>
      <c r="D625" s="3">
        <v>30.0</v>
      </c>
      <c r="E625" s="3">
        <v>28.0</v>
      </c>
      <c r="F625" s="11">
        <f t="shared" si="1"/>
        <v>0.2102335929</v>
      </c>
      <c r="G625" s="5">
        <f t="shared" si="2"/>
        <v>6.789766407</v>
      </c>
      <c r="H625" s="3">
        <v>625.0</v>
      </c>
      <c r="I625" s="17"/>
    </row>
    <row r="626">
      <c r="A626" s="3">
        <v>7.0</v>
      </c>
      <c r="B626" s="3">
        <v>168.0</v>
      </c>
      <c r="C626" s="3">
        <v>930.0</v>
      </c>
      <c r="D626" s="3">
        <v>30.0</v>
      </c>
      <c r="E626" s="3">
        <v>29.0</v>
      </c>
      <c r="F626" s="11">
        <f t="shared" si="1"/>
        <v>0.1806451613</v>
      </c>
      <c r="G626" s="5">
        <f t="shared" si="2"/>
        <v>6.819354839</v>
      </c>
      <c r="H626" s="3">
        <v>626.0</v>
      </c>
      <c r="I626" s="17"/>
    </row>
    <row r="627">
      <c r="A627" s="3">
        <v>7.0</v>
      </c>
      <c r="B627" s="3">
        <v>149.0</v>
      </c>
      <c r="C627" s="3">
        <v>961.0</v>
      </c>
      <c r="D627" s="3">
        <v>30.0</v>
      </c>
      <c r="E627" s="3">
        <v>30.0</v>
      </c>
      <c r="F627" s="11">
        <f t="shared" si="1"/>
        <v>0.1550468262</v>
      </c>
      <c r="G627" s="5">
        <f t="shared" si="2"/>
        <v>6.844953174</v>
      </c>
      <c r="H627" s="3">
        <v>627.0</v>
      </c>
      <c r="I627" s="17"/>
    </row>
    <row r="628">
      <c r="A628" s="3">
        <v>7.0</v>
      </c>
      <c r="B628" s="3">
        <v>408.0</v>
      </c>
      <c r="C628" s="3">
        <v>416.0</v>
      </c>
      <c r="D628" s="3">
        <v>31.0</v>
      </c>
      <c r="E628" s="3">
        <v>12.0</v>
      </c>
      <c r="F628" s="11">
        <f t="shared" si="1"/>
        <v>0.9807692308</v>
      </c>
      <c r="G628" s="5">
        <f t="shared" si="2"/>
        <v>6.019230769</v>
      </c>
      <c r="H628" s="3">
        <v>628.0</v>
      </c>
      <c r="I628" s="17"/>
    </row>
    <row r="629">
      <c r="A629" s="3">
        <v>7.0</v>
      </c>
      <c r="B629" s="3">
        <v>424.0</v>
      </c>
      <c r="C629" s="3">
        <v>448.0</v>
      </c>
      <c r="D629" s="3">
        <v>31.0</v>
      </c>
      <c r="E629" s="3">
        <v>13.0</v>
      </c>
      <c r="F629" s="11">
        <f t="shared" si="1"/>
        <v>0.9464285714</v>
      </c>
      <c r="G629" s="5">
        <f t="shared" si="2"/>
        <v>6.053571429</v>
      </c>
      <c r="H629" s="3">
        <v>629.0</v>
      </c>
      <c r="I629" s="17"/>
    </row>
    <row r="630">
      <c r="A630" s="3">
        <v>7.0</v>
      </c>
      <c r="B630" s="3">
        <v>432.0</v>
      </c>
      <c r="C630" s="3">
        <v>480.0</v>
      </c>
      <c r="D630" s="3">
        <v>31.0</v>
      </c>
      <c r="E630" s="3">
        <v>14.0</v>
      </c>
      <c r="F630" s="11">
        <f t="shared" si="1"/>
        <v>0.9</v>
      </c>
      <c r="G630" s="5">
        <f t="shared" si="2"/>
        <v>6.1</v>
      </c>
      <c r="H630" s="3">
        <v>630.0</v>
      </c>
      <c r="I630" s="17"/>
    </row>
    <row r="631">
      <c r="A631" s="3">
        <v>7.0</v>
      </c>
      <c r="B631" s="3">
        <v>436.0</v>
      </c>
      <c r="C631" s="3">
        <v>512.0</v>
      </c>
      <c r="D631" s="3">
        <v>31.0</v>
      </c>
      <c r="E631" s="3">
        <v>15.0</v>
      </c>
      <c r="F631" s="11">
        <f t="shared" si="1"/>
        <v>0.8515625</v>
      </c>
      <c r="G631" s="5">
        <f t="shared" si="2"/>
        <v>6.1484375</v>
      </c>
      <c r="H631" s="3">
        <v>631.0</v>
      </c>
      <c r="I631" s="17"/>
    </row>
    <row r="632">
      <c r="A632" s="3">
        <v>7.0</v>
      </c>
      <c r="B632" s="3">
        <v>432.0</v>
      </c>
      <c r="C632" s="3">
        <v>544.0</v>
      </c>
      <c r="D632" s="3">
        <v>31.0</v>
      </c>
      <c r="E632" s="3">
        <v>16.0</v>
      </c>
      <c r="F632" s="11">
        <f t="shared" si="1"/>
        <v>0.7941176471</v>
      </c>
      <c r="G632" s="5">
        <f t="shared" si="2"/>
        <v>6.205882353</v>
      </c>
      <c r="H632" s="3">
        <v>632.0</v>
      </c>
      <c r="I632" s="17"/>
    </row>
    <row r="633">
      <c r="A633" s="3">
        <v>7.0</v>
      </c>
      <c r="B633" s="3">
        <v>424.0</v>
      </c>
      <c r="C633" s="3">
        <v>576.0</v>
      </c>
      <c r="D633" s="3">
        <v>31.0</v>
      </c>
      <c r="E633" s="3">
        <v>17.0</v>
      </c>
      <c r="F633" s="11">
        <f t="shared" si="1"/>
        <v>0.7361111111</v>
      </c>
      <c r="G633" s="5">
        <f t="shared" si="2"/>
        <v>6.263888889</v>
      </c>
      <c r="H633" s="3">
        <v>633.0</v>
      </c>
      <c r="I633" s="17"/>
    </row>
    <row r="634">
      <c r="A634" s="3">
        <v>7.0</v>
      </c>
      <c r="B634" s="3">
        <v>412.0</v>
      </c>
      <c r="C634" s="3">
        <v>608.0</v>
      </c>
      <c r="D634" s="3">
        <v>31.0</v>
      </c>
      <c r="E634" s="3">
        <v>18.0</v>
      </c>
      <c r="F634" s="11">
        <f t="shared" si="1"/>
        <v>0.6776315789</v>
      </c>
      <c r="G634" s="5">
        <f t="shared" si="2"/>
        <v>6.322368421</v>
      </c>
      <c r="H634" s="3">
        <v>634.0</v>
      </c>
      <c r="I634" s="17"/>
    </row>
    <row r="635">
      <c r="A635" s="3">
        <v>7.0</v>
      </c>
      <c r="B635" s="3">
        <v>396.0</v>
      </c>
      <c r="C635" s="3">
        <v>640.0</v>
      </c>
      <c r="D635" s="3">
        <v>31.0</v>
      </c>
      <c r="E635" s="3">
        <v>19.0</v>
      </c>
      <c r="F635" s="11">
        <f t="shared" si="1"/>
        <v>0.61875</v>
      </c>
      <c r="G635" s="5">
        <f t="shared" si="2"/>
        <v>6.38125</v>
      </c>
      <c r="H635" s="3">
        <v>635.0</v>
      </c>
      <c r="I635" s="17"/>
    </row>
    <row r="636">
      <c r="A636" s="3">
        <v>7.0</v>
      </c>
      <c r="B636" s="3">
        <v>376.0</v>
      </c>
      <c r="C636" s="3">
        <v>672.0</v>
      </c>
      <c r="D636" s="3">
        <v>31.0</v>
      </c>
      <c r="E636" s="3">
        <v>20.0</v>
      </c>
      <c r="F636" s="11">
        <f t="shared" si="1"/>
        <v>0.5595238095</v>
      </c>
      <c r="G636" s="5">
        <f t="shared" si="2"/>
        <v>6.44047619</v>
      </c>
      <c r="H636" s="3">
        <v>636.0</v>
      </c>
      <c r="I636" s="17"/>
    </row>
    <row r="637">
      <c r="A637" s="3">
        <v>7.0</v>
      </c>
      <c r="B637" s="3">
        <v>352.0</v>
      </c>
      <c r="C637" s="3">
        <v>704.0</v>
      </c>
      <c r="D637" s="3">
        <v>31.0</v>
      </c>
      <c r="E637" s="3">
        <v>21.0</v>
      </c>
      <c r="F637" s="11">
        <f t="shared" si="1"/>
        <v>0.5</v>
      </c>
      <c r="G637" s="5">
        <f t="shared" si="2"/>
        <v>6.5</v>
      </c>
      <c r="H637" s="3">
        <v>637.0</v>
      </c>
      <c r="I637" s="17"/>
    </row>
    <row r="638">
      <c r="A638" s="3">
        <v>7.0</v>
      </c>
      <c r="B638" s="3">
        <v>324.0</v>
      </c>
      <c r="C638" s="3">
        <v>736.0</v>
      </c>
      <c r="D638" s="3">
        <v>31.0</v>
      </c>
      <c r="E638" s="3">
        <v>22.0</v>
      </c>
      <c r="F638" s="11">
        <f t="shared" si="1"/>
        <v>0.4402173913</v>
      </c>
      <c r="G638" s="5">
        <f t="shared" si="2"/>
        <v>6.559782609</v>
      </c>
      <c r="H638" s="3">
        <v>638.0</v>
      </c>
      <c r="I638" s="17"/>
    </row>
    <row r="639">
      <c r="A639" s="3">
        <v>7.0</v>
      </c>
      <c r="B639" s="3">
        <v>292.0</v>
      </c>
      <c r="C639" s="3">
        <v>768.0</v>
      </c>
      <c r="D639" s="3">
        <v>31.0</v>
      </c>
      <c r="E639" s="3">
        <v>23.0</v>
      </c>
      <c r="F639" s="11">
        <f t="shared" si="1"/>
        <v>0.3802083333</v>
      </c>
      <c r="G639" s="5">
        <f t="shared" si="2"/>
        <v>6.619791667</v>
      </c>
      <c r="H639" s="3">
        <v>639.0</v>
      </c>
      <c r="I639" s="17"/>
    </row>
    <row r="640">
      <c r="A640" s="3">
        <v>7.0</v>
      </c>
      <c r="B640" s="3">
        <v>264.0</v>
      </c>
      <c r="C640" s="3">
        <v>800.0</v>
      </c>
      <c r="D640" s="3">
        <v>31.0</v>
      </c>
      <c r="E640" s="3">
        <v>24.0</v>
      </c>
      <c r="F640" s="11">
        <f t="shared" si="1"/>
        <v>0.33</v>
      </c>
      <c r="G640" s="5">
        <f t="shared" si="2"/>
        <v>6.67</v>
      </c>
      <c r="H640" s="3">
        <v>640.0</v>
      </c>
      <c r="I640" s="17"/>
    </row>
    <row r="641">
      <c r="A641" s="3">
        <v>7.0</v>
      </c>
      <c r="B641" s="3">
        <v>236.0</v>
      </c>
      <c r="C641" s="3">
        <v>832.0</v>
      </c>
      <c r="D641" s="3">
        <v>31.0</v>
      </c>
      <c r="E641" s="3">
        <v>25.0</v>
      </c>
      <c r="F641" s="11">
        <f t="shared" si="1"/>
        <v>0.2836538462</v>
      </c>
      <c r="G641" s="5">
        <f t="shared" si="2"/>
        <v>6.716346154</v>
      </c>
      <c r="H641" s="3">
        <v>641.0</v>
      </c>
      <c r="I641" s="17"/>
    </row>
    <row r="642">
      <c r="A642" s="3">
        <v>7.0</v>
      </c>
      <c r="B642" s="3">
        <v>212.0</v>
      </c>
      <c r="C642" s="3">
        <v>864.0</v>
      </c>
      <c r="D642" s="3">
        <v>31.0</v>
      </c>
      <c r="E642" s="3">
        <v>26.0</v>
      </c>
      <c r="F642" s="11">
        <f t="shared" si="1"/>
        <v>0.2453703704</v>
      </c>
      <c r="G642" s="5">
        <f t="shared" si="2"/>
        <v>6.75462963</v>
      </c>
      <c r="H642" s="3">
        <v>642.0</v>
      </c>
      <c r="I642" s="17"/>
    </row>
    <row r="643">
      <c r="A643" s="3">
        <v>7.0</v>
      </c>
      <c r="B643" s="3">
        <v>188.0</v>
      </c>
      <c r="C643" s="3">
        <v>896.0</v>
      </c>
      <c r="D643" s="3">
        <v>31.0</v>
      </c>
      <c r="E643" s="3">
        <v>27.0</v>
      </c>
      <c r="F643" s="11">
        <f t="shared" si="1"/>
        <v>0.2098214286</v>
      </c>
      <c r="G643" s="5">
        <f t="shared" si="2"/>
        <v>6.790178571</v>
      </c>
      <c r="H643" s="3">
        <v>643.0</v>
      </c>
      <c r="I643" s="17"/>
    </row>
    <row r="644">
      <c r="A644" s="3">
        <v>7.0</v>
      </c>
      <c r="B644" s="3">
        <v>168.0</v>
      </c>
      <c r="C644" s="3">
        <v>928.0</v>
      </c>
      <c r="D644" s="3">
        <v>31.0</v>
      </c>
      <c r="E644" s="3">
        <v>28.0</v>
      </c>
      <c r="F644" s="11">
        <f t="shared" si="1"/>
        <v>0.1810344828</v>
      </c>
      <c r="G644" s="5">
        <f t="shared" si="2"/>
        <v>6.818965517</v>
      </c>
      <c r="H644" s="3">
        <v>644.0</v>
      </c>
      <c r="I644" s="17"/>
    </row>
    <row r="645">
      <c r="A645" s="3">
        <v>7.0</v>
      </c>
      <c r="B645" s="3">
        <v>148.0</v>
      </c>
      <c r="C645" s="3">
        <v>960.0</v>
      </c>
      <c r="D645" s="3">
        <v>31.0</v>
      </c>
      <c r="E645" s="3">
        <v>29.0</v>
      </c>
      <c r="F645" s="11">
        <f t="shared" si="1"/>
        <v>0.1541666667</v>
      </c>
      <c r="G645" s="5">
        <f t="shared" si="2"/>
        <v>6.845833333</v>
      </c>
      <c r="H645" s="3">
        <v>645.0</v>
      </c>
      <c r="I645" s="17"/>
    </row>
    <row r="646">
      <c r="A646" s="3">
        <v>7.0</v>
      </c>
      <c r="B646" s="3">
        <v>130.0</v>
      </c>
      <c r="C646" s="3">
        <v>992.0</v>
      </c>
      <c r="D646" s="3">
        <v>31.0</v>
      </c>
      <c r="E646" s="3">
        <v>30.0</v>
      </c>
      <c r="F646" s="11">
        <f t="shared" si="1"/>
        <v>0.1310483871</v>
      </c>
      <c r="G646" s="5">
        <f t="shared" si="2"/>
        <v>6.868951613</v>
      </c>
      <c r="H646" s="3">
        <v>646.0</v>
      </c>
      <c r="I646" s="17"/>
    </row>
    <row r="647">
      <c r="A647" s="3">
        <v>7.0</v>
      </c>
      <c r="B647" s="3">
        <v>110.0</v>
      </c>
      <c r="C647" s="3">
        <v>1024.0</v>
      </c>
      <c r="D647" s="3">
        <v>31.0</v>
      </c>
      <c r="E647" s="3">
        <v>31.0</v>
      </c>
      <c r="F647" s="11">
        <f t="shared" si="1"/>
        <v>0.107421875</v>
      </c>
      <c r="G647" s="5">
        <f t="shared" si="2"/>
        <v>6.892578125</v>
      </c>
      <c r="H647" s="3">
        <v>647.0</v>
      </c>
      <c r="I647" s="17"/>
    </row>
    <row r="648">
      <c r="A648" s="3">
        <v>7.0</v>
      </c>
      <c r="B648" s="3">
        <v>392.0</v>
      </c>
      <c r="C648" s="3">
        <v>396.0</v>
      </c>
      <c r="D648" s="3">
        <v>32.0</v>
      </c>
      <c r="E648" s="3">
        <v>11.0</v>
      </c>
      <c r="F648" s="11">
        <f t="shared" si="1"/>
        <v>0.9898989899</v>
      </c>
      <c r="G648" s="5">
        <f t="shared" si="2"/>
        <v>6.01010101</v>
      </c>
      <c r="H648" s="3">
        <v>648.0</v>
      </c>
      <c r="I648" s="17"/>
    </row>
    <row r="649">
      <c r="A649" s="3">
        <v>7.0</v>
      </c>
      <c r="B649" s="3">
        <v>413.0</v>
      </c>
      <c r="C649" s="3">
        <v>429.0</v>
      </c>
      <c r="D649" s="3">
        <v>32.0</v>
      </c>
      <c r="E649" s="3">
        <v>12.0</v>
      </c>
      <c r="F649" s="11">
        <f t="shared" si="1"/>
        <v>0.9627039627</v>
      </c>
      <c r="G649" s="5">
        <f t="shared" si="2"/>
        <v>6.037296037</v>
      </c>
      <c r="H649" s="3">
        <v>649.0</v>
      </c>
      <c r="I649" s="17"/>
    </row>
    <row r="650">
      <c r="A650" s="3">
        <v>7.0</v>
      </c>
      <c r="B650" s="3">
        <v>426.0</v>
      </c>
      <c r="C650" s="3">
        <v>462.0</v>
      </c>
      <c r="D650" s="3">
        <v>32.0</v>
      </c>
      <c r="E650" s="3">
        <v>13.0</v>
      </c>
      <c r="F650" s="11">
        <f t="shared" si="1"/>
        <v>0.9220779221</v>
      </c>
      <c r="G650" s="5">
        <f t="shared" si="2"/>
        <v>6.077922078</v>
      </c>
      <c r="H650" s="3">
        <v>650.0</v>
      </c>
      <c r="I650" s="17"/>
    </row>
    <row r="651">
      <c r="A651" s="3">
        <v>7.0</v>
      </c>
      <c r="B651" s="3">
        <v>431.0</v>
      </c>
      <c r="C651" s="3">
        <v>495.0</v>
      </c>
      <c r="D651" s="3">
        <v>32.0</v>
      </c>
      <c r="E651" s="3">
        <v>14.0</v>
      </c>
      <c r="F651" s="11">
        <f t="shared" si="1"/>
        <v>0.8707070707</v>
      </c>
      <c r="G651" s="5">
        <f t="shared" si="2"/>
        <v>6.129292929</v>
      </c>
      <c r="H651" s="3">
        <v>651.0</v>
      </c>
      <c r="I651" s="17"/>
    </row>
    <row r="652">
      <c r="A652" s="3">
        <v>7.0</v>
      </c>
      <c r="B652" s="3">
        <v>432.0</v>
      </c>
      <c r="C652" s="3">
        <v>528.0</v>
      </c>
      <c r="D652" s="3">
        <v>32.0</v>
      </c>
      <c r="E652" s="3">
        <v>15.0</v>
      </c>
      <c r="F652" s="11">
        <f t="shared" si="1"/>
        <v>0.8181818182</v>
      </c>
      <c r="G652" s="5">
        <f t="shared" si="2"/>
        <v>6.181818182</v>
      </c>
      <c r="H652" s="3">
        <v>652.0</v>
      </c>
      <c r="I652" s="17"/>
    </row>
    <row r="653">
      <c r="A653" s="3">
        <v>7.0</v>
      </c>
      <c r="B653" s="3">
        <v>425.0</v>
      </c>
      <c r="C653" s="3">
        <v>561.0</v>
      </c>
      <c r="D653" s="3">
        <v>32.0</v>
      </c>
      <c r="E653" s="3">
        <v>16.0</v>
      </c>
      <c r="F653" s="11">
        <f t="shared" si="1"/>
        <v>0.7575757576</v>
      </c>
      <c r="G653" s="5">
        <f t="shared" si="2"/>
        <v>6.242424242</v>
      </c>
      <c r="H653" s="3">
        <v>653.0</v>
      </c>
      <c r="I653" s="17"/>
    </row>
    <row r="654">
      <c r="A654" s="3">
        <v>7.0</v>
      </c>
      <c r="B654" s="3">
        <v>414.0</v>
      </c>
      <c r="C654" s="3">
        <v>594.0</v>
      </c>
      <c r="D654" s="3">
        <v>32.0</v>
      </c>
      <c r="E654" s="3">
        <v>17.0</v>
      </c>
      <c r="F654" s="11">
        <f t="shared" si="1"/>
        <v>0.696969697</v>
      </c>
      <c r="G654" s="5">
        <f t="shared" si="2"/>
        <v>6.303030303</v>
      </c>
      <c r="H654" s="3">
        <v>654.0</v>
      </c>
      <c r="I654" s="17"/>
    </row>
    <row r="655">
      <c r="A655" s="3">
        <v>7.0</v>
      </c>
      <c r="B655" s="3">
        <v>399.0</v>
      </c>
      <c r="C655" s="3">
        <v>627.0</v>
      </c>
      <c r="D655" s="3">
        <v>32.0</v>
      </c>
      <c r="E655" s="3">
        <v>18.0</v>
      </c>
      <c r="F655" s="11">
        <f t="shared" si="1"/>
        <v>0.6363636364</v>
      </c>
      <c r="G655" s="5">
        <f t="shared" si="2"/>
        <v>6.363636364</v>
      </c>
      <c r="H655" s="3">
        <v>655.0</v>
      </c>
      <c r="I655" s="17"/>
    </row>
    <row r="656">
      <c r="A656" s="3">
        <v>7.0</v>
      </c>
      <c r="B656" s="3">
        <v>380.0</v>
      </c>
      <c r="C656" s="3">
        <v>660.0</v>
      </c>
      <c r="D656" s="3">
        <v>32.0</v>
      </c>
      <c r="E656" s="3">
        <v>19.0</v>
      </c>
      <c r="F656" s="11">
        <f t="shared" si="1"/>
        <v>0.5757575758</v>
      </c>
      <c r="G656" s="5">
        <f t="shared" si="2"/>
        <v>6.424242424</v>
      </c>
      <c r="H656" s="3">
        <v>656.0</v>
      </c>
      <c r="I656" s="17"/>
    </row>
    <row r="657">
      <c r="A657" s="3">
        <v>7.0</v>
      </c>
      <c r="B657" s="3">
        <v>357.0</v>
      </c>
      <c r="C657" s="3">
        <v>693.0</v>
      </c>
      <c r="D657" s="3">
        <v>32.0</v>
      </c>
      <c r="E657" s="3">
        <v>20.0</v>
      </c>
      <c r="F657" s="11">
        <f t="shared" si="1"/>
        <v>0.5151515152</v>
      </c>
      <c r="G657" s="5">
        <f t="shared" si="2"/>
        <v>6.484848485</v>
      </c>
      <c r="H657" s="3">
        <v>657.0</v>
      </c>
      <c r="I657" s="17"/>
    </row>
    <row r="658">
      <c r="A658" s="3">
        <v>7.0</v>
      </c>
      <c r="B658" s="3">
        <v>330.0</v>
      </c>
      <c r="C658" s="3">
        <v>726.0</v>
      </c>
      <c r="D658" s="3">
        <v>32.0</v>
      </c>
      <c r="E658" s="3">
        <v>21.0</v>
      </c>
      <c r="F658" s="11">
        <f t="shared" si="1"/>
        <v>0.4545454545</v>
      </c>
      <c r="G658" s="5">
        <f t="shared" si="2"/>
        <v>6.545454545</v>
      </c>
      <c r="H658" s="3">
        <v>658.0</v>
      </c>
      <c r="I658" s="17"/>
    </row>
    <row r="659">
      <c r="A659" s="3">
        <v>7.0</v>
      </c>
      <c r="B659" s="3">
        <v>301.0</v>
      </c>
      <c r="C659" s="3">
        <v>759.0</v>
      </c>
      <c r="D659" s="3">
        <v>32.0</v>
      </c>
      <c r="E659" s="3">
        <v>22.0</v>
      </c>
      <c r="F659" s="11">
        <f t="shared" si="1"/>
        <v>0.3965744401</v>
      </c>
      <c r="G659" s="5">
        <f t="shared" si="2"/>
        <v>6.60342556</v>
      </c>
      <c r="H659" s="3">
        <v>659.0</v>
      </c>
      <c r="I659" s="17"/>
    </row>
    <row r="660">
      <c r="A660" s="3">
        <v>7.0</v>
      </c>
      <c r="B660" s="3">
        <v>270.0</v>
      </c>
      <c r="C660" s="3">
        <v>792.0</v>
      </c>
      <c r="D660" s="3">
        <v>32.0</v>
      </c>
      <c r="E660" s="3">
        <v>23.0</v>
      </c>
      <c r="F660" s="11">
        <f t="shared" si="1"/>
        <v>0.3409090909</v>
      </c>
      <c r="G660" s="5">
        <f t="shared" si="2"/>
        <v>6.659090909</v>
      </c>
      <c r="H660" s="3">
        <v>660.0</v>
      </c>
      <c r="I660" s="17"/>
    </row>
    <row r="661">
      <c r="A661" s="3">
        <v>7.0</v>
      </c>
      <c r="B661" s="3">
        <v>243.0</v>
      </c>
      <c r="C661" s="3">
        <v>825.0</v>
      </c>
      <c r="D661" s="3">
        <v>32.0</v>
      </c>
      <c r="E661" s="3">
        <v>24.0</v>
      </c>
      <c r="F661" s="11">
        <f t="shared" si="1"/>
        <v>0.2945454545</v>
      </c>
      <c r="G661" s="5">
        <f t="shared" si="2"/>
        <v>6.705454545</v>
      </c>
      <c r="H661" s="3">
        <v>661.0</v>
      </c>
      <c r="I661" s="17"/>
    </row>
    <row r="662">
      <c r="A662" s="3">
        <v>7.0</v>
      </c>
      <c r="B662" s="3">
        <v>216.0</v>
      </c>
      <c r="C662" s="3">
        <v>858.0</v>
      </c>
      <c r="D662" s="3">
        <v>32.0</v>
      </c>
      <c r="E662" s="3">
        <v>25.0</v>
      </c>
      <c r="F662" s="11">
        <f t="shared" si="1"/>
        <v>0.2517482517</v>
      </c>
      <c r="G662" s="5">
        <f t="shared" si="2"/>
        <v>6.748251748</v>
      </c>
      <c r="H662" s="3">
        <v>662.0</v>
      </c>
      <c r="I662" s="17"/>
    </row>
    <row r="663">
      <c r="A663" s="3">
        <v>7.0</v>
      </c>
      <c r="B663" s="3">
        <v>193.0</v>
      </c>
      <c r="C663" s="3">
        <v>891.0</v>
      </c>
      <c r="D663" s="3">
        <v>32.0</v>
      </c>
      <c r="E663" s="3">
        <v>26.0</v>
      </c>
      <c r="F663" s="11">
        <f t="shared" si="1"/>
        <v>0.2166105499</v>
      </c>
      <c r="G663" s="5">
        <f t="shared" si="2"/>
        <v>6.78338945</v>
      </c>
      <c r="H663" s="3">
        <v>663.0</v>
      </c>
      <c r="I663" s="17"/>
    </row>
    <row r="664">
      <c r="A664" s="3">
        <v>7.0</v>
      </c>
      <c r="B664" s="3">
        <v>170.0</v>
      </c>
      <c r="C664" s="3">
        <v>924.0</v>
      </c>
      <c r="D664" s="3">
        <v>32.0</v>
      </c>
      <c r="E664" s="3">
        <v>27.0</v>
      </c>
      <c r="F664" s="11">
        <f t="shared" si="1"/>
        <v>0.183982684</v>
      </c>
      <c r="G664" s="5">
        <f t="shared" si="2"/>
        <v>6.816017316</v>
      </c>
      <c r="H664" s="3">
        <v>664.0</v>
      </c>
      <c r="I664" s="17"/>
    </row>
    <row r="665">
      <c r="A665" s="3">
        <v>7.0</v>
      </c>
      <c r="B665" s="3">
        <v>151.0</v>
      </c>
      <c r="C665" s="3">
        <v>957.0</v>
      </c>
      <c r="D665" s="3">
        <v>32.0</v>
      </c>
      <c r="E665" s="3">
        <v>28.0</v>
      </c>
      <c r="F665" s="11">
        <f t="shared" si="1"/>
        <v>0.157784744</v>
      </c>
      <c r="G665" s="5">
        <f t="shared" si="2"/>
        <v>6.842215256</v>
      </c>
      <c r="H665" s="3">
        <v>665.0</v>
      </c>
      <c r="I665" s="17"/>
    </row>
    <row r="666">
      <c r="A666" s="3">
        <v>7.0</v>
      </c>
      <c r="B666" s="3">
        <v>132.0</v>
      </c>
      <c r="C666" s="3">
        <v>990.0</v>
      </c>
      <c r="D666" s="3">
        <v>32.0</v>
      </c>
      <c r="E666" s="3">
        <v>29.0</v>
      </c>
      <c r="F666" s="11">
        <f t="shared" si="1"/>
        <v>0.1333333333</v>
      </c>
      <c r="G666" s="5">
        <f t="shared" si="2"/>
        <v>6.866666667</v>
      </c>
      <c r="H666" s="3">
        <v>666.0</v>
      </c>
      <c r="I666" s="17"/>
    </row>
    <row r="667">
      <c r="A667" s="3">
        <v>7.0</v>
      </c>
      <c r="B667" s="3">
        <v>115.0</v>
      </c>
      <c r="C667" s="3">
        <v>1023.0</v>
      </c>
      <c r="D667" s="3">
        <v>32.0</v>
      </c>
      <c r="E667" s="3">
        <v>30.0</v>
      </c>
      <c r="F667" s="11">
        <f t="shared" si="1"/>
        <v>0.1124144673</v>
      </c>
      <c r="G667" s="5">
        <f t="shared" si="2"/>
        <v>6.887585533</v>
      </c>
      <c r="H667" s="3">
        <v>667.0</v>
      </c>
      <c r="I667" s="17"/>
    </row>
    <row r="668">
      <c r="A668" s="3">
        <v>7.0</v>
      </c>
      <c r="B668" s="3">
        <v>92.0</v>
      </c>
      <c r="C668" s="3">
        <v>1056.0</v>
      </c>
      <c r="D668" s="3">
        <v>32.0</v>
      </c>
      <c r="E668" s="3">
        <v>31.0</v>
      </c>
      <c r="F668" s="11">
        <f t="shared" si="1"/>
        <v>0.08712121212</v>
      </c>
      <c r="G668" s="5">
        <f t="shared" si="2"/>
        <v>6.912878788</v>
      </c>
      <c r="H668" s="3">
        <v>668.0</v>
      </c>
      <c r="I668" s="17"/>
    </row>
    <row r="669">
      <c r="A669" s="3">
        <v>7.0</v>
      </c>
      <c r="B669" s="3">
        <v>53.0</v>
      </c>
      <c r="C669" s="3">
        <v>1089.0</v>
      </c>
      <c r="D669" s="3">
        <v>32.0</v>
      </c>
      <c r="E669" s="3">
        <v>32.0</v>
      </c>
      <c r="F669" s="11">
        <f t="shared" si="1"/>
        <v>0.04866850321</v>
      </c>
      <c r="G669" s="5">
        <f t="shared" si="2"/>
        <v>6.951331497</v>
      </c>
      <c r="H669" s="3">
        <v>669.0</v>
      </c>
      <c r="I669" s="17"/>
    </row>
    <row r="670">
      <c r="A670" s="3">
        <v>7.0</v>
      </c>
      <c r="B670" s="3">
        <v>400.0</v>
      </c>
      <c r="C670" s="3">
        <v>408.0</v>
      </c>
      <c r="D670" s="3">
        <v>33.0</v>
      </c>
      <c r="E670" s="3">
        <v>11.0</v>
      </c>
      <c r="F670" s="11">
        <f t="shared" si="1"/>
        <v>0.9803921569</v>
      </c>
      <c r="G670" s="5">
        <f t="shared" si="2"/>
        <v>6.019607843</v>
      </c>
      <c r="H670" s="3">
        <v>670.0</v>
      </c>
      <c r="I670" s="17"/>
    </row>
    <row r="671">
      <c r="A671" s="3">
        <v>7.0</v>
      </c>
      <c r="B671" s="3">
        <v>418.0</v>
      </c>
      <c r="C671" s="3">
        <v>442.0</v>
      </c>
      <c r="D671" s="3">
        <v>33.0</v>
      </c>
      <c r="E671" s="3">
        <v>12.0</v>
      </c>
      <c r="F671" s="11">
        <f t="shared" si="1"/>
        <v>0.9457013575</v>
      </c>
      <c r="G671" s="5">
        <f t="shared" si="2"/>
        <v>6.054298643</v>
      </c>
      <c r="H671" s="3">
        <v>671.0</v>
      </c>
      <c r="I671" s="17"/>
    </row>
    <row r="672">
      <c r="A672" s="3">
        <v>7.0</v>
      </c>
      <c r="B672" s="3">
        <v>428.0</v>
      </c>
      <c r="C672" s="3">
        <v>476.0</v>
      </c>
      <c r="D672" s="3">
        <v>33.0</v>
      </c>
      <c r="E672" s="3">
        <v>13.0</v>
      </c>
      <c r="F672" s="11">
        <f t="shared" si="1"/>
        <v>0.8991596639</v>
      </c>
      <c r="G672" s="5">
        <f t="shared" si="2"/>
        <v>6.100840336</v>
      </c>
      <c r="H672" s="3">
        <v>672.0</v>
      </c>
      <c r="I672" s="17"/>
    </row>
    <row r="673">
      <c r="A673" s="3">
        <v>7.0</v>
      </c>
      <c r="B673" s="3">
        <v>430.0</v>
      </c>
      <c r="C673" s="3">
        <v>510.0</v>
      </c>
      <c r="D673" s="3">
        <v>33.0</v>
      </c>
      <c r="E673" s="3">
        <v>14.0</v>
      </c>
      <c r="F673" s="11">
        <f t="shared" si="1"/>
        <v>0.8431372549</v>
      </c>
      <c r="G673" s="5">
        <f t="shared" si="2"/>
        <v>6.156862745</v>
      </c>
      <c r="H673" s="3">
        <v>673.0</v>
      </c>
      <c r="I673" s="17"/>
    </row>
    <row r="674">
      <c r="A674" s="3">
        <v>7.0</v>
      </c>
      <c r="B674" s="3">
        <v>428.0</v>
      </c>
      <c r="C674" s="3">
        <v>544.0</v>
      </c>
      <c r="D674" s="3">
        <v>33.0</v>
      </c>
      <c r="E674" s="3">
        <v>15.0</v>
      </c>
      <c r="F674" s="11">
        <f t="shared" si="1"/>
        <v>0.7867647059</v>
      </c>
      <c r="G674" s="5">
        <f t="shared" si="2"/>
        <v>6.213235294</v>
      </c>
      <c r="H674" s="3">
        <v>674.0</v>
      </c>
      <c r="I674" s="17"/>
    </row>
    <row r="675">
      <c r="A675" s="3">
        <v>7.0</v>
      </c>
      <c r="B675" s="3">
        <v>418.0</v>
      </c>
      <c r="C675" s="3">
        <v>578.0</v>
      </c>
      <c r="D675" s="3">
        <v>33.0</v>
      </c>
      <c r="E675" s="3">
        <v>16.0</v>
      </c>
      <c r="F675" s="11">
        <f t="shared" si="1"/>
        <v>0.723183391</v>
      </c>
      <c r="G675" s="5">
        <f t="shared" si="2"/>
        <v>6.276816609</v>
      </c>
      <c r="H675" s="3">
        <v>675.0</v>
      </c>
      <c r="I675" s="17"/>
    </row>
    <row r="676">
      <c r="A676" s="3">
        <v>7.0</v>
      </c>
      <c r="B676" s="3">
        <v>404.0</v>
      </c>
      <c r="C676" s="3">
        <v>612.0</v>
      </c>
      <c r="D676" s="3">
        <v>33.0</v>
      </c>
      <c r="E676" s="3">
        <v>17.0</v>
      </c>
      <c r="F676" s="11">
        <f t="shared" si="1"/>
        <v>0.660130719</v>
      </c>
      <c r="G676" s="5">
        <f t="shared" si="2"/>
        <v>6.339869281</v>
      </c>
      <c r="H676" s="3">
        <v>676.0</v>
      </c>
      <c r="I676" s="17"/>
    </row>
    <row r="677">
      <c r="A677" s="3">
        <v>7.0</v>
      </c>
      <c r="B677" s="3">
        <v>386.0</v>
      </c>
      <c r="C677" s="3">
        <v>646.0</v>
      </c>
      <c r="D677" s="3">
        <v>33.0</v>
      </c>
      <c r="E677" s="3">
        <v>18.0</v>
      </c>
      <c r="F677" s="11">
        <f t="shared" si="1"/>
        <v>0.5975232198</v>
      </c>
      <c r="G677" s="5">
        <f t="shared" si="2"/>
        <v>6.40247678</v>
      </c>
      <c r="H677" s="3">
        <v>677.0</v>
      </c>
      <c r="I677" s="17"/>
    </row>
    <row r="678">
      <c r="A678" s="3">
        <v>7.0</v>
      </c>
      <c r="B678" s="3">
        <v>364.0</v>
      </c>
      <c r="C678" s="3">
        <v>680.0</v>
      </c>
      <c r="D678" s="3">
        <v>33.0</v>
      </c>
      <c r="E678" s="3">
        <v>19.0</v>
      </c>
      <c r="F678" s="11">
        <f t="shared" si="1"/>
        <v>0.5352941176</v>
      </c>
      <c r="G678" s="5">
        <f t="shared" si="2"/>
        <v>6.464705882</v>
      </c>
      <c r="H678" s="3">
        <v>678.0</v>
      </c>
      <c r="I678" s="17"/>
    </row>
    <row r="679">
      <c r="A679" s="3">
        <v>7.0</v>
      </c>
      <c r="B679" s="3">
        <v>338.0</v>
      </c>
      <c r="C679" s="3">
        <v>714.0</v>
      </c>
      <c r="D679" s="3">
        <v>33.0</v>
      </c>
      <c r="E679" s="3">
        <v>20.0</v>
      </c>
      <c r="F679" s="11">
        <f t="shared" si="1"/>
        <v>0.4733893557</v>
      </c>
      <c r="G679" s="5">
        <f t="shared" si="2"/>
        <v>6.526610644</v>
      </c>
      <c r="H679" s="3">
        <v>679.0</v>
      </c>
      <c r="I679" s="17"/>
    </row>
    <row r="680">
      <c r="A680" s="3">
        <v>7.0</v>
      </c>
      <c r="B680" s="3">
        <v>308.0</v>
      </c>
      <c r="C680" s="3">
        <v>748.0</v>
      </c>
      <c r="D680" s="3">
        <v>33.0</v>
      </c>
      <c r="E680" s="3">
        <v>21.0</v>
      </c>
      <c r="F680" s="11">
        <f t="shared" si="1"/>
        <v>0.4117647059</v>
      </c>
      <c r="G680" s="5">
        <f t="shared" si="2"/>
        <v>6.588235294</v>
      </c>
      <c r="H680" s="3">
        <v>680.0</v>
      </c>
      <c r="I680" s="17"/>
    </row>
    <row r="681">
      <c r="A681" s="3">
        <v>7.0</v>
      </c>
      <c r="B681" s="3">
        <v>278.0</v>
      </c>
      <c r="C681" s="3">
        <v>782.0</v>
      </c>
      <c r="D681" s="3">
        <v>33.0</v>
      </c>
      <c r="E681" s="3">
        <v>22.0</v>
      </c>
      <c r="F681" s="11">
        <f t="shared" si="1"/>
        <v>0.3554987212</v>
      </c>
      <c r="G681" s="5">
        <f t="shared" si="2"/>
        <v>6.644501279</v>
      </c>
      <c r="H681" s="3">
        <v>681.0</v>
      </c>
      <c r="I681" s="17"/>
    </row>
    <row r="682">
      <c r="A682" s="3">
        <v>7.0</v>
      </c>
      <c r="B682" s="3">
        <v>248.0</v>
      </c>
      <c r="C682" s="3">
        <v>816.0</v>
      </c>
      <c r="D682" s="3">
        <v>33.0</v>
      </c>
      <c r="E682" s="3">
        <v>23.0</v>
      </c>
      <c r="F682" s="11">
        <f t="shared" si="1"/>
        <v>0.3039215686</v>
      </c>
      <c r="G682" s="5">
        <f t="shared" si="2"/>
        <v>6.696078431</v>
      </c>
      <c r="H682" s="3">
        <v>682.0</v>
      </c>
      <c r="I682" s="17"/>
    </row>
    <row r="683">
      <c r="A683" s="3">
        <v>7.0</v>
      </c>
      <c r="B683" s="3">
        <v>222.0</v>
      </c>
      <c r="C683" s="3">
        <v>850.0</v>
      </c>
      <c r="D683" s="3">
        <v>33.0</v>
      </c>
      <c r="E683" s="3">
        <v>24.0</v>
      </c>
      <c r="F683" s="11">
        <f t="shared" si="1"/>
        <v>0.2611764706</v>
      </c>
      <c r="G683" s="5">
        <f t="shared" si="2"/>
        <v>6.738823529</v>
      </c>
      <c r="H683" s="3">
        <v>683.0</v>
      </c>
      <c r="I683" s="17"/>
    </row>
    <row r="684">
      <c r="A684" s="3">
        <v>7.0</v>
      </c>
      <c r="B684" s="3">
        <v>196.0</v>
      </c>
      <c r="C684" s="3">
        <v>884.0</v>
      </c>
      <c r="D684" s="3">
        <v>33.0</v>
      </c>
      <c r="E684" s="3">
        <v>25.0</v>
      </c>
      <c r="F684" s="11">
        <f t="shared" si="1"/>
        <v>0.221719457</v>
      </c>
      <c r="G684" s="5">
        <f t="shared" si="2"/>
        <v>6.778280543</v>
      </c>
      <c r="H684" s="3">
        <v>684.0</v>
      </c>
      <c r="I684" s="17"/>
    </row>
    <row r="685">
      <c r="A685" s="3">
        <v>7.0</v>
      </c>
      <c r="B685" s="3">
        <v>174.0</v>
      </c>
      <c r="C685" s="3">
        <v>918.0</v>
      </c>
      <c r="D685" s="3">
        <v>33.0</v>
      </c>
      <c r="E685" s="3">
        <v>26.0</v>
      </c>
      <c r="F685" s="11">
        <f t="shared" si="1"/>
        <v>0.1895424837</v>
      </c>
      <c r="G685" s="5">
        <f t="shared" si="2"/>
        <v>6.810457516</v>
      </c>
      <c r="H685" s="3">
        <v>685.0</v>
      </c>
      <c r="I685" s="17"/>
    </row>
    <row r="686">
      <c r="A686" s="3">
        <v>7.0</v>
      </c>
      <c r="B686" s="3">
        <v>152.0</v>
      </c>
      <c r="C686" s="3">
        <v>952.0</v>
      </c>
      <c r="D686" s="3">
        <v>33.0</v>
      </c>
      <c r="E686" s="3">
        <v>27.0</v>
      </c>
      <c r="F686" s="11">
        <f t="shared" si="1"/>
        <v>0.1596638655</v>
      </c>
      <c r="G686" s="5">
        <f t="shared" si="2"/>
        <v>6.840336134</v>
      </c>
      <c r="H686" s="3">
        <v>686.0</v>
      </c>
      <c r="I686" s="17"/>
    </row>
    <row r="687">
      <c r="A687" s="3">
        <v>7.0</v>
      </c>
      <c r="B687" s="3">
        <v>134.0</v>
      </c>
      <c r="C687" s="3">
        <v>986.0</v>
      </c>
      <c r="D687" s="3">
        <v>33.0</v>
      </c>
      <c r="E687" s="3">
        <v>28.0</v>
      </c>
      <c r="F687" s="11">
        <f t="shared" si="1"/>
        <v>0.1359026369</v>
      </c>
      <c r="G687" s="5">
        <f t="shared" si="2"/>
        <v>6.864097363</v>
      </c>
      <c r="H687" s="3">
        <v>687.0</v>
      </c>
      <c r="I687" s="17"/>
    </row>
    <row r="688">
      <c r="A688" s="3">
        <v>7.0</v>
      </c>
      <c r="B688" s="3">
        <v>116.0</v>
      </c>
      <c r="C688" s="3">
        <v>1020.0</v>
      </c>
      <c r="D688" s="3">
        <v>33.0</v>
      </c>
      <c r="E688" s="3">
        <v>29.0</v>
      </c>
      <c r="F688" s="11">
        <f t="shared" si="1"/>
        <v>0.1137254902</v>
      </c>
      <c r="G688" s="5">
        <f t="shared" si="2"/>
        <v>6.88627451</v>
      </c>
      <c r="H688" s="3">
        <v>688.0</v>
      </c>
      <c r="I688" s="17"/>
    </row>
    <row r="689">
      <c r="A689" s="3">
        <v>7.0</v>
      </c>
      <c r="B689" s="3">
        <v>94.0</v>
      </c>
      <c r="C689" s="3">
        <v>1054.0</v>
      </c>
      <c r="D689" s="3">
        <v>33.0</v>
      </c>
      <c r="E689" s="3">
        <v>30.0</v>
      </c>
      <c r="F689" s="11">
        <f t="shared" si="1"/>
        <v>0.08918406072</v>
      </c>
      <c r="G689" s="5">
        <f t="shared" si="2"/>
        <v>6.910815939</v>
      </c>
      <c r="H689" s="3">
        <v>689.0</v>
      </c>
      <c r="I689" s="17"/>
    </row>
    <row r="690">
      <c r="A690" s="3">
        <v>7.0</v>
      </c>
      <c r="B690" s="3">
        <v>56.0</v>
      </c>
      <c r="C690" s="3">
        <v>1088.0</v>
      </c>
      <c r="D690" s="3">
        <v>33.0</v>
      </c>
      <c r="E690" s="3">
        <v>31.0</v>
      </c>
      <c r="F690" s="11">
        <f t="shared" si="1"/>
        <v>0.05147058824</v>
      </c>
      <c r="G690" s="5">
        <f t="shared" si="2"/>
        <v>6.948529412</v>
      </c>
      <c r="H690" s="3">
        <v>690.0</v>
      </c>
      <c r="I690" s="17"/>
    </row>
    <row r="691">
      <c r="A691" s="3">
        <v>7.0</v>
      </c>
      <c r="B691" s="3">
        <v>8.0</v>
      </c>
      <c r="C691" s="3">
        <v>1122.0</v>
      </c>
      <c r="D691" s="3">
        <v>33.0</v>
      </c>
      <c r="E691" s="3">
        <v>32.0</v>
      </c>
      <c r="F691" s="11">
        <f t="shared" si="1"/>
        <v>0.007130124777</v>
      </c>
      <c r="G691" s="5">
        <f t="shared" si="2"/>
        <v>6.992869875</v>
      </c>
      <c r="H691" s="3">
        <v>691.0</v>
      </c>
      <c r="I691" s="17"/>
    </row>
    <row r="692">
      <c r="A692" s="3">
        <v>7.0</v>
      </c>
      <c r="B692" s="3">
        <v>381.0</v>
      </c>
      <c r="C692" s="3">
        <v>385.0</v>
      </c>
      <c r="D692" s="3">
        <v>34.0</v>
      </c>
      <c r="E692" s="3">
        <v>10.0</v>
      </c>
      <c r="F692" s="11">
        <f t="shared" si="1"/>
        <v>0.9896103896</v>
      </c>
      <c r="G692" s="5">
        <f t="shared" si="2"/>
        <v>6.01038961</v>
      </c>
      <c r="H692" s="3">
        <v>692.0</v>
      </c>
      <c r="I692" s="17"/>
    </row>
    <row r="693">
      <c r="A693" s="3">
        <v>7.0</v>
      </c>
      <c r="B693" s="3">
        <v>404.0</v>
      </c>
      <c r="C693" s="3">
        <v>420.0</v>
      </c>
      <c r="D693" s="3">
        <v>34.0</v>
      </c>
      <c r="E693" s="3">
        <v>11.0</v>
      </c>
      <c r="F693" s="11">
        <f t="shared" si="1"/>
        <v>0.9619047619</v>
      </c>
      <c r="G693" s="5">
        <f t="shared" si="2"/>
        <v>6.038095238</v>
      </c>
      <c r="H693" s="3">
        <v>693.0</v>
      </c>
      <c r="I693" s="17"/>
    </row>
    <row r="694">
      <c r="A694" s="3">
        <v>7.0</v>
      </c>
      <c r="B694" s="3">
        <v>419.0</v>
      </c>
      <c r="C694" s="3">
        <v>455.0</v>
      </c>
      <c r="D694" s="3">
        <v>34.0</v>
      </c>
      <c r="E694" s="3">
        <v>12.0</v>
      </c>
      <c r="F694" s="11">
        <f t="shared" si="1"/>
        <v>0.9208791209</v>
      </c>
      <c r="G694" s="5">
        <f t="shared" si="2"/>
        <v>6.079120879</v>
      </c>
      <c r="H694" s="3">
        <v>694.0</v>
      </c>
      <c r="I694" s="17"/>
    </row>
    <row r="695">
      <c r="A695" s="3">
        <v>7.0</v>
      </c>
      <c r="B695" s="3">
        <v>426.0</v>
      </c>
      <c r="C695" s="3">
        <v>490.0</v>
      </c>
      <c r="D695" s="3">
        <v>34.0</v>
      </c>
      <c r="E695" s="3">
        <v>13.0</v>
      </c>
      <c r="F695" s="11">
        <f t="shared" si="1"/>
        <v>0.8693877551</v>
      </c>
      <c r="G695" s="5">
        <f t="shared" si="2"/>
        <v>6.130612245</v>
      </c>
      <c r="H695" s="3">
        <v>695.0</v>
      </c>
      <c r="I695" s="17"/>
    </row>
    <row r="696">
      <c r="A696" s="3">
        <v>7.0</v>
      </c>
      <c r="B696" s="3">
        <v>425.0</v>
      </c>
      <c r="C696" s="3">
        <v>525.0</v>
      </c>
      <c r="D696" s="3">
        <v>34.0</v>
      </c>
      <c r="E696" s="3">
        <v>14.0</v>
      </c>
      <c r="F696" s="11">
        <f t="shared" si="1"/>
        <v>0.8095238095</v>
      </c>
      <c r="G696" s="5">
        <f t="shared" si="2"/>
        <v>6.19047619</v>
      </c>
      <c r="H696" s="3">
        <v>696.0</v>
      </c>
      <c r="I696" s="17"/>
    </row>
    <row r="697">
      <c r="A697" s="3">
        <v>7.0</v>
      </c>
      <c r="B697" s="3">
        <v>420.0</v>
      </c>
      <c r="C697" s="3">
        <v>560.0</v>
      </c>
      <c r="D697" s="3">
        <v>34.0</v>
      </c>
      <c r="E697" s="3">
        <v>15.0</v>
      </c>
      <c r="F697" s="11">
        <f t="shared" si="1"/>
        <v>0.75</v>
      </c>
      <c r="G697" s="5">
        <f t="shared" si="2"/>
        <v>6.25</v>
      </c>
      <c r="H697" s="3">
        <v>697.0</v>
      </c>
      <c r="I697" s="17"/>
    </row>
    <row r="698">
      <c r="A698" s="3">
        <v>7.0</v>
      </c>
      <c r="B698" s="3">
        <v>407.0</v>
      </c>
      <c r="C698" s="3">
        <v>595.0</v>
      </c>
      <c r="D698" s="3">
        <v>34.0</v>
      </c>
      <c r="E698" s="3">
        <v>16.0</v>
      </c>
      <c r="F698" s="11">
        <f t="shared" si="1"/>
        <v>0.6840336134</v>
      </c>
      <c r="G698" s="5">
        <f t="shared" si="2"/>
        <v>6.315966387</v>
      </c>
      <c r="H698" s="3">
        <v>698.0</v>
      </c>
      <c r="I698" s="17"/>
    </row>
    <row r="699">
      <c r="A699" s="3">
        <v>7.0</v>
      </c>
      <c r="B699" s="3">
        <v>390.0</v>
      </c>
      <c r="C699" s="3">
        <v>630.0</v>
      </c>
      <c r="D699" s="3">
        <v>34.0</v>
      </c>
      <c r="E699" s="3">
        <v>17.0</v>
      </c>
      <c r="F699" s="11">
        <f t="shared" si="1"/>
        <v>0.619047619</v>
      </c>
      <c r="G699" s="5">
        <f t="shared" si="2"/>
        <v>6.380952381</v>
      </c>
      <c r="H699" s="3">
        <v>699.0</v>
      </c>
      <c r="I699" s="17"/>
    </row>
    <row r="700">
      <c r="A700" s="3">
        <v>7.0</v>
      </c>
      <c r="B700" s="3">
        <v>369.0</v>
      </c>
      <c r="C700" s="3">
        <v>665.0</v>
      </c>
      <c r="D700" s="3">
        <v>34.0</v>
      </c>
      <c r="E700" s="3">
        <v>18.0</v>
      </c>
      <c r="F700" s="11">
        <f t="shared" si="1"/>
        <v>0.554887218</v>
      </c>
      <c r="G700" s="5">
        <f t="shared" si="2"/>
        <v>6.445112782</v>
      </c>
      <c r="H700" s="3">
        <v>700.0</v>
      </c>
      <c r="I700" s="17"/>
    </row>
    <row r="701">
      <c r="A701" s="3">
        <v>7.0</v>
      </c>
      <c r="B701" s="3">
        <v>344.0</v>
      </c>
      <c r="C701" s="3">
        <v>700.0</v>
      </c>
      <c r="D701" s="3">
        <v>34.0</v>
      </c>
      <c r="E701" s="3">
        <v>19.0</v>
      </c>
      <c r="F701" s="11">
        <f t="shared" si="1"/>
        <v>0.4914285714</v>
      </c>
      <c r="G701" s="5">
        <f t="shared" si="2"/>
        <v>6.508571429</v>
      </c>
      <c r="H701" s="3">
        <v>701.0</v>
      </c>
      <c r="I701" s="17"/>
    </row>
    <row r="702">
      <c r="A702" s="3">
        <v>7.0</v>
      </c>
      <c r="B702" s="3">
        <v>317.0</v>
      </c>
      <c r="C702" s="3">
        <v>735.0</v>
      </c>
      <c r="D702" s="3">
        <v>34.0</v>
      </c>
      <c r="E702" s="3">
        <v>20.0</v>
      </c>
      <c r="F702" s="11">
        <f t="shared" si="1"/>
        <v>0.431292517</v>
      </c>
      <c r="G702" s="5">
        <f t="shared" si="2"/>
        <v>6.568707483</v>
      </c>
      <c r="H702" s="3">
        <v>702.0</v>
      </c>
      <c r="I702" s="17"/>
    </row>
    <row r="703">
      <c r="A703" s="3">
        <v>7.0</v>
      </c>
      <c r="B703" s="3">
        <v>286.0</v>
      </c>
      <c r="C703" s="3">
        <v>770.0</v>
      </c>
      <c r="D703" s="3">
        <v>34.0</v>
      </c>
      <c r="E703" s="3">
        <v>21.0</v>
      </c>
      <c r="F703" s="11">
        <f t="shared" si="1"/>
        <v>0.3714285714</v>
      </c>
      <c r="G703" s="5">
        <f t="shared" si="2"/>
        <v>6.628571429</v>
      </c>
      <c r="H703" s="3">
        <v>703.0</v>
      </c>
      <c r="I703" s="17"/>
    </row>
    <row r="704">
      <c r="A704" s="3">
        <v>7.0</v>
      </c>
      <c r="B704" s="3">
        <v>257.0</v>
      </c>
      <c r="C704" s="3">
        <v>805.0</v>
      </c>
      <c r="D704" s="3">
        <v>34.0</v>
      </c>
      <c r="E704" s="3">
        <v>22.0</v>
      </c>
      <c r="F704" s="11">
        <f t="shared" si="1"/>
        <v>0.3192546584</v>
      </c>
      <c r="G704" s="5">
        <f t="shared" si="2"/>
        <v>6.680745342</v>
      </c>
      <c r="H704" s="3">
        <v>704.0</v>
      </c>
      <c r="I704" s="17"/>
    </row>
    <row r="705">
      <c r="A705" s="3">
        <v>7.0</v>
      </c>
      <c r="B705" s="3">
        <v>228.0</v>
      </c>
      <c r="C705" s="3">
        <v>840.0</v>
      </c>
      <c r="D705" s="3">
        <v>34.0</v>
      </c>
      <c r="E705" s="3">
        <v>23.0</v>
      </c>
      <c r="F705" s="11">
        <f t="shared" si="1"/>
        <v>0.2714285714</v>
      </c>
      <c r="G705" s="5">
        <f t="shared" si="2"/>
        <v>6.728571429</v>
      </c>
      <c r="H705" s="3">
        <v>705.0</v>
      </c>
      <c r="I705" s="17"/>
    </row>
    <row r="706">
      <c r="A706" s="3">
        <v>7.0</v>
      </c>
      <c r="B706" s="3">
        <v>203.0</v>
      </c>
      <c r="C706" s="3">
        <v>875.0</v>
      </c>
      <c r="D706" s="3">
        <v>34.0</v>
      </c>
      <c r="E706" s="3">
        <v>24.0</v>
      </c>
      <c r="F706" s="11">
        <f t="shared" si="1"/>
        <v>0.232</v>
      </c>
      <c r="G706" s="5">
        <f t="shared" si="2"/>
        <v>6.768</v>
      </c>
      <c r="H706" s="3">
        <v>706.0</v>
      </c>
      <c r="I706" s="17"/>
    </row>
    <row r="707">
      <c r="A707" s="3">
        <v>7.0</v>
      </c>
      <c r="B707" s="3">
        <v>178.0</v>
      </c>
      <c r="C707" s="3">
        <v>910.0</v>
      </c>
      <c r="D707" s="3">
        <v>34.0</v>
      </c>
      <c r="E707" s="3">
        <v>25.0</v>
      </c>
      <c r="F707" s="11">
        <f t="shared" si="1"/>
        <v>0.1956043956</v>
      </c>
      <c r="G707" s="5">
        <f t="shared" si="2"/>
        <v>6.804395604</v>
      </c>
      <c r="H707" s="3">
        <v>707.0</v>
      </c>
      <c r="I707" s="17"/>
    </row>
    <row r="708">
      <c r="A708" s="3">
        <v>7.0</v>
      </c>
      <c r="B708" s="3">
        <v>157.0</v>
      </c>
      <c r="C708" s="3">
        <v>945.0</v>
      </c>
      <c r="D708" s="3">
        <v>34.0</v>
      </c>
      <c r="E708" s="3">
        <v>26.0</v>
      </c>
      <c r="F708" s="11">
        <f t="shared" si="1"/>
        <v>0.1661375661</v>
      </c>
      <c r="G708" s="5">
        <f t="shared" si="2"/>
        <v>6.833862434</v>
      </c>
      <c r="H708" s="3">
        <v>708.0</v>
      </c>
      <c r="I708" s="17"/>
    </row>
    <row r="709">
      <c r="A709" s="3">
        <v>7.0</v>
      </c>
      <c r="B709" s="3">
        <v>136.0</v>
      </c>
      <c r="C709" s="3">
        <v>980.0</v>
      </c>
      <c r="D709" s="3">
        <v>34.0</v>
      </c>
      <c r="E709" s="3">
        <v>27.0</v>
      </c>
      <c r="F709" s="11">
        <f t="shared" si="1"/>
        <v>0.1387755102</v>
      </c>
      <c r="G709" s="5">
        <f t="shared" si="2"/>
        <v>6.86122449</v>
      </c>
      <c r="H709" s="3">
        <v>709.0</v>
      </c>
      <c r="I709" s="17"/>
    </row>
    <row r="710">
      <c r="A710" s="3">
        <v>7.0</v>
      </c>
      <c r="B710" s="3">
        <v>119.0</v>
      </c>
      <c r="C710" s="3">
        <v>1015.0</v>
      </c>
      <c r="D710" s="3">
        <v>34.0</v>
      </c>
      <c r="E710" s="3">
        <v>28.0</v>
      </c>
      <c r="F710" s="11">
        <f t="shared" si="1"/>
        <v>0.1172413793</v>
      </c>
      <c r="G710" s="5">
        <f t="shared" si="2"/>
        <v>6.882758621</v>
      </c>
      <c r="H710" s="3">
        <v>710.0</v>
      </c>
      <c r="I710" s="17"/>
    </row>
    <row r="711">
      <c r="A711" s="3">
        <v>7.0</v>
      </c>
      <c r="B711" s="3">
        <v>98.0</v>
      </c>
      <c r="C711" s="3">
        <v>1050.0</v>
      </c>
      <c r="D711" s="3">
        <v>34.0</v>
      </c>
      <c r="E711" s="3">
        <v>29.0</v>
      </c>
      <c r="F711" s="11">
        <f t="shared" si="1"/>
        <v>0.09333333333</v>
      </c>
      <c r="G711" s="5">
        <f t="shared" si="2"/>
        <v>6.906666667</v>
      </c>
      <c r="H711" s="3">
        <v>711.0</v>
      </c>
      <c r="I711" s="17"/>
    </row>
    <row r="712">
      <c r="A712" s="3">
        <v>7.0</v>
      </c>
      <c r="B712" s="3">
        <v>65.0</v>
      </c>
      <c r="C712" s="3">
        <v>1085.0</v>
      </c>
      <c r="D712" s="3">
        <v>34.0</v>
      </c>
      <c r="E712" s="3">
        <v>30.0</v>
      </c>
      <c r="F712" s="11">
        <f t="shared" si="1"/>
        <v>0.0599078341</v>
      </c>
      <c r="G712" s="5">
        <f t="shared" si="2"/>
        <v>6.940092166</v>
      </c>
      <c r="H712" s="3">
        <v>712.0</v>
      </c>
      <c r="I712" s="17"/>
    </row>
    <row r="713">
      <c r="A713" s="3">
        <v>7.0</v>
      </c>
      <c r="B713" s="3">
        <v>10.0</v>
      </c>
      <c r="C713" s="3">
        <v>1120.0</v>
      </c>
      <c r="D713" s="3">
        <v>34.0</v>
      </c>
      <c r="E713" s="3">
        <v>31.0</v>
      </c>
      <c r="F713" s="11">
        <f t="shared" si="1"/>
        <v>0.008928571429</v>
      </c>
      <c r="G713" s="5">
        <f t="shared" si="2"/>
        <v>6.991071429</v>
      </c>
      <c r="H713" s="3">
        <v>713.0</v>
      </c>
      <c r="I713" s="17"/>
    </row>
    <row r="714">
      <c r="A714" s="3">
        <v>7.0</v>
      </c>
      <c r="B714" s="3">
        <v>388.0</v>
      </c>
      <c r="C714" s="3">
        <v>396.0</v>
      </c>
      <c r="D714" s="3">
        <v>35.0</v>
      </c>
      <c r="E714" s="3">
        <v>10.0</v>
      </c>
      <c r="F714" s="11">
        <f t="shared" si="1"/>
        <v>0.9797979798</v>
      </c>
      <c r="G714" s="5">
        <f t="shared" si="2"/>
        <v>6.02020202</v>
      </c>
      <c r="H714" s="3">
        <v>714.0</v>
      </c>
      <c r="I714" s="17"/>
    </row>
    <row r="715">
      <c r="A715" s="3">
        <v>7.0</v>
      </c>
      <c r="B715" s="3">
        <v>408.0</v>
      </c>
      <c r="C715" s="3">
        <v>432.0</v>
      </c>
      <c r="D715" s="3">
        <v>35.0</v>
      </c>
      <c r="E715" s="3">
        <v>11.0</v>
      </c>
      <c r="F715" s="11">
        <f t="shared" si="1"/>
        <v>0.9444444444</v>
      </c>
      <c r="G715" s="5">
        <f t="shared" si="2"/>
        <v>6.055555556</v>
      </c>
      <c r="H715" s="3">
        <v>715.0</v>
      </c>
      <c r="I715" s="17"/>
    </row>
    <row r="716">
      <c r="A716" s="3">
        <v>7.0</v>
      </c>
      <c r="B716" s="3">
        <v>420.0</v>
      </c>
      <c r="C716" s="3">
        <v>468.0</v>
      </c>
      <c r="D716" s="3">
        <v>35.0</v>
      </c>
      <c r="E716" s="3">
        <v>12.0</v>
      </c>
      <c r="F716" s="11">
        <f t="shared" si="1"/>
        <v>0.8974358974</v>
      </c>
      <c r="G716" s="5">
        <f t="shared" si="2"/>
        <v>6.102564103</v>
      </c>
      <c r="H716" s="3">
        <v>716.0</v>
      </c>
      <c r="I716" s="17"/>
    </row>
    <row r="717">
      <c r="A717" s="3">
        <v>7.0</v>
      </c>
      <c r="B717" s="3">
        <v>424.0</v>
      </c>
      <c r="C717" s="3">
        <v>504.0</v>
      </c>
      <c r="D717" s="3">
        <v>35.0</v>
      </c>
      <c r="E717" s="3">
        <v>13.0</v>
      </c>
      <c r="F717" s="11">
        <f t="shared" si="1"/>
        <v>0.8412698413</v>
      </c>
      <c r="G717" s="5">
        <f t="shared" si="2"/>
        <v>6.158730159</v>
      </c>
      <c r="H717" s="3">
        <v>717.0</v>
      </c>
      <c r="I717" s="17"/>
    </row>
    <row r="718">
      <c r="A718" s="3">
        <v>7.0</v>
      </c>
      <c r="B718" s="3">
        <v>420.0</v>
      </c>
      <c r="C718" s="3">
        <v>540.0</v>
      </c>
      <c r="D718" s="3">
        <v>35.0</v>
      </c>
      <c r="E718" s="3">
        <v>14.0</v>
      </c>
      <c r="F718" s="11">
        <f t="shared" si="1"/>
        <v>0.7777777778</v>
      </c>
      <c r="G718" s="5">
        <f t="shared" si="2"/>
        <v>6.222222222</v>
      </c>
      <c r="H718" s="3">
        <v>718.0</v>
      </c>
      <c r="I718" s="17"/>
    </row>
    <row r="719">
      <c r="A719" s="3">
        <v>7.0</v>
      </c>
      <c r="B719" s="3">
        <v>412.0</v>
      </c>
      <c r="C719" s="3">
        <v>576.0</v>
      </c>
      <c r="D719" s="3">
        <v>35.0</v>
      </c>
      <c r="E719" s="3">
        <v>15.0</v>
      </c>
      <c r="F719" s="11">
        <f t="shared" si="1"/>
        <v>0.7152777778</v>
      </c>
      <c r="G719" s="5">
        <f t="shared" si="2"/>
        <v>6.284722222</v>
      </c>
      <c r="H719" s="3">
        <v>719.0</v>
      </c>
      <c r="I719" s="17"/>
    </row>
    <row r="720">
      <c r="A720" s="3">
        <v>7.0</v>
      </c>
      <c r="B720" s="3">
        <v>396.0</v>
      </c>
      <c r="C720" s="3">
        <v>612.0</v>
      </c>
      <c r="D720" s="3">
        <v>35.0</v>
      </c>
      <c r="E720" s="3">
        <v>16.0</v>
      </c>
      <c r="F720" s="11">
        <f t="shared" si="1"/>
        <v>0.6470588235</v>
      </c>
      <c r="G720" s="5">
        <f t="shared" si="2"/>
        <v>6.352941176</v>
      </c>
      <c r="H720" s="3">
        <v>720.0</v>
      </c>
      <c r="I720" s="17"/>
    </row>
    <row r="721">
      <c r="A721" s="3">
        <v>7.0</v>
      </c>
      <c r="B721" s="3">
        <v>376.0</v>
      </c>
      <c r="C721" s="3">
        <v>648.0</v>
      </c>
      <c r="D721" s="3">
        <v>35.0</v>
      </c>
      <c r="E721" s="3">
        <v>17.0</v>
      </c>
      <c r="F721" s="11">
        <f t="shared" si="1"/>
        <v>0.5802469136</v>
      </c>
      <c r="G721" s="5">
        <f t="shared" si="2"/>
        <v>6.419753086</v>
      </c>
      <c r="H721" s="3">
        <v>721.0</v>
      </c>
      <c r="I721" s="17"/>
    </row>
    <row r="722">
      <c r="A722" s="3">
        <v>7.0</v>
      </c>
      <c r="B722" s="3">
        <v>352.0</v>
      </c>
      <c r="C722" s="3">
        <v>684.0</v>
      </c>
      <c r="D722" s="3">
        <v>35.0</v>
      </c>
      <c r="E722" s="3">
        <v>18.0</v>
      </c>
      <c r="F722" s="11">
        <f t="shared" si="1"/>
        <v>0.514619883</v>
      </c>
      <c r="G722" s="5">
        <f t="shared" si="2"/>
        <v>6.485380117</v>
      </c>
      <c r="H722" s="3">
        <v>722.0</v>
      </c>
      <c r="I722" s="17"/>
    </row>
    <row r="723">
      <c r="A723" s="3">
        <v>7.0</v>
      </c>
      <c r="B723" s="3">
        <v>324.0</v>
      </c>
      <c r="C723" s="3">
        <v>720.0</v>
      </c>
      <c r="D723" s="3">
        <v>35.0</v>
      </c>
      <c r="E723" s="3">
        <v>19.0</v>
      </c>
      <c r="F723" s="11">
        <f t="shared" si="1"/>
        <v>0.45</v>
      </c>
      <c r="G723" s="5">
        <f t="shared" si="2"/>
        <v>6.55</v>
      </c>
      <c r="H723" s="3">
        <v>723.0</v>
      </c>
      <c r="I723" s="17"/>
    </row>
    <row r="724">
      <c r="A724" s="3">
        <v>7.0</v>
      </c>
      <c r="B724" s="3">
        <v>296.0</v>
      </c>
      <c r="C724" s="3">
        <v>756.0</v>
      </c>
      <c r="D724" s="3">
        <v>35.0</v>
      </c>
      <c r="E724" s="3">
        <v>20.0</v>
      </c>
      <c r="F724" s="11">
        <f t="shared" si="1"/>
        <v>0.3915343915</v>
      </c>
      <c r="G724" s="5">
        <f t="shared" si="2"/>
        <v>6.608465608</v>
      </c>
      <c r="H724" s="3">
        <v>724.0</v>
      </c>
      <c r="I724" s="17"/>
    </row>
    <row r="725">
      <c r="A725" s="3">
        <v>7.0</v>
      </c>
      <c r="B725" s="3">
        <v>264.0</v>
      </c>
      <c r="C725" s="3">
        <v>792.0</v>
      </c>
      <c r="D725" s="3">
        <v>35.0</v>
      </c>
      <c r="E725" s="3">
        <v>21.0</v>
      </c>
      <c r="F725" s="11">
        <f t="shared" si="1"/>
        <v>0.3333333333</v>
      </c>
      <c r="G725" s="5">
        <f t="shared" si="2"/>
        <v>6.666666667</v>
      </c>
      <c r="H725" s="3">
        <v>725.0</v>
      </c>
      <c r="I725" s="17"/>
    </row>
    <row r="726">
      <c r="A726" s="3">
        <v>7.0</v>
      </c>
      <c r="B726" s="3">
        <v>236.0</v>
      </c>
      <c r="C726" s="3">
        <v>828.0</v>
      </c>
      <c r="D726" s="3">
        <v>35.0</v>
      </c>
      <c r="E726" s="3">
        <v>22.0</v>
      </c>
      <c r="F726" s="11">
        <f t="shared" si="1"/>
        <v>0.2850241546</v>
      </c>
      <c r="G726" s="5">
        <f t="shared" si="2"/>
        <v>6.714975845</v>
      </c>
      <c r="H726" s="3">
        <v>726.0</v>
      </c>
      <c r="I726" s="17"/>
    </row>
    <row r="727">
      <c r="A727" s="3">
        <v>7.0</v>
      </c>
      <c r="B727" s="3">
        <v>208.0</v>
      </c>
      <c r="C727" s="3">
        <v>864.0</v>
      </c>
      <c r="D727" s="3">
        <v>35.0</v>
      </c>
      <c r="E727" s="3">
        <v>23.0</v>
      </c>
      <c r="F727" s="11">
        <f t="shared" si="1"/>
        <v>0.2407407407</v>
      </c>
      <c r="G727" s="5">
        <f t="shared" si="2"/>
        <v>6.759259259</v>
      </c>
      <c r="H727" s="3">
        <v>727.0</v>
      </c>
      <c r="I727" s="17"/>
    </row>
    <row r="728">
      <c r="A728" s="3">
        <v>7.0</v>
      </c>
      <c r="B728" s="3">
        <v>184.0</v>
      </c>
      <c r="C728" s="3">
        <v>900.0</v>
      </c>
      <c r="D728" s="3">
        <v>35.0</v>
      </c>
      <c r="E728" s="3">
        <v>24.0</v>
      </c>
      <c r="F728" s="11">
        <f t="shared" si="1"/>
        <v>0.2044444444</v>
      </c>
      <c r="G728" s="5">
        <f t="shared" si="2"/>
        <v>6.795555556</v>
      </c>
      <c r="H728" s="3">
        <v>728.0</v>
      </c>
      <c r="I728" s="17"/>
    </row>
    <row r="729">
      <c r="A729" s="3">
        <v>7.0</v>
      </c>
      <c r="B729" s="3">
        <v>160.0</v>
      </c>
      <c r="C729" s="3">
        <v>936.0</v>
      </c>
      <c r="D729" s="3">
        <v>35.0</v>
      </c>
      <c r="E729" s="3">
        <v>25.0</v>
      </c>
      <c r="F729" s="11">
        <f t="shared" si="1"/>
        <v>0.1709401709</v>
      </c>
      <c r="G729" s="5">
        <f t="shared" si="2"/>
        <v>6.829059829</v>
      </c>
      <c r="H729" s="3">
        <v>729.0</v>
      </c>
      <c r="I729" s="17"/>
    </row>
    <row r="730">
      <c r="A730" s="3">
        <v>7.0</v>
      </c>
      <c r="B730" s="3">
        <v>140.0</v>
      </c>
      <c r="C730" s="3">
        <v>972.0</v>
      </c>
      <c r="D730" s="3">
        <v>35.0</v>
      </c>
      <c r="E730" s="3">
        <v>26.0</v>
      </c>
      <c r="F730" s="11">
        <f t="shared" si="1"/>
        <v>0.1440329218</v>
      </c>
      <c r="G730" s="5">
        <f t="shared" si="2"/>
        <v>6.855967078</v>
      </c>
      <c r="H730" s="3">
        <v>730.0</v>
      </c>
      <c r="I730" s="17"/>
    </row>
    <row r="731">
      <c r="A731" s="3">
        <v>7.0</v>
      </c>
      <c r="B731" s="3">
        <v>120.0</v>
      </c>
      <c r="C731" s="3">
        <v>1008.0</v>
      </c>
      <c r="D731" s="3">
        <v>35.0</v>
      </c>
      <c r="E731" s="3">
        <v>27.0</v>
      </c>
      <c r="F731" s="11">
        <f t="shared" si="1"/>
        <v>0.119047619</v>
      </c>
      <c r="G731" s="5">
        <f t="shared" si="2"/>
        <v>6.880952381</v>
      </c>
      <c r="H731" s="3">
        <v>731.0</v>
      </c>
      <c r="I731" s="17"/>
    </row>
    <row r="732">
      <c r="A732" s="3">
        <v>7.0</v>
      </c>
      <c r="B732" s="3">
        <v>100.0</v>
      </c>
      <c r="C732" s="3">
        <v>1044.0</v>
      </c>
      <c r="D732" s="3">
        <v>35.0</v>
      </c>
      <c r="E732" s="3">
        <v>28.0</v>
      </c>
      <c r="F732" s="11">
        <f t="shared" si="1"/>
        <v>0.09578544061</v>
      </c>
      <c r="G732" s="5">
        <f t="shared" si="2"/>
        <v>6.904214559</v>
      </c>
      <c r="H732" s="3">
        <v>732.0</v>
      </c>
      <c r="I732" s="17"/>
    </row>
    <row r="733">
      <c r="A733" s="3">
        <v>7.0</v>
      </c>
      <c r="B733" s="3">
        <v>70.0</v>
      </c>
      <c r="C733" s="3">
        <v>1080.0</v>
      </c>
      <c r="D733" s="3">
        <v>35.0</v>
      </c>
      <c r="E733" s="3">
        <v>29.0</v>
      </c>
      <c r="F733" s="11">
        <f t="shared" si="1"/>
        <v>0.06481481481</v>
      </c>
      <c r="G733" s="5">
        <f t="shared" si="2"/>
        <v>6.935185185</v>
      </c>
      <c r="H733" s="3">
        <v>733.0</v>
      </c>
      <c r="I733" s="17"/>
    </row>
    <row r="734">
      <c r="A734" s="3">
        <v>7.0</v>
      </c>
      <c r="B734" s="3">
        <v>12.0</v>
      </c>
      <c r="C734" s="3">
        <v>1116.0</v>
      </c>
      <c r="D734" s="3">
        <v>35.0</v>
      </c>
      <c r="E734" s="3">
        <v>30.0</v>
      </c>
      <c r="F734" s="11">
        <f t="shared" si="1"/>
        <v>0.01075268817</v>
      </c>
      <c r="G734" s="5">
        <f t="shared" si="2"/>
        <v>6.989247312</v>
      </c>
      <c r="H734" s="3">
        <v>734.0</v>
      </c>
      <c r="I734" s="17"/>
    </row>
    <row r="735">
      <c r="A735" s="3">
        <v>7.0</v>
      </c>
      <c r="B735" s="3">
        <v>395.0</v>
      </c>
      <c r="C735" s="3">
        <v>407.0</v>
      </c>
      <c r="D735" s="3">
        <v>36.0</v>
      </c>
      <c r="E735" s="3">
        <v>10.0</v>
      </c>
      <c r="F735" s="11">
        <f t="shared" si="1"/>
        <v>0.9705159705</v>
      </c>
      <c r="G735" s="5">
        <f t="shared" si="2"/>
        <v>6.029484029</v>
      </c>
      <c r="H735" s="3">
        <v>735.0</v>
      </c>
      <c r="I735" s="17"/>
    </row>
    <row r="736">
      <c r="A736" s="3">
        <v>7.0</v>
      </c>
      <c r="B736" s="3">
        <v>412.0</v>
      </c>
      <c r="C736" s="3">
        <v>444.0</v>
      </c>
      <c r="D736" s="3">
        <v>36.0</v>
      </c>
      <c r="E736" s="3">
        <v>11.0</v>
      </c>
      <c r="F736" s="11">
        <f t="shared" si="1"/>
        <v>0.9279279279</v>
      </c>
      <c r="G736" s="5">
        <f t="shared" si="2"/>
        <v>6.072072072</v>
      </c>
      <c r="H736" s="3">
        <v>736.0</v>
      </c>
      <c r="I736" s="17"/>
    </row>
    <row r="737">
      <c r="A737" s="3">
        <v>7.0</v>
      </c>
      <c r="B737" s="3">
        <v>421.0</v>
      </c>
      <c r="C737" s="3">
        <v>481.0</v>
      </c>
      <c r="D737" s="3">
        <v>36.0</v>
      </c>
      <c r="E737" s="3">
        <v>12.0</v>
      </c>
      <c r="F737" s="11">
        <f t="shared" si="1"/>
        <v>0.8752598753</v>
      </c>
      <c r="G737" s="5">
        <f t="shared" si="2"/>
        <v>6.124740125</v>
      </c>
      <c r="H737" s="3">
        <v>737.0</v>
      </c>
      <c r="I737" s="17"/>
    </row>
    <row r="738">
      <c r="A738" s="3">
        <v>7.0</v>
      </c>
      <c r="B738" s="3">
        <v>422.0</v>
      </c>
      <c r="C738" s="3">
        <v>518.0</v>
      </c>
      <c r="D738" s="3">
        <v>36.0</v>
      </c>
      <c r="E738" s="3">
        <v>13.0</v>
      </c>
      <c r="F738" s="11">
        <f t="shared" si="1"/>
        <v>0.8146718147</v>
      </c>
      <c r="G738" s="5">
        <f t="shared" si="2"/>
        <v>6.185328185</v>
      </c>
      <c r="H738" s="3">
        <v>738.0</v>
      </c>
      <c r="I738" s="17"/>
    </row>
    <row r="739">
      <c r="A739" s="3">
        <v>7.0</v>
      </c>
      <c r="B739" s="3">
        <v>415.0</v>
      </c>
      <c r="C739" s="3">
        <v>555.0</v>
      </c>
      <c r="D739" s="3">
        <v>36.0</v>
      </c>
      <c r="E739" s="3">
        <v>14.0</v>
      </c>
      <c r="F739" s="11">
        <f t="shared" si="1"/>
        <v>0.7477477477</v>
      </c>
      <c r="G739" s="5">
        <f t="shared" si="2"/>
        <v>6.252252252</v>
      </c>
      <c r="H739" s="3">
        <v>739.0</v>
      </c>
      <c r="I739" s="17"/>
    </row>
    <row r="740">
      <c r="A740" s="3">
        <v>7.0</v>
      </c>
      <c r="B740" s="3">
        <v>404.0</v>
      </c>
      <c r="C740" s="3">
        <v>592.0</v>
      </c>
      <c r="D740" s="3">
        <v>36.0</v>
      </c>
      <c r="E740" s="3">
        <v>15.0</v>
      </c>
      <c r="F740" s="11">
        <f t="shared" si="1"/>
        <v>0.6824324324</v>
      </c>
      <c r="G740" s="5">
        <f t="shared" si="2"/>
        <v>6.317567568</v>
      </c>
      <c r="H740" s="3">
        <v>740.0</v>
      </c>
      <c r="I740" s="17"/>
    </row>
    <row r="741">
      <c r="A741" s="3">
        <v>7.0</v>
      </c>
      <c r="B741" s="3">
        <v>385.0</v>
      </c>
      <c r="C741" s="3">
        <v>629.0</v>
      </c>
      <c r="D741" s="3">
        <v>36.0</v>
      </c>
      <c r="E741" s="3">
        <v>16.0</v>
      </c>
      <c r="F741" s="11">
        <f t="shared" si="1"/>
        <v>0.6120826709</v>
      </c>
      <c r="G741" s="5">
        <f t="shared" si="2"/>
        <v>6.387917329</v>
      </c>
      <c r="H741" s="3">
        <v>741.0</v>
      </c>
      <c r="I741" s="17"/>
    </row>
    <row r="742">
      <c r="A742" s="3">
        <v>7.0</v>
      </c>
      <c r="B742" s="3">
        <v>362.0</v>
      </c>
      <c r="C742" s="3">
        <v>666.0</v>
      </c>
      <c r="D742" s="3">
        <v>36.0</v>
      </c>
      <c r="E742" s="3">
        <v>17.0</v>
      </c>
      <c r="F742" s="11">
        <f t="shared" si="1"/>
        <v>0.5435435435</v>
      </c>
      <c r="G742" s="5">
        <f t="shared" si="2"/>
        <v>6.456456456</v>
      </c>
      <c r="H742" s="3">
        <v>742.0</v>
      </c>
      <c r="I742" s="17"/>
    </row>
    <row r="743">
      <c r="A743" s="3">
        <v>7.0</v>
      </c>
      <c r="B743" s="3">
        <v>335.0</v>
      </c>
      <c r="C743" s="3">
        <v>703.0</v>
      </c>
      <c r="D743" s="3">
        <v>36.0</v>
      </c>
      <c r="E743" s="3">
        <v>18.0</v>
      </c>
      <c r="F743" s="11">
        <f t="shared" si="1"/>
        <v>0.4765291607</v>
      </c>
      <c r="G743" s="5">
        <f t="shared" si="2"/>
        <v>6.523470839</v>
      </c>
      <c r="H743" s="3">
        <v>743.0</v>
      </c>
      <c r="I743" s="17"/>
    </row>
    <row r="744">
      <c r="A744" s="3">
        <v>7.0</v>
      </c>
      <c r="B744" s="3">
        <v>304.0</v>
      </c>
      <c r="C744" s="3">
        <v>740.0</v>
      </c>
      <c r="D744" s="3">
        <v>36.0</v>
      </c>
      <c r="E744" s="3">
        <v>19.0</v>
      </c>
      <c r="F744" s="11">
        <f t="shared" si="1"/>
        <v>0.4108108108</v>
      </c>
      <c r="G744" s="5">
        <f t="shared" si="2"/>
        <v>6.589189189</v>
      </c>
      <c r="H744" s="3">
        <v>744.0</v>
      </c>
      <c r="I744" s="17"/>
    </row>
    <row r="745">
      <c r="A745" s="3">
        <v>7.0</v>
      </c>
      <c r="B745" s="3">
        <v>275.0</v>
      </c>
      <c r="C745" s="3">
        <v>777.0</v>
      </c>
      <c r="D745" s="3">
        <v>36.0</v>
      </c>
      <c r="E745" s="3">
        <v>20.0</v>
      </c>
      <c r="F745" s="11">
        <f t="shared" si="1"/>
        <v>0.3539253539</v>
      </c>
      <c r="G745" s="5">
        <f t="shared" si="2"/>
        <v>6.646074646</v>
      </c>
      <c r="H745" s="3">
        <v>745.0</v>
      </c>
      <c r="I745" s="17"/>
    </row>
    <row r="746">
      <c r="A746" s="3">
        <v>7.0</v>
      </c>
      <c r="B746" s="3">
        <v>244.0</v>
      </c>
      <c r="C746" s="3">
        <v>814.0</v>
      </c>
      <c r="D746" s="3">
        <v>36.0</v>
      </c>
      <c r="E746" s="3">
        <v>21.0</v>
      </c>
      <c r="F746" s="11">
        <f t="shared" si="1"/>
        <v>0.2997542998</v>
      </c>
      <c r="G746" s="5">
        <f t="shared" si="2"/>
        <v>6.7002457</v>
      </c>
      <c r="H746" s="3">
        <v>746.0</v>
      </c>
      <c r="I746" s="17"/>
    </row>
    <row r="747">
      <c r="A747" s="3">
        <v>7.0</v>
      </c>
      <c r="B747" s="3">
        <v>217.0</v>
      </c>
      <c r="C747" s="3">
        <v>851.0</v>
      </c>
      <c r="D747" s="3">
        <v>36.0</v>
      </c>
      <c r="E747" s="3">
        <v>22.0</v>
      </c>
      <c r="F747" s="11">
        <f t="shared" si="1"/>
        <v>0.2549941246</v>
      </c>
      <c r="G747" s="5">
        <f t="shared" si="2"/>
        <v>6.745005875</v>
      </c>
      <c r="H747" s="3">
        <v>747.0</v>
      </c>
      <c r="I747" s="17"/>
    </row>
    <row r="748">
      <c r="A748" s="3">
        <v>7.0</v>
      </c>
      <c r="B748" s="3">
        <v>190.0</v>
      </c>
      <c r="C748" s="3">
        <v>888.0</v>
      </c>
      <c r="D748" s="3">
        <v>36.0</v>
      </c>
      <c r="E748" s="3">
        <v>23.0</v>
      </c>
      <c r="F748" s="11">
        <f t="shared" si="1"/>
        <v>0.213963964</v>
      </c>
      <c r="G748" s="5">
        <f t="shared" si="2"/>
        <v>6.786036036</v>
      </c>
      <c r="H748" s="3">
        <v>748.0</v>
      </c>
      <c r="I748" s="17"/>
    </row>
    <row r="749">
      <c r="A749" s="3">
        <v>7.0</v>
      </c>
      <c r="B749" s="3">
        <v>167.0</v>
      </c>
      <c r="C749" s="3">
        <v>925.0</v>
      </c>
      <c r="D749" s="3">
        <v>36.0</v>
      </c>
      <c r="E749" s="3">
        <v>24.0</v>
      </c>
      <c r="F749" s="11">
        <f t="shared" si="1"/>
        <v>0.1805405405</v>
      </c>
      <c r="G749" s="5">
        <f t="shared" si="2"/>
        <v>6.819459459</v>
      </c>
      <c r="H749" s="3">
        <v>749.0</v>
      </c>
      <c r="I749" s="17"/>
    </row>
    <row r="750">
      <c r="A750" s="3">
        <v>7.0</v>
      </c>
      <c r="B750" s="3">
        <v>144.0</v>
      </c>
      <c r="C750" s="3">
        <v>962.0</v>
      </c>
      <c r="D750" s="3">
        <v>36.0</v>
      </c>
      <c r="E750" s="3">
        <v>25.0</v>
      </c>
      <c r="F750" s="11">
        <f t="shared" si="1"/>
        <v>0.1496881497</v>
      </c>
      <c r="G750" s="5">
        <f t="shared" si="2"/>
        <v>6.85031185</v>
      </c>
      <c r="H750" s="3">
        <v>750.0</v>
      </c>
      <c r="I750" s="17"/>
    </row>
    <row r="751">
      <c r="A751" s="3">
        <v>7.0</v>
      </c>
      <c r="B751" s="3">
        <v>125.0</v>
      </c>
      <c r="C751" s="3">
        <v>999.0</v>
      </c>
      <c r="D751" s="3">
        <v>36.0</v>
      </c>
      <c r="E751" s="3">
        <v>26.0</v>
      </c>
      <c r="F751" s="11">
        <f t="shared" si="1"/>
        <v>0.1251251251</v>
      </c>
      <c r="G751" s="5">
        <f t="shared" si="2"/>
        <v>6.874874875</v>
      </c>
      <c r="H751" s="3">
        <v>751.0</v>
      </c>
      <c r="I751" s="17"/>
    </row>
    <row r="752">
      <c r="A752" s="3">
        <v>7.0</v>
      </c>
      <c r="B752" s="3">
        <v>104.0</v>
      </c>
      <c r="C752" s="3">
        <v>1036.0</v>
      </c>
      <c r="D752" s="3">
        <v>36.0</v>
      </c>
      <c r="E752" s="3">
        <v>27.0</v>
      </c>
      <c r="F752" s="11">
        <f t="shared" si="1"/>
        <v>0.1003861004</v>
      </c>
      <c r="G752" s="5">
        <f t="shared" si="2"/>
        <v>6.8996139</v>
      </c>
      <c r="H752" s="3">
        <v>752.0</v>
      </c>
      <c r="I752" s="17"/>
    </row>
    <row r="753">
      <c r="A753" s="3">
        <v>7.0</v>
      </c>
      <c r="B753" s="3">
        <v>75.0</v>
      </c>
      <c r="C753" s="3">
        <v>1073.0</v>
      </c>
      <c r="D753" s="3">
        <v>36.0</v>
      </c>
      <c r="E753" s="3">
        <v>28.0</v>
      </c>
      <c r="F753" s="11">
        <f t="shared" si="1"/>
        <v>0.06989748369</v>
      </c>
      <c r="G753" s="5">
        <f t="shared" si="2"/>
        <v>6.930102516</v>
      </c>
      <c r="H753" s="3">
        <v>753.0</v>
      </c>
      <c r="I753" s="17"/>
    </row>
    <row r="754">
      <c r="A754" s="3">
        <v>7.0</v>
      </c>
      <c r="B754" s="3">
        <v>18.0</v>
      </c>
      <c r="C754" s="3">
        <v>1110.0</v>
      </c>
      <c r="D754" s="3">
        <v>36.0</v>
      </c>
      <c r="E754" s="3">
        <v>29.0</v>
      </c>
      <c r="F754" s="11">
        <f t="shared" si="1"/>
        <v>0.01621621622</v>
      </c>
      <c r="G754" s="5">
        <f t="shared" si="2"/>
        <v>6.983783784</v>
      </c>
      <c r="H754" s="3">
        <v>754.0</v>
      </c>
      <c r="I754" s="17"/>
    </row>
    <row r="755">
      <c r="A755" s="3">
        <v>7.0</v>
      </c>
      <c r="B755" s="3">
        <v>376.0</v>
      </c>
      <c r="C755" s="3">
        <v>380.0</v>
      </c>
      <c r="D755" s="3">
        <v>37.0</v>
      </c>
      <c r="E755" s="3">
        <v>9.0</v>
      </c>
      <c r="F755" s="11">
        <f t="shared" si="1"/>
        <v>0.9894736842</v>
      </c>
      <c r="G755" s="5">
        <f t="shared" si="2"/>
        <v>6.010526316</v>
      </c>
      <c r="H755" s="3">
        <v>755.0</v>
      </c>
      <c r="I755" s="17"/>
    </row>
    <row r="756">
      <c r="A756" s="3">
        <v>7.0</v>
      </c>
      <c r="B756" s="3">
        <v>398.0</v>
      </c>
      <c r="C756" s="3">
        <v>418.0</v>
      </c>
      <c r="D756" s="3">
        <v>37.0</v>
      </c>
      <c r="E756" s="3">
        <v>10.0</v>
      </c>
      <c r="F756" s="11">
        <f t="shared" si="1"/>
        <v>0.95215311</v>
      </c>
      <c r="G756" s="5">
        <f t="shared" si="2"/>
        <v>6.04784689</v>
      </c>
      <c r="H756" s="3">
        <v>756.0</v>
      </c>
      <c r="I756" s="17"/>
    </row>
    <row r="757">
      <c r="A757" s="3">
        <v>7.0</v>
      </c>
      <c r="B757" s="3">
        <v>412.0</v>
      </c>
      <c r="C757" s="3">
        <v>456.0</v>
      </c>
      <c r="D757" s="3">
        <v>37.0</v>
      </c>
      <c r="E757" s="3">
        <v>11.0</v>
      </c>
      <c r="F757" s="11">
        <f t="shared" si="1"/>
        <v>0.9035087719</v>
      </c>
      <c r="G757" s="5">
        <f t="shared" si="2"/>
        <v>6.096491228</v>
      </c>
      <c r="H757" s="3">
        <v>757.0</v>
      </c>
      <c r="I757" s="17"/>
    </row>
    <row r="758">
      <c r="A758" s="3">
        <v>7.0</v>
      </c>
      <c r="B758" s="3">
        <v>418.0</v>
      </c>
      <c r="C758" s="3">
        <v>494.0</v>
      </c>
      <c r="D758" s="3">
        <v>37.0</v>
      </c>
      <c r="E758" s="3">
        <v>12.0</v>
      </c>
      <c r="F758" s="11">
        <f t="shared" si="1"/>
        <v>0.8461538462</v>
      </c>
      <c r="G758" s="5">
        <f t="shared" si="2"/>
        <v>6.153846154</v>
      </c>
      <c r="H758" s="3">
        <v>758.0</v>
      </c>
      <c r="I758" s="17"/>
    </row>
    <row r="759">
      <c r="A759" s="3">
        <v>7.0</v>
      </c>
      <c r="B759" s="3">
        <v>416.0</v>
      </c>
      <c r="C759" s="3">
        <v>532.0</v>
      </c>
      <c r="D759" s="3">
        <v>37.0</v>
      </c>
      <c r="E759" s="3">
        <v>13.0</v>
      </c>
      <c r="F759" s="11">
        <f t="shared" si="1"/>
        <v>0.7819548872</v>
      </c>
      <c r="G759" s="5">
        <f t="shared" si="2"/>
        <v>6.218045113</v>
      </c>
      <c r="H759" s="3">
        <v>759.0</v>
      </c>
      <c r="I759" s="17"/>
    </row>
    <row r="760">
      <c r="A760" s="3">
        <v>7.0</v>
      </c>
      <c r="B760" s="3">
        <v>406.0</v>
      </c>
      <c r="C760" s="3">
        <v>570.0</v>
      </c>
      <c r="D760" s="3">
        <v>37.0</v>
      </c>
      <c r="E760" s="3">
        <v>14.0</v>
      </c>
      <c r="F760" s="11">
        <f t="shared" si="1"/>
        <v>0.7122807018</v>
      </c>
      <c r="G760" s="5">
        <f t="shared" si="2"/>
        <v>6.287719298</v>
      </c>
      <c r="H760" s="3">
        <v>760.0</v>
      </c>
      <c r="I760" s="17"/>
    </row>
    <row r="761">
      <c r="A761" s="3">
        <v>7.0</v>
      </c>
      <c r="B761" s="3">
        <v>392.0</v>
      </c>
      <c r="C761" s="3">
        <v>608.0</v>
      </c>
      <c r="D761" s="3">
        <v>37.0</v>
      </c>
      <c r="E761" s="3">
        <v>15.0</v>
      </c>
      <c r="F761" s="11">
        <f t="shared" si="1"/>
        <v>0.6447368421</v>
      </c>
      <c r="G761" s="5">
        <f t="shared" si="2"/>
        <v>6.355263158</v>
      </c>
      <c r="H761" s="3">
        <v>761.0</v>
      </c>
      <c r="I761" s="17"/>
    </row>
    <row r="762">
      <c r="A762" s="3">
        <v>7.0</v>
      </c>
      <c r="B762" s="3">
        <v>370.0</v>
      </c>
      <c r="C762" s="3">
        <v>646.0</v>
      </c>
      <c r="D762" s="3">
        <v>37.0</v>
      </c>
      <c r="E762" s="3">
        <v>16.0</v>
      </c>
      <c r="F762" s="11">
        <f t="shared" si="1"/>
        <v>0.572755418</v>
      </c>
      <c r="G762" s="5">
        <f t="shared" si="2"/>
        <v>6.427244582</v>
      </c>
      <c r="H762" s="3">
        <v>762.0</v>
      </c>
      <c r="I762" s="17"/>
    </row>
    <row r="763">
      <c r="A763" s="3">
        <v>7.0</v>
      </c>
      <c r="B763" s="3">
        <v>344.0</v>
      </c>
      <c r="C763" s="3">
        <v>684.0</v>
      </c>
      <c r="D763" s="3">
        <v>37.0</v>
      </c>
      <c r="E763" s="3">
        <v>17.0</v>
      </c>
      <c r="F763" s="11">
        <f t="shared" si="1"/>
        <v>0.5029239766</v>
      </c>
      <c r="G763" s="5">
        <f t="shared" si="2"/>
        <v>6.497076023</v>
      </c>
      <c r="H763" s="3">
        <v>763.0</v>
      </c>
      <c r="I763" s="17"/>
    </row>
    <row r="764">
      <c r="A764" s="3">
        <v>7.0</v>
      </c>
      <c r="B764" s="3">
        <v>316.0</v>
      </c>
      <c r="C764" s="3">
        <v>722.0</v>
      </c>
      <c r="D764" s="3">
        <v>37.0</v>
      </c>
      <c r="E764" s="3">
        <v>18.0</v>
      </c>
      <c r="F764" s="11">
        <f t="shared" si="1"/>
        <v>0.4376731302</v>
      </c>
      <c r="G764" s="5">
        <f t="shared" si="2"/>
        <v>6.56232687</v>
      </c>
      <c r="H764" s="3">
        <v>764.0</v>
      </c>
      <c r="I764" s="17"/>
    </row>
    <row r="765">
      <c r="A765" s="3">
        <v>7.0</v>
      </c>
      <c r="B765" s="3">
        <v>284.0</v>
      </c>
      <c r="C765" s="3">
        <v>760.0</v>
      </c>
      <c r="D765" s="3">
        <v>37.0</v>
      </c>
      <c r="E765" s="3">
        <v>19.0</v>
      </c>
      <c r="F765" s="11">
        <f t="shared" si="1"/>
        <v>0.3736842105</v>
      </c>
      <c r="G765" s="5">
        <f t="shared" si="2"/>
        <v>6.626315789</v>
      </c>
      <c r="H765" s="3">
        <v>765.0</v>
      </c>
      <c r="I765" s="17"/>
    </row>
    <row r="766">
      <c r="A766" s="3">
        <v>7.0</v>
      </c>
      <c r="B766" s="3">
        <v>254.0</v>
      </c>
      <c r="C766" s="3">
        <v>798.0</v>
      </c>
      <c r="D766" s="3">
        <v>37.0</v>
      </c>
      <c r="E766" s="3">
        <v>20.0</v>
      </c>
      <c r="F766" s="11">
        <f t="shared" si="1"/>
        <v>0.3182957393</v>
      </c>
      <c r="G766" s="5">
        <f t="shared" si="2"/>
        <v>6.681704261</v>
      </c>
      <c r="H766" s="3">
        <v>766.0</v>
      </c>
      <c r="I766" s="17"/>
    </row>
    <row r="767">
      <c r="A767" s="3">
        <v>7.0</v>
      </c>
      <c r="B767" s="3">
        <v>224.0</v>
      </c>
      <c r="C767" s="3">
        <v>836.0</v>
      </c>
      <c r="D767" s="3">
        <v>37.0</v>
      </c>
      <c r="E767" s="3">
        <v>21.0</v>
      </c>
      <c r="F767" s="11">
        <f t="shared" si="1"/>
        <v>0.2679425837</v>
      </c>
      <c r="G767" s="5">
        <f t="shared" si="2"/>
        <v>6.732057416</v>
      </c>
      <c r="H767" s="3">
        <v>767.0</v>
      </c>
      <c r="I767" s="17"/>
    </row>
    <row r="768">
      <c r="A768" s="3">
        <v>7.0</v>
      </c>
      <c r="B768" s="3">
        <v>198.0</v>
      </c>
      <c r="C768" s="3">
        <v>874.0</v>
      </c>
      <c r="D768" s="3">
        <v>37.0</v>
      </c>
      <c r="E768" s="3">
        <v>22.0</v>
      </c>
      <c r="F768" s="11">
        <f t="shared" si="1"/>
        <v>0.2265446224</v>
      </c>
      <c r="G768" s="5">
        <f t="shared" si="2"/>
        <v>6.773455378</v>
      </c>
      <c r="H768" s="3">
        <v>768.0</v>
      </c>
      <c r="I768" s="17"/>
    </row>
    <row r="769">
      <c r="A769" s="3">
        <v>7.0</v>
      </c>
      <c r="B769" s="3">
        <v>172.0</v>
      </c>
      <c r="C769" s="3">
        <v>912.0</v>
      </c>
      <c r="D769" s="3">
        <v>37.0</v>
      </c>
      <c r="E769" s="3">
        <v>23.0</v>
      </c>
      <c r="F769" s="11">
        <f t="shared" si="1"/>
        <v>0.1885964912</v>
      </c>
      <c r="G769" s="5">
        <f t="shared" si="2"/>
        <v>6.811403509</v>
      </c>
      <c r="H769" s="3">
        <v>769.0</v>
      </c>
      <c r="I769" s="17"/>
    </row>
    <row r="770">
      <c r="A770" s="3">
        <v>7.0</v>
      </c>
      <c r="B770" s="3">
        <v>150.0</v>
      </c>
      <c r="C770" s="3">
        <v>950.0</v>
      </c>
      <c r="D770" s="3">
        <v>37.0</v>
      </c>
      <c r="E770" s="3">
        <v>24.0</v>
      </c>
      <c r="F770" s="11">
        <f t="shared" si="1"/>
        <v>0.1578947368</v>
      </c>
      <c r="G770" s="5">
        <f t="shared" si="2"/>
        <v>6.842105263</v>
      </c>
      <c r="H770" s="3">
        <v>770.0</v>
      </c>
      <c r="I770" s="17"/>
    </row>
    <row r="771">
      <c r="A771" s="3">
        <v>7.0</v>
      </c>
      <c r="B771" s="3">
        <v>128.0</v>
      </c>
      <c r="C771" s="3">
        <v>988.0</v>
      </c>
      <c r="D771" s="3">
        <v>37.0</v>
      </c>
      <c r="E771" s="3">
        <v>25.0</v>
      </c>
      <c r="F771" s="11">
        <f t="shared" si="1"/>
        <v>0.1295546559</v>
      </c>
      <c r="G771" s="5">
        <f t="shared" si="2"/>
        <v>6.870445344</v>
      </c>
      <c r="H771" s="3">
        <v>771.0</v>
      </c>
      <c r="I771" s="17"/>
    </row>
    <row r="772">
      <c r="A772" s="3">
        <v>7.0</v>
      </c>
      <c r="B772" s="3">
        <v>110.0</v>
      </c>
      <c r="C772" s="3">
        <v>1026.0</v>
      </c>
      <c r="D772" s="3">
        <v>37.0</v>
      </c>
      <c r="E772" s="3">
        <v>26.0</v>
      </c>
      <c r="F772" s="11">
        <f t="shared" si="1"/>
        <v>0.1072124756</v>
      </c>
      <c r="G772" s="5">
        <f t="shared" si="2"/>
        <v>6.892787524</v>
      </c>
      <c r="H772" s="3">
        <v>772.0</v>
      </c>
      <c r="I772" s="17"/>
    </row>
    <row r="773">
      <c r="A773" s="3">
        <v>7.0</v>
      </c>
      <c r="B773" s="3">
        <v>82.0</v>
      </c>
      <c r="C773" s="3">
        <v>1064.0</v>
      </c>
      <c r="D773" s="3">
        <v>37.0</v>
      </c>
      <c r="E773" s="3">
        <v>27.0</v>
      </c>
      <c r="F773" s="11">
        <f t="shared" si="1"/>
        <v>0.07706766917</v>
      </c>
      <c r="G773" s="5">
        <f t="shared" si="2"/>
        <v>6.922932331</v>
      </c>
      <c r="H773" s="3">
        <v>773.0</v>
      </c>
      <c r="I773" s="17"/>
    </row>
    <row r="774">
      <c r="A774" s="3">
        <v>7.0</v>
      </c>
      <c r="B774" s="3">
        <v>34.0</v>
      </c>
      <c r="C774" s="3">
        <v>1102.0</v>
      </c>
      <c r="D774" s="3">
        <v>37.0</v>
      </c>
      <c r="E774" s="3">
        <v>28.0</v>
      </c>
      <c r="F774" s="11">
        <f t="shared" si="1"/>
        <v>0.03085299456</v>
      </c>
      <c r="G774" s="5">
        <f t="shared" si="2"/>
        <v>6.969147005</v>
      </c>
      <c r="H774" s="3">
        <v>774.0</v>
      </c>
      <c r="I774" s="17"/>
    </row>
    <row r="775">
      <c r="A775" s="3">
        <v>7.0</v>
      </c>
      <c r="B775" s="3">
        <v>382.0</v>
      </c>
      <c r="C775" s="3">
        <v>390.0</v>
      </c>
      <c r="D775" s="3">
        <v>38.0</v>
      </c>
      <c r="E775" s="3">
        <v>9.0</v>
      </c>
      <c r="F775" s="11">
        <f t="shared" si="1"/>
        <v>0.9794871795</v>
      </c>
      <c r="G775" s="5">
        <f t="shared" si="2"/>
        <v>6.020512821</v>
      </c>
      <c r="H775" s="3">
        <v>775.0</v>
      </c>
      <c r="I775" s="17"/>
    </row>
    <row r="776">
      <c r="A776" s="3">
        <v>7.0</v>
      </c>
      <c r="B776" s="3">
        <v>401.0</v>
      </c>
      <c r="C776" s="3">
        <v>429.0</v>
      </c>
      <c r="D776" s="3">
        <v>38.0</v>
      </c>
      <c r="E776" s="3">
        <v>10.0</v>
      </c>
      <c r="F776" s="11">
        <f t="shared" si="1"/>
        <v>0.9347319347</v>
      </c>
      <c r="G776" s="5">
        <f t="shared" si="2"/>
        <v>6.065268065</v>
      </c>
      <c r="H776" s="3">
        <v>776.0</v>
      </c>
      <c r="I776" s="17"/>
    </row>
    <row r="777">
      <c r="A777" s="3">
        <v>7.0</v>
      </c>
      <c r="B777" s="3">
        <v>412.0</v>
      </c>
      <c r="C777" s="3">
        <v>468.0</v>
      </c>
      <c r="D777" s="3">
        <v>38.0</v>
      </c>
      <c r="E777" s="3">
        <v>11.0</v>
      </c>
      <c r="F777" s="11">
        <f t="shared" si="1"/>
        <v>0.8803418803</v>
      </c>
      <c r="G777" s="5">
        <f t="shared" si="2"/>
        <v>6.11965812</v>
      </c>
      <c r="H777" s="3">
        <v>777.0</v>
      </c>
      <c r="I777" s="17"/>
    </row>
    <row r="778">
      <c r="A778" s="3">
        <v>7.0</v>
      </c>
      <c r="B778" s="3">
        <v>415.0</v>
      </c>
      <c r="C778" s="3">
        <v>507.0</v>
      </c>
      <c r="D778" s="3">
        <v>38.0</v>
      </c>
      <c r="E778" s="3">
        <v>12.0</v>
      </c>
      <c r="F778" s="11">
        <f t="shared" si="1"/>
        <v>0.8185404339</v>
      </c>
      <c r="G778" s="5">
        <f t="shared" si="2"/>
        <v>6.181459566</v>
      </c>
      <c r="H778" s="3">
        <v>778.0</v>
      </c>
      <c r="I778" s="17"/>
    </row>
    <row r="779">
      <c r="A779" s="3">
        <v>7.0</v>
      </c>
      <c r="B779" s="3">
        <v>410.0</v>
      </c>
      <c r="C779" s="3">
        <v>546.0</v>
      </c>
      <c r="D779" s="3">
        <v>38.0</v>
      </c>
      <c r="E779" s="3">
        <v>13.0</v>
      </c>
      <c r="F779" s="11">
        <f t="shared" si="1"/>
        <v>0.7509157509</v>
      </c>
      <c r="G779" s="5">
        <f t="shared" si="2"/>
        <v>6.249084249</v>
      </c>
      <c r="H779" s="3">
        <v>779.0</v>
      </c>
      <c r="I779" s="17"/>
    </row>
    <row r="780">
      <c r="A780" s="3">
        <v>7.0</v>
      </c>
      <c r="B780" s="3">
        <v>397.0</v>
      </c>
      <c r="C780" s="3">
        <v>585.0</v>
      </c>
      <c r="D780" s="3">
        <v>38.0</v>
      </c>
      <c r="E780" s="3">
        <v>14.0</v>
      </c>
      <c r="F780" s="11">
        <f t="shared" si="1"/>
        <v>0.6786324786</v>
      </c>
      <c r="G780" s="5">
        <f t="shared" si="2"/>
        <v>6.321367521</v>
      </c>
      <c r="H780" s="3">
        <v>780.0</v>
      </c>
      <c r="I780" s="17"/>
    </row>
    <row r="781">
      <c r="A781" s="3">
        <v>7.0</v>
      </c>
      <c r="B781" s="3">
        <v>380.0</v>
      </c>
      <c r="C781" s="3">
        <v>624.0</v>
      </c>
      <c r="D781" s="3">
        <v>38.0</v>
      </c>
      <c r="E781" s="3">
        <v>15.0</v>
      </c>
      <c r="F781" s="11">
        <f t="shared" si="1"/>
        <v>0.608974359</v>
      </c>
      <c r="G781" s="5">
        <f t="shared" si="2"/>
        <v>6.391025641</v>
      </c>
      <c r="H781" s="3">
        <v>781.0</v>
      </c>
      <c r="I781" s="17"/>
    </row>
    <row r="782">
      <c r="A782" s="3">
        <v>7.0</v>
      </c>
      <c r="B782" s="3">
        <v>355.0</v>
      </c>
      <c r="C782" s="3">
        <v>663.0</v>
      </c>
      <c r="D782" s="3">
        <v>38.0</v>
      </c>
      <c r="E782" s="3">
        <v>16.0</v>
      </c>
      <c r="F782" s="11">
        <f t="shared" si="1"/>
        <v>0.5354449472</v>
      </c>
      <c r="G782" s="5">
        <f t="shared" si="2"/>
        <v>6.464555053</v>
      </c>
      <c r="H782" s="3">
        <v>782.0</v>
      </c>
      <c r="I782" s="17"/>
    </row>
    <row r="783">
      <c r="A783" s="3">
        <v>7.0</v>
      </c>
      <c r="B783" s="3">
        <v>326.0</v>
      </c>
      <c r="C783" s="3">
        <v>702.0</v>
      </c>
      <c r="D783" s="3">
        <v>38.0</v>
      </c>
      <c r="E783" s="3">
        <v>17.0</v>
      </c>
      <c r="F783" s="11">
        <f t="shared" si="1"/>
        <v>0.4643874644</v>
      </c>
      <c r="G783" s="5">
        <f t="shared" si="2"/>
        <v>6.535612536</v>
      </c>
      <c r="H783" s="3">
        <v>783.0</v>
      </c>
      <c r="I783" s="17"/>
    </row>
    <row r="784">
      <c r="A784" s="3">
        <v>7.0</v>
      </c>
      <c r="B784" s="3">
        <v>297.0</v>
      </c>
      <c r="C784" s="3">
        <v>741.0</v>
      </c>
      <c r="D784" s="3">
        <v>38.0</v>
      </c>
      <c r="E784" s="3">
        <v>18.0</v>
      </c>
      <c r="F784" s="11">
        <f t="shared" si="1"/>
        <v>0.4008097166</v>
      </c>
      <c r="G784" s="5">
        <f t="shared" si="2"/>
        <v>6.599190283</v>
      </c>
      <c r="H784" s="3">
        <v>784.0</v>
      </c>
      <c r="I784" s="17"/>
    </row>
    <row r="785">
      <c r="A785" s="3">
        <v>7.0</v>
      </c>
      <c r="B785" s="3">
        <v>264.0</v>
      </c>
      <c r="C785" s="3">
        <v>780.0</v>
      </c>
      <c r="D785" s="3">
        <v>38.0</v>
      </c>
      <c r="E785" s="3">
        <v>19.0</v>
      </c>
      <c r="F785" s="11">
        <f t="shared" si="1"/>
        <v>0.3384615385</v>
      </c>
      <c r="G785" s="5">
        <f t="shared" si="2"/>
        <v>6.661538462</v>
      </c>
      <c r="H785" s="3">
        <v>785.0</v>
      </c>
      <c r="I785" s="17"/>
    </row>
    <row r="786">
      <c r="A786" s="3">
        <v>7.0</v>
      </c>
      <c r="B786" s="3">
        <v>235.0</v>
      </c>
      <c r="C786" s="3">
        <v>819.0</v>
      </c>
      <c r="D786" s="3">
        <v>38.0</v>
      </c>
      <c r="E786" s="3">
        <v>20.0</v>
      </c>
      <c r="F786" s="11">
        <f t="shared" si="1"/>
        <v>0.2869352869</v>
      </c>
      <c r="G786" s="5">
        <f t="shared" si="2"/>
        <v>6.713064713</v>
      </c>
      <c r="H786" s="3">
        <v>786.0</v>
      </c>
      <c r="I786" s="17"/>
    </row>
    <row r="787">
      <c r="A787" s="3">
        <v>7.0</v>
      </c>
      <c r="B787" s="3">
        <v>206.0</v>
      </c>
      <c r="C787" s="3">
        <v>858.0</v>
      </c>
      <c r="D787" s="3">
        <v>38.0</v>
      </c>
      <c r="E787" s="3">
        <v>21.0</v>
      </c>
      <c r="F787" s="11">
        <f t="shared" si="1"/>
        <v>0.2400932401</v>
      </c>
      <c r="G787" s="5">
        <f t="shared" si="2"/>
        <v>6.75990676</v>
      </c>
      <c r="H787" s="3">
        <v>787.0</v>
      </c>
      <c r="I787" s="17"/>
    </row>
    <row r="788">
      <c r="A788" s="3">
        <v>7.0</v>
      </c>
      <c r="B788" s="3">
        <v>181.0</v>
      </c>
      <c r="C788" s="3">
        <v>897.0</v>
      </c>
      <c r="D788" s="3">
        <v>38.0</v>
      </c>
      <c r="E788" s="3">
        <v>22.0</v>
      </c>
      <c r="F788" s="11">
        <f t="shared" si="1"/>
        <v>0.2017837235</v>
      </c>
      <c r="G788" s="5">
        <f t="shared" si="2"/>
        <v>6.798216276</v>
      </c>
      <c r="H788" s="3">
        <v>788.0</v>
      </c>
      <c r="I788" s="17"/>
    </row>
    <row r="789">
      <c r="A789" s="3">
        <v>7.0</v>
      </c>
      <c r="B789" s="3">
        <v>156.0</v>
      </c>
      <c r="C789" s="3">
        <v>936.0</v>
      </c>
      <c r="D789" s="3">
        <v>38.0</v>
      </c>
      <c r="E789" s="3">
        <v>23.0</v>
      </c>
      <c r="F789" s="11">
        <f t="shared" si="1"/>
        <v>0.1666666667</v>
      </c>
      <c r="G789" s="5">
        <f t="shared" si="2"/>
        <v>6.833333333</v>
      </c>
      <c r="H789" s="3">
        <v>789.0</v>
      </c>
      <c r="I789" s="17"/>
    </row>
    <row r="790">
      <c r="A790" s="3">
        <v>7.0</v>
      </c>
      <c r="B790" s="3">
        <v>135.0</v>
      </c>
      <c r="C790" s="3">
        <v>975.0</v>
      </c>
      <c r="D790" s="3">
        <v>38.0</v>
      </c>
      <c r="E790" s="3">
        <v>24.0</v>
      </c>
      <c r="F790" s="11">
        <f t="shared" si="1"/>
        <v>0.1384615385</v>
      </c>
      <c r="G790" s="5">
        <f t="shared" si="2"/>
        <v>6.861538462</v>
      </c>
      <c r="H790" s="3">
        <v>790.0</v>
      </c>
      <c r="I790" s="17"/>
    </row>
    <row r="791">
      <c r="A791" s="3">
        <v>7.0</v>
      </c>
      <c r="B791" s="3">
        <v>114.0</v>
      </c>
      <c r="C791" s="3">
        <v>1014.0</v>
      </c>
      <c r="D791" s="3">
        <v>38.0</v>
      </c>
      <c r="E791" s="3">
        <v>25.0</v>
      </c>
      <c r="F791" s="11">
        <f t="shared" si="1"/>
        <v>0.1124260355</v>
      </c>
      <c r="G791" s="5">
        <f t="shared" si="2"/>
        <v>6.887573964</v>
      </c>
      <c r="H791" s="3">
        <v>791.0</v>
      </c>
      <c r="I791" s="17"/>
    </row>
    <row r="792">
      <c r="A792" s="3">
        <v>7.0</v>
      </c>
      <c r="B792" s="3">
        <v>91.0</v>
      </c>
      <c r="C792" s="3">
        <v>1053.0</v>
      </c>
      <c r="D792" s="3">
        <v>38.0</v>
      </c>
      <c r="E792" s="3">
        <v>26.0</v>
      </c>
      <c r="F792" s="11">
        <f t="shared" si="1"/>
        <v>0.08641975309</v>
      </c>
      <c r="G792" s="5">
        <f t="shared" si="2"/>
        <v>6.913580247</v>
      </c>
      <c r="H792" s="3">
        <v>792.0</v>
      </c>
      <c r="I792" s="17"/>
    </row>
    <row r="793">
      <c r="A793" s="3">
        <v>7.0</v>
      </c>
      <c r="B793" s="3">
        <v>54.0</v>
      </c>
      <c r="C793" s="3">
        <v>1092.0</v>
      </c>
      <c r="D793" s="3">
        <v>38.0</v>
      </c>
      <c r="E793" s="3">
        <v>27.0</v>
      </c>
      <c r="F793" s="11">
        <f t="shared" si="1"/>
        <v>0.04945054945</v>
      </c>
      <c r="G793" s="5">
        <f t="shared" si="2"/>
        <v>6.950549451</v>
      </c>
      <c r="H793" s="3">
        <v>793.0</v>
      </c>
      <c r="I793" s="17"/>
    </row>
    <row r="794">
      <c r="A794" s="3">
        <v>7.0</v>
      </c>
      <c r="B794" s="3">
        <v>356.0</v>
      </c>
      <c r="C794" s="3">
        <v>360.0</v>
      </c>
      <c r="D794" s="3">
        <v>39.0</v>
      </c>
      <c r="E794" s="3">
        <v>8.0</v>
      </c>
      <c r="F794" s="11">
        <f t="shared" si="1"/>
        <v>0.9888888889</v>
      </c>
      <c r="G794" s="5">
        <f t="shared" si="2"/>
        <v>6.011111111</v>
      </c>
      <c r="H794" s="3">
        <v>794.0</v>
      </c>
      <c r="I794" s="17"/>
    </row>
    <row r="795">
      <c r="A795" s="3">
        <v>7.0</v>
      </c>
      <c r="B795" s="3">
        <v>384.0</v>
      </c>
      <c r="C795" s="3">
        <v>400.0</v>
      </c>
      <c r="D795" s="3">
        <v>39.0</v>
      </c>
      <c r="E795" s="3">
        <v>9.0</v>
      </c>
      <c r="F795" s="11">
        <f t="shared" si="1"/>
        <v>0.96</v>
      </c>
      <c r="G795" s="5">
        <f t="shared" si="2"/>
        <v>6.04</v>
      </c>
      <c r="H795" s="3">
        <v>795.0</v>
      </c>
      <c r="I795" s="17"/>
    </row>
    <row r="796">
      <c r="A796" s="3">
        <v>7.0</v>
      </c>
      <c r="B796" s="3">
        <v>400.0</v>
      </c>
      <c r="C796" s="3">
        <v>440.0</v>
      </c>
      <c r="D796" s="3">
        <v>39.0</v>
      </c>
      <c r="E796" s="3">
        <v>10.0</v>
      </c>
      <c r="F796" s="11">
        <f t="shared" si="1"/>
        <v>0.9090909091</v>
      </c>
      <c r="G796" s="5">
        <f t="shared" si="2"/>
        <v>6.090909091</v>
      </c>
      <c r="H796" s="3">
        <v>796.0</v>
      </c>
      <c r="I796" s="17"/>
    </row>
    <row r="797">
      <c r="A797" s="3">
        <v>7.0</v>
      </c>
      <c r="B797" s="3">
        <v>408.0</v>
      </c>
      <c r="C797" s="3">
        <v>480.0</v>
      </c>
      <c r="D797" s="3">
        <v>39.0</v>
      </c>
      <c r="E797" s="3">
        <v>11.0</v>
      </c>
      <c r="F797" s="11">
        <f t="shared" si="1"/>
        <v>0.85</v>
      </c>
      <c r="G797" s="5">
        <f t="shared" si="2"/>
        <v>6.15</v>
      </c>
      <c r="H797" s="3">
        <v>797.0</v>
      </c>
      <c r="I797" s="17"/>
    </row>
    <row r="798">
      <c r="A798" s="3">
        <v>7.0</v>
      </c>
      <c r="B798" s="3">
        <v>408.0</v>
      </c>
      <c r="C798" s="3">
        <v>520.0</v>
      </c>
      <c r="D798" s="3">
        <v>39.0</v>
      </c>
      <c r="E798" s="3">
        <v>12.0</v>
      </c>
      <c r="F798" s="11">
        <f t="shared" si="1"/>
        <v>0.7846153846</v>
      </c>
      <c r="G798" s="5">
        <f t="shared" si="2"/>
        <v>6.215384615</v>
      </c>
      <c r="H798" s="3">
        <v>798.0</v>
      </c>
      <c r="I798" s="17"/>
    </row>
    <row r="799">
      <c r="A799" s="3">
        <v>7.0</v>
      </c>
      <c r="B799" s="3">
        <v>400.0</v>
      </c>
      <c r="C799" s="3">
        <v>560.0</v>
      </c>
      <c r="D799" s="3">
        <v>39.0</v>
      </c>
      <c r="E799" s="3">
        <v>13.0</v>
      </c>
      <c r="F799" s="11">
        <f t="shared" si="1"/>
        <v>0.7142857143</v>
      </c>
      <c r="G799" s="5">
        <f t="shared" si="2"/>
        <v>6.285714286</v>
      </c>
      <c r="H799" s="3">
        <v>799.0</v>
      </c>
      <c r="I799" s="17"/>
    </row>
    <row r="800">
      <c r="A800" s="3">
        <v>7.0</v>
      </c>
      <c r="B800" s="3">
        <v>384.0</v>
      </c>
      <c r="C800" s="3">
        <v>600.0</v>
      </c>
      <c r="D800" s="3">
        <v>39.0</v>
      </c>
      <c r="E800" s="3">
        <v>14.0</v>
      </c>
      <c r="F800" s="11">
        <f t="shared" si="1"/>
        <v>0.64</v>
      </c>
      <c r="G800" s="5">
        <f t="shared" si="2"/>
        <v>6.36</v>
      </c>
      <c r="H800" s="3">
        <v>800.0</v>
      </c>
      <c r="I800" s="17"/>
    </row>
    <row r="801">
      <c r="A801" s="3">
        <v>7.0</v>
      </c>
      <c r="B801" s="3">
        <v>364.0</v>
      </c>
      <c r="C801" s="3">
        <v>640.0</v>
      </c>
      <c r="D801" s="3">
        <v>39.0</v>
      </c>
      <c r="E801" s="3">
        <v>15.0</v>
      </c>
      <c r="F801" s="11">
        <f t="shared" si="1"/>
        <v>0.56875</v>
      </c>
      <c r="G801" s="5">
        <f t="shared" si="2"/>
        <v>6.43125</v>
      </c>
      <c r="H801" s="3">
        <v>801.0</v>
      </c>
      <c r="I801" s="17"/>
    </row>
    <row r="802">
      <c r="A802" s="3">
        <v>7.0</v>
      </c>
      <c r="B802" s="3">
        <v>338.0</v>
      </c>
      <c r="C802" s="3">
        <v>680.0</v>
      </c>
      <c r="D802" s="3">
        <v>39.0</v>
      </c>
      <c r="E802" s="3">
        <v>16.0</v>
      </c>
      <c r="F802" s="11">
        <f t="shared" si="1"/>
        <v>0.4970588235</v>
      </c>
      <c r="G802" s="5">
        <f t="shared" si="2"/>
        <v>6.502941176</v>
      </c>
      <c r="H802" s="3">
        <v>802.0</v>
      </c>
      <c r="I802" s="17"/>
    </row>
    <row r="803">
      <c r="A803" s="3">
        <v>7.0</v>
      </c>
      <c r="B803" s="3">
        <v>308.0</v>
      </c>
      <c r="C803" s="3">
        <v>720.0</v>
      </c>
      <c r="D803" s="3">
        <v>39.0</v>
      </c>
      <c r="E803" s="3">
        <v>17.0</v>
      </c>
      <c r="F803" s="11">
        <f t="shared" si="1"/>
        <v>0.4277777778</v>
      </c>
      <c r="G803" s="5">
        <f t="shared" si="2"/>
        <v>6.572222222</v>
      </c>
      <c r="H803" s="3">
        <v>803.0</v>
      </c>
      <c r="I803" s="17"/>
    </row>
    <row r="804">
      <c r="A804" s="3">
        <v>7.0</v>
      </c>
      <c r="B804" s="3">
        <v>278.0</v>
      </c>
      <c r="C804" s="3">
        <v>760.0</v>
      </c>
      <c r="D804" s="3">
        <v>39.0</v>
      </c>
      <c r="E804" s="3">
        <v>18.0</v>
      </c>
      <c r="F804" s="11">
        <f t="shared" si="1"/>
        <v>0.3657894737</v>
      </c>
      <c r="G804" s="5">
        <f t="shared" si="2"/>
        <v>6.634210526</v>
      </c>
      <c r="H804" s="3">
        <v>804.0</v>
      </c>
      <c r="I804" s="17"/>
    </row>
    <row r="805">
      <c r="A805" s="3">
        <v>7.0</v>
      </c>
      <c r="B805" s="3">
        <v>244.0</v>
      </c>
      <c r="C805" s="3">
        <v>800.0</v>
      </c>
      <c r="D805" s="3">
        <v>39.0</v>
      </c>
      <c r="E805" s="3">
        <v>19.0</v>
      </c>
      <c r="F805" s="11">
        <f t="shared" si="1"/>
        <v>0.305</v>
      </c>
      <c r="G805" s="5">
        <f t="shared" si="2"/>
        <v>6.695</v>
      </c>
      <c r="H805" s="3">
        <v>805.0</v>
      </c>
      <c r="I805" s="17"/>
    </row>
    <row r="806">
      <c r="A806" s="3">
        <v>7.0</v>
      </c>
      <c r="B806" s="3">
        <v>216.0</v>
      </c>
      <c r="C806" s="3">
        <v>840.0</v>
      </c>
      <c r="D806" s="3">
        <v>39.0</v>
      </c>
      <c r="E806" s="3">
        <v>20.0</v>
      </c>
      <c r="F806" s="11">
        <f t="shared" si="1"/>
        <v>0.2571428571</v>
      </c>
      <c r="G806" s="5">
        <f t="shared" si="2"/>
        <v>6.742857143</v>
      </c>
      <c r="H806" s="3">
        <v>806.0</v>
      </c>
      <c r="I806" s="17"/>
    </row>
    <row r="807">
      <c r="A807" s="3">
        <v>7.0</v>
      </c>
      <c r="B807" s="3">
        <v>188.0</v>
      </c>
      <c r="C807" s="3">
        <v>880.0</v>
      </c>
      <c r="D807" s="3">
        <v>39.0</v>
      </c>
      <c r="E807" s="3">
        <v>21.0</v>
      </c>
      <c r="F807" s="11">
        <f t="shared" si="1"/>
        <v>0.2136363636</v>
      </c>
      <c r="G807" s="5">
        <f t="shared" si="2"/>
        <v>6.786363636</v>
      </c>
      <c r="H807" s="3">
        <v>807.0</v>
      </c>
      <c r="I807" s="17"/>
    </row>
    <row r="808">
      <c r="A808" s="3">
        <v>7.0</v>
      </c>
      <c r="B808" s="3">
        <v>164.0</v>
      </c>
      <c r="C808" s="3">
        <v>920.0</v>
      </c>
      <c r="D808" s="3">
        <v>39.0</v>
      </c>
      <c r="E808" s="3">
        <v>22.0</v>
      </c>
      <c r="F808" s="11">
        <f t="shared" si="1"/>
        <v>0.1782608696</v>
      </c>
      <c r="G808" s="5">
        <f t="shared" si="2"/>
        <v>6.82173913</v>
      </c>
      <c r="H808" s="3">
        <v>808.0</v>
      </c>
      <c r="I808" s="17"/>
    </row>
    <row r="809">
      <c r="A809" s="3">
        <v>7.0</v>
      </c>
      <c r="B809" s="3">
        <v>140.0</v>
      </c>
      <c r="C809" s="3">
        <v>960.0</v>
      </c>
      <c r="D809" s="3">
        <v>39.0</v>
      </c>
      <c r="E809" s="3">
        <v>23.0</v>
      </c>
      <c r="F809" s="11">
        <f t="shared" si="1"/>
        <v>0.1458333333</v>
      </c>
      <c r="G809" s="5">
        <f t="shared" si="2"/>
        <v>6.854166667</v>
      </c>
      <c r="H809" s="3">
        <v>809.0</v>
      </c>
      <c r="I809" s="17"/>
    </row>
    <row r="810">
      <c r="A810" s="3">
        <v>7.0</v>
      </c>
      <c r="B810" s="3">
        <v>120.0</v>
      </c>
      <c r="C810" s="3">
        <v>1000.0</v>
      </c>
      <c r="D810" s="3">
        <v>39.0</v>
      </c>
      <c r="E810" s="3">
        <v>24.0</v>
      </c>
      <c r="F810" s="11">
        <f t="shared" si="1"/>
        <v>0.12</v>
      </c>
      <c r="G810" s="5">
        <f t="shared" si="2"/>
        <v>6.88</v>
      </c>
      <c r="H810" s="3">
        <v>810.0</v>
      </c>
      <c r="I810" s="17"/>
    </row>
    <row r="811">
      <c r="A811" s="3">
        <v>7.0</v>
      </c>
      <c r="B811" s="3">
        <v>100.0</v>
      </c>
      <c r="C811" s="3">
        <v>1040.0</v>
      </c>
      <c r="D811" s="3">
        <v>39.0</v>
      </c>
      <c r="E811" s="3">
        <v>25.0</v>
      </c>
      <c r="F811" s="11">
        <f t="shared" si="1"/>
        <v>0.09615384615</v>
      </c>
      <c r="G811" s="5">
        <f t="shared" si="2"/>
        <v>6.903846154</v>
      </c>
      <c r="H811" s="3">
        <v>811.0</v>
      </c>
      <c r="I811" s="17"/>
    </row>
    <row r="812">
      <c r="A812" s="3">
        <v>7.0</v>
      </c>
      <c r="B812" s="3">
        <v>66.0</v>
      </c>
      <c r="C812" s="3">
        <v>1080.0</v>
      </c>
      <c r="D812" s="3">
        <v>39.0</v>
      </c>
      <c r="E812" s="3">
        <v>26.0</v>
      </c>
      <c r="F812" s="11">
        <f t="shared" si="1"/>
        <v>0.06111111111</v>
      </c>
      <c r="G812" s="5">
        <f t="shared" si="2"/>
        <v>6.938888889</v>
      </c>
      <c r="H812" s="3">
        <v>812.0</v>
      </c>
      <c r="I812" s="17"/>
    </row>
    <row r="813">
      <c r="A813" s="3">
        <v>7.0</v>
      </c>
      <c r="B813" s="3">
        <v>361.0</v>
      </c>
      <c r="C813" s="3">
        <v>369.0</v>
      </c>
      <c r="D813" s="3">
        <v>40.0</v>
      </c>
      <c r="E813" s="3">
        <v>8.0</v>
      </c>
      <c r="F813" s="11">
        <f t="shared" si="1"/>
        <v>0.9783197832</v>
      </c>
      <c r="G813" s="5">
        <f t="shared" si="2"/>
        <v>6.021680217</v>
      </c>
      <c r="H813" s="3">
        <v>813.0</v>
      </c>
      <c r="I813" s="17"/>
    </row>
    <row r="814">
      <c r="A814" s="3">
        <v>7.0</v>
      </c>
      <c r="B814" s="3">
        <v>386.0</v>
      </c>
      <c r="C814" s="3">
        <v>410.0</v>
      </c>
      <c r="D814" s="3">
        <v>40.0</v>
      </c>
      <c r="E814" s="3">
        <v>9.0</v>
      </c>
      <c r="F814" s="11">
        <f t="shared" si="1"/>
        <v>0.9414634146</v>
      </c>
      <c r="G814" s="5">
        <f t="shared" si="2"/>
        <v>6.058536585</v>
      </c>
      <c r="H814" s="3">
        <v>814.0</v>
      </c>
      <c r="I814" s="17"/>
    </row>
    <row r="815">
      <c r="A815" s="3">
        <v>7.0</v>
      </c>
      <c r="B815" s="3">
        <v>399.0</v>
      </c>
      <c r="C815" s="3">
        <v>451.0</v>
      </c>
      <c r="D815" s="3">
        <v>40.0</v>
      </c>
      <c r="E815" s="3">
        <v>10.0</v>
      </c>
      <c r="F815" s="11">
        <f t="shared" si="1"/>
        <v>0.8847006652</v>
      </c>
      <c r="G815" s="5">
        <f t="shared" si="2"/>
        <v>6.115299335</v>
      </c>
      <c r="H815" s="3">
        <v>815.0</v>
      </c>
      <c r="I815" s="17"/>
    </row>
    <row r="816">
      <c r="A816" s="3">
        <v>7.0</v>
      </c>
      <c r="B816" s="3">
        <v>404.0</v>
      </c>
      <c r="C816" s="3">
        <v>492.0</v>
      </c>
      <c r="D816" s="3">
        <v>40.0</v>
      </c>
      <c r="E816" s="3">
        <v>11.0</v>
      </c>
      <c r="F816" s="11">
        <f t="shared" si="1"/>
        <v>0.8211382114</v>
      </c>
      <c r="G816" s="5">
        <f t="shared" si="2"/>
        <v>6.178861789</v>
      </c>
      <c r="H816" s="3">
        <v>816.0</v>
      </c>
      <c r="I816" s="17"/>
    </row>
    <row r="817">
      <c r="A817" s="3">
        <v>7.0</v>
      </c>
      <c r="B817" s="3">
        <v>401.0</v>
      </c>
      <c r="C817" s="3">
        <v>533.0</v>
      </c>
      <c r="D817" s="3">
        <v>40.0</v>
      </c>
      <c r="E817" s="3">
        <v>12.0</v>
      </c>
      <c r="F817" s="11">
        <f t="shared" si="1"/>
        <v>0.7523452158</v>
      </c>
      <c r="G817" s="5">
        <f t="shared" si="2"/>
        <v>6.247654784</v>
      </c>
      <c r="H817" s="3">
        <v>817.0</v>
      </c>
      <c r="I817" s="17"/>
    </row>
    <row r="818">
      <c r="A818" s="3">
        <v>7.0</v>
      </c>
      <c r="B818" s="3">
        <v>390.0</v>
      </c>
      <c r="C818" s="3">
        <v>574.0</v>
      </c>
      <c r="D818" s="3">
        <v>40.0</v>
      </c>
      <c r="E818" s="3">
        <v>13.0</v>
      </c>
      <c r="F818" s="11">
        <f t="shared" si="1"/>
        <v>0.6794425087</v>
      </c>
      <c r="G818" s="5">
        <f t="shared" si="2"/>
        <v>6.320557491</v>
      </c>
      <c r="H818" s="3">
        <v>818.0</v>
      </c>
      <c r="I818" s="17"/>
    </row>
    <row r="819">
      <c r="A819" s="3">
        <v>7.0</v>
      </c>
      <c r="B819" s="3">
        <v>371.0</v>
      </c>
      <c r="C819" s="3">
        <v>615.0</v>
      </c>
      <c r="D819" s="3">
        <v>40.0</v>
      </c>
      <c r="E819" s="3">
        <v>14.0</v>
      </c>
      <c r="F819" s="11">
        <f t="shared" si="1"/>
        <v>0.6032520325</v>
      </c>
      <c r="G819" s="5">
        <f t="shared" si="2"/>
        <v>6.396747967</v>
      </c>
      <c r="H819" s="3">
        <v>819.0</v>
      </c>
      <c r="I819" s="17"/>
    </row>
    <row r="820">
      <c r="A820" s="3">
        <v>7.0</v>
      </c>
      <c r="B820" s="3">
        <v>348.0</v>
      </c>
      <c r="C820" s="3">
        <v>656.0</v>
      </c>
      <c r="D820" s="3">
        <v>40.0</v>
      </c>
      <c r="E820" s="3">
        <v>15.0</v>
      </c>
      <c r="F820" s="11">
        <f t="shared" si="1"/>
        <v>0.5304878049</v>
      </c>
      <c r="G820" s="5">
        <f t="shared" si="2"/>
        <v>6.469512195</v>
      </c>
      <c r="H820" s="3">
        <v>820.0</v>
      </c>
      <c r="I820" s="17"/>
    </row>
    <row r="821">
      <c r="A821" s="3">
        <v>7.0</v>
      </c>
      <c r="B821" s="3">
        <v>321.0</v>
      </c>
      <c r="C821" s="3">
        <v>697.0</v>
      </c>
      <c r="D821" s="3">
        <v>40.0</v>
      </c>
      <c r="E821" s="3">
        <v>16.0</v>
      </c>
      <c r="F821" s="11">
        <f t="shared" si="1"/>
        <v>0.4605451937</v>
      </c>
      <c r="G821" s="5">
        <f t="shared" si="2"/>
        <v>6.539454806</v>
      </c>
      <c r="H821" s="3">
        <v>821.0</v>
      </c>
      <c r="I821" s="17"/>
    </row>
    <row r="822">
      <c r="A822" s="3">
        <v>7.0</v>
      </c>
      <c r="B822" s="3">
        <v>290.0</v>
      </c>
      <c r="C822" s="3">
        <v>738.0</v>
      </c>
      <c r="D822" s="3">
        <v>40.0</v>
      </c>
      <c r="E822" s="3">
        <v>17.0</v>
      </c>
      <c r="F822" s="11">
        <f t="shared" si="1"/>
        <v>0.3929539295</v>
      </c>
      <c r="G822" s="5">
        <f t="shared" si="2"/>
        <v>6.60704607</v>
      </c>
      <c r="H822" s="3">
        <v>822.0</v>
      </c>
      <c r="I822" s="17"/>
    </row>
    <row r="823">
      <c r="A823" s="3">
        <v>7.0</v>
      </c>
      <c r="B823" s="3">
        <v>259.0</v>
      </c>
      <c r="C823" s="3">
        <v>779.0</v>
      </c>
      <c r="D823" s="3">
        <v>40.0</v>
      </c>
      <c r="E823" s="3">
        <v>18.0</v>
      </c>
      <c r="F823" s="11">
        <f t="shared" si="1"/>
        <v>0.3324775353</v>
      </c>
      <c r="G823" s="5">
        <f t="shared" si="2"/>
        <v>6.667522465</v>
      </c>
      <c r="H823" s="3">
        <v>823.0</v>
      </c>
      <c r="I823" s="17"/>
    </row>
    <row r="824">
      <c r="A824" s="3">
        <v>7.0</v>
      </c>
      <c r="B824" s="3">
        <v>226.0</v>
      </c>
      <c r="C824" s="3">
        <v>820.0</v>
      </c>
      <c r="D824" s="3">
        <v>40.0</v>
      </c>
      <c r="E824" s="3">
        <v>19.0</v>
      </c>
      <c r="F824" s="11">
        <f t="shared" si="1"/>
        <v>0.2756097561</v>
      </c>
      <c r="G824" s="5">
        <f t="shared" si="2"/>
        <v>6.724390244</v>
      </c>
      <c r="H824" s="3">
        <v>824.0</v>
      </c>
      <c r="I824" s="17"/>
    </row>
    <row r="825">
      <c r="A825" s="3">
        <v>7.0</v>
      </c>
      <c r="B825" s="3">
        <v>199.0</v>
      </c>
      <c r="C825" s="3">
        <v>861.0</v>
      </c>
      <c r="D825" s="3">
        <v>40.0</v>
      </c>
      <c r="E825" s="3">
        <v>20.0</v>
      </c>
      <c r="F825" s="11">
        <f t="shared" si="1"/>
        <v>0.231126597</v>
      </c>
      <c r="G825" s="5">
        <f t="shared" si="2"/>
        <v>6.768873403</v>
      </c>
      <c r="H825" s="3">
        <v>825.0</v>
      </c>
      <c r="I825" s="17"/>
    </row>
    <row r="826">
      <c r="A826" s="3">
        <v>7.0</v>
      </c>
      <c r="B826" s="3">
        <v>172.0</v>
      </c>
      <c r="C826" s="3">
        <v>902.0</v>
      </c>
      <c r="D826" s="3">
        <v>40.0</v>
      </c>
      <c r="E826" s="3">
        <v>21.0</v>
      </c>
      <c r="F826" s="11">
        <f t="shared" si="1"/>
        <v>0.1906873614</v>
      </c>
      <c r="G826" s="5">
        <f t="shared" si="2"/>
        <v>6.809312639</v>
      </c>
      <c r="H826" s="3">
        <v>826.0</v>
      </c>
      <c r="I826" s="17"/>
    </row>
    <row r="827">
      <c r="A827" s="3">
        <v>7.0</v>
      </c>
      <c r="B827" s="3">
        <v>149.0</v>
      </c>
      <c r="C827" s="3">
        <v>943.0</v>
      </c>
      <c r="D827" s="3">
        <v>40.0</v>
      </c>
      <c r="E827" s="3">
        <v>22.0</v>
      </c>
      <c r="F827" s="11">
        <f t="shared" si="1"/>
        <v>0.1580063627</v>
      </c>
      <c r="G827" s="5">
        <f t="shared" si="2"/>
        <v>6.841993637</v>
      </c>
      <c r="H827" s="3">
        <v>827.0</v>
      </c>
      <c r="I827" s="17"/>
    </row>
    <row r="828">
      <c r="A828" s="3">
        <v>7.0</v>
      </c>
      <c r="B828" s="3">
        <v>126.0</v>
      </c>
      <c r="C828" s="3">
        <v>984.0</v>
      </c>
      <c r="D828" s="3">
        <v>40.0</v>
      </c>
      <c r="E828" s="3">
        <v>23.0</v>
      </c>
      <c r="F828" s="11">
        <f t="shared" si="1"/>
        <v>0.1280487805</v>
      </c>
      <c r="G828" s="5">
        <f t="shared" si="2"/>
        <v>6.87195122</v>
      </c>
      <c r="H828" s="3">
        <v>828.0</v>
      </c>
      <c r="I828" s="17"/>
    </row>
    <row r="829">
      <c r="A829" s="3">
        <v>7.0</v>
      </c>
      <c r="B829" s="3">
        <v>107.0</v>
      </c>
      <c r="C829" s="3">
        <v>1025.0</v>
      </c>
      <c r="D829" s="3">
        <v>40.0</v>
      </c>
      <c r="E829" s="3">
        <v>24.0</v>
      </c>
      <c r="F829" s="11">
        <f t="shared" si="1"/>
        <v>0.1043902439</v>
      </c>
      <c r="G829" s="5">
        <f t="shared" si="2"/>
        <v>6.895609756</v>
      </c>
      <c r="H829" s="3">
        <v>829.0</v>
      </c>
      <c r="I829" s="17"/>
    </row>
    <row r="830">
      <c r="A830" s="3">
        <v>7.0</v>
      </c>
      <c r="B830" s="3">
        <v>74.0</v>
      </c>
      <c r="C830" s="3">
        <v>1066.0</v>
      </c>
      <c r="D830" s="3">
        <v>40.0</v>
      </c>
      <c r="E830" s="3">
        <v>25.0</v>
      </c>
      <c r="F830" s="11">
        <f t="shared" si="1"/>
        <v>0.06941838649</v>
      </c>
      <c r="G830" s="5">
        <f t="shared" si="2"/>
        <v>6.930581614</v>
      </c>
      <c r="H830" s="3">
        <v>830.0</v>
      </c>
      <c r="I830" s="17"/>
    </row>
    <row r="831">
      <c r="A831" s="3">
        <v>7.0</v>
      </c>
      <c r="B831" s="3">
        <v>4.0</v>
      </c>
      <c r="C831" s="3">
        <v>1107.0</v>
      </c>
      <c r="D831" s="3">
        <v>40.0</v>
      </c>
      <c r="E831" s="3">
        <v>26.0</v>
      </c>
      <c r="F831" s="11">
        <f t="shared" si="1"/>
        <v>0.003613369467</v>
      </c>
      <c r="G831" s="5">
        <f t="shared" si="2"/>
        <v>6.996386631</v>
      </c>
      <c r="H831" s="3">
        <v>831.0</v>
      </c>
      <c r="I831" s="17"/>
    </row>
    <row r="832">
      <c r="A832" s="3">
        <v>7.0</v>
      </c>
      <c r="B832" s="3">
        <v>366.0</v>
      </c>
      <c r="C832" s="3">
        <v>378.0</v>
      </c>
      <c r="D832" s="3">
        <v>41.0</v>
      </c>
      <c r="E832" s="3">
        <v>8.0</v>
      </c>
      <c r="F832" s="11">
        <f t="shared" si="1"/>
        <v>0.9682539683</v>
      </c>
      <c r="G832" s="5">
        <f t="shared" si="2"/>
        <v>6.031746032</v>
      </c>
      <c r="H832" s="3">
        <v>832.0</v>
      </c>
      <c r="I832" s="17"/>
    </row>
    <row r="833">
      <c r="A833" s="3">
        <v>7.0</v>
      </c>
      <c r="B833" s="3">
        <v>388.0</v>
      </c>
      <c r="C833" s="3">
        <v>420.0</v>
      </c>
      <c r="D833" s="3">
        <v>41.0</v>
      </c>
      <c r="E833" s="3">
        <v>9.0</v>
      </c>
      <c r="F833" s="11">
        <f t="shared" si="1"/>
        <v>0.9238095238</v>
      </c>
      <c r="G833" s="5">
        <f t="shared" si="2"/>
        <v>6.076190476</v>
      </c>
      <c r="H833" s="3">
        <v>833.0</v>
      </c>
      <c r="I833" s="17"/>
    </row>
    <row r="834">
      <c r="A834" s="3">
        <v>7.0</v>
      </c>
      <c r="B834" s="3">
        <v>398.0</v>
      </c>
      <c r="C834" s="3">
        <v>462.0</v>
      </c>
      <c r="D834" s="3">
        <v>41.0</v>
      </c>
      <c r="E834" s="3">
        <v>10.0</v>
      </c>
      <c r="F834" s="11">
        <f t="shared" si="1"/>
        <v>0.8614718615</v>
      </c>
      <c r="G834" s="5">
        <f t="shared" si="2"/>
        <v>6.138528139</v>
      </c>
      <c r="H834" s="3">
        <v>834.0</v>
      </c>
      <c r="I834" s="17"/>
    </row>
    <row r="835">
      <c r="A835" s="3">
        <v>7.0</v>
      </c>
      <c r="B835" s="3">
        <v>400.0</v>
      </c>
      <c r="C835" s="3">
        <v>504.0</v>
      </c>
      <c r="D835" s="3">
        <v>41.0</v>
      </c>
      <c r="E835" s="3">
        <v>11.0</v>
      </c>
      <c r="F835" s="11">
        <f t="shared" si="1"/>
        <v>0.7936507937</v>
      </c>
      <c r="G835" s="5">
        <f t="shared" si="2"/>
        <v>6.206349206</v>
      </c>
      <c r="H835" s="3">
        <v>835.0</v>
      </c>
      <c r="I835" s="17"/>
    </row>
    <row r="836">
      <c r="A836" s="3">
        <v>7.0</v>
      </c>
      <c r="B836" s="3">
        <v>394.0</v>
      </c>
      <c r="C836" s="3">
        <v>546.0</v>
      </c>
      <c r="D836" s="3">
        <v>41.0</v>
      </c>
      <c r="E836" s="3">
        <v>12.0</v>
      </c>
      <c r="F836" s="11">
        <f t="shared" si="1"/>
        <v>0.7216117216</v>
      </c>
      <c r="G836" s="5">
        <f t="shared" si="2"/>
        <v>6.278388278</v>
      </c>
      <c r="H836" s="3">
        <v>836.0</v>
      </c>
      <c r="I836" s="17"/>
    </row>
    <row r="837">
      <c r="A837" s="3">
        <v>7.0</v>
      </c>
      <c r="B837" s="3">
        <v>380.0</v>
      </c>
      <c r="C837" s="3">
        <v>588.0</v>
      </c>
      <c r="D837" s="3">
        <v>41.0</v>
      </c>
      <c r="E837" s="3">
        <v>13.0</v>
      </c>
      <c r="F837" s="11">
        <f t="shared" si="1"/>
        <v>0.6462585034</v>
      </c>
      <c r="G837" s="5">
        <f t="shared" si="2"/>
        <v>6.353741497</v>
      </c>
      <c r="H837" s="3">
        <v>837.0</v>
      </c>
      <c r="I837" s="17"/>
    </row>
    <row r="838">
      <c r="A838" s="3">
        <v>7.0</v>
      </c>
      <c r="B838" s="3">
        <v>358.0</v>
      </c>
      <c r="C838" s="3">
        <v>630.0</v>
      </c>
      <c r="D838" s="3">
        <v>41.0</v>
      </c>
      <c r="E838" s="3">
        <v>14.0</v>
      </c>
      <c r="F838" s="11">
        <f t="shared" si="1"/>
        <v>0.5682539683</v>
      </c>
      <c r="G838" s="5">
        <f t="shared" si="2"/>
        <v>6.431746032</v>
      </c>
      <c r="H838" s="3">
        <v>838.0</v>
      </c>
      <c r="I838" s="17"/>
    </row>
    <row r="839">
      <c r="A839" s="3">
        <v>7.0</v>
      </c>
      <c r="B839" s="3">
        <v>332.0</v>
      </c>
      <c r="C839" s="3">
        <v>672.0</v>
      </c>
      <c r="D839" s="3">
        <v>41.0</v>
      </c>
      <c r="E839" s="3">
        <v>15.0</v>
      </c>
      <c r="F839" s="11">
        <f t="shared" si="1"/>
        <v>0.494047619</v>
      </c>
      <c r="G839" s="5">
        <f t="shared" si="2"/>
        <v>6.505952381</v>
      </c>
      <c r="H839" s="3">
        <v>839.0</v>
      </c>
      <c r="I839" s="17"/>
    </row>
    <row r="840">
      <c r="A840" s="3">
        <v>7.0</v>
      </c>
      <c r="B840" s="3">
        <v>304.0</v>
      </c>
      <c r="C840" s="3">
        <v>714.0</v>
      </c>
      <c r="D840" s="3">
        <v>41.0</v>
      </c>
      <c r="E840" s="3">
        <v>16.0</v>
      </c>
      <c r="F840" s="11">
        <f t="shared" si="1"/>
        <v>0.4257703081</v>
      </c>
      <c r="G840" s="5">
        <f t="shared" si="2"/>
        <v>6.574229692</v>
      </c>
      <c r="H840" s="3">
        <v>840.0</v>
      </c>
      <c r="I840" s="17"/>
    </row>
    <row r="841">
      <c r="A841" s="3">
        <v>7.0</v>
      </c>
      <c r="B841" s="3">
        <v>272.0</v>
      </c>
      <c r="C841" s="3">
        <v>756.0</v>
      </c>
      <c r="D841" s="3">
        <v>41.0</v>
      </c>
      <c r="E841" s="3">
        <v>17.0</v>
      </c>
      <c r="F841" s="11">
        <f t="shared" si="1"/>
        <v>0.3597883598</v>
      </c>
      <c r="G841" s="5">
        <f t="shared" si="2"/>
        <v>6.64021164</v>
      </c>
      <c r="H841" s="3">
        <v>841.0</v>
      </c>
      <c r="I841" s="17"/>
    </row>
    <row r="842">
      <c r="A842" s="3">
        <v>7.0</v>
      </c>
      <c r="B842" s="3">
        <v>240.0</v>
      </c>
      <c r="C842" s="3">
        <v>798.0</v>
      </c>
      <c r="D842" s="3">
        <v>41.0</v>
      </c>
      <c r="E842" s="3">
        <v>18.0</v>
      </c>
      <c r="F842" s="11">
        <f t="shared" si="1"/>
        <v>0.3007518797</v>
      </c>
      <c r="G842" s="5">
        <f t="shared" si="2"/>
        <v>6.69924812</v>
      </c>
      <c r="H842" s="3">
        <v>842.0</v>
      </c>
      <c r="I842" s="17"/>
    </row>
    <row r="843">
      <c r="A843" s="3">
        <v>7.0</v>
      </c>
      <c r="B843" s="3">
        <v>208.0</v>
      </c>
      <c r="C843" s="3">
        <v>840.0</v>
      </c>
      <c r="D843" s="3">
        <v>41.0</v>
      </c>
      <c r="E843" s="3">
        <v>19.0</v>
      </c>
      <c r="F843" s="11">
        <f t="shared" si="1"/>
        <v>0.2476190476</v>
      </c>
      <c r="G843" s="5">
        <f t="shared" si="2"/>
        <v>6.752380952</v>
      </c>
      <c r="H843" s="3">
        <v>843.0</v>
      </c>
      <c r="I843" s="17"/>
    </row>
    <row r="844">
      <c r="A844" s="3">
        <v>7.0</v>
      </c>
      <c r="B844" s="3">
        <v>182.0</v>
      </c>
      <c r="C844" s="3">
        <v>882.0</v>
      </c>
      <c r="D844" s="3">
        <v>41.0</v>
      </c>
      <c r="E844" s="3">
        <v>20.0</v>
      </c>
      <c r="F844" s="11">
        <f t="shared" si="1"/>
        <v>0.2063492063</v>
      </c>
      <c r="G844" s="5">
        <f t="shared" si="2"/>
        <v>6.793650794</v>
      </c>
      <c r="H844" s="3">
        <v>844.0</v>
      </c>
      <c r="I844" s="17"/>
    </row>
    <row r="845">
      <c r="A845" s="3">
        <v>7.0</v>
      </c>
      <c r="B845" s="3">
        <v>156.0</v>
      </c>
      <c r="C845" s="3">
        <v>924.0</v>
      </c>
      <c r="D845" s="3">
        <v>41.0</v>
      </c>
      <c r="E845" s="3">
        <v>21.0</v>
      </c>
      <c r="F845" s="11">
        <f t="shared" si="1"/>
        <v>0.1688311688</v>
      </c>
      <c r="G845" s="5">
        <f t="shared" si="2"/>
        <v>6.831168831</v>
      </c>
      <c r="H845" s="3">
        <v>845.0</v>
      </c>
      <c r="I845" s="17"/>
    </row>
    <row r="846">
      <c r="A846" s="3">
        <v>7.0</v>
      </c>
      <c r="B846" s="3">
        <v>134.0</v>
      </c>
      <c r="C846" s="3">
        <v>966.0</v>
      </c>
      <c r="D846" s="3">
        <v>41.0</v>
      </c>
      <c r="E846" s="3">
        <v>22.0</v>
      </c>
      <c r="F846" s="11">
        <f t="shared" si="1"/>
        <v>0.1387163561</v>
      </c>
      <c r="G846" s="5">
        <f t="shared" si="2"/>
        <v>6.861283644</v>
      </c>
      <c r="H846" s="3">
        <v>846.0</v>
      </c>
      <c r="I846" s="17"/>
    </row>
    <row r="847">
      <c r="A847" s="3">
        <v>7.0</v>
      </c>
      <c r="B847" s="3">
        <v>112.0</v>
      </c>
      <c r="C847" s="3">
        <v>1008.0</v>
      </c>
      <c r="D847" s="3">
        <v>41.0</v>
      </c>
      <c r="E847" s="3">
        <v>23.0</v>
      </c>
      <c r="F847" s="11">
        <f t="shared" si="1"/>
        <v>0.1111111111</v>
      </c>
      <c r="G847" s="5">
        <f t="shared" si="2"/>
        <v>6.888888889</v>
      </c>
      <c r="H847" s="3">
        <v>847.0</v>
      </c>
      <c r="I847" s="17"/>
    </row>
    <row r="848">
      <c r="A848" s="3">
        <v>7.0</v>
      </c>
      <c r="B848" s="3">
        <v>90.0</v>
      </c>
      <c r="C848" s="3">
        <v>1050.0</v>
      </c>
      <c r="D848" s="3">
        <v>41.0</v>
      </c>
      <c r="E848" s="3">
        <v>24.0</v>
      </c>
      <c r="F848" s="11">
        <f t="shared" si="1"/>
        <v>0.08571428571</v>
      </c>
      <c r="G848" s="5">
        <f t="shared" si="2"/>
        <v>6.914285714</v>
      </c>
      <c r="H848" s="3">
        <v>848.0</v>
      </c>
      <c r="I848" s="17"/>
    </row>
    <row r="849">
      <c r="A849" s="3">
        <v>7.0</v>
      </c>
      <c r="B849" s="3">
        <v>50.0</v>
      </c>
      <c r="C849" s="3">
        <v>1092.0</v>
      </c>
      <c r="D849" s="3">
        <v>41.0</v>
      </c>
      <c r="E849" s="3">
        <v>25.0</v>
      </c>
      <c r="F849" s="11">
        <f t="shared" si="1"/>
        <v>0.04578754579</v>
      </c>
      <c r="G849" s="5">
        <f t="shared" si="2"/>
        <v>6.954212454</v>
      </c>
      <c r="H849" s="3">
        <v>849.0</v>
      </c>
      <c r="I849" s="17"/>
    </row>
    <row r="850">
      <c r="A850" s="3">
        <v>7.0</v>
      </c>
      <c r="B850" s="3">
        <v>371.0</v>
      </c>
      <c r="C850" s="3">
        <v>387.0</v>
      </c>
      <c r="D850" s="3">
        <v>42.0</v>
      </c>
      <c r="E850" s="3">
        <v>8.0</v>
      </c>
      <c r="F850" s="11">
        <f t="shared" si="1"/>
        <v>0.9586563307</v>
      </c>
      <c r="G850" s="5">
        <f t="shared" si="2"/>
        <v>6.041343669</v>
      </c>
      <c r="H850" s="3">
        <v>850.0</v>
      </c>
      <c r="I850" s="17"/>
    </row>
    <row r="851">
      <c r="A851" s="3">
        <v>7.0</v>
      </c>
      <c r="B851" s="3">
        <v>390.0</v>
      </c>
      <c r="C851" s="3">
        <v>430.0</v>
      </c>
      <c r="D851" s="3">
        <v>42.0</v>
      </c>
      <c r="E851" s="3">
        <v>9.0</v>
      </c>
      <c r="F851" s="11">
        <f t="shared" si="1"/>
        <v>0.9069767442</v>
      </c>
      <c r="G851" s="5">
        <f t="shared" si="2"/>
        <v>6.093023256</v>
      </c>
      <c r="H851" s="3">
        <v>851.0</v>
      </c>
      <c r="I851" s="17"/>
    </row>
    <row r="852">
      <c r="A852" s="3">
        <v>7.0</v>
      </c>
      <c r="B852" s="3">
        <v>397.0</v>
      </c>
      <c r="C852" s="3">
        <v>473.0</v>
      </c>
      <c r="D852" s="3">
        <v>42.0</v>
      </c>
      <c r="E852" s="3">
        <v>10.0</v>
      </c>
      <c r="F852" s="11">
        <f t="shared" si="1"/>
        <v>0.8393234672</v>
      </c>
      <c r="G852" s="5">
        <f t="shared" si="2"/>
        <v>6.160676533</v>
      </c>
      <c r="H852" s="3">
        <v>852.0</v>
      </c>
      <c r="I852" s="17"/>
    </row>
    <row r="853">
      <c r="A853" s="3">
        <v>7.0</v>
      </c>
      <c r="B853" s="3">
        <v>396.0</v>
      </c>
      <c r="C853" s="3">
        <v>516.0</v>
      </c>
      <c r="D853" s="3">
        <v>42.0</v>
      </c>
      <c r="E853" s="3">
        <v>11.0</v>
      </c>
      <c r="F853" s="11">
        <f t="shared" si="1"/>
        <v>0.7674418605</v>
      </c>
      <c r="G853" s="5">
        <f t="shared" si="2"/>
        <v>6.23255814</v>
      </c>
      <c r="H853" s="3">
        <v>853.0</v>
      </c>
      <c r="I853" s="17"/>
    </row>
    <row r="854">
      <c r="A854" s="3">
        <v>7.0</v>
      </c>
      <c r="B854" s="3">
        <v>387.0</v>
      </c>
      <c r="C854" s="3">
        <v>559.0</v>
      </c>
      <c r="D854" s="3">
        <v>42.0</v>
      </c>
      <c r="E854" s="3">
        <v>12.0</v>
      </c>
      <c r="F854" s="11">
        <f t="shared" si="1"/>
        <v>0.6923076923</v>
      </c>
      <c r="G854" s="5">
        <f t="shared" si="2"/>
        <v>6.307692308</v>
      </c>
      <c r="H854" s="3">
        <v>854.0</v>
      </c>
      <c r="I854" s="17"/>
    </row>
    <row r="855">
      <c r="A855" s="3">
        <v>7.0</v>
      </c>
      <c r="B855" s="3">
        <v>370.0</v>
      </c>
      <c r="C855" s="3">
        <v>602.0</v>
      </c>
      <c r="D855" s="3">
        <v>42.0</v>
      </c>
      <c r="E855" s="3">
        <v>13.0</v>
      </c>
      <c r="F855" s="11">
        <f t="shared" si="1"/>
        <v>0.6146179402</v>
      </c>
      <c r="G855" s="5">
        <f t="shared" si="2"/>
        <v>6.38538206</v>
      </c>
      <c r="H855" s="3">
        <v>855.0</v>
      </c>
      <c r="I855" s="17"/>
    </row>
    <row r="856">
      <c r="A856" s="3">
        <v>7.0</v>
      </c>
      <c r="B856" s="3">
        <v>345.0</v>
      </c>
      <c r="C856" s="3">
        <v>645.0</v>
      </c>
      <c r="D856" s="3">
        <v>42.0</v>
      </c>
      <c r="E856" s="3">
        <v>14.0</v>
      </c>
      <c r="F856" s="11">
        <f t="shared" si="1"/>
        <v>0.5348837209</v>
      </c>
      <c r="G856" s="5">
        <f t="shared" si="2"/>
        <v>6.465116279</v>
      </c>
      <c r="H856" s="3">
        <v>856.0</v>
      </c>
      <c r="I856" s="17"/>
    </row>
    <row r="857">
      <c r="A857" s="3">
        <v>7.0</v>
      </c>
      <c r="B857" s="3">
        <v>316.0</v>
      </c>
      <c r="C857" s="3">
        <v>688.0</v>
      </c>
      <c r="D857" s="3">
        <v>42.0</v>
      </c>
      <c r="E857" s="3">
        <v>15.0</v>
      </c>
      <c r="F857" s="11">
        <f t="shared" si="1"/>
        <v>0.4593023256</v>
      </c>
      <c r="G857" s="5">
        <f t="shared" si="2"/>
        <v>6.540697674</v>
      </c>
      <c r="H857" s="3">
        <v>857.0</v>
      </c>
      <c r="I857" s="17"/>
    </row>
    <row r="858">
      <c r="A858" s="3">
        <v>7.0</v>
      </c>
      <c r="B858" s="3">
        <v>287.0</v>
      </c>
      <c r="C858" s="3">
        <v>731.0</v>
      </c>
      <c r="D858" s="3">
        <v>42.0</v>
      </c>
      <c r="E858" s="3">
        <v>16.0</v>
      </c>
      <c r="F858" s="11">
        <f t="shared" si="1"/>
        <v>0.3926128591</v>
      </c>
      <c r="G858" s="5">
        <f t="shared" si="2"/>
        <v>6.607387141</v>
      </c>
      <c r="H858" s="3">
        <v>858.0</v>
      </c>
      <c r="I858" s="17"/>
    </row>
    <row r="859">
      <c r="A859" s="3">
        <v>7.0</v>
      </c>
      <c r="B859" s="3">
        <v>254.0</v>
      </c>
      <c r="C859" s="3">
        <v>774.0</v>
      </c>
      <c r="D859" s="3">
        <v>42.0</v>
      </c>
      <c r="E859" s="3">
        <v>17.0</v>
      </c>
      <c r="F859" s="11">
        <f t="shared" si="1"/>
        <v>0.3281653747</v>
      </c>
      <c r="G859" s="5">
        <f t="shared" si="2"/>
        <v>6.671834625</v>
      </c>
      <c r="H859" s="3">
        <v>859.0</v>
      </c>
      <c r="I859" s="17"/>
    </row>
    <row r="860">
      <c r="A860" s="3">
        <v>7.0</v>
      </c>
      <c r="B860" s="3">
        <v>223.0</v>
      </c>
      <c r="C860" s="3">
        <v>817.0</v>
      </c>
      <c r="D860" s="3">
        <v>42.0</v>
      </c>
      <c r="E860" s="3">
        <v>18.0</v>
      </c>
      <c r="F860" s="11">
        <f t="shared" si="1"/>
        <v>0.2729498164</v>
      </c>
      <c r="G860" s="5">
        <f t="shared" si="2"/>
        <v>6.727050184</v>
      </c>
      <c r="H860" s="3">
        <v>860.0</v>
      </c>
      <c r="I860" s="17"/>
    </row>
    <row r="861">
      <c r="A861" s="3">
        <v>7.0</v>
      </c>
      <c r="B861" s="3">
        <v>192.0</v>
      </c>
      <c r="C861" s="3">
        <v>860.0</v>
      </c>
      <c r="D861" s="3">
        <v>42.0</v>
      </c>
      <c r="E861" s="3">
        <v>19.0</v>
      </c>
      <c r="F861" s="11">
        <f t="shared" si="1"/>
        <v>0.223255814</v>
      </c>
      <c r="G861" s="5">
        <f t="shared" si="2"/>
        <v>6.776744186</v>
      </c>
      <c r="H861" s="3">
        <v>861.0</v>
      </c>
      <c r="I861" s="17"/>
    </row>
    <row r="862">
      <c r="A862" s="3">
        <v>7.0</v>
      </c>
      <c r="B862" s="3">
        <v>167.0</v>
      </c>
      <c r="C862" s="3">
        <v>903.0</v>
      </c>
      <c r="D862" s="3">
        <v>42.0</v>
      </c>
      <c r="E862" s="3">
        <v>20.0</v>
      </c>
      <c r="F862" s="11">
        <f t="shared" si="1"/>
        <v>0.1849390919</v>
      </c>
      <c r="G862" s="5">
        <f t="shared" si="2"/>
        <v>6.815060908</v>
      </c>
      <c r="H862" s="3">
        <v>862.0</v>
      </c>
      <c r="I862" s="17"/>
    </row>
    <row r="863">
      <c r="A863" s="3">
        <v>7.0</v>
      </c>
      <c r="B863" s="3">
        <v>142.0</v>
      </c>
      <c r="C863" s="3">
        <v>946.0</v>
      </c>
      <c r="D863" s="3">
        <v>42.0</v>
      </c>
      <c r="E863" s="3">
        <v>21.0</v>
      </c>
      <c r="F863" s="11">
        <f t="shared" si="1"/>
        <v>0.1501057082</v>
      </c>
      <c r="G863" s="5">
        <f t="shared" si="2"/>
        <v>6.849894292</v>
      </c>
      <c r="H863" s="3">
        <v>863.0</v>
      </c>
      <c r="I863" s="17"/>
    </row>
    <row r="864">
      <c r="A864" s="3">
        <v>7.0</v>
      </c>
      <c r="B864" s="3">
        <v>121.0</v>
      </c>
      <c r="C864" s="3">
        <v>989.0</v>
      </c>
      <c r="D864" s="3">
        <v>42.0</v>
      </c>
      <c r="E864" s="3">
        <v>22.0</v>
      </c>
      <c r="F864" s="11">
        <f t="shared" si="1"/>
        <v>0.1223458038</v>
      </c>
      <c r="G864" s="5">
        <f t="shared" si="2"/>
        <v>6.877654196</v>
      </c>
      <c r="H864" s="3">
        <v>864.0</v>
      </c>
      <c r="I864" s="17"/>
    </row>
    <row r="865">
      <c r="A865" s="3">
        <v>7.0</v>
      </c>
      <c r="B865" s="3">
        <v>96.0</v>
      </c>
      <c r="C865" s="3">
        <v>1032.0</v>
      </c>
      <c r="D865" s="3">
        <v>42.0</v>
      </c>
      <c r="E865" s="3">
        <v>23.0</v>
      </c>
      <c r="F865" s="11">
        <f t="shared" si="1"/>
        <v>0.09302325581</v>
      </c>
      <c r="G865" s="5">
        <f t="shared" si="2"/>
        <v>6.906976744</v>
      </c>
      <c r="H865" s="3">
        <v>865.0</v>
      </c>
      <c r="I865" s="17"/>
    </row>
    <row r="866">
      <c r="A866" s="3">
        <v>7.0</v>
      </c>
      <c r="B866" s="3">
        <v>65.0</v>
      </c>
      <c r="C866" s="3">
        <v>1075.0</v>
      </c>
      <c r="D866" s="3">
        <v>42.0</v>
      </c>
      <c r="E866" s="3">
        <v>24.0</v>
      </c>
      <c r="F866" s="11">
        <f t="shared" si="1"/>
        <v>0.06046511628</v>
      </c>
      <c r="G866" s="5">
        <f t="shared" si="2"/>
        <v>6.939534884</v>
      </c>
      <c r="H866" s="3">
        <v>866.0</v>
      </c>
      <c r="I866" s="17"/>
    </row>
    <row r="867">
      <c r="A867" s="3">
        <v>7.0</v>
      </c>
      <c r="B867" s="3">
        <v>348.0</v>
      </c>
      <c r="C867" s="3">
        <v>352.0</v>
      </c>
      <c r="D867" s="3">
        <v>43.0</v>
      </c>
      <c r="E867" s="3">
        <v>7.0</v>
      </c>
      <c r="F867" s="11">
        <f t="shared" si="1"/>
        <v>0.9886363636</v>
      </c>
      <c r="G867" s="5">
        <f t="shared" si="2"/>
        <v>6.011363636</v>
      </c>
      <c r="H867" s="3">
        <v>867.0</v>
      </c>
      <c r="I867" s="17"/>
    </row>
    <row r="868">
      <c r="A868" s="3">
        <v>7.0</v>
      </c>
      <c r="B868" s="3">
        <v>372.0</v>
      </c>
      <c r="C868" s="3">
        <v>396.0</v>
      </c>
      <c r="D868" s="3">
        <v>43.0</v>
      </c>
      <c r="E868" s="3">
        <v>8.0</v>
      </c>
      <c r="F868" s="11">
        <f t="shared" si="1"/>
        <v>0.9393939394</v>
      </c>
      <c r="G868" s="5">
        <f t="shared" si="2"/>
        <v>6.060606061</v>
      </c>
      <c r="H868" s="3">
        <v>868.0</v>
      </c>
      <c r="I868" s="17"/>
    </row>
    <row r="869">
      <c r="A869" s="3">
        <v>7.0</v>
      </c>
      <c r="B869" s="3">
        <v>388.0</v>
      </c>
      <c r="C869" s="3">
        <v>440.0</v>
      </c>
      <c r="D869" s="3">
        <v>43.0</v>
      </c>
      <c r="E869" s="3">
        <v>9.0</v>
      </c>
      <c r="F869" s="11">
        <f t="shared" si="1"/>
        <v>0.8818181818</v>
      </c>
      <c r="G869" s="5">
        <f t="shared" si="2"/>
        <v>6.118181818</v>
      </c>
      <c r="H869" s="3">
        <v>869.0</v>
      </c>
      <c r="I869" s="17"/>
    </row>
    <row r="870">
      <c r="A870" s="3">
        <v>7.0</v>
      </c>
      <c r="B870" s="3">
        <v>392.0</v>
      </c>
      <c r="C870" s="3">
        <v>484.0</v>
      </c>
      <c r="D870" s="3">
        <v>43.0</v>
      </c>
      <c r="E870" s="3">
        <v>10.0</v>
      </c>
      <c r="F870" s="11">
        <f t="shared" si="1"/>
        <v>0.8099173554</v>
      </c>
      <c r="G870" s="5">
        <f t="shared" si="2"/>
        <v>6.190082645</v>
      </c>
      <c r="H870" s="3">
        <v>870.0</v>
      </c>
      <c r="I870" s="17"/>
    </row>
    <row r="871">
      <c r="A871" s="3">
        <v>7.0</v>
      </c>
      <c r="B871" s="3">
        <v>388.0</v>
      </c>
      <c r="C871" s="3">
        <v>528.0</v>
      </c>
      <c r="D871" s="3">
        <v>43.0</v>
      </c>
      <c r="E871" s="3">
        <v>11.0</v>
      </c>
      <c r="F871" s="11">
        <f t="shared" si="1"/>
        <v>0.7348484848</v>
      </c>
      <c r="G871" s="5">
        <f t="shared" si="2"/>
        <v>6.265151515</v>
      </c>
      <c r="H871" s="3">
        <v>871.0</v>
      </c>
      <c r="I871" s="17"/>
    </row>
    <row r="872">
      <c r="A872" s="3">
        <v>7.0</v>
      </c>
      <c r="B872" s="3">
        <v>376.0</v>
      </c>
      <c r="C872" s="3">
        <v>572.0</v>
      </c>
      <c r="D872" s="3">
        <v>43.0</v>
      </c>
      <c r="E872" s="3">
        <v>12.0</v>
      </c>
      <c r="F872" s="11">
        <f t="shared" si="1"/>
        <v>0.6573426573</v>
      </c>
      <c r="G872" s="5">
        <f t="shared" si="2"/>
        <v>6.342657343</v>
      </c>
      <c r="H872" s="3">
        <v>872.0</v>
      </c>
      <c r="I872" s="17"/>
    </row>
    <row r="873">
      <c r="A873" s="3">
        <v>7.0</v>
      </c>
      <c r="B873" s="3">
        <v>356.0</v>
      </c>
      <c r="C873" s="3">
        <v>616.0</v>
      </c>
      <c r="D873" s="3">
        <v>43.0</v>
      </c>
      <c r="E873" s="3">
        <v>13.0</v>
      </c>
      <c r="F873" s="11">
        <f t="shared" si="1"/>
        <v>0.5779220779</v>
      </c>
      <c r="G873" s="5">
        <f t="shared" si="2"/>
        <v>6.422077922</v>
      </c>
      <c r="H873" s="3">
        <v>873.0</v>
      </c>
      <c r="I873" s="17"/>
    </row>
    <row r="874">
      <c r="A874" s="3">
        <v>7.0</v>
      </c>
      <c r="B874" s="3">
        <v>330.0</v>
      </c>
      <c r="C874" s="3">
        <v>660.0</v>
      </c>
      <c r="D874" s="3">
        <v>43.0</v>
      </c>
      <c r="E874" s="3">
        <v>14.0</v>
      </c>
      <c r="F874" s="11">
        <f t="shared" si="1"/>
        <v>0.5</v>
      </c>
      <c r="G874" s="5">
        <f t="shared" si="2"/>
        <v>6.5</v>
      </c>
      <c r="H874" s="3">
        <v>874.0</v>
      </c>
      <c r="I874" s="17"/>
    </row>
    <row r="875">
      <c r="A875" s="3">
        <v>7.0</v>
      </c>
      <c r="B875" s="3">
        <v>300.0</v>
      </c>
      <c r="C875" s="3">
        <v>704.0</v>
      </c>
      <c r="D875" s="3">
        <v>43.0</v>
      </c>
      <c r="E875" s="3">
        <v>15.0</v>
      </c>
      <c r="F875" s="11">
        <f t="shared" si="1"/>
        <v>0.4261363636</v>
      </c>
      <c r="G875" s="5">
        <f t="shared" si="2"/>
        <v>6.573863636</v>
      </c>
      <c r="H875" s="3">
        <v>875.0</v>
      </c>
      <c r="I875" s="17"/>
    </row>
    <row r="876">
      <c r="A876" s="3">
        <v>7.0</v>
      </c>
      <c r="B876" s="3">
        <v>270.0</v>
      </c>
      <c r="C876" s="3">
        <v>748.0</v>
      </c>
      <c r="D876" s="3">
        <v>43.0</v>
      </c>
      <c r="E876" s="3">
        <v>16.0</v>
      </c>
      <c r="F876" s="11">
        <f t="shared" si="1"/>
        <v>0.3609625668</v>
      </c>
      <c r="G876" s="5">
        <f t="shared" si="2"/>
        <v>6.639037433</v>
      </c>
      <c r="H876" s="3">
        <v>876.0</v>
      </c>
      <c r="I876" s="17"/>
    </row>
    <row r="877">
      <c r="A877" s="3">
        <v>7.0</v>
      </c>
      <c r="B877" s="3">
        <v>236.0</v>
      </c>
      <c r="C877" s="3">
        <v>792.0</v>
      </c>
      <c r="D877" s="3">
        <v>43.0</v>
      </c>
      <c r="E877" s="3">
        <v>17.0</v>
      </c>
      <c r="F877" s="11">
        <f t="shared" si="1"/>
        <v>0.297979798</v>
      </c>
      <c r="G877" s="5">
        <f t="shared" si="2"/>
        <v>6.702020202</v>
      </c>
      <c r="H877" s="3">
        <v>877.0</v>
      </c>
      <c r="I877" s="17"/>
    </row>
    <row r="878">
      <c r="A878" s="3">
        <v>7.0</v>
      </c>
      <c r="B878" s="3">
        <v>206.0</v>
      </c>
      <c r="C878" s="3">
        <v>836.0</v>
      </c>
      <c r="D878" s="3">
        <v>43.0</v>
      </c>
      <c r="E878" s="3">
        <v>18.0</v>
      </c>
      <c r="F878" s="11">
        <f t="shared" si="1"/>
        <v>0.2464114833</v>
      </c>
      <c r="G878" s="5">
        <f t="shared" si="2"/>
        <v>6.753588517</v>
      </c>
      <c r="H878" s="3">
        <v>878.0</v>
      </c>
      <c r="I878" s="17"/>
    </row>
    <row r="879">
      <c r="A879" s="3">
        <v>7.0</v>
      </c>
      <c r="B879" s="3">
        <v>176.0</v>
      </c>
      <c r="C879" s="3">
        <v>880.0</v>
      </c>
      <c r="D879" s="3">
        <v>43.0</v>
      </c>
      <c r="E879" s="3">
        <v>19.0</v>
      </c>
      <c r="F879" s="11">
        <f t="shared" si="1"/>
        <v>0.2</v>
      </c>
      <c r="G879" s="5">
        <f t="shared" si="2"/>
        <v>6.8</v>
      </c>
      <c r="H879" s="3">
        <v>879.0</v>
      </c>
      <c r="I879" s="17"/>
    </row>
    <row r="880">
      <c r="A880" s="3">
        <v>7.0</v>
      </c>
      <c r="B880" s="3">
        <v>152.0</v>
      </c>
      <c r="C880" s="3">
        <v>924.0</v>
      </c>
      <c r="D880" s="3">
        <v>43.0</v>
      </c>
      <c r="E880" s="3">
        <v>20.0</v>
      </c>
      <c r="F880" s="11">
        <f t="shared" si="1"/>
        <v>0.1645021645</v>
      </c>
      <c r="G880" s="5">
        <f t="shared" si="2"/>
        <v>6.835497835</v>
      </c>
      <c r="H880" s="3">
        <v>880.0</v>
      </c>
      <c r="I880" s="17"/>
    </row>
    <row r="881">
      <c r="A881" s="3">
        <v>7.0</v>
      </c>
      <c r="B881" s="3">
        <v>128.0</v>
      </c>
      <c r="C881" s="3">
        <v>968.0</v>
      </c>
      <c r="D881" s="3">
        <v>43.0</v>
      </c>
      <c r="E881" s="3">
        <v>21.0</v>
      </c>
      <c r="F881" s="11">
        <f t="shared" si="1"/>
        <v>0.132231405</v>
      </c>
      <c r="G881" s="5">
        <f t="shared" si="2"/>
        <v>6.867768595</v>
      </c>
      <c r="H881" s="3">
        <v>881.0</v>
      </c>
      <c r="I881" s="17"/>
    </row>
    <row r="882">
      <c r="A882" s="3">
        <v>7.0</v>
      </c>
      <c r="B882" s="3">
        <v>108.0</v>
      </c>
      <c r="C882" s="3">
        <v>1012.0</v>
      </c>
      <c r="D882" s="3">
        <v>43.0</v>
      </c>
      <c r="E882" s="3">
        <v>22.0</v>
      </c>
      <c r="F882" s="11">
        <f t="shared" si="1"/>
        <v>0.1067193676</v>
      </c>
      <c r="G882" s="5">
        <f t="shared" si="2"/>
        <v>6.893280632</v>
      </c>
      <c r="H882" s="3">
        <v>882.0</v>
      </c>
      <c r="I882" s="17"/>
    </row>
    <row r="883">
      <c r="A883" s="3">
        <v>7.0</v>
      </c>
      <c r="B883" s="3">
        <v>78.0</v>
      </c>
      <c r="C883" s="3">
        <v>1056.0</v>
      </c>
      <c r="D883" s="3">
        <v>43.0</v>
      </c>
      <c r="E883" s="3">
        <v>23.0</v>
      </c>
      <c r="F883" s="11">
        <f t="shared" si="1"/>
        <v>0.07386363636</v>
      </c>
      <c r="G883" s="5">
        <f t="shared" si="2"/>
        <v>6.926136364</v>
      </c>
      <c r="H883" s="3">
        <v>883.0</v>
      </c>
      <c r="I883" s="17"/>
    </row>
    <row r="884">
      <c r="A884" s="3">
        <v>7.0</v>
      </c>
      <c r="B884" s="3">
        <v>10.0</v>
      </c>
      <c r="C884" s="3">
        <v>1100.0</v>
      </c>
      <c r="D884" s="3">
        <v>43.0</v>
      </c>
      <c r="E884" s="3">
        <v>24.0</v>
      </c>
      <c r="F884" s="11">
        <f t="shared" si="1"/>
        <v>0.009090909091</v>
      </c>
      <c r="G884" s="5">
        <f t="shared" si="2"/>
        <v>6.990909091</v>
      </c>
      <c r="H884" s="3">
        <v>884.0</v>
      </c>
      <c r="I884" s="17"/>
    </row>
    <row r="885">
      <c r="A885" s="3">
        <v>7.0</v>
      </c>
      <c r="B885" s="3">
        <v>352.0</v>
      </c>
      <c r="C885" s="3">
        <v>360.0</v>
      </c>
      <c r="D885" s="3">
        <v>44.0</v>
      </c>
      <c r="E885" s="3">
        <v>7.0</v>
      </c>
      <c r="F885" s="11">
        <f t="shared" si="1"/>
        <v>0.9777777778</v>
      </c>
      <c r="G885" s="5">
        <f t="shared" si="2"/>
        <v>6.022222222</v>
      </c>
      <c r="H885" s="3">
        <v>885.0</v>
      </c>
      <c r="I885" s="17"/>
    </row>
    <row r="886">
      <c r="A886" s="3">
        <v>7.0</v>
      </c>
      <c r="B886" s="3">
        <v>373.0</v>
      </c>
      <c r="C886" s="3">
        <v>405.0</v>
      </c>
      <c r="D886" s="3">
        <v>44.0</v>
      </c>
      <c r="E886" s="3">
        <v>8.0</v>
      </c>
      <c r="F886" s="11">
        <f t="shared" si="1"/>
        <v>0.9209876543</v>
      </c>
      <c r="G886" s="5">
        <f t="shared" si="2"/>
        <v>6.079012346</v>
      </c>
      <c r="H886" s="3">
        <v>886.0</v>
      </c>
      <c r="I886" s="17"/>
    </row>
    <row r="887">
      <c r="A887" s="3">
        <v>7.0</v>
      </c>
      <c r="B887" s="3">
        <v>386.0</v>
      </c>
      <c r="C887" s="3">
        <v>450.0</v>
      </c>
      <c r="D887" s="3">
        <v>44.0</v>
      </c>
      <c r="E887" s="3">
        <v>9.0</v>
      </c>
      <c r="F887" s="11">
        <f t="shared" si="1"/>
        <v>0.8577777778</v>
      </c>
      <c r="G887" s="5">
        <f t="shared" si="2"/>
        <v>6.142222222</v>
      </c>
      <c r="H887" s="3">
        <v>887.0</v>
      </c>
      <c r="I887" s="17"/>
    </row>
    <row r="888">
      <c r="A888" s="3">
        <v>7.0</v>
      </c>
      <c r="B888" s="3">
        <v>387.0</v>
      </c>
      <c r="C888" s="3">
        <v>495.0</v>
      </c>
      <c r="D888" s="3">
        <v>44.0</v>
      </c>
      <c r="E888" s="3">
        <v>10.0</v>
      </c>
      <c r="F888" s="11">
        <f t="shared" si="1"/>
        <v>0.7818181818</v>
      </c>
      <c r="G888" s="5">
        <f t="shared" si="2"/>
        <v>6.218181818</v>
      </c>
      <c r="H888" s="3">
        <v>888.0</v>
      </c>
      <c r="I888" s="17"/>
    </row>
    <row r="889">
      <c r="A889" s="3">
        <v>7.0</v>
      </c>
      <c r="B889" s="3">
        <v>380.0</v>
      </c>
      <c r="C889" s="3">
        <v>540.0</v>
      </c>
      <c r="D889" s="3">
        <v>44.0</v>
      </c>
      <c r="E889" s="3">
        <v>11.0</v>
      </c>
      <c r="F889" s="11">
        <f t="shared" si="1"/>
        <v>0.7037037037</v>
      </c>
      <c r="G889" s="5">
        <f t="shared" si="2"/>
        <v>6.296296296</v>
      </c>
      <c r="H889" s="3">
        <v>889.0</v>
      </c>
      <c r="I889" s="17"/>
    </row>
    <row r="890">
      <c r="A890" s="3">
        <v>7.0</v>
      </c>
      <c r="B890" s="3">
        <v>365.0</v>
      </c>
      <c r="C890" s="3">
        <v>585.0</v>
      </c>
      <c r="D890" s="3">
        <v>44.0</v>
      </c>
      <c r="E890" s="3">
        <v>12.0</v>
      </c>
      <c r="F890" s="11">
        <f t="shared" si="1"/>
        <v>0.6239316239</v>
      </c>
      <c r="G890" s="5">
        <f t="shared" si="2"/>
        <v>6.376068376</v>
      </c>
      <c r="H890" s="3">
        <v>890.0</v>
      </c>
      <c r="I890" s="17"/>
    </row>
    <row r="891">
      <c r="A891" s="3">
        <v>7.0</v>
      </c>
      <c r="B891" s="3">
        <v>342.0</v>
      </c>
      <c r="C891" s="3">
        <v>630.0</v>
      </c>
      <c r="D891" s="3">
        <v>44.0</v>
      </c>
      <c r="E891" s="3">
        <v>13.0</v>
      </c>
      <c r="F891" s="11">
        <f t="shared" si="1"/>
        <v>0.5428571429</v>
      </c>
      <c r="G891" s="5">
        <f t="shared" si="2"/>
        <v>6.457142857</v>
      </c>
      <c r="H891" s="3">
        <v>891.0</v>
      </c>
      <c r="I891" s="17"/>
    </row>
    <row r="892">
      <c r="A892" s="3">
        <v>7.0</v>
      </c>
      <c r="B892" s="3">
        <v>315.0</v>
      </c>
      <c r="C892" s="3">
        <v>675.0</v>
      </c>
      <c r="D892" s="3">
        <v>44.0</v>
      </c>
      <c r="E892" s="3">
        <v>14.0</v>
      </c>
      <c r="F892" s="11">
        <f t="shared" si="1"/>
        <v>0.4666666667</v>
      </c>
      <c r="G892" s="5">
        <f t="shared" si="2"/>
        <v>6.533333333</v>
      </c>
      <c r="H892" s="3">
        <v>892.0</v>
      </c>
      <c r="I892" s="17"/>
    </row>
    <row r="893">
      <c r="A893" s="3">
        <v>7.0</v>
      </c>
      <c r="B893" s="3">
        <v>284.0</v>
      </c>
      <c r="C893" s="3">
        <v>720.0</v>
      </c>
      <c r="D893" s="3">
        <v>44.0</v>
      </c>
      <c r="E893" s="3">
        <v>15.0</v>
      </c>
      <c r="F893" s="11">
        <f t="shared" si="1"/>
        <v>0.3944444444</v>
      </c>
      <c r="G893" s="5">
        <f t="shared" si="2"/>
        <v>6.605555556</v>
      </c>
      <c r="H893" s="3">
        <v>893.0</v>
      </c>
      <c r="I893" s="17"/>
    </row>
    <row r="894">
      <c r="A894" s="3">
        <v>7.0</v>
      </c>
      <c r="B894" s="3">
        <v>253.0</v>
      </c>
      <c r="C894" s="3">
        <v>765.0</v>
      </c>
      <c r="D894" s="3">
        <v>44.0</v>
      </c>
      <c r="E894" s="3">
        <v>16.0</v>
      </c>
      <c r="F894" s="11">
        <f t="shared" si="1"/>
        <v>0.3307189542</v>
      </c>
      <c r="G894" s="5">
        <f t="shared" si="2"/>
        <v>6.669281046</v>
      </c>
      <c r="H894" s="3">
        <v>894.0</v>
      </c>
      <c r="I894" s="17"/>
    </row>
    <row r="895">
      <c r="A895" s="3">
        <v>7.0</v>
      </c>
      <c r="B895" s="3">
        <v>220.0</v>
      </c>
      <c r="C895" s="3">
        <v>810.0</v>
      </c>
      <c r="D895" s="3">
        <v>44.0</v>
      </c>
      <c r="E895" s="3">
        <v>17.0</v>
      </c>
      <c r="F895" s="11">
        <f t="shared" si="1"/>
        <v>0.2716049383</v>
      </c>
      <c r="G895" s="5">
        <f t="shared" si="2"/>
        <v>6.728395062</v>
      </c>
      <c r="H895" s="3">
        <v>895.0</v>
      </c>
      <c r="I895" s="17"/>
    </row>
    <row r="896">
      <c r="A896" s="3">
        <v>7.0</v>
      </c>
      <c r="B896" s="3">
        <v>191.0</v>
      </c>
      <c r="C896" s="3">
        <v>855.0</v>
      </c>
      <c r="D896" s="3">
        <v>44.0</v>
      </c>
      <c r="E896" s="3">
        <v>18.0</v>
      </c>
      <c r="F896" s="11">
        <f t="shared" si="1"/>
        <v>0.2233918129</v>
      </c>
      <c r="G896" s="5">
        <f t="shared" si="2"/>
        <v>6.776608187</v>
      </c>
      <c r="H896" s="3">
        <v>896.0</v>
      </c>
      <c r="I896" s="17"/>
    </row>
    <row r="897">
      <c r="A897" s="3">
        <v>7.0</v>
      </c>
      <c r="B897" s="3">
        <v>162.0</v>
      </c>
      <c r="C897" s="3">
        <v>900.0</v>
      </c>
      <c r="D897" s="3">
        <v>44.0</v>
      </c>
      <c r="E897" s="3">
        <v>19.0</v>
      </c>
      <c r="F897" s="11">
        <f t="shared" si="1"/>
        <v>0.18</v>
      </c>
      <c r="G897" s="5">
        <f t="shared" si="2"/>
        <v>6.82</v>
      </c>
      <c r="H897" s="3">
        <v>897.0</v>
      </c>
      <c r="I897" s="17"/>
    </row>
    <row r="898">
      <c r="A898" s="3">
        <v>7.0</v>
      </c>
      <c r="B898" s="3">
        <v>139.0</v>
      </c>
      <c r="C898" s="3">
        <v>945.0</v>
      </c>
      <c r="D898" s="3">
        <v>44.0</v>
      </c>
      <c r="E898" s="3">
        <v>20.0</v>
      </c>
      <c r="F898" s="11">
        <f t="shared" si="1"/>
        <v>0.1470899471</v>
      </c>
      <c r="G898" s="5">
        <f t="shared" si="2"/>
        <v>6.852910053</v>
      </c>
      <c r="H898" s="3">
        <v>898.0</v>
      </c>
      <c r="I898" s="17"/>
    </row>
    <row r="899">
      <c r="A899" s="3">
        <v>7.0</v>
      </c>
      <c r="B899" s="3">
        <v>116.0</v>
      </c>
      <c r="C899" s="3">
        <v>990.0</v>
      </c>
      <c r="D899" s="3">
        <v>44.0</v>
      </c>
      <c r="E899" s="3">
        <v>21.0</v>
      </c>
      <c r="F899" s="11">
        <f t="shared" si="1"/>
        <v>0.1171717172</v>
      </c>
      <c r="G899" s="5">
        <f t="shared" si="2"/>
        <v>6.882828283</v>
      </c>
      <c r="H899" s="3">
        <v>899.0</v>
      </c>
      <c r="I899" s="17"/>
    </row>
    <row r="900">
      <c r="A900" s="3">
        <v>7.0</v>
      </c>
      <c r="B900" s="3">
        <v>91.0</v>
      </c>
      <c r="C900" s="3">
        <v>1035.0</v>
      </c>
      <c r="D900" s="3">
        <v>44.0</v>
      </c>
      <c r="E900" s="3">
        <v>22.0</v>
      </c>
      <c r="F900" s="11">
        <f t="shared" si="1"/>
        <v>0.08792270531</v>
      </c>
      <c r="G900" s="5">
        <f t="shared" si="2"/>
        <v>6.912077295</v>
      </c>
      <c r="H900" s="3">
        <v>900.0</v>
      </c>
      <c r="I900" s="17"/>
    </row>
    <row r="901">
      <c r="A901" s="3">
        <v>7.0</v>
      </c>
      <c r="B901" s="3">
        <v>54.0</v>
      </c>
      <c r="C901" s="3">
        <v>1080.0</v>
      </c>
      <c r="D901" s="3">
        <v>44.0</v>
      </c>
      <c r="E901" s="3">
        <v>23.0</v>
      </c>
      <c r="F901" s="11">
        <f t="shared" si="1"/>
        <v>0.05</v>
      </c>
      <c r="G901" s="5">
        <f t="shared" si="2"/>
        <v>6.95</v>
      </c>
      <c r="H901" s="3">
        <v>901.0</v>
      </c>
      <c r="I901" s="17"/>
    </row>
    <row r="902">
      <c r="A902" s="3">
        <v>7.0</v>
      </c>
      <c r="B902" s="3">
        <v>356.0</v>
      </c>
      <c r="C902" s="3">
        <v>368.0</v>
      </c>
      <c r="D902" s="3">
        <v>45.0</v>
      </c>
      <c r="E902" s="3">
        <v>7.0</v>
      </c>
      <c r="F902" s="11">
        <f t="shared" si="1"/>
        <v>0.9673913043</v>
      </c>
      <c r="G902" s="5">
        <f t="shared" si="2"/>
        <v>6.032608696</v>
      </c>
      <c r="H902" s="3">
        <v>902.0</v>
      </c>
      <c r="I902" s="17"/>
    </row>
    <row r="903">
      <c r="A903" s="3">
        <v>7.0</v>
      </c>
      <c r="B903" s="3">
        <v>374.0</v>
      </c>
      <c r="C903" s="3">
        <v>414.0</v>
      </c>
      <c r="D903" s="3">
        <v>45.0</v>
      </c>
      <c r="E903" s="3">
        <v>8.0</v>
      </c>
      <c r="F903" s="11">
        <f t="shared" si="1"/>
        <v>0.9033816425</v>
      </c>
      <c r="G903" s="5">
        <f t="shared" si="2"/>
        <v>6.096618357</v>
      </c>
      <c r="H903" s="3">
        <v>903.0</v>
      </c>
      <c r="I903" s="17"/>
    </row>
    <row r="904">
      <c r="A904" s="3">
        <v>7.0</v>
      </c>
      <c r="B904" s="3">
        <v>384.0</v>
      </c>
      <c r="C904" s="3">
        <v>460.0</v>
      </c>
      <c r="D904" s="3">
        <v>45.0</v>
      </c>
      <c r="E904" s="3">
        <v>9.0</v>
      </c>
      <c r="F904" s="11">
        <f t="shared" si="1"/>
        <v>0.8347826087</v>
      </c>
      <c r="G904" s="5">
        <f t="shared" si="2"/>
        <v>6.165217391</v>
      </c>
      <c r="H904" s="3">
        <v>904.0</v>
      </c>
      <c r="I904" s="17"/>
    </row>
    <row r="905">
      <c r="A905" s="3">
        <v>7.0</v>
      </c>
      <c r="B905" s="3">
        <v>382.0</v>
      </c>
      <c r="C905" s="3">
        <v>506.0</v>
      </c>
      <c r="D905" s="3">
        <v>45.0</v>
      </c>
      <c r="E905" s="3">
        <v>10.0</v>
      </c>
      <c r="F905" s="11">
        <f t="shared" si="1"/>
        <v>0.7549407115</v>
      </c>
      <c r="G905" s="5">
        <f t="shared" si="2"/>
        <v>6.245059289</v>
      </c>
      <c r="H905" s="3">
        <v>905.0</v>
      </c>
      <c r="I905" s="17"/>
    </row>
    <row r="906">
      <c r="A906" s="3">
        <v>7.0</v>
      </c>
      <c r="B906" s="3">
        <v>372.0</v>
      </c>
      <c r="C906" s="3">
        <v>552.0</v>
      </c>
      <c r="D906" s="3">
        <v>45.0</v>
      </c>
      <c r="E906" s="3">
        <v>11.0</v>
      </c>
      <c r="F906" s="11">
        <f t="shared" si="1"/>
        <v>0.6739130435</v>
      </c>
      <c r="G906" s="5">
        <f t="shared" si="2"/>
        <v>6.326086957</v>
      </c>
      <c r="H906" s="3">
        <v>906.0</v>
      </c>
      <c r="I906" s="17"/>
    </row>
    <row r="907">
      <c r="A907" s="3">
        <v>7.0</v>
      </c>
      <c r="B907" s="3">
        <v>354.0</v>
      </c>
      <c r="C907" s="3">
        <v>598.0</v>
      </c>
      <c r="D907" s="3">
        <v>45.0</v>
      </c>
      <c r="E907" s="3">
        <v>12.0</v>
      </c>
      <c r="F907" s="11">
        <f t="shared" si="1"/>
        <v>0.5919732441</v>
      </c>
      <c r="G907" s="5">
        <f t="shared" si="2"/>
        <v>6.408026756</v>
      </c>
      <c r="H907" s="3">
        <v>907.0</v>
      </c>
      <c r="I907" s="17"/>
    </row>
    <row r="908">
      <c r="A908" s="3">
        <v>7.0</v>
      </c>
      <c r="B908" s="3">
        <v>328.0</v>
      </c>
      <c r="C908" s="3">
        <v>644.0</v>
      </c>
      <c r="D908" s="3">
        <v>45.0</v>
      </c>
      <c r="E908" s="3">
        <v>13.0</v>
      </c>
      <c r="F908" s="11">
        <f t="shared" si="1"/>
        <v>0.5093167702</v>
      </c>
      <c r="G908" s="5">
        <f t="shared" si="2"/>
        <v>6.49068323</v>
      </c>
      <c r="H908" s="3">
        <v>908.0</v>
      </c>
      <c r="I908" s="17"/>
    </row>
    <row r="909">
      <c r="A909" s="3">
        <v>7.0</v>
      </c>
      <c r="B909" s="3">
        <v>300.0</v>
      </c>
      <c r="C909" s="3">
        <v>690.0</v>
      </c>
      <c r="D909" s="3">
        <v>45.0</v>
      </c>
      <c r="E909" s="3">
        <v>14.0</v>
      </c>
      <c r="F909" s="11">
        <f t="shared" si="1"/>
        <v>0.4347826087</v>
      </c>
      <c r="G909" s="5">
        <f t="shared" si="2"/>
        <v>6.565217391</v>
      </c>
      <c r="H909" s="3">
        <v>909.0</v>
      </c>
      <c r="I909" s="17"/>
    </row>
    <row r="910">
      <c r="A910" s="3">
        <v>7.0</v>
      </c>
      <c r="B910" s="3">
        <v>268.0</v>
      </c>
      <c r="C910" s="3">
        <v>736.0</v>
      </c>
      <c r="D910" s="3">
        <v>45.0</v>
      </c>
      <c r="E910" s="3">
        <v>15.0</v>
      </c>
      <c r="F910" s="11">
        <f t="shared" si="1"/>
        <v>0.3641304348</v>
      </c>
      <c r="G910" s="5">
        <f t="shared" si="2"/>
        <v>6.635869565</v>
      </c>
      <c r="H910" s="3">
        <v>910.0</v>
      </c>
      <c r="I910" s="17"/>
    </row>
    <row r="911">
      <c r="A911" s="3">
        <v>7.0</v>
      </c>
      <c r="B911" s="3">
        <v>236.0</v>
      </c>
      <c r="C911" s="3">
        <v>782.0</v>
      </c>
      <c r="D911" s="3">
        <v>45.0</v>
      </c>
      <c r="E911" s="3">
        <v>16.0</v>
      </c>
      <c r="F911" s="11">
        <f t="shared" si="1"/>
        <v>0.3017902813</v>
      </c>
      <c r="G911" s="5">
        <f t="shared" si="2"/>
        <v>6.698209719</v>
      </c>
      <c r="H911" s="3">
        <v>911.0</v>
      </c>
      <c r="I911" s="17"/>
    </row>
    <row r="912">
      <c r="A912" s="3">
        <v>7.0</v>
      </c>
      <c r="B912" s="3">
        <v>204.0</v>
      </c>
      <c r="C912" s="3">
        <v>828.0</v>
      </c>
      <c r="D912" s="3">
        <v>45.0</v>
      </c>
      <c r="E912" s="3">
        <v>17.0</v>
      </c>
      <c r="F912" s="11">
        <f t="shared" si="1"/>
        <v>0.2463768116</v>
      </c>
      <c r="G912" s="5">
        <f t="shared" si="2"/>
        <v>6.753623188</v>
      </c>
      <c r="H912" s="3">
        <v>912.0</v>
      </c>
      <c r="I912" s="17"/>
    </row>
    <row r="913">
      <c r="A913" s="3">
        <v>7.0</v>
      </c>
      <c r="B913" s="3">
        <v>176.0</v>
      </c>
      <c r="C913" s="3">
        <v>874.0</v>
      </c>
      <c r="D913" s="3">
        <v>45.0</v>
      </c>
      <c r="E913" s="3">
        <v>18.0</v>
      </c>
      <c r="F913" s="11">
        <f t="shared" si="1"/>
        <v>0.2013729977</v>
      </c>
      <c r="G913" s="5">
        <f t="shared" si="2"/>
        <v>6.798627002</v>
      </c>
      <c r="H913" s="3">
        <v>913.0</v>
      </c>
      <c r="I913" s="17"/>
    </row>
    <row r="914">
      <c r="A914" s="3">
        <v>7.0</v>
      </c>
      <c r="B914" s="3">
        <v>148.0</v>
      </c>
      <c r="C914" s="3">
        <v>920.0</v>
      </c>
      <c r="D914" s="3">
        <v>45.0</v>
      </c>
      <c r="E914" s="3">
        <v>19.0</v>
      </c>
      <c r="F914" s="11">
        <f t="shared" si="1"/>
        <v>0.1608695652</v>
      </c>
      <c r="G914" s="5">
        <f t="shared" si="2"/>
        <v>6.839130435</v>
      </c>
      <c r="H914" s="3">
        <v>914.0</v>
      </c>
      <c r="I914" s="17"/>
    </row>
    <row r="915">
      <c r="A915" s="3">
        <v>7.0</v>
      </c>
      <c r="B915" s="3">
        <v>126.0</v>
      </c>
      <c r="C915" s="3">
        <v>966.0</v>
      </c>
      <c r="D915" s="3">
        <v>45.0</v>
      </c>
      <c r="E915" s="3">
        <v>20.0</v>
      </c>
      <c r="F915" s="11">
        <f t="shared" si="1"/>
        <v>0.1304347826</v>
      </c>
      <c r="G915" s="5">
        <f t="shared" si="2"/>
        <v>6.869565217</v>
      </c>
      <c r="H915" s="3">
        <v>915.0</v>
      </c>
      <c r="I915" s="17"/>
    </row>
    <row r="916">
      <c r="A916" s="3">
        <v>7.0</v>
      </c>
      <c r="B916" s="3">
        <v>104.0</v>
      </c>
      <c r="C916" s="3">
        <v>1012.0</v>
      </c>
      <c r="D916" s="3">
        <v>45.0</v>
      </c>
      <c r="E916" s="3">
        <v>21.0</v>
      </c>
      <c r="F916" s="11">
        <f t="shared" si="1"/>
        <v>0.1027667984</v>
      </c>
      <c r="G916" s="5">
        <f t="shared" si="2"/>
        <v>6.897233202</v>
      </c>
      <c r="H916" s="3">
        <v>916.0</v>
      </c>
      <c r="I916" s="17"/>
    </row>
    <row r="917">
      <c r="A917" s="3">
        <v>7.0</v>
      </c>
      <c r="B917" s="3">
        <v>72.0</v>
      </c>
      <c r="C917" s="3">
        <v>1058.0</v>
      </c>
      <c r="D917" s="3">
        <v>45.0</v>
      </c>
      <c r="E917" s="3">
        <v>22.0</v>
      </c>
      <c r="F917" s="11">
        <f t="shared" si="1"/>
        <v>0.06805293006</v>
      </c>
      <c r="G917" s="5">
        <f t="shared" si="2"/>
        <v>6.93194707</v>
      </c>
      <c r="H917" s="3">
        <v>917.0</v>
      </c>
      <c r="I917" s="17"/>
    </row>
    <row r="918">
      <c r="A918" s="3">
        <v>7.0</v>
      </c>
      <c r="B918" s="3">
        <v>6.0</v>
      </c>
      <c r="C918" s="3">
        <v>1104.0</v>
      </c>
      <c r="D918" s="3">
        <v>45.0</v>
      </c>
      <c r="E918" s="3">
        <v>23.0</v>
      </c>
      <c r="F918" s="11">
        <f t="shared" si="1"/>
        <v>0.005434782609</v>
      </c>
      <c r="G918" s="5">
        <f t="shared" si="2"/>
        <v>6.994565217</v>
      </c>
      <c r="H918" s="3">
        <v>918.0</v>
      </c>
      <c r="I918" s="17"/>
    </row>
    <row r="919">
      <c r="A919" s="3">
        <v>7.0</v>
      </c>
      <c r="B919" s="3">
        <v>360.0</v>
      </c>
      <c r="C919" s="3">
        <v>376.0</v>
      </c>
      <c r="D919" s="3">
        <v>46.0</v>
      </c>
      <c r="E919" s="3">
        <v>7.0</v>
      </c>
      <c r="F919" s="11">
        <f t="shared" si="1"/>
        <v>0.9574468085</v>
      </c>
      <c r="G919" s="5">
        <f t="shared" si="2"/>
        <v>6.042553191</v>
      </c>
      <c r="H919" s="3">
        <v>919.0</v>
      </c>
      <c r="I919" s="17"/>
    </row>
    <row r="920">
      <c r="A920" s="3">
        <v>7.0</v>
      </c>
      <c r="B920" s="3">
        <v>375.0</v>
      </c>
      <c r="C920" s="3">
        <v>423.0</v>
      </c>
      <c r="D920" s="3">
        <v>46.0</v>
      </c>
      <c r="E920" s="3">
        <v>8.0</v>
      </c>
      <c r="F920" s="11">
        <f t="shared" si="1"/>
        <v>0.8865248227</v>
      </c>
      <c r="G920" s="5">
        <f t="shared" si="2"/>
        <v>6.113475177</v>
      </c>
      <c r="H920" s="3">
        <v>920.0</v>
      </c>
      <c r="I920" s="17"/>
    </row>
    <row r="921">
      <c r="A921" s="3">
        <v>7.0</v>
      </c>
      <c r="B921" s="3">
        <v>382.0</v>
      </c>
      <c r="C921" s="3">
        <v>470.0</v>
      </c>
      <c r="D921" s="3">
        <v>46.0</v>
      </c>
      <c r="E921" s="3">
        <v>9.0</v>
      </c>
      <c r="F921" s="11">
        <f t="shared" si="1"/>
        <v>0.8127659574</v>
      </c>
      <c r="G921" s="5">
        <f t="shared" si="2"/>
        <v>6.187234043</v>
      </c>
      <c r="H921" s="3">
        <v>921.0</v>
      </c>
      <c r="I921" s="17"/>
    </row>
    <row r="922">
      <c r="A922" s="3">
        <v>7.0</v>
      </c>
      <c r="B922" s="3">
        <v>377.0</v>
      </c>
      <c r="C922" s="3">
        <v>517.0</v>
      </c>
      <c r="D922" s="3">
        <v>46.0</v>
      </c>
      <c r="E922" s="3">
        <v>10.0</v>
      </c>
      <c r="F922" s="11">
        <f t="shared" si="1"/>
        <v>0.7292069632</v>
      </c>
      <c r="G922" s="5">
        <f t="shared" si="2"/>
        <v>6.270793037</v>
      </c>
      <c r="H922" s="3">
        <v>922.0</v>
      </c>
      <c r="I922" s="17"/>
    </row>
    <row r="923">
      <c r="A923" s="3">
        <v>7.0</v>
      </c>
      <c r="B923" s="3">
        <v>364.0</v>
      </c>
      <c r="C923" s="3">
        <v>564.0</v>
      </c>
      <c r="D923" s="3">
        <v>46.0</v>
      </c>
      <c r="E923" s="3">
        <v>11.0</v>
      </c>
      <c r="F923" s="11">
        <f t="shared" si="1"/>
        <v>0.6453900709</v>
      </c>
      <c r="G923" s="5">
        <f t="shared" si="2"/>
        <v>6.354609929</v>
      </c>
      <c r="H923" s="3">
        <v>923.0</v>
      </c>
      <c r="I923" s="17"/>
    </row>
    <row r="924">
      <c r="A924" s="3">
        <v>7.0</v>
      </c>
      <c r="B924" s="3">
        <v>343.0</v>
      </c>
      <c r="C924" s="3">
        <v>611.0</v>
      </c>
      <c r="D924" s="3">
        <v>46.0</v>
      </c>
      <c r="E924" s="3">
        <v>12.0</v>
      </c>
      <c r="F924" s="11">
        <f t="shared" si="1"/>
        <v>0.5613747954</v>
      </c>
      <c r="G924" s="5">
        <f t="shared" si="2"/>
        <v>6.438625205</v>
      </c>
      <c r="H924" s="3">
        <v>924.0</v>
      </c>
      <c r="I924" s="17"/>
    </row>
    <row r="925">
      <c r="A925" s="3">
        <v>7.0</v>
      </c>
      <c r="B925" s="3">
        <v>314.0</v>
      </c>
      <c r="C925" s="3">
        <v>658.0</v>
      </c>
      <c r="D925" s="3">
        <v>46.0</v>
      </c>
      <c r="E925" s="3">
        <v>13.0</v>
      </c>
      <c r="F925" s="11">
        <f t="shared" si="1"/>
        <v>0.4772036474</v>
      </c>
      <c r="G925" s="5">
        <f t="shared" si="2"/>
        <v>6.522796353</v>
      </c>
      <c r="H925" s="3">
        <v>925.0</v>
      </c>
      <c r="I925" s="17"/>
    </row>
    <row r="926">
      <c r="A926" s="3">
        <v>7.0</v>
      </c>
      <c r="B926" s="3">
        <v>285.0</v>
      </c>
      <c r="C926" s="3">
        <v>705.0</v>
      </c>
      <c r="D926" s="3">
        <v>46.0</v>
      </c>
      <c r="E926" s="3">
        <v>14.0</v>
      </c>
      <c r="F926" s="11">
        <f t="shared" si="1"/>
        <v>0.4042553191</v>
      </c>
      <c r="G926" s="5">
        <f t="shared" si="2"/>
        <v>6.595744681</v>
      </c>
      <c r="H926" s="3">
        <v>926.0</v>
      </c>
      <c r="I926" s="17"/>
    </row>
    <row r="927">
      <c r="A927" s="3">
        <v>7.0</v>
      </c>
      <c r="B927" s="3">
        <v>252.0</v>
      </c>
      <c r="C927" s="3">
        <v>752.0</v>
      </c>
      <c r="D927" s="3">
        <v>46.0</v>
      </c>
      <c r="E927" s="3">
        <v>15.0</v>
      </c>
      <c r="F927" s="11">
        <f t="shared" si="1"/>
        <v>0.335106383</v>
      </c>
      <c r="G927" s="5">
        <f t="shared" si="2"/>
        <v>6.664893617</v>
      </c>
      <c r="H927" s="3">
        <v>927.0</v>
      </c>
      <c r="I927" s="17"/>
    </row>
    <row r="928">
      <c r="A928" s="3">
        <v>7.0</v>
      </c>
      <c r="B928" s="3">
        <v>221.0</v>
      </c>
      <c r="C928" s="3">
        <v>799.0</v>
      </c>
      <c r="D928" s="3">
        <v>46.0</v>
      </c>
      <c r="E928" s="3">
        <v>16.0</v>
      </c>
      <c r="F928" s="11">
        <f t="shared" si="1"/>
        <v>0.2765957447</v>
      </c>
      <c r="G928" s="5">
        <f t="shared" si="2"/>
        <v>6.723404255</v>
      </c>
      <c r="H928" s="3">
        <v>928.0</v>
      </c>
      <c r="I928" s="17"/>
    </row>
    <row r="929">
      <c r="A929" s="3">
        <v>7.0</v>
      </c>
      <c r="B929" s="3">
        <v>190.0</v>
      </c>
      <c r="C929" s="3">
        <v>846.0</v>
      </c>
      <c r="D929" s="3">
        <v>46.0</v>
      </c>
      <c r="E929" s="3">
        <v>17.0</v>
      </c>
      <c r="F929" s="11">
        <f t="shared" si="1"/>
        <v>0.2245862884</v>
      </c>
      <c r="G929" s="5">
        <f t="shared" si="2"/>
        <v>6.775413712</v>
      </c>
      <c r="H929" s="3">
        <v>929.0</v>
      </c>
      <c r="I929" s="17"/>
    </row>
    <row r="930">
      <c r="A930" s="3">
        <v>7.0</v>
      </c>
      <c r="B930" s="3">
        <v>163.0</v>
      </c>
      <c r="C930" s="3">
        <v>893.0</v>
      </c>
      <c r="D930" s="3">
        <v>46.0</v>
      </c>
      <c r="E930" s="3">
        <v>18.0</v>
      </c>
      <c r="F930" s="11">
        <f t="shared" si="1"/>
        <v>0.1825307951</v>
      </c>
      <c r="G930" s="5">
        <f t="shared" si="2"/>
        <v>6.817469205</v>
      </c>
      <c r="H930" s="3">
        <v>930.0</v>
      </c>
      <c r="I930" s="17"/>
    </row>
    <row r="931">
      <c r="A931" s="3">
        <v>7.0</v>
      </c>
      <c r="B931" s="3">
        <v>136.0</v>
      </c>
      <c r="C931" s="3">
        <v>940.0</v>
      </c>
      <c r="D931" s="3">
        <v>46.0</v>
      </c>
      <c r="E931" s="3">
        <v>19.0</v>
      </c>
      <c r="F931" s="11">
        <f t="shared" si="1"/>
        <v>0.1446808511</v>
      </c>
      <c r="G931" s="5">
        <f t="shared" si="2"/>
        <v>6.855319149</v>
      </c>
      <c r="H931" s="3">
        <v>931.0</v>
      </c>
      <c r="I931" s="17"/>
    </row>
    <row r="932">
      <c r="A932" s="3">
        <v>7.0</v>
      </c>
      <c r="B932" s="3">
        <v>115.0</v>
      </c>
      <c r="C932" s="3">
        <v>987.0</v>
      </c>
      <c r="D932" s="3">
        <v>46.0</v>
      </c>
      <c r="E932" s="3">
        <v>20.0</v>
      </c>
      <c r="F932" s="11">
        <f t="shared" si="1"/>
        <v>0.116514691</v>
      </c>
      <c r="G932" s="5">
        <f t="shared" si="2"/>
        <v>6.883485309</v>
      </c>
      <c r="H932" s="3">
        <v>932.0</v>
      </c>
      <c r="I932" s="17"/>
    </row>
    <row r="933">
      <c r="A933" s="3">
        <v>7.0</v>
      </c>
      <c r="B933" s="3">
        <v>86.0</v>
      </c>
      <c r="C933" s="3">
        <v>1034.0</v>
      </c>
      <c r="D933" s="3">
        <v>46.0</v>
      </c>
      <c r="E933" s="3">
        <v>21.0</v>
      </c>
      <c r="F933" s="11">
        <f t="shared" si="1"/>
        <v>0.083172147</v>
      </c>
      <c r="G933" s="5">
        <f t="shared" si="2"/>
        <v>6.916827853</v>
      </c>
      <c r="H933" s="3">
        <v>933.0</v>
      </c>
      <c r="I933" s="17"/>
    </row>
    <row r="934">
      <c r="A934" s="3">
        <v>7.0</v>
      </c>
      <c r="B934" s="3">
        <v>38.0</v>
      </c>
      <c r="C934" s="3">
        <v>1081.0</v>
      </c>
      <c r="D934" s="3">
        <v>46.0</v>
      </c>
      <c r="E934" s="3">
        <v>22.0</v>
      </c>
      <c r="F934" s="11">
        <f t="shared" si="1"/>
        <v>0.03515263645</v>
      </c>
      <c r="G934" s="5">
        <f t="shared" si="2"/>
        <v>6.964847364</v>
      </c>
      <c r="H934" s="3">
        <v>934.0</v>
      </c>
      <c r="I934" s="17"/>
    </row>
    <row r="935">
      <c r="A935" s="3">
        <v>7.0</v>
      </c>
      <c r="B935" s="3">
        <v>332.0</v>
      </c>
      <c r="C935" s="3">
        <v>336.0</v>
      </c>
      <c r="D935" s="3">
        <v>47.0</v>
      </c>
      <c r="E935" s="3">
        <v>6.0</v>
      </c>
      <c r="F935" s="11">
        <f t="shared" si="1"/>
        <v>0.9880952381</v>
      </c>
      <c r="G935" s="5">
        <f t="shared" si="2"/>
        <v>6.011904762</v>
      </c>
      <c r="H935" s="3">
        <v>935.0</v>
      </c>
      <c r="I935" s="17"/>
    </row>
    <row r="936">
      <c r="A936" s="3">
        <v>7.0</v>
      </c>
      <c r="B936" s="3">
        <v>360.0</v>
      </c>
      <c r="C936" s="3">
        <v>384.0</v>
      </c>
      <c r="D936" s="3">
        <v>47.0</v>
      </c>
      <c r="E936" s="3">
        <v>7.0</v>
      </c>
      <c r="F936" s="11">
        <f t="shared" si="1"/>
        <v>0.9375</v>
      </c>
      <c r="G936" s="5">
        <f t="shared" si="2"/>
        <v>6.0625</v>
      </c>
      <c r="H936" s="3">
        <v>936.0</v>
      </c>
      <c r="I936" s="17"/>
    </row>
    <row r="937">
      <c r="A937" s="3">
        <v>7.0</v>
      </c>
      <c r="B937" s="3">
        <v>372.0</v>
      </c>
      <c r="C937" s="3">
        <v>432.0</v>
      </c>
      <c r="D937" s="3">
        <v>47.0</v>
      </c>
      <c r="E937" s="3">
        <v>8.0</v>
      </c>
      <c r="F937" s="11">
        <f t="shared" si="1"/>
        <v>0.8611111111</v>
      </c>
      <c r="G937" s="5">
        <f t="shared" si="2"/>
        <v>6.138888889</v>
      </c>
      <c r="H937" s="3">
        <v>937.0</v>
      </c>
      <c r="I937" s="17"/>
    </row>
    <row r="938">
      <c r="A938" s="3">
        <v>7.0</v>
      </c>
      <c r="B938" s="3">
        <v>376.0</v>
      </c>
      <c r="C938" s="3">
        <v>480.0</v>
      </c>
      <c r="D938" s="3">
        <v>47.0</v>
      </c>
      <c r="E938" s="3">
        <v>9.0</v>
      </c>
      <c r="F938" s="11">
        <f t="shared" si="1"/>
        <v>0.7833333333</v>
      </c>
      <c r="G938" s="5">
        <f t="shared" si="2"/>
        <v>6.216666667</v>
      </c>
      <c r="H938" s="3">
        <v>938.0</v>
      </c>
      <c r="I938" s="17"/>
    </row>
    <row r="939">
      <c r="A939" s="3">
        <v>7.0</v>
      </c>
      <c r="B939" s="3">
        <v>368.0</v>
      </c>
      <c r="C939" s="3">
        <v>528.0</v>
      </c>
      <c r="D939" s="3">
        <v>47.0</v>
      </c>
      <c r="E939" s="3">
        <v>10.0</v>
      </c>
      <c r="F939" s="11">
        <f t="shared" si="1"/>
        <v>0.696969697</v>
      </c>
      <c r="G939" s="5">
        <f t="shared" si="2"/>
        <v>6.303030303</v>
      </c>
      <c r="H939" s="3">
        <v>939.0</v>
      </c>
      <c r="I939" s="17"/>
    </row>
    <row r="940">
      <c r="A940" s="3">
        <v>7.0</v>
      </c>
      <c r="B940" s="3">
        <v>352.0</v>
      </c>
      <c r="C940" s="3">
        <v>576.0</v>
      </c>
      <c r="D940" s="3">
        <v>47.0</v>
      </c>
      <c r="E940" s="3">
        <v>11.0</v>
      </c>
      <c r="F940" s="11">
        <f t="shared" si="1"/>
        <v>0.6111111111</v>
      </c>
      <c r="G940" s="5">
        <f t="shared" si="2"/>
        <v>6.388888889</v>
      </c>
      <c r="H940" s="3">
        <v>940.0</v>
      </c>
      <c r="I940" s="17"/>
    </row>
    <row r="941">
      <c r="A941" s="3">
        <v>7.0</v>
      </c>
      <c r="B941" s="3">
        <v>330.0</v>
      </c>
      <c r="C941" s="3">
        <v>624.0</v>
      </c>
      <c r="D941" s="3">
        <v>47.0</v>
      </c>
      <c r="E941" s="3">
        <v>12.0</v>
      </c>
      <c r="F941" s="11">
        <f t="shared" si="1"/>
        <v>0.5288461538</v>
      </c>
      <c r="G941" s="5">
        <f t="shared" si="2"/>
        <v>6.471153846</v>
      </c>
      <c r="H941" s="3">
        <v>941.0</v>
      </c>
      <c r="I941" s="17"/>
    </row>
    <row r="942">
      <c r="A942" s="3">
        <v>7.0</v>
      </c>
      <c r="B942" s="3">
        <v>300.0</v>
      </c>
      <c r="C942" s="3">
        <v>672.0</v>
      </c>
      <c r="D942" s="3">
        <v>47.0</v>
      </c>
      <c r="E942" s="3">
        <v>13.0</v>
      </c>
      <c r="F942" s="11">
        <f t="shared" si="1"/>
        <v>0.4464285714</v>
      </c>
      <c r="G942" s="5">
        <f t="shared" si="2"/>
        <v>6.553571429</v>
      </c>
      <c r="H942" s="3">
        <v>942.0</v>
      </c>
      <c r="I942" s="17"/>
    </row>
    <row r="943">
      <c r="A943" s="3">
        <v>7.0</v>
      </c>
      <c r="B943" s="3">
        <v>270.0</v>
      </c>
      <c r="C943" s="3">
        <v>720.0</v>
      </c>
      <c r="D943" s="3">
        <v>47.0</v>
      </c>
      <c r="E943" s="3">
        <v>14.0</v>
      </c>
      <c r="F943" s="11">
        <f t="shared" si="1"/>
        <v>0.375</v>
      </c>
      <c r="G943" s="5">
        <f t="shared" si="2"/>
        <v>6.625</v>
      </c>
      <c r="H943" s="3">
        <v>943.0</v>
      </c>
      <c r="I943" s="17"/>
    </row>
    <row r="944">
      <c r="A944" s="3">
        <v>7.0</v>
      </c>
      <c r="B944" s="3">
        <v>236.0</v>
      </c>
      <c r="C944" s="3">
        <v>768.0</v>
      </c>
      <c r="D944" s="3">
        <v>47.0</v>
      </c>
      <c r="E944" s="3">
        <v>15.0</v>
      </c>
      <c r="F944" s="11">
        <f t="shared" si="1"/>
        <v>0.3072916667</v>
      </c>
      <c r="G944" s="5">
        <f t="shared" si="2"/>
        <v>6.692708333</v>
      </c>
      <c r="H944" s="3">
        <v>944.0</v>
      </c>
      <c r="I944" s="17"/>
    </row>
    <row r="945">
      <c r="A945" s="3">
        <v>7.0</v>
      </c>
      <c r="B945" s="3">
        <v>206.0</v>
      </c>
      <c r="C945" s="3">
        <v>816.0</v>
      </c>
      <c r="D945" s="3">
        <v>47.0</v>
      </c>
      <c r="E945" s="3">
        <v>16.0</v>
      </c>
      <c r="F945" s="11">
        <f t="shared" si="1"/>
        <v>0.2524509804</v>
      </c>
      <c r="G945" s="5">
        <f t="shared" si="2"/>
        <v>6.74754902</v>
      </c>
      <c r="H945" s="3">
        <v>945.0</v>
      </c>
      <c r="I945" s="17"/>
    </row>
    <row r="946">
      <c r="A946" s="3">
        <v>7.0</v>
      </c>
      <c r="B946" s="3">
        <v>176.0</v>
      </c>
      <c r="C946" s="3">
        <v>864.0</v>
      </c>
      <c r="D946" s="3">
        <v>47.0</v>
      </c>
      <c r="E946" s="3">
        <v>17.0</v>
      </c>
      <c r="F946" s="11">
        <f t="shared" si="1"/>
        <v>0.2037037037</v>
      </c>
      <c r="G946" s="5">
        <f t="shared" si="2"/>
        <v>6.796296296</v>
      </c>
      <c r="H946" s="3">
        <v>946.0</v>
      </c>
      <c r="I946" s="17"/>
    </row>
    <row r="947">
      <c r="A947" s="3">
        <v>7.0</v>
      </c>
      <c r="B947" s="3">
        <v>150.0</v>
      </c>
      <c r="C947" s="3">
        <v>912.0</v>
      </c>
      <c r="D947" s="3">
        <v>47.0</v>
      </c>
      <c r="E947" s="3">
        <v>18.0</v>
      </c>
      <c r="F947" s="11">
        <f t="shared" si="1"/>
        <v>0.1644736842</v>
      </c>
      <c r="G947" s="5">
        <f t="shared" si="2"/>
        <v>6.835526316</v>
      </c>
      <c r="H947" s="3">
        <v>947.0</v>
      </c>
      <c r="I947" s="17"/>
    </row>
    <row r="948">
      <c r="A948" s="3">
        <v>7.0</v>
      </c>
      <c r="B948" s="3">
        <v>124.0</v>
      </c>
      <c r="C948" s="3">
        <v>960.0</v>
      </c>
      <c r="D948" s="3">
        <v>47.0</v>
      </c>
      <c r="E948" s="3">
        <v>19.0</v>
      </c>
      <c r="F948" s="11">
        <f t="shared" si="1"/>
        <v>0.1291666667</v>
      </c>
      <c r="G948" s="5">
        <f t="shared" si="2"/>
        <v>6.870833333</v>
      </c>
      <c r="H948" s="3">
        <v>948.0</v>
      </c>
      <c r="I948" s="17"/>
    </row>
    <row r="949">
      <c r="A949" s="3">
        <v>7.0</v>
      </c>
      <c r="B949" s="3">
        <v>102.0</v>
      </c>
      <c r="C949" s="3">
        <v>1008.0</v>
      </c>
      <c r="D949" s="3">
        <v>47.0</v>
      </c>
      <c r="E949" s="3">
        <v>20.0</v>
      </c>
      <c r="F949" s="11">
        <f t="shared" si="1"/>
        <v>0.1011904762</v>
      </c>
      <c r="G949" s="5">
        <f t="shared" si="2"/>
        <v>6.898809524</v>
      </c>
      <c r="H949" s="3">
        <v>949.0</v>
      </c>
      <c r="I949" s="17"/>
    </row>
    <row r="950">
      <c r="A950" s="3">
        <v>7.0</v>
      </c>
      <c r="B950" s="3">
        <v>70.0</v>
      </c>
      <c r="C950" s="3">
        <v>1056.0</v>
      </c>
      <c r="D950" s="3">
        <v>47.0</v>
      </c>
      <c r="E950" s="3">
        <v>21.0</v>
      </c>
      <c r="F950" s="11">
        <f t="shared" si="1"/>
        <v>0.06628787879</v>
      </c>
      <c r="G950" s="5">
        <f t="shared" si="2"/>
        <v>6.933712121</v>
      </c>
      <c r="H950" s="3">
        <v>950.0</v>
      </c>
      <c r="I950" s="17"/>
    </row>
    <row r="951">
      <c r="A951" s="3">
        <v>7.0</v>
      </c>
      <c r="B951" s="3">
        <v>4.0</v>
      </c>
      <c r="C951" s="3">
        <v>1104.0</v>
      </c>
      <c r="D951" s="3">
        <v>47.0</v>
      </c>
      <c r="E951" s="3">
        <v>22.0</v>
      </c>
      <c r="F951" s="11">
        <f t="shared" si="1"/>
        <v>0.003623188406</v>
      </c>
      <c r="G951" s="5">
        <f t="shared" si="2"/>
        <v>6.996376812</v>
      </c>
      <c r="H951" s="3">
        <v>951.0</v>
      </c>
      <c r="I951" s="17"/>
    </row>
    <row r="952">
      <c r="A952" s="3">
        <v>7.0</v>
      </c>
      <c r="B952" s="3">
        <v>335.0</v>
      </c>
      <c r="C952" s="3">
        <v>343.0</v>
      </c>
      <c r="D952" s="3">
        <v>48.0</v>
      </c>
      <c r="E952" s="3">
        <v>6.0</v>
      </c>
      <c r="F952" s="11">
        <f t="shared" si="1"/>
        <v>0.9766763848</v>
      </c>
      <c r="G952" s="5">
        <f t="shared" si="2"/>
        <v>6.023323615</v>
      </c>
      <c r="H952" s="3">
        <v>952.0</v>
      </c>
      <c r="I952" s="17"/>
    </row>
    <row r="953">
      <c r="A953" s="3">
        <v>7.0</v>
      </c>
      <c r="B953" s="3">
        <v>360.0</v>
      </c>
      <c r="C953" s="3">
        <v>392.0</v>
      </c>
      <c r="D953" s="3">
        <v>48.0</v>
      </c>
      <c r="E953" s="3">
        <v>7.0</v>
      </c>
      <c r="F953" s="11">
        <f t="shared" si="1"/>
        <v>0.9183673469</v>
      </c>
      <c r="G953" s="5">
        <f t="shared" si="2"/>
        <v>6.081632653</v>
      </c>
      <c r="H953" s="3">
        <v>953.0</v>
      </c>
      <c r="I953" s="17"/>
    </row>
    <row r="954">
      <c r="A954" s="3">
        <v>7.0</v>
      </c>
      <c r="B954" s="3">
        <v>369.0</v>
      </c>
      <c r="C954" s="3">
        <v>441.0</v>
      </c>
      <c r="D954" s="3">
        <v>48.0</v>
      </c>
      <c r="E954" s="3">
        <v>8.0</v>
      </c>
      <c r="F954" s="11">
        <f t="shared" si="1"/>
        <v>0.8367346939</v>
      </c>
      <c r="G954" s="5">
        <f t="shared" si="2"/>
        <v>6.163265306</v>
      </c>
      <c r="H954" s="3">
        <v>954.0</v>
      </c>
      <c r="I954" s="17"/>
    </row>
    <row r="955">
      <c r="A955" s="3">
        <v>7.0</v>
      </c>
      <c r="B955" s="3">
        <v>370.0</v>
      </c>
      <c r="C955" s="3">
        <v>490.0</v>
      </c>
      <c r="D955" s="3">
        <v>48.0</v>
      </c>
      <c r="E955" s="3">
        <v>9.0</v>
      </c>
      <c r="F955" s="11">
        <f t="shared" si="1"/>
        <v>0.7551020408</v>
      </c>
      <c r="G955" s="5">
        <f t="shared" si="2"/>
        <v>6.244897959</v>
      </c>
      <c r="H955" s="3">
        <v>955.0</v>
      </c>
      <c r="I955" s="17"/>
    </row>
    <row r="956">
      <c r="A956" s="3">
        <v>7.0</v>
      </c>
      <c r="B956" s="3">
        <v>359.0</v>
      </c>
      <c r="C956" s="3">
        <v>539.0</v>
      </c>
      <c r="D956" s="3">
        <v>48.0</v>
      </c>
      <c r="E956" s="3">
        <v>10.0</v>
      </c>
      <c r="F956" s="11">
        <f t="shared" si="1"/>
        <v>0.6660482375</v>
      </c>
      <c r="G956" s="5">
        <f t="shared" si="2"/>
        <v>6.333951763</v>
      </c>
      <c r="H956" s="3">
        <v>956.0</v>
      </c>
      <c r="I956" s="17"/>
    </row>
    <row r="957">
      <c r="A957" s="3">
        <v>7.0</v>
      </c>
      <c r="B957" s="3">
        <v>340.0</v>
      </c>
      <c r="C957" s="3">
        <v>588.0</v>
      </c>
      <c r="D957" s="3">
        <v>48.0</v>
      </c>
      <c r="E957" s="3">
        <v>11.0</v>
      </c>
      <c r="F957" s="11">
        <f t="shared" si="1"/>
        <v>0.5782312925</v>
      </c>
      <c r="G957" s="5">
        <f t="shared" si="2"/>
        <v>6.421768707</v>
      </c>
      <c r="H957" s="3">
        <v>957.0</v>
      </c>
      <c r="I957" s="17"/>
    </row>
    <row r="958">
      <c r="A958" s="3">
        <v>7.0</v>
      </c>
      <c r="B958" s="3">
        <v>317.0</v>
      </c>
      <c r="C958" s="3">
        <v>637.0</v>
      </c>
      <c r="D958" s="3">
        <v>48.0</v>
      </c>
      <c r="E958" s="3">
        <v>12.0</v>
      </c>
      <c r="F958" s="11">
        <f t="shared" si="1"/>
        <v>0.4976452119</v>
      </c>
      <c r="G958" s="5">
        <f t="shared" si="2"/>
        <v>6.502354788</v>
      </c>
      <c r="H958" s="3">
        <v>958.0</v>
      </c>
      <c r="I958" s="17"/>
    </row>
    <row r="959">
      <c r="A959" s="3">
        <v>7.0</v>
      </c>
      <c r="B959" s="3">
        <v>286.0</v>
      </c>
      <c r="C959" s="3">
        <v>686.0</v>
      </c>
      <c r="D959" s="3">
        <v>48.0</v>
      </c>
      <c r="E959" s="3">
        <v>13.0</v>
      </c>
      <c r="F959" s="11">
        <f t="shared" si="1"/>
        <v>0.416909621</v>
      </c>
      <c r="G959" s="5">
        <f t="shared" si="2"/>
        <v>6.583090379</v>
      </c>
      <c r="H959" s="3">
        <v>959.0</v>
      </c>
      <c r="I959" s="17"/>
    </row>
    <row r="960">
      <c r="A960" s="3">
        <v>7.0</v>
      </c>
      <c r="B960" s="3">
        <v>255.0</v>
      </c>
      <c r="C960" s="3">
        <v>735.0</v>
      </c>
      <c r="D960" s="3">
        <v>48.0</v>
      </c>
      <c r="E960" s="3">
        <v>14.0</v>
      </c>
      <c r="F960" s="11">
        <f t="shared" si="1"/>
        <v>0.3469387755</v>
      </c>
      <c r="G960" s="5">
        <f t="shared" si="2"/>
        <v>6.653061224</v>
      </c>
      <c r="H960" s="3">
        <v>960.0</v>
      </c>
      <c r="I960" s="17"/>
    </row>
    <row r="961">
      <c r="A961" s="3">
        <v>7.0</v>
      </c>
      <c r="B961" s="3">
        <v>220.0</v>
      </c>
      <c r="C961" s="3">
        <v>784.0</v>
      </c>
      <c r="D961" s="3">
        <v>48.0</v>
      </c>
      <c r="E961" s="3">
        <v>15.0</v>
      </c>
      <c r="F961" s="11">
        <f t="shared" si="1"/>
        <v>0.2806122449</v>
      </c>
      <c r="G961" s="5">
        <f t="shared" si="2"/>
        <v>6.719387755</v>
      </c>
      <c r="H961" s="3">
        <v>961.0</v>
      </c>
      <c r="I961" s="17"/>
    </row>
    <row r="962">
      <c r="A962" s="3">
        <v>7.0</v>
      </c>
      <c r="B962" s="3">
        <v>191.0</v>
      </c>
      <c r="C962" s="3">
        <v>833.0</v>
      </c>
      <c r="D962" s="3">
        <v>48.0</v>
      </c>
      <c r="E962" s="3">
        <v>16.0</v>
      </c>
      <c r="F962" s="11">
        <f t="shared" si="1"/>
        <v>0.2292917167</v>
      </c>
      <c r="G962" s="5">
        <f t="shared" si="2"/>
        <v>6.770708283</v>
      </c>
      <c r="H962" s="3">
        <v>962.0</v>
      </c>
      <c r="I962" s="17"/>
    </row>
    <row r="963">
      <c r="A963" s="3">
        <v>7.0</v>
      </c>
      <c r="B963" s="3">
        <v>162.0</v>
      </c>
      <c r="C963" s="3">
        <v>882.0</v>
      </c>
      <c r="D963" s="3">
        <v>48.0</v>
      </c>
      <c r="E963" s="3">
        <v>17.0</v>
      </c>
      <c r="F963" s="11">
        <f t="shared" si="1"/>
        <v>0.1836734694</v>
      </c>
      <c r="G963" s="5">
        <f t="shared" si="2"/>
        <v>6.816326531</v>
      </c>
      <c r="H963" s="3">
        <v>963.0</v>
      </c>
      <c r="I963" s="17"/>
    </row>
    <row r="964">
      <c r="A964" s="3">
        <v>7.0</v>
      </c>
      <c r="B964" s="3">
        <v>137.0</v>
      </c>
      <c r="C964" s="3">
        <v>931.0</v>
      </c>
      <c r="D964" s="3">
        <v>48.0</v>
      </c>
      <c r="E964" s="3">
        <v>18.0</v>
      </c>
      <c r="F964" s="11">
        <f t="shared" si="1"/>
        <v>0.1471535983</v>
      </c>
      <c r="G964" s="5">
        <f t="shared" si="2"/>
        <v>6.852846402</v>
      </c>
      <c r="H964" s="3">
        <v>964.0</v>
      </c>
      <c r="I964" s="17"/>
    </row>
    <row r="965">
      <c r="A965" s="3">
        <v>7.0</v>
      </c>
      <c r="B965" s="3">
        <v>112.0</v>
      </c>
      <c r="C965" s="3">
        <v>980.0</v>
      </c>
      <c r="D965" s="3">
        <v>48.0</v>
      </c>
      <c r="E965" s="3">
        <v>19.0</v>
      </c>
      <c r="F965" s="11">
        <f t="shared" si="1"/>
        <v>0.1142857143</v>
      </c>
      <c r="G965" s="5">
        <f t="shared" si="2"/>
        <v>6.885714286</v>
      </c>
      <c r="H965" s="3">
        <v>965.0</v>
      </c>
      <c r="I965" s="17"/>
    </row>
    <row r="966">
      <c r="A966" s="3">
        <v>7.0</v>
      </c>
      <c r="B966" s="3">
        <v>85.0</v>
      </c>
      <c r="C966" s="3">
        <v>1029.0</v>
      </c>
      <c r="D966" s="3">
        <v>48.0</v>
      </c>
      <c r="E966" s="3">
        <v>20.0</v>
      </c>
      <c r="F966" s="11">
        <f t="shared" si="1"/>
        <v>0.08260447036</v>
      </c>
      <c r="G966" s="5">
        <f t="shared" si="2"/>
        <v>6.91739553</v>
      </c>
      <c r="H966" s="3">
        <v>966.0</v>
      </c>
      <c r="I966" s="17"/>
    </row>
    <row r="967">
      <c r="A967" s="3">
        <v>7.0</v>
      </c>
      <c r="B967" s="3">
        <v>32.0</v>
      </c>
      <c r="C967" s="3">
        <v>1078.0</v>
      </c>
      <c r="D967" s="3">
        <v>48.0</v>
      </c>
      <c r="E967" s="3">
        <v>21.0</v>
      </c>
      <c r="F967" s="11">
        <f t="shared" si="1"/>
        <v>0.02968460111</v>
      </c>
      <c r="G967" s="5">
        <f t="shared" si="2"/>
        <v>6.970315399</v>
      </c>
      <c r="H967" s="3">
        <v>967.0</v>
      </c>
      <c r="I967" s="17"/>
    </row>
    <row r="968">
      <c r="A968" s="3">
        <v>7.0</v>
      </c>
      <c r="B968" s="3">
        <v>338.0</v>
      </c>
      <c r="C968" s="3">
        <v>350.0</v>
      </c>
      <c r="D968" s="3">
        <v>49.0</v>
      </c>
      <c r="E968" s="3">
        <v>6.0</v>
      </c>
      <c r="F968" s="11">
        <f t="shared" si="1"/>
        <v>0.9657142857</v>
      </c>
      <c r="G968" s="5">
        <f t="shared" si="2"/>
        <v>6.034285714</v>
      </c>
      <c r="H968" s="3">
        <v>968.0</v>
      </c>
      <c r="I968" s="17"/>
    </row>
    <row r="969">
      <c r="A969" s="3">
        <v>7.0</v>
      </c>
      <c r="B969" s="3">
        <v>360.0</v>
      </c>
      <c r="C969" s="3">
        <v>400.0</v>
      </c>
      <c r="D969" s="3">
        <v>49.0</v>
      </c>
      <c r="E969" s="3">
        <v>7.0</v>
      </c>
      <c r="F969" s="11">
        <f t="shared" si="1"/>
        <v>0.9</v>
      </c>
      <c r="G969" s="5">
        <f t="shared" si="2"/>
        <v>6.1</v>
      </c>
      <c r="H969" s="3">
        <v>969.0</v>
      </c>
      <c r="I969" s="17"/>
    </row>
    <row r="970">
      <c r="A970" s="3">
        <v>7.0</v>
      </c>
      <c r="B970" s="3">
        <v>366.0</v>
      </c>
      <c r="C970" s="3">
        <v>450.0</v>
      </c>
      <c r="D970" s="3">
        <v>49.0</v>
      </c>
      <c r="E970" s="3">
        <v>8.0</v>
      </c>
      <c r="F970" s="11">
        <f t="shared" si="1"/>
        <v>0.8133333333</v>
      </c>
      <c r="G970" s="5">
        <f t="shared" si="2"/>
        <v>6.186666667</v>
      </c>
      <c r="H970" s="3">
        <v>970.0</v>
      </c>
      <c r="I970" s="17"/>
    </row>
    <row r="971">
      <c r="A971" s="3">
        <v>7.0</v>
      </c>
      <c r="B971" s="3">
        <v>364.0</v>
      </c>
      <c r="C971" s="3">
        <v>500.0</v>
      </c>
      <c r="D971" s="3">
        <v>49.0</v>
      </c>
      <c r="E971" s="3">
        <v>9.0</v>
      </c>
      <c r="F971" s="11">
        <f t="shared" si="1"/>
        <v>0.728</v>
      </c>
      <c r="G971" s="5">
        <f t="shared" si="2"/>
        <v>6.272</v>
      </c>
      <c r="H971" s="3">
        <v>971.0</v>
      </c>
      <c r="I971" s="17"/>
    </row>
    <row r="972">
      <c r="A972" s="3">
        <v>7.0</v>
      </c>
      <c r="B972" s="3">
        <v>350.0</v>
      </c>
      <c r="C972" s="3">
        <v>550.0</v>
      </c>
      <c r="D972" s="3">
        <v>49.0</v>
      </c>
      <c r="E972" s="3">
        <v>10.0</v>
      </c>
      <c r="F972" s="11">
        <f t="shared" si="1"/>
        <v>0.6363636364</v>
      </c>
      <c r="G972" s="5">
        <f t="shared" si="2"/>
        <v>6.363636364</v>
      </c>
      <c r="H972" s="3">
        <v>972.0</v>
      </c>
      <c r="I972" s="17"/>
    </row>
    <row r="973">
      <c r="A973" s="3">
        <v>7.0</v>
      </c>
      <c r="B973" s="3">
        <v>328.0</v>
      </c>
      <c r="C973" s="3">
        <v>600.0</v>
      </c>
      <c r="D973" s="3">
        <v>49.0</v>
      </c>
      <c r="E973" s="3">
        <v>11.0</v>
      </c>
      <c r="F973" s="11">
        <f t="shared" si="1"/>
        <v>0.5466666667</v>
      </c>
      <c r="G973" s="5">
        <f t="shared" si="2"/>
        <v>6.453333333</v>
      </c>
      <c r="H973" s="3">
        <v>973.0</v>
      </c>
      <c r="I973" s="17"/>
    </row>
    <row r="974">
      <c r="A974" s="3">
        <v>7.0</v>
      </c>
      <c r="B974" s="3">
        <v>304.0</v>
      </c>
      <c r="C974" s="3">
        <v>650.0</v>
      </c>
      <c r="D974" s="3">
        <v>49.0</v>
      </c>
      <c r="E974" s="3">
        <v>12.0</v>
      </c>
      <c r="F974" s="11">
        <f t="shared" si="1"/>
        <v>0.4676923077</v>
      </c>
      <c r="G974" s="5">
        <f t="shared" si="2"/>
        <v>6.532307692</v>
      </c>
      <c r="H974" s="3">
        <v>974.0</v>
      </c>
      <c r="I974" s="17"/>
    </row>
    <row r="975">
      <c r="A975" s="3">
        <v>7.0</v>
      </c>
      <c r="B975" s="3">
        <v>272.0</v>
      </c>
      <c r="C975" s="3">
        <v>700.0</v>
      </c>
      <c r="D975" s="3">
        <v>49.0</v>
      </c>
      <c r="E975" s="3">
        <v>13.0</v>
      </c>
      <c r="F975" s="11">
        <f t="shared" si="1"/>
        <v>0.3885714286</v>
      </c>
      <c r="G975" s="5">
        <f t="shared" si="2"/>
        <v>6.611428571</v>
      </c>
      <c r="H975" s="3">
        <v>975.0</v>
      </c>
      <c r="I975" s="17"/>
    </row>
    <row r="976">
      <c r="A976" s="3">
        <v>7.0</v>
      </c>
      <c r="B976" s="3">
        <v>240.0</v>
      </c>
      <c r="C976" s="3">
        <v>750.0</v>
      </c>
      <c r="D976" s="3">
        <v>49.0</v>
      </c>
      <c r="E976" s="3">
        <v>14.0</v>
      </c>
      <c r="F976" s="11">
        <f t="shared" si="1"/>
        <v>0.32</v>
      </c>
      <c r="G976" s="5">
        <f t="shared" si="2"/>
        <v>6.68</v>
      </c>
      <c r="H976" s="3">
        <v>976.0</v>
      </c>
      <c r="I976" s="17"/>
    </row>
    <row r="977">
      <c r="A977" s="3">
        <v>7.0</v>
      </c>
      <c r="B977" s="3">
        <v>204.0</v>
      </c>
      <c r="C977" s="3">
        <v>800.0</v>
      </c>
      <c r="D977" s="3">
        <v>49.0</v>
      </c>
      <c r="E977" s="3">
        <v>15.0</v>
      </c>
      <c r="F977" s="11">
        <f t="shared" si="1"/>
        <v>0.255</v>
      </c>
      <c r="G977" s="5">
        <f t="shared" si="2"/>
        <v>6.745</v>
      </c>
      <c r="H977" s="3">
        <v>977.0</v>
      </c>
      <c r="I977" s="17"/>
    </row>
    <row r="978">
      <c r="A978" s="3">
        <v>7.0</v>
      </c>
      <c r="B978" s="3">
        <v>176.0</v>
      </c>
      <c r="C978" s="3">
        <v>850.0</v>
      </c>
      <c r="D978" s="3">
        <v>49.0</v>
      </c>
      <c r="E978" s="3">
        <v>16.0</v>
      </c>
      <c r="F978" s="11">
        <f t="shared" si="1"/>
        <v>0.2070588235</v>
      </c>
      <c r="G978" s="5">
        <f t="shared" si="2"/>
        <v>6.792941176</v>
      </c>
      <c r="H978" s="3">
        <v>978.0</v>
      </c>
      <c r="I978" s="17"/>
    </row>
    <row r="979">
      <c r="A979" s="3">
        <v>7.0</v>
      </c>
      <c r="B979" s="3">
        <v>148.0</v>
      </c>
      <c r="C979" s="3">
        <v>900.0</v>
      </c>
      <c r="D979" s="3">
        <v>49.0</v>
      </c>
      <c r="E979" s="3">
        <v>17.0</v>
      </c>
      <c r="F979" s="11">
        <f t="shared" si="1"/>
        <v>0.1644444444</v>
      </c>
      <c r="G979" s="5">
        <f t="shared" si="2"/>
        <v>6.835555556</v>
      </c>
      <c r="H979" s="3">
        <v>979.0</v>
      </c>
      <c r="I979" s="17"/>
    </row>
    <row r="980">
      <c r="A980" s="3">
        <v>7.0</v>
      </c>
      <c r="B980" s="3">
        <v>124.0</v>
      </c>
      <c r="C980" s="3">
        <v>950.0</v>
      </c>
      <c r="D980" s="3">
        <v>49.0</v>
      </c>
      <c r="E980" s="3">
        <v>18.0</v>
      </c>
      <c r="F980" s="11">
        <f t="shared" si="1"/>
        <v>0.1305263158</v>
      </c>
      <c r="G980" s="5">
        <f t="shared" si="2"/>
        <v>6.869473684</v>
      </c>
      <c r="H980" s="3">
        <v>980.0</v>
      </c>
      <c r="I980" s="17"/>
    </row>
    <row r="981">
      <c r="A981" s="3">
        <v>7.0</v>
      </c>
      <c r="B981" s="3">
        <v>98.0</v>
      </c>
      <c r="C981" s="3">
        <v>1000.0</v>
      </c>
      <c r="D981" s="3">
        <v>49.0</v>
      </c>
      <c r="E981" s="3">
        <v>19.0</v>
      </c>
      <c r="F981" s="11">
        <f t="shared" si="1"/>
        <v>0.098</v>
      </c>
      <c r="G981" s="5">
        <f t="shared" si="2"/>
        <v>6.902</v>
      </c>
      <c r="H981" s="3">
        <v>981.0</v>
      </c>
      <c r="I981" s="17"/>
    </row>
    <row r="982">
      <c r="A982" s="3">
        <v>7.0</v>
      </c>
      <c r="B982" s="3">
        <v>66.0</v>
      </c>
      <c r="C982" s="3">
        <v>1050.0</v>
      </c>
      <c r="D982" s="3">
        <v>49.0</v>
      </c>
      <c r="E982" s="3">
        <v>20.0</v>
      </c>
      <c r="F982" s="11">
        <f t="shared" si="1"/>
        <v>0.06285714286</v>
      </c>
      <c r="G982" s="5">
        <f t="shared" si="2"/>
        <v>6.937142857</v>
      </c>
      <c r="H982" s="3">
        <v>982.0</v>
      </c>
      <c r="I982" s="17"/>
    </row>
    <row r="983">
      <c r="A983" s="3">
        <v>7.0</v>
      </c>
      <c r="B983" s="3">
        <v>2.0</v>
      </c>
      <c r="C983" s="3">
        <v>1100.0</v>
      </c>
      <c r="D983" s="3">
        <v>49.0</v>
      </c>
      <c r="E983" s="3">
        <v>21.0</v>
      </c>
      <c r="F983" s="11">
        <f t="shared" si="1"/>
        <v>0.001818181818</v>
      </c>
      <c r="G983" s="5">
        <f t="shared" si="2"/>
        <v>6.998181818</v>
      </c>
      <c r="H983" s="3">
        <v>983.0</v>
      </c>
      <c r="I983" s="17"/>
    </row>
    <row r="984">
      <c r="A984" s="3">
        <v>7.0</v>
      </c>
      <c r="B984" s="3">
        <v>341.0</v>
      </c>
      <c r="C984" s="3">
        <v>357.0</v>
      </c>
      <c r="D984" s="3">
        <v>50.0</v>
      </c>
      <c r="E984" s="3">
        <v>6.0</v>
      </c>
      <c r="F984" s="11">
        <f t="shared" si="1"/>
        <v>0.9551820728</v>
      </c>
      <c r="G984" s="5">
        <f t="shared" si="2"/>
        <v>6.044817927</v>
      </c>
      <c r="H984" s="3">
        <v>984.0</v>
      </c>
      <c r="I984" s="17"/>
    </row>
    <row r="985">
      <c r="A985" s="3">
        <v>7.0</v>
      </c>
      <c r="B985" s="3">
        <v>360.0</v>
      </c>
      <c r="C985" s="3">
        <v>408.0</v>
      </c>
      <c r="D985" s="3">
        <v>50.0</v>
      </c>
      <c r="E985" s="3">
        <v>7.0</v>
      </c>
      <c r="F985" s="11">
        <f t="shared" si="1"/>
        <v>0.8823529412</v>
      </c>
      <c r="G985" s="5">
        <f t="shared" si="2"/>
        <v>6.117647059</v>
      </c>
      <c r="H985" s="3">
        <v>985.0</v>
      </c>
      <c r="I985" s="17"/>
    </row>
    <row r="986">
      <c r="A986" s="3">
        <v>7.0</v>
      </c>
      <c r="B986" s="3">
        <v>363.0</v>
      </c>
      <c r="C986" s="3">
        <v>459.0</v>
      </c>
      <c r="D986" s="3">
        <v>50.0</v>
      </c>
      <c r="E986" s="3">
        <v>8.0</v>
      </c>
      <c r="F986" s="11">
        <f t="shared" si="1"/>
        <v>0.7908496732</v>
      </c>
      <c r="G986" s="5">
        <f t="shared" si="2"/>
        <v>6.209150327</v>
      </c>
      <c r="H986" s="3">
        <v>986.0</v>
      </c>
      <c r="I986" s="17"/>
    </row>
    <row r="987">
      <c r="A987" s="3">
        <v>7.0</v>
      </c>
      <c r="B987" s="3">
        <v>358.0</v>
      </c>
      <c r="C987" s="3">
        <v>510.0</v>
      </c>
      <c r="D987" s="3">
        <v>50.0</v>
      </c>
      <c r="E987" s="3">
        <v>9.0</v>
      </c>
      <c r="F987" s="11">
        <f t="shared" si="1"/>
        <v>0.7019607843</v>
      </c>
      <c r="G987" s="5">
        <f t="shared" si="2"/>
        <v>6.298039216</v>
      </c>
      <c r="H987" s="3">
        <v>987.0</v>
      </c>
      <c r="I987" s="17"/>
    </row>
    <row r="988">
      <c r="A988" s="3">
        <v>7.0</v>
      </c>
      <c r="B988" s="3">
        <v>341.0</v>
      </c>
      <c r="C988" s="3">
        <v>561.0</v>
      </c>
      <c r="D988" s="3">
        <v>50.0</v>
      </c>
      <c r="E988" s="3">
        <v>10.0</v>
      </c>
      <c r="F988" s="11">
        <f t="shared" si="1"/>
        <v>0.6078431373</v>
      </c>
      <c r="G988" s="5">
        <f t="shared" si="2"/>
        <v>6.392156863</v>
      </c>
      <c r="H988" s="3">
        <v>988.0</v>
      </c>
      <c r="I988" s="17"/>
    </row>
    <row r="989">
      <c r="A989" s="3">
        <v>7.0</v>
      </c>
      <c r="B989" s="3">
        <v>316.0</v>
      </c>
      <c r="C989" s="3">
        <v>612.0</v>
      </c>
      <c r="D989" s="3">
        <v>50.0</v>
      </c>
      <c r="E989" s="3">
        <v>11.0</v>
      </c>
      <c r="F989" s="11">
        <f t="shared" si="1"/>
        <v>0.5163398693</v>
      </c>
      <c r="G989" s="5">
        <f t="shared" si="2"/>
        <v>6.483660131</v>
      </c>
      <c r="H989" s="3">
        <v>989.0</v>
      </c>
      <c r="I989" s="17"/>
    </row>
    <row r="990">
      <c r="A990" s="3">
        <v>7.0</v>
      </c>
      <c r="B990" s="3">
        <v>291.0</v>
      </c>
      <c r="C990" s="3">
        <v>663.0</v>
      </c>
      <c r="D990" s="3">
        <v>50.0</v>
      </c>
      <c r="E990" s="3">
        <v>12.0</v>
      </c>
      <c r="F990" s="11">
        <f t="shared" si="1"/>
        <v>0.4389140271</v>
      </c>
      <c r="G990" s="5">
        <f t="shared" si="2"/>
        <v>6.561085973</v>
      </c>
      <c r="H990" s="3">
        <v>990.0</v>
      </c>
      <c r="I990" s="17"/>
    </row>
    <row r="991">
      <c r="A991" s="3">
        <v>7.0</v>
      </c>
      <c r="B991" s="3">
        <v>258.0</v>
      </c>
      <c r="C991" s="3">
        <v>714.0</v>
      </c>
      <c r="D991" s="3">
        <v>50.0</v>
      </c>
      <c r="E991" s="3">
        <v>13.0</v>
      </c>
      <c r="F991" s="11">
        <f t="shared" si="1"/>
        <v>0.3613445378</v>
      </c>
      <c r="G991" s="5">
        <f t="shared" si="2"/>
        <v>6.638655462</v>
      </c>
      <c r="H991" s="3">
        <v>991.0</v>
      </c>
      <c r="I991" s="17"/>
    </row>
    <row r="992">
      <c r="A992" s="3">
        <v>7.0</v>
      </c>
      <c r="B992" s="3">
        <v>225.0</v>
      </c>
      <c r="C992" s="3">
        <v>765.0</v>
      </c>
      <c r="D992" s="3">
        <v>50.0</v>
      </c>
      <c r="E992" s="3">
        <v>14.0</v>
      </c>
      <c r="F992" s="11">
        <f t="shared" si="1"/>
        <v>0.2941176471</v>
      </c>
      <c r="G992" s="5">
        <f t="shared" si="2"/>
        <v>6.705882353</v>
      </c>
      <c r="H992" s="3">
        <v>992.0</v>
      </c>
      <c r="I992" s="17"/>
    </row>
    <row r="993">
      <c r="A993" s="3">
        <v>7.0</v>
      </c>
      <c r="B993" s="3">
        <v>190.0</v>
      </c>
      <c r="C993" s="3">
        <v>816.0</v>
      </c>
      <c r="D993" s="3">
        <v>50.0</v>
      </c>
      <c r="E993" s="3">
        <v>15.0</v>
      </c>
      <c r="F993" s="11">
        <f t="shared" si="1"/>
        <v>0.2328431373</v>
      </c>
      <c r="G993" s="5">
        <f t="shared" si="2"/>
        <v>6.767156863</v>
      </c>
      <c r="H993" s="3">
        <v>993.0</v>
      </c>
      <c r="I993" s="17"/>
    </row>
    <row r="994">
      <c r="A994" s="3">
        <v>7.0</v>
      </c>
      <c r="B994" s="3">
        <v>163.0</v>
      </c>
      <c r="C994" s="3">
        <v>867.0</v>
      </c>
      <c r="D994" s="3">
        <v>50.0</v>
      </c>
      <c r="E994" s="3">
        <v>16.0</v>
      </c>
      <c r="F994" s="11">
        <f t="shared" si="1"/>
        <v>0.1880046136</v>
      </c>
      <c r="G994" s="5">
        <f t="shared" si="2"/>
        <v>6.811995386</v>
      </c>
      <c r="H994" s="3">
        <v>994.0</v>
      </c>
      <c r="I994" s="17"/>
    </row>
    <row r="995">
      <c r="A995" s="3">
        <v>7.0</v>
      </c>
      <c r="B995" s="3">
        <v>136.0</v>
      </c>
      <c r="C995" s="3">
        <v>918.0</v>
      </c>
      <c r="D995" s="3">
        <v>50.0</v>
      </c>
      <c r="E995" s="3">
        <v>17.0</v>
      </c>
      <c r="F995" s="11">
        <f t="shared" si="1"/>
        <v>0.1481481481</v>
      </c>
      <c r="G995" s="5">
        <f t="shared" si="2"/>
        <v>6.851851852</v>
      </c>
      <c r="H995" s="3">
        <v>995.0</v>
      </c>
      <c r="I995" s="17"/>
    </row>
    <row r="996">
      <c r="A996" s="3">
        <v>7.0</v>
      </c>
      <c r="B996" s="3">
        <v>113.0</v>
      </c>
      <c r="C996" s="3">
        <v>969.0</v>
      </c>
      <c r="D996" s="3">
        <v>50.0</v>
      </c>
      <c r="E996" s="3">
        <v>18.0</v>
      </c>
      <c r="F996" s="11">
        <f t="shared" si="1"/>
        <v>0.1166150671</v>
      </c>
      <c r="G996" s="5">
        <f t="shared" si="2"/>
        <v>6.883384933</v>
      </c>
      <c r="H996" s="3">
        <v>996.0</v>
      </c>
      <c r="I996" s="17"/>
    </row>
    <row r="997">
      <c r="A997" s="3">
        <v>7.0</v>
      </c>
      <c r="B997" s="3">
        <v>82.0</v>
      </c>
      <c r="C997" s="3">
        <v>1020.0</v>
      </c>
      <c r="D997" s="3">
        <v>50.0</v>
      </c>
      <c r="E997" s="3">
        <v>19.0</v>
      </c>
      <c r="F997" s="11">
        <f t="shared" si="1"/>
        <v>0.08039215686</v>
      </c>
      <c r="G997" s="5">
        <f t="shared" si="2"/>
        <v>6.919607843</v>
      </c>
      <c r="H997" s="3">
        <v>997.0</v>
      </c>
      <c r="I997" s="17"/>
    </row>
    <row r="998">
      <c r="A998" s="3">
        <v>7.0</v>
      </c>
      <c r="B998" s="3">
        <v>22.0</v>
      </c>
      <c r="C998" s="3">
        <v>1071.0</v>
      </c>
      <c r="D998" s="3">
        <v>50.0</v>
      </c>
      <c r="E998" s="3">
        <v>20.0</v>
      </c>
      <c r="F998" s="11">
        <f t="shared" si="1"/>
        <v>0.02054154995</v>
      </c>
      <c r="G998" s="5">
        <f t="shared" si="2"/>
        <v>6.97945845</v>
      </c>
      <c r="H998" s="3">
        <v>998.0</v>
      </c>
      <c r="I998" s="17"/>
    </row>
    <row r="999">
      <c r="A999" s="3">
        <v>7.0</v>
      </c>
      <c r="B999" s="3">
        <v>308.0</v>
      </c>
      <c r="C999" s="3">
        <v>312.0</v>
      </c>
      <c r="D999" s="3">
        <v>51.0</v>
      </c>
      <c r="E999" s="3">
        <v>5.0</v>
      </c>
      <c r="F999" s="11">
        <f t="shared" si="1"/>
        <v>0.9871794872</v>
      </c>
      <c r="G999" s="5">
        <f t="shared" si="2"/>
        <v>6.012820513</v>
      </c>
      <c r="H999" s="3">
        <v>999.0</v>
      </c>
      <c r="I999" s="17"/>
    </row>
    <row r="1000">
      <c r="A1000" s="3">
        <v>7.0</v>
      </c>
      <c r="B1000" s="3">
        <v>340.0</v>
      </c>
      <c r="C1000" s="3">
        <v>364.0</v>
      </c>
      <c r="D1000" s="3">
        <v>51.0</v>
      </c>
      <c r="E1000" s="3">
        <v>6.0</v>
      </c>
      <c r="F1000" s="11">
        <f t="shared" si="1"/>
        <v>0.9340659341</v>
      </c>
      <c r="G1000" s="5">
        <f t="shared" si="2"/>
        <v>6.065934066</v>
      </c>
      <c r="H1000" s="3">
        <v>1000.0</v>
      </c>
      <c r="I1000" s="17"/>
    </row>
    <row r="1001">
      <c r="A1001" s="3">
        <v>7.0</v>
      </c>
      <c r="B1001" s="3">
        <v>356.0</v>
      </c>
      <c r="C1001" s="3">
        <v>416.0</v>
      </c>
      <c r="D1001" s="3">
        <v>51.0</v>
      </c>
      <c r="E1001" s="3">
        <v>7.0</v>
      </c>
      <c r="F1001" s="11">
        <f t="shared" si="1"/>
        <v>0.8557692308</v>
      </c>
      <c r="G1001" s="5">
        <f t="shared" si="2"/>
        <v>6.144230769</v>
      </c>
      <c r="H1001" s="3">
        <v>1001.0</v>
      </c>
      <c r="I1001" s="17"/>
    </row>
    <row r="1002">
      <c r="A1002" s="3">
        <v>7.0</v>
      </c>
      <c r="B1002" s="3">
        <v>356.0</v>
      </c>
      <c r="C1002" s="3">
        <v>468.0</v>
      </c>
      <c r="D1002" s="3">
        <v>51.0</v>
      </c>
      <c r="E1002" s="3">
        <v>8.0</v>
      </c>
      <c r="F1002" s="11">
        <f t="shared" si="1"/>
        <v>0.7606837607</v>
      </c>
      <c r="G1002" s="5">
        <f t="shared" si="2"/>
        <v>6.239316239</v>
      </c>
      <c r="H1002" s="3">
        <v>1002.0</v>
      </c>
      <c r="I1002" s="17"/>
    </row>
    <row r="1003">
      <c r="A1003" s="3">
        <v>7.0</v>
      </c>
      <c r="B1003" s="3">
        <v>348.0</v>
      </c>
      <c r="C1003" s="3">
        <v>520.0</v>
      </c>
      <c r="D1003" s="3">
        <v>51.0</v>
      </c>
      <c r="E1003" s="3">
        <v>9.0</v>
      </c>
      <c r="F1003" s="11">
        <f t="shared" si="1"/>
        <v>0.6692307692</v>
      </c>
      <c r="G1003" s="5">
        <f t="shared" si="2"/>
        <v>6.330769231</v>
      </c>
      <c r="H1003" s="3">
        <v>1003.0</v>
      </c>
      <c r="I1003" s="17"/>
    </row>
    <row r="1004">
      <c r="A1004" s="3">
        <v>7.0</v>
      </c>
      <c r="B1004" s="3">
        <v>330.0</v>
      </c>
      <c r="C1004" s="3">
        <v>572.0</v>
      </c>
      <c r="D1004" s="3">
        <v>51.0</v>
      </c>
      <c r="E1004" s="3">
        <v>10.0</v>
      </c>
      <c r="F1004" s="11">
        <f t="shared" si="1"/>
        <v>0.5769230769</v>
      </c>
      <c r="G1004" s="5">
        <f t="shared" si="2"/>
        <v>6.423076923</v>
      </c>
      <c r="H1004" s="3">
        <v>1004.0</v>
      </c>
      <c r="I1004" s="17"/>
    </row>
    <row r="1005">
      <c r="A1005" s="3">
        <v>7.0</v>
      </c>
      <c r="B1005" s="3">
        <v>304.0</v>
      </c>
      <c r="C1005" s="3">
        <v>624.0</v>
      </c>
      <c r="D1005" s="3">
        <v>51.0</v>
      </c>
      <c r="E1005" s="3">
        <v>11.0</v>
      </c>
      <c r="F1005" s="11">
        <f t="shared" si="1"/>
        <v>0.4871794872</v>
      </c>
      <c r="G1005" s="5">
        <f t="shared" si="2"/>
        <v>6.512820513</v>
      </c>
      <c r="H1005" s="3">
        <v>1005.0</v>
      </c>
      <c r="I1005" s="17"/>
    </row>
    <row r="1006">
      <c r="A1006" s="3">
        <v>7.0</v>
      </c>
      <c r="B1006" s="3">
        <v>278.0</v>
      </c>
      <c r="C1006" s="3">
        <v>676.0</v>
      </c>
      <c r="D1006" s="3">
        <v>51.0</v>
      </c>
      <c r="E1006" s="3">
        <v>12.0</v>
      </c>
      <c r="F1006" s="11">
        <f t="shared" si="1"/>
        <v>0.4112426036</v>
      </c>
      <c r="G1006" s="5">
        <f t="shared" si="2"/>
        <v>6.588757396</v>
      </c>
      <c r="H1006" s="3">
        <v>1006.0</v>
      </c>
      <c r="I1006" s="17"/>
    </row>
    <row r="1007">
      <c r="A1007" s="3">
        <v>7.0</v>
      </c>
      <c r="B1007" s="3">
        <v>244.0</v>
      </c>
      <c r="C1007" s="3">
        <v>728.0</v>
      </c>
      <c r="D1007" s="3">
        <v>51.0</v>
      </c>
      <c r="E1007" s="3">
        <v>13.0</v>
      </c>
      <c r="F1007" s="11">
        <f t="shared" si="1"/>
        <v>0.3351648352</v>
      </c>
      <c r="G1007" s="5">
        <f t="shared" si="2"/>
        <v>6.664835165</v>
      </c>
      <c r="H1007" s="3">
        <v>1007.0</v>
      </c>
      <c r="I1007" s="17"/>
    </row>
    <row r="1008">
      <c r="A1008" s="3">
        <v>7.0</v>
      </c>
      <c r="B1008" s="3">
        <v>210.0</v>
      </c>
      <c r="C1008" s="3">
        <v>780.0</v>
      </c>
      <c r="D1008" s="3">
        <v>51.0</v>
      </c>
      <c r="E1008" s="3">
        <v>14.0</v>
      </c>
      <c r="F1008" s="11">
        <f t="shared" si="1"/>
        <v>0.2692307692</v>
      </c>
      <c r="G1008" s="5">
        <f t="shared" si="2"/>
        <v>6.730769231</v>
      </c>
      <c r="H1008" s="3">
        <v>1008.0</v>
      </c>
      <c r="I1008" s="17"/>
    </row>
    <row r="1009">
      <c r="A1009" s="3">
        <v>7.0</v>
      </c>
      <c r="B1009" s="3">
        <v>176.0</v>
      </c>
      <c r="C1009" s="3">
        <v>832.0</v>
      </c>
      <c r="D1009" s="3">
        <v>51.0</v>
      </c>
      <c r="E1009" s="3">
        <v>15.0</v>
      </c>
      <c r="F1009" s="11">
        <f t="shared" si="1"/>
        <v>0.2115384615</v>
      </c>
      <c r="G1009" s="5">
        <f t="shared" si="2"/>
        <v>6.788461538</v>
      </c>
      <c r="H1009" s="3">
        <v>1009.0</v>
      </c>
      <c r="I1009" s="17"/>
    </row>
    <row r="1010">
      <c r="A1010" s="3">
        <v>7.0</v>
      </c>
      <c r="B1010" s="3">
        <v>150.0</v>
      </c>
      <c r="C1010" s="3">
        <v>884.0</v>
      </c>
      <c r="D1010" s="3">
        <v>51.0</v>
      </c>
      <c r="E1010" s="3">
        <v>16.0</v>
      </c>
      <c r="F1010" s="11">
        <f t="shared" si="1"/>
        <v>0.1696832579</v>
      </c>
      <c r="G1010" s="5">
        <f t="shared" si="2"/>
        <v>6.830316742</v>
      </c>
      <c r="H1010" s="3">
        <v>1010.0</v>
      </c>
      <c r="I1010" s="17"/>
    </row>
    <row r="1011">
      <c r="A1011" s="3">
        <v>7.0</v>
      </c>
      <c r="B1011" s="3">
        <v>124.0</v>
      </c>
      <c r="C1011" s="3">
        <v>936.0</v>
      </c>
      <c r="D1011" s="3">
        <v>51.0</v>
      </c>
      <c r="E1011" s="3">
        <v>17.0</v>
      </c>
      <c r="F1011" s="11">
        <f t="shared" si="1"/>
        <v>0.1324786325</v>
      </c>
      <c r="G1011" s="5">
        <f t="shared" si="2"/>
        <v>6.867521368</v>
      </c>
      <c r="H1011" s="3">
        <v>1011.0</v>
      </c>
      <c r="I1011" s="17"/>
    </row>
    <row r="1012">
      <c r="A1012" s="3">
        <v>7.0</v>
      </c>
      <c r="B1012" s="3">
        <v>102.0</v>
      </c>
      <c r="C1012" s="3">
        <v>988.0</v>
      </c>
      <c r="D1012" s="3">
        <v>51.0</v>
      </c>
      <c r="E1012" s="3">
        <v>18.0</v>
      </c>
      <c r="F1012" s="11">
        <f t="shared" si="1"/>
        <v>0.1032388664</v>
      </c>
      <c r="G1012" s="5">
        <f t="shared" si="2"/>
        <v>6.896761134</v>
      </c>
      <c r="H1012" s="3">
        <v>1012.0</v>
      </c>
      <c r="I1012" s="17"/>
    </row>
    <row r="1013">
      <c r="A1013" s="3">
        <v>7.0</v>
      </c>
      <c r="B1013" s="3">
        <v>66.0</v>
      </c>
      <c r="C1013" s="3">
        <v>1040.0</v>
      </c>
      <c r="D1013" s="3">
        <v>51.0</v>
      </c>
      <c r="E1013" s="3">
        <v>19.0</v>
      </c>
      <c r="F1013" s="11">
        <f t="shared" si="1"/>
        <v>0.06346153846</v>
      </c>
      <c r="G1013" s="5">
        <f t="shared" si="2"/>
        <v>6.936538462</v>
      </c>
      <c r="H1013" s="3">
        <v>1013.0</v>
      </c>
      <c r="I1013" s="17"/>
    </row>
    <row r="1014">
      <c r="A1014" s="3">
        <v>7.0</v>
      </c>
      <c r="B1014" s="3">
        <v>2.0</v>
      </c>
      <c r="C1014" s="3">
        <v>1092.0</v>
      </c>
      <c r="D1014" s="3">
        <v>51.0</v>
      </c>
      <c r="E1014" s="3">
        <v>20.0</v>
      </c>
      <c r="F1014" s="11">
        <f t="shared" si="1"/>
        <v>0.001831501832</v>
      </c>
      <c r="G1014" s="5">
        <f t="shared" si="2"/>
        <v>6.998168498</v>
      </c>
      <c r="H1014" s="3">
        <v>1014.0</v>
      </c>
      <c r="I1014" s="17"/>
    </row>
    <row r="1015">
      <c r="A1015" s="3">
        <v>7.0</v>
      </c>
      <c r="B1015" s="3">
        <v>310.0</v>
      </c>
      <c r="C1015" s="3">
        <v>318.0</v>
      </c>
      <c r="D1015" s="3">
        <v>52.0</v>
      </c>
      <c r="E1015" s="3">
        <v>5.0</v>
      </c>
      <c r="F1015" s="11">
        <f t="shared" si="1"/>
        <v>0.9748427673</v>
      </c>
      <c r="G1015" s="5">
        <f t="shared" si="2"/>
        <v>6.025157233</v>
      </c>
      <c r="H1015" s="3">
        <v>1015.0</v>
      </c>
      <c r="I1015" s="17"/>
    </row>
    <row r="1016">
      <c r="A1016" s="3">
        <v>7.0</v>
      </c>
      <c r="B1016" s="3">
        <v>339.0</v>
      </c>
      <c r="C1016" s="3">
        <v>371.0</v>
      </c>
      <c r="D1016" s="3">
        <v>52.0</v>
      </c>
      <c r="E1016" s="3">
        <v>6.0</v>
      </c>
      <c r="F1016" s="11">
        <f t="shared" si="1"/>
        <v>0.9137466307</v>
      </c>
      <c r="G1016" s="5">
        <f t="shared" si="2"/>
        <v>6.086253369</v>
      </c>
      <c r="H1016" s="3">
        <v>1016.0</v>
      </c>
      <c r="I1016" s="17"/>
    </row>
    <row r="1017">
      <c r="A1017" s="3">
        <v>7.0</v>
      </c>
      <c r="B1017" s="3">
        <v>352.0</v>
      </c>
      <c r="C1017" s="3">
        <v>424.0</v>
      </c>
      <c r="D1017" s="3">
        <v>52.0</v>
      </c>
      <c r="E1017" s="3">
        <v>7.0</v>
      </c>
      <c r="F1017" s="11">
        <f t="shared" si="1"/>
        <v>0.8301886792</v>
      </c>
      <c r="G1017" s="5">
        <f t="shared" si="2"/>
        <v>6.169811321</v>
      </c>
      <c r="H1017" s="3">
        <v>1017.0</v>
      </c>
      <c r="I1017" s="17"/>
    </row>
    <row r="1018">
      <c r="A1018" s="3">
        <v>7.0</v>
      </c>
      <c r="B1018" s="3">
        <v>349.0</v>
      </c>
      <c r="C1018" s="3">
        <v>477.0</v>
      </c>
      <c r="D1018" s="3">
        <v>52.0</v>
      </c>
      <c r="E1018" s="3">
        <v>8.0</v>
      </c>
      <c r="F1018" s="11">
        <f t="shared" si="1"/>
        <v>0.7316561845</v>
      </c>
      <c r="G1018" s="5">
        <f t="shared" si="2"/>
        <v>6.268343816</v>
      </c>
      <c r="H1018" s="3">
        <v>1018.0</v>
      </c>
      <c r="I1018" s="17"/>
    </row>
    <row r="1019">
      <c r="A1019" s="3">
        <v>7.0</v>
      </c>
      <c r="B1019" s="3">
        <v>338.0</v>
      </c>
      <c r="C1019" s="3">
        <v>530.0</v>
      </c>
      <c r="D1019" s="3">
        <v>52.0</v>
      </c>
      <c r="E1019" s="3">
        <v>9.0</v>
      </c>
      <c r="F1019" s="11">
        <f t="shared" si="1"/>
        <v>0.6377358491</v>
      </c>
      <c r="G1019" s="5">
        <f t="shared" si="2"/>
        <v>6.362264151</v>
      </c>
      <c r="H1019" s="3">
        <v>1019.0</v>
      </c>
      <c r="I1019" s="17"/>
    </row>
    <row r="1020">
      <c r="A1020" s="3">
        <v>7.0</v>
      </c>
      <c r="B1020" s="3">
        <v>319.0</v>
      </c>
      <c r="C1020" s="3">
        <v>583.0</v>
      </c>
      <c r="D1020" s="3">
        <v>52.0</v>
      </c>
      <c r="E1020" s="3">
        <v>10.0</v>
      </c>
      <c r="F1020" s="11">
        <f t="shared" si="1"/>
        <v>0.5471698113</v>
      </c>
      <c r="G1020" s="5">
        <f t="shared" si="2"/>
        <v>6.452830189</v>
      </c>
      <c r="H1020" s="3">
        <v>1020.0</v>
      </c>
      <c r="I1020" s="17"/>
    </row>
    <row r="1021">
      <c r="A1021" s="3">
        <v>7.0</v>
      </c>
      <c r="B1021" s="3">
        <v>292.0</v>
      </c>
      <c r="C1021" s="3">
        <v>636.0</v>
      </c>
      <c r="D1021" s="3">
        <v>52.0</v>
      </c>
      <c r="E1021" s="3">
        <v>11.0</v>
      </c>
      <c r="F1021" s="11">
        <f t="shared" si="1"/>
        <v>0.4591194969</v>
      </c>
      <c r="G1021" s="5">
        <f t="shared" si="2"/>
        <v>6.540880503</v>
      </c>
      <c r="H1021" s="3">
        <v>1021.0</v>
      </c>
      <c r="I1021" s="17"/>
    </row>
    <row r="1022">
      <c r="A1022" s="3">
        <v>7.0</v>
      </c>
      <c r="B1022" s="3">
        <v>265.0</v>
      </c>
      <c r="C1022" s="3">
        <v>689.0</v>
      </c>
      <c r="D1022" s="3">
        <v>52.0</v>
      </c>
      <c r="E1022" s="3">
        <v>12.0</v>
      </c>
      <c r="F1022" s="11">
        <f t="shared" si="1"/>
        <v>0.3846153846</v>
      </c>
      <c r="G1022" s="5">
        <f t="shared" si="2"/>
        <v>6.615384615</v>
      </c>
      <c r="H1022" s="3">
        <v>1022.0</v>
      </c>
      <c r="I1022" s="17"/>
    </row>
    <row r="1023">
      <c r="A1023" s="3">
        <v>7.0</v>
      </c>
      <c r="B1023" s="3">
        <v>230.0</v>
      </c>
      <c r="C1023" s="3">
        <v>742.0</v>
      </c>
      <c r="D1023" s="3">
        <v>52.0</v>
      </c>
      <c r="E1023" s="3">
        <v>13.0</v>
      </c>
      <c r="F1023" s="11">
        <f t="shared" si="1"/>
        <v>0.3099730458</v>
      </c>
      <c r="G1023" s="5">
        <f t="shared" si="2"/>
        <v>6.690026954</v>
      </c>
      <c r="H1023" s="3">
        <v>1023.0</v>
      </c>
      <c r="I1023" s="17"/>
    </row>
    <row r="1024">
      <c r="A1024" s="3">
        <v>7.0</v>
      </c>
      <c r="B1024" s="3">
        <v>197.0</v>
      </c>
      <c r="C1024" s="3">
        <v>795.0</v>
      </c>
      <c r="D1024" s="3">
        <v>52.0</v>
      </c>
      <c r="E1024" s="3">
        <v>14.0</v>
      </c>
      <c r="F1024" s="11">
        <f t="shared" si="1"/>
        <v>0.2477987421</v>
      </c>
      <c r="G1024" s="5">
        <f t="shared" si="2"/>
        <v>6.752201258</v>
      </c>
      <c r="H1024" s="3">
        <v>1024.0</v>
      </c>
      <c r="I1024" s="17"/>
    </row>
    <row r="1025">
      <c r="A1025" s="3">
        <v>7.0</v>
      </c>
      <c r="B1025" s="3">
        <v>164.0</v>
      </c>
      <c r="C1025" s="3">
        <v>848.0</v>
      </c>
      <c r="D1025" s="3">
        <v>52.0</v>
      </c>
      <c r="E1025" s="3">
        <v>15.0</v>
      </c>
      <c r="F1025" s="11">
        <f t="shared" si="1"/>
        <v>0.1933962264</v>
      </c>
      <c r="G1025" s="5">
        <f t="shared" si="2"/>
        <v>6.806603774</v>
      </c>
      <c r="H1025" s="3">
        <v>1025.0</v>
      </c>
      <c r="I1025" s="17"/>
    </row>
    <row r="1026">
      <c r="A1026" s="3">
        <v>7.0</v>
      </c>
      <c r="B1026" s="3">
        <v>139.0</v>
      </c>
      <c r="C1026" s="3">
        <v>901.0</v>
      </c>
      <c r="D1026" s="3">
        <v>52.0</v>
      </c>
      <c r="E1026" s="3">
        <v>16.0</v>
      </c>
      <c r="F1026" s="11">
        <f t="shared" si="1"/>
        <v>0.15427303</v>
      </c>
      <c r="G1026" s="5">
        <f t="shared" si="2"/>
        <v>6.84572697</v>
      </c>
      <c r="H1026" s="3">
        <v>1026.0</v>
      </c>
      <c r="I1026" s="17"/>
    </row>
    <row r="1027">
      <c r="A1027" s="3">
        <v>7.0</v>
      </c>
      <c r="B1027" s="3">
        <v>114.0</v>
      </c>
      <c r="C1027" s="3">
        <v>954.0</v>
      </c>
      <c r="D1027" s="3">
        <v>52.0</v>
      </c>
      <c r="E1027" s="3">
        <v>17.0</v>
      </c>
      <c r="F1027" s="11">
        <f t="shared" si="1"/>
        <v>0.1194968553</v>
      </c>
      <c r="G1027" s="5">
        <f t="shared" si="2"/>
        <v>6.880503145</v>
      </c>
      <c r="H1027" s="3">
        <v>1027.0</v>
      </c>
      <c r="I1027" s="17"/>
    </row>
    <row r="1028">
      <c r="A1028" s="3">
        <v>7.0</v>
      </c>
      <c r="B1028" s="3">
        <v>89.0</v>
      </c>
      <c r="C1028" s="3">
        <v>1007.0</v>
      </c>
      <c r="D1028" s="3">
        <v>52.0</v>
      </c>
      <c r="E1028" s="3">
        <v>18.0</v>
      </c>
      <c r="F1028" s="11">
        <f t="shared" si="1"/>
        <v>0.08838133069</v>
      </c>
      <c r="G1028" s="5">
        <f t="shared" si="2"/>
        <v>6.911618669</v>
      </c>
      <c r="H1028" s="3">
        <v>1028.0</v>
      </c>
      <c r="I1028" s="17"/>
    </row>
    <row r="1029">
      <c r="A1029" s="3">
        <v>7.0</v>
      </c>
      <c r="B1029" s="3">
        <v>38.0</v>
      </c>
      <c r="C1029" s="3">
        <v>1060.0</v>
      </c>
      <c r="D1029" s="3">
        <v>52.0</v>
      </c>
      <c r="E1029" s="3">
        <v>19.0</v>
      </c>
      <c r="F1029" s="11">
        <f t="shared" si="1"/>
        <v>0.0358490566</v>
      </c>
      <c r="G1029" s="5">
        <f t="shared" si="2"/>
        <v>6.964150943</v>
      </c>
      <c r="H1029" s="3">
        <v>1029.0</v>
      </c>
      <c r="I1029" s="17"/>
    </row>
    <row r="1030">
      <c r="A1030" s="3">
        <v>7.0</v>
      </c>
      <c r="B1030" s="3">
        <v>312.0</v>
      </c>
      <c r="C1030" s="3">
        <v>324.0</v>
      </c>
      <c r="D1030" s="3">
        <v>53.0</v>
      </c>
      <c r="E1030" s="3">
        <v>5.0</v>
      </c>
      <c r="F1030" s="11">
        <f t="shared" si="1"/>
        <v>0.962962963</v>
      </c>
      <c r="G1030" s="5">
        <f t="shared" si="2"/>
        <v>6.037037037</v>
      </c>
      <c r="H1030" s="3">
        <v>1030.0</v>
      </c>
      <c r="I1030" s="17"/>
    </row>
    <row r="1031">
      <c r="A1031" s="3">
        <v>7.0</v>
      </c>
      <c r="B1031" s="3">
        <v>338.0</v>
      </c>
      <c r="C1031" s="3">
        <v>378.0</v>
      </c>
      <c r="D1031" s="3">
        <v>53.0</v>
      </c>
      <c r="E1031" s="3">
        <v>6.0</v>
      </c>
      <c r="F1031" s="11">
        <f t="shared" si="1"/>
        <v>0.8941798942</v>
      </c>
      <c r="G1031" s="5">
        <f t="shared" si="2"/>
        <v>6.105820106</v>
      </c>
      <c r="H1031" s="3">
        <v>1031.0</v>
      </c>
      <c r="I1031" s="17"/>
    </row>
    <row r="1032">
      <c r="A1032" s="3">
        <v>7.0</v>
      </c>
      <c r="B1032" s="3">
        <v>348.0</v>
      </c>
      <c r="C1032" s="3">
        <v>432.0</v>
      </c>
      <c r="D1032" s="3">
        <v>53.0</v>
      </c>
      <c r="E1032" s="3">
        <v>7.0</v>
      </c>
      <c r="F1032" s="11">
        <f t="shared" si="1"/>
        <v>0.8055555556</v>
      </c>
      <c r="G1032" s="5">
        <f t="shared" si="2"/>
        <v>6.194444444</v>
      </c>
      <c r="H1032" s="3">
        <v>1032.0</v>
      </c>
      <c r="I1032" s="17"/>
    </row>
    <row r="1033">
      <c r="A1033" s="3">
        <v>7.0</v>
      </c>
      <c r="B1033" s="3">
        <v>342.0</v>
      </c>
      <c r="C1033" s="3">
        <v>486.0</v>
      </c>
      <c r="D1033" s="3">
        <v>53.0</v>
      </c>
      <c r="E1033" s="3">
        <v>8.0</v>
      </c>
      <c r="F1033" s="11">
        <f t="shared" si="1"/>
        <v>0.7037037037</v>
      </c>
      <c r="G1033" s="5">
        <f t="shared" si="2"/>
        <v>6.296296296</v>
      </c>
      <c r="H1033" s="3">
        <v>1033.0</v>
      </c>
      <c r="I1033" s="17"/>
    </row>
    <row r="1034">
      <c r="A1034" s="3">
        <v>7.0</v>
      </c>
      <c r="B1034" s="3">
        <v>328.0</v>
      </c>
      <c r="C1034" s="3">
        <v>540.0</v>
      </c>
      <c r="D1034" s="3">
        <v>53.0</v>
      </c>
      <c r="E1034" s="3">
        <v>9.0</v>
      </c>
      <c r="F1034" s="11">
        <f t="shared" si="1"/>
        <v>0.6074074074</v>
      </c>
      <c r="G1034" s="5">
        <f t="shared" si="2"/>
        <v>6.392592593</v>
      </c>
      <c r="H1034" s="3">
        <v>1034.0</v>
      </c>
      <c r="I1034" s="17"/>
    </row>
    <row r="1035">
      <c r="A1035" s="3">
        <v>7.0</v>
      </c>
      <c r="B1035" s="3">
        <v>308.0</v>
      </c>
      <c r="C1035" s="3">
        <v>594.0</v>
      </c>
      <c r="D1035" s="3">
        <v>53.0</v>
      </c>
      <c r="E1035" s="3">
        <v>10.0</v>
      </c>
      <c r="F1035" s="11">
        <f t="shared" si="1"/>
        <v>0.5185185185</v>
      </c>
      <c r="G1035" s="5">
        <f t="shared" si="2"/>
        <v>6.481481481</v>
      </c>
      <c r="H1035" s="3">
        <v>1035.0</v>
      </c>
      <c r="I1035" s="17"/>
    </row>
    <row r="1036">
      <c r="A1036" s="3">
        <v>7.0</v>
      </c>
      <c r="B1036" s="3">
        <v>280.0</v>
      </c>
      <c r="C1036" s="3">
        <v>648.0</v>
      </c>
      <c r="D1036" s="3">
        <v>53.0</v>
      </c>
      <c r="E1036" s="3">
        <v>11.0</v>
      </c>
      <c r="F1036" s="11">
        <f t="shared" si="1"/>
        <v>0.4320987654</v>
      </c>
      <c r="G1036" s="5">
        <f t="shared" si="2"/>
        <v>6.567901235</v>
      </c>
      <c r="H1036" s="3">
        <v>1036.0</v>
      </c>
      <c r="I1036" s="17"/>
    </row>
    <row r="1037">
      <c r="A1037" s="3">
        <v>7.0</v>
      </c>
      <c r="B1037" s="3">
        <v>252.0</v>
      </c>
      <c r="C1037" s="3">
        <v>702.0</v>
      </c>
      <c r="D1037" s="3">
        <v>53.0</v>
      </c>
      <c r="E1037" s="3">
        <v>12.0</v>
      </c>
      <c r="F1037" s="11">
        <f t="shared" si="1"/>
        <v>0.358974359</v>
      </c>
      <c r="G1037" s="5">
        <f t="shared" si="2"/>
        <v>6.641025641</v>
      </c>
      <c r="H1037" s="3">
        <v>1037.0</v>
      </c>
      <c r="I1037" s="17"/>
    </row>
    <row r="1038">
      <c r="A1038" s="3">
        <v>7.0</v>
      </c>
      <c r="B1038" s="3">
        <v>216.0</v>
      </c>
      <c r="C1038" s="3">
        <v>756.0</v>
      </c>
      <c r="D1038" s="3">
        <v>53.0</v>
      </c>
      <c r="E1038" s="3">
        <v>13.0</v>
      </c>
      <c r="F1038" s="11">
        <f t="shared" si="1"/>
        <v>0.2857142857</v>
      </c>
      <c r="G1038" s="5">
        <f t="shared" si="2"/>
        <v>6.714285714</v>
      </c>
      <c r="H1038" s="3">
        <v>1038.0</v>
      </c>
      <c r="I1038" s="17"/>
    </row>
    <row r="1039">
      <c r="A1039" s="3">
        <v>7.0</v>
      </c>
      <c r="B1039" s="3">
        <v>184.0</v>
      </c>
      <c r="C1039" s="3">
        <v>810.0</v>
      </c>
      <c r="D1039" s="3">
        <v>53.0</v>
      </c>
      <c r="E1039" s="3">
        <v>14.0</v>
      </c>
      <c r="F1039" s="11">
        <f t="shared" si="1"/>
        <v>0.2271604938</v>
      </c>
      <c r="G1039" s="5">
        <f t="shared" si="2"/>
        <v>6.772839506</v>
      </c>
      <c r="H1039" s="3">
        <v>1039.0</v>
      </c>
      <c r="I1039" s="17"/>
    </row>
    <row r="1040">
      <c r="A1040" s="3">
        <v>7.0</v>
      </c>
      <c r="B1040" s="3">
        <v>152.0</v>
      </c>
      <c r="C1040" s="3">
        <v>864.0</v>
      </c>
      <c r="D1040" s="3">
        <v>53.0</v>
      </c>
      <c r="E1040" s="3">
        <v>15.0</v>
      </c>
      <c r="F1040" s="11">
        <f t="shared" si="1"/>
        <v>0.1759259259</v>
      </c>
      <c r="G1040" s="5">
        <f t="shared" si="2"/>
        <v>6.824074074</v>
      </c>
      <c r="H1040" s="3">
        <v>1040.0</v>
      </c>
      <c r="I1040" s="17"/>
    </row>
    <row r="1041">
      <c r="A1041" s="3">
        <v>7.0</v>
      </c>
      <c r="B1041" s="3">
        <v>128.0</v>
      </c>
      <c r="C1041" s="3">
        <v>918.0</v>
      </c>
      <c r="D1041" s="3">
        <v>53.0</v>
      </c>
      <c r="E1041" s="3">
        <v>16.0</v>
      </c>
      <c r="F1041" s="11">
        <f t="shared" si="1"/>
        <v>0.1394335512</v>
      </c>
      <c r="G1041" s="5">
        <f t="shared" si="2"/>
        <v>6.860566449</v>
      </c>
      <c r="H1041" s="3">
        <v>1041.0</v>
      </c>
      <c r="I1041" s="17"/>
    </row>
    <row r="1042">
      <c r="A1042" s="3">
        <v>7.0</v>
      </c>
      <c r="B1042" s="3">
        <v>104.0</v>
      </c>
      <c r="C1042" s="3">
        <v>972.0</v>
      </c>
      <c r="D1042" s="3">
        <v>53.0</v>
      </c>
      <c r="E1042" s="3">
        <v>17.0</v>
      </c>
      <c r="F1042" s="11">
        <f t="shared" si="1"/>
        <v>0.1069958848</v>
      </c>
      <c r="G1042" s="5">
        <f t="shared" si="2"/>
        <v>6.893004115</v>
      </c>
      <c r="H1042" s="3">
        <v>1042.0</v>
      </c>
      <c r="I1042" s="17"/>
    </row>
    <row r="1043">
      <c r="A1043" s="3">
        <v>7.0</v>
      </c>
      <c r="B1043" s="3">
        <v>70.0</v>
      </c>
      <c r="C1043" s="3">
        <v>1026.0</v>
      </c>
      <c r="D1043" s="3">
        <v>53.0</v>
      </c>
      <c r="E1043" s="3">
        <v>18.0</v>
      </c>
      <c r="F1043" s="11">
        <f t="shared" si="1"/>
        <v>0.06822612086</v>
      </c>
      <c r="G1043" s="5">
        <f t="shared" si="2"/>
        <v>6.931773879</v>
      </c>
      <c r="H1043" s="3">
        <v>1043.0</v>
      </c>
      <c r="I1043" s="17"/>
    </row>
    <row r="1044">
      <c r="A1044" s="3">
        <v>7.0</v>
      </c>
      <c r="B1044" s="3">
        <v>2.0</v>
      </c>
      <c r="C1044" s="3">
        <v>1080.0</v>
      </c>
      <c r="D1044" s="3">
        <v>53.0</v>
      </c>
      <c r="E1044" s="3">
        <v>19.0</v>
      </c>
      <c r="F1044" s="11">
        <f t="shared" si="1"/>
        <v>0.001851851852</v>
      </c>
      <c r="G1044" s="5">
        <f t="shared" si="2"/>
        <v>6.998148148</v>
      </c>
      <c r="H1044" s="3">
        <v>1044.0</v>
      </c>
      <c r="I1044" s="17"/>
    </row>
    <row r="1045">
      <c r="A1045" s="3">
        <v>7.0</v>
      </c>
      <c r="B1045" s="3">
        <v>314.0</v>
      </c>
      <c r="C1045" s="3">
        <v>330.0</v>
      </c>
      <c r="D1045" s="3">
        <v>54.0</v>
      </c>
      <c r="E1045" s="3">
        <v>5.0</v>
      </c>
      <c r="F1045" s="11">
        <f t="shared" si="1"/>
        <v>0.9515151515</v>
      </c>
      <c r="G1045" s="5">
        <f t="shared" si="2"/>
        <v>6.048484848</v>
      </c>
      <c r="H1045" s="3">
        <v>1045.0</v>
      </c>
      <c r="I1045" s="17"/>
    </row>
    <row r="1046">
      <c r="A1046" s="3">
        <v>7.0</v>
      </c>
      <c r="B1046" s="3">
        <v>337.0</v>
      </c>
      <c r="C1046" s="3">
        <v>385.0</v>
      </c>
      <c r="D1046" s="3">
        <v>54.0</v>
      </c>
      <c r="E1046" s="3">
        <v>6.0</v>
      </c>
      <c r="F1046" s="11">
        <f t="shared" si="1"/>
        <v>0.8753246753</v>
      </c>
      <c r="G1046" s="5">
        <f t="shared" si="2"/>
        <v>6.124675325</v>
      </c>
      <c r="H1046" s="3">
        <v>1046.0</v>
      </c>
      <c r="I1046" s="17"/>
    </row>
    <row r="1047">
      <c r="A1047" s="3">
        <v>7.0</v>
      </c>
      <c r="B1047" s="3">
        <v>344.0</v>
      </c>
      <c r="C1047" s="3">
        <v>440.0</v>
      </c>
      <c r="D1047" s="3">
        <v>54.0</v>
      </c>
      <c r="E1047" s="3">
        <v>7.0</v>
      </c>
      <c r="F1047" s="11">
        <f t="shared" si="1"/>
        <v>0.7818181818</v>
      </c>
      <c r="G1047" s="5">
        <f t="shared" si="2"/>
        <v>6.218181818</v>
      </c>
      <c r="H1047" s="3">
        <v>1047.0</v>
      </c>
      <c r="I1047" s="17"/>
    </row>
    <row r="1048">
      <c r="A1048" s="3">
        <v>7.0</v>
      </c>
      <c r="B1048" s="3">
        <v>335.0</v>
      </c>
      <c r="C1048" s="3">
        <v>495.0</v>
      </c>
      <c r="D1048" s="3">
        <v>54.0</v>
      </c>
      <c r="E1048" s="3">
        <v>8.0</v>
      </c>
      <c r="F1048" s="11">
        <f t="shared" si="1"/>
        <v>0.6767676768</v>
      </c>
      <c r="G1048" s="5">
        <f t="shared" si="2"/>
        <v>6.323232323</v>
      </c>
      <c r="H1048" s="3">
        <v>1048.0</v>
      </c>
      <c r="I1048" s="17"/>
    </row>
    <row r="1049">
      <c r="A1049" s="3">
        <v>7.0</v>
      </c>
      <c r="B1049" s="3">
        <v>318.0</v>
      </c>
      <c r="C1049" s="3">
        <v>550.0</v>
      </c>
      <c r="D1049" s="3">
        <v>54.0</v>
      </c>
      <c r="E1049" s="3">
        <v>9.0</v>
      </c>
      <c r="F1049" s="11">
        <f t="shared" si="1"/>
        <v>0.5781818182</v>
      </c>
      <c r="G1049" s="5">
        <f t="shared" si="2"/>
        <v>6.421818182</v>
      </c>
      <c r="H1049" s="3">
        <v>1049.0</v>
      </c>
      <c r="I1049" s="17"/>
    </row>
    <row r="1050">
      <c r="A1050" s="3">
        <v>7.0</v>
      </c>
      <c r="B1050" s="3">
        <v>297.0</v>
      </c>
      <c r="C1050" s="3">
        <v>605.0</v>
      </c>
      <c r="D1050" s="3">
        <v>54.0</v>
      </c>
      <c r="E1050" s="3">
        <v>10.0</v>
      </c>
      <c r="F1050" s="11">
        <f t="shared" si="1"/>
        <v>0.4909090909</v>
      </c>
      <c r="G1050" s="5">
        <f t="shared" si="2"/>
        <v>6.509090909</v>
      </c>
      <c r="H1050" s="3">
        <v>1050.0</v>
      </c>
      <c r="I1050" s="17"/>
    </row>
    <row r="1051">
      <c r="A1051" s="3">
        <v>7.0</v>
      </c>
      <c r="B1051" s="3">
        <v>268.0</v>
      </c>
      <c r="C1051" s="3">
        <v>660.0</v>
      </c>
      <c r="D1051" s="3">
        <v>54.0</v>
      </c>
      <c r="E1051" s="3">
        <v>11.0</v>
      </c>
      <c r="F1051" s="11">
        <f t="shared" si="1"/>
        <v>0.4060606061</v>
      </c>
      <c r="G1051" s="5">
        <f t="shared" si="2"/>
        <v>6.593939394</v>
      </c>
      <c r="H1051" s="3">
        <v>1051.0</v>
      </c>
      <c r="I1051" s="17"/>
    </row>
    <row r="1052">
      <c r="A1052" s="3">
        <v>7.0</v>
      </c>
      <c r="B1052" s="3">
        <v>239.0</v>
      </c>
      <c r="C1052" s="3">
        <v>715.0</v>
      </c>
      <c r="D1052" s="3">
        <v>54.0</v>
      </c>
      <c r="E1052" s="3">
        <v>12.0</v>
      </c>
      <c r="F1052" s="11">
        <f t="shared" si="1"/>
        <v>0.3342657343</v>
      </c>
      <c r="G1052" s="5">
        <f t="shared" si="2"/>
        <v>6.665734266</v>
      </c>
      <c r="H1052" s="3">
        <v>1052.0</v>
      </c>
      <c r="I1052" s="17"/>
    </row>
    <row r="1053">
      <c r="A1053" s="3">
        <v>7.0</v>
      </c>
      <c r="B1053" s="3">
        <v>202.0</v>
      </c>
      <c r="C1053" s="3">
        <v>770.0</v>
      </c>
      <c r="D1053" s="3">
        <v>54.0</v>
      </c>
      <c r="E1053" s="3">
        <v>13.0</v>
      </c>
      <c r="F1053" s="11">
        <f t="shared" si="1"/>
        <v>0.2623376623</v>
      </c>
      <c r="G1053" s="5">
        <f t="shared" si="2"/>
        <v>6.737662338</v>
      </c>
      <c r="H1053" s="3">
        <v>1053.0</v>
      </c>
      <c r="I1053" s="17"/>
    </row>
    <row r="1054">
      <c r="A1054" s="3">
        <v>7.0</v>
      </c>
      <c r="B1054" s="3">
        <v>171.0</v>
      </c>
      <c r="C1054" s="3">
        <v>825.0</v>
      </c>
      <c r="D1054" s="3">
        <v>54.0</v>
      </c>
      <c r="E1054" s="3">
        <v>14.0</v>
      </c>
      <c r="F1054" s="11">
        <f t="shared" si="1"/>
        <v>0.2072727273</v>
      </c>
      <c r="G1054" s="5">
        <f t="shared" si="2"/>
        <v>6.792727273</v>
      </c>
      <c r="H1054" s="3">
        <v>1054.0</v>
      </c>
      <c r="I1054" s="17"/>
    </row>
    <row r="1055">
      <c r="A1055" s="3">
        <v>7.0</v>
      </c>
      <c r="B1055" s="3">
        <v>140.0</v>
      </c>
      <c r="C1055" s="3">
        <v>880.0</v>
      </c>
      <c r="D1055" s="3">
        <v>54.0</v>
      </c>
      <c r="E1055" s="3">
        <v>15.0</v>
      </c>
      <c r="F1055" s="11">
        <f t="shared" si="1"/>
        <v>0.1590909091</v>
      </c>
      <c r="G1055" s="5">
        <f t="shared" si="2"/>
        <v>6.840909091</v>
      </c>
      <c r="H1055" s="3">
        <v>1055.0</v>
      </c>
      <c r="I1055" s="17"/>
    </row>
    <row r="1056">
      <c r="A1056" s="3">
        <v>7.0</v>
      </c>
      <c r="B1056" s="3">
        <v>117.0</v>
      </c>
      <c r="C1056" s="3">
        <v>935.0</v>
      </c>
      <c r="D1056" s="3">
        <v>54.0</v>
      </c>
      <c r="E1056" s="3">
        <v>16.0</v>
      </c>
      <c r="F1056" s="11">
        <f t="shared" si="1"/>
        <v>0.1251336898</v>
      </c>
      <c r="G1056" s="5">
        <f t="shared" si="2"/>
        <v>6.87486631</v>
      </c>
      <c r="H1056" s="3">
        <v>1056.0</v>
      </c>
      <c r="I1056" s="17"/>
    </row>
    <row r="1057">
      <c r="A1057" s="3">
        <v>7.0</v>
      </c>
      <c r="B1057" s="3">
        <v>92.0</v>
      </c>
      <c r="C1057" s="3">
        <v>990.0</v>
      </c>
      <c r="D1057" s="3">
        <v>54.0</v>
      </c>
      <c r="E1057" s="3">
        <v>17.0</v>
      </c>
      <c r="F1057" s="11">
        <f t="shared" si="1"/>
        <v>0.09292929293</v>
      </c>
      <c r="G1057" s="5">
        <f t="shared" si="2"/>
        <v>6.907070707</v>
      </c>
      <c r="H1057" s="3">
        <v>1057.0</v>
      </c>
      <c r="I1057" s="17"/>
    </row>
    <row r="1058">
      <c r="A1058" s="3">
        <v>7.0</v>
      </c>
      <c r="B1058" s="3">
        <v>47.0</v>
      </c>
      <c r="C1058" s="3">
        <v>1045.0</v>
      </c>
      <c r="D1058" s="3">
        <v>54.0</v>
      </c>
      <c r="E1058" s="3">
        <v>18.0</v>
      </c>
      <c r="F1058" s="11">
        <f t="shared" si="1"/>
        <v>0.04497607656</v>
      </c>
      <c r="G1058" s="5">
        <f t="shared" si="2"/>
        <v>6.955023923</v>
      </c>
      <c r="H1058" s="3">
        <v>1058.0</v>
      </c>
      <c r="I1058" s="17"/>
    </row>
    <row r="1059">
      <c r="A1059" s="3">
        <v>8.0</v>
      </c>
      <c r="B1059" s="3">
        <v>1152.0</v>
      </c>
      <c r="C1059" s="3">
        <v>1156.0</v>
      </c>
      <c r="D1059" s="3">
        <v>33.0</v>
      </c>
      <c r="E1059" s="3">
        <v>33.0</v>
      </c>
      <c r="F1059" s="11">
        <f t="shared" si="1"/>
        <v>0.9965397924</v>
      </c>
      <c r="G1059" s="5">
        <f t="shared" si="2"/>
        <v>7.003460208</v>
      </c>
      <c r="H1059" s="3">
        <v>1059.0</v>
      </c>
      <c r="I1059" s="17"/>
    </row>
    <row r="1060">
      <c r="A1060" s="3">
        <v>8.0</v>
      </c>
      <c r="B1060" s="3">
        <v>1151.0</v>
      </c>
      <c r="C1060" s="3">
        <v>1155.0</v>
      </c>
      <c r="D1060" s="3">
        <v>34.0</v>
      </c>
      <c r="E1060" s="3">
        <v>32.0</v>
      </c>
      <c r="F1060" s="11">
        <f t="shared" si="1"/>
        <v>0.9965367965</v>
      </c>
      <c r="G1060" s="5">
        <f t="shared" si="2"/>
        <v>7.003463203</v>
      </c>
      <c r="H1060" s="3">
        <v>1060.0</v>
      </c>
      <c r="I1060" s="17"/>
    </row>
    <row r="1061">
      <c r="A1061" s="3">
        <v>8.0</v>
      </c>
      <c r="B1061" s="3">
        <v>1178.0</v>
      </c>
      <c r="C1061" s="3">
        <v>1190.0</v>
      </c>
      <c r="D1061" s="3">
        <v>34.0</v>
      </c>
      <c r="E1061" s="3">
        <v>33.0</v>
      </c>
      <c r="F1061" s="11">
        <f t="shared" si="1"/>
        <v>0.9899159664</v>
      </c>
      <c r="G1061" s="5">
        <f t="shared" si="2"/>
        <v>7.010084034</v>
      </c>
      <c r="H1061" s="3">
        <v>1061.0</v>
      </c>
      <c r="I1061" s="17"/>
    </row>
    <row r="1062">
      <c r="A1062" s="3">
        <v>8.0</v>
      </c>
      <c r="B1062" s="3">
        <v>1201.0</v>
      </c>
      <c r="C1062" s="3">
        <v>1225.0</v>
      </c>
      <c r="D1062" s="3">
        <v>34.0</v>
      </c>
      <c r="E1062" s="3">
        <v>34.0</v>
      </c>
      <c r="F1062" s="11">
        <f t="shared" si="1"/>
        <v>0.9804081633</v>
      </c>
      <c r="G1062" s="5">
        <f t="shared" si="2"/>
        <v>7.019591837</v>
      </c>
      <c r="H1062" s="3">
        <v>1062.0</v>
      </c>
      <c r="I1062" s="17"/>
    </row>
    <row r="1063">
      <c r="A1063" s="3">
        <v>8.0</v>
      </c>
      <c r="B1063" s="3">
        <v>1148.0</v>
      </c>
      <c r="C1063" s="3">
        <v>1152.0</v>
      </c>
      <c r="D1063" s="3">
        <v>35.0</v>
      </c>
      <c r="E1063" s="3">
        <v>31.0</v>
      </c>
      <c r="F1063" s="11">
        <f t="shared" si="1"/>
        <v>0.9965277778</v>
      </c>
      <c r="G1063" s="5">
        <f t="shared" si="2"/>
        <v>7.003472222</v>
      </c>
      <c r="H1063" s="3">
        <v>1063.0</v>
      </c>
      <c r="I1063" s="17"/>
    </row>
    <row r="1064">
      <c r="A1064" s="3">
        <v>8.0</v>
      </c>
      <c r="B1064" s="3">
        <v>1176.0</v>
      </c>
      <c r="C1064" s="3">
        <v>1188.0</v>
      </c>
      <c r="D1064" s="3">
        <v>35.0</v>
      </c>
      <c r="E1064" s="3">
        <v>32.0</v>
      </c>
      <c r="F1064" s="11">
        <f t="shared" si="1"/>
        <v>0.9898989899</v>
      </c>
      <c r="G1064" s="5">
        <f t="shared" si="2"/>
        <v>7.01010101</v>
      </c>
      <c r="H1064" s="3">
        <v>1064.0</v>
      </c>
      <c r="I1064" s="17"/>
    </row>
    <row r="1065">
      <c r="A1065" s="3">
        <v>8.0</v>
      </c>
      <c r="B1065" s="3">
        <v>1200.0</v>
      </c>
      <c r="C1065" s="3">
        <v>1224.0</v>
      </c>
      <c r="D1065" s="3">
        <v>35.0</v>
      </c>
      <c r="E1065" s="3">
        <v>33.0</v>
      </c>
      <c r="F1065" s="11">
        <f t="shared" si="1"/>
        <v>0.9803921569</v>
      </c>
      <c r="G1065" s="5">
        <f t="shared" si="2"/>
        <v>7.019607843</v>
      </c>
      <c r="H1065" s="3">
        <v>1065.0</v>
      </c>
      <c r="I1065" s="17"/>
    </row>
    <row r="1066">
      <c r="A1066" s="3">
        <v>8.0</v>
      </c>
      <c r="B1066" s="3">
        <v>1220.0</v>
      </c>
      <c r="C1066" s="3">
        <v>1260.0</v>
      </c>
      <c r="D1066" s="3">
        <v>35.0</v>
      </c>
      <c r="E1066" s="3">
        <v>34.0</v>
      </c>
      <c r="F1066" s="11">
        <f t="shared" si="1"/>
        <v>0.9682539683</v>
      </c>
      <c r="G1066" s="5">
        <f t="shared" si="2"/>
        <v>7.031746032</v>
      </c>
      <c r="H1066" s="3">
        <v>1066.0</v>
      </c>
      <c r="I1066" s="17"/>
    </row>
    <row r="1067">
      <c r="A1067" s="3">
        <v>8.0</v>
      </c>
      <c r="B1067" s="3">
        <v>1236.0</v>
      </c>
      <c r="C1067" s="3">
        <v>1296.0</v>
      </c>
      <c r="D1067" s="3">
        <v>35.0</v>
      </c>
      <c r="E1067" s="3">
        <v>35.0</v>
      </c>
      <c r="F1067" s="11">
        <f t="shared" si="1"/>
        <v>0.9537037037</v>
      </c>
      <c r="G1067" s="5">
        <f t="shared" si="2"/>
        <v>7.046296296</v>
      </c>
      <c r="H1067" s="3">
        <v>1067.0</v>
      </c>
      <c r="I1067" s="17"/>
    </row>
    <row r="1068">
      <c r="A1068" s="3">
        <v>8.0</v>
      </c>
      <c r="B1068" s="3">
        <v>1143.0</v>
      </c>
      <c r="C1068" s="3">
        <v>1147.0</v>
      </c>
      <c r="D1068" s="3">
        <v>36.0</v>
      </c>
      <c r="E1068" s="3">
        <v>30.0</v>
      </c>
      <c r="F1068" s="11">
        <f t="shared" si="1"/>
        <v>0.9965126417</v>
      </c>
      <c r="G1068" s="5">
        <f t="shared" si="2"/>
        <v>7.003487358</v>
      </c>
      <c r="H1068" s="3">
        <v>1068.0</v>
      </c>
      <c r="I1068" s="17"/>
    </row>
    <row r="1069">
      <c r="A1069" s="3">
        <v>8.0</v>
      </c>
      <c r="B1069" s="3">
        <v>1172.0</v>
      </c>
      <c r="C1069" s="3">
        <v>1184.0</v>
      </c>
      <c r="D1069" s="3">
        <v>36.0</v>
      </c>
      <c r="E1069" s="3">
        <v>31.0</v>
      </c>
      <c r="F1069" s="11">
        <f t="shared" si="1"/>
        <v>0.9898648649</v>
      </c>
      <c r="G1069" s="5">
        <f t="shared" si="2"/>
        <v>7.010135135</v>
      </c>
      <c r="H1069" s="3">
        <v>1069.0</v>
      </c>
      <c r="I1069" s="17"/>
    </row>
    <row r="1070">
      <c r="A1070" s="3">
        <v>8.0</v>
      </c>
      <c r="B1070" s="3">
        <v>1197.0</v>
      </c>
      <c r="C1070" s="3">
        <v>1221.0</v>
      </c>
      <c r="D1070" s="3">
        <v>36.0</v>
      </c>
      <c r="E1070" s="3">
        <v>32.0</v>
      </c>
      <c r="F1070" s="11">
        <f t="shared" si="1"/>
        <v>0.9803439803</v>
      </c>
      <c r="G1070" s="5">
        <f t="shared" si="2"/>
        <v>7.01965602</v>
      </c>
      <c r="H1070" s="3">
        <v>1070.0</v>
      </c>
      <c r="I1070" s="17"/>
    </row>
    <row r="1071">
      <c r="A1071" s="3">
        <v>8.0</v>
      </c>
      <c r="B1071" s="3">
        <v>1218.0</v>
      </c>
      <c r="C1071" s="3">
        <v>1258.0</v>
      </c>
      <c r="D1071" s="3">
        <v>36.0</v>
      </c>
      <c r="E1071" s="3">
        <v>33.0</v>
      </c>
      <c r="F1071" s="11">
        <f t="shared" si="1"/>
        <v>0.9682034976</v>
      </c>
      <c r="G1071" s="5">
        <f t="shared" si="2"/>
        <v>7.031796502</v>
      </c>
      <c r="H1071" s="3">
        <v>1071.0</v>
      </c>
      <c r="I1071" s="17"/>
    </row>
    <row r="1072">
      <c r="A1072" s="3">
        <v>8.0</v>
      </c>
      <c r="B1072" s="3">
        <v>1235.0</v>
      </c>
      <c r="C1072" s="3">
        <v>1295.0</v>
      </c>
      <c r="D1072" s="3">
        <v>36.0</v>
      </c>
      <c r="E1072" s="3">
        <v>34.0</v>
      </c>
      <c r="F1072" s="11">
        <f t="shared" si="1"/>
        <v>0.9536679537</v>
      </c>
      <c r="G1072" s="5">
        <f t="shared" si="2"/>
        <v>7.046332046</v>
      </c>
      <c r="H1072" s="3">
        <v>1072.0</v>
      </c>
      <c r="I1072" s="17"/>
    </row>
    <row r="1073">
      <c r="A1073" s="3">
        <v>8.0</v>
      </c>
      <c r="B1073" s="3">
        <v>1248.0</v>
      </c>
      <c r="C1073" s="3">
        <v>1332.0</v>
      </c>
      <c r="D1073" s="3">
        <v>36.0</v>
      </c>
      <c r="E1073" s="3">
        <v>35.0</v>
      </c>
      <c r="F1073" s="11">
        <f t="shared" si="1"/>
        <v>0.9369369369</v>
      </c>
      <c r="G1073" s="5">
        <f t="shared" si="2"/>
        <v>7.063063063</v>
      </c>
      <c r="H1073" s="3">
        <v>1073.0</v>
      </c>
      <c r="I1073" s="17"/>
    </row>
    <row r="1074">
      <c r="A1074" s="3">
        <v>8.0</v>
      </c>
      <c r="B1074" s="3">
        <v>1257.0</v>
      </c>
      <c r="C1074" s="3">
        <v>1369.0</v>
      </c>
      <c r="D1074" s="3">
        <v>36.0</v>
      </c>
      <c r="E1074" s="3">
        <v>36.0</v>
      </c>
      <c r="F1074" s="11">
        <f t="shared" si="1"/>
        <v>0.9181884587</v>
      </c>
      <c r="G1074" s="5">
        <f t="shared" si="2"/>
        <v>7.081811541</v>
      </c>
      <c r="H1074" s="3">
        <v>1074.0</v>
      </c>
      <c r="I1074" s="17"/>
    </row>
    <row r="1075">
      <c r="A1075" s="3">
        <v>8.0</v>
      </c>
      <c r="B1075" s="3">
        <v>1136.0</v>
      </c>
      <c r="C1075" s="3">
        <v>1140.0</v>
      </c>
      <c r="D1075" s="3">
        <v>37.0</v>
      </c>
      <c r="E1075" s="3">
        <v>29.0</v>
      </c>
      <c r="F1075" s="11">
        <f t="shared" si="1"/>
        <v>0.9964912281</v>
      </c>
      <c r="G1075" s="5">
        <f t="shared" si="2"/>
        <v>7.003508772</v>
      </c>
      <c r="H1075" s="3">
        <v>1075.0</v>
      </c>
      <c r="I1075" s="17"/>
    </row>
    <row r="1076">
      <c r="A1076" s="3">
        <v>8.0</v>
      </c>
      <c r="B1076" s="3">
        <v>1166.0</v>
      </c>
      <c r="C1076" s="3">
        <v>1178.0</v>
      </c>
      <c r="D1076" s="3">
        <v>37.0</v>
      </c>
      <c r="E1076" s="3">
        <v>30.0</v>
      </c>
      <c r="F1076" s="11">
        <f t="shared" si="1"/>
        <v>0.9898132428</v>
      </c>
      <c r="G1076" s="5">
        <f t="shared" si="2"/>
        <v>7.010186757</v>
      </c>
      <c r="H1076" s="3">
        <v>1076.0</v>
      </c>
      <c r="I1076" s="17"/>
    </row>
    <row r="1077">
      <c r="A1077" s="3">
        <v>8.0</v>
      </c>
      <c r="B1077" s="3">
        <v>1192.0</v>
      </c>
      <c r="C1077" s="3">
        <v>1216.0</v>
      </c>
      <c r="D1077" s="3">
        <v>37.0</v>
      </c>
      <c r="E1077" s="3">
        <v>31.0</v>
      </c>
      <c r="F1077" s="11">
        <f t="shared" si="1"/>
        <v>0.9802631579</v>
      </c>
      <c r="G1077" s="5">
        <f t="shared" si="2"/>
        <v>7.019736842</v>
      </c>
      <c r="H1077" s="3">
        <v>1077.0</v>
      </c>
      <c r="I1077" s="17"/>
    </row>
    <row r="1078">
      <c r="A1078" s="3">
        <v>8.0</v>
      </c>
      <c r="B1078" s="3">
        <v>1214.0</v>
      </c>
      <c r="C1078" s="3">
        <v>1254.0</v>
      </c>
      <c r="D1078" s="3">
        <v>37.0</v>
      </c>
      <c r="E1078" s="3">
        <v>32.0</v>
      </c>
      <c r="F1078" s="11">
        <f t="shared" si="1"/>
        <v>0.9681020734</v>
      </c>
      <c r="G1078" s="5">
        <f t="shared" si="2"/>
        <v>7.031897927</v>
      </c>
      <c r="H1078" s="3">
        <v>1078.0</v>
      </c>
      <c r="I1078" s="17"/>
    </row>
    <row r="1079">
      <c r="A1079" s="3">
        <v>8.0</v>
      </c>
      <c r="B1079" s="3">
        <v>1232.0</v>
      </c>
      <c r="C1079" s="3">
        <v>1292.0</v>
      </c>
      <c r="D1079" s="3">
        <v>37.0</v>
      </c>
      <c r="E1079" s="3">
        <v>33.0</v>
      </c>
      <c r="F1079" s="11">
        <f t="shared" si="1"/>
        <v>0.9535603715</v>
      </c>
      <c r="G1079" s="5">
        <f t="shared" si="2"/>
        <v>7.046439628</v>
      </c>
      <c r="H1079" s="3">
        <v>1079.0</v>
      </c>
      <c r="I1079" s="17"/>
    </row>
    <row r="1080">
      <c r="A1080" s="3">
        <v>8.0</v>
      </c>
      <c r="B1080" s="3">
        <v>1246.0</v>
      </c>
      <c r="C1080" s="3">
        <v>1330.0</v>
      </c>
      <c r="D1080" s="3">
        <v>37.0</v>
      </c>
      <c r="E1080" s="3">
        <v>34.0</v>
      </c>
      <c r="F1080" s="11">
        <f t="shared" si="1"/>
        <v>0.9368421053</v>
      </c>
      <c r="G1080" s="5">
        <f t="shared" si="2"/>
        <v>7.063157895</v>
      </c>
      <c r="H1080" s="3">
        <v>1080.0</v>
      </c>
      <c r="I1080" s="17"/>
    </row>
    <row r="1081">
      <c r="A1081" s="3">
        <v>8.0</v>
      </c>
      <c r="B1081" s="3">
        <v>1256.0</v>
      </c>
      <c r="C1081" s="3">
        <v>1368.0</v>
      </c>
      <c r="D1081" s="3">
        <v>37.0</v>
      </c>
      <c r="E1081" s="3">
        <v>35.0</v>
      </c>
      <c r="F1081" s="11">
        <f t="shared" si="1"/>
        <v>0.918128655</v>
      </c>
      <c r="G1081" s="5">
        <f t="shared" si="2"/>
        <v>7.081871345</v>
      </c>
      <c r="H1081" s="3">
        <v>1081.0</v>
      </c>
      <c r="I1081" s="17"/>
    </row>
    <row r="1082">
      <c r="A1082" s="3">
        <v>8.0</v>
      </c>
      <c r="B1082" s="3">
        <v>1262.0</v>
      </c>
      <c r="C1082" s="3">
        <v>1406.0</v>
      </c>
      <c r="D1082" s="3">
        <v>37.0</v>
      </c>
      <c r="E1082" s="3">
        <v>36.0</v>
      </c>
      <c r="F1082" s="11">
        <f t="shared" si="1"/>
        <v>0.8975817923</v>
      </c>
      <c r="G1082" s="5">
        <f t="shared" si="2"/>
        <v>7.102418208</v>
      </c>
      <c r="H1082" s="3">
        <v>1082.0</v>
      </c>
      <c r="I1082" s="17"/>
    </row>
    <row r="1083">
      <c r="A1083" s="3">
        <v>8.0</v>
      </c>
      <c r="B1083" s="3">
        <v>1264.0</v>
      </c>
      <c r="C1083" s="3">
        <v>1444.0</v>
      </c>
      <c r="D1083" s="3">
        <v>37.0</v>
      </c>
      <c r="E1083" s="3">
        <v>37.0</v>
      </c>
      <c r="F1083" s="11">
        <f t="shared" si="1"/>
        <v>0.8753462604</v>
      </c>
      <c r="G1083" s="5">
        <f t="shared" si="2"/>
        <v>7.12465374</v>
      </c>
      <c r="H1083" s="3">
        <v>1083.0</v>
      </c>
      <c r="I1083" s="17"/>
    </row>
    <row r="1084">
      <c r="A1084" s="3">
        <v>8.0</v>
      </c>
      <c r="B1084" s="3">
        <v>1127.0</v>
      </c>
      <c r="C1084" s="3">
        <v>1131.0</v>
      </c>
      <c r="D1084" s="3">
        <v>38.0</v>
      </c>
      <c r="E1084" s="3">
        <v>28.0</v>
      </c>
      <c r="F1084" s="11">
        <f t="shared" si="1"/>
        <v>0.9964633068</v>
      </c>
      <c r="G1084" s="5">
        <f t="shared" si="2"/>
        <v>7.003536693</v>
      </c>
      <c r="H1084" s="3">
        <v>1084.0</v>
      </c>
      <c r="I1084" s="17"/>
    </row>
    <row r="1085">
      <c r="A1085" s="3">
        <v>8.0</v>
      </c>
      <c r="B1085" s="3">
        <v>1158.0</v>
      </c>
      <c r="C1085" s="3">
        <v>1170.0</v>
      </c>
      <c r="D1085" s="3">
        <v>38.0</v>
      </c>
      <c r="E1085" s="3">
        <v>29.0</v>
      </c>
      <c r="F1085" s="11">
        <f t="shared" si="1"/>
        <v>0.9897435897</v>
      </c>
      <c r="G1085" s="5">
        <f t="shared" si="2"/>
        <v>7.01025641</v>
      </c>
      <c r="H1085" s="3">
        <v>1085.0</v>
      </c>
      <c r="I1085" s="17"/>
    </row>
    <row r="1086">
      <c r="A1086" s="3">
        <v>8.0</v>
      </c>
      <c r="B1086" s="3">
        <v>1185.0</v>
      </c>
      <c r="C1086" s="3">
        <v>1209.0</v>
      </c>
      <c r="D1086" s="3">
        <v>38.0</v>
      </c>
      <c r="E1086" s="3">
        <v>30.0</v>
      </c>
      <c r="F1086" s="11">
        <f t="shared" si="1"/>
        <v>0.9801488834</v>
      </c>
      <c r="G1086" s="5">
        <f t="shared" si="2"/>
        <v>7.019851117</v>
      </c>
      <c r="H1086" s="3">
        <v>1086.0</v>
      </c>
      <c r="I1086" s="17"/>
    </row>
    <row r="1087">
      <c r="A1087" s="3">
        <v>8.0</v>
      </c>
      <c r="B1087" s="3">
        <v>1208.0</v>
      </c>
      <c r="C1087" s="3">
        <v>1248.0</v>
      </c>
      <c r="D1087" s="3">
        <v>38.0</v>
      </c>
      <c r="E1087" s="3">
        <v>31.0</v>
      </c>
      <c r="F1087" s="11">
        <f t="shared" si="1"/>
        <v>0.9679487179</v>
      </c>
      <c r="G1087" s="5">
        <f t="shared" si="2"/>
        <v>7.032051282</v>
      </c>
      <c r="H1087" s="3">
        <v>1087.0</v>
      </c>
      <c r="I1087" s="17"/>
    </row>
    <row r="1088">
      <c r="A1088" s="3">
        <v>8.0</v>
      </c>
      <c r="B1088" s="3">
        <v>1227.0</v>
      </c>
      <c r="C1088" s="3">
        <v>1287.0</v>
      </c>
      <c r="D1088" s="3">
        <v>38.0</v>
      </c>
      <c r="E1088" s="3">
        <v>32.0</v>
      </c>
      <c r="F1088" s="11">
        <f t="shared" si="1"/>
        <v>0.9533799534</v>
      </c>
      <c r="G1088" s="5">
        <f t="shared" si="2"/>
        <v>7.046620047</v>
      </c>
      <c r="H1088" s="3">
        <v>1088.0</v>
      </c>
      <c r="I1088" s="17"/>
    </row>
    <row r="1089">
      <c r="A1089" s="3">
        <v>8.0</v>
      </c>
      <c r="B1089" s="3">
        <v>1242.0</v>
      </c>
      <c r="C1089" s="3">
        <v>1326.0</v>
      </c>
      <c r="D1089" s="3">
        <v>38.0</v>
      </c>
      <c r="E1089" s="3">
        <v>33.0</v>
      </c>
      <c r="F1089" s="11">
        <f t="shared" si="1"/>
        <v>0.9366515837</v>
      </c>
      <c r="G1089" s="5">
        <f t="shared" si="2"/>
        <v>7.063348416</v>
      </c>
      <c r="H1089" s="3">
        <v>1089.0</v>
      </c>
      <c r="I1089" s="17"/>
    </row>
    <row r="1090">
      <c r="A1090" s="3">
        <v>8.0</v>
      </c>
      <c r="B1090" s="3">
        <v>1253.0</v>
      </c>
      <c r="C1090" s="3">
        <v>1365.0</v>
      </c>
      <c r="D1090" s="3">
        <v>38.0</v>
      </c>
      <c r="E1090" s="3">
        <v>34.0</v>
      </c>
      <c r="F1090" s="11">
        <f t="shared" si="1"/>
        <v>0.9179487179</v>
      </c>
      <c r="G1090" s="5">
        <f t="shared" si="2"/>
        <v>7.082051282</v>
      </c>
      <c r="H1090" s="3">
        <v>1090.0</v>
      </c>
      <c r="I1090" s="17"/>
    </row>
    <row r="1091">
      <c r="A1091" s="3">
        <v>8.0</v>
      </c>
      <c r="B1091" s="3">
        <v>1260.0</v>
      </c>
      <c r="C1091" s="3">
        <v>1404.0</v>
      </c>
      <c r="D1091" s="3">
        <v>38.0</v>
      </c>
      <c r="E1091" s="3">
        <v>35.0</v>
      </c>
      <c r="F1091" s="11">
        <f t="shared" si="1"/>
        <v>0.8974358974</v>
      </c>
      <c r="G1091" s="5">
        <f t="shared" si="2"/>
        <v>7.102564103</v>
      </c>
      <c r="H1091" s="3">
        <v>1091.0</v>
      </c>
      <c r="I1091" s="17"/>
    </row>
    <row r="1092">
      <c r="A1092" s="3">
        <v>8.0</v>
      </c>
      <c r="B1092" s="3">
        <v>1263.0</v>
      </c>
      <c r="C1092" s="3">
        <v>1443.0</v>
      </c>
      <c r="D1092" s="3">
        <v>38.0</v>
      </c>
      <c r="E1092" s="3">
        <v>36.0</v>
      </c>
      <c r="F1092" s="11">
        <f t="shared" si="1"/>
        <v>0.8752598753</v>
      </c>
      <c r="G1092" s="5">
        <f t="shared" si="2"/>
        <v>7.124740125</v>
      </c>
      <c r="H1092" s="3">
        <v>1092.0</v>
      </c>
      <c r="I1092" s="17"/>
    </row>
    <row r="1093">
      <c r="A1093" s="3">
        <v>8.0</v>
      </c>
      <c r="B1093" s="3">
        <v>1262.0</v>
      </c>
      <c r="C1093" s="3">
        <v>1482.0</v>
      </c>
      <c r="D1093" s="3">
        <v>38.0</v>
      </c>
      <c r="E1093" s="3">
        <v>37.0</v>
      </c>
      <c r="F1093" s="11">
        <f t="shared" si="1"/>
        <v>0.8515519568</v>
      </c>
      <c r="G1093" s="5">
        <f t="shared" si="2"/>
        <v>7.148448043</v>
      </c>
      <c r="H1093" s="3">
        <v>1093.0</v>
      </c>
      <c r="I1093" s="17"/>
    </row>
    <row r="1094">
      <c r="A1094" s="3">
        <v>8.0</v>
      </c>
      <c r="B1094" s="3">
        <v>1257.0</v>
      </c>
      <c r="C1094" s="3">
        <v>1521.0</v>
      </c>
      <c r="D1094" s="3">
        <v>38.0</v>
      </c>
      <c r="E1094" s="3">
        <v>38.0</v>
      </c>
      <c r="F1094" s="11">
        <f t="shared" si="1"/>
        <v>0.8264299803</v>
      </c>
      <c r="G1094" s="5">
        <f t="shared" si="2"/>
        <v>7.17357002</v>
      </c>
      <c r="H1094" s="3">
        <v>1094.0</v>
      </c>
      <c r="I1094" s="17"/>
    </row>
    <row r="1095">
      <c r="A1095" s="3">
        <v>8.0</v>
      </c>
      <c r="B1095" s="3">
        <v>1116.0</v>
      </c>
      <c r="C1095" s="3">
        <v>1120.0</v>
      </c>
      <c r="D1095" s="3">
        <v>39.0</v>
      </c>
      <c r="E1095" s="3">
        <v>27.0</v>
      </c>
      <c r="F1095" s="11">
        <f t="shared" si="1"/>
        <v>0.9964285714</v>
      </c>
      <c r="G1095" s="5">
        <f t="shared" si="2"/>
        <v>7.003571429</v>
      </c>
      <c r="H1095" s="3">
        <v>1095.0</v>
      </c>
      <c r="I1095" s="17"/>
    </row>
    <row r="1096">
      <c r="A1096" s="3">
        <v>8.0</v>
      </c>
      <c r="B1096" s="3">
        <v>1148.0</v>
      </c>
      <c r="C1096" s="3">
        <v>1160.0</v>
      </c>
      <c r="D1096" s="3">
        <v>39.0</v>
      </c>
      <c r="E1096" s="3">
        <v>28.0</v>
      </c>
      <c r="F1096" s="11">
        <f t="shared" si="1"/>
        <v>0.9896551724</v>
      </c>
      <c r="G1096" s="5">
        <f t="shared" si="2"/>
        <v>7.010344828</v>
      </c>
      <c r="H1096" s="3">
        <v>1096.0</v>
      </c>
      <c r="I1096" s="17"/>
    </row>
    <row r="1097">
      <c r="A1097" s="3">
        <v>8.0</v>
      </c>
      <c r="B1097" s="3">
        <v>1176.0</v>
      </c>
      <c r="C1097" s="3">
        <v>1200.0</v>
      </c>
      <c r="D1097" s="3">
        <v>39.0</v>
      </c>
      <c r="E1097" s="3">
        <v>29.0</v>
      </c>
      <c r="F1097" s="11">
        <f t="shared" si="1"/>
        <v>0.98</v>
      </c>
      <c r="G1097" s="5">
        <f t="shared" si="2"/>
        <v>7.02</v>
      </c>
      <c r="H1097" s="3">
        <v>1097.0</v>
      </c>
      <c r="I1097" s="17"/>
    </row>
    <row r="1098">
      <c r="A1098" s="3">
        <v>8.0</v>
      </c>
      <c r="B1098" s="3">
        <v>1200.0</v>
      </c>
      <c r="C1098" s="3">
        <v>1240.0</v>
      </c>
      <c r="D1098" s="3">
        <v>39.0</v>
      </c>
      <c r="E1098" s="3">
        <v>30.0</v>
      </c>
      <c r="F1098" s="11">
        <f t="shared" si="1"/>
        <v>0.9677419355</v>
      </c>
      <c r="G1098" s="5">
        <f t="shared" si="2"/>
        <v>7.032258065</v>
      </c>
      <c r="H1098" s="3">
        <v>1098.0</v>
      </c>
      <c r="I1098" s="17"/>
    </row>
    <row r="1099">
      <c r="A1099" s="3">
        <v>8.0</v>
      </c>
      <c r="B1099" s="3">
        <v>1220.0</v>
      </c>
      <c r="C1099" s="3">
        <v>1280.0</v>
      </c>
      <c r="D1099" s="3">
        <v>39.0</v>
      </c>
      <c r="E1099" s="3">
        <v>31.0</v>
      </c>
      <c r="F1099" s="11">
        <f t="shared" si="1"/>
        <v>0.953125</v>
      </c>
      <c r="G1099" s="5">
        <f t="shared" si="2"/>
        <v>7.046875</v>
      </c>
      <c r="H1099" s="3">
        <v>1099.0</v>
      </c>
      <c r="I1099" s="17"/>
    </row>
    <row r="1100">
      <c r="A1100" s="3">
        <v>8.0</v>
      </c>
      <c r="B1100" s="3">
        <v>1236.0</v>
      </c>
      <c r="C1100" s="3">
        <v>1320.0</v>
      </c>
      <c r="D1100" s="3">
        <v>39.0</v>
      </c>
      <c r="E1100" s="3">
        <v>32.0</v>
      </c>
      <c r="F1100" s="11">
        <f t="shared" si="1"/>
        <v>0.9363636364</v>
      </c>
      <c r="G1100" s="5">
        <f t="shared" si="2"/>
        <v>7.063636364</v>
      </c>
      <c r="H1100" s="3">
        <v>1100.0</v>
      </c>
      <c r="I1100" s="17"/>
    </row>
    <row r="1101">
      <c r="A1101" s="3">
        <v>8.0</v>
      </c>
      <c r="B1101" s="3">
        <v>1248.0</v>
      </c>
      <c r="C1101" s="3">
        <v>1360.0</v>
      </c>
      <c r="D1101" s="3">
        <v>39.0</v>
      </c>
      <c r="E1101" s="3">
        <v>33.0</v>
      </c>
      <c r="F1101" s="11">
        <f t="shared" si="1"/>
        <v>0.9176470588</v>
      </c>
      <c r="G1101" s="5">
        <f t="shared" si="2"/>
        <v>7.082352941</v>
      </c>
      <c r="H1101" s="3">
        <v>1101.0</v>
      </c>
      <c r="I1101" s="17"/>
    </row>
    <row r="1102">
      <c r="A1102" s="3">
        <v>8.0</v>
      </c>
      <c r="B1102" s="3">
        <v>1256.0</v>
      </c>
      <c r="C1102" s="3">
        <v>1400.0</v>
      </c>
      <c r="D1102" s="3">
        <v>39.0</v>
      </c>
      <c r="E1102" s="3">
        <v>34.0</v>
      </c>
      <c r="F1102" s="11">
        <f t="shared" si="1"/>
        <v>0.8971428571</v>
      </c>
      <c r="G1102" s="5">
        <f t="shared" si="2"/>
        <v>7.102857143</v>
      </c>
      <c r="H1102" s="3">
        <v>1102.0</v>
      </c>
      <c r="I1102" s="17"/>
    </row>
    <row r="1103">
      <c r="A1103" s="3">
        <v>8.0</v>
      </c>
      <c r="B1103" s="3">
        <v>1260.0</v>
      </c>
      <c r="C1103" s="3">
        <v>1440.0</v>
      </c>
      <c r="D1103" s="3">
        <v>39.0</v>
      </c>
      <c r="E1103" s="3">
        <v>35.0</v>
      </c>
      <c r="F1103" s="11">
        <f t="shared" si="1"/>
        <v>0.875</v>
      </c>
      <c r="G1103" s="5">
        <f t="shared" si="2"/>
        <v>7.125</v>
      </c>
      <c r="H1103" s="3">
        <v>1103.0</v>
      </c>
      <c r="I1103" s="17"/>
    </row>
    <row r="1104">
      <c r="A1104" s="3">
        <v>8.0</v>
      </c>
      <c r="B1104" s="3">
        <v>1260.0</v>
      </c>
      <c r="C1104" s="3">
        <v>1480.0</v>
      </c>
      <c r="D1104" s="3">
        <v>39.0</v>
      </c>
      <c r="E1104" s="3">
        <v>36.0</v>
      </c>
      <c r="F1104" s="11">
        <f t="shared" si="1"/>
        <v>0.8513513514</v>
      </c>
      <c r="G1104" s="5">
        <f t="shared" si="2"/>
        <v>7.148648649</v>
      </c>
      <c r="H1104" s="3">
        <v>1104.0</v>
      </c>
      <c r="I1104" s="17"/>
    </row>
    <row r="1105">
      <c r="A1105" s="3">
        <v>8.0</v>
      </c>
      <c r="B1105" s="3">
        <v>1256.0</v>
      </c>
      <c r="C1105" s="3">
        <v>1520.0</v>
      </c>
      <c r="D1105" s="3">
        <v>39.0</v>
      </c>
      <c r="E1105" s="3">
        <v>37.0</v>
      </c>
      <c r="F1105" s="11">
        <f t="shared" si="1"/>
        <v>0.8263157895</v>
      </c>
      <c r="G1105" s="5">
        <f t="shared" si="2"/>
        <v>7.173684211</v>
      </c>
      <c r="H1105" s="3">
        <v>1105.0</v>
      </c>
      <c r="I1105" s="17"/>
    </row>
    <row r="1106">
      <c r="A1106" s="3">
        <v>8.0</v>
      </c>
      <c r="B1106" s="3">
        <v>1248.0</v>
      </c>
      <c r="C1106" s="3">
        <v>1560.0</v>
      </c>
      <c r="D1106" s="3">
        <v>39.0</v>
      </c>
      <c r="E1106" s="3">
        <v>38.0</v>
      </c>
      <c r="F1106" s="11">
        <f t="shared" si="1"/>
        <v>0.8</v>
      </c>
      <c r="G1106" s="5">
        <f t="shared" si="2"/>
        <v>7.2</v>
      </c>
      <c r="H1106" s="3">
        <v>1106.0</v>
      </c>
      <c r="I1106" s="17"/>
    </row>
    <row r="1107">
      <c r="A1107" s="3">
        <v>8.0</v>
      </c>
      <c r="B1107" s="3">
        <v>1236.0</v>
      </c>
      <c r="C1107" s="3">
        <v>1600.0</v>
      </c>
      <c r="D1107" s="3">
        <v>39.0</v>
      </c>
      <c r="E1107" s="3">
        <v>39.0</v>
      </c>
      <c r="F1107" s="11">
        <f t="shared" si="1"/>
        <v>0.7725</v>
      </c>
      <c r="G1107" s="5">
        <f t="shared" si="2"/>
        <v>7.2275</v>
      </c>
      <c r="H1107" s="3">
        <v>1107.0</v>
      </c>
      <c r="I1107" s="17"/>
    </row>
    <row r="1108">
      <c r="A1108" s="3">
        <v>8.0</v>
      </c>
      <c r="B1108" s="3">
        <v>1140.0</v>
      </c>
      <c r="C1108" s="3">
        <v>1148.0</v>
      </c>
      <c r="D1108" s="3">
        <v>40.0</v>
      </c>
      <c r="E1108" s="3">
        <v>27.0</v>
      </c>
      <c r="F1108" s="11">
        <f t="shared" si="1"/>
        <v>0.9930313589</v>
      </c>
      <c r="G1108" s="5">
        <f t="shared" si="2"/>
        <v>7.006968641</v>
      </c>
      <c r="H1108" s="3">
        <v>1108.0</v>
      </c>
      <c r="I1108" s="17"/>
    </row>
    <row r="1109">
      <c r="A1109" s="3">
        <v>8.0</v>
      </c>
      <c r="B1109" s="3">
        <v>1169.0</v>
      </c>
      <c r="C1109" s="3">
        <v>1189.0</v>
      </c>
      <c r="D1109" s="3">
        <v>40.0</v>
      </c>
      <c r="E1109" s="3">
        <v>28.0</v>
      </c>
      <c r="F1109" s="11">
        <f t="shared" si="1"/>
        <v>0.9831791421</v>
      </c>
      <c r="G1109" s="5">
        <f t="shared" si="2"/>
        <v>7.016820858</v>
      </c>
      <c r="H1109" s="3">
        <v>1109.0</v>
      </c>
      <c r="I1109" s="17"/>
    </row>
    <row r="1110">
      <c r="A1110" s="3">
        <v>8.0</v>
      </c>
      <c r="B1110" s="3">
        <v>1194.0</v>
      </c>
      <c r="C1110" s="3">
        <v>1230.0</v>
      </c>
      <c r="D1110" s="3">
        <v>40.0</v>
      </c>
      <c r="E1110" s="3">
        <v>29.0</v>
      </c>
      <c r="F1110" s="11">
        <f t="shared" si="1"/>
        <v>0.9707317073</v>
      </c>
      <c r="G1110" s="5">
        <f t="shared" si="2"/>
        <v>7.029268293</v>
      </c>
      <c r="H1110" s="3">
        <v>1110.0</v>
      </c>
      <c r="I1110" s="17"/>
    </row>
    <row r="1111">
      <c r="A1111" s="3">
        <v>8.0</v>
      </c>
      <c r="B1111" s="3">
        <v>1215.0</v>
      </c>
      <c r="C1111" s="3">
        <v>1271.0</v>
      </c>
      <c r="D1111" s="3">
        <v>40.0</v>
      </c>
      <c r="E1111" s="3">
        <v>30.0</v>
      </c>
      <c r="F1111" s="11">
        <f t="shared" si="1"/>
        <v>0.9559402046</v>
      </c>
      <c r="G1111" s="5">
        <f t="shared" si="2"/>
        <v>7.044059795</v>
      </c>
      <c r="H1111" s="3">
        <v>1111.0</v>
      </c>
      <c r="I1111" s="17"/>
    </row>
    <row r="1112">
      <c r="A1112" s="3">
        <v>8.0</v>
      </c>
      <c r="B1112" s="3">
        <v>1232.0</v>
      </c>
      <c r="C1112" s="3">
        <v>1312.0</v>
      </c>
      <c r="D1112" s="3">
        <v>40.0</v>
      </c>
      <c r="E1112" s="3">
        <v>31.0</v>
      </c>
      <c r="F1112" s="11">
        <f t="shared" si="1"/>
        <v>0.9390243902</v>
      </c>
      <c r="G1112" s="5">
        <f t="shared" si="2"/>
        <v>7.06097561</v>
      </c>
      <c r="H1112" s="3">
        <v>1112.0</v>
      </c>
      <c r="I1112" s="17"/>
    </row>
    <row r="1113">
      <c r="A1113" s="3">
        <v>8.0</v>
      </c>
      <c r="B1113" s="3">
        <v>1245.0</v>
      </c>
      <c r="C1113" s="3">
        <v>1353.0</v>
      </c>
      <c r="D1113" s="3">
        <v>40.0</v>
      </c>
      <c r="E1113" s="3">
        <v>32.0</v>
      </c>
      <c r="F1113" s="11">
        <f t="shared" si="1"/>
        <v>0.9201773836</v>
      </c>
      <c r="G1113" s="5">
        <f t="shared" si="2"/>
        <v>7.079822616</v>
      </c>
      <c r="H1113" s="3">
        <v>1113.0</v>
      </c>
      <c r="I1113" s="17"/>
    </row>
    <row r="1114">
      <c r="A1114" s="3">
        <v>8.0</v>
      </c>
      <c r="B1114" s="3">
        <v>1254.0</v>
      </c>
      <c r="C1114" s="3">
        <v>1394.0</v>
      </c>
      <c r="D1114" s="3">
        <v>40.0</v>
      </c>
      <c r="E1114" s="3">
        <v>33.0</v>
      </c>
      <c r="F1114" s="11">
        <f t="shared" si="1"/>
        <v>0.8995695839</v>
      </c>
      <c r="G1114" s="5">
        <f t="shared" si="2"/>
        <v>7.100430416</v>
      </c>
      <c r="H1114" s="3">
        <v>1114.0</v>
      </c>
      <c r="I1114" s="17"/>
    </row>
    <row r="1115">
      <c r="A1115" s="3">
        <v>8.0</v>
      </c>
      <c r="B1115" s="3">
        <v>1259.0</v>
      </c>
      <c r="C1115" s="3">
        <v>1435.0</v>
      </c>
      <c r="D1115" s="3">
        <v>40.0</v>
      </c>
      <c r="E1115" s="3">
        <v>34.0</v>
      </c>
      <c r="F1115" s="11">
        <f t="shared" si="1"/>
        <v>0.8773519164</v>
      </c>
      <c r="G1115" s="5">
        <f t="shared" si="2"/>
        <v>7.122648084</v>
      </c>
      <c r="H1115" s="3">
        <v>1115.0</v>
      </c>
      <c r="I1115" s="17"/>
    </row>
    <row r="1116">
      <c r="A1116" s="3">
        <v>8.0</v>
      </c>
      <c r="B1116" s="3">
        <v>1260.0</v>
      </c>
      <c r="C1116" s="3">
        <v>1476.0</v>
      </c>
      <c r="D1116" s="3">
        <v>40.0</v>
      </c>
      <c r="E1116" s="3">
        <v>35.0</v>
      </c>
      <c r="F1116" s="11">
        <f t="shared" si="1"/>
        <v>0.8536585366</v>
      </c>
      <c r="G1116" s="5">
        <f t="shared" si="2"/>
        <v>7.146341463</v>
      </c>
      <c r="H1116" s="3">
        <v>1116.0</v>
      </c>
      <c r="I1116" s="17"/>
    </row>
    <row r="1117">
      <c r="A1117" s="3">
        <v>8.0</v>
      </c>
      <c r="B1117" s="3">
        <v>1257.0</v>
      </c>
      <c r="C1117" s="3">
        <v>1517.0</v>
      </c>
      <c r="D1117" s="3">
        <v>40.0</v>
      </c>
      <c r="E1117" s="3">
        <v>36.0</v>
      </c>
      <c r="F1117" s="11">
        <f t="shared" si="1"/>
        <v>0.8286090969</v>
      </c>
      <c r="G1117" s="5">
        <f t="shared" si="2"/>
        <v>7.171390903</v>
      </c>
      <c r="H1117" s="3">
        <v>1117.0</v>
      </c>
      <c r="I1117" s="17"/>
    </row>
    <row r="1118">
      <c r="A1118" s="3">
        <v>8.0</v>
      </c>
      <c r="B1118" s="3">
        <v>1250.0</v>
      </c>
      <c r="C1118" s="3">
        <v>1558.0</v>
      </c>
      <c r="D1118" s="3">
        <v>40.0</v>
      </c>
      <c r="E1118" s="3">
        <v>37.0</v>
      </c>
      <c r="F1118" s="11">
        <f t="shared" si="1"/>
        <v>0.8023106547</v>
      </c>
      <c r="G1118" s="5">
        <f t="shared" si="2"/>
        <v>7.197689345</v>
      </c>
      <c r="H1118" s="3">
        <v>1118.0</v>
      </c>
      <c r="I1118" s="17"/>
    </row>
    <row r="1119">
      <c r="A1119" s="3">
        <v>8.0</v>
      </c>
      <c r="B1119" s="3">
        <v>1239.0</v>
      </c>
      <c r="C1119" s="3">
        <v>1599.0</v>
      </c>
      <c r="D1119" s="3">
        <v>40.0</v>
      </c>
      <c r="E1119" s="3">
        <v>38.0</v>
      </c>
      <c r="F1119" s="11">
        <f t="shared" si="1"/>
        <v>0.7748592871</v>
      </c>
      <c r="G1119" s="5">
        <f t="shared" si="2"/>
        <v>7.225140713</v>
      </c>
      <c r="H1119" s="3">
        <v>1119.0</v>
      </c>
      <c r="I1119" s="17"/>
    </row>
    <row r="1120">
      <c r="A1120" s="3">
        <v>8.0</v>
      </c>
      <c r="B1120" s="3">
        <v>1224.0</v>
      </c>
      <c r="C1120" s="3">
        <v>1640.0</v>
      </c>
      <c r="D1120" s="3">
        <v>40.0</v>
      </c>
      <c r="E1120" s="3">
        <v>39.0</v>
      </c>
      <c r="F1120" s="11">
        <f t="shared" si="1"/>
        <v>0.7463414634</v>
      </c>
      <c r="G1120" s="5">
        <f t="shared" si="2"/>
        <v>7.253658537</v>
      </c>
      <c r="H1120" s="3">
        <v>1120.0</v>
      </c>
      <c r="I1120" s="17"/>
    </row>
    <row r="1121">
      <c r="A1121" s="3">
        <v>8.0</v>
      </c>
      <c r="B1121" s="3">
        <v>1209.0</v>
      </c>
      <c r="C1121" s="3">
        <v>1681.0</v>
      </c>
      <c r="D1121" s="3">
        <v>40.0</v>
      </c>
      <c r="E1121" s="3">
        <v>40.0</v>
      </c>
      <c r="F1121" s="11">
        <f t="shared" si="1"/>
        <v>0.7192147531</v>
      </c>
      <c r="G1121" s="5">
        <f t="shared" si="2"/>
        <v>7.280785247</v>
      </c>
      <c r="H1121" s="3">
        <v>1121.0</v>
      </c>
      <c r="I1121" s="17"/>
    </row>
    <row r="1122">
      <c r="A1122" s="3">
        <v>8.0</v>
      </c>
      <c r="B1122" s="3">
        <v>1130.0</v>
      </c>
      <c r="C1122" s="3">
        <v>1134.0</v>
      </c>
      <c r="D1122" s="3">
        <v>41.0</v>
      </c>
      <c r="E1122" s="3">
        <v>26.0</v>
      </c>
      <c r="F1122" s="11">
        <f t="shared" si="1"/>
        <v>0.9964726631</v>
      </c>
      <c r="G1122" s="5">
        <f t="shared" si="2"/>
        <v>7.003527337</v>
      </c>
      <c r="H1122" s="3">
        <v>1122.0</v>
      </c>
      <c r="I1122" s="17"/>
    </row>
    <row r="1123">
      <c r="A1123" s="3">
        <v>8.0</v>
      </c>
      <c r="B1123" s="3">
        <v>1160.0</v>
      </c>
      <c r="C1123" s="3">
        <v>1176.0</v>
      </c>
      <c r="D1123" s="3">
        <v>41.0</v>
      </c>
      <c r="E1123" s="3">
        <v>27.0</v>
      </c>
      <c r="F1123" s="11">
        <f t="shared" si="1"/>
        <v>0.9863945578</v>
      </c>
      <c r="G1123" s="5">
        <f t="shared" si="2"/>
        <v>7.013605442</v>
      </c>
      <c r="H1123" s="3">
        <v>1123.0</v>
      </c>
      <c r="I1123" s="17"/>
    </row>
    <row r="1124">
      <c r="A1124" s="3">
        <v>8.0</v>
      </c>
      <c r="B1124" s="3">
        <v>1186.0</v>
      </c>
      <c r="C1124" s="3">
        <v>1218.0</v>
      </c>
      <c r="D1124" s="3">
        <v>41.0</v>
      </c>
      <c r="E1124" s="3">
        <v>28.0</v>
      </c>
      <c r="F1124" s="11">
        <f t="shared" si="1"/>
        <v>0.973727422</v>
      </c>
      <c r="G1124" s="5">
        <f t="shared" si="2"/>
        <v>7.026272578</v>
      </c>
      <c r="H1124" s="3">
        <v>1124.0</v>
      </c>
      <c r="I1124" s="17"/>
    </row>
    <row r="1125">
      <c r="A1125" s="3">
        <v>8.0</v>
      </c>
      <c r="B1125" s="3">
        <v>1208.0</v>
      </c>
      <c r="C1125" s="3">
        <v>1260.0</v>
      </c>
      <c r="D1125" s="3">
        <v>41.0</v>
      </c>
      <c r="E1125" s="3">
        <v>29.0</v>
      </c>
      <c r="F1125" s="11">
        <f t="shared" si="1"/>
        <v>0.9587301587</v>
      </c>
      <c r="G1125" s="5">
        <f t="shared" si="2"/>
        <v>7.041269841</v>
      </c>
      <c r="H1125" s="3">
        <v>1125.0</v>
      </c>
      <c r="I1125" s="17"/>
    </row>
    <row r="1126">
      <c r="A1126" s="3">
        <v>8.0</v>
      </c>
      <c r="B1126" s="3">
        <v>1226.0</v>
      </c>
      <c r="C1126" s="3">
        <v>1302.0</v>
      </c>
      <c r="D1126" s="3">
        <v>41.0</v>
      </c>
      <c r="E1126" s="3">
        <v>30.0</v>
      </c>
      <c r="F1126" s="11">
        <f t="shared" si="1"/>
        <v>0.9416282642</v>
      </c>
      <c r="G1126" s="5">
        <f t="shared" si="2"/>
        <v>7.058371736</v>
      </c>
      <c r="H1126" s="3">
        <v>1126.0</v>
      </c>
      <c r="I1126" s="17"/>
    </row>
    <row r="1127">
      <c r="A1127" s="3">
        <v>8.0</v>
      </c>
      <c r="B1127" s="3">
        <v>1240.0</v>
      </c>
      <c r="C1127" s="3">
        <v>1344.0</v>
      </c>
      <c r="D1127" s="3">
        <v>41.0</v>
      </c>
      <c r="E1127" s="3">
        <v>31.0</v>
      </c>
      <c r="F1127" s="11">
        <f t="shared" si="1"/>
        <v>0.9226190476</v>
      </c>
      <c r="G1127" s="5">
        <f t="shared" si="2"/>
        <v>7.077380952</v>
      </c>
      <c r="H1127" s="3">
        <v>1127.0</v>
      </c>
      <c r="I1127" s="17"/>
    </row>
    <row r="1128">
      <c r="A1128" s="3">
        <v>8.0</v>
      </c>
      <c r="B1128" s="3">
        <v>1250.0</v>
      </c>
      <c r="C1128" s="3">
        <v>1386.0</v>
      </c>
      <c r="D1128" s="3">
        <v>41.0</v>
      </c>
      <c r="E1128" s="3">
        <v>32.0</v>
      </c>
      <c r="F1128" s="11">
        <f t="shared" si="1"/>
        <v>0.9018759019</v>
      </c>
      <c r="G1128" s="5">
        <f t="shared" si="2"/>
        <v>7.098124098</v>
      </c>
      <c r="H1128" s="3">
        <v>1128.0</v>
      </c>
      <c r="I1128" s="17"/>
    </row>
    <row r="1129">
      <c r="A1129" s="3">
        <v>8.0</v>
      </c>
      <c r="B1129" s="3">
        <v>1256.0</v>
      </c>
      <c r="C1129" s="3">
        <v>1428.0</v>
      </c>
      <c r="D1129" s="3">
        <v>41.0</v>
      </c>
      <c r="E1129" s="3">
        <v>33.0</v>
      </c>
      <c r="F1129" s="11">
        <f t="shared" si="1"/>
        <v>0.8795518207</v>
      </c>
      <c r="G1129" s="5">
        <f t="shared" si="2"/>
        <v>7.120448179</v>
      </c>
      <c r="H1129" s="3">
        <v>1129.0</v>
      </c>
      <c r="I1129" s="17"/>
    </row>
    <row r="1130">
      <c r="A1130" s="3">
        <v>8.0</v>
      </c>
      <c r="B1130" s="3">
        <v>1258.0</v>
      </c>
      <c r="C1130" s="3">
        <v>1470.0</v>
      </c>
      <c r="D1130" s="3">
        <v>41.0</v>
      </c>
      <c r="E1130" s="3">
        <v>34.0</v>
      </c>
      <c r="F1130" s="11">
        <f t="shared" si="1"/>
        <v>0.8557823129</v>
      </c>
      <c r="G1130" s="5">
        <f t="shared" si="2"/>
        <v>7.144217687</v>
      </c>
      <c r="H1130" s="3">
        <v>1130.0</v>
      </c>
      <c r="I1130" s="17"/>
    </row>
    <row r="1131">
      <c r="A1131" s="3">
        <v>8.0</v>
      </c>
      <c r="B1131" s="3">
        <v>1256.0</v>
      </c>
      <c r="C1131" s="3">
        <v>1512.0</v>
      </c>
      <c r="D1131" s="3">
        <v>41.0</v>
      </c>
      <c r="E1131" s="3">
        <v>35.0</v>
      </c>
      <c r="F1131" s="11">
        <f t="shared" si="1"/>
        <v>0.8306878307</v>
      </c>
      <c r="G1131" s="5">
        <f t="shared" si="2"/>
        <v>7.169312169</v>
      </c>
      <c r="H1131" s="3">
        <v>1131.0</v>
      </c>
      <c r="I1131" s="17"/>
    </row>
    <row r="1132">
      <c r="A1132" s="3">
        <v>8.0</v>
      </c>
      <c r="B1132" s="3">
        <v>1250.0</v>
      </c>
      <c r="C1132" s="3">
        <v>1554.0</v>
      </c>
      <c r="D1132" s="3">
        <v>41.0</v>
      </c>
      <c r="E1132" s="3">
        <v>36.0</v>
      </c>
      <c r="F1132" s="11">
        <f t="shared" si="1"/>
        <v>0.8043758044</v>
      </c>
      <c r="G1132" s="5">
        <f t="shared" si="2"/>
        <v>7.195624196</v>
      </c>
      <c r="H1132" s="3">
        <v>1132.0</v>
      </c>
      <c r="I1132" s="17"/>
    </row>
    <row r="1133">
      <c r="A1133" s="3">
        <v>8.0</v>
      </c>
      <c r="B1133" s="3">
        <v>1240.0</v>
      </c>
      <c r="C1133" s="3">
        <v>1596.0</v>
      </c>
      <c r="D1133" s="3">
        <v>41.0</v>
      </c>
      <c r="E1133" s="3">
        <v>37.0</v>
      </c>
      <c r="F1133" s="11">
        <f t="shared" si="1"/>
        <v>0.7769423559</v>
      </c>
      <c r="G1133" s="5">
        <f t="shared" si="2"/>
        <v>7.223057644</v>
      </c>
      <c r="H1133" s="3">
        <v>1133.0</v>
      </c>
      <c r="I1133" s="17"/>
    </row>
    <row r="1134">
      <c r="A1134" s="3">
        <v>8.0</v>
      </c>
      <c r="B1134" s="3">
        <v>1226.0</v>
      </c>
      <c r="C1134" s="3">
        <v>1638.0</v>
      </c>
      <c r="D1134" s="3">
        <v>41.0</v>
      </c>
      <c r="E1134" s="3">
        <v>38.0</v>
      </c>
      <c r="F1134" s="11">
        <f t="shared" si="1"/>
        <v>0.7484737485</v>
      </c>
      <c r="G1134" s="5">
        <f t="shared" si="2"/>
        <v>7.251526252</v>
      </c>
      <c r="H1134" s="3">
        <v>1134.0</v>
      </c>
      <c r="I1134" s="17"/>
    </row>
    <row r="1135">
      <c r="A1135" s="3">
        <v>8.0</v>
      </c>
      <c r="B1135" s="3">
        <v>1208.0</v>
      </c>
      <c r="C1135" s="3">
        <v>1680.0</v>
      </c>
      <c r="D1135" s="3">
        <v>41.0</v>
      </c>
      <c r="E1135" s="3">
        <v>39.0</v>
      </c>
      <c r="F1135" s="11">
        <f t="shared" si="1"/>
        <v>0.719047619</v>
      </c>
      <c r="G1135" s="5">
        <f t="shared" si="2"/>
        <v>7.280952381</v>
      </c>
      <c r="H1135" s="3">
        <v>1135.0</v>
      </c>
      <c r="I1135" s="17"/>
    </row>
    <row r="1136">
      <c r="A1136" s="3">
        <v>8.0</v>
      </c>
      <c r="B1136" s="3">
        <v>1190.0</v>
      </c>
      <c r="C1136" s="3">
        <v>1722.0</v>
      </c>
      <c r="D1136" s="3">
        <v>41.0</v>
      </c>
      <c r="E1136" s="3">
        <v>40.0</v>
      </c>
      <c r="F1136" s="11">
        <f t="shared" si="1"/>
        <v>0.6910569106</v>
      </c>
      <c r="G1136" s="5">
        <f t="shared" si="2"/>
        <v>7.308943089</v>
      </c>
      <c r="H1136" s="3">
        <v>1136.0</v>
      </c>
      <c r="I1136" s="17"/>
    </row>
    <row r="1137">
      <c r="A1137" s="3">
        <v>8.0</v>
      </c>
      <c r="B1137" s="3">
        <v>1168.0</v>
      </c>
      <c r="C1137" s="3">
        <v>1764.0</v>
      </c>
      <c r="D1137" s="3">
        <v>41.0</v>
      </c>
      <c r="E1137" s="3">
        <v>41.0</v>
      </c>
      <c r="F1137" s="11">
        <f t="shared" si="1"/>
        <v>0.6621315193</v>
      </c>
      <c r="G1137" s="5">
        <f t="shared" si="2"/>
        <v>7.337868481</v>
      </c>
      <c r="H1137" s="3">
        <v>1137.0</v>
      </c>
      <c r="I1137" s="17"/>
    </row>
    <row r="1138">
      <c r="A1138" s="3">
        <v>8.0</v>
      </c>
      <c r="B1138" s="3">
        <v>1114.0</v>
      </c>
      <c r="C1138" s="3">
        <v>1118.0</v>
      </c>
      <c r="D1138" s="3">
        <v>42.0</v>
      </c>
      <c r="E1138" s="3">
        <v>25.0</v>
      </c>
      <c r="F1138" s="11">
        <f t="shared" si="1"/>
        <v>0.9964221825</v>
      </c>
      <c r="G1138" s="5">
        <f t="shared" si="2"/>
        <v>7.003577818</v>
      </c>
      <c r="H1138" s="3">
        <v>1138.0</v>
      </c>
      <c r="I1138" s="17"/>
    </row>
    <row r="1139">
      <c r="A1139" s="3">
        <v>8.0</v>
      </c>
      <c r="B1139" s="3">
        <v>1149.0</v>
      </c>
      <c r="C1139" s="3">
        <v>1161.0</v>
      </c>
      <c r="D1139" s="3">
        <v>42.0</v>
      </c>
      <c r="E1139" s="3">
        <v>26.0</v>
      </c>
      <c r="F1139" s="11">
        <f t="shared" si="1"/>
        <v>0.9896640827</v>
      </c>
      <c r="G1139" s="5">
        <f t="shared" si="2"/>
        <v>7.010335917</v>
      </c>
      <c r="H1139" s="3">
        <v>1139.0</v>
      </c>
      <c r="I1139" s="17"/>
    </row>
    <row r="1140">
      <c r="A1140" s="3">
        <v>8.0</v>
      </c>
      <c r="B1140" s="3">
        <v>1176.0</v>
      </c>
      <c r="C1140" s="3">
        <v>1204.0</v>
      </c>
      <c r="D1140" s="3">
        <v>42.0</v>
      </c>
      <c r="E1140" s="3">
        <v>27.0</v>
      </c>
      <c r="F1140" s="11">
        <f t="shared" si="1"/>
        <v>0.976744186</v>
      </c>
      <c r="G1140" s="5">
        <f t="shared" si="2"/>
        <v>7.023255814</v>
      </c>
      <c r="H1140" s="3">
        <v>1140.0</v>
      </c>
      <c r="I1140" s="17"/>
    </row>
    <row r="1141">
      <c r="A1141" s="3">
        <v>8.0</v>
      </c>
      <c r="B1141" s="3">
        <v>1199.0</v>
      </c>
      <c r="C1141" s="3">
        <v>1247.0</v>
      </c>
      <c r="D1141" s="3">
        <v>42.0</v>
      </c>
      <c r="E1141" s="3">
        <v>28.0</v>
      </c>
      <c r="F1141" s="11">
        <f t="shared" si="1"/>
        <v>0.9615076183</v>
      </c>
      <c r="G1141" s="5">
        <f t="shared" si="2"/>
        <v>7.038492382</v>
      </c>
      <c r="H1141" s="3">
        <v>1141.0</v>
      </c>
      <c r="I1141" s="17"/>
    </row>
    <row r="1142">
      <c r="A1142" s="3">
        <v>8.0</v>
      </c>
      <c r="B1142" s="3">
        <v>1218.0</v>
      </c>
      <c r="C1142" s="3">
        <v>1290.0</v>
      </c>
      <c r="D1142" s="3">
        <v>42.0</v>
      </c>
      <c r="E1142" s="3">
        <v>29.0</v>
      </c>
      <c r="F1142" s="11">
        <f t="shared" si="1"/>
        <v>0.9441860465</v>
      </c>
      <c r="G1142" s="5">
        <f t="shared" si="2"/>
        <v>7.055813953</v>
      </c>
      <c r="H1142" s="3">
        <v>1142.0</v>
      </c>
      <c r="I1142" s="17"/>
    </row>
    <row r="1143">
      <c r="A1143" s="3">
        <v>8.0</v>
      </c>
      <c r="B1143" s="3">
        <v>1233.0</v>
      </c>
      <c r="C1143" s="3">
        <v>1333.0</v>
      </c>
      <c r="D1143" s="3">
        <v>42.0</v>
      </c>
      <c r="E1143" s="3">
        <v>30.0</v>
      </c>
      <c r="F1143" s="11">
        <f t="shared" si="1"/>
        <v>0.9249812453</v>
      </c>
      <c r="G1143" s="5">
        <f t="shared" si="2"/>
        <v>7.075018755</v>
      </c>
      <c r="H1143" s="3">
        <v>1143.0</v>
      </c>
      <c r="I1143" s="17"/>
    </row>
    <row r="1144">
      <c r="A1144" s="3">
        <v>8.0</v>
      </c>
      <c r="B1144" s="3">
        <v>1244.0</v>
      </c>
      <c r="C1144" s="3">
        <v>1376.0</v>
      </c>
      <c r="D1144" s="3">
        <v>42.0</v>
      </c>
      <c r="E1144" s="3">
        <v>31.0</v>
      </c>
      <c r="F1144" s="11">
        <f t="shared" si="1"/>
        <v>0.9040697674</v>
      </c>
      <c r="G1144" s="5">
        <f t="shared" si="2"/>
        <v>7.095930233</v>
      </c>
      <c r="H1144" s="3">
        <v>1144.0</v>
      </c>
      <c r="I1144" s="17"/>
    </row>
    <row r="1145">
      <c r="A1145" s="3">
        <v>8.0</v>
      </c>
      <c r="B1145" s="3">
        <v>1251.0</v>
      </c>
      <c r="C1145" s="3">
        <v>1419.0</v>
      </c>
      <c r="D1145" s="3">
        <v>42.0</v>
      </c>
      <c r="E1145" s="3">
        <v>32.0</v>
      </c>
      <c r="F1145" s="11">
        <f t="shared" si="1"/>
        <v>0.8816067653</v>
      </c>
      <c r="G1145" s="5">
        <f t="shared" si="2"/>
        <v>7.118393235</v>
      </c>
      <c r="H1145" s="3">
        <v>1145.0</v>
      </c>
      <c r="I1145" s="17"/>
    </row>
    <row r="1146">
      <c r="A1146" s="3">
        <v>8.0</v>
      </c>
      <c r="B1146" s="3">
        <v>1254.0</v>
      </c>
      <c r="C1146" s="3">
        <v>1462.0</v>
      </c>
      <c r="D1146" s="3">
        <v>42.0</v>
      </c>
      <c r="E1146" s="3">
        <v>33.0</v>
      </c>
      <c r="F1146" s="11">
        <f t="shared" si="1"/>
        <v>0.8577291382</v>
      </c>
      <c r="G1146" s="5">
        <f t="shared" si="2"/>
        <v>7.142270862</v>
      </c>
      <c r="H1146" s="3">
        <v>1146.0</v>
      </c>
      <c r="I1146" s="17"/>
    </row>
    <row r="1147">
      <c r="A1147" s="3">
        <v>8.0</v>
      </c>
      <c r="B1147" s="3">
        <v>1253.0</v>
      </c>
      <c r="C1147" s="3">
        <v>1505.0</v>
      </c>
      <c r="D1147" s="3">
        <v>42.0</v>
      </c>
      <c r="E1147" s="3">
        <v>34.0</v>
      </c>
      <c r="F1147" s="11">
        <f t="shared" si="1"/>
        <v>0.8325581395</v>
      </c>
      <c r="G1147" s="5">
        <f t="shared" si="2"/>
        <v>7.16744186</v>
      </c>
      <c r="H1147" s="3">
        <v>1147.0</v>
      </c>
      <c r="I1147" s="17"/>
    </row>
    <row r="1148">
      <c r="A1148" s="3">
        <v>8.0</v>
      </c>
      <c r="B1148" s="3">
        <v>1248.0</v>
      </c>
      <c r="C1148" s="3">
        <v>1548.0</v>
      </c>
      <c r="D1148" s="3">
        <v>42.0</v>
      </c>
      <c r="E1148" s="3">
        <v>35.0</v>
      </c>
      <c r="F1148" s="11">
        <f t="shared" si="1"/>
        <v>0.8062015504</v>
      </c>
      <c r="G1148" s="5">
        <f t="shared" si="2"/>
        <v>7.19379845</v>
      </c>
      <c r="H1148" s="3">
        <v>1148.0</v>
      </c>
      <c r="I1148" s="17"/>
    </row>
    <row r="1149">
      <c r="A1149" s="3">
        <v>8.0</v>
      </c>
      <c r="B1149" s="3">
        <v>1239.0</v>
      </c>
      <c r="C1149" s="3">
        <v>1591.0</v>
      </c>
      <c r="D1149" s="3">
        <v>42.0</v>
      </c>
      <c r="E1149" s="3">
        <v>36.0</v>
      </c>
      <c r="F1149" s="11">
        <f t="shared" si="1"/>
        <v>0.7787554997</v>
      </c>
      <c r="G1149" s="5">
        <f t="shared" si="2"/>
        <v>7.2212445</v>
      </c>
      <c r="H1149" s="3">
        <v>1149.0</v>
      </c>
      <c r="I1149" s="17"/>
    </row>
    <row r="1150">
      <c r="A1150" s="3">
        <v>8.0</v>
      </c>
      <c r="B1150" s="3">
        <v>1226.0</v>
      </c>
      <c r="C1150" s="3">
        <v>1634.0</v>
      </c>
      <c r="D1150" s="3">
        <v>42.0</v>
      </c>
      <c r="E1150" s="3">
        <v>37.0</v>
      </c>
      <c r="F1150" s="11">
        <f t="shared" si="1"/>
        <v>0.7503059976</v>
      </c>
      <c r="G1150" s="5">
        <f t="shared" si="2"/>
        <v>7.249694002</v>
      </c>
      <c r="H1150" s="3">
        <v>1150.0</v>
      </c>
      <c r="I1150" s="17"/>
    </row>
    <row r="1151">
      <c r="A1151" s="3">
        <v>8.0</v>
      </c>
      <c r="B1151" s="3">
        <v>1209.0</v>
      </c>
      <c r="C1151" s="3">
        <v>1677.0</v>
      </c>
      <c r="D1151" s="3">
        <v>42.0</v>
      </c>
      <c r="E1151" s="3">
        <v>38.0</v>
      </c>
      <c r="F1151" s="11">
        <f t="shared" si="1"/>
        <v>0.7209302326</v>
      </c>
      <c r="G1151" s="5">
        <f t="shared" si="2"/>
        <v>7.279069767</v>
      </c>
      <c r="H1151" s="3">
        <v>1151.0</v>
      </c>
      <c r="I1151" s="17"/>
    </row>
    <row r="1152">
      <c r="A1152" s="3">
        <v>8.0</v>
      </c>
      <c r="B1152" s="3">
        <v>1188.0</v>
      </c>
      <c r="C1152" s="3">
        <v>1720.0</v>
      </c>
      <c r="D1152" s="3">
        <v>42.0</v>
      </c>
      <c r="E1152" s="3">
        <v>39.0</v>
      </c>
      <c r="F1152" s="11">
        <f t="shared" si="1"/>
        <v>0.6906976744</v>
      </c>
      <c r="G1152" s="5">
        <f t="shared" si="2"/>
        <v>7.309302326</v>
      </c>
      <c r="H1152" s="3">
        <v>1152.0</v>
      </c>
      <c r="I1152" s="17"/>
    </row>
    <row r="1153">
      <c r="A1153" s="3">
        <v>8.0</v>
      </c>
      <c r="B1153" s="3">
        <v>1167.0</v>
      </c>
      <c r="C1153" s="3">
        <v>1763.0</v>
      </c>
      <c r="D1153" s="3">
        <v>42.0</v>
      </c>
      <c r="E1153" s="3">
        <v>40.0</v>
      </c>
      <c r="F1153" s="11">
        <f t="shared" si="1"/>
        <v>0.6619398752</v>
      </c>
      <c r="G1153" s="5">
        <f t="shared" si="2"/>
        <v>7.338060125</v>
      </c>
      <c r="H1153" s="3">
        <v>1153.0</v>
      </c>
      <c r="I1153" s="17"/>
    </row>
    <row r="1154">
      <c r="A1154" s="3">
        <v>8.0</v>
      </c>
      <c r="B1154" s="3">
        <v>1142.0</v>
      </c>
      <c r="C1154" s="3">
        <v>1806.0</v>
      </c>
      <c r="D1154" s="3">
        <v>42.0</v>
      </c>
      <c r="E1154" s="3">
        <v>41.0</v>
      </c>
      <c r="F1154" s="11">
        <f t="shared" si="1"/>
        <v>0.6323366556</v>
      </c>
      <c r="G1154" s="5">
        <f t="shared" si="2"/>
        <v>7.367663344</v>
      </c>
      <c r="H1154" s="3">
        <v>1154.0</v>
      </c>
      <c r="I1154" s="17"/>
    </row>
    <row r="1155">
      <c r="A1155" s="3">
        <v>8.0</v>
      </c>
      <c r="B1155" s="3">
        <v>1113.0</v>
      </c>
      <c r="C1155" s="3">
        <v>1849.0</v>
      </c>
      <c r="D1155" s="3">
        <v>42.0</v>
      </c>
      <c r="E1155" s="3">
        <v>42.0</v>
      </c>
      <c r="F1155" s="11">
        <f t="shared" si="1"/>
        <v>0.6019469984</v>
      </c>
      <c r="G1155" s="5">
        <f t="shared" si="2"/>
        <v>7.398053002</v>
      </c>
      <c r="H1155" s="3">
        <v>1155.0</v>
      </c>
      <c r="I1155" s="17"/>
    </row>
    <row r="1156">
      <c r="A1156" s="3">
        <v>8.0</v>
      </c>
      <c r="B1156" s="3">
        <v>1136.0</v>
      </c>
      <c r="C1156" s="3">
        <v>1144.0</v>
      </c>
      <c r="D1156" s="3">
        <v>43.0</v>
      </c>
      <c r="E1156" s="3">
        <v>25.0</v>
      </c>
      <c r="F1156" s="11">
        <f t="shared" si="1"/>
        <v>0.993006993</v>
      </c>
      <c r="G1156" s="5">
        <f t="shared" si="2"/>
        <v>7.006993007</v>
      </c>
      <c r="H1156" s="3">
        <v>1156.0</v>
      </c>
      <c r="I1156" s="17"/>
    </row>
    <row r="1157">
      <c r="A1157" s="3">
        <v>8.0</v>
      </c>
      <c r="B1157" s="3">
        <v>1168.0</v>
      </c>
      <c r="C1157" s="3">
        <v>1188.0</v>
      </c>
      <c r="D1157" s="3">
        <v>43.0</v>
      </c>
      <c r="E1157" s="3">
        <v>26.0</v>
      </c>
      <c r="F1157" s="11">
        <f t="shared" si="1"/>
        <v>0.9831649832</v>
      </c>
      <c r="G1157" s="5">
        <f t="shared" si="2"/>
        <v>7.016835017</v>
      </c>
      <c r="H1157" s="3">
        <v>1157.0</v>
      </c>
      <c r="I1157" s="17"/>
    </row>
    <row r="1158">
      <c r="A1158" s="3">
        <v>8.0</v>
      </c>
      <c r="B1158" s="3">
        <v>1192.0</v>
      </c>
      <c r="C1158" s="3">
        <v>1232.0</v>
      </c>
      <c r="D1158" s="3">
        <v>43.0</v>
      </c>
      <c r="E1158" s="3">
        <v>27.0</v>
      </c>
      <c r="F1158" s="11">
        <f t="shared" si="1"/>
        <v>0.9675324675</v>
      </c>
      <c r="G1158" s="5">
        <f t="shared" si="2"/>
        <v>7.032467532</v>
      </c>
      <c r="H1158" s="3">
        <v>1158.0</v>
      </c>
      <c r="I1158" s="17"/>
    </row>
    <row r="1159">
      <c r="A1159" s="3">
        <v>8.0</v>
      </c>
      <c r="B1159" s="3">
        <v>1212.0</v>
      </c>
      <c r="C1159" s="3">
        <v>1276.0</v>
      </c>
      <c r="D1159" s="3">
        <v>43.0</v>
      </c>
      <c r="E1159" s="3">
        <v>28.0</v>
      </c>
      <c r="F1159" s="11">
        <f t="shared" si="1"/>
        <v>0.9498432602</v>
      </c>
      <c r="G1159" s="5">
        <f t="shared" si="2"/>
        <v>7.05015674</v>
      </c>
      <c r="H1159" s="3">
        <v>1159.0</v>
      </c>
      <c r="I1159" s="17"/>
    </row>
    <row r="1160">
      <c r="A1160" s="3">
        <v>8.0</v>
      </c>
      <c r="B1160" s="3">
        <v>1228.0</v>
      </c>
      <c r="C1160" s="3">
        <v>1320.0</v>
      </c>
      <c r="D1160" s="3">
        <v>43.0</v>
      </c>
      <c r="E1160" s="3">
        <v>29.0</v>
      </c>
      <c r="F1160" s="11">
        <f t="shared" si="1"/>
        <v>0.9303030303</v>
      </c>
      <c r="G1160" s="5">
        <f t="shared" si="2"/>
        <v>7.06969697</v>
      </c>
      <c r="H1160" s="3">
        <v>1160.0</v>
      </c>
      <c r="I1160" s="17"/>
    </row>
    <row r="1161">
      <c r="A1161" s="3">
        <v>8.0</v>
      </c>
      <c r="B1161" s="3">
        <v>1240.0</v>
      </c>
      <c r="C1161" s="3">
        <v>1364.0</v>
      </c>
      <c r="D1161" s="3">
        <v>43.0</v>
      </c>
      <c r="E1161" s="3">
        <v>30.0</v>
      </c>
      <c r="F1161" s="11">
        <f t="shared" si="1"/>
        <v>0.9090909091</v>
      </c>
      <c r="G1161" s="5">
        <f t="shared" si="2"/>
        <v>7.090909091</v>
      </c>
      <c r="H1161" s="3">
        <v>1161.0</v>
      </c>
      <c r="I1161" s="17"/>
    </row>
    <row r="1162">
      <c r="A1162" s="3">
        <v>8.0</v>
      </c>
      <c r="B1162" s="3">
        <v>1248.0</v>
      </c>
      <c r="C1162" s="3">
        <v>1408.0</v>
      </c>
      <c r="D1162" s="3">
        <v>43.0</v>
      </c>
      <c r="E1162" s="3">
        <v>31.0</v>
      </c>
      <c r="F1162" s="11">
        <f t="shared" si="1"/>
        <v>0.8863636364</v>
      </c>
      <c r="G1162" s="5">
        <f t="shared" si="2"/>
        <v>7.113636364</v>
      </c>
      <c r="H1162" s="3">
        <v>1162.0</v>
      </c>
      <c r="I1162" s="17"/>
    </row>
    <row r="1163">
      <c r="A1163" s="3">
        <v>8.0</v>
      </c>
      <c r="B1163" s="3">
        <v>1252.0</v>
      </c>
      <c r="C1163" s="3">
        <v>1452.0</v>
      </c>
      <c r="D1163" s="3">
        <v>43.0</v>
      </c>
      <c r="E1163" s="3">
        <v>32.0</v>
      </c>
      <c r="F1163" s="11">
        <f t="shared" si="1"/>
        <v>0.8622589532</v>
      </c>
      <c r="G1163" s="5">
        <f t="shared" si="2"/>
        <v>7.137741047</v>
      </c>
      <c r="H1163" s="3">
        <v>1163.0</v>
      </c>
      <c r="I1163" s="17"/>
    </row>
    <row r="1164">
      <c r="A1164" s="3">
        <v>8.0</v>
      </c>
      <c r="B1164" s="3">
        <v>1252.0</v>
      </c>
      <c r="C1164" s="3">
        <v>1496.0</v>
      </c>
      <c r="D1164" s="3">
        <v>43.0</v>
      </c>
      <c r="E1164" s="3">
        <v>33.0</v>
      </c>
      <c r="F1164" s="11">
        <f t="shared" si="1"/>
        <v>0.8368983957</v>
      </c>
      <c r="G1164" s="5">
        <f t="shared" si="2"/>
        <v>7.163101604</v>
      </c>
      <c r="H1164" s="3">
        <v>1164.0</v>
      </c>
      <c r="I1164" s="17"/>
    </row>
    <row r="1165">
      <c r="A1165" s="3">
        <v>8.0</v>
      </c>
      <c r="B1165" s="3">
        <v>1248.0</v>
      </c>
      <c r="C1165" s="3">
        <v>1540.0</v>
      </c>
      <c r="D1165" s="3">
        <v>43.0</v>
      </c>
      <c r="E1165" s="3">
        <v>34.0</v>
      </c>
      <c r="F1165" s="11">
        <f t="shared" si="1"/>
        <v>0.8103896104</v>
      </c>
      <c r="G1165" s="5">
        <f t="shared" si="2"/>
        <v>7.18961039</v>
      </c>
      <c r="H1165" s="3">
        <v>1165.0</v>
      </c>
      <c r="I1165" s="17"/>
    </row>
    <row r="1166">
      <c r="A1166" s="3">
        <v>8.0</v>
      </c>
      <c r="B1166" s="3">
        <v>1240.0</v>
      </c>
      <c r="C1166" s="3">
        <v>1584.0</v>
      </c>
      <c r="D1166" s="3">
        <v>43.0</v>
      </c>
      <c r="E1166" s="3">
        <v>35.0</v>
      </c>
      <c r="F1166" s="11">
        <f t="shared" si="1"/>
        <v>0.7828282828</v>
      </c>
      <c r="G1166" s="5">
        <f t="shared" si="2"/>
        <v>7.217171717</v>
      </c>
      <c r="H1166" s="3">
        <v>1166.0</v>
      </c>
      <c r="I1166" s="17"/>
    </row>
    <row r="1167">
      <c r="A1167" s="3">
        <v>8.0</v>
      </c>
      <c r="B1167" s="3">
        <v>1228.0</v>
      </c>
      <c r="C1167" s="3">
        <v>1628.0</v>
      </c>
      <c r="D1167" s="3">
        <v>43.0</v>
      </c>
      <c r="E1167" s="3">
        <v>36.0</v>
      </c>
      <c r="F1167" s="11">
        <f t="shared" si="1"/>
        <v>0.7542997543</v>
      </c>
      <c r="G1167" s="5">
        <f t="shared" si="2"/>
        <v>7.245700246</v>
      </c>
      <c r="H1167" s="3">
        <v>1167.0</v>
      </c>
      <c r="I1167" s="17"/>
    </row>
    <row r="1168">
      <c r="A1168" s="3">
        <v>8.0</v>
      </c>
      <c r="B1168" s="3">
        <v>1212.0</v>
      </c>
      <c r="C1168" s="3">
        <v>1672.0</v>
      </c>
      <c r="D1168" s="3">
        <v>43.0</v>
      </c>
      <c r="E1168" s="3">
        <v>37.0</v>
      </c>
      <c r="F1168" s="11">
        <f t="shared" si="1"/>
        <v>0.7248803828</v>
      </c>
      <c r="G1168" s="5">
        <f t="shared" si="2"/>
        <v>7.275119617</v>
      </c>
      <c r="H1168" s="3">
        <v>1168.0</v>
      </c>
      <c r="I1168" s="17"/>
    </row>
    <row r="1169">
      <c r="A1169" s="3">
        <v>8.0</v>
      </c>
      <c r="B1169" s="3">
        <v>1192.0</v>
      </c>
      <c r="C1169" s="3">
        <v>1716.0</v>
      </c>
      <c r="D1169" s="3">
        <v>43.0</v>
      </c>
      <c r="E1169" s="3">
        <v>38.0</v>
      </c>
      <c r="F1169" s="11">
        <f t="shared" si="1"/>
        <v>0.6946386946</v>
      </c>
      <c r="G1169" s="5">
        <f t="shared" si="2"/>
        <v>7.305361305</v>
      </c>
      <c r="H1169" s="3">
        <v>1169.0</v>
      </c>
      <c r="I1169" s="17"/>
    </row>
    <row r="1170">
      <c r="A1170" s="3">
        <v>8.0</v>
      </c>
      <c r="B1170" s="3">
        <v>1168.0</v>
      </c>
      <c r="C1170" s="3">
        <v>1760.0</v>
      </c>
      <c r="D1170" s="3">
        <v>43.0</v>
      </c>
      <c r="E1170" s="3">
        <v>39.0</v>
      </c>
      <c r="F1170" s="11">
        <f t="shared" si="1"/>
        <v>0.6636363636</v>
      </c>
      <c r="G1170" s="5">
        <f t="shared" si="2"/>
        <v>7.336363636</v>
      </c>
      <c r="H1170" s="3">
        <v>1170.0</v>
      </c>
      <c r="I1170" s="17"/>
    </row>
    <row r="1171">
      <c r="A1171" s="3">
        <v>8.0</v>
      </c>
      <c r="B1171" s="3">
        <v>1144.0</v>
      </c>
      <c r="C1171" s="3">
        <v>1804.0</v>
      </c>
      <c r="D1171" s="3">
        <v>43.0</v>
      </c>
      <c r="E1171" s="3">
        <v>40.0</v>
      </c>
      <c r="F1171" s="11">
        <f t="shared" si="1"/>
        <v>0.6341463415</v>
      </c>
      <c r="G1171" s="5">
        <f t="shared" si="2"/>
        <v>7.365853659</v>
      </c>
      <c r="H1171" s="3">
        <v>1171.0</v>
      </c>
      <c r="I1171" s="17"/>
    </row>
    <row r="1172">
      <c r="A1172" s="3">
        <v>8.0</v>
      </c>
      <c r="B1172" s="3">
        <v>1116.0</v>
      </c>
      <c r="C1172" s="3">
        <v>1848.0</v>
      </c>
      <c r="D1172" s="3">
        <v>43.0</v>
      </c>
      <c r="E1172" s="3">
        <v>41.0</v>
      </c>
      <c r="F1172" s="11">
        <f t="shared" si="1"/>
        <v>0.6038961039</v>
      </c>
      <c r="G1172" s="5">
        <f t="shared" si="2"/>
        <v>7.396103896</v>
      </c>
      <c r="H1172" s="3">
        <v>1172.0</v>
      </c>
      <c r="I1172" s="17"/>
    </row>
    <row r="1173">
      <c r="A1173" s="3">
        <v>8.0</v>
      </c>
      <c r="B1173" s="3">
        <v>1084.0</v>
      </c>
      <c r="C1173" s="3">
        <v>1892.0</v>
      </c>
      <c r="D1173" s="3">
        <v>43.0</v>
      </c>
      <c r="E1173" s="3">
        <v>42.0</v>
      </c>
      <c r="F1173" s="11">
        <f t="shared" si="1"/>
        <v>0.5729386892</v>
      </c>
      <c r="G1173" s="5">
        <f t="shared" si="2"/>
        <v>7.427061311</v>
      </c>
      <c r="H1173" s="3">
        <v>1173.0</v>
      </c>
      <c r="I1173" s="17"/>
    </row>
    <row r="1174">
      <c r="A1174" s="3">
        <v>8.0</v>
      </c>
      <c r="B1174" s="3">
        <v>1052.0</v>
      </c>
      <c r="C1174" s="3">
        <v>1936.0</v>
      </c>
      <c r="D1174" s="3">
        <v>43.0</v>
      </c>
      <c r="E1174" s="3">
        <v>43.0</v>
      </c>
      <c r="F1174" s="11">
        <f t="shared" si="1"/>
        <v>0.5433884298</v>
      </c>
      <c r="G1174" s="5">
        <f t="shared" si="2"/>
        <v>7.45661157</v>
      </c>
      <c r="H1174" s="3">
        <v>1174.0</v>
      </c>
      <c r="I1174" s="17"/>
    </row>
    <row r="1175">
      <c r="A1175" s="3">
        <v>8.0</v>
      </c>
      <c r="B1175" s="3">
        <v>1121.0</v>
      </c>
      <c r="C1175" s="3">
        <v>1125.0</v>
      </c>
      <c r="D1175" s="3">
        <v>44.0</v>
      </c>
      <c r="E1175" s="3">
        <v>24.0</v>
      </c>
      <c r="F1175" s="11">
        <f t="shared" si="1"/>
        <v>0.9964444444</v>
      </c>
      <c r="G1175" s="5">
        <f t="shared" si="2"/>
        <v>7.003555556</v>
      </c>
      <c r="H1175" s="3">
        <v>1175.0</v>
      </c>
      <c r="I1175" s="17"/>
    </row>
    <row r="1176">
      <c r="A1176" s="3">
        <v>8.0</v>
      </c>
      <c r="B1176" s="3">
        <v>1154.0</v>
      </c>
      <c r="C1176" s="3">
        <v>1170.0</v>
      </c>
      <c r="D1176" s="3">
        <v>44.0</v>
      </c>
      <c r="E1176" s="3">
        <v>25.0</v>
      </c>
      <c r="F1176" s="11">
        <f t="shared" si="1"/>
        <v>0.9863247863</v>
      </c>
      <c r="G1176" s="5">
        <f t="shared" si="2"/>
        <v>7.013675214</v>
      </c>
      <c r="H1176" s="3">
        <v>1176.0</v>
      </c>
      <c r="I1176" s="17"/>
    </row>
    <row r="1177">
      <c r="A1177" s="3">
        <v>8.0</v>
      </c>
      <c r="B1177" s="3">
        <v>1183.0</v>
      </c>
      <c r="C1177" s="3">
        <v>1215.0</v>
      </c>
      <c r="D1177" s="3">
        <v>44.0</v>
      </c>
      <c r="E1177" s="3">
        <v>26.0</v>
      </c>
      <c r="F1177" s="11">
        <f t="shared" si="1"/>
        <v>0.9736625514</v>
      </c>
      <c r="G1177" s="5">
        <f t="shared" si="2"/>
        <v>7.026337449</v>
      </c>
      <c r="H1177" s="3">
        <v>1177.0</v>
      </c>
      <c r="I1177" s="17"/>
    </row>
    <row r="1178">
      <c r="A1178" s="3">
        <v>8.0</v>
      </c>
      <c r="B1178" s="3">
        <v>1204.0</v>
      </c>
      <c r="C1178" s="3">
        <v>1260.0</v>
      </c>
      <c r="D1178" s="3">
        <v>44.0</v>
      </c>
      <c r="E1178" s="3">
        <v>27.0</v>
      </c>
      <c r="F1178" s="11">
        <f t="shared" si="1"/>
        <v>0.9555555556</v>
      </c>
      <c r="G1178" s="5">
        <f t="shared" si="2"/>
        <v>7.044444444</v>
      </c>
      <c r="H1178" s="3">
        <v>1178.0</v>
      </c>
      <c r="I1178" s="17"/>
    </row>
    <row r="1179">
      <c r="A1179" s="3">
        <v>8.0</v>
      </c>
      <c r="B1179" s="3">
        <v>1221.0</v>
      </c>
      <c r="C1179" s="3">
        <v>1305.0</v>
      </c>
      <c r="D1179" s="3">
        <v>44.0</v>
      </c>
      <c r="E1179" s="3">
        <v>28.0</v>
      </c>
      <c r="F1179" s="11">
        <f t="shared" si="1"/>
        <v>0.9356321839</v>
      </c>
      <c r="G1179" s="5">
        <f t="shared" si="2"/>
        <v>7.064367816</v>
      </c>
      <c r="H1179" s="3">
        <v>1179.0</v>
      </c>
      <c r="I1179" s="17"/>
    </row>
    <row r="1180">
      <c r="A1180" s="3">
        <v>8.0</v>
      </c>
      <c r="B1180" s="3">
        <v>1234.0</v>
      </c>
      <c r="C1180" s="3">
        <v>1350.0</v>
      </c>
      <c r="D1180" s="3">
        <v>44.0</v>
      </c>
      <c r="E1180" s="3">
        <v>29.0</v>
      </c>
      <c r="F1180" s="11">
        <f t="shared" si="1"/>
        <v>0.9140740741</v>
      </c>
      <c r="G1180" s="5">
        <f t="shared" si="2"/>
        <v>7.085925926</v>
      </c>
      <c r="H1180" s="3">
        <v>1180.0</v>
      </c>
      <c r="I1180" s="17"/>
    </row>
    <row r="1181">
      <c r="A1181" s="3">
        <v>8.0</v>
      </c>
      <c r="B1181" s="3">
        <v>1243.0</v>
      </c>
      <c r="C1181" s="3">
        <v>1395.0</v>
      </c>
      <c r="D1181" s="3">
        <v>44.0</v>
      </c>
      <c r="E1181" s="3">
        <v>30.0</v>
      </c>
      <c r="F1181" s="11">
        <f t="shared" si="1"/>
        <v>0.8910394265</v>
      </c>
      <c r="G1181" s="5">
        <f t="shared" si="2"/>
        <v>7.108960573</v>
      </c>
      <c r="H1181" s="3">
        <v>1181.0</v>
      </c>
      <c r="I1181" s="17"/>
    </row>
    <row r="1182">
      <c r="A1182" s="3">
        <v>8.0</v>
      </c>
      <c r="B1182" s="3">
        <v>1248.0</v>
      </c>
      <c r="C1182" s="3">
        <v>1440.0</v>
      </c>
      <c r="D1182" s="3">
        <v>44.0</v>
      </c>
      <c r="E1182" s="3">
        <v>31.0</v>
      </c>
      <c r="F1182" s="11">
        <f t="shared" si="1"/>
        <v>0.8666666667</v>
      </c>
      <c r="G1182" s="5">
        <f t="shared" si="2"/>
        <v>7.133333333</v>
      </c>
      <c r="H1182" s="3">
        <v>1182.0</v>
      </c>
      <c r="I1182" s="17"/>
    </row>
    <row r="1183">
      <c r="A1183" s="3">
        <v>8.0</v>
      </c>
      <c r="B1183" s="3">
        <v>1249.0</v>
      </c>
      <c r="C1183" s="3">
        <v>1485.0</v>
      </c>
      <c r="D1183" s="3">
        <v>44.0</v>
      </c>
      <c r="E1183" s="3">
        <v>32.0</v>
      </c>
      <c r="F1183" s="11">
        <f t="shared" si="1"/>
        <v>0.8410774411</v>
      </c>
      <c r="G1183" s="5">
        <f t="shared" si="2"/>
        <v>7.158922559</v>
      </c>
      <c r="H1183" s="3">
        <v>1183.0</v>
      </c>
      <c r="I1183" s="17"/>
    </row>
    <row r="1184">
      <c r="A1184" s="3">
        <v>8.0</v>
      </c>
      <c r="B1184" s="3">
        <v>1246.0</v>
      </c>
      <c r="C1184" s="3">
        <v>1530.0</v>
      </c>
      <c r="D1184" s="3">
        <v>44.0</v>
      </c>
      <c r="E1184" s="3">
        <v>33.0</v>
      </c>
      <c r="F1184" s="11">
        <f t="shared" si="1"/>
        <v>0.814379085</v>
      </c>
      <c r="G1184" s="5">
        <f t="shared" si="2"/>
        <v>7.185620915</v>
      </c>
      <c r="H1184" s="3">
        <v>1184.0</v>
      </c>
      <c r="I1184" s="17"/>
    </row>
    <row r="1185">
      <c r="A1185" s="3">
        <v>8.0</v>
      </c>
      <c r="B1185" s="3">
        <v>1239.0</v>
      </c>
      <c r="C1185" s="3">
        <v>1575.0</v>
      </c>
      <c r="D1185" s="3">
        <v>44.0</v>
      </c>
      <c r="E1185" s="3">
        <v>34.0</v>
      </c>
      <c r="F1185" s="11">
        <f t="shared" si="1"/>
        <v>0.7866666667</v>
      </c>
      <c r="G1185" s="5">
        <f t="shared" si="2"/>
        <v>7.213333333</v>
      </c>
      <c r="H1185" s="3">
        <v>1185.0</v>
      </c>
      <c r="I1185" s="17"/>
    </row>
    <row r="1186">
      <c r="A1186" s="3">
        <v>8.0</v>
      </c>
      <c r="B1186" s="3">
        <v>1228.0</v>
      </c>
      <c r="C1186" s="3">
        <v>1620.0</v>
      </c>
      <c r="D1186" s="3">
        <v>44.0</v>
      </c>
      <c r="E1186" s="3">
        <v>35.0</v>
      </c>
      <c r="F1186" s="11">
        <f t="shared" si="1"/>
        <v>0.7580246914</v>
      </c>
      <c r="G1186" s="5">
        <f t="shared" si="2"/>
        <v>7.241975309</v>
      </c>
      <c r="H1186" s="3">
        <v>1186.0</v>
      </c>
      <c r="I1186" s="17"/>
    </row>
    <row r="1187">
      <c r="A1187" s="3">
        <v>8.0</v>
      </c>
      <c r="B1187" s="3">
        <v>1213.0</v>
      </c>
      <c r="C1187" s="3">
        <v>1665.0</v>
      </c>
      <c r="D1187" s="3">
        <v>44.0</v>
      </c>
      <c r="E1187" s="3">
        <v>36.0</v>
      </c>
      <c r="F1187" s="11">
        <f t="shared" si="1"/>
        <v>0.7285285285</v>
      </c>
      <c r="G1187" s="5">
        <f t="shared" si="2"/>
        <v>7.271471471</v>
      </c>
      <c r="H1187" s="3">
        <v>1187.0</v>
      </c>
      <c r="I1187" s="17"/>
    </row>
    <row r="1188">
      <c r="A1188" s="3">
        <v>8.0</v>
      </c>
      <c r="B1188" s="3">
        <v>1194.0</v>
      </c>
      <c r="C1188" s="3">
        <v>1710.0</v>
      </c>
      <c r="D1188" s="3">
        <v>44.0</v>
      </c>
      <c r="E1188" s="3">
        <v>37.0</v>
      </c>
      <c r="F1188" s="11">
        <f t="shared" si="1"/>
        <v>0.698245614</v>
      </c>
      <c r="G1188" s="5">
        <f t="shared" si="2"/>
        <v>7.301754386</v>
      </c>
      <c r="H1188" s="3">
        <v>1188.0</v>
      </c>
      <c r="I1188" s="17"/>
    </row>
    <row r="1189">
      <c r="A1189" s="3">
        <v>8.0</v>
      </c>
      <c r="B1189" s="3">
        <v>1171.0</v>
      </c>
      <c r="C1189" s="3">
        <v>1755.0</v>
      </c>
      <c r="D1189" s="3">
        <v>44.0</v>
      </c>
      <c r="E1189" s="3">
        <v>38.0</v>
      </c>
      <c r="F1189" s="11">
        <f t="shared" si="1"/>
        <v>0.6672364672</v>
      </c>
      <c r="G1189" s="5">
        <f t="shared" si="2"/>
        <v>7.332763533</v>
      </c>
      <c r="H1189" s="3">
        <v>1189.0</v>
      </c>
      <c r="I1189" s="17"/>
    </row>
    <row r="1190">
      <c r="A1190" s="3">
        <v>8.0</v>
      </c>
      <c r="B1190" s="3">
        <v>1144.0</v>
      </c>
      <c r="C1190" s="3">
        <v>1800.0</v>
      </c>
      <c r="D1190" s="3">
        <v>44.0</v>
      </c>
      <c r="E1190" s="3">
        <v>39.0</v>
      </c>
      <c r="F1190" s="11">
        <f t="shared" si="1"/>
        <v>0.6355555556</v>
      </c>
      <c r="G1190" s="5">
        <f t="shared" si="2"/>
        <v>7.364444444</v>
      </c>
      <c r="H1190" s="3">
        <v>1190.0</v>
      </c>
      <c r="I1190" s="17"/>
    </row>
    <row r="1191">
      <c r="A1191" s="3">
        <v>8.0</v>
      </c>
      <c r="B1191" s="3">
        <v>1117.0</v>
      </c>
      <c r="C1191" s="3">
        <v>1845.0</v>
      </c>
      <c r="D1191" s="3">
        <v>44.0</v>
      </c>
      <c r="E1191" s="3">
        <v>40.0</v>
      </c>
      <c r="F1191" s="11">
        <f t="shared" si="1"/>
        <v>0.6054200542</v>
      </c>
      <c r="G1191" s="5">
        <f t="shared" si="2"/>
        <v>7.394579946</v>
      </c>
      <c r="H1191" s="3">
        <v>1191.0</v>
      </c>
      <c r="I1191" s="17"/>
    </row>
    <row r="1192">
      <c r="A1192" s="3">
        <v>8.0</v>
      </c>
      <c r="B1192" s="3">
        <v>1086.0</v>
      </c>
      <c r="C1192" s="3">
        <v>1890.0</v>
      </c>
      <c r="D1192" s="3">
        <v>44.0</v>
      </c>
      <c r="E1192" s="3">
        <v>41.0</v>
      </c>
      <c r="F1192" s="11">
        <f t="shared" si="1"/>
        <v>0.5746031746</v>
      </c>
      <c r="G1192" s="5">
        <f t="shared" si="2"/>
        <v>7.425396825</v>
      </c>
      <c r="H1192" s="3">
        <v>1192.0</v>
      </c>
      <c r="I1192" s="17"/>
    </row>
    <row r="1193">
      <c r="A1193" s="3">
        <v>8.0</v>
      </c>
      <c r="B1193" s="3">
        <v>1051.0</v>
      </c>
      <c r="C1193" s="3">
        <v>1935.0</v>
      </c>
      <c r="D1193" s="3">
        <v>44.0</v>
      </c>
      <c r="E1193" s="3">
        <v>42.0</v>
      </c>
      <c r="F1193" s="11">
        <f t="shared" si="1"/>
        <v>0.5431524548</v>
      </c>
      <c r="G1193" s="5">
        <f t="shared" si="2"/>
        <v>7.456847545</v>
      </c>
      <c r="H1193" s="3">
        <v>1193.0</v>
      </c>
      <c r="I1193" s="17"/>
    </row>
    <row r="1194">
      <c r="A1194" s="3">
        <v>8.0</v>
      </c>
      <c r="B1194" s="3">
        <v>1016.0</v>
      </c>
      <c r="C1194" s="3">
        <v>1980.0</v>
      </c>
      <c r="D1194" s="3">
        <v>44.0</v>
      </c>
      <c r="E1194" s="3">
        <v>43.0</v>
      </c>
      <c r="F1194" s="11">
        <f t="shared" si="1"/>
        <v>0.5131313131</v>
      </c>
      <c r="G1194" s="5">
        <f t="shared" si="2"/>
        <v>7.486868687</v>
      </c>
      <c r="H1194" s="3">
        <v>1194.0</v>
      </c>
      <c r="I1194" s="17"/>
    </row>
    <row r="1195">
      <c r="A1195" s="3">
        <v>8.0</v>
      </c>
      <c r="B1195" s="3">
        <v>977.0</v>
      </c>
      <c r="C1195" s="3">
        <v>2025.0</v>
      </c>
      <c r="D1195" s="3">
        <v>44.0</v>
      </c>
      <c r="E1195" s="3">
        <v>44.0</v>
      </c>
      <c r="F1195" s="11">
        <f t="shared" si="1"/>
        <v>0.4824691358</v>
      </c>
      <c r="G1195" s="5">
        <f t="shared" si="2"/>
        <v>7.517530864</v>
      </c>
      <c r="H1195" s="3">
        <v>1195.0</v>
      </c>
      <c r="I1195" s="17"/>
    </row>
    <row r="1196">
      <c r="A1196" s="3">
        <v>8.0</v>
      </c>
      <c r="B1196" s="3">
        <v>1142.0</v>
      </c>
      <c r="C1196" s="3">
        <v>1150.0</v>
      </c>
      <c r="D1196" s="3">
        <v>45.0</v>
      </c>
      <c r="E1196" s="3">
        <v>24.0</v>
      </c>
      <c r="F1196" s="11">
        <f t="shared" si="1"/>
        <v>0.9930434783</v>
      </c>
      <c r="G1196" s="5">
        <f t="shared" si="2"/>
        <v>7.006956522</v>
      </c>
      <c r="H1196" s="3">
        <v>1196.0</v>
      </c>
      <c r="I1196" s="17"/>
    </row>
    <row r="1197">
      <c r="A1197" s="3">
        <v>8.0</v>
      </c>
      <c r="B1197" s="3">
        <v>1172.0</v>
      </c>
      <c r="C1197" s="3">
        <v>1196.0</v>
      </c>
      <c r="D1197" s="3">
        <v>45.0</v>
      </c>
      <c r="E1197" s="3">
        <v>25.0</v>
      </c>
      <c r="F1197" s="11">
        <f t="shared" si="1"/>
        <v>0.9799331104</v>
      </c>
      <c r="G1197" s="5">
        <f t="shared" si="2"/>
        <v>7.02006689</v>
      </c>
      <c r="H1197" s="3">
        <v>1197.0</v>
      </c>
      <c r="I1197" s="17"/>
    </row>
    <row r="1198">
      <c r="A1198" s="3">
        <v>8.0</v>
      </c>
      <c r="B1198" s="3">
        <v>1198.0</v>
      </c>
      <c r="C1198" s="3">
        <v>1242.0</v>
      </c>
      <c r="D1198" s="3">
        <v>45.0</v>
      </c>
      <c r="E1198" s="3">
        <v>26.0</v>
      </c>
      <c r="F1198" s="11">
        <f t="shared" si="1"/>
        <v>0.9645732689</v>
      </c>
      <c r="G1198" s="5">
        <f t="shared" si="2"/>
        <v>7.035426731</v>
      </c>
      <c r="H1198" s="3">
        <v>1198.0</v>
      </c>
      <c r="I1198" s="17"/>
    </row>
    <row r="1199">
      <c r="A1199" s="3">
        <v>8.0</v>
      </c>
      <c r="B1199" s="3">
        <v>1216.0</v>
      </c>
      <c r="C1199" s="3">
        <v>1288.0</v>
      </c>
      <c r="D1199" s="3">
        <v>45.0</v>
      </c>
      <c r="E1199" s="3">
        <v>27.0</v>
      </c>
      <c r="F1199" s="11">
        <f t="shared" si="1"/>
        <v>0.9440993789</v>
      </c>
      <c r="G1199" s="5">
        <f t="shared" si="2"/>
        <v>7.055900621</v>
      </c>
      <c r="H1199" s="3">
        <v>1199.0</v>
      </c>
      <c r="I1199" s="17"/>
    </row>
    <row r="1200">
      <c r="A1200" s="3">
        <v>8.0</v>
      </c>
      <c r="B1200" s="3">
        <v>1230.0</v>
      </c>
      <c r="C1200" s="3">
        <v>1334.0</v>
      </c>
      <c r="D1200" s="3">
        <v>45.0</v>
      </c>
      <c r="E1200" s="3">
        <v>28.0</v>
      </c>
      <c r="F1200" s="11">
        <f t="shared" si="1"/>
        <v>0.9220389805</v>
      </c>
      <c r="G1200" s="5">
        <f t="shared" si="2"/>
        <v>7.077961019</v>
      </c>
      <c r="H1200" s="3">
        <v>1200.0</v>
      </c>
      <c r="I1200" s="17"/>
    </row>
    <row r="1201">
      <c r="A1201" s="3">
        <v>8.0</v>
      </c>
      <c r="B1201" s="3">
        <v>1240.0</v>
      </c>
      <c r="C1201" s="3">
        <v>1380.0</v>
      </c>
      <c r="D1201" s="3">
        <v>45.0</v>
      </c>
      <c r="E1201" s="3">
        <v>29.0</v>
      </c>
      <c r="F1201" s="11">
        <f t="shared" si="1"/>
        <v>0.8985507246</v>
      </c>
      <c r="G1201" s="5">
        <f t="shared" si="2"/>
        <v>7.101449275</v>
      </c>
      <c r="H1201" s="3">
        <v>1201.0</v>
      </c>
      <c r="I1201" s="17"/>
    </row>
    <row r="1202">
      <c r="A1202" s="3">
        <v>8.0</v>
      </c>
      <c r="B1202" s="3">
        <v>1246.0</v>
      </c>
      <c r="C1202" s="3">
        <v>1426.0</v>
      </c>
      <c r="D1202" s="3">
        <v>45.0</v>
      </c>
      <c r="E1202" s="3">
        <v>30.0</v>
      </c>
      <c r="F1202" s="11">
        <f t="shared" si="1"/>
        <v>0.873772791</v>
      </c>
      <c r="G1202" s="5">
        <f t="shared" si="2"/>
        <v>7.126227209</v>
      </c>
      <c r="H1202" s="3">
        <v>1202.0</v>
      </c>
      <c r="I1202" s="17"/>
    </row>
    <row r="1203">
      <c r="A1203" s="3">
        <v>8.0</v>
      </c>
      <c r="B1203" s="3">
        <v>1248.0</v>
      </c>
      <c r="C1203" s="3">
        <v>1472.0</v>
      </c>
      <c r="D1203" s="3">
        <v>45.0</v>
      </c>
      <c r="E1203" s="3">
        <v>31.0</v>
      </c>
      <c r="F1203" s="11">
        <f t="shared" si="1"/>
        <v>0.847826087</v>
      </c>
      <c r="G1203" s="5">
        <f t="shared" si="2"/>
        <v>7.152173913</v>
      </c>
      <c r="H1203" s="3">
        <v>1203.0</v>
      </c>
      <c r="I1203" s="17"/>
    </row>
    <row r="1204">
      <c r="A1204" s="3">
        <v>8.0</v>
      </c>
      <c r="B1204" s="3">
        <v>1246.0</v>
      </c>
      <c r="C1204" s="3">
        <v>1518.0</v>
      </c>
      <c r="D1204" s="3">
        <v>45.0</v>
      </c>
      <c r="E1204" s="3">
        <v>32.0</v>
      </c>
      <c r="F1204" s="11">
        <f t="shared" si="1"/>
        <v>0.8208168643</v>
      </c>
      <c r="G1204" s="5">
        <f t="shared" si="2"/>
        <v>7.179183136</v>
      </c>
      <c r="H1204" s="3">
        <v>1204.0</v>
      </c>
      <c r="I1204" s="17"/>
    </row>
    <row r="1205">
      <c r="A1205" s="3">
        <v>8.0</v>
      </c>
      <c r="B1205" s="3">
        <v>1240.0</v>
      </c>
      <c r="C1205" s="3">
        <v>1564.0</v>
      </c>
      <c r="D1205" s="3">
        <v>45.0</v>
      </c>
      <c r="E1205" s="3">
        <v>33.0</v>
      </c>
      <c r="F1205" s="11">
        <f t="shared" si="1"/>
        <v>0.7928388747</v>
      </c>
      <c r="G1205" s="5">
        <f t="shared" si="2"/>
        <v>7.207161125</v>
      </c>
      <c r="H1205" s="3">
        <v>1205.0</v>
      </c>
      <c r="I1205" s="17"/>
    </row>
    <row r="1206">
      <c r="A1206" s="3">
        <v>8.0</v>
      </c>
      <c r="B1206" s="3">
        <v>1230.0</v>
      </c>
      <c r="C1206" s="3">
        <v>1610.0</v>
      </c>
      <c r="D1206" s="3">
        <v>45.0</v>
      </c>
      <c r="E1206" s="3">
        <v>34.0</v>
      </c>
      <c r="F1206" s="11">
        <f t="shared" si="1"/>
        <v>0.7639751553</v>
      </c>
      <c r="G1206" s="5">
        <f t="shared" si="2"/>
        <v>7.236024845</v>
      </c>
      <c r="H1206" s="3">
        <v>1206.0</v>
      </c>
      <c r="I1206" s="17"/>
    </row>
    <row r="1207">
      <c r="A1207" s="3">
        <v>8.0</v>
      </c>
      <c r="B1207" s="3">
        <v>1216.0</v>
      </c>
      <c r="C1207" s="3">
        <v>1656.0</v>
      </c>
      <c r="D1207" s="3">
        <v>45.0</v>
      </c>
      <c r="E1207" s="3">
        <v>35.0</v>
      </c>
      <c r="F1207" s="11">
        <f t="shared" si="1"/>
        <v>0.7342995169</v>
      </c>
      <c r="G1207" s="5">
        <f t="shared" si="2"/>
        <v>7.265700483</v>
      </c>
      <c r="H1207" s="3">
        <v>1207.0</v>
      </c>
      <c r="I1207" s="17"/>
    </row>
    <row r="1208">
      <c r="A1208" s="3">
        <v>8.0</v>
      </c>
      <c r="B1208" s="3">
        <v>1198.0</v>
      </c>
      <c r="C1208" s="3">
        <v>1702.0</v>
      </c>
      <c r="D1208" s="3">
        <v>45.0</v>
      </c>
      <c r="E1208" s="3">
        <v>36.0</v>
      </c>
      <c r="F1208" s="11">
        <f t="shared" si="1"/>
        <v>0.7038777908</v>
      </c>
      <c r="G1208" s="5">
        <f t="shared" si="2"/>
        <v>7.296122209</v>
      </c>
      <c r="H1208" s="3">
        <v>1208.0</v>
      </c>
      <c r="I1208" s="17"/>
    </row>
    <row r="1209">
      <c r="A1209" s="3">
        <v>8.0</v>
      </c>
      <c r="B1209" s="3">
        <v>1176.0</v>
      </c>
      <c r="C1209" s="3">
        <v>1748.0</v>
      </c>
      <c r="D1209" s="3">
        <v>45.0</v>
      </c>
      <c r="E1209" s="3">
        <v>37.0</v>
      </c>
      <c r="F1209" s="11">
        <f t="shared" si="1"/>
        <v>0.6727688787</v>
      </c>
      <c r="G1209" s="5">
        <f t="shared" si="2"/>
        <v>7.327231121</v>
      </c>
      <c r="H1209" s="3">
        <v>1209.0</v>
      </c>
      <c r="I1209" s="17"/>
    </row>
    <row r="1210">
      <c r="A1210" s="3">
        <v>8.0</v>
      </c>
      <c r="B1210" s="3">
        <v>1150.0</v>
      </c>
      <c r="C1210" s="3">
        <v>1794.0</v>
      </c>
      <c r="D1210" s="3">
        <v>45.0</v>
      </c>
      <c r="E1210" s="3">
        <v>38.0</v>
      </c>
      <c r="F1210" s="11">
        <f t="shared" si="1"/>
        <v>0.641025641</v>
      </c>
      <c r="G1210" s="5">
        <f t="shared" si="2"/>
        <v>7.358974359</v>
      </c>
      <c r="H1210" s="3">
        <v>1210.0</v>
      </c>
      <c r="I1210" s="17"/>
    </row>
    <row r="1211">
      <c r="A1211" s="3">
        <v>8.0</v>
      </c>
      <c r="B1211" s="3">
        <v>1120.0</v>
      </c>
      <c r="C1211" s="3">
        <v>1840.0</v>
      </c>
      <c r="D1211" s="3">
        <v>45.0</v>
      </c>
      <c r="E1211" s="3">
        <v>39.0</v>
      </c>
      <c r="F1211" s="11">
        <f t="shared" si="1"/>
        <v>0.6086956522</v>
      </c>
      <c r="G1211" s="5">
        <f t="shared" si="2"/>
        <v>7.391304348</v>
      </c>
      <c r="H1211" s="3">
        <v>1211.0</v>
      </c>
      <c r="I1211" s="17"/>
    </row>
    <row r="1212">
      <c r="A1212" s="3">
        <v>8.0</v>
      </c>
      <c r="B1212" s="3">
        <v>1090.0</v>
      </c>
      <c r="C1212" s="3">
        <v>1886.0</v>
      </c>
      <c r="D1212" s="3">
        <v>45.0</v>
      </c>
      <c r="E1212" s="3">
        <v>40.0</v>
      </c>
      <c r="F1212" s="11">
        <f t="shared" si="1"/>
        <v>0.5779427359</v>
      </c>
      <c r="G1212" s="5">
        <f t="shared" si="2"/>
        <v>7.422057264</v>
      </c>
      <c r="H1212" s="3">
        <v>1212.0</v>
      </c>
      <c r="I1212" s="17"/>
    </row>
    <row r="1213">
      <c r="A1213" s="3">
        <v>8.0</v>
      </c>
      <c r="B1213" s="3">
        <v>1056.0</v>
      </c>
      <c r="C1213" s="3">
        <v>1932.0</v>
      </c>
      <c r="D1213" s="3">
        <v>45.0</v>
      </c>
      <c r="E1213" s="3">
        <v>41.0</v>
      </c>
      <c r="F1213" s="11">
        <f t="shared" si="1"/>
        <v>0.5465838509</v>
      </c>
      <c r="G1213" s="5">
        <f t="shared" si="2"/>
        <v>7.453416149</v>
      </c>
      <c r="H1213" s="3">
        <v>1213.0</v>
      </c>
      <c r="I1213" s="17"/>
    </row>
    <row r="1214">
      <c r="A1214" s="3">
        <v>8.0</v>
      </c>
      <c r="B1214" s="3">
        <v>1018.0</v>
      </c>
      <c r="C1214" s="3">
        <v>1978.0</v>
      </c>
      <c r="D1214" s="3">
        <v>45.0</v>
      </c>
      <c r="E1214" s="3">
        <v>42.0</v>
      </c>
      <c r="F1214" s="11">
        <f t="shared" si="1"/>
        <v>0.514661274</v>
      </c>
      <c r="G1214" s="5">
        <f t="shared" si="2"/>
        <v>7.485338726</v>
      </c>
      <c r="H1214" s="3">
        <v>1214.0</v>
      </c>
      <c r="I1214" s="17"/>
    </row>
    <row r="1215">
      <c r="A1215" s="3">
        <v>8.0</v>
      </c>
      <c r="B1215" s="3">
        <v>980.0</v>
      </c>
      <c r="C1215" s="3">
        <v>2024.0</v>
      </c>
      <c r="D1215" s="3">
        <v>45.0</v>
      </c>
      <c r="E1215" s="3">
        <v>43.0</v>
      </c>
      <c r="F1215" s="11">
        <f t="shared" si="1"/>
        <v>0.4841897233</v>
      </c>
      <c r="G1215" s="5">
        <f t="shared" si="2"/>
        <v>7.515810277</v>
      </c>
      <c r="H1215" s="3">
        <v>1215.0</v>
      </c>
      <c r="I1215" s="17"/>
    </row>
    <row r="1216">
      <c r="A1216" s="3">
        <v>8.0</v>
      </c>
      <c r="B1216" s="3">
        <v>938.0</v>
      </c>
      <c r="C1216" s="3">
        <v>2070.0</v>
      </c>
      <c r="D1216" s="3">
        <v>45.0</v>
      </c>
      <c r="E1216" s="3">
        <v>44.0</v>
      </c>
      <c r="F1216" s="11">
        <f t="shared" si="1"/>
        <v>0.4531400966</v>
      </c>
      <c r="G1216" s="5">
        <f t="shared" si="2"/>
        <v>7.546859903</v>
      </c>
      <c r="H1216" s="3">
        <v>1216.0</v>
      </c>
      <c r="I1216" s="17"/>
    </row>
    <row r="1217">
      <c r="A1217" s="3">
        <v>8.0</v>
      </c>
      <c r="B1217" s="3">
        <v>896.0</v>
      </c>
      <c r="C1217" s="3">
        <v>2116.0</v>
      </c>
      <c r="D1217" s="3">
        <v>45.0</v>
      </c>
      <c r="E1217" s="3">
        <v>45.0</v>
      </c>
      <c r="F1217" s="11">
        <f t="shared" si="1"/>
        <v>0.4234404537</v>
      </c>
      <c r="G1217" s="5">
        <f t="shared" si="2"/>
        <v>7.576559546</v>
      </c>
      <c r="H1217" s="3">
        <v>1217.0</v>
      </c>
      <c r="I1217" s="17"/>
    </row>
    <row r="1218">
      <c r="A1218" s="3">
        <v>8.0</v>
      </c>
      <c r="B1218" s="3">
        <v>1124.0</v>
      </c>
      <c r="C1218" s="3">
        <v>1128.0</v>
      </c>
      <c r="D1218" s="3">
        <v>46.0</v>
      </c>
      <c r="E1218" s="3">
        <v>23.0</v>
      </c>
      <c r="F1218" s="11">
        <f t="shared" si="1"/>
        <v>0.9964539007</v>
      </c>
      <c r="G1218" s="5">
        <f t="shared" si="2"/>
        <v>7.003546099</v>
      </c>
      <c r="H1218" s="3">
        <v>1218.0</v>
      </c>
      <c r="I1218" s="17"/>
    </row>
    <row r="1219">
      <c r="A1219" s="3">
        <v>8.0</v>
      </c>
      <c r="B1219" s="3">
        <v>1159.0</v>
      </c>
      <c r="C1219" s="3">
        <v>1175.0</v>
      </c>
      <c r="D1219" s="3">
        <v>46.0</v>
      </c>
      <c r="E1219" s="3">
        <v>24.0</v>
      </c>
      <c r="F1219" s="11">
        <f t="shared" si="1"/>
        <v>0.9863829787</v>
      </c>
      <c r="G1219" s="5">
        <f t="shared" si="2"/>
        <v>7.013617021</v>
      </c>
      <c r="H1219" s="3">
        <v>1219.0</v>
      </c>
      <c r="I1219" s="17"/>
    </row>
    <row r="1220">
      <c r="A1220" s="3">
        <v>8.0</v>
      </c>
      <c r="B1220" s="3">
        <v>1186.0</v>
      </c>
      <c r="C1220" s="3">
        <v>1222.0</v>
      </c>
      <c r="D1220" s="3">
        <v>46.0</v>
      </c>
      <c r="E1220" s="3">
        <v>25.0</v>
      </c>
      <c r="F1220" s="11">
        <f t="shared" si="1"/>
        <v>0.9705400982</v>
      </c>
      <c r="G1220" s="5">
        <f t="shared" si="2"/>
        <v>7.029459902</v>
      </c>
      <c r="H1220" s="3">
        <v>1220.0</v>
      </c>
      <c r="I1220" s="17"/>
    </row>
    <row r="1221">
      <c r="A1221" s="3">
        <v>8.0</v>
      </c>
      <c r="B1221" s="3">
        <v>1209.0</v>
      </c>
      <c r="C1221" s="3">
        <v>1269.0</v>
      </c>
      <c r="D1221" s="3">
        <v>46.0</v>
      </c>
      <c r="E1221" s="3">
        <v>26.0</v>
      </c>
      <c r="F1221" s="11">
        <f t="shared" si="1"/>
        <v>0.9527186761</v>
      </c>
      <c r="G1221" s="5">
        <f t="shared" si="2"/>
        <v>7.047281324</v>
      </c>
      <c r="H1221" s="3">
        <v>1221.0</v>
      </c>
      <c r="I1221" s="17"/>
    </row>
    <row r="1222">
      <c r="A1222" s="3">
        <v>8.0</v>
      </c>
      <c r="B1222" s="3">
        <v>1224.0</v>
      </c>
      <c r="C1222" s="3">
        <v>1316.0</v>
      </c>
      <c r="D1222" s="3">
        <v>46.0</v>
      </c>
      <c r="E1222" s="3">
        <v>27.0</v>
      </c>
      <c r="F1222" s="11">
        <f t="shared" si="1"/>
        <v>0.9300911854</v>
      </c>
      <c r="G1222" s="5">
        <f t="shared" si="2"/>
        <v>7.069908815</v>
      </c>
      <c r="H1222" s="3">
        <v>1222.0</v>
      </c>
      <c r="I1222" s="17"/>
    </row>
    <row r="1223">
      <c r="A1223" s="3">
        <v>8.0</v>
      </c>
      <c r="B1223" s="3">
        <v>1235.0</v>
      </c>
      <c r="C1223" s="3">
        <v>1363.0</v>
      </c>
      <c r="D1223" s="3">
        <v>46.0</v>
      </c>
      <c r="E1223" s="3">
        <v>28.0</v>
      </c>
      <c r="F1223" s="11">
        <f t="shared" si="1"/>
        <v>0.9060895084</v>
      </c>
      <c r="G1223" s="5">
        <f t="shared" si="2"/>
        <v>7.093910492</v>
      </c>
      <c r="H1223" s="3">
        <v>1223.0</v>
      </c>
      <c r="I1223" s="17"/>
    </row>
    <row r="1224">
      <c r="A1224" s="3">
        <v>8.0</v>
      </c>
      <c r="B1224" s="3">
        <v>1242.0</v>
      </c>
      <c r="C1224" s="3">
        <v>1410.0</v>
      </c>
      <c r="D1224" s="3">
        <v>46.0</v>
      </c>
      <c r="E1224" s="3">
        <v>29.0</v>
      </c>
      <c r="F1224" s="11">
        <f t="shared" si="1"/>
        <v>0.8808510638</v>
      </c>
      <c r="G1224" s="5">
        <f t="shared" si="2"/>
        <v>7.119148936</v>
      </c>
      <c r="H1224" s="3">
        <v>1224.0</v>
      </c>
      <c r="I1224" s="17"/>
    </row>
    <row r="1225">
      <c r="A1225" s="3">
        <v>8.0</v>
      </c>
      <c r="B1225" s="3">
        <v>1245.0</v>
      </c>
      <c r="C1225" s="3">
        <v>1457.0</v>
      </c>
      <c r="D1225" s="3">
        <v>46.0</v>
      </c>
      <c r="E1225" s="3">
        <v>30.0</v>
      </c>
      <c r="F1225" s="11">
        <f t="shared" si="1"/>
        <v>0.8544955388</v>
      </c>
      <c r="G1225" s="5">
        <f t="shared" si="2"/>
        <v>7.145504461</v>
      </c>
      <c r="H1225" s="3">
        <v>1225.0</v>
      </c>
      <c r="I1225" s="17"/>
    </row>
    <row r="1226">
      <c r="A1226" s="3">
        <v>8.0</v>
      </c>
      <c r="B1226" s="3">
        <v>1244.0</v>
      </c>
      <c r="C1226" s="3">
        <v>1504.0</v>
      </c>
      <c r="D1226" s="3">
        <v>46.0</v>
      </c>
      <c r="E1226" s="3">
        <v>31.0</v>
      </c>
      <c r="F1226" s="11">
        <f t="shared" si="1"/>
        <v>0.8271276596</v>
      </c>
      <c r="G1226" s="5">
        <f t="shared" si="2"/>
        <v>7.17287234</v>
      </c>
      <c r="H1226" s="3">
        <v>1226.0</v>
      </c>
      <c r="I1226" s="17"/>
    </row>
    <row r="1227">
      <c r="A1227" s="3">
        <v>8.0</v>
      </c>
      <c r="B1227" s="3">
        <v>1239.0</v>
      </c>
      <c r="C1227" s="3">
        <v>1551.0</v>
      </c>
      <c r="D1227" s="3">
        <v>46.0</v>
      </c>
      <c r="E1227" s="3">
        <v>32.0</v>
      </c>
      <c r="F1227" s="11">
        <f t="shared" si="1"/>
        <v>0.7988394584</v>
      </c>
      <c r="G1227" s="5">
        <f t="shared" si="2"/>
        <v>7.201160542</v>
      </c>
      <c r="H1227" s="3">
        <v>1227.0</v>
      </c>
      <c r="I1227" s="17"/>
    </row>
    <row r="1228">
      <c r="A1228" s="3">
        <v>8.0</v>
      </c>
      <c r="B1228" s="3">
        <v>1230.0</v>
      </c>
      <c r="C1228" s="3">
        <v>1598.0</v>
      </c>
      <c r="D1228" s="3">
        <v>46.0</v>
      </c>
      <c r="E1228" s="3">
        <v>33.0</v>
      </c>
      <c r="F1228" s="11">
        <f t="shared" si="1"/>
        <v>0.7697121402</v>
      </c>
      <c r="G1228" s="5">
        <f t="shared" si="2"/>
        <v>7.23028786</v>
      </c>
      <c r="H1228" s="3">
        <v>1228.0</v>
      </c>
      <c r="I1228" s="17"/>
    </row>
    <row r="1229">
      <c r="A1229" s="3">
        <v>8.0</v>
      </c>
      <c r="B1229" s="3">
        <v>1217.0</v>
      </c>
      <c r="C1229" s="3">
        <v>1645.0</v>
      </c>
      <c r="D1229" s="3">
        <v>46.0</v>
      </c>
      <c r="E1229" s="3">
        <v>34.0</v>
      </c>
      <c r="F1229" s="11">
        <f t="shared" si="1"/>
        <v>0.7398176292</v>
      </c>
      <c r="G1229" s="5">
        <f t="shared" si="2"/>
        <v>7.260182371</v>
      </c>
      <c r="H1229" s="3">
        <v>1229.0</v>
      </c>
      <c r="I1229" s="17"/>
    </row>
    <row r="1230">
      <c r="A1230" s="3">
        <v>8.0</v>
      </c>
      <c r="B1230" s="3">
        <v>1200.0</v>
      </c>
      <c r="C1230" s="3">
        <v>1692.0</v>
      </c>
      <c r="D1230" s="3">
        <v>46.0</v>
      </c>
      <c r="E1230" s="3">
        <v>35.0</v>
      </c>
      <c r="F1230" s="11">
        <f t="shared" si="1"/>
        <v>0.7092198582</v>
      </c>
      <c r="G1230" s="5">
        <f t="shared" si="2"/>
        <v>7.290780142</v>
      </c>
      <c r="H1230" s="3">
        <v>1230.0</v>
      </c>
      <c r="I1230" s="17"/>
    </row>
    <row r="1231">
      <c r="A1231" s="3">
        <v>8.0</v>
      </c>
      <c r="B1231" s="3">
        <v>1179.0</v>
      </c>
      <c r="C1231" s="3">
        <v>1739.0</v>
      </c>
      <c r="D1231" s="3">
        <v>46.0</v>
      </c>
      <c r="E1231" s="3">
        <v>36.0</v>
      </c>
      <c r="F1231" s="11">
        <f t="shared" si="1"/>
        <v>0.6779758482</v>
      </c>
      <c r="G1231" s="5">
        <f t="shared" si="2"/>
        <v>7.322024152</v>
      </c>
      <c r="H1231" s="3">
        <v>1231.0</v>
      </c>
      <c r="I1231" s="17"/>
    </row>
    <row r="1232">
      <c r="A1232" s="3">
        <v>8.0</v>
      </c>
      <c r="B1232" s="3">
        <v>1154.0</v>
      </c>
      <c r="C1232" s="3">
        <v>1786.0</v>
      </c>
      <c r="D1232" s="3">
        <v>46.0</v>
      </c>
      <c r="E1232" s="3">
        <v>37.0</v>
      </c>
      <c r="F1232" s="11">
        <f t="shared" si="1"/>
        <v>0.6461366181</v>
      </c>
      <c r="G1232" s="5">
        <f t="shared" si="2"/>
        <v>7.353863382</v>
      </c>
      <c r="H1232" s="3">
        <v>1232.0</v>
      </c>
      <c r="I1232" s="17"/>
    </row>
    <row r="1233">
      <c r="A1233" s="3">
        <v>8.0</v>
      </c>
      <c r="B1233" s="3">
        <v>1125.0</v>
      </c>
      <c r="C1233" s="3">
        <v>1833.0</v>
      </c>
      <c r="D1233" s="3">
        <v>46.0</v>
      </c>
      <c r="E1233" s="3">
        <v>38.0</v>
      </c>
      <c r="F1233" s="11">
        <f t="shared" si="1"/>
        <v>0.6137479542</v>
      </c>
      <c r="G1233" s="5">
        <f t="shared" si="2"/>
        <v>7.386252046</v>
      </c>
      <c r="H1233" s="3">
        <v>1233.0</v>
      </c>
      <c r="I1233" s="17"/>
    </row>
    <row r="1234">
      <c r="A1234" s="3">
        <v>8.0</v>
      </c>
      <c r="B1234" s="3">
        <v>1092.0</v>
      </c>
      <c r="C1234" s="3">
        <v>1880.0</v>
      </c>
      <c r="D1234" s="3">
        <v>46.0</v>
      </c>
      <c r="E1234" s="3">
        <v>39.0</v>
      </c>
      <c r="F1234" s="11">
        <f t="shared" si="1"/>
        <v>0.5808510638</v>
      </c>
      <c r="G1234" s="5">
        <f t="shared" si="2"/>
        <v>7.419148936</v>
      </c>
      <c r="H1234" s="3">
        <v>1234.0</v>
      </c>
      <c r="I1234" s="17"/>
    </row>
    <row r="1235">
      <c r="A1235" s="3">
        <v>8.0</v>
      </c>
      <c r="B1235" s="3">
        <v>1059.0</v>
      </c>
      <c r="C1235" s="3">
        <v>1927.0</v>
      </c>
      <c r="D1235" s="3">
        <v>46.0</v>
      </c>
      <c r="E1235" s="3">
        <v>40.0</v>
      </c>
      <c r="F1235" s="11">
        <f t="shared" si="1"/>
        <v>0.5495588998</v>
      </c>
      <c r="G1235" s="5">
        <f t="shared" si="2"/>
        <v>7.4504411</v>
      </c>
      <c r="H1235" s="3">
        <v>1235.0</v>
      </c>
      <c r="I1235" s="17"/>
    </row>
    <row r="1236">
      <c r="A1236" s="3">
        <v>8.0</v>
      </c>
      <c r="B1236" s="3">
        <v>1022.0</v>
      </c>
      <c r="C1236" s="3">
        <v>1974.0</v>
      </c>
      <c r="D1236" s="3">
        <v>46.0</v>
      </c>
      <c r="E1236" s="3">
        <v>41.0</v>
      </c>
      <c r="F1236" s="11">
        <f t="shared" si="1"/>
        <v>0.5177304965</v>
      </c>
      <c r="G1236" s="5">
        <f t="shared" si="2"/>
        <v>7.482269504</v>
      </c>
      <c r="H1236" s="3">
        <v>1236.0</v>
      </c>
      <c r="I1236" s="17"/>
    </row>
    <row r="1237">
      <c r="A1237" s="3">
        <v>8.0</v>
      </c>
      <c r="B1237" s="3">
        <v>981.0</v>
      </c>
      <c r="C1237" s="3">
        <v>2021.0</v>
      </c>
      <c r="D1237" s="3">
        <v>46.0</v>
      </c>
      <c r="E1237" s="3">
        <v>42.0</v>
      </c>
      <c r="F1237" s="11">
        <f t="shared" si="1"/>
        <v>0.4854032657</v>
      </c>
      <c r="G1237" s="5">
        <f t="shared" si="2"/>
        <v>7.514596734</v>
      </c>
      <c r="H1237" s="3">
        <v>1237.0</v>
      </c>
      <c r="I1237" s="17"/>
    </row>
    <row r="1238">
      <c r="A1238" s="3">
        <v>8.0</v>
      </c>
      <c r="B1238" s="3">
        <v>940.0</v>
      </c>
      <c r="C1238" s="3">
        <v>2068.0</v>
      </c>
      <c r="D1238" s="3">
        <v>46.0</v>
      </c>
      <c r="E1238" s="3">
        <v>43.0</v>
      </c>
      <c r="F1238" s="11">
        <f t="shared" si="1"/>
        <v>0.4545454545</v>
      </c>
      <c r="G1238" s="5">
        <f t="shared" si="2"/>
        <v>7.545454545</v>
      </c>
      <c r="H1238" s="3">
        <v>1238.0</v>
      </c>
      <c r="I1238" s="17"/>
    </row>
    <row r="1239">
      <c r="A1239" s="3">
        <v>8.0</v>
      </c>
      <c r="B1239" s="3">
        <v>895.0</v>
      </c>
      <c r="C1239" s="3">
        <v>2115.0</v>
      </c>
      <c r="D1239" s="3">
        <v>46.0</v>
      </c>
      <c r="E1239" s="3">
        <v>44.0</v>
      </c>
      <c r="F1239" s="11">
        <f t="shared" si="1"/>
        <v>0.4231678487</v>
      </c>
      <c r="G1239" s="5">
        <f t="shared" si="2"/>
        <v>7.576832151</v>
      </c>
      <c r="H1239" s="3">
        <v>1239.0</v>
      </c>
      <c r="I1239" s="17"/>
    </row>
    <row r="1240">
      <c r="A1240" s="3">
        <v>8.0</v>
      </c>
      <c r="B1240" s="3">
        <v>850.0</v>
      </c>
      <c r="C1240" s="3">
        <v>2162.0</v>
      </c>
      <c r="D1240" s="3">
        <v>46.0</v>
      </c>
      <c r="E1240" s="3">
        <v>45.0</v>
      </c>
      <c r="F1240" s="11">
        <f t="shared" si="1"/>
        <v>0.3931544866</v>
      </c>
      <c r="G1240" s="5">
        <f t="shared" si="2"/>
        <v>7.606845513</v>
      </c>
      <c r="H1240" s="3">
        <v>1240.0</v>
      </c>
      <c r="I1240" s="17"/>
    </row>
    <row r="1241">
      <c r="A1241" s="3">
        <v>8.0</v>
      </c>
      <c r="B1241" s="3">
        <v>805.0</v>
      </c>
      <c r="C1241" s="3">
        <v>2209.0</v>
      </c>
      <c r="D1241" s="3">
        <v>46.0</v>
      </c>
      <c r="E1241" s="3">
        <v>46.0</v>
      </c>
      <c r="F1241" s="11">
        <f t="shared" si="1"/>
        <v>0.3644182888</v>
      </c>
      <c r="G1241" s="5">
        <f t="shared" si="2"/>
        <v>7.635581711</v>
      </c>
      <c r="H1241" s="3">
        <v>1241.0</v>
      </c>
      <c r="I1241" s="17"/>
    </row>
    <row r="1242">
      <c r="A1242" s="3">
        <v>8.0</v>
      </c>
      <c r="B1242" s="3">
        <v>1144.0</v>
      </c>
      <c r="C1242" s="3">
        <v>1152.0</v>
      </c>
      <c r="D1242" s="3">
        <v>47.0</v>
      </c>
      <c r="E1242" s="3">
        <v>23.0</v>
      </c>
      <c r="F1242" s="11">
        <f t="shared" si="1"/>
        <v>0.9930555556</v>
      </c>
      <c r="G1242" s="5">
        <f t="shared" si="2"/>
        <v>7.006944444</v>
      </c>
      <c r="H1242" s="3">
        <v>1242.0</v>
      </c>
      <c r="I1242" s="17"/>
    </row>
    <row r="1243">
      <c r="A1243" s="3">
        <v>8.0</v>
      </c>
      <c r="B1243" s="3">
        <v>1176.0</v>
      </c>
      <c r="C1243" s="3">
        <v>1200.0</v>
      </c>
      <c r="D1243" s="3">
        <v>47.0</v>
      </c>
      <c r="E1243" s="3">
        <v>24.0</v>
      </c>
      <c r="F1243" s="11">
        <f t="shared" si="1"/>
        <v>0.98</v>
      </c>
      <c r="G1243" s="5">
        <f t="shared" si="2"/>
        <v>7.02</v>
      </c>
      <c r="H1243" s="3">
        <v>1243.0</v>
      </c>
      <c r="I1243" s="17"/>
    </row>
    <row r="1244">
      <c r="A1244" s="3">
        <v>8.0</v>
      </c>
      <c r="B1244" s="3">
        <v>1200.0</v>
      </c>
      <c r="C1244" s="3">
        <v>1248.0</v>
      </c>
      <c r="D1244" s="3">
        <v>47.0</v>
      </c>
      <c r="E1244" s="3">
        <v>25.0</v>
      </c>
      <c r="F1244" s="11">
        <f t="shared" si="1"/>
        <v>0.9615384615</v>
      </c>
      <c r="G1244" s="5">
        <f t="shared" si="2"/>
        <v>7.038461538</v>
      </c>
      <c r="H1244" s="3">
        <v>1244.0</v>
      </c>
      <c r="I1244" s="17"/>
    </row>
    <row r="1245">
      <c r="A1245" s="3">
        <v>8.0</v>
      </c>
      <c r="B1245" s="3">
        <v>1220.0</v>
      </c>
      <c r="C1245" s="3">
        <v>1296.0</v>
      </c>
      <c r="D1245" s="3">
        <v>47.0</v>
      </c>
      <c r="E1245" s="3">
        <v>26.0</v>
      </c>
      <c r="F1245" s="11">
        <f t="shared" si="1"/>
        <v>0.9413580247</v>
      </c>
      <c r="G1245" s="5">
        <f t="shared" si="2"/>
        <v>7.058641975</v>
      </c>
      <c r="H1245" s="3">
        <v>1245.0</v>
      </c>
      <c r="I1245" s="17"/>
    </row>
    <row r="1246">
      <c r="A1246" s="3">
        <v>8.0</v>
      </c>
      <c r="B1246" s="3">
        <v>1232.0</v>
      </c>
      <c r="C1246" s="3">
        <v>1344.0</v>
      </c>
      <c r="D1246" s="3">
        <v>47.0</v>
      </c>
      <c r="E1246" s="3">
        <v>27.0</v>
      </c>
      <c r="F1246" s="11">
        <f t="shared" si="1"/>
        <v>0.9166666667</v>
      </c>
      <c r="G1246" s="5">
        <f t="shared" si="2"/>
        <v>7.083333333</v>
      </c>
      <c r="H1246" s="3">
        <v>1246.0</v>
      </c>
      <c r="I1246" s="17"/>
    </row>
    <row r="1247">
      <c r="A1247" s="3">
        <v>8.0</v>
      </c>
      <c r="B1247" s="3">
        <v>1240.0</v>
      </c>
      <c r="C1247" s="3">
        <v>1392.0</v>
      </c>
      <c r="D1247" s="3">
        <v>47.0</v>
      </c>
      <c r="E1247" s="3">
        <v>28.0</v>
      </c>
      <c r="F1247" s="11">
        <f t="shared" si="1"/>
        <v>0.8908045977</v>
      </c>
      <c r="G1247" s="5">
        <f t="shared" si="2"/>
        <v>7.109195402</v>
      </c>
      <c r="H1247" s="3">
        <v>1247.0</v>
      </c>
      <c r="I1247" s="17"/>
    </row>
    <row r="1248">
      <c r="A1248" s="3">
        <v>8.0</v>
      </c>
      <c r="B1248" s="3">
        <v>1244.0</v>
      </c>
      <c r="C1248" s="3">
        <v>1440.0</v>
      </c>
      <c r="D1248" s="3">
        <v>47.0</v>
      </c>
      <c r="E1248" s="3">
        <v>29.0</v>
      </c>
      <c r="F1248" s="11">
        <f t="shared" si="1"/>
        <v>0.8638888889</v>
      </c>
      <c r="G1248" s="5">
        <f t="shared" si="2"/>
        <v>7.136111111</v>
      </c>
      <c r="H1248" s="3">
        <v>1248.0</v>
      </c>
      <c r="I1248" s="17"/>
    </row>
    <row r="1249">
      <c r="A1249" s="3">
        <v>8.0</v>
      </c>
      <c r="B1249" s="3">
        <v>1244.0</v>
      </c>
      <c r="C1249" s="3">
        <v>1488.0</v>
      </c>
      <c r="D1249" s="3">
        <v>47.0</v>
      </c>
      <c r="E1249" s="3">
        <v>30.0</v>
      </c>
      <c r="F1249" s="11">
        <f t="shared" si="1"/>
        <v>0.8360215054</v>
      </c>
      <c r="G1249" s="5">
        <f t="shared" si="2"/>
        <v>7.163978495</v>
      </c>
      <c r="H1249" s="3">
        <v>1249.0</v>
      </c>
      <c r="I1249" s="17"/>
    </row>
    <row r="1250">
      <c r="A1250" s="3">
        <v>8.0</v>
      </c>
      <c r="B1250" s="3">
        <v>1240.0</v>
      </c>
      <c r="C1250" s="3">
        <v>1536.0</v>
      </c>
      <c r="D1250" s="3">
        <v>47.0</v>
      </c>
      <c r="E1250" s="3">
        <v>31.0</v>
      </c>
      <c r="F1250" s="11">
        <f t="shared" si="1"/>
        <v>0.8072916667</v>
      </c>
      <c r="G1250" s="5">
        <f t="shared" si="2"/>
        <v>7.192708333</v>
      </c>
      <c r="H1250" s="3">
        <v>1250.0</v>
      </c>
      <c r="I1250" s="17"/>
    </row>
    <row r="1251">
      <c r="A1251" s="3">
        <v>8.0</v>
      </c>
      <c r="B1251" s="3">
        <v>1232.0</v>
      </c>
      <c r="C1251" s="3">
        <v>1584.0</v>
      </c>
      <c r="D1251" s="3">
        <v>47.0</v>
      </c>
      <c r="E1251" s="3">
        <v>32.0</v>
      </c>
      <c r="F1251" s="11">
        <f t="shared" si="1"/>
        <v>0.7777777778</v>
      </c>
      <c r="G1251" s="5">
        <f t="shared" si="2"/>
        <v>7.222222222</v>
      </c>
      <c r="H1251" s="3">
        <v>1251.0</v>
      </c>
      <c r="I1251" s="17"/>
    </row>
    <row r="1252">
      <c r="A1252" s="3">
        <v>8.0</v>
      </c>
      <c r="B1252" s="3">
        <v>1220.0</v>
      </c>
      <c r="C1252" s="3">
        <v>1632.0</v>
      </c>
      <c r="D1252" s="3">
        <v>47.0</v>
      </c>
      <c r="E1252" s="3">
        <v>33.0</v>
      </c>
      <c r="F1252" s="11">
        <f t="shared" si="1"/>
        <v>0.7475490196</v>
      </c>
      <c r="G1252" s="5">
        <f t="shared" si="2"/>
        <v>7.25245098</v>
      </c>
      <c r="H1252" s="3">
        <v>1252.0</v>
      </c>
      <c r="I1252" s="17"/>
    </row>
    <row r="1253">
      <c r="A1253" s="3">
        <v>8.0</v>
      </c>
      <c r="B1253" s="3">
        <v>1204.0</v>
      </c>
      <c r="C1253" s="3">
        <v>1680.0</v>
      </c>
      <c r="D1253" s="3">
        <v>47.0</v>
      </c>
      <c r="E1253" s="3">
        <v>34.0</v>
      </c>
      <c r="F1253" s="11">
        <f t="shared" si="1"/>
        <v>0.7166666667</v>
      </c>
      <c r="G1253" s="5">
        <f t="shared" si="2"/>
        <v>7.283333333</v>
      </c>
      <c r="H1253" s="3">
        <v>1253.0</v>
      </c>
      <c r="I1253" s="17"/>
    </row>
    <row r="1254">
      <c r="A1254" s="3">
        <v>8.0</v>
      </c>
      <c r="B1254" s="3">
        <v>1184.0</v>
      </c>
      <c r="C1254" s="3">
        <v>1728.0</v>
      </c>
      <c r="D1254" s="3">
        <v>47.0</v>
      </c>
      <c r="E1254" s="3">
        <v>35.0</v>
      </c>
      <c r="F1254" s="11">
        <f t="shared" si="1"/>
        <v>0.6851851852</v>
      </c>
      <c r="G1254" s="5">
        <f t="shared" si="2"/>
        <v>7.314814815</v>
      </c>
      <c r="H1254" s="3">
        <v>1254.0</v>
      </c>
      <c r="I1254" s="17"/>
    </row>
    <row r="1255">
      <c r="A1255" s="3">
        <v>8.0</v>
      </c>
      <c r="B1255" s="3">
        <v>1160.0</v>
      </c>
      <c r="C1255" s="3">
        <v>1776.0</v>
      </c>
      <c r="D1255" s="3">
        <v>47.0</v>
      </c>
      <c r="E1255" s="3">
        <v>36.0</v>
      </c>
      <c r="F1255" s="11">
        <f t="shared" si="1"/>
        <v>0.6531531532</v>
      </c>
      <c r="G1255" s="5">
        <f t="shared" si="2"/>
        <v>7.346846847</v>
      </c>
      <c r="H1255" s="3">
        <v>1255.0</v>
      </c>
      <c r="I1255" s="17"/>
    </row>
    <row r="1256">
      <c r="A1256" s="3">
        <v>8.0</v>
      </c>
      <c r="B1256" s="3">
        <v>1132.0</v>
      </c>
      <c r="C1256" s="3">
        <v>1824.0</v>
      </c>
      <c r="D1256" s="3">
        <v>47.0</v>
      </c>
      <c r="E1256" s="3">
        <v>37.0</v>
      </c>
      <c r="F1256" s="11">
        <f t="shared" si="1"/>
        <v>0.6206140351</v>
      </c>
      <c r="G1256" s="5">
        <f t="shared" si="2"/>
        <v>7.379385965</v>
      </c>
      <c r="H1256" s="3">
        <v>1256.0</v>
      </c>
      <c r="I1256" s="17"/>
    </row>
    <row r="1257">
      <c r="A1257" s="3">
        <v>8.0</v>
      </c>
      <c r="B1257" s="3">
        <v>1100.0</v>
      </c>
      <c r="C1257" s="3">
        <v>1872.0</v>
      </c>
      <c r="D1257" s="3">
        <v>47.0</v>
      </c>
      <c r="E1257" s="3">
        <v>38.0</v>
      </c>
      <c r="F1257" s="11">
        <f t="shared" si="1"/>
        <v>0.5876068376</v>
      </c>
      <c r="G1257" s="5">
        <f t="shared" si="2"/>
        <v>7.412393162</v>
      </c>
      <c r="H1257" s="3">
        <v>1257.0</v>
      </c>
      <c r="I1257" s="17"/>
    </row>
    <row r="1258">
      <c r="A1258" s="3">
        <v>8.0</v>
      </c>
      <c r="B1258" s="3">
        <v>1064.0</v>
      </c>
      <c r="C1258" s="3">
        <v>1920.0</v>
      </c>
      <c r="D1258" s="3">
        <v>47.0</v>
      </c>
      <c r="E1258" s="3">
        <v>39.0</v>
      </c>
      <c r="F1258" s="11">
        <f t="shared" si="1"/>
        <v>0.5541666667</v>
      </c>
      <c r="G1258" s="5">
        <f t="shared" si="2"/>
        <v>7.445833333</v>
      </c>
      <c r="H1258" s="3">
        <v>1258.0</v>
      </c>
      <c r="I1258" s="17"/>
    </row>
    <row r="1259">
      <c r="A1259" s="3">
        <v>8.0</v>
      </c>
      <c r="B1259" s="3">
        <v>1028.0</v>
      </c>
      <c r="C1259" s="3">
        <v>1968.0</v>
      </c>
      <c r="D1259" s="3">
        <v>47.0</v>
      </c>
      <c r="E1259" s="3">
        <v>40.0</v>
      </c>
      <c r="F1259" s="11">
        <f t="shared" si="1"/>
        <v>0.5223577236</v>
      </c>
      <c r="G1259" s="5">
        <f t="shared" si="2"/>
        <v>7.477642276</v>
      </c>
      <c r="H1259" s="3">
        <v>1259.0</v>
      </c>
      <c r="I1259" s="17"/>
    </row>
    <row r="1260">
      <c r="A1260" s="3">
        <v>8.0</v>
      </c>
      <c r="B1260" s="3">
        <v>988.0</v>
      </c>
      <c r="C1260" s="3">
        <v>2016.0</v>
      </c>
      <c r="D1260" s="3">
        <v>47.0</v>
      </c>
      <c r="E1260" s="3">
        <v>41.0</v>
      </c>
      <c r="F1260" s="11">
        <f t="shared" si="1"/>
        <v>0.4900793651</v>
      </c>
      <c r="G1260" s="5">
        <f t="shared" si="2"/>
        <v>7.509920635</v>
      </c>
      <c r="H1260" s="3">
        <v>1260.0</v>
      </c>
      <c r="I1260" s="17"/>
    </row>
    <row r="1261">
      <c r="A1261" s="3">
        <v>8.0</v>
      </c>
      <c r="B1261" s="3">
        <v>944.0</v>
      </c>
      <c r="C1261" s="3">
        <v>2064.0</v>
      </c>
      <c r="D1261" s="3">
        <v>47.0</v>
      </c>
      <c r="E1261" s="3">
        <v>42.0</v>
      </c>
      <c r="F1261" s="11">
        <f t="shared" si="1"/>
        <v>0.4573643411</v>
      </c>
      <c r="G1261" s="5">
        <f t="shared" si="2"/>
        <v>7.542635659</v>
      </c>
      <c r="H1261" s="3">
        <v>1261.0</v>
      </c>
      <c r="I1261" s="17"/>
    </row>
    <row r="1262">
      <c r="A1262" s="3">
        <v>8.0</v>
      </c>
      <c r="B1262" s="3">
        <v>900.0</v>
      </c>
      <c r="C1262" s="3">
        <v>2112.0</v>
      </c>
      <c r="D1262" s="3">
        <v>47.0</v>
      </c>
      <c r="E1262" s="3">
        <v>43.0</v>
      </c>
      <c r="F1262" s="11">
        <f t="shared" si="1"/>
        <v>0.4261363636</v>
      </c>
      <c r="G1262" s="5">
        <f t="shared" si="2"/>
        <v>7.573863636</v>
      </c>
      <c r="H1262" s="3">
        <v>1262.0</v>
      </c>
      <c r="I1262" s="17"/>
    </row>
    <row r="1263">
      <c r="A1263" s="3">
        <v>8.0</v>
      </c>
      <c r="B1263" s="3">
        <v>852.0</v>
      </c>
      <c r="C1263" s="3">
        <v>2160.0</v>
      </c>
      <c r="D1263" s="3">
        <v>47.0</v>
      </c>
      <c r="E1263" s="3">
        <v>44.0</v>
      </c>
      <c r="F1263" s="11">
        <f t="shared" si="1"/>
        <v>0.3944444444</v>
      </c>
      <c r="G1263" s="5">
        <f t="shared" si="2"/>
        <v>7.605555556</v>
      </c>
      <c r="H1263" s="3">
        <v>1263.0</v>
      </c>
      <c r="I1263" s="17"/>
    </row>
    <row r="1264">
      <c r="A1264" s="3">
        <v>8.0</v>
      </c>
      <c r="B1264" s="3">
        <v>804.0</v>
      </c>
      <c r="C1264" s="3">
        <v>2208.0</v>
      </c>
      <c r="D1264" s="3">
        <v>47.0</v>
      </c>
      <c r="E1264" s="3">
        <v>45.0</v>
      </c>
      <c r="F1264" s="11">
        <f t="shared" si="1"/>
        <v>0.3641304348</v>
      </c>
      <c r="G1264" s="5">
        <f t="shared" si="2"/>
        <v>7.635869565</v>
      </c>
      <c r="H1264" s="3">
        <v>1264.0</v>
      </c>
      <c r="I1264" s="17"/>
    </row>
    <row r="1265">
      <c r="A1265" s="3">
        <v>8.0</v>
      </c>
      <c r="B1265" s="3">
        <v>760.0</v>
      </c>
      <c r="C1265" s="3">
        <v>2256.0</v>
      </c>
      <c r="D1265" s="3">
        <v>47.0</v>
      </c>
      <c r="E1265" s="3">
        <v>46.0</v>
      </c>
      <c r="F1265" s="11">
        <f t="shared" si="1"/>
        <v>0.3368794326</v>
      </c>
      <c r="G1265" s="5">
        <f t="shared" si="2"/>
        <v>7.663120567</v>
      </c>
      <c r="H1265" s="3">
        <v>1265.0</v>
      </c>
      <c r="I1265" s="17"/>
    </row>
    <row r="1266">
      <c r="A1266" s="3">
        <v>8.0</v>
      </c>
      <c r="B1266" s="3">
        <v>716.0</v>
      </c>
      <c r="C1266" s="3">
        <v>2304.0</v>
      </c>
      <c r="D1266" s="3">
        <v>47.0</v>
      </c>
      <c r="E1266" s="3">
        <v>47.0</v>
      </c>
      <c r="F1266" s="11">
        <f t="shared" si="1"/>
        <v>0.3107638889</v>
      </c>
      <c r="G1266" s="5">
        <f t="shared" si="2"/>
        <v>7.689236111</v>
      </c>
      <c r="H1266" s="3">
        <v>1266.0</v>
      </c>
      <c r="I1266" s="17"/>
    </row>
    <row r="1267">
      <c r="A1267" s="3">
        <v>8.0</v>
      </c>
      <c r="B1267" s="3">
        <v>1123.0</v>
      </c>
      <c r="C1267" s="3">
        <v>1127.0</v>
      </c>
      <c r="D1267" s="3">
        <v>48.0</v>
      </c>
      <c r="E1267" s="3">
        <v>22.0</v>
      </c>
      <c r="F1267" s="11">
        <f t="shared" si="1"/>
        <v>0.9964507542</v>
      </c>
      <c r="G1267" s="5">
        <f t="shared" si="2"/>
        <v>7.003549246</v>
      </c>
      <c r="H1267" s="3">
        <v>1267.0</v>
      </c>
      <c r="I1267" s="17"/>
    </row>
    <row r="1268">
      <c r="A1268" s="3">
        <v>8.0</v>
      </c>
      <c r="B1268" s="3">
        <v>1160.0</v>
      </c>
      <c r="C1268" s="3">
        <v>1176.0</v>
      </c>
      <c r="D1268" s="3">
        <v>48.0</v>
      </c>
      <c r="E1268" s="3">
        <v>23.0</v>
      </c>
      <c r="F1268" s="11">
        <f t="shared" si="1"/>
        <v>0.9863945578</v>
      </c>
      <c r="G1268" s="5">
        <f t="shared" si="2"/>
        <v>7.013605442</v>
      </c>
      <c r="H1268" s="3">
        <v>1268.0</v>
      </c>
      <c r="I1268" s="17"/>
    </row>
    <row r="1269">
      <c r="A1269" s="3">
        <v>8.0</v>
      </c>
      <c r="B1269" s="3">
        <v>1189.0</v>
      </c>
      <c r="C1269" s="3">
        <v>1225.0</v>
      </c>
      <c r="D1269" s="3">
        <v>48.0</v>
      </c>
      <c r="E1269" s="3">
        <v>24.0</v>
      </c>
      <c r="F1269" s="11">
        <f t="shared" si="1"/>
        <v>0.9706122449</v>
      </c>
      <c r="G1269" s="5">
        <f t="shared" si="2"/>
        <v>7.029387755</v>
      </c>
      <c r="H1269" s="3">
        <v>1269.0</v>
      </c>
      <c r="I1269" s="17"/>
    </row>
    <row r="1270">
      <c r="A1270" s="3">
        <v>8.0</v>
      </c>
      <c r="B1270" s="3">
        <v>1210.0</v>
      </c>
      <c r="C1270" s="3">
        <v>1274.0</v>
      </c>
      <c r="D1270" s="3">
        <v>48.0</v>
      </c>
      <c r="E1270" s="3">
        <v>25.0</v>
      </c>
      <c r="F1270" s="11">
        <f t="shared" si="1"/>
        <v>0.9497645212</v>
      </c>
      <c r="G1270" s="5">
        <f t="shared" si="2"/>
        <v>7.050235479</v>
      </c>
      <c r="H1270" s="3">
        <v>1270.0</v>
      </c>
      <c r="I1270" s="17"/>
    </row>
    <row r="1271">
      <c r="A1271" s="3">
        <v>8.0</v>
      </c>
      <c r="B1271" s="3">
        <v>1227.0</v>
      </c>
      <c r="C1271" s="3">
        <v>1323.0</v>
      </c>
      <c r="D1271" s="3">
        <v>48.0</v>
      </c>
      <c r="E1271" s="3">
        <v>26.0</v>
      </c>
      <c r="F1271" s="11">
        <f t="shared" si="1"/>
        <v>0.9274376417</v>
      </c>
      <c r="G1271" s="5">
        <f t="shared" si="2"/>
        <v>7.072562358</v>
      </c>
      <c r="H1271" s="3">
        <v>1271.0</v>
      </c>
      <c r="I1271" s="17"/>
    </row>
    <row r="1272">
      <c r="A1272" s="3">
        <v>8.0</v>
      </c>
      <c r="B1272" s="3">
        <v>1236.0</v>
      </c>
      <c r="C1272" s="3">
        <v>1372.0</v>
      </c>
      <c r="D1272" s="3">
        <v>48.0</v>
      </c>
      <c r="E1272" s="3">
        <v>27.0</v>
      </c>
      <c r="F1272" s="11">
        <f t="shared" si="1"/>
        <v>0.9008746356</v>
      </c>
      <c r="G1272" s="5">
        <f t="shared" si="2"/>
        <v>7.099125364</v>
      </c>
      <c r="H1272" s="3">
        <v>1272.0</v>
      </c>
      <c r="I1272" s="17"/>
    </row>
    <row r="1273">
      <c r="A1273" s="3">
        <v>8.0</v>
      </c>
      <c r="B1273" s="3">
        <v>1241.0</v>
      </c>
      <c r="C1273" s="3">
        <v>1421.0</v>
      </c>
      <c r="D1273" s="3">
        <v>48.0</v>
      </c>
      <c r="E1273" s="3">
        <v>28.0</v>
      </c>
      <c r="F1273" s="11">
        <f t="shared" si="1"/>
        <v>0.8733286418</v>
      </c>
      <c r="G1273" s="5">
        <f t="shared" si="2"/>
        <v>7.126671358</v>
      </c>
      <c r="H1273" s="3">
        <v>1273.0</v>
      </c>
      <c r="I1273" s="17"/>
    </row>
    <row r="1274">
      <c r="A1274" s="3">
        <v>8.0</v>
      </c>
      <c r="B1274" s="3">
        <v>1242.0</v>
      </c>
      <c r="C1274" s="3">
        <v>1470.0</v>
      </c>
      <c r="D1274" s="3">
        <v>48.0</v>
      </c>
      <c r="E1274" s="3">
        <v>29.0</v>
      </c>
      <c r="F1274" s="11">
        <f t="shared" si="1"/>
        <v>0.8448979592</v>
      </c>
      <c r="G1274" s="5">
        <f t="shared" si="2"/>
        <v>7.155102041</v>
      </c>
      <c r="H1274" s="3">
        <v>1274.0</v>
      </c>
      <c r="I1274" s="17"/>
    </row>
    <row r="1275">
      <c r="A1275" s="3">
        <v>8.0</v>
      </c>
      <c r="B1275" s="3">
        <v>1239.0</v>
      </c>
      <c r="C1275" s="3">
        <v>1519.0</v>
      </c>
      <c r="D1275" s="3">
        <v>48.0</v>
      </c>
      <c r="E1275" s="3">
        <v>30.0</v>
      </c>
      <c r="F1275" s="11">
        <f t="shared" si="1"/>
        <v>0.8156682028</v>
      </c>
      <c r="G1275" s="5">
        <f t="shared" si="2"/>
        <v>7.184331797</v>
      </c>
      <c r="H1275" s="3">
        <v>1275.0</v>
      </c>
      <c r="I1275" s="17"/>
    </row>
    <row r="1276">
      <c r="A1276" s="3">
        <v>8.0</v>
      </c>
      <c r="B1276" s="3">
        <v>1232.0</v>
      </c>
      <c r="C1276" s="3">
        <v>1568.0</v>
      </c>
      <c r="D1276" s="3">
        <v>48.0</v>
      </c>
      <c r="E1276" s="3">
        <v>31.0</v>
      </c>
      <c r="F1276" s="11">
        <f t="shared" si="1"/>
        <v>0.7857142857</v>
      </c>
      <c r="G1276" s="5">
        <f t="shared" si="2"/>
        <v>7.214285714</v>
      </c>
      <c r="H1276" s="3">
        <v>1276.0</v>
      </c>
      <c r="I1276" s="17"/>
    </row>
    <row r="1277">
      <c r="A1277" s="3">
        <v>8.0</v>
      </c>
      <c r="B1277" s="3">
        <v>1221.0</v>
      </c>
      <c r="C1277" s="3">
        <v>1617.0</v>
      </c>
      <c r="D1277" s="3">
        <v>48.0</v>
      </c>
      <c r="E1277" s="3">
        <v>32.0</v>
      </c>
      <c r="F1277" s="11">
        <f t="shared" si="1"/>
        <v>0.7551020408</v>
      </c>
      <c r="G1277" s="5">
        <f t="shared" si="2"/>
        <v>7.244897959</v>
      </c>
      <c r="H1277" s="3">
        <v>1277.0</v>
      </c>
      <c r="I1277" s="17"/>
    </row>
    <row r="1278">
      <c r="A1278" s="3">
        <v>8.0</v>
      </c>
      <c r="B1278" s="3">
        <v>1206.0</v>
      </c>
      <c r="C1278" s="3">
        <v>1666.0</v>
      </c>
      <c r="D1278" s="3">
        <v>48.0</v>
      </c>
      <c r="E1278" s="3">
        <v>33.0</v>
      </c>
      <c r="F1278" s="11">
        <f t="shared" si="1"/>
        <v>0.7238895558</v>
      </c>
      <c r="G1278" s="5">
        <f t="shared" si="2"/>
        <v>7.276110444</v>
      </c>
      <c r="H1278" s="3">
        <v>1278.0</v>
      </c>
      <c r="I1278" s="17"/>
    </row>
    <row r="1279">
      <c r="A1279" s="3">
        <v>8.0</v>
      </c>
      <c r="B1279" s="3">
        <v>1187.0</v>
      </c>
      <c r="C1279" s="3">
        <v>1715.0</v>
      </c>
      <c r="D1279" s="3">
        <v>48.0</v>
      </c>
      <c r="E1279" s="3">
        <v>34.0</v>
      </c>
      <c r="F1279" s="11">
        <f t="shared" si="1"/>
        <v>0.6921282799</v>
      </c>
      <c r="G1279" s="5">
        <f t="shared" si="2"/>
        <v>7.30787172</v>
      </c>
      <c r="H1279" s="3">
        <v>1279.0</v>
      </c>
      <c r="I1279" s="17"/>
    </row>
    <row r="1280">
      <c r="A1280" s="3">
        <v>8.0</v>
      </c>
      <c r="B1280" s="3">
        <v>1164.0</v>
      </c>
      <c r="C1280" s="3">
        <v>1764.0</v>
      </c>
      <c r="D1280" s="3">
        <v>48.0</v>
      </c>
      <c r="E1280" s="3">
        <v>35.0</v>
      </c>
      <c r="F1280" s="11">
        <f t="shared" si="1"/>
        <v>0.6598639456</v>
      </c>
      <c r="G1280" s="5">
        <f t="shared" si="2"/>
        <v>7.340136054</v>
      </c>
      <c r="H1280" s="3">
        <v>1280.0</v>
      </c>
      <c r="I1280" s="17"/>
    </row>
    <row r="1281">
      <c r="A1281" s="3">
        <v>8.0</v>
      </c>
      <c r="B1281" s="3">
        <v>1137.0</v>
      </c>
      <c r="C1281" s="3">
        <v>1813.0</v>
      </c>
      <c r="D1281" s="3">
        <v>48.0</v>
      </c>
      <c r="E1281" s="3">
        <v>36.0</v>
      </c>
      <c r="F1281" s="11">
        <f t="shared" si="1"/>
        <v>0.6271373414</v>
      </c>
      <c r="G1281" s="5">
        <f t="shared" si="2"/>
        <v>7.372862659</v>
      </c>
      <c r="H1281" s="3">
        <v>1281.0</v>
      </c>
      <c r="I1281" s="17"/>
    </row>
    <row r="1282">
      <c r="A1282" s="3">
        <v>8.0</v>
      </c>
      <c r="B1282" s="3">
        <v>1106.0</v>
      </c>
      <c r="C1282" s="3">
        <v>1862.0</v>
      </c>
      <c r="D1282" s="3">
        <v>48.0</v>
      </c>
      <c r="E1282" s="3">
        <v>37.0</v>
      </c>
      <c r="F1282" s="11">
        <f t="shared" si="1"/>
        <v>0.5939849624</v>
      </c>
      <c r="G1282" s="5">
        <f t="shared" si="2"/>
        <v>7.406015038</v>
      </c>
      <c r="H1282" s="3">
        <v>1282.0</v>
      </c>
      <c r="I1282" s="17"/>
    </row>
    <row r="1283">
      <c r="A1283" s="3">
        <v>8.0</v>
      </c>
      <c r="B1283" s="3">
        <v>1071.0</v>
      </c>
      <c r="C1283" s="3">
        <v>1911.0</v>
      </c>
      <c r="D1283" s="3">
        <v>48.0</v>
      </c>
      <c r="E1283" s="3">
        <v>38.0</v>
      </c>
      <c r="F1283" s="11">
        <f t="shared" si="1"/>
        <v>0.5604395604</v>
      </c>
      <c r="G1283" s="5">
        <f t="shared" si="2"/>
        <v>7.43956044</v>
      </c>
      <c r="H1283" s="3">
        <v>1283.0</v>
      </c>
      <c r="I1283" s="17"/>
    </row>
    <row r="1284">
      <c r="A1284" s="3">
        <v>8.0</v>
      </c>
      <c r="B1284" s="3">
        <v>1032.0</v>
      </c>
      <c r="C1284" s="3">
        <v>1960.0</v>
      </c>
      <c r="D1284" s="3">
        <v>48.0</v>
      </c>
      <c r="E1284" s="3">
        <v>39.0</v>
      </c>
      <c r="F1284" s="11">
        <f t="shared" si="1"/>
        <v>0.5265306122</v>
      </c>
      <c r="G1284" s="5">
        <f t="shared" si="2"/>
        <v>7.473469388</v>
      </c>
      <c r="H1284" s="3">
        <v>1284.0</v>
      </c>
      <c r="I1284" s="17"/>
    </row>
    <row r="1285">
      <c r="A1285" s="3">
        <v>8.0</v>
      </c>
      <c r="B1285" s="3">
        <v>993.0</v>
      </c>
      <c r="C1285" s="3">
        <v>2009.0</v>
      </c>
      <c r="D1285" s="3">
        <v>48.0</v>
      </c>
      <c r="E1285" s="3">
        <v>40.0</v>
      </c>
      <c r="F1285" s="11">
        <f t="shared" si="1"/>
        <v>0.4942757591</v>
      </c>
      <c r="G1285" s="5">
        <f t="shared" si="2"/>
        <v>7.505724241</v>
      </c>
      <c r="H1285" s="3">
        <v>1285.0</v>
      </c>
      <c r="I1285" s="17"/>
    </row>
    <row r="1286">
      <c r="A1286" s="3">
        <v>8.0</v>
      </c>
      <c r="B1286" s="3">
        <v>950.0</v>
      </c>
      <c r="C1286" s="3">
        <v>2058.0</v>
      </c>
      <c r="D1286" s="3">
        <v>48.0</v>
      </c>
      <c r="E1286" s="3">
        <v>41.0</v>
      </c>
      <c r="F1286" s="11">
        <f t="shared" si="1"/>
        <v>0.4616132167</v>
      </c>
      <c r="G1286" s="5">
        <f t="shared" si="2"/>
        <v>7.538386783</v>
      </c>
      <c r="H1286" s="3">
        <v>1286.0</v>
      </c>
      <c r="I1286" s="17"/>
    </row>
    <row r="1287">
      <c r="A1287" s="3">
        <v>8.0</v>
      </c>
      <c r="B1287" s="3">
        <v>903.0</v>
      </c>
      <c r="C1287" s="3">
        <v>2107.0</v>
      </c>
      <c r="D1287" s="3">
        <v>48.0</v>
      </c>
      <c r="E1287" s="3">
        <v>42.0</v>
      </c>
      <c r="F1287" s="11">
        <f t="shared" si="1"/>
        <v>0.4285714286</v>
      </c>
      <c r="G1287" s="5">
        <f t="shared" si="2"/>
        <v>7.571428571</v>
      </c>
      <c r="H1287" s="3">
        <v>1287.0</v>
      </c>
      <c r="I1287" s="17"/>
    </row>
    <row r="1288">
      <c r="A1288" s="3">
        <v>8.0</v>
      </c>
      <c r="B1288" s="3">
        <v>856.0</v>
      </c>
      <c r="C1288" s="3">
        <v>2156.0</v>
      </c>
      <c r="D1288" s="3">
        <v>48.0</v>
      </c>
      <c r="E1288" s="3">
        <v>43.0</v>
      </c>
      <c r="F1288" s="11">
        <f t="shared" si="1"/>
        <v>0.3970315399</v>
      </c>
      <c r="G1288" s="5">
        <f t="shared" si="2"/>
        <v>7.60296846</v>
      </c>
      <c r="H1288" s="3">
        <v>1288.0</v>
      </c>
      <c r="I1288" s="17"/>
    </row>
    <row r="1289">
      <c r="A1289" s="3">
        <v>8.0</v>
      </c>
      <c r="B1289" s="3">
        <v>809.0</v>
      </c>
      <c r="C1289" s="3">
        <v>2205.0</v>
      </c>
      <c r="D1289" s="3">
        <v>48.0</v>
      </c>
      <c r="E1289" s="3">
        <v>44.0</v>
      </c>
      <c r="F1289" s="11">
        <f t="shared" si="1"/>
        <v>0.366893424</v>
      </c>
      <c r="G1289" s="5">
        <f t="shared" si="2"/>
        <v>7.633106576</v>
      </c>
      <c r="H1289" s="3">
        <v>1289.0</v>
      </c>
      <c r="I1289" s="17"/>
    </row>
    <row r="1290">
      <c r="A1290" s="3">
        <v>8.0</v>
      </c>
      <c r="B1290" s="3">
        <v>762.0</v>
      </c>
      <c r="C1290" s="3">
        <v>2254.0</v>
      </c>
      <c r="D1290" s="3">
        <v>48.0</v>
      </c>
      <c r="E1290" s="3">
        <v>45.0</v>
      </c>
      <c r="F1290" s="11">
        <f t="shared" si="1"/>
        <v>0.338065661</v>
      </c>
      <c r="G1290" s="5">
        <f t="shared" si="2"/>
        <v>7.661934339</v>
      </c>
      <c r="H1290" s="3">
        <v>1290.0</v>
      </c>
      <c r="I1290" s="17"/>
    </row>
    <row r="1291">
      <c r="A1291" s="3">
        <v>8.0</v>
      </c>
      <c r="B1291" s="3">
        <v>719.0</v>
      </c>
      <c r="C1291" s="3">
        <v>2303.0</v>
      </c>
      <c r="D1291" s="3">
        <v>48.0</v>
      </c>
      <c r="E1291" s="3">
        <v>46.0</v>
      </c>
      <c r="F1291" s="11">
        <f t="shared" si="1"/>
        <v>0.3122014763</v>
      </c>
      <c r="G1291" s="5">
        <f t="shared" si="2"/>
        <v>7.687798524</v>
      </c>
      <c r="H1291" s="3">
        <v>1291.0</v>
      </c>
      <c r="I1291" s="17"/>
    </row>
    <row r="1292">
      <c r="A1292" s="3">
        <v>8.0</v>
      </c>
      <c r="B1292" s="3">
        <v>676.0</v>
      </c>
      <c r="C1292" s="3">
        <v>2352.0</v>
      </c>
      <c r="D1292" s="3">
        <v>48.0</v>
      </c>
      <c r="E1292" s="3">
        <v>47.0</v>
      </c>
      <c r="F1292" s="11">
        <f t="shared" si="1"/>
        <v>0.287414966</v>
      </c>
      <c r="G1292" s="5">
        <f t="shared" si="2"/>
        <v>7.712585034</v>
      </c>
      <c r="H1292" s="3">
        <v>1292.0</v>
      </c>
      <c r="I1292" s="17"/>
    </row>
    <row r="1293">
      <c r="A1293" s="3">
        <v>8.0</v>
      </c>
      <c r="B1293" s="3">
        <v>637.0</v>
      </c>
      <c r="C1293" s="3">
        <v>2401.0</v>
      </c>
      <c r="D1293" s="3">
        <v>48.0</v>
      </c>
      <c r="E1293" s="3">
        <v>48.0</v>
      </c>
      <c r="F1293" s="11">
        <f t="shared" si="1"/>
        <v>0.2653061224</v>
      </c>
      <c r="G1293" s="5">
        <f t="shared" si="2"/>
        <v>7.734693878</v>
      </c>
      <c r="H1293" s="3">
        <v>1293.0</v>
      </c>
      <c r="I1293" s="17"/>
    </row>
    <row r="1294">
      <c r="A1294" s="3">
        <v>8.0</v>
      </c>
      <c r="B1294" s="3">
        <v>1142.0</v>
      </c>
      <c r="C1294" s="3">
        <v>1150.0</v>
      </c>
      <c r="D1294" s="3">
        <v>49.0</v>
      </c>
      <c r="E1294" s="3">
        <v>22.0</v>
      </c>
      <c r="F1294" s="11">
        <f t="shared" si="1"/>
        <v>0.9930434783</v>
      </c>
      <c r="G1294" s="5">
        <f t="shared" si="2"/>
        <v>7.006956522</v>
      </c>
      <c r="H1294" s="3">
        <v>1294.0</v>
      </c>
      <c r="I1294" s="17"/>
    </row>
    <row r="1295">
      <c r="A1295" s="3">
        <v>8.0</v>
      </c>
      <c r="B1295" s="3">
        <v>1176.0</v>
      </c>
      <c r="C1295" s="3">
        <v>1200.0</v>
      </c>
      <c r="D1295" s="3">
        <v>49.0</v>
      </c>
      <c r="E1295" s="3">
        <v>23.0</v>
      </c>
      <c r="F1295" s="11">
        <f t="shared" si="1"/>
        <v>0.98</v>
      </c>
      <c r="G1295" s="5">
        <f t="shared" si="2"/>
        <v>7.02</v>
      </c>
      <c r="H1295" s="3">
        <v>1295.0</v>
      </c>
      <c r="I1295" s="17"/>
    </row>
    <row r="1296">
      <c r="A1296" s="3">
        <v>8.0</v>
      </c>
      <c r="B1296" s="3">
        <v>1202.0</v>
      </c>
      <c r="C1296" s="3">
        <v>1250.0</v>
      </c>
      <c r="D1296" s="3">
        <v>49.0</v>
      </c>
      <c r="E1296" s="3">
        <v>24.0</v>
      </c>
      <c r="F1296" s="11">
        <f t="shared" si="1"/>
        <v>0.9616</v>
      </c>
      <c r="G1296" s="5">
        <f t="shared" si="2"/>
        <v>7.0384</v>
      </c>
      <c r="H1296" s="3">
        <v>1296.0</v>
      </c>
      <c r="I1296" s="17"/>
    </row>
    <row r="1297">
      <c r="A1297" s="3">
        <v>8.0</v>
      </c>
      <c r="B1297" s="3">
        <v>1220.0</v>
      </c>
      <c r="C1297" s="3">
        <v>1300.0</v>
      </c>
      <c r="D1297" s="3">
        <v>49.0</v>
      </c>
      <c r="E1297" s="3">
        <v>25.0</v>
      </c>
      <c r="F1297" s="11">
        <f t="shared" si="1"/>
        <v>0.9384615385</v>
      </c>
      <c r="G1297" s="5">
        <f t="shared" si="2"/>
        <v>7.061538462</v>
      </c>
      <c r="H1297" s="3">
        <v>1297.0</v>
      </c>
      <c r="I1297" s="17"/>
    </row>
    <row r="1298">
      <c r="A1298" s="3">
        <v>8.0</v>
      </c>
      <c r="B1298" s="3">
        <v>1234.0</v>
      </c>
      <c r="C1298" s="3">
        <v>1350.0</v>
      </c>
      <c r="D1298" s="3">
        <v>49.0</v>
      </c>
      <c r="E1298" s="3">
        <v>26.0</v>
      </c>
      <c r="F1298" s="11">
        <f t="shared" si="1"/>
        <v>0.9140740741</v>
      </c>
      <c r="G1298" s="5">
        <f t="shared" si="2"/>
        <v>7.085925926</v>
      </c>
      <c r="H1298" s="3">
        <v>1298.0</v>
      </c>
      <c r="I1298" s="17"/>
    </row>
    <row r="1299">
      <c r="A1299" s="3">
        <v>8.0</v>
      </c>
      <c r="B1299" s="3">
        <v>1240.0</v>
      </c>
      <c r="C1299" s="3">
        <v>1400.0</v>
      </c>
      <c r="D1299" s="3">
        <v>49.0</v>
      </c>
      <c r="E1299" s="3">
        <v>27.0</v>
      </c>
      <c r="F1299" s="11">
        <f t="shared" si="1"/>
        <v>0.8857142857</v>
      </c>
      <c r="G1299" s="5">
        <f t="shared" si="2"/>
        <v>7.114285714</v>
      </c>
      <c r="H1299" s="3">
        <v>1299.0</v>
      </c>
      <c r="I1299" s="17"/>
    </row>
    <row r="1300">
      <c r="A1300" s="3">
        <v>8.0</v>
      </c>
      <c r="B1300" s="3">
        <v>1242.0</v>
      </c>
      <c r="C1300" s="3">
        <v>1450.0</v>
      </c>
      <c r="D1300" s="3">
        <v>49.0</v>
      </c>
      <c r="E1300" s="3">
        <v>28.0</v>
      </c>
      <c r="F1300" s="11">
        <f t="shared" si="1"/>
        <v>0.8565517241</v>
      </c>
      <c r="G1300" s="5">
        <f t="shared" si="2"/>
        <v>7.143448276</v>
      </c>
      <c r="H1300" s="3">
        <v>1300.0</v>
      </c>
      <c r="I1300" s="17"/>
    </row>
    <row r="1301">
      <c r="A1301" s="3">
        <v>8.0</v>
      </c>
      <c r="B1301" s="3">
        <v>1240.0</v>
      </c>
      <c r="C1301" s="3">
        <v>1500.0</v>
      </c>
      <c r="D1301" s="3">
        <v>49.0</v>
      </c>
      <c r="E1301" s="3">
        <v>29.0</v>
      </c>
      <c r="F1301" s="11">
        <f t="shared" si="1"/>
        <v>0.8266666667</v>
      </c>
      <c r="G1301" s="5">
        <f t="shared" si="2"/>
        <v>7.173333333</v>
      </c>
      <c r="H1301" s="3">
        <v>1301.0</v>
      </c>
      <c r="I1301" s="17"/>
    </row>
    <row r="1302">
      <c r="A1302" s="3">
        <v>8.0</v>
      </c>
      <c r="B1302" s="3">
        <v>1234.0</v>
      </c>
      <c r="C1302" s="3">
        <v>1550.0</v>
      </c>
      <c r="D1302" s="3">
        <v>49.0</v>
      </c>
      <c r="E1302" s="3">
        <v>30.0</v>
      </c>
      <c r="F1302" s="11">
        <f t="shared" si="1"/>
        <v>0.7961290323</v>
      </c>
      <c r="G1302" s="5">
        <f t="shared" si="2"/>
        <v>7.203870968</v>
      </c>
      <c r="H1302" s="3">
        <v>1302.0</v>
      </c>
      <c r="I1302" s="17"/>
    </row>
    <row r="1303">
      <c r="A1303" s="3">
        <v>8.0</v>
      </c>
      <c r="B1303" s="3">
        <v>1224.0</v>
      </c>
      <c r="C1303" s="3">
        <v>1600.0</v>
      </c>
      <c r="D1303" s="3">
        <v>49.0</v>
      </c>
      <c r="E1303" s="3">
        <v>31.0</v>
      </c>
      <c r="F1303" s="11">
        <f t="shared" si="1"/>
        <v>0.765</v>
      </c>
      <c r="G1303" s="5">
        <f t="shared" si="2"/>
        <v>7.235</v>
      </c>
      <c r="H1303" s="3">
        <v>1303.0</v>
      </c>
      <c r="I1303" s="17"/>
    </row>
    <row r="1304">
      <c r="A1304" s="3">
        <v>8.0</v>
      </c>
      <c r="B1304" s="3">
        <v>1210.0</v>
      </c>
      <c r="C1304" s="3">
        <v>1650.0</v>
      </c>
      <c r="D1304" s="3">
        <v>49.0</v>
      </c>
      <c r="E1304" s="3">
        <v>32.0</v>
      </c>
      <c r="F1304" s="11">
        <f t="shared" si="1"/>
        <v>0.7333333333</v>
      </c>
      <c r="G1304" s="5">
        <f t="shared" si="2"/>
        <v>7.266666667</v>
      </c>
      <c r="H1304" s="3">
        <v>1304.0</v>
      </c>
      <c r="I1304" s="17"/>
    </row>
    <row r="1305">
      <c r="A1305" s="3">
        <v>8.0</v>
      </c>
      <c r="B1305" s="3">
        <v>1192.0</v>
      </c>
      <c r="C1305" s="3">
        <v>1700.0</v>
      </c>
      <c r="D1305" s="3">
        <v>49.0</v>
      </c>
      <c r="E1305" s="3">
        <v>33.0</v>
      </c>
      <c r="F1305" s="11">
        <f t="shared" si="1"/>
        <v>0.7011764706</v>
      </c>
      <c r="G1305" s="5">
        <f t="shared" si="2"/>
        <v>7.298823529</v>
      </c>
      <c r="H1305" s="3">
        <v>1305.0</v>
      </c>
      <c r="I1305" s="17"/>
    </row>
    <row r="1306">
      <c r="A1306" s="3">
        <v>8.0</v>
      </c>
      <c r="B1306" s="3">
        <v>1170.0</v>
      </c>
      <c r="C1306" s="3">
        <v>1750.0</v>
      </c>
      <c r="D1306" s="3">
        <v>49.0</v>
      </c>
      <c r="E1306" s="3">
        <v>34.0</v>
      </c>
      <c r="F1306" s="11">
        <f t="shared" si="1"/>
        <v>0.6685714286</v>
      </c>
      <c r="G1306" s="5">
        <f t="shared" si="2"/>
        <v>7.331428571</v>
      </c>
      <c r="H1306" s="3">
        <v>1306.0</v>
      </c>
      <c r="I1306" s="17"/>
    </row>
    <row r="1307">
      <c r="A1307" s="3">
        <v>8.0</v>
      </c>
      <c r="B1307" s="3">
        <v>1144.0</v>
      </c>
      <c r="C1307" s="3">
        <v>1800.0</v>
      </c>
      <c r="D1307" s="3">
        <v>49.0</v>
      </c>
      <c r="E1307" s="3">
        <v>35.0</v>
      </c>
      <c r="F1307" s="11">
        <f t="shared" si="1"/>
        <v>0.6355555556</v>
      </c>
      <c r="G1307" s="5">
        <f t="shared" si="2"/>
        <v>7.364444444</v>
      </c>
      <c r="H1307" s="3">
        <v>1307.0</v>
      </c>
      <c r="I1307" s="17"/>
    </row>
    <row r="1308">
      <c r="A1308" s="3">
        <v>8.0</v>
      </c>
      <c r="B1308" s="3">
        <v>1114.0</v>
      </c>
      <c r="C1308" s="3">
        <v>1850.0</v>
      </c>
      <c r="D1308" s="3">
        <v>49.0</v>
      </c>
      <c r="E1308" s="3">
        <v>36.0</v>
      </c>
      <c r="F1308" s="11">
        <f t="shared" si="1"/>
        <v>0.6021621622</v>
      </c>
      <c r="G1308" s="5">
        <f t="shared" si="2"/>
        <v>7.397837838</v>
      </c>
      <c r="H1308" s="3">
        <v>1308.0</v>
      </c>
      <c r="I1308" s="17"/>
    </row>
    <row r="1309">
      <c r="A1309" s="3">
        <v>8.0</v>
      </c>
      <c r="B1309" s="3">
        <v>1080.0</v>
      </c>
      <c r="C1309" s="3">
        <v>1900.0</v>
      </c>
      <c r="D1309" s="3">
        <v>49.0</v>
      </c>
      <c r="E1309" s="3">
        <v>37.0</v>
      </c>
      <c r="F1309" s="11">
        <f t="shared" si="1"/>
        <v>0.5684210526</v>
      </c>
      <c r="G1309" s="5">
        <f t="shared" si="2"/>
        <v>7.431578947</v>
      </c>
      <c r="H1309" s="3">
        <v>1309.0</v>
      </c>
      <c r="I1309" s="17"/>
    </row>
    <row r="1310">
      <c r="A1310" s="3">
        <v>8.0</v>
      </c>
      <c r="B1310" s="3">
        <v>1042.0</v>
      </c>
      <c r="C1310" s="3">
        <v>1950.0</v>
      </c>
      <c r="D1310" s="3">
        <v>49.0</v>
      </c>
      <c r="E1310" s="3">
        <v>38.0</v>
      </c>
      <c r="F1310" s="11">
        <f t="shared" si="1"/>
        <v>0.5343589744</v>
      </c>
      <c r="G1310" s="5">
        <f t="shared" si="2"/>
        <v>7.465641026</v>
      </c>
      <c r="H1310" s="3">
        <v>1310.0</v>
      </c>
      <c r="I1310" s="17"/>
    </row>
    <row r="1311">
      <c r="A1311" s="3">
        <v>8.0</v>
      </c>
      <c r="B1311" s="3">
        <v>1000.0</v>
      </c>
      <c r="C1311" s="3">
        <v>2000.0</v>
      </c>
      <c r="D1311" s="3">
        <v>49.0</v>
      </c>
      <c r="E1311" s="3">
        <v>39.0</v>
      </c>
      <c r="F1311" s="11">
        <f t="shared" si="1"/>
        <v>0.5</v>
      </c>
      <c r="G1311" s="5">
        <f t="shared" si="2"/>
        <v>7.5</v>
      </c>
      <c r="H1311" s="3">
        <v>1311.0</v>
      </c>
      <c r="I1311" s="17"/>
    </row>
    <row r="1312">
      <c r="A1312" s="3">
        <v>8.0</v>
      </c>
      <c r="B1312" s="3">
        <v>958.0</v>
      </c>
      <c r="C1312" s="3">
        <v>2050.0</v>
      </c>
      <c r="D1312" s="3">
        <v>49.0</v>
      </c>
      <c r="E1312" s="3">
        <v>40.0</v>
      </c>
      <c r="F1312" s="11">
        <f t="shared" si="1"/>
        <v>0.4673170732</v>
      </c>
      <c r="G1312" s="5">
        <f t="shared" si="2"/>
        <v>7.532682927</v>
      </c>
      <c r="H1312" s="3">
        <v>1312.0</v>
      </c>
      <c r="I1312" s="17"/>
    </row>
    <row r="1313">
      <c r="A1313" s="3">
        <v>8.0</v>
      </c>
      <c r="B1313" s="3">
        <v>912.0</v>
      </c>
      <c r="C1313" s="3">
        <v>2100.0</v>
      </c>
      <c r="D1313" s="3">
        <v>49.0</v>
      </c>
      <c r="E1313" s="3">
        <v>41.0</v>
      </c>
      <c r="F1313" s="11">
        <f t="shared" si="1"/>
        <v>0.4342857143</v>
      </c>
      <c r="G1313" s="5">
        <f t="shared" si="2"/>
        <v>7.565714286</v>
      </c>
      <c r="H1313" s="3">
        <v>1313.0</v>
      </c>
      <c r="I1313" s="17"/>
    </row>
    <row r="1314">
      <c r="A1314" s="3">
        <v>8.0</v>
      </c>
      <c r="B1314" s="3">
        <v>862.0</v>
      </c>
      <c r="C1314" s="3">
        <v>2150.0</v>
      </c>
      <c r="D1314" s="3">
        <v>49.0</v>
      </c>
      <c r="E1314" s="3">
        <v>42.0</v>
      </c>
      <c r="F1314" s="11">
        <f t="shared" si="1"/>
        <v>0.4009302326</v>
      </c>
      <c r="G1314" s="5">
        <f t="shared" si="2"/>
        <v>7.599069767</v>
      </c>
      <c r="H1314" s="3">
        <v>1314.0</v>
      </c>
      <c r="I1314" s="17"/>
    </row>
    <row r="1315">
      <c r="A1315" s="3">
        <v>8.0</v>
      </c>
      <c r="B1315" s="3">
        <v>812.0</v>
      </c>
      <c r="C1315" s="3">
        <v>2200.0</v>
      </c>
      <c r="D1315" s="3">
        <v>49.0</v>
      </c>
      <c r="E1315" s="3">
        <v>43.0</v>
      </c>
      <c r="F1315" s="11">
        <f t="shared" si="1"/>
        <v>0.3690909091</v>
      </c>
      <c r="G1315" s="5">
        <f t="shared" si="2"/>
        <v>7.630909091</v>
      </c>
      <c r="H1315" s="3">
        <v>1315.0</v>
      </c>
      <c r="I1315" s="17"/>
    </row>
    <row r="1316">
      <c r="A1316" s="3">
        <v>8.0</v>
      </c>
      <c r="B1316" s="3">
        <v>766.0</v>
      </c>
      <c r="C1316" s="3">
        <v>2250.0</v>
      </c>
      <c r="D1316" s="3">
        <v>49.0</v>
      </c>
      <c r="E1316" s="3">
        <v>44.0</v>
      </c>
      <c r="F1316" s="11">
        <f t="shared" si="1"/>
        <v>0.3404444444</v>
      </c>
      <c r="G1316" s="5">
        <f t="shared" si="2"/>
        <v>7.659555556</v>
      </c>
      <c r="H1316" s="3">
        <v>1316.0</v>
      </c>
      <c r="I1316" s="17"/>
    </row>
    <row r="1317">
      <c r="A1317" s="3">
        <v>8.0</v>
      </c>
      <c r="B1317" s="3">
        <v>720.0</v>
      </c>
      <c r="C1317" s="3">
        <v>2300.0</v>
      </c>
      <c r="D1317" s="3">
        <v>49.0</v>
      </c>
      <c r="E1317" s="3">
        <v>45.0</v>
      </c>
      <c r="F1317" s="11">
        <f t="shared" si="1"/>
        <v>0.3130434783</v>
      </c>
      <c r="G1317" s="5">
        <f t="shared" si="2"/>
        <v>7.686956522</v>
      </c>
      <c r="H1317" s="3">
        <v>1317.0</v>
      </c>
      <c r="I1317" s="17"/>
    </row>
    <row r="1318">
      <c r="A1318" s="3">
        <v>8.0</v>
      </c>
      <c r="B1318" s="3">
        <v>678.0</v>
      </c>
      <c r="C1318" s="3">
        <v>2350.0</v>
      </c>
      <c r="D1318" s="3">
        <v>49.0</v>
      </c>
      <c r="E1318" s="3">
        <v>46.0</v>
      </c>
      <c r="F1318" s="11">
        <f t="shared" si="1"/>
        <v>0.2885106383</v>
      </c>
      <c r="G1318" s="5">
        <f t="shared" si="2"/>
        <v>7.711489362</v>
      </c>
      <c r="H1318" s="3">
        <v>1318.0</v>
      </c>
      <c r="I1318" s="17"/>
    </row>
    <row r="1319">
      <c r="A1319" s="3">
        <v>8.0</v>
      </c>
      <c r="B1319" s="3">
        <v>636.0</v>
      </c>
      <c r="C1319" s="3">
        <v>2400.0</v>
      </c>
      <c r="D1319" s="3">
        <v>49.0</v>
      </c>
      <c r="E1319" s="3">
        <v>47.0</v>
      </c>
      <c r="F1319" s="11">
        <f t="shared" si="1"/>
        <v>0.265</v>
      </c>
      <c r="G1319" s="5">
        <f t="shared" si="2"/>
        <v>7.735</v>
      </c>
      <c r="H1319" s="3">
        <v>1319.0</v>
      </c>
      <c r="I1319" s="17"/>
    </row>
    <row r="1320">
      <c r="A1320" s="3">
        <v>8.0</v>
      </c>
      <c r="B1320" s="3">
        <v>598.0</v>
      </c>
      <c r="C1320" s="3">
        <v>2450.0</v>
      </c>
      <c r="D1320" s="3">
        <v>49.0</v>
      </c>
      <c r="E1320" s="3">
        <v>48.0</v>
      </c>
      <c r="F1320" s="11">
        <f t="shared" si="1"/>
        <v>0.2440816327</v>
      </c>
      <c r="G1320" s="5">
        <f t="shared" si="2"/>
        <v>7.755918367</v>
      </c>
      <c r="H1320" s="3">
        <v>1320.0</v>
      </c>
      <c r="I1320" s="17"/>
    </row>
    <row r="1321">
      <c r="A1321" s="3">
        <v>8.0</v>
      </c>
      <c r="B1321" s="3">
        <v>560.0</v>
      </c>
      <c r="C1321" s="3">
        <v>2500.0</v>
      </c>
      <c r="D1321" s="3">
        <v>49.0</v>
      </c>
      <c r="E1321" s="3">
        <v>49.0</v>
      </c>
      <c r="F1321" s="11">
        <f t="shared" si="1"/>
        <v>0.224</v>
      </c>
      <c r="G1321" s="5">
        <f t="shared" si="2"/>
        <v>7.776</v>
      </c>
      <c r="H1321" s="3">
        <v>1321.0</v>
      </c>
      <c r="I1321" s="17"/>
    </row>
    <row r="1322">
      <c r="A1322" s="3">
        <v>8.0</v>
      </c>
      <c r="B1322" s="3">
        <v>1118.0</v>
      </c>
      <c r="C1322" s="3">
        <v>1122.0</v>
      </c>
      <c r="D1322" s="3">
        <v>50.0</v>
      </c>
      <c r="E1322" s="3">
        <v>21.0</v>
      </c>
      <c r="F1322" s="11">
        <f t="shared" si="1"/>
        <v>0.9964349376</v>
      </c>
      <c r="G1322" s="5">
        <f t="shared" si="2"/>
        <v>7.003565062</v>
      </c>
      <c r="H1322" s="3">
        <v>1322.0</v>
      </c>
      <c r="I1322" s="17"/>
    </row>
    <row r="1323">
      <c r="A1323" s="3">
        <v>8.0</v>
      </c>
      <c r="B1323" s="3">
        <v>1157.0</v>
      </c>
      <c r="C1323" s="3">
        <v>1173.0</v>
      </c>
      <c r="D1323" s="3">
        <v>50.0</v>
      </c>
      <c r="E1323" s="3">
        <v>22.0</v>
      </c>
      <c r="F1323" s="11">
        <f t="shared" si="1"/>
        <v>0.9863597613</v>
      </c>
      <c r="G1323" s="5">
        <f t="shared" si="2"/>
        <v>7.013640239</v>
      </c>
      <c r="H1323" s="3">
        <v>1323.0</v>
      </c>
      <c r="I1323" s="17"/>
    </row>
    <row r="1324">
      <c r="A1324" s="3">
        <v>8.0</v>
      </c>
      <c r="B1324" s="3">
        <v>1188.0</v>
      </c>
      <c r="C1324" s="3">
        <v>1224.0</v>
      </c>
      <c r="D1324" s="3">
        <v>50.0</v>
      </c>
      <c r="E1324" s="3">
        <v>23.0</v>
      </c>
      <c r="F1324" s="11">
        <f t="shared" si="1"/>
        <v>0.9705882353</v>
      </c>
      <c r="G1324" s="5">
        <f t="shared" si="2"/>
        <v>7.029411765</v>
      </c>
      <c r="H1324" s="3">
        <v>1324.0</v>
      </c>
      <c r="I1324" s="17"/>
    </row>
    <row r="1325">
      <c r="A1325" s="3">
        <v>8.0</v>
      </c>
      <c r="B1325" s="3">
        <v>1211.0</v>
      </c>
      <c r="C1325" s="3">
        <v>1275.0</v>
      </c>
      <c r="D1325" s="3">
        <v>50.0</v>
      </c>
      <c r="E1325" s="3">
        <v>24.0</v>
      </c>
      <c r="F1325" s="11">
        <f t="shared" si="1"/>
        <v>0.9498039216</v>
      </c>
      <c r="G1325" s="5">
        <f t="shared" si="2"/>
        <v>7.050196078</v>
      </c>
      <c r="H1325" s="3">
        <v>1325.0</v>
      </c>
      <c r="I1325" s="17"/>
    </row>
    <row r="1326">
      <c r="A1326" s="3">
        <v>8.0</v>
      </c>
      <c r="B1326" s="3">
        <v>1226.0</v>
      </c>
      <c r="C1326" s="3">
        <v>1326.0</v>
      </c>
      <c r="D1326" s="3">
        <v>50.0</v>
      </c>
      <c r="E1326" s="3">
        <v>25.0</v>
      </c>
      <c r="F1326" s="11">
        <f t="shared" si="1"/>
        <v>0.9245852187</v>
      </c>
      <c r="G1326" s="5">
        <f t="shared" si="2"/>
        <v>7.075414781</v>
      </c>
      <c r="H1326" s="3">
        <v>1326.0</v>
      </c>
      <c r="I1326" s="17"/>
    </row>
    <row r="1327">
      <c r="A1327" s="3">
        <v>8.0</v>
      </c>
      <c r="B1327" s="3">
        <v>1237.0</v>
      </c>
      <c r="C1327" s="3">
        <v>1377.0</v>
      </c>
      <c r="D1327" s="3">
        <v>50.0</v>
      </c>
      <c r="E1327" s="3">
        <v>26.0</v>
      </c>
      <c r="F1327" s="11">
        <f t="shared" si="1"/>
        <v>0.8983297023</v>
      </c>
      <c r="G1327" s="5">
        <f t="shared" si="2"/>
        <v>7.101670298</v>
      </c>
      <c r="H1327" s="3">
        <v>1327.0</v>
      </c>
      <c r="I1327" s="17"/>
    </row>
    <row r="1328">
      <c r="A1328" s="3">
        <v>8.0</v>
      </c>
      <c r="B1328" s="3">
        <v>1240.0</v>
      </c>
      <c r="C1328" s="3">
        <v>1428.0</v>
      </c>
      <c r="D1328" s="3">
        <v>50.0</v>
      </c>
      <c r="E1328" s="3">
        <v>27.0</v>
      </c>
      <c r="F1328" s="11">
        <f t="shared" si="1"/>
        <v>0.8683473389</v>
      </c>
      <c r="G1328" s="5">
        <f t="shared" si="2"/>
        <v>7.131652661</v>
      </c>
      <c r="H1328" s="3">
        <v>1328.0</v>
      </c>
      <c r="I1328" s="17"/>
    </row>
    <row r="1329">
      <c r="A1329" s="3">
        <v>8.0</v>
      </c>
      <c r="B1329" s="3">
        <v>1239.0</v>
      </c>
      <c r="C1329" s="3">
        <v>1479.0</v>
      </c>
      <c r="D1329" s="3">
        <v>50.0</v>
      </c>
      <c r="E1329" s="3">
        <v>28.0</v>
      </c>
      <c r="F1329" s="11">
        <f t="shared" si="1"/>
        <v>0.8377281947</v>
      </c>
      <c r="G1329" s="5">
        <f t="shared" si="2"/>
        <v>7.162271805</v>
      </c>
      <c r="H1329" s="3">
        <v>1329.0</v>
      </c>
      <c r="I1329" s="17"/>
    </row>
    <row r="1330">
      <c r="A1330" s="3">
        <v>8.0</v>
      </c>
      <c r="B1330" s="3">
        <v>1234.0</v>
      </c>
      <c r="C1330" s="3">
        <v>1530.0</v>
      </c>
      <c r="D1330" s="3">
        <v>50.0</v>
      </c>
      <c r="E1330" s="3">
        <v>29.0</v>
      </c>
      <c r="F1330" s="11">
        <f t="shared" si="1"/>
        <v>0.8065359477</v>
      </c>
      <c r="G1330" s="5">
        <f t="shared" si="2"/>
        <v>7.193464052</v>
      </c>
      <c r="H1330" s="3">
        <v>1330.0</v>
      </c>
      <c r="I1330" s="17"/>
    </row>
    <row r="1331">
      <c r="A1331" s="3">
        <v>8.0</v>
      </c>
      <c r="B1331" s="3">
        <v>1225.0</v>
      </c>
      <c r="C1331" s="3">
        <v>1581.0</v>
      </c>
      <c r="D1331" s="3">
        <v>50.0</v>
      </c>
      <c r="E1331" s="3">
        <v>30.0</v>
      </c>
      <c r="F1331" s="11">
        <f t="shared" si="1"/>
        <v>0.7748260595</v>
      </c>
      <c r="G1331" s="5">
        <f t="shared" si="2"/>
        <v>7.225173941</v>
      </c>
      <c r="H1331" s="3">
        <v>1331.0</v>
      </c>
      <c r="I1331" s="17"/>
    </row>
    <row r="1332">
      <c r="A1332" s="3">
        <v>8.0</v>
      </c>
      <c r="B1332" s="3">
        <v>1212.0</v>
      </c>
      <c r="C1332" s="3">
        <v>1632.0</v>
      </c>
      <c r="D1332" s="3">
        <v>50.0</v>
      </c>
      <c r="E1332" s="3">
        <v>31.0</v>
      </c>
      <c r="F1332" s="11">
        <f t="shared" si="1"/>
        <v>0.7426470588</v>
      </c>
      <c r="G1332" s="5">
        <f t="shared" si="2"/>
        <v>7.257352941</v>
      </c>
      <c r="H1332" s="3">
        <v>1332.0</v>
      </c>
      <c r="I1332" s="17"/>
    </row>
    <row r="1333">
      <c r="A1333" s="3">
        <v>8.0</v>
      </c>
      <c r="B1333" s="3">
        <v>1195.0</v>
      </c>
      <c r="C1333" s="3">
        <v>1683.0</v>
      </c>
      <c r="D1333" s="3">
        <v>50.0</v>
      </c>
      <c r="E1333" s="3">
        <v>32.0</v>
      </c>
      <c r="F1333" s="11">
        <f t="shared" si="1"/>
        <v>0.7100415924</v>
      </c>
      <c r="G1333" s="5">
        <f t="shared" si="2"/>
        <v>7.289958408</v>
      </c>
      <c r="H1333" s="3">
        <v>1333.0</v>
      </c>
      <c r="I1333" s="17"/>
    </row>
    <row r="1334">
      <c r="A1334" s="3">
        <v>8.0</v>
      </c>
      <c r="B1334" s="3">
        <v>1174.0</v>
      </c>
      <c r="C1334" s="3">
        <v>1734.0</v>
      </c>
      <c r="D1334" s="3">
        <v>50.0</v>
      </c>
      <c r="E1334" s="3">
        <v>33.0</v>
      </c>
      <c r="F1334" s="11">
        <f t="shared" si="1"/>
        <v>0.6770472895</v>
      </c>
      <c r="G1334" s="5">
        <f t="shared" si="2"/>
        <v>7.32295271</v>
      </c>
      <c r="H1334" s="3">
        <v>1334.0</v>
      </c>
      <c r="I1334" s="17"/>
    </row>
    <row r="1335">
      <c r="A1335" s="3">
        <v>8.0</v>
      </c>
      <c r="B1335" s="3">
        <v>1149.0</v>
      </c>
      <c r="C1335" s="3">
        <v>1785.0</v>
      </c>
      <c r="D1335" s="3">
        <v>50.0</v>
      </c>
      <c r="E1335" s="3">
        <v>34.0</v>
      </c>
      <c r="F1335" s="11">
        <f t="shared" si="1"/>
        <v>0.643697479</v>
      </c>
      <c r="G1335" s="5">
        <f t="shared" si="2"/>
        <v>7.356302521</v>
      </c>
      <c r="H1335" s="3">
        <v>1335.0</v>
      </c>
      <c r="I1335" s="17"/>
    </row>
    <row r="1336">
      <c r="A1336" s="3">
        <v>8.0</v>
      </c>
      <c r="B1336" s="3">
        <v>1120.0</v>
      </c>
      <c r="C1336" s="3">
        <v>1836.0</v>
      </c>
      <c r="D1336" s="3">
        <v>50.0</v>
      </c>
      <c r="E1336" s="3">
        <v>35.0</v>
      </c>
      <c r="F1336" s="11">
        <f t="shared" si="1"/>
        <v>0.6100217865</v>
      </c>
      <c r="G1336" s="5">
        <f t="shared" si="2"/>
        <v>7.389978214</v>
      </c>
      <c r="H1336" s="3">
        <v>1336.0</v>
      </c>
      <c r="I1336" s="17"/>
    </row>
    <row r="1337">
      <c r="A1337" s="3">
        <v>8.0</v>
      </c>
      <c r="B1337" s="3">
        <v>1087.0</v>
      </c>
      <c r="C1337" s="3">
        <v>1887.0</v>
      </c>
      <c r="D1337" s="3">
        <v>50.0</v>
      </c>
      <c r="E1337" s="3">
        <v>36.0</v>
      </c>
      <c r="F1337" s="11">
        <f t="shared" si="1"/>
        <v>0.5760466349</v>
      </c>
      <c r="G1337" s="5">
        <f t="shared" si="2"/>
        <v>7.423953365</v>
      </c>
      <c r="H1337" s="3">
        <v>1337.0</v>
      </c>
      <c r="I1337" s="17"/>
    </row>
    <row r="1338">
      <c r="A1338" s="3">
        <v>8.0</v>
      </c>
      <c r="B1338" s="3">
        <v>1050.0</v>
      </c>
      <c r="C1338" s="3">
        <v>1938.0</v>
      </c>
      <c r="D1338" s="3">
        <v>50.0</v>
      </c>
      <c r="E1338" s="3">
        <v>37.0</v>
      </c>
      <c r="F1338" s="11">
        <f t="shared" si="1"/>
        <v>0.5417956656</v>
      </c>
      <c r="G1338" s="5">
        <f t="shared" si="2"/>
        <v>7.458204334</v>
      </c>
      <c r="H1338" s="3">
        <v>1338.0</v>
      </c>
      <c r="I1338" s="17"/>
    </row>
    <row r="1339">
      <c r="A1339" s="3">
        <v>8.0</v>
      </c>
      <c r="B1339" s="3">
        <v>1009.0</v>
      </c>
      <c r="C1339" s="3">
        <v>1989.0</v>
      </c>
      <c r="D1339" s="3">
        <v>50.0</v>
      </c>
      <c r="E1339" s="3">
        <v>38.0</v>
      </c>
      <c r="F1339" s="11">
        <f t="shared" si="1"/>
        <v>0.5072900955</v>
      </c>
      <c r="G1339" s="5">
        <f t="shared" si="2"/>
        <v>7.492709904</v>
      </c>
      <c r="H1339" s="3">
        <v>1339.0</v>
      </c>
      <c r="I1339" s="17"/>
    </row>
    <row r="1340">
      <c r="A1340" s="3">
        <v>8.0</v>
      </c>
      <c r="B1340" s="3">
        <v>964.0</v>
      </c>
      <c r="C1340" s="3">
        <v>2040.0</v>
      </c>
      <c r="D1340" s="3">
        <v>50.0</v>
      </c>
      <c r="E1340" s="3">
        <v>39.0</v>
      </c>
      <c r="F1340" s="11">
        <f t="shared" si="1"/>
        <v>0.4725490196</v>
      </c>
      <c r="G1340" s="5">
        <f t="shared" si="2"/>
        <v>7.52745098</v>
      </c>
      <c r="H1340" s="3">
        <v>1340.0</v>
      </c>
      <c r="I1340" s="17"/>
    </row>
    <row r="1341">
      <c r="A1341" s="3">
        <v>8.0</v>
      </c>
      <c r="B1341" s="3">
        <v>919.0</v>
      </c>
      <c r="C1341" s="3">
        <v>2091.0</v>
      </c>
      <c r="D1341" s="3">
        <v>50.0</v>
      </c>
      <c r="E1341" s="3">
        <v>40.0</v>
      </c>
      <c r="F1341" s="11">
        <f t="shared" si="1"/>
        <v>0.4395026303</v>
      </c>
      <c r="G1341" s="5">
        <f t="shared" si="2"/>
        <v>7.56049737</v>
      </c>
      <c r="H1341" s="3">
        <v>1341.0</v>
      </c>
      <c r="I1341" s="17"/>
    </row>
    <row r="1342">
      <c r="A1342" s="3">
        <v>8.0</v>
      </c>
      <c r="B1342" s="3">
        <v>870.0</v>
      </c>
      <c r="C1342" s="3">
        <v>2142.0</v>
      </c>
      <c r="D1342" s="3">
        <v>50.0</v>
      </c>
      <c r="E1342" s="3">
        <v>41.0</v>
      </c>
      <c r="F1342" s="11">
        <f t="shared" si="1"/>
        <v>0.406162465</v>
      </c>
      <c r="G1342" s="5">
        <f t="shared" si="2"/>
        <v>7.593837535</v>
      </c>
      <c r="H1342" s="3">
        <v>1342.0</v>
      </c>
      <c r="I1342" s="17"/>
    </row>
    <row r="1343">
      <c r="A1343" s="3">
        <v>8.0</v>
      </c>
      <c r="B1343" s="3">
        <v>821.0</v>
      </c>
      <c r="C1343" s="3">
        <v>2193.0</v>
      </c>
      <c r="D1343" s="3">
        <v>50.0</v>
      </c>
      <c r="E1343" s="3">
        <v>42.0</v>
      </c>
      <c r="F1343" s="11">
        <f t="shared" si="1"/>
        <v>0.374373005</v>
      </c>
      <c r="G1343" s="5">
        <f t="shared" si="2"/>
        <v>7.625626995</v>
      </c>
      <c r="H1343" s="3">
        <v>1343.0</v>
      </c>
      <c r="I1343" s="17"/>
    </row>
    <row r="1344">
      <c r="A1344" s="3">
        <v>8.0</v>
      </c>
      <c r="B1344" s="3">
        <v>772.0</v>
      </c>
      <c r="C1344" s="3">
        <v>2244.0</v>
      </c>
      <c r="D1344" s="3">
        <v>50.0</v>
      </c>
      <c r="E1344" s="3">
        <v>43.0</v>
      </c>
      <c r="F1344" s="11">
        <f t="shared" si="1"/>
        <v>0.3440285205</v>
      </c>
      <c r="G1344" s="5">
        <f t="shared" si="2"/>
        <v>7.65597148</v>
      </c>
      <c r="H1344" s="3">
        <v>1344.0</v>
      </c>
      <c r="I1344" s="17"/>
    </row>
    <row r="1345">
      <c r="A1345" s="3">
        <v>8.0</v>
      </c>
      <c r="B1345" s="3">
        <v>727.0</v>
      </c>
      <c r="C1345" s="3">
        <v>2295.0</v>
      </c>
      <c r="D1345" s="3">
        <v>50.0</v>
      </c>
      <c r="E1345" s="3">
        <v>44.0</v>
      </c>
      <c r="F1345" s="11">
        <f t="shared" si="1"/>
        <v>0.3167755991</v>
      </c>
      <c r="G1345" s="5">
        <f t="shared" si="2"/>
        <v>7.683224401</v>
      </c>
      <c r="H1345" s="3">
        <v>1345.0</v>
      </c>
      <c r="I1345" s="17"/>
    </row>
    <row r="1346">
      <c r="A1346" s="3">
        <v>8.0</v>
      </c>
      <c r="B1346" s="3">
        <v>682.0</v>
      </c>
      <c r="C1346" s="3">
        <v>2346.0</v>
      </c>
      <c r="D1346" s="3">
        <v>50.0</v>
      </c>
      <c r="E1346" s="3">
        <v>45.0</v>
      </c>
      <c r="F1346" s="11">
        <f t="shared" si="1"/>
        <v>0.2907075874</v>
      </c>
      <c r="G1346" s="5">
        <f t="shared" si="2"/>
        <v>7.709292413</v>
      </c>
      <c r="H1346" s="3">
        <v>1346.0</v>
      </c>
      <c r="I1346" s="17"/>
    </row>
    <row r="1347">
      <c r="A1347" s="3">
        <v>8.0</v>
      </c>
      <c r="B1347" s="3">
        <v>641.0</v>
      </c>
      <c r="C1347" s="3">
        <v>2397.0</v>
      </c>
      <c r="D1347" s="3">
        <v>50.0</v>
      </c>
      <c r="E1347" s="3">
        <v>46.0</v>
      </c>
      <c r="F1347" s="11">
        <f t="shared" si="1"/>
        <v>0.2674176053</v>
      </c>
      <c r="G1347" s="5">
        <f t="shared" si="2"/>
        <v>7.732582395</v>
      </c>
      <c r="H1347" s="3">
        <v>1347.0</v>
      </c>
      <c r="I1347" s="17"/>
    </row>
    <row r="1348">
      <c r="A1348" s="3">
        <v>8.0</v>
      </c>
      <c r="B1348" s="3">
        <v>600.0</v>
      </c>
      <c r="C1348" s="3">
        <v>2448.0</v>
      </c>
      <c r="D1348" s="3">
        <v>50.0</v>
      </c>
      <c r="E1348" s="3">
        <v>47.0</v>
      </c>
      <c r="F1348" s="11">
        <f t="shared" si="1"/>
        <v>0.2450980392</v>
      </c>
      <c r="G1348" s="5">
        <f t="shared" si="2"/>
        <v>7.754901961</v>
      </c>
      <c r="H1348" s="3">
        <v>1348.0</v>
      </c>
      <c r="I1348" s="17"/>
    </row>
    <row r="1349">
      <c r="A1349" s="3">
        <v>8.0</v>
      </c>
      <c r="B1349" s="3">
        <v>563.0</v>
      </c>
      <c r="C1349" s="3">
        <v>2499.0</v>
      </c>
      <c r="D1349" s="3">
        <v>50.0</v>
      </c>
      <c r="E1349" s="3">
        <v>48.0</v>
      </c>
      <c r="F1349" s="11">
        <f t="shared" si="1"/>
        <v>0.225290116</v>
      </c>
      <c r="G1349" s="5">
        <f t="shared" si="2"/>
        <v>7.774709884</v>
      </c>
      <c r="H1349" s="3">
        <v>1349.0</v>
      </c>
      <c r="I1349" s="17"/>
    </row>
    <row r="1350">
      <c r="A1350" s="3">
        <v>8.0</v>
      </c>
      <c r="B1350" s="3">
        <v>526.0</v>
      </c>
      <c r="C1350" s="3">
        <v>2550.0</v>
      </c>
      <c r="D1350" s="3">
        <v>50.0</v>
      </c>
      <c r="E1350" s="3">
        <v>49.0</v>
      </c>
      <c r="F1350" s="11">
        <f t="shared" si="1"/>
        <v>0.2062745098</v>
      </c>
      <c r="G1350" s="5">
        <f t="shared" si="2"/>
        <v>7.79372549</v>
      </c>
      <c r="H1350" s="3">
        <v>1350.0</v>
      </c>
      <c r="I1350" s="17"/>
    </row>
    <row r="1351">
      <c r="A1351" s="3">
        <v>8.0</v>
      </c>
      <c r="B1351" s="3">
        <v>493.0</v>
      </c>
      <c r="C1351" s="3">
        <v>2601.0</v>
      </c>
      <c r="D1351" s="3">
        <v>50.0</v>
      </c>
      <c r="E1351" s="3">
        <v>50.0</v>
      </c>
      <c r="F1351" s="11">
        <f t="shared" si="1"/>
        <v>0.1895424837</v>
      </c>
      <c r="G1351" s="5">
        <f t="shared" si="2"/>
        <v>7.810457516</v>
      </c>
      <c r="H1351" s="3">
        <v>1351.0</v>
      </c>
      <c r="I1351" s="17"/>
    </row>
    <row r="1352">
      <c r="A1352" s="3">
        <v>8.0</v>
      </c>
      <c r="B1352" s="3">
        <v>1136.0</v>
      </c>
      <c r="C1352" s="3">
        <v>1144.0</v>
      </c>
      <c r="D1352" s="3">
        <v>51.0</v>
      </c>
      <c r="E1352" s="3">
        <v>21.0</v>
      </c>
      <c r="F1352" s="11">
        <f t="shared" si="1"/>
        <v>0.993006993</v>
      </c>
      <c r="G1352" s="5">
        <f t="shared" si="2"/>
        <v>7.006993007</v>
      </c>
      <c r="H1352" s="3">
        <v>1352.0</v>
      </c>
      <c r="I1352" s="17"/>
    </row>
    <row r="1353">
      <c r="A1353" s="3">
        <v>8.0</v>
      </c>
      <c r="B1353" s="3">
        <v>1172.0</v>
      </c>
      <c r="C1353" s="3">
        <v>1196.0</v>
      </c>
      <c r="D1353" s="3">
        <v>51.0</v>
      </c>
      <c r="E1353" s="3">
        <v>22.0</v>
      </c>
      <c r="F1353" s="11">
        <f t="shared" si="1"/>
        <v>0.9799331104</v>
      </c>
      <c r="G1353" s="5">
        <f t="shared" si="2"/>
        <v>7.02006689</v>
      </c>
      <c r="H1353" s="3">
        <v>1353.0</v>
      </c>
      <c r="I1353" s="17"/>
    </row>
    <row r="1354">
      <c r="A1354" s="3">
        <v>8.0</v>
      </c>
      <c r="B1354" s="3">
        <v>1200.0</v>
      </c>
      <c r="C1354" s="3">
        <v>1248.0</v>
      </c>
      <c r="D1354" s="3">
        <v>51.0</v>
      </c>
      <c r="E1354" s="3">
        <v>23.0</v>
      </c>
      <c r="F1354" s="11">
        <f t="shared" si="1"/>
        <v>0.9615384615</v>
      </c>
      <c r="G1354" s="5">
        <f t="shared" si="2"/>
        <v>7.038461538</v>
      </c>
      <c r="H1354" s="3">
        <v>1354.0</v>
      </c>
      <c r="I1354" s="17"/>
    </row>
    <row r="1355">
      <c r="A1355" s="3">
        <v>8.0</v>
      </c>
      <c r="B1355" s="3">
        <v>1220.0</v>
      </c>
      <c r="C1355" s="3">
        <v>1300.0</v>
      </c>
      <c r="D1355" s="3">
        <v>51.0</v>
      </c>
      <c r="E1355" s="3">
        <v>24.0</v>
      </c>
      <c r="F1355" s="11">
        <f t="shared" si="1"/>
        <v>0.9384615385</v>
      </c>
      <c r="G1355" s="5">
        <f t="shared" si="2"/>
        <v>7.061538462</v>
      </c>
      <c r="H1355" s="3">
        <v>1355.0</v>
      </c>
      <c r="I1355" s="17"/>
    </row>
    <row r="1356">
      <c r="A1356" s="3">
        <v>8.0</v>
      </c>
      <c r="B1356" s="3">
        <v>1232.0</v>
      </c>
      <c r="C1356" s="3">
        <v>1352.0</v>
      </c>
      <c r="D1356" s="3">
        <v>51.0</v>
      </c>
      <c r="E1356" s="3">
        <v>25.0</v>
      </c>
      <c r="F1356" s="11">
        <f t="shared" si="1"/>
        <v>0.9112426036</v>
      </c>
      <c r="G1356" s="5">
        <f t="shared" si="2"/>
        <v>7.088757396</v>
      </c>
      <c r="H1356" s="3">
        <v>1356.0</v>
      </c>
      <c r="I1356" s="17"/>
    </row>
    <row r="1357">
      <c r="A1357" s="3">
        <v>8.0</v>
      </c>
      <c r="B1357" s="3">
        <v>1240.0</v>
      </c>
      <c r="C1357" s="3">
        <v>1404.0</v>
      </c>
      <c r="D1357" s="3">
        <v>51.0</v>
      </c>
      <c r="E1357" s="3">
        <v>26.0</v>
      </c>
      <c r="F1357" s="11">
        <f t="shared" si="1"/>
        <v>0.8831908832</v>
      </c>
      <c r="G1357" s="5">
        <f t="shared" si="2"/>
        <v>7.116809117</v>
      </c>
      <c r="H1357" s="3">
        <v>1357.0</v>
      </c>
      <c r="I1357" s="17"/>
    </row>
    <row r="1358">
      <c r="A1358" s="3">
        <v>8.0</v>
      </c>
      <c r="B1358" s="3">
        <v>1240.0</v>
      </c>
      <c r="C1358" s="3">
        <v>1456.0</v>
      </c>
      <c r="D1358" s="3">
        <v>51.0</v>
      </c>
      <c r="E1358" s="3">
        <v>27.0</v>
      </c>
      <c r="F1358" s="11">
        <f t="shared" si="1"/>
        <v>0.8516483516</v>
      </c>
      <c r="G1358" s="5">
        <f t="shared" si="2"/>
        <v>7.148351648</v>
      </c>
      <c r="H1358" s="3">
        <v>1358.0</v>
      </c>
      <c r="I1358" s="17"/>
    </row>
    <row r="1359">
      <c r="A1359" s="3">
        <v>8.0</v>
      </c>
      <c r="B1359" s="3">
        <v>1236.0</v>
      </c>
      <c r="C1359" s="3">
        <v>1508.0</v>
      </c>
      <c r="D1359" s="3">
        <v>51.0</v>
      </c>
      <c r="E1359" s="3">
        <v>28.0</v>
      </c>
      <c r="F1359" s="11">
        <f t="shared" si="1"/>
        <v>0.8196286472</v>
      </c>
      <c r="G1359" s="5">
        <f t="shared" si="2"/>
        <v>7.180371353</v>
      </c>
      <c r="H1359" s="3">
        <v>1359.0</v>
      </c>
      <c r="I1359" s="17"/>
    </row>
    <row r="1360">
      <c r="A1360" s="3">
        <v>8.0</v>
      </c>
      <c r="B1360" s="3">
        <v>1228.0</v>
      </c>
      <c r="C1360" s="3">
        <v>1560.0</v>
      </c>
      <c r="D1360" s="3">
        <v>51.0</v>
      </c>
      <c r="E1360" s="3">
        <v>29.0</v>
      </c>
      <c r="F1360" s="11">
        <f t="shared" si="1"/>
        <v>0.7871794872</v>
      </c>
      <c r="G1360" s="5">
        <f t="shared" si="2"/>
        <v>7.212820513</v>
      </c>
      <c r="H1360" s="3">
        <v>1360.0</v>
      </c>
      <c r="I1360" s="17"/>
    </row>
    <row r="1361">
      <c r="A1361" s="3">
        <v>8.0</v>
      </c>
      <c r="B1361" s="3">
        <v>1216.0</v>
      </c>
      <c r="C1361" s="3">
        <v>1612.0</v>
      </c>
      <c r="D1361" s="3">
        <v>51.0</v>
      </c>
      <c r="E1361" s="3">
        <v>30.0</v>
      </c>
      <c r="F1361" s="11">
        <f t="shared" si="1"/>
        <v>0.7543424318</v>
      </c>
      <c r="G1361" s="5">
        <f t="shared" si="2"/>
        <v>7.245657568</v>
      </c>
      <c r="H1361" s="3">
        <v>1361.0</v>
      </c>
      <c r="I1361" s="17"/>
    </row>
    <row r="1362">
      <c r="A1362" s="3">
        <v>8.0</v>
      </c>
      <c r="B1362" s="3">
        <v>1200.0</v>
      </c>
      <c r="C1362" s="3">
        <v>1664.0</v>
      </c>
      <c r="D1362" s="3">
        <v>51.0</v>
      </c>
      <c r="E1362" s="3">
        <v>31.0</v>
      </c>
      <c r="F1362" s="11">
        <f t="shared" si="1"/>
        <v>0.7211538462</v>
      </c>
      <c r="G1362" s="5">
        <f t="shared" si="2"/>
        <v>7.278846154</v>
      </c>
      <c r="H1362" s="3">
        <v>1362.0</v>
      </c>
      <c r="I1362" s="17"/>
    </row>
    <row r="1363">
      <c r="A1363" s="3">
        <v>8.0</v>
      </c>
      <c r="B1363" s="3">
        <v>1180.0</v>
      </c>
      <c r="C1363" s="3">
        <v>1716.0</v>
      </c>
      <c r="D1363" s="3">
        <v>51.0</v>
      </c>
      <c r="E1363" s="3">
        <v>32.0</v>
      </c>
      <c r="F1363" s="11">
        <f t="shared" si="1"/>
        <v>0.6876456876</v>
      </c>
      <c r="G1363" s="5">
        <f t="shared" si="2"/>
        <v>7.312354312</v>
      </c>
      <c r="H1363" s="3">
        <v>1363.0</v>
      </c>
      <c r="I1363" s="17"/>
    </row>
    <row r="1364">
      <c r="A1364" s="3">
        <v>8.0</v>
      </c>
      <c r="B1364" s="3">
        <v>1156.0</v>
      </c>
      <c r="C1364" s="3">
        <v>1768.0</v>
      </c>
      <c r="D1364" s="3">
        <v>51.0</v>
      </c>
      <c r="E1364" s="3">
        <v>33.0</v>
      </c>
      <c r="F1364" s="11">
        <f t="shared" si="1"/>
        <v>0.6538461538</v>
      </c>
      <c r="G1364" s="5">
        <f t="shared" si="2"/>
        <v>7.346153846</v>
      </c>
      <c r="H1364" s="3">
        <v>1364.0</v>
      </c>
      <c r="I1364" s="17"/>
    </row>
    <row r="1365">
      <c r="A1365" s="3">
        <v>8.0</v>
      </c>
      <c r="B1365" s="3">
        <v>1128.0</v>
      </c>
      <c r="C1365" s="3">
        <v>1820.0</v>
      </c>
      <c r="D1365" s="3">
        <v>51.0</v>
      </c>
      <c r="E1365" s="3">
        <v>34.0</v>
      </c>
      <c r="F1365" s="11">
        <f t="shared" si="1"/>
        <v>0.6197802198</v>
      </c>
      <c r="G1365" s="5">
        <f t="shared" si="2"/>
        <v>7.38021978</v>
      </c>
      <c r="H1365" s="3">
        <v>1365.0</v>
      </c>
      <c r="I1365" s="17"/>
    </row>
    <row r="1366">
      <c r="A1366" s="3">
        <v>8.0</v>
      </c>
      <c r="B1366" s="3">
        <v>1096.0</v>
      </c>
      <c r="C1366" s="3">
        <v>1872.0</v>
      </c>
      <c r="D1366" s="3">
        <v>51.0</v>
      </c>
      <c r="E1366" s="3">
        <v>35.0</v>
      </c>
      <c r="F1366" s="11">
        <f t="shared" si="1"/>
        <v>0.5854700855</v>
      </c>
      <c r="G1366" s="5">
        <f t="shared" si="2"/>
        <v>7.414529915</v>
      </c>
      <c r="H1366" s="3">
        <v>1366.0</v>
      </c>
      <c r="I1366" s="17"/>
    </row>
    <row r="1367">
      <c r="A1367" s="3">
        <v>8.0</v>
      </c>
      <c r="B1367" s="3">
        <v>1060.0</v>
      </c>
      <c r="C1367" s="3">
        <v>1924.0</v>
      </c>
      <c r="D1367" s="3">
        <v>51.0</v>
      </c>
      <c r="E1367" s="3">
        <v>36.0</v>
      </c>
      <c r="F1367" s="11">
        <f t="shared" si="1"/>
        <v>0.5509355509</v>
      </c>
      <c r="G1367" s="5">
        <f t="shared" si="2"/>
        <v>7.449064449</v>
      </c>
      <c r="H1367" s="3">
        <v>1367.0</v>
      </c>
      <c r="I1367" s="17"/>
    </row>
    <row r="1368">
      <c r="A1368" s="3">
        <v>8.0</v>
      </c>
      <c r="B1368" s="3">
        <v>1020.0</v>
      </c>
      <c r="C1368" s="3">
        <v>1976.0</v>
      </c>
      <c r="D1368" s="3">
        <v>51.0</v>
      </c>
      <c r="E1368" s="3">
        <v>37.0</v>
      </c>
      <c r="F1368" s="11">
        <f t="shared" si="1"/>
        <v>0.516194332</v>
      </c>
      <c r="G1368" s="5">
        <f t="shared" si="2"/>
        <v>7.483805668</v>
      </c>
      <c r="H1368" s="3">
        <v>1368.0</v>
      </c>
      <c r="I1368" s="17"/>
    </row>
    <row r="1369">
      <c r="A1369" s="3">
        <v>8.0</v>
      </c>
      <c r="B1369" s="3">
        <v>976.0</v>
      </c>
      <c r="C1369" s="3">
        <v>2028.0</v>
      </c>
      <c r="D1369" s="3">
        <v>51.0</v>
      </c>
      <c r="E1369" s="3">
        <v>38.0</v>
      </c>
      <c r="F1369" s="11">
        <f t="shared" si="1"/>
        <v>0.4812623274</v>
      </c>
      <c r="G1369" s="5">
        <f t="shared" si="2"/>
        <v>7.518737673</v>
      </c>
      <c r="H1369" s="3">
        <v>1369.0</v>
      </c>
      <c r="I1369" s="17"/>
    </row>
    <row r="1370">
      <c r="A1370" s="3">
        <v>8.0</v>
      </c>
      <c r="B1370" s="3">
        <v>928.0</v>
      </c>
      <c r="C1370" s="3">
        <v>2080.0</v>
      </c>
      <c r="D1370" s="3">
        <v>51.0</v>
      </c>
      <c r="E1370" s="3">
        <v>39.0</v>
      </c>
      <c r="F1370" s="11">
        <f t="shared" si="1"/>
        <v>0.4461538462</v>
      </c>
      <c r="G1370" s="5">
        <f t="shared" si="2"/>
        <v>7.553846154</v>
      </c>
      <c r="H1370" s="3">
        <v>1370.0</v>
      </c>
      <c r="I1370" s="17"/>
    </row>
    <row r="1371">
      <c r="A1371" s="3">
        <v>8.0</v>
      </c>
      <c r="B1371" s="3">
        <v>880.0</v>
      </c>
      <c r="C1371" s="3">
        <v>2132.0</v>
      </c>
      <c r="D1371" s="3">
        <v>51.0</v>
      </c>
      <c r="E1371" s="3">
        <v>40.0</v>
      </c>
      <c r="F1371" s="11">
        <f t="shared" si="1"/>
        <v>0.4127579737</v>
      </c>
      <c r="G1371" s="5">
        <f t="shared" si="2"/>
        <v>7.587242026</v>
      </c>
      <c r="H1371" s="3">
        <v>1371.0</v>
      </c>
      <c r="I1371" s="17"/>
    </row>
    <row r="1372">
      <c r="A1372" s="3">
        <v>8.0</v>
      </c>
      <c r="B1372" s="3">
        <v>828.0</v>
      </c>
      <c r="C1372" s="3">
        <v>2184.0</v>
      </c>
      <c r="D1372" s="3">
        <v>51.0</v>
      </c>
      <c r="E1372" s="3">
        <v>41.0</v>
      </c>
      <c r="F1372" s="11">
        <f t="shared" si="1"/>
        <v>0.3791208791</v>
      </c>
      <c r="G1372" s="5">
        <f t="shared" si="2"/>
        <v>7.620879121</v>
      </c>
      <c r="H1372" s="3">
        <v>1372.0</v>
      </c>
      <c r="I1372" s="17"/>
    </row>
    <row r="1373">
      <c r="A1373" s="3">
        <v>8.0</v>
      </c>
      <c r="B1373" s="3">
        <v>780.0</v>
      </c>
      <c r="C1373" s="3">
        <v>2236.0</v>
      </c>
      <c r="D1373" s="3">
        <v>51.0</v>
      </c>
      <c r="E1373" s="3">
        <v>42.0</v>
      </c>
      <c r="F1373" s="11">
        <f t="shared" si="1"/>
        <v>0.3488372093</v>
      </c>
      <c r="G1373" s="5">
        <f t="shared" si="2"/>
        <v>7.651162791</v>
      </c>
      <c r="H1373" s="3">
        <v>1373.0</v>
      </c>
      <c r="I1373" s="17"/>
    </row>
    <row r="1374">
      <c r="A1374" s="3">
        <v>8.0</v>
      </c>
      <c r="B1374" s="3">
        <v>732.0</v>
      </c>
      <c r="C1374" s="3">
        <v>2288.0</v>
      </c>
      <c r="D1374" s="3">
        <v>51.0</v>
      </c>
      <c r="E1374" s="3">
        <v>43.0</v>
      </c>
      <c r="F1374" s="11">
        <f t="shared" si="1"/>
        <v>0.3199300699</v>
      </c>
      <c r="G1374" s="5">
        <f t="shared" si="2"/>
        <v>7.68006993</v>
      </c>
      <c r="H1374" s="3">
        <v>1374.0</v>
      </c>
      <c r="I1374" s="17"/>
    </row>
    <row r="1375">
      <c r="A1375" s="3">
        <v>8.0</v>
      </c>
      <c r="B1375" s="3">
        <v>688.0</v>
      </c>
      <c r="C1375" s="3">
        <v>2340.0</v>
      </c>
      <c r="D1375" s="3">
        <v>51.0</v>
      </c>
      <c r="E1375" s="3">
        <v>44.0</v>
      </c>
      <c r="F1375" s="11">
        <f t="shared" si="1"/>
        <v>0.294017094</v>
      </c>
      <c r="G1375" s="5">
        <f t="shared" si="2"/>
        <v>7.705982906</v>
      </c>
      <c r="H1375" s="3">
        <v>1375.0</v>
      </c>
      <c r="I1375" s="17"/>
    </row>
    <row r="1376">
      <c r="A1376" s="3">
        <v>8.0</v>
      </c>
      <c r="B1376" s="3">
        <v>644.0</v>
      </c>
      <c r="C1376" s="3">
        <v>2392.0</v>
      </c>
      <c r="D1376" s="3">
        <v>51.0</v>
      </c>
      <c r="E1376" s="3">
        <v>45.0</v>
      </c>
      <c r="F1376" s="11">
        <f t="shared" si="1"/>
        <v>0.2692307692</v>
      </c>
      <c r="G1376" s="5">
        <f t="shared" si="2"/>
        <v>7.730769231</v>
      </c>
      <c r="H1376" s="3">
        <v>1376.0</v>
      </c>
      <c r="I1376" s="17"/>
    </row>
    <row r="1377">
      <c r="A1377" s="3">
        <v>8.0</v>
      </c>
      <c r="B1377" s="3">
        <v>604.0</v>
      </c>
      <c r="C1377" s="3">
        <v>2444.0</v>
      </c>
      <c r="D1377" s="3">
        <v>51.0</v>
      </c>
      <c r="E1377" s="3">
        <v>46.0</v>
      </c>
      <c r="F1377" s="11">
        <f t="shared" si="1"/>
        <v>0.2471358429</v>
      </c>
      <c r="G1377" s="5">
        <f t="shared" si="2"/>
        <v>7.752864157</v>
      </c>
      <c r="H1377" s="3">
        <v>1377.0</v>
      </c>
      <c r="I1377" s="17"/>
    </row>
    <row r="1378">
      <c r="A1378" s="3">
        <v>8.0</v>
      </c>
      <c r="B1378" s="3">
        <v>564.0</v>
      </c>
      <c r="C1378" s="3">
        <v>2496.0</v>
      </c>
      <c r="D1378" s="3">
        <v>51.0</v>
      </c>
      <c r="E1378" s="3">
        <v>47.0</v>
      </c>
      <c r="F1378" s="11">
        <f t="shared" si="1"/>
        <v>0.2259615385</v>
      </c>
      <c r="G1378" s="5">
        <f t="shared" si="2"/>
        <v>7.774038462</v>
      </c>
      <c r="H1378" s="3">
        <v>1378.0</v>
      </c>
      <c r="I1378" s="17"/>
    </row>
    <row r="1379">
      <c r="A1379" s="3">
        <v>8.0</v>
      </c>
      <c r="B1379" s="3">
        <v>528.0</v>
      </c>
      <c r="C1379" s="3">
        <v>2548.0</v>
      </c>
      <c r="D1379" s="3">
        <v>51.0</v>
      </c>
      <c r="E1379" s="3">
        <v>48.0</v>
      </c>
      <c r="F1379" s="11">
        <f t="shared" si="1"/>
        <v>0.2072213501</v>
      </c>
      <c r="G1379" s="5">
        <f t="shared" si="2"/>
        <v>7.79277865</v>
      </c>
      <c r="H1379" s="3">
        <v>1379.0</v>
      </c>
      <c r="I1379" s="17"/>
    </row>
    <row r="1380">
      <c r="A1380" s="3">
        <v>8.0</v>
      </c>
      <c r="B1380" s="3">
        <v>492.0</v>
      </c>
      <c r="C1380" s="3">
        <v>2600.0</v>
      </c>
      <c r="D1380" s="3">
        <v>51.0</v>
      </c>
      <c r="E1380" s="3">
        <v>49.0</v>
      </c>
      <c r="F1380" s="11">
        <f t="shared" si="1"/>
        <v>0.1892307692</v>
      </c>
      <c r="G1380" s="5">
        <f t="shared" si="2"/>
        <v>7.810769231</v>
      </c>
      <c r="H1380" s="3">
        <v>1380.0</v>
      </c>
      <c r="I1380" s="17"/>
    </row>
    <row r="1381">
      <c r="A1381" s="3">
        <v>8.0</v>
      </c>
      <c r="B1381" s="3">
        <v>460.0</v>
      </c>
      <c r="C1381" s="3">
        <v>2652.0</v>
      </c>
      <c r="D1381" s="3">
        <v>51.0</v>
      </c>
      <c r="E1381" s="3">
        <v>50.0</v>
      </c>
      <c r="F1381" s="11">
        <f t="shared" si="1"/>
        <v>0.173453997</v>
      </c>
      <c r="G1381" s="5">
        <f t="shared" si="2"/>
        <v>7.826546003</v>
      </c>
      <c r="H1381" s="3">
        <v>1381.0</v>
      </c>
      <c r="I1381" s="17"/>
    </row>
    <row r="1382">
      <c r="A1382" s="3">
        <v>8.0</v>
      </c>
      <c r="B1382" s="3">
        <v>428.0</v>
      </c>
      <c r="C1382" s="3">
        <v>2704.0</v>
      </c>
      <c r="D1382" s="3">
        <v>51.0</v>
      </c>
      <c r="E1382" s="3">
        <v>51.0</v>
      </c>
      <c r="F1382" s="11">
        <f t="shared" si="1"/>
        <v>0.1582840237</v>
      </c>
      <c r="G1382" s="5">
        <f t="shared" si="2"/>
        <v>7.841715976</v>
      </c>
      <c r="H1382" s="3">
        <v>1382.0</v>
      </c>
      <c r="I1382" s="17"/>
    </row>
    <row r="1383">
      <c r="A1383" s="3">
        <v>8.0</v>
      </c>
      <c r="B1383" s="3">
        <v>1109.0</v>
      </c>
      <c r="C1383" s="3">
        <v>1113.0</v>
      </c>
      <c r="D1383" s="3">
        <v>52.0</v>
      </c>
      <c r="E1383" s="3">
        <v>20.0</v>
      </c>
      <c r="F1383" s="11">
        <f t="shared" si="1"/>
        <v>0.9964061096</v>
      </c>
      <c r="G1383" s="5">
        <f t="shared" si="2"/>
        <v>7.00359389</v>
      </c>
      <c r="H1383" s="3">
        <v>1383.0</v>
      </c>
      <c r="I1383" s="17"/>
    </row>
    <row r="1384">
      <c r="A1384" s="3">
        <v>8.0</v>
      </c>
      <c r="B1384" s="3">
        <v>1150.0</v>
      </c>
      <c r="C1384" s="3">
        <v>1166.0</v>
      </c>
      <c r="D1384" s="3">
        <v>52.0</v>
      </c>
      <c r="E1384" s="3">
        <v>21.0</v>
      </c>
      <c r="F1384" s="11">
        <f t="shared" si="1"/>
        <v>0.9862778731</v>
      </c>
      <c r="G1384" s="5">
        <f t="shared" si="2"/>
        <v>7.013722127</v>
      </c>
      <c r="H1384" s="3">
        <v>1384.0</v>
      </c>
      <c r="I1384" s="17"/>
    </row>
    <row r="1385">
      <c r="A1385" s="3">
        <v>8.0</v>
      </c>
      <c r="B1385" s="3">
        <v>1183.0</v>
      </c>
      <c r="C1385" s="3">
        <v>1219.0</v>
      </c>
      <c r="D1385" s="3">
        <v>52.0</v>
      </c>
      <c r="E1385" s="3">
        <v>22.0</v>
      </c>
      <c r="F1385" s="11">
        <f t="shared" si="1"/>
        <v>0.9704675964</v>
      </c>
      <c r="G1385" s="5">
        <f t="shared" si="2"/>
        <v>7.029532404</v>
      </c>
      <c r="H1385" s="3">
        <v>1385.0</v>
      </c>
      <c r="I1385" s="17"/>
    </row>
    <row r="1386">
      <c r="A1386" s="3">
        <v>8.0</v>
      </c>
      <c r="B1386" s="3">
        <v>1208.0</v>
      </c>
      <c r="C1386" s="3">
        <v>1272.0</v>
      </c>
      <c r="D1386" s="3">
        <v>52.0</v>
      </c>
      <c r="E1386" s="3">
        <v>23.0</v>
      </c>
      <c r="F1386" s="11">
        <f t="shared" si="1"/>
        <v>0.9496855346</v>
      </c>
      <c r="G1386" s="5">
        <f t="shared" si="2"/>
        <v>7.050314465</v>
      </c>
      <c r="H1386" s="3">
        <v>1386.0</v>
      </c>
      <c r="I1386" s="17"/>
    </row>
    <row r="1387">
      <c r="A1387" s="3">
        <v>8.0</v>
      </c>
      <c r="B1387" s="3">
        <v>1225.0</v>
      </c>
      <c r="C1387" s="3">
        <v>1325.0</v>
      </c>
      <c r="D1387" s="3">
        <v>52.0</v>
      </c>
      <c r="E1387" s="3">
        <v>24.0</v>
      </c>
      <c r="F1387" s="11">
        <f t="shared" si="1"/>
        <v>0.9245283019</v>
      </c>
      <c r="G1387" s="5">
        <f t="shared" si="2"/>
        <v>7.075471698</v>
      </c>
      <c r="H1387" s="3">
        <v>1387.0</v>
      </c>
      <c r="I1387" s="17"/>
    </row>
    <row r="1388">
      <c r="A1388" s="3">
        <v>8.0</v>
      </c>
      <c r="B1388" s="3">
        <v>1234.0</v>
      </c>
      <c r="C1388" s="3">
        <v>1378.0</v>
      </c>
      <c r="D1388" s="3">
        <v>52.0</v>
      </c>
      <c r="E1388" s="3">
        <v>25.0</v>
      </c>
      <c r="F1388" s="11">
        <f t="shared" si="1"/>
        <v>0.8955007257</v>
      </c>
      <c r="G1388" s="5">
        <f t="shared" si="2"/>
        <v>7.104499274</v>
      </c>
      <c r="H1388" s="3">
        <v>1388.0</v>
      </c>
      <c r="I1388" s="17"/>
    </row>
    <row r="1389">
      <c r="A1389" s="3">
        <v>8.0</v>
      </c>
      <c r="B1389" s="3">
        <v>1239.0</v>
      </c>
      <c r="C1389" s="3">
        <v>1431.0</v>
      </c>
      <c r="D1389" s="3">
        <v>52.0</v>
      </c>
      <c r="E1389" s="3">
        <v>26.0</v>
      </c>
      <c r="F1389" s="11">
        <f t="shared" si="1"/>
        <v>0.8658280922</v>
      </c>
      <c r="G1389" s="5">
        <f t="shared" si="2"/>
        <v>7.134171908</v>
      </c>
      <c r="H1389" s="3">
        <v>1389.0</v>
      </c>
      <c r="I1389" s="17"/>
    </row>
    <row r="1390">
      <c r="A1390" s="3">
        <v>8.0</v>
      </c>
      <c r="B1390" s="3">
        <v>1236.0</v>
      </c>
      <c r="C1390" s="3">
        <v>1484.0</v>
      </c>
      <c r="D1390" s="3">
        <v>52.0</v>
      </c>
      <c r="E1390" s="3">
        <v>27.0</v>
      </c>
      <c r="F1390" s="11">
        <f t="shared" si="1"/>
        <v>0.832884097</v>
      </c>
      <c r="G1390" s="5">
        <f t="shared" si="2"/>
        <v>7.167115903</v>
      </c>
      <c r="H1390" s="3">
        <v>1390.0</v>
      </c>
      <c r="I1390" s="17"/>
    </row>
    <row r="1391">
      <c r="A1391" s="3">
        <v>8.0</v>
      </c>
      <c r="B1391" s="3">
        <v>1229.0</v>
      </c>
      <c r="C1391" s="3">
        <v>1537.0</v>
      </c>
      <c r="D1391" s="3">
        <v>52.0</v>
      </c>
      <c r="E1391" s="3">
        <v>28.0</v>
      </c>
      <c r="F1391" s="11">
        <f t="shared" si="1"/>
        <v>0.7996096291</v>
      </c>
      <c r="G1391" s="5">
        <f t="shared" si="2"/>
        <v>7.200390371</v>
      </c>
      <c r="H1391" s="3">
        <v>1391.0</v>
      </c>
      <c r="I1391" s="17"/>
    </row>
    <row r="1392">
      <c r="A1392" s="3">
        <v>8.0</v>
      </c>
      <c r="B1392" s="3">
        <v>1218.0</v>
      </c>
      <c r="C1392" s="3">
        <v>1590.0</v>
      </c>
      <c r="D1392" s="3">
        <v>52.0</v>
      </c>
      <c r="E1392" s="3">
        <v>29.0</v>
      </c>
      <c r="F1392" s="11">
        <f t="shared" si="1"/>
        <v>0.7660377358</v>
      </c>
      <c r="G1392" s="5">
        <f t="shared" si="2"/>
        <v>7.233962264</v>
      </c>
      <c r="H1392" s="3">
        <v>1392.0</v>
      </c>
      <c r="I1392" s="17"/>
    </row>
    <row r="1393">
      <c r="A1393" s="3">
        <v>8.0</v>
      </c>
      <c r="B1393" s="3">
        <v>1203.0</v>
      </c>
      <c r="C1393" s="3">
        <v>1643.0</v>
      </c>
      <c r="D1393" s="3">
        <v>52.0</v>
      </c>
      <c r="E1393" s="3">
        <v>30.0</v>
      </c>
      <c r="F1393" s="11">
        <f t="shared" si="1"/>
        <v>0.7321972002</v>
      </c>
      <c r="G1393" s="5">
        <f t="shared" si="2"/>
        <v>7.2678028</v>
      </c>
      <c r="H1393" s="3">
        <v>1393.0</v>
      </c>
      <c r="I1393" s="17"/>
    </row>
    <row r="1394">
      <c r="A1394" s="3">
        <v>8.0</v>
      </c>
      <c r="B1394" s="3">
        <v>1184.0</v>
      </c>
      <c r="C1394" s="3">
        <v>1696.0</v>
      </c>
      <c r="D1394" s="3">
        <v>52.0</v>
      </c>
      <c r="E1394" s="3">
        <v>31.0</v>
      </c>
      <c r="F1394" s="11">
        <f t="shared" si="1"/>
        <v>0.6981132075</v>
      </c>
      <c r="G1394" s="5">
        <f t="shared" si="2"/>
        <v>7.301886792</v>
      </c>
      <c r="H1394" s="3">
        <v>1394.0</v>
      </c>
      <c r="I1394" s="17"/>
    </row>
    <row r="1395">
      <c r="A1395" s="3">
        <v>8.0</v>
      </c>
      <c r="B1395" s="3">
        <v>1161.0</v>
      </c>
      <c r="C1395" s="3">
        <v>1749.0</v>
      </c>
      <c r="D1395" s="3">
        <v>52.0</v>
      </c>
      <c r="E1395" s="3">
        <v>32.0</v>
      </c>
      <c r="F1395" s="11">
        <f t="shared" si="1"/>
        <v>0.6638078902</v>
      </c>
      <c r="G1395" s="5">
        <f t="shared" si="2"/>
        <v>7.33619211</v>
      </c>
      <c r="H1395" s="3">
        <v>1395.0</v>
      </c>
      <c r="I1395" s="17"/>
    </row>
    <row r="1396">
      <c r="A1396" s="3">
        <v>8.0</v>
      </c>
      <c r="B1396" s="3">
        <v>1134.0</v>
      </c>
      <c r="C1396" s="3">
        <v>1802.0</v>
      </c>
      <c r="D1396" s="3">
        <v>52.0</v>
      </c>
      <c r="E1396" s="3">
        <v>33.0</v>
      </c>
      <c r="F1396" s="11">
        <f t="shared" si="1"/>
        <v>0.6293007769</v>
      </c>
      <c r="G1396" s="5">
        <f t="shared" si="2"/>
        <v>7.370699223</v>
      </c>
      <c r="H1396" s="3">
        <v>1396.0</v>
      </c>
      <c r="I1396" s="17"/>
    </row>
    <row r="1397">
      <c r="A1397" s="3">
        <v>8.0</v>
      </c>
      <c r="B1397" s="3">
        <v>1103.0</v>
      </c>
      <c r="C1397" s="3">
        <v>1855.0</v>
      </c>
      <c r="D1397" s="3">
        <v>52.0</v>
      </c>
      <c r="E1397" s="3">
        <v>34.0</v>
      </c>
      <c r="F1397" s="11">
        <f t="shared" si="1"/>
        <v>0.5946091644</v>
      </c>
      <c r="G1397" s="5">
        <f t="shared" si="2"/>
        <v>7.405390836</v>
      </c>
      <c r="H1397" s="3">
        <v>1397.0</v>
      </c>
      <c r="I1397" s="17"/>
    </row>
    <row r="1398">
      <c r="A1398" s="3">
        <v>8.0</v>
      </c>
      <c r="B1398" s="3">
        <v>1068.0</v>
      </c>
      <c r="C1398" s="3">
        <v>1908.0</v>
      </c>
      <c r="D1398" s="3">
        <v>52.0</v>
      </c>
      <c r="E1398" s="3">
        <v>35.0</v>
      </c>
      <c r="F1398" s="11">
        <f t="shared" si="1"/>
        <v>0.5597484277</v>
      </c>
      <c r="G1398" s="5">
        <f t="shared" si="2"/>
        <v>7.440251572</v>
      </c>
      <c r="H1398" s="3">
        <v>1398.0</v>
      </c>
      <c r="I1398" s="17"/>
    </row>
    <row r="1399">
      <c r="A1399" s="3">
        <v>8.0</v>
      </c>
      <c r="B1399" s="3">
        <v>1029.0</v>
      </c>
      <c r="C1399" s="3">
        <v>1961.0</v>
      </c>
      <c r="D1399" s="3">
        <v>52.0</v>
      </c>
      <c r="E1399" s="3">
        <v>36.0</v>
      </c>
      <c r="F1399" s="11">
        <f t="shared" si="1"/>
        <v>0.5247322794</v>
      </c>
      <c r="G1399" s="5">
        <f t="shared" si="2"/>
        <v>7.475267721</v>
      </c>
      <c r="H1399" s="3">
        <v>1399.0</v>
      </c>
      <c r="I1399" s="17"/>
    </row>
    <row r="1400">
      <c r="A1400" s="3">
        <v>8.0</v>
      </c>
      <c r="B1400" s="3">
        <v>986.0</v>
      </c>
      <c r="C1400" s="3">
        <v>2014.0</v>
      </c>
      <c r="D1400" s="3">
        <v>52.0</v>
      </c>
      <c r="E1400" s="3">
        <v>37.0</v>
      </c>
      <c r="F1400" s="11">
        <f t="shared" si="1"/>
        <v>0.4895729891</v>
      </c>
      <c r="G1400" s="5">
        <f t="shared" si="2"/>
        <v>7.510427011</v>
      </c>
      <c r="H1400" s="3">
        <v>1400.0</v>
      </c>
      <c r="I1400" s="17"/>
    </row>
    <row r="1401">
      <c r="A1401" s="3">
        <v>8.0</v>
      </c>
      <c r="B1401" s="3">
        <v>939.0</v>
      </c>
      <c r="C1401" s="3">
        <v>2067.0</v>
      </c>
      <c r="D1401" s="3">
        <v>52.0</v>
      </c>
      <c r="E1401" s="3">
        <v>38.0</v>
      </c>
      <c r="F1401" s="11">
        <f t="shared" si="1"/>
        <v>0.4542815675</v>
      </c>
      <c r="G1401" s="5">
        <f t="shared" si="2"/>
        <v>7.545718433</v>
      </c>
      <c r="H1401" s="3">
        <v>1401.0</v>
      </c>
      <c r="I1401" s="17"/>
    </row>
    <row r="1402">
      <c r="A1402" s="3">
        <v>8.0</v>
      </c>
      <c r="B1402" s="3">
        <v>888.0</v>
      </c>
      <c r="C1402" s="3">
        <v>2120.0</v>
      </c>
      <c r="D1402" s="3">
        <v>52.0</v>
      </c>
      <c r="E1402" s="3">
        <v>39.0</v>
      </c>
      <c r="F1402" s="11">
        <f t="shared" si="1"/>
        <v>0.4188679245</v>
      </c>
      <c r="G1402" s="5">
        <f t="shared" si="2"/>
        <v>7.581132075</v>
      </c>
      <c r="H1402" s="3">
        <v>1402.0</v>
      </c>
      <c r="I1402" s="17"/>
    </row>
    <row r="1403">
      <c r="A1403" s="3">
        <v>8.0</v>
      </c>
      <c r="B1403" s="3">
        <v>839.0</v>
      </c>
      <c r="C1403" s="3">
        <v>2173.0</v>
      </c>
      <c r="D1403" s="3">
        <v>52.0</v>
      </c>
      <c r="E1403" s="3">
        <v>40.0</v>
      </c>
      <c r="F1403" s="11">
        <f t="shared" si="1"/>
        <v>0.3861021629</v>
      </c>
      <c r="G1403" s="5">
        <f t="shared" si="2"/>
        <v>7.613897837</v>
      </c>
      <c r="H1403" s="3">
        <v>1403.0</v>
      </c>
      <c r="I1403" s="17"/>
    </row>
    <row r="1404">
      <c r="A1404" s="3">
        <v>8.0</v>
      </c>
      <c r="B1404" s="3">
        <v>788.0</v>
      </c>
      <c r="C1404" s="3">
        <v>2226.0</v>
      </c>
      <c r="D1404" s="3">
        <v>52.0</v>
      </c>
      <c r="E1404" s="3">
        <v>41.0</v>
      </c>
      <c r="F1404" s="11">
        <f t="shared" si="1"/>
        <v>0.3539982031</v>
      </c>
      <c r="G1404" s="5">
        <f t="shared" si="2"/>
        <v>7.646001797</v>
      </c>
      <c r="H1404" s="3">
        <v>1404.0</v>
      </c>
      <c r="I1404" s="17"/>
    </row>
    <row r="1405">
      <c r="A1405" s="3">
        <v>8.0</v>
      </c>
      <c r="B1405" s="3">
        <v>741.0</v>
      </c>
      <c r="C1405" s="3">
        <v>2279.0</v>
      </c>
      <c r="D1405" s="3">
        <v>52.0</v>
      </c>
      <c r="E1405" s="3">
        <v>42.0</v>
      </c>
      <c r="F1405" s="11">
        <f t="shared" si="1"/>
        <v>0.3251426064</v>
      </c>
      <c r="G1405" s="5">
        <f t="shared" si="2"/>
        <v>7.674857394</v>
      </c>
      <c r="H1405" s="3">
        <v>1405.0</v>
      </c>
      <c r="I1405" s="17"/>
    </row>
    <row r="1406">
      <c r="A1406" s="3">
        <v>8.0</v>
      </c>
      <c r="B1406" s="3">
        <v>694.0</v>
      </c>
      <c r="C1406" s="3">
        <v>2332.0</v>
      </c>
      <c r="D1406" s="3">
        <v>52.0</v>
      </c>
      <c r="E1406" s="3">
        <v>43.0</v>
      </c>
      <c r="F1406" s="11">
        <f t="shared" si="1"/>
        <v>0.2975986278</v>
      </c>
      <c r="G1406" s="5">
        <f t="shared" si="2"/>
        <v>7.702401372</v>
      </c>
      <c r="H1406" s="3">
        <v>1406.0</v>
      </c>
      <c r="I1406" s="17"/>
    </row>
    <row r="1407">
      <c r="A1407" s="3">
        <v>8.0</v>
      </c>
      <c r="B1407" s="3">
        <v>651.0</v>
      </c>
      <c r="C1407" s="3">
        <v>2385.0</v>
      </c>
      <c r="D1407" s="3">
        <v>52.0</v>
      </c>
      <c r="E1407" s="3">
        <v>44.0</v>
      </c>
      <c r="F1407" s="11">
        <f t="shared" si="1"/>
        <v>0.2729559748</v>
      </c>
      <c r="G1407" s="5">
        <f t="shared" si="2"/>
        <v>7.727044025</v>
      </c>
      <c r="H1407" s="3">
        <v>1407.0</v>
      </c>
      <c r="I1407" s="17"/>
    </row>
    <row r="1408">
      <c r="A1408" s="3">
        <v>8.0</v>
      </c>
      <c r="B1408" s="3">
        <v>608.0</v>
      </c>
      <c r="C1408" s="3">
        <v>2438.0</v>
      </c>
      <c r="D1408" s="3">
        <v>52.0</v>
      </c>
      <c r="E1408" s="3">
        <v>45.0</v>
      </c>
      <c r="F1408" s="11">
        <f t="shared" si="1"/>
        <v>0.2493847416</v>
      </c>
      <c r="G1408" s="5">
        <f t="shared" si="2"/>
        <v>7.750615258</v>
      </c>
      <c r="H1408" s="3">
        <v>1408.0</v>
      </c>
      <c r="I1408" s="17"/>
    </row>
    <row r="1409">
      <c r="A1409" s="3">
        <v>8.0</v>
      </c>
      <c r="B1409" s="3">
        <v>569.0</v>
      </c>
      <c r="C1409" s="3">
        <v>2491.0</v>
      </c>
      <c r="D1409" s="3">
        <v>52.0</v>
      </c>
      <c r="E1409" s="3">
        <v>46.0</v>
      </c>
      <c r="F1409" s="11">
        <f t="shared" si="1"/>
        <v>0.2284223204</v>
      </c>
      <c r="G1409" s="5">
        <f t="shared" si="2"/>
        <v>7.77157768</v>
      </c>
      <c r="H1409" s="3">
        <v>1409.0</v>
      </c>
      <c r="I1409" s="17"/>
    </row>
    <row r="1410">
      <c r="A1410" s="3">
        <v>8.0</v>
      </c>
      <c r="B1410" s="3">
        <v>530.0</v>
      </c>
      <c r="C1410" s="3">
        <v>2544.0</v>
      </c>
      <c r="D1410" s="3">
        <v>52.0</v>
      </c>
      <c r="E1410" s="3">
        <v>47.0</v>
      </c>
      <c r="F1410" s="11">
        <f t="shared" si="1"/>
        <v>0.2083333333</v>
      </c>
      <c r="G1410" s="5">
        <f t="shared" si="2"/>
        <v>7.791666667</v>
      </c>
      <c r="H1410" s="3">
        <v>1410.0</v>
      </c>
      <c r="I1410" s="17"/>
    </row>
    <row r="1411">
      <c r="A1411" s="3">
        <v>8.0</v>
      </c>
      <c r="B1411" s="3">
        <v>495.0</v>
      </c>
      <c r="C1411" s="3">
        <v>2597.0</v>
      </c>
      <c r="D1411" s="3">
        <v>52.0</v>
      </c>
      <c r="E1411" s="3">
        <v>48.0</v>
      </c>
      <c r="F1411" s="11">
        <f t="shared" si="1"/>
        <v>0.1906045437</v>
      </c>
      <c r="G1411" s="5">
        <f t="shared" si="2"/>
        <v>7.809395456</v>
      </c>
      <c r="H1411" s="3">
        <v>1411.0</v>
      </c>
      <c r="I1411" s="17"/>
    </row>
    <row r="1412">
      <c r="A1412" s="3">
        <v>8.0</v>
      </c>
      <c r="B1412" s="3">
        <v>460.0</v>
      </c>
      <c r="C1412" s="3">
        <v>2650.0</v>
      </c>
      <c r="D1412" s="3">
        <v>52.0</v>
      </c>
      <c r="E1412" s="3">
        <v>49.0</v>
      </c>
      <c r="F1412" s="11">
        <f t="shared" si="1"/>
        <v>0.1735849057</v>
      </c>
      <c r="G1412" s="5">
        <f t="shared" si="2"/>
        <v>7.826415094</v>
      </c>
      <c r="H1412" s="3">
        <v>1412.0</v>
      </c>
      <c r="I1412" s="17"/>
    </row>
    <row r="1413">
      <c r="A1413" s="3">
        <v>8.0</v>
      </c>
      <c r="B1413" s="3">
        <v>429.0</v>
      </c>
      <c r="C1413" s="3">
        <v>2703.0</v>
      </c>
      <c r="D1413" s="3">
        <v>52.0</v>
      </c>
      <c r="E1413" s="3">
        <v>50.0</v>
      </c>
      <c r="F1413" s="11">
        <f t="shared" si="1"/>
        <v>0.1587125416</v>
      </c>
      <c r="G1413" s="5">
        <f t="shared" si="2"/>
        <v>7.841287458</v>
      </c>
      <c r="H1413" s="3">
        <v>1413.0</v>
      </c>
      <c r="I1413" s="17"/>
    </row>
    <row r="1414">
      <c r="A1414" s="3">
        <v>8.0</v>
      </c>
      <c r="B1414" s="3">
        <v>398.0</v>
      </c>
      <c r="C1414" s="3">
        <v>2756.0</v>
      </c>
      <c r="D1414" s="3">
        <v>52.0</v>
      </c>
      <c r="E1414" s="3">
        <v>51.0</v>
      </c>
      <c r="F1414" s="11">
        <f t="shared" si="1"/>
        <v>0.1444121916</v>
      </c>
      <c r="G1414" s="5">
        <f t="shared" si="2"/>
        <v>7.855587808</v>
      </c>
      <c r="H1414" s="3">
        <v>1414.0</v>
      </c>
      <c r="I1414" s="17"/>
    </row>
    <row r="1415">
      <c r="A1415" s="3">
        <v>8.0</v>
      </c>
      <c r="B1415" s="3">
        <v>369.0</v>
      </c>
      <c r="C1415" s="3">
        <v>2809.0</v>
      </c>
      <c r="D1415" s="3">
        <v>52.0</v>
      </c>
      <c r="E1415" s="3">
        <v>52.0</v>
      </c>
      <c r="F1415" s="11">
        <f t="shared" si="1"/>
        <v>0.1313634745</v>
      </c>
      <c r="G1415" s="5">
        <f t="shared" si="2"/>
        <v>7.868636525</v>
      </c>
      <c r="H1415" s="3">
        <v>1415.0</v>
      </c>
      <c r="I1415" s="17"/>
    </row>
    <row r="1416">
      <c r="A1416" s="3">
        <v>8.0</v>
      </c>
      <c r="B1416" s="3">
        <v>1126.0</v>
      </c>
      <c r="C1416" s="3">
        <v>1134.0</v>
      </c>
      <c r="D1416" s="3">
        <v>53.0</v>
      </c>
      <c r="E1416" s="3">
        <v>20.0</v>
      </c>
      <c r="F1416" s="11">
        <f t="shared" si="1"/>
        <v>0.9929453263</v>
      </c>
      <c r="G1416" s="5">
        <f t="shared" si="2"/>
        <v>7.007054674</v>
      </c>
      <c r="H1416" s="3">
        <v>1416.0</v>
      </c>
      <c r="I1416" s="17"/>
    </row>
    <row r="1417">
      <c r="A1417" s="3">
        <v>8.0</v>
      </c>
      <c r="B1417" s="3">
        <v>1164.0</v>
      </c>
      <c r="C1417" s="3">
        <v>1188.0</v>
      </c>
      <c r="D1417" s="3">
        <v>53.0</v>
      </c>
      <c r="E1417" s="3">
        <v>21.0</v>
      </c>
      <c r="F1417" s="11">
        <f t="shared" si="1"/>
        <v>0.9797979798</v>
      </c>
      <c r="G1417" s="5">
        <f t="shared" si="2"/>
        <v>7.02020202</v>
      </c>
      <c r="H1417" s="3">
        <v>1417.0</v>
      </c>
      <c r="I1417" s="17"/>
    </row>
    <row r="1418">
      <c r="A1418" s="3">
        <v>8.0</v>
      </c>
      <c r="B1418" s="3">
        <v>1194.0</v>
      </c>
      <c r="C1418" s="3">
        <v>1242.0</v>
      </c>
      <c r="D1418" s="3">
        <v>53.0</v>
      </c>
      <c r="E1418" s="3">
        <v>22.0</v>
      </c>
      <c r="F1418" s="11">
        <f t="shared" si="1"/>
        <v>0.961352657</v>
      </c>
      <c r="G1418" s="5">
        <f t="shared" si="2"/>
        <v>7.038647343</v>
      </c>
      <c r="H1418" s="3">
        <v>1418.0</v>
      </c>
      <c r="I1418" s="17"/>
    </row>
    <row r="1419">
      <c r="A1419" s="3">
        <v>8.0</v>
      </c>
      <c r="B1419" s="3">
        <v>1216.0</v>
      </c>
      <c r="C1419" s="3">
        <v>1296.0</v>
      </c>
      <c r="D1419" s="3">
        <v>53.0</v>
      </c>
      <c r="E1419" s="3">
        <v>23.0</v>
      </c>
      <c r="F1419" s="11">
        <f t="shared" si="1"/>
        <v>0.9382716049</v>
      </c>
      <c r="G1419" s="5">
        <f t="shared" si="2"/>
        <v>7.061728395</v>
      </c>
      <c r="H1419" s="3">
        <v>1419.0</v>
      </c>
      <c r="I1419" s="17"/>
    </row>
    <row r="1420">
      <c r="A1420" s="3">
        <v>8.0</v>
      </c>
      <c r="B1420" s="3">
        <v>1230.0</v>
      </c>
      <c r="C1420" s="3">
        <v>1350.0</v>
      </c>
      <c r="D1420" s="3">
        <v>53.0</v>
      </c>
      <c r="E1420" s="3">
        <v>24.0</v>
      </c>
      <c r="F1420" s="11">
        <f t="shared" si="1"/>
        <v>0.9111111111</v>
      </c>
      <c r="G1420" s="5">
        <f t="shared" si="2"/>
        <v>7.088888889</v>
      </c>
      <c r="H1420" s="3">
        <v>1420.0</v>
      </c>
      <c r="I1420" s="17"/>
    </row>
    <row r="1421">
      <c r="A1421" s="3">
        <v>8.0</v>
      </c>
      <c r="B1421" s="3">
        <v>1236.0</v>
      </c>
      <c r="C1421" s="3">
        <v>1404.0</v>
      </c>
      <c r="D1421" s="3">
        <v>53.0</v>
      </c>
      <c r="E1421" s="3">
        <v>25.0</v>
      </c>
      <c r="F1421" s="11">
        <f t="shared" si="1"/>
        <v>0.8803418803</v>
      </c>
      <c r="G1421" s="5">
        <f t="shared" si="2"/>
        <v>7.11965812</v>
      </c>
      <c r="H1421" s="3">
        <v>1421.0</v>
      </c>
      <c r="I1421" s="17"/>
    </row>
    <row r="1422">
      <c r="A1422" s="3">
        <v>8.0</v>
      </c>
      <c r="B1422" s="3">
        <v>1238.0</v>
      </c>
      <c r="C1422" s="3">
        <v>1458.0</v>
      </c>
      <c r="D1422" s="3">
        <v>53.0</v>
      </c>
      <c r="E1422" s="3">
        <v>26.0</v>
      </c>
      <c r="F1422" s="11">
        <f t="shared" si="1"/>
        <v>0.8491083676</v>
      </c>
      <c r="G1422" s="5">
        <f t="shared" si="2"/>
        <v>7.150891632</v>
      </c>
      <c r="H1422" s="3">
        <v>1422.0</v>
      </c>
      <c r="I1422" s="17"/>
    </row>
    <row r="1423">
      <c r="A1423" s="3">
        <v>8.0</v>
      </c>
      <c r="B1423" s="3">
        <v>1232.0</v>
      </c>
      <c r="C1423" s="3">
        <v>1512.0</v>
      </c>
      <c r="D1423" s="3">
        <v>53.0</v>
      </c>
      <c r="E1423" s="3">
        <v>27.0</v>
      </c>
      <c r="F1423" s="11">
        <f t="shared" si="1"/>
        <v>0.8148148148</v>
      </c>
      <c r="G1423" s="5">
        <f t="shared" si="2"/>
        <v>7.185185185</v>
      </c>
      <c r="H1423" s="3">
        <v>1423.0</v>
      </c>
      <c r="I1423" s="17"/>
    </row>
    <row r="1424">
      <c r="A1424" s="3">
        <v>8.0</v>
      </c>
      <c r="B1424" s="3">
        <v>1222.0</v>
      </c>
      <c r="C1424" s="3">
        <v>1566.0</v>
      </c>
      <c r="D1424" s="3">
        <v>53.0</v>
      </c>
      <c r="E1424" s="3">
        <v>28.0</v>
      </c>
      <c r="F1424" s="11">
        <f t="shared" si="1"/>
        <v>0.7803320562</v>
      </c>
      <c r="G1424" s="5">
        <f t="shared" si="2"/>
        <v>7.219667944</v>
      </c>
      <c r="H1424" s="3">
        <v>1424.0</v>
      </c>
      <c r="I1424" s="17"/>
    </row>
    <row r="1425">
      <c r="A1425" s="3">
        <v>8.0</v>
      </c>
      <c r="B1425" s="3">
        <v>1208.0</v>
      </c>
      <c r="C1425" s="3">
        <v>1620.0</v>
      </c>
      <c r="D1425" s="3">
        <v>53.0</v>
      </c>
      <c r="E1425" s="3">
        <v>29.0</v>
      </c>
      <c r="F1425" s="11">
        <f t="shared" si="1"/>
        <v>0.7456790123</v>
      </c>
      <c r="G1425" s="5">
        <f t="shared" si="2"/>
        <v>7.254320988</v>
      </c>
      <c r="H1425" s="3">
        <v>1425.0</v>
      </c>
      <c r="I1425" s="17"/>
    </row>
    <row r="1426">
      <c r="A1426" s="3">
        <v>8.0</v>
      </c>
      <c r="B1426" s="3">
        <v>1190.0</v>
      </c>
      <c r="C1426" s="3">
        <v>1674.0</v>
      </c>
      <c r="D1426" s="3">
        <v>53.0</v>
      </c>
      <c r="E1426" s="3">
        <v>30.0</v>
      </c>
      <c r="F1426" s="11">
        <f t="shared" si="1"/>
        <v>0.7108721625</v>
      </c>
      <c r="G1426" s="5">
        <f t="shared" si="2"/>
        <v>7.289127838</v>
      </c>
      <c r="H1426" s="3">
        <v>1426.0</v>
      </c>
      <c r="I1426" s="17"/>
    </row>
    <row r="1427">
      <c r="A1427" s="3">
        <v>8.0</v>
      </c>
      <c r="B1427" s="3">
        <v>1168.0</v>
      </c>
      <c r="C1427" s="3">
        <v>1728.0</v>
      </c>
      <c r="D1427" s="3">
        <v>53.0</v>
      </c>
      <c r="E1427" s="3">
        <v>31.0</v>
      </c>
      <c r="F1427" s="11">
        <f t="shared" si="1"/>
        <v>0.6759259259</v>
      </c>
      <c r="G1427" s="5">
        <f t="shared" si="2"/>
        <v>7.324074074</v>
      </c>
      <c r="H1427" s="3">
        <v>1427.0</v>
      </c>
      <c r="I1427" s="17"/>
    </row>
    <row r="1428">
      <c r="A1428" s="3">
        <v>8.0</v>
      </c>
      <c r="B1428" s="3">
        <v>1142.0</v>
      </c>
      <c r="C1428" s="3">
        <v>1782.0</v>
      </c>
      <c r="D1428" s="3">
        <v>53.0</v>
      </c>
      <c r="E1428" s="3">
        <v>32.0</v>
      </c>
      <c r="F1428" s="11">
        <f t="shared" si="1"/>
        <v>0.6408529742</v>
      </c>
      <c r="G1428" s="5">
        <f t="shared" si="2"/>
        <v>7.359147026</v>
      </c>
      <c r="H1428" s="3">
        <v>1428.0</v>
      </c>
      <c r="I1428" s="17"/>
    </row>
    <row r="1429">
      <c r="A1429" s="3">
        <v>8.0</v>
      </c>
      <c r="B1429" s="3">
        <v>1112.0</v>
      </c>
      <c r="C1429" s="3">
        <v>1836.0</v>
      </c>
      <c r="D1429" s="3">
        <v>53.0</v>
      </c>
      <c r="E1429" s="3">
        <v>33.0</v>
      </c>
      <c r="F1429" s="11">
        <f t="shared" si="1"/>
        <v>0.605664488</v>
      </c>
      <c r="G1429" s="5">
        <f t="shared" si="2"/>
        <v>7.394335512</v>
      </c>
      <c r="H1429" s="3">
        <v>1429.0</v>
      </c>
      <c r="I1429" s="17"/>
    </row>
    <row r="1430">
      <c r="A1430" s="3">
        <v>8.0</v>
      </c>
      <c r="B1430" s="3">
        <v>1078.0</v>
      </c>
      <c r="C1430" s="3">
        <v>1890.0</v>
      </c>
      <c r="D1430" s="3">
        <v>53.0</v>
      </c>
      <c r="E1430" s="3">
        <v>34.0</v>
      </c>
      <c r="F1430" s="11">
        <f t="shared" si="1"/>
        <v>0.5703703704</v>
      </c>
      <c r="G1430" s="5">
        <f t="shared" si="2"/>
        <v>7.42962963</v>
      </c>
      <c r="H1430" s="3">
        <v>1430.0</v>
      </c>
      <c r="I1430" s="17"/>
    </row>
    <row r="1431">
      <c r="A1431" s="3">
        <v>8.0</v>
      </c>
      <c r="B1431" s="3">
        <v>1040.0</v>
      </c>
      <c r="C1431" s="3">
        <v>1944.0</v>
      </c>
      <c r="D1431" s="3">
        <v>53.0</v>
      </c>
      <c r="E1431" s="3">
        <v>35.0</v>
      </c>
      <c r="F1431" s="11">
        <f t="shared" si="1"/>
        <v>0.5349794239</v>
      </c>
      <c r="G1431" s="5">
        <f t="shared" si="2"/>
        <v>7.465020576</v>
      </c>
      <c r="H1431" s="3">
        <v>1431.0</v>
      </c>
      <c r="I1431" s="17"/>
    </row>
    <row r="1432">
      <c r="A1432" s="3">
        <v>8.0</v>
      </c>
      <c r="B1432" s="3">
        <v>998.0</v>
      </c>
      <c r="C1432" s="3">
        <v>1998.0</v>
      </c>
      <c r="D1432" s="3">
        <v>53.0</v>
      </c>
      <c r="E1432" s="3">
        <v>36.0</v>
      </c>
      <c r="F1432" s="11">
        <f t="shared" si="1"/>
        <v>0.4994994995</v>
      </c>
      <c r="G1432" s="5">
        <f t="shared" si="2"/>
        <v>7.500500501</v>
      </c>
      <c r="H1432" s="3">
        <v>1432.0</v>
      </c>
      <c r="I1432" s="17"/>
    </row>
    <row r="1433">
      <c r="A1433" s="3">
        <v>8.0</v>
      </c>
      <c r="B1433" s="3">
        <v>952.0</v>
      </c>
      <c r="C1433" s="3">
        <v>2052.0</v>
      </c>
      <c r="D1433" s="3">
        <v>53.0</v>
      </c>
      <c r="E1433" s="3">
        <v>37.0</v>
      </c>
      <c r="F1433" s="11">
        <f t="shared" si="1"/>
        <v>0.4639376218</v>
      </c>
      <c r="G1433" s="5">
        <f t="shared" si="2"/>
        <v>7.536062378</v>
      </c>
      <c r="H1433" s="3">
        <v>1433.0</v>
      </c>
      <c r="I1433" s="17"/>
    </row>
    <row r="1434">
      <c r="A1434" s="3">
        <v>8.0</v>
      </c>
      <c r="B1434" s="3">
        <v>902.0</v>
      </c>
      <c r="C1434" s="3">
        <v>2106.0</v>
      </c>
      <c r="D1434" s="3">
        <v>53.0</v>
      </c>
      <c r="E1434" s="3">
        <v>38.0</v>
      </c>
      <c r="F1434" s="11">
        <f t="shared" si="1"/>
        <v>0.428300095</v>
      </c>
      <c r="G1434" s="5">
        <f t="shared" si="2"/>
        <v>7.571699905</v>
      </c>
      <c r="H1434" s="3">
        <v>1434.0</v>
      </c>
      <c r="I1434" s="17"/>
    </row>
    <row r="1435">
      <c r="A1435" s="3">
        <v>8.0</v>
      </c>
      <c r="B1435" s="3">
        <v>848.0</v>
      </c>
      <c r="C1435" s="3">
        <v>2160.0</v>
      </c>
      <c r="D1435" s="3">
        <v>53.0</v>
      </c>
      <c r="E1435" s="3">
        <v>39.0</v>
      </c>
      <c r="F1435" s="11">
        <f t="shared" si="1"/>
        <v>0.3925925926</v>
      </c>
      <c r="G1435" s="5">
        <f t="shared" si="2"/>
        <v>7.607407407</v>
      </c>
      <c r="H1435" s="3">
        <v>1435.0</v>
      </c>
      <c r="I1435" s="17"/>
    </row>
    <row r="1436">
      <c r="A1436" s="3">
        <v>8.0</v>
      </c>
      <c r="B1436" s="3">
        <v>798.0</v>
      </c>
      <c r="C1436" s="3">
        <v>2214.0</v>
      </c>
      <c r="D1436" s="3">
        <v>53.0</v>
      </c>
      <c r="E1436" s="3">
        <v>40.0</v>
      </c>
      <c r="F1436" s="11">
        <f t="shared" si="1"/>
        <v>0.3604336043</v>
      </c>
      <c r="G1436" s="5">
        <f t="shared" si="2"/>
        <v>7.639566396</v>
      </c>
      <c r="H1436" s="3">
        <v>1436.0</v>
      </c>
      <c r="I1436" s="17"/>
    </row>
    <row r="1437">
      <c r="A1437" s="3">
        <v>8.0</v>
      </c>
      <c r="B1437" s="3">
        <v>748.0</v>
      </c>
      <c r="C1437" s="3">
        <v>2268.0</v>
      </c>
      <c r="D1437" s="3">
        <v>53.0</v>
      </c>
      <c r="E1437" s="3">
        <v>41.0</v>
      </c>
      <c r="F1437" s="11">
        <f t="shared" si="1"/>
        <v>0.3298059965</v>
      </c>
      <c r="G1437" s="5">
        <f t="shared" si="2"/>
        <v>7.670194004</v>
      </c>
      <c r="H1437" s="3">
        <v>1437.0</v>
      </c>
      <c r="I1437" s="17"/>
    </row>
    <row r="1438">
      <c r="A1438" s="3">
        <v>8.0</v>
      </c>
      <c r="B1438" s="3">
        <v>702.0</v>
      </c>
      <c r="C1438" s="3">
        <v>2322.0</v>
      </c>
      <c r="D1438" s="3">
        <v>53.0</v>
      </c>
      <c r="E1438" s="3">
        <v>42.0</v>
      </c>
      <c r="F1438" s="11">
        <f t="shared" si="1"/>
        <v>0.3023255814</v>
      </c>
      <c r="G1438" s="5">
        <f t="shared" si="2"/>
        <v>7.697674419</v>
      </c>
      <c r="H1438" s="3">
        <v>1438.0</v>
      </c>
      <c r="I1438" s="17"/>
    </row>
    <row r="1439">
      <c r="A1439" s="3">
        <v>8.0</v>
      </c>
      <c r="B1439" s="3">
        <v>656.0</v>
      </c>
      <c r="C1439" s="3">
        <v>2376.0</v>
      </c>
      <c r="D1439" s="3">
        <v>53.0</v>
      </c>
      <c r="E1439" s="3">
        <v>43.0</v>
      </c>
      <c r="F1439" s="11">
        <f t="shared" si="1"/>
        <v>0.2760942761</v>
      </c>
      <c r="G1439" s="5">
        <f t="shared" si="2"/>
        <v>7.723905724</v>
      </c>
      <c r="H1439" s="3">
        <v>1439.0</v>
      </c>
      <c r="I1439" s="17"/>
    </row>
    <row r="1440">
      <c r="A1440" s="3">
        <v>8.0</v>
      </c>
      <c r="B1440" s="3">
        <v>614.0</v>
      </c>
      <c r="C1440" s="3">
        <v>2430.0</v>
      </c>
      <c r="D1440" s="3">
        <v>53.0</v>
      </c>
      <c r="E1440" s="3">
        <v>44.0</v>
      </c>
      <c r="F1440" s="11">
        <f t="shared" si="1"/>
        <v>0.2526748971</v>
      </c>
      <c r="G1440" s="5">
        <f t="shared" si="2"/>
        <v>7.747325103</v>
      </c>
      <c r="H1440" s="3">
        <v>1440.0</v>
      </c>
      <c r="I1440" s="17"/>
    </row>
    <row r="1441">
      <c r="A1441" s="3">
        <v>8.0</v>
      </c>
      <c r="B1441" s="3">
        <v>572.0</v>
      </c>
      <c r="C1441" s="3">
        <v>2484.0</v>
      </c>
      <c r="D1441" s="3">
        <v>53.0</v>
      </c>
      <c r="E1441" s="3">
        <v>45.0</v>
      </c>
      <c r="F1441" s="11">
        <f t="shared" si="1"/>
        <v>0.230273752</v>
      </c>
      <c r="G1441" s="5">
        <f t="shared" si="2"/>
        <v>7.769726248</v>
      </c>
      <c r="H1441" s="3">
        <v>1441.0</v>
      </c>
      <c r="I1441" s="17"/>
    </row>
    <row r="1442">
      <c r="A1442" s="3">
        <v>8.0</v>
      </c>
      <c r="B1442" s="3">
        <v>534.0</v>
      </c>
      <c r="C1442" s="3">
        <v>2538.0</v>
      </c>
      <c r="D1442" s="3">
        <v>53.0</v>
      </c>
      <c r="E1442" s="3">
        <v>46.0</v>
      </c>
      <c r="F1442" s="11">
        <f t="shared" si="1"/>
        <v>0.2104018913</v>
      </c>
      <c r="G1442" s="5">
        <f t="shared" si="2"/>
        <v>7.789598109</v>
      </c>
      <c r="H1442" s="3">
        <v>1442.0</v>
      </c>
      <c r="I1442" s="17"/>
    </row>
    <row r="1443">
      <c r="A1443" s="3">
        <v>8.0</v>
      </c>
      <c r="B1443" s="3">
        <v>496.0</v>
      </c>
      <c r="C1443" s="3">
        <v>2592.0</v>
      </c>
      <c r="D1443" s="3">
        <v>53.0</v>
      </c>
      <c r="E1443" s="3">
        <v>47.0</v>
      </c>
      <c r="F1443" s="11">
        <f t="shared" si="1"/>
        <v>0.1913580247</v>
      </c>
      <c r="G1443" s="5">
        <f t="shared" si="2"/>
        <v>7.808641975</v>
      </c>
      <c r="H1443" s="3">
        <v>1443.0</v>
      </c>
      <c r="I1443" s="17"/>
    </row>
    <row r="1444">
      <c r="A1444" s="3">
        <v>8.0</v>
      </c>
      <c r="B1444" s="3">
        <v>462.0</v>
      </c>
      <c r="C1444" s="3">
        <v>2646.0</v>
      </c>
      <c r="D1444" s="3">
        <v>53.0</v>
      </c>
      <c r="E1444" s="3">
        <v>48.0</v>
      </c>
      <c r="F1444" s="11">
        <f t="shared" si="1"/>
        <v>0.1746031746</v>
      </c>
      <c r="G1444" s="5">
        <f t="shared" si="2"/>
        <v>7.825396825</v>
      </c>
      <c r="H1444" s="3">
        <v>1444.0</v>
      </c>
      <c r="I1444" s="17"/>
    </row>
    <row r="1445">
      <c r="A1445" s="3">
        <v>8.0</v>
      </c>
      <c r="B1445" s="3">
        <v>428.0</v>
      </c>
      <c r="C1445" s="3">
        <v>2700.0</v>
      </c>
      <c r="D1445" s="3">
        <v>53.0</v>
      </c>
      <c r="E1445" s="3">
        <v>49.0</v>
      </c>
      <c r="F1445" s="11">
        <f t="shared" si="1"/>
        <v>0.1585185185</v>
      </c>
      <c r="G1445" s="5">
        <f t="shared" si="2"/>
        <v>7.841481481</v>
      </c>
      <c r="H1445" s="3">
        <v>1445.0</v>
      </c>
      <c r="I1445" s="17"/>
    </row>
    <row r="1446">
      <c r="A1446" s="3">
        <v>8.0</v>
      </c>
      <c r="B1446" s="3">
        <v>398.0</v>
      </c>
      <c r="C1446" s="3">
        <v>2754.0</v>
      </c>
      <c r="D1446" s="3">
        <v>53.0</v>
      </c>
      <c r="E1446" s="3">
        <v>50.0</v>
      </c>
      <c r="F1446" s="11">
        <f t="shared" si="1"/>
        <v>0.1445170661</v>
      </c>
      <c r="G1446" s="5">
        <f t="shared" si="2"/>
        <v>7.855482934</v>
      </c>
      <c r="H1446" s="3">
        <v>1446.0</v>
      </c>
      <c r="I1446" s="17"/>
    </row>
    <row r="1447">
      <c r="A1447" s="3">
        <v>8.0</v>
      </c>
      <c r="B1447" s="3">
        <v>368.0</v>
      </c>
      <c r="C1447" s="3">
        <v>2808.0</v>
      </c>
      <c r="D1447" s="3">
        <v>53.0</v>
      </c>
      <c r="E1447" s="3">
        <v>51.0</v>
      </c>
      <c r="F1447" s="11">
        <f t="shared" si="1"/>
        <v>0.1310541311</v>
      </c>
      <c r="G1447" s="5">
        <f t="shared" si="2"/>
        <v>7.868945869</v>
      </c>
      <c r="H1447" s="3">
        <v>1447.0</v>
      </c>
      <c r="I1447" s="17"/>
    </row>
    <row r="1448">
      <c r="A1448" s="3">
        <v>8.0</v>
      </c>
      <c r="B1448" s="3">
        <v>340.0</v>
      </c>
      <c r="C1448" s="3">
        <v>2862.0</v>
      </c>
      <c r="D1448" s="3">
        <v>53.0</v>
      </c>
      <c r="E1448" s="3">
        <v>52.0</v>
      </c>
      <c r="F1448" s="11">
        <f t="shared" si="1"/>
        <v>0.1187980433</v>
      </c>
      <c r="G1448" s="5">
        <f t="shared" si="2"/>
        <v>7.881201957</v>
      </c>
      <c r="H1448" s="3">
        <v>1448.0</v>
      </c>
      <c r="I1448" s="17"/>
    </row>
    <row r="1449">
      <c r="A1449" s="3">
        <v>8.0</v>
      </c>
      <c r="B1449" s="3">
        <v>312.0</v>
      </c>
      <c r="C1449" s="3">
        <v>2916.0</v>
      </c>
      <c r="D1449" s="3">
        <v>53.0</v>
      </c>
      <c r="E1449" s="3">
        <v>53.0</v>
      </c>
      <c r="F1449" s="11">
        <f t="shared" si="1"/>
        <v>0.1069958848</v>
      </c>
      <c r="G1449" s="5">
        <f t="shared" si="2"/>
        <v>7.893004115</v>
      </c>
      <c r="H1449" s="3">
        <v>1449.0</v>
      </c>
      <c r="I1449" s="17"/>
    </row>
    <row r="1450">
      <c r="A1450" s="3">
        <v>8.0</v>
      </c>
      <c r="B1450" s="3">
        <v>1096.0</v>
      </c>
      <c r="C1450" s="3">
        <v>1100.0</v>
      </c>
      <c r="D1450" s="3">
        <v>54.0</v>
      </c>
      <c r="E1450" s="3">
        <v>19.0</v>
      </c>
      <c r="F1450" s="11">
        <f t="shared" si="1"/>
        <v>0.9963636364</v>
      </c>
      <c r="G1450" s="5">
        <f t="shared" si="2"/>
        <v>7.003636364</v>
      </c>
      <c r="H1450" s="3">
        <v>1450.0</v>
      </c>
      <c r="I1450" s="17"/>
    </row>
    <row r="1451">
      <c r="A1451" s="3">
        <v>8.0</v>
      </c>
      <c r="B1451" s="3">
        <v>1139.0</v>
      </c>
      <c r="C1451" s="3">
        <v>1155.0</v>
      </c>
      <c r="D1451" s="3">
        <v>54.0</v>
      </c>
      <c r="E1451" s="3">
        <v>20.0</v>
      </c>
      <c r="F1451" s="11">
        <f t="shared" si="1"/>
        <v>0.9861471861</v>
      </c>
      <c r="G1451" s="5">
        <f t="shared" si="2"/>
        <v>7.013852814</v>
      </c>
      <c r="H1451" s="3">
        <v>1451.0</v>
      </c>
      <c r="I1451" s="17"/>
    </row>
    <row r="1452">
      <c r="A1452" s="3">
        <v>8.0</v>
      </c>
      <c r="B1452" s="3">
        <v>1174.0</v>
      </c>
      <c r="C1452" s="3">
        <v>1210.0</v>
      </c>
      <c r="D1452" s="3">
        <v>54.0</v>
      </c>
      <c r="E1452" s="3">
        <v>21.0</v>
      </c>
      <c r="F1452" s="11">
        <f t="shared" si="1"/>
        <v>0.9702479339</v>
      </c>
      <c r="G1452" s="5">
        <f t="shared" si="2"/>
        <v>7.029752066</v>
      </c>
      <c r="H1452" s="3">
        <v>1452.0</v>
      </c>
      <c r="I1452" s="17"/>
    </row>
    <row r="1453">
      <c r="A1453" s="3">
        <v>8.0</v>
      </c>
      <c r="B1453" s="3">
        <v>1201.0</v>
      </c>
      <c r="C1453" s="3">
        <v>1265.0</v>
      </c>
      <c r="D1453" s="3">
        <v>54.0</v>
      </c>
      <c r="E1453" s="3">
        <v>22.0</v>
      </c>
      <c r="F1453" s="11">
        <f t="shared" si="1"/>
        <v>0.9494071146</v>
      </c>
      <c r="G1453" s="5">
        <f t="shared" si="2"/>
        <v>7.050592885</v>
      </c>
      <c r="H1453" s="3">
        <v>1453.0</v>
      </c>
      <c r="I1453" s="17"/>
    </row>
    <row r="1454">
      <c r="A1454" s="3">
        <v>8.0</v>
      </c>
      <c r="B1454" s="3">
        <v>1220.0</v>
      </c>
      <c r="C1454" s="3">
        <v>1320.0</v>
      </c>
      <c r="D1454" s="3">
        <v>54.0</v>
      </c>
      <c r="E1454" s="3">
        <v>23.0</v>
      </c>
      <c r="F1454" s="11">
        <f t="shared" si="1"/>
        <v>0.9242424242</v>
      </c>
      <c r="G1454" s="5">
        <f t="shared" si="2"/>
        <v>7.075757576</v>
      </c>
      <c r="H1454" s="3">
        <v>1454.0</v>
      </c>
      <c r="I1454" s="17"/>
    </row>
    <row r="1455">
      <c r="A1455" s="3">
        <v>8.0</v>
      </c>
      <c r="B1455" s="3">
        <v>1231.0</v>
      </c>
      <c r="C1455" s="3">
        <v>1375.0</v>
      </c>
      <c r="D1455" s="3">
        <v>54.0</v>
      </c>
      <c r="E1455" s="3">
        <v>24.0</v>
      </c>
      <c r="F1455" s="11">
        <f t="shared" si="1"/>
        <v>0.8952727273</v>
      </c>
      <c r="G1455" s="5">
        <f t="shared" si="2"/>
        <v>7.104727273</v>
      </c>
      <c r="H1455" s="3">
        <v>1455.0</v>
      </c>
      <c r="I1455" s="17"/>
    </row>
    <row r="1456">
      <c r="A1456" s="3">
        <v>8.0</v>
      </c>
      <c r="B1456" s="3">
        <v>1234.0</v>
      </c>
      <c r="C1456" s="3">
        <v>1430.0</v>
      </c>
      <c r="D1456" s="3">
        <v>54.0</v>
      </c>
      <c r="E1456" s="3">
        <v>25.0</v>
      </c>
      <c r="F1456" s="11">
        <f t="shared" si="1"/>
        <v>0.8629370629</v>
      </c>
      <c r="G1456" s="5">
        <f t="shared" si="2"/>
        <v>7.137062937</v>
      </c>
      <c r="H1456" s="3">
        <v>1456.0</v>
      </c>
      <c r="I1456" s="17"/>
    </row>
    <row r="1457">
      <c r="A1457" s="3">
        <v>8.0</v>
      </c>
      <c r="B1457" s="3">
        <v>1233.0</v>
      </c>
      <c r="C1457" s="3">
        <v>1485.0</v>
      </c>
      <c r="D1457" s="3">
        <v>54.0</v>
      </c>
      <c r="E1457" s="3">
        <v>26.0</v>
      </c>
      <c r="F1457" s="11">
        <f t="shared" si="1"/>
        <v>0.8303030303</v>
      </c>
      <c r="G1457" s="5">
        <f t="shared" si="2"/>
        <v>7.16969697</v>
      </c>
      <c r="H1457" s="3">
        <v>1457.0</v>
      </c>
      <c r="I1457" s="17"/>
    </row>
    <row r="1458">
      <c r="A1458" s="3">
        <v>8.0</v>
      </c>
      <c r="B1458" s="3">
        <v>1224.0</v>
      </c>
      <c r="C1458" s="3">
        <v>1540.0</v>
      </c>
      <c r="D1458" s="3">
        <v>54.0</v>
      </c>
      <c r="E1458" s="3">
        <v>27.0</v>
      </c>
      <c r="F1458" s="11">
        <f t="shared" si="1"/>
        <v>0.7948051948</v>
      </c>
      <c r="G1458" s="5">
        <f t="shared" si="2"/>
        <v>7.205194805</v>
      </c>
      <c r="H1458" s="3">
        <v>1458.0</v>
      </c>
      <c r="I1458" s="17"/>
    </row>
    <row r="1459">
      <c r="A1459" s="3">
        <v>8.0</v>
      </c>
      <c r="B1459" s="3">
        <v>1211.0</v>
      </c>
      <c r="C1459" s="3">
        <v>1595.0</v>
      </c>
      <c r="D1459" s="3">
        <v>54.0</v>
      </c>
      <c r="E1459" s="3">
        <v>28.0</v>
      </c>
      <c r="F1459" s="11">
        <f t="shared" si="1"/>
        <v>0.7592476489</v>
      </c>
      <c r="G1459" s="5">
        <f t="shared" si="2"/>
        <v>7.240752351</v>
      </c>
      <c r="H1459" s="3">
        <v>1459.0</v>
      </c>
      <c r="I1459" s="17"/>
    </row>
    <row r="1460">
      <c r="A1460" s="3">
        <v>8.0</v>
      </c>
      <c r="B1460" s="3">
        <v>1194.0</v>
      </c>
      <c r="C1460" s="3">
        <v>1650.0</v>
      </c>
      <c r="D1460" s="3">
        <v>54.0</v>
      </c>
      <c r="E1460" s="3">
        <v>29.0</v>
      </c>
      <c r="F1460" s="11">
        <f t="shared" si="1"/>
        <v>0.7236363636</v>
      </c>
      <c r="G1460" s="5">
        <f t="shared" si="2"/>
        <v>7.276363636</v>
      </c>
      <c r="H1460" s="3">
        <v>1460.0</v>
      </c>
      <c r="I1460" s="17"/>
    </row>
    <row r="1461">
      <c r="A1461" s="3">
        <v>8.0</v>
      </c>
      <c r="B1461" s="3">
        <v>1173.0</v>
      </c>
      <c r="C1461" s="3">
        <v>1705.0</v>
      </c>
      <c r="D1461" s="3">
        <v>54.0</v>
      </c>
      <c r="E1461" s="3">
        <v>30.0</v>
      </c>
      <c r="F1461" s="11">
        <f t="shared" si="1"/>
        <v>0.6879765396</v>
      </c>
      <c r="G1461" s="5">
        <f t="shared" si="2"/>
        <v>7.31202346</v>
      </c>
      <c r="H1461" s="3">
        <v>1461.0</v>
      </c>
      <c r="I1461" s="17"/>
    </row>
    <row r="1462">
      <c r="A1462" s="3">
        <v>8.0</v>
      </c>
      <c r="B1462" s="3">
        <v>1148.0</v>
      </c>
      <c r="C1462" s="3">
        <v>1760.0</v>
      </c>
      <c r="D1462" s="3">
        <v>54.0</v>
      </c>
      <c r="E1462" s="3">
        <v>31.0</v>
      </c>
      <c r="F1462" s="11">
        <f t="shared" si="1"/>
        <v>0.6522727273</v>
      </c>
      <c r="G1462" s="5">
        <f t="shared" si="2"/>
        <v>7.347727273</v>
      </c>
      <c r="H1462" s="3">
        <v>1462.0</v>
      </c>
      <c r="I1462" s="17"/>
    </row>
    <row r="1463">
      <c r="A1463" s="3">
        <v>8.0</v>
      </c>
      <c r="B1463" s="3">
        <v>1119.0</v>
      </c>
      <c r="C1463" s="3">
        <v>1815.0</v>
      </c>
      <c r="D1463" s="3">
        <v>54.0</v>
      </c>
      <c r="E1463" s="3">
        <v>32.0</v>
      </c>
      <c r="F1463" s="11">
        <f t="shared" si="1"/>
        <v>0.6165289256</v>
      </c>
      <c r="G1463" s="5">
        <f t="shared" si="2"/>
        <v>7.383471074</v>
      </c>
      <c r="H1463" s="3">
        <v>1463.0</v>
      </c>
      <c r="I1463" s="17"/>
    </row>
    <row r="1464">
      <c r="A1464" s="3">
        <v>8.0</v>
      </c>
      <c r="B1464" s="3">
        <v>1086.0</v>
      </c>
      <c r="C1464" s="3">
        <v>1870.0</v>
      </c>
      <c r="D1464" s="3">
        <v>54.0</v>
      </c>
      <c r="E1464" s="3">
        <v>33.0</v>
      </c>
      <c r="F1464" s="11">
        <f t="shared" si="1"/>
        <v>0.5807486631</v>
      </c>
      <c r="G1464" s="5">
        <f t="shared" si="2"/>
        <v>7.419251337</v>
      </c>
      <c r="H1464" s="3">
        <v>1464.0</v>
      </c>
      <c r="I1464" s="17"/>
    </row>
    <row r="1465">
      <c r="A1465" s="3">
        <v>8.0</v>
      </c>
      <c r="B1465" s="3">
        <v>1049.0</v>
      </c>
      <c r="C1465" s="3">
        <v>1925.0</v>
      </c>
      <c r="D1465" s="3">
        <v>54.0</v>
      </c>
      <c r="E1465" s="3">
        <v>34.0</v>
      </c>
      <c r="F1465" s="11">
        <f t="shared" si="1"/>
        <v>0.5449350649</v>
      </c>
      <c r="G1465" s="5">
        <f t="shared" si="2"/>
        <v>7.455064935</v>
      </c>
      <c r="H1465" s="3">
        <v>1465.0</v>
      </c>
      <c r="I1465" s="17"/>
    </row>
    <row r="1466">
      <c r="A1466" s="3">
        <v>8.0</v>
      </c>
      <c r="B1466" s="3">
        <v>1008.0</v>
      </c>
      <c r="C1466" s="3">
        <v>1980.0</v>
      </c>
      <c r="D1466" s="3">
        <v>54.0</v>
      </c>
      <c r="E1466" s="3">
        <v>35.0</v>
      </c>
      <c r="F1466" s="11">
        <f t="shared" si="1"/>
        <v>0.5090909091</v>
      </c>
      <c r="G1466" s="5">
        <f t="shared" si="2"/>
        <v>7.490909091</v>
      </c>
      <c r="H1466" s="3">
        <v>1466.0</v>
      </c>
      <c r="I1466" s="17"/>
    </row>
    <row r="1467">
      <c r="A1467" s="3">
        <v>8.0</v>
      </c>
      <c r="B1467" s="3">
        <v>963.0</v>
      </c>
      <c r="C1467" s="3">
        <v>2035.0</v>
      </c>
      <c r="D1467" s="3">
        <v>54.0</v>
      </c>
      <c r="E1467" s="3">
        <v>36.0</v>
      </c>
      <c r="F1467" s="11">
        <f t="shared" si="1"/>
        <v>0.4732186732</v>
      </c>
      <c r="G1467" s="5">
        <f t="shared" si="2"/>
        <v>7.526781327</v>
      </c>
      <c r="H1467" s="3">
        <v>1467.0</v>
      </c>
      <c r="I1467" s="17"/>
    </row>
    <row r="1468">
      <c r="A1468" s="3">
        <v>8.0</v>
      </c>
      <c r="B1468" s="3">
        <v>914.0</v>
      </c>
      <c r="C1468" s="3">
        <v>2090.0</v>
      </c>
      <c r="D1468" s="3">
        <v>54.0</v>
      </c>
      <c r="E1468" s="3">
        <v>37.0</v>
      </c>
      <c r="F1468" s="11">
        <f t="shared" si="1"/>
        <v>0.4373205742</v>
      </c>
      <c r="G1468" s="5">
        <f t="shared" si="2"/>
        <v>7.562679426</v>
      </c>
      <c r="H1468" s="3">
        <v>1468.0</v>
      </c>
      <c r="I1468" s="17"/>
    </row>
    <row r="1469">
      <c r="A1469" s="3">
        <v>8.0</v>
      </c>
      <c r="B1469" s="3">
        <v>863.0</v>
      </c>
      <c r="C1469" s="3">
        <v>2145.0</v>
      </c>
      <c r="D1469" s="3">
        <v>54.0</v>
      </c>
      <c r="E1469" s="3">
        <v>38.0</v>
      </c>
      <c r="F1469" s="11">
        <f t="shared" si="1"/>
        <v>0.4023310023</v>
      </c>
      <c r="G1469" s="5">
        <f t="shared" si="2"/>
        <v>7.597668998</v>
      </c>
      <c r="H1469" s="3">
        <v>1469.0</v>
      </c>
      <c r="I1469" s="17"/>
    </row>
    <row r="1470">
      <c r="A1470" s="3">
        <v>8.0</v>
      </c>
      <c r="B1470" s="3">
        <v>810.0</v>
      </c>
      <c r="C1470" s="3">
        <v>2200.0</v>
      </c>
      <c r="D1470" s="3">
        <v>54.0</v>
      </c>
      <c r="E1470" s="3">
        <v>39.0</v>
      </c>
      <c r="F1470" s="11">
        <f t="shared" si="1"/>
        <v>0.3681818182</v>
      </c>
      <c r="G1470" s="5">
        <f t="shared" si="2"/>
        <v>7.631818182</v>
      </c>
      <c r="H1470" s="3">
        <v>1470.0</v>
      </c>
      <c r="I1470" s="17"/>
    </row>
    <row r="1471">
      <c r="A1471" s="3">
        <v>8.0</v>
      </c>
      <c r="B1471" s="3">
        <v>761.0</v>
      </c>
      <c r="C1471" s="3">
        <v>2255.0</v>
      </c>
      <c r="D1471" s="3">
        <v>54.0</v>
      </c>
      <c r="E1471" s="3">
        <v>40.0</v>
      </c>
      <c r="F1471" s="11">
        <f t="shared" si="1"/>
        <v>0.3374722838</v>
      </c>
      <c r="G1471" s="5">
        <f t="shared" si="2"/>
        <v>7.662527716</v>
      </c>
      <c r="H1471" s="3">
        <v>1471.0</v>
      </c>
      <c r="I1471" s="17"/>
    </row>
    <row r="1472">
      <c r="A1472" s="3">
        <v>8.0</v>
      </c>
      <c r="B1472" s="3">
        <v>712.0</v>
      </c>
      <c r="C1472" s="3">
        <v>2310.0</v>
      </c>
      <c r="D1472" s="3">
        <v>54.0</v>
      </c>
      <c r="E1472" s="3">
        <v>41.0</v>
      </c>
      <c r="F1472" s="11">
        <f t="shared" si="1"/>
        <v>0.3082251082</v>
      </c>
      <c r="G1472" s="5">
        <f t="shared" si="2"/>
        <v>7.691774892</v>
      </c>
      <c r="H1472" s="3">
        <v>1472.0</v>
      </c>
      <c r="I1472" s="17"/>
    </row>
    <row r="1473">
      <c r="A1473" s="3">
        <v>8.0</v>
      </c>
      <c r="B1473" s="3">
        <v>667.0</v>
      </c>
      <c r="C1473" s="3">
        <v>2365.0</v>
      </c>
      <c r="D1473" s="3">
        <v>54.0</v>
      </c>
      <c r="E1473" s="3">
        <v>42.0</v>
      </c>
      <c r="F1473" s="11">
        <f t="shared" si="1"/>
        <v>0.2820295983</v>
      </c>
      <c r="G1473" s="5">
        <f t="shared" si="2"/>
        <v>7.717970402</v>
      </c>
      <c r="H1473" s="3">
        <v>1473.0</v>
      </c>
      <c r="I1473" s="17"/>
    </row>
    <row r="1474">
      <c r="A1474" s="3">
        <v>8.0</v>
      </c>
      <c r="B1474" s="3">
        <v>622.0</v>
      </c>
      <c r="C1474" s="3">
        <v>2420.0</v>
      </c>
      <c r="D1474" s="3">
        <v>54.0</v>
      </c>
      <c r="E1474" s="3">
        <v>43.0</v>
      </c>
      <c r="F1474" s="11">
        <f t="shared" si="1"/>
        <v>0.2570247934</v>
      </c>
      <c r="G1474" s="5">
        <f t="shared" si="2"/>
        <v>7.742975207</v>
      </c>
      <c r="H1474" s="3">
        <v>1474.0</v>
      </c>
      <c r="I1474" s="17"/>
    </row>
    <row r="1475">
      <c r="A1475" s="3">
        <v>8.0</v>
      </c>
      <c r="B1475" s="3">
        <v>581.0</v>
      </c>
      <c r="C1475" s="3">
        <v>2475.0</v>
      </c>
      <c r="D1475" s="3">
        <v>54.0</v>
      </c>
      <c r="E1475" s="3">
        <v>44.0</v>
      </c>
      <c r="F1475" s="11">
        <f t="shared" si="1"/>
        <v>0.2347474747</v>
      </c>
      <c r="G1475" s="5">
        <f t="shared" si="2"/>
        <v>7.765252525</v>
      </c>
      <c r="H1475" s="3">
        <v>1475.0</v>
      </c>
      <c r="I1475" s="17"/>
    </row>
    <row r="1476">
      <c r="A1476" s="3">
        <v>8.0</v>
      </c>
      <c r="B1476" s="3">
        <v>540.0</v>
      </c>
      <c r="C1476" s="3">
        <v>2530.0</v>
      </c>
      <c r="D1476" s="3">
        <v>54.0</v>
      </c>
      <c r="E1476" s="3">
        <v>45.0</v>
      </c>
      <c r="F1476" s="11">
        <f t="shared" si="1"/>
        <v>0.2134387352</v>
      </c>
      <c r="G1476" s="5">
        <f t="shared" si="2"/>
        <v>7.786561265</v>
      </c>
      <c r="H1476" s="3">
        <v>1476.0</v>
      </c>
      <c r="I1476" s="17"/>
    </row>
    <row r="1477">
      <c r="A1477" s="3">
        <v>8.0</v>
      </c>
      <c r="B1477" s="3">
        <v>503.0</v>
      </c>
      <c r="C1477" s="3">
        <v>2585.0</v>
      </c>
      <c r="D1477" s="3">
        <v>54.0</v>
      </c>
      <c r="E1477" s="3">
        <v>46.0</v>
      </c>
      <c r="F1477" s="11">
        <f t="shared" si="1"/>
        <v>0.1945841393</v>
      </c>
      <c r="G1477" s="5">
        <f t="shared" si="2"/>
        <v>7.805415861</v>
      </c>
      <c r="H1477" s="3">
        <v>1477.0</v>
      </c>
      <c r="I1477" s="17"/>
    </row>
    <row r="1478">
      <c r="A1478" s="3">
        <v>8.0</v>
      </c>
      <c r="B1478" s="3">
        <v>466.0</v>
      </c>
      <c r="C1478" s="3">
        <v>2640.0</v>
      </c>
      <c r="D1478" s="3">
        <v>54.0</v>
      </c>
      <c r="E1478" s="3">
        <v>47.0</v>
      </c>
      <c r="F1478" s="11">
        <f t="shared" si="1"/>
        <v>0.1765151515</v>
      </c>
      <c r="G1478" s="5">
        <f t="shared" si="2"/>
        <v>7.823484848</v>
      </c>
      <c r="H1478" s="3">
        <v>1478.0</v>
      </c>
      <c r="I1478" s="17"/>
    </row>
    <row r="1479">
      <c r="A1479" s="3">
        <v>8.0</v>
      </c>
      <c r="B1479" s="3">
        <v>433.0</v>
      </c>
      <c r="C1479" s="3">
        <v>2695.0</v>
      </c>
      <c r="D1479" s="3">
        <v>54.0</v>
      </c>
      <c r="E1479" s="3">
        <v>48.0</v>
      </c>
      <c r="F1479" s="11">
        <f t="shared" si="1"/>
        <v>0.1606679035</v>
      </c>
      <c r="G1479" s="5">
        <f t="shared" si="2"/>
        <v>7.839332096</v>
      </c>
      <c r="H1479" s="3">
        <v>1479.0</v>
      </c>
      <c r="I1479" s="17"/>
    </row>
    <row r="1480">
      <c r="A1480" s="3">
        <v>8.0</v>
      </c>
      <c r="B1480" s="3">
        <v>400.0</v>
      </c>
      <c r="C1480" s="3">
        <v>2750.0</v>
      </c>
      <c r="D1480" s="3">
        <v>54.0</v>
      </c>
      <c r="E1480" s="3">
        <v>49.0</v>
      </c>
      <c r="F1480" s="11">
        <f t="shared" si="1"/>
        <v>0.1454545455</v>
      </c>
      <c r="G1480" s="5">
        <f t="shared" si="2"/>
        <v>7.854545455</v>
      </c>
      <c r="H1480" s="3">
        <v>1480.0</v>
      </c>
      <c r="I1480" s="17"/>
    </row>
    <row r="1481">
      <c r="I1481" s="17"/>
    </row>
    <row r="1482">
      <c r="I1482" s="17"/>
    </row>
  </sheetData>
  <conditionalFormatting sqref="J2:BK55">
    <cfRule type="cellIs" dxfId="0" priority="1" operator="between">
      <formula>0</formula>
      <formula>1</formula>
    </cfRule>
  </conditionalFormatting>
  <conditionalFormatting sqref="J2:BK55">
    <cfRule type="cellIs" dxfId="1" priority="2" operator="between">
      <formula>1</formula>
      <formula>2</formula>
    </cfRule>
  </conditionalFormatting>
  <conditionalFormatting sqref="J2:BK55">
    <cfRule type="cellIs" dxfId="2" priority="3" operator="between">
      <formula>2</formula>
      <formula>3</formula>
    </cfRule>
  </conditionalFormatting>
  <conditionalFormatting sqref="J2:BK55">
    <cfRule type="cellIs" dxfId="2" priority="4" operator="between">
      <formula>2</formula>
      <formula>3</formula>
    </cfRule>
  </conditionalFormatting>
  <conditionalFormatting sqref="J2:BK55">
    <cfRule type="cellIs" dxfId="3" priority="5" operator="between">
      <formula>3</formula>
      <formula>4</formula>
    </cfRule>
  </conditionalFormatting>
  <conditionalFormatting sqref="J2:BK55">
    <cfRule type="cellIs" dxfId="4" priority="6" operator="between">
      <formula>4</formula>
      <formula>5</formula>
    </cfRule>
  </conditionalFormatting>
  <conditionalFormatting sqref="J2:BK55">
    <cfRule type="cellIs" dxfId="5" priority="7" operator="between">
      <formula>5</formula>
      <formula>6</formula>
    </cfRule>
  </conditionalFormatting>
  <conditionalFormatting sqref="J2:BK55">
    <cfRule type="cellIs" dxfId="6" priority="8" operator="between">
      <formula>6</formula>
      <formula>7</formula>
    </cfRule>
  </conditionalFormatting>
  <conditionalFormatting sqref="J2:BK55">
    <cfRule type="notContainsBlanks" dxfId="0" priority="9">
      <formula>LEN(TRIM(J2))&gt;0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1" width="3.63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17"/>
      <c r="Q1" s="17"/>
      <c r="R1" s="17"/>
      <c r="S1" s="2">
        <v>0.0</v>
      </c>
      <c r="T1" s="2">
        <v>1.0</v>
      </c>
      <c r="U1" s="2">
        <v>2.0</v>
      </c>
      <c r="V1" s="2">
        <v>3.0</v>
      </c>
      <c r="W1" s="2">
        <v>4.0</v>
      </c>
      <c r="X1" s="2">
        <v>5.0</v>
      </c>
      <c r="Y1" s="2">
        <v>6.0</v>
      </c>
      <c r="Z1" s="2">
        <v>7.0</v>
      </c>
      <c r="AA1" s="2">
        <v>8.0</v>
      </c>
      <c r="AB1" s="2">
        <v>9.0</v>
      </c>
      <c r="AC1" s="2"/>
      <c r="AD1" s="2"/>
      <c r="AE1" s="2"/>
    </row>
    <row r="2">
      <c r="A2" s="2">
        <v>0.0</v>
      </c>
      <c r="B2" s="5">
        <f t="array" ref="B2:O55">B1:O1*P2:P55 + B56:O56*A2:A55</f>
        <v>0</v>
      </c>
      <c r="C2" s="5">
        <v>53.0</v>
      </c>
      <c r="D2" s="5">
        <v>106.0</v>
      </c>
      <c r="E2" s="5">
        <v>159.0</v>
      </c>
      <c r="F2" s="5">
        <v>212.0</v>
      </c>
      <c r="G2" s="5">
        <v>265.0</v>
      </c>
      <c r="H2" s="5">
        <v>318.0</v>
      </c>
      <c r="I2" s="5">
        <v>371.0</v>
      </c>
      <c r="J2" s="5">
        <v>424.0</v>
      </c>
      <c r="K2" s="5">
        <v>477.0</v>
      </c>
      <c r="L2" s="5">
        <v>530.0</v>
      </c>
      <c r="M2" s="5">
        <v>583.0</v>
      </c>
      <c r="N2" s="5">
        <v>636.0</v>
      </c>
      <c r="O2" s="5">
        <v>689.0</v>
      </c>
      <c r="P2" s="17">
        <f t="shared" ref="P2:P55" si="1">53-A2</f>
        <v>53</v>
      </c>
      <c r="R2" s="2">
        <v>0.0</v>
      </c>
      <c r="S2" s="20">
        <f t="array" ref="S2:AB71">S1:AB1*AC2:AC71 + S72:AB72*R2:R71</f>
        <v>0</v>
      </c>
      <c r="T2" s="21">
        <v>69.0</v>
      </c>
      <c r="U2" s="21">
        <v>138.0</v>
      </c>
      <c r="V2" s="21">
        <v>207.0</v>
      </c>
      <c r="W2" s="21">
        <v>276.0</v>
      </c>
      <c r="X2" s="21">
        <v>345.0</v>
      </c>
      <c r="Y2" s="21">
        <v>414.0</v>
      </c>
      <c r="Z2" s="21">
        <v>483.0</v>
      </c>
      <c r="AA2" s="21">
        <v>552.0</v>
      </c>
      <c r="AB2" s="21">
        <v>621.0</v>
      </c>
      <c r="AC2" s="17">
        <f t="shared" ref="AC2:AC71" si="2">69-R2</f>
        <v>69</v>
      </c>
    </row>
    <row r="3">
      <c r="A3" s="2">
        <v>1.0</v>
      </c>
      <c r="B3" s="5">
        <v>13.0</v>
      </c>
      <c r="C3" s="5">
        <v>64.0</v>
      </c>
      <c r="D3" s="5">
        <v>115.0</v>
      </c>
      <c r="E3" s="5">
        <v>166.0</v>
      </c>
      <c r="F3" s="5">
        <v>217.0</v>
      </c>
      <c r="G3" s="5">
        <v>268.0</v>
      </c>
      <c r="H3" s="5">
        <v>319.0</v>
      </c>
      <c r="I3" s="5">
        <v>370.0</v>
      </c>
      <c r="J3" s="5">
        <v>421.0</v>
      </c>
      <c r="K3" s="5">
        <v>472.0</v>
      </c>
      <c r="L3" s="5">
        <v>523.0</v>
      </c>
      <c r="M3" s="5">
        <v>574.0</v>
      </c>
      <c r="N3" s="5">
        <v>625.0</v>
      </c>
      <c r="O3" s="5">
        <v>676.0</v>
      </c>
      <c r="P3" s="17">
        <f t="shared" si="1"/>
        <v>52</v>
      </c>
      <c r="R3" s="2">
        <v>1.0</v>
      </c>
      <c r="S3" s="21">
        <v>9.0</v>
      </c>
      <c r="T3" s="21">
        <v>76.0</v>
      </c>
      <c r="U3" s="21">
        <v>143.0</v>
      </c>
      <c r="V3" s="21">
        <v>210.0</v>
      </c>
      <c r="W3" s="21">
        <v>277.0</v>
      </c>
      <c r="X3" s="21">
        <v>344.0</v>
      </c>
      <c r="Y3" s="21">
        <v>411.0</v>
      </c>
      <c r="Z3" s="21">
        <v>478.0</v>
      </c>
      <c r="AA3" s="21">
        <v>545.0</v>
      </c>
      <c r="AB3" s="21">
        <v>612.0</v>
      </c>
      <c r="AC3" s="17">
        <f t="shared" si="2"/>
        <v>68</v>
      </c>
    </row>
    <row r="4">
      <c r="A4" s="2">
        <v>2.0</v>
      </c>
      <c r="B4" s="5">
        <v>26.0</v>
      </c>
      <c r="C4" s="5">
        <v>75.0</v>
      </c>
      <c r="D4" s="5">
        <v>124.0</v>
      </c>
      <c r="E4" s="5">
        <v>173.0</v>
      </c>
      <c r="F4" s="5">
        <v>222.0</v>
      </c>
      <c r="G4" s="5">
        <v>271.0</v>
      </c>
      <c r="H4" s="5">
        <v>320.0</v>
      </c>
      <c r="I4" s="5">
        <v>369.0</v>
      </c>
      <c r="J4" s="5">
        <v>418.0</v>
      </c>
      <c r="K4" s="5">
        <v>467.0</v>
      </c>
      <c r="L4" s="5">
        <v>516.0</v>
      </c>
      <c r="M4" s="5">
        <v>565.0</v>
      </c>
      <c r="N4" s="5">
        <v>614.0</v>
      </c>
      <c r="O4" s="5">
        <v>663.0</v>
      </c>
      <c r="P4" s="17">
        <f t="shared" si="1"/>
        <v>51</v>
      </c>
      <c r="R4" s="2">
        <v>2.0</v>
      </c>
      <c r="S4" s="21">
        <v>18.0</v>
      </c>
      <c r="T4" s="21">
        <v>83.0</v>
      </c>
      <c r="U4" s="21">
        <v>148.0</v>
      </c>
      <c r="V4" s="21">
        <v>213.0</v>
      </c>
      <c r="W4" s="21">
        <v>278.0</v>
      </c>
      <c r="X4" s="21">
        <v>343.0</v>
      </c>
      <c r="Y4" s="21">
        <v>408.0</v>
      </c>
      <c r="Z4" s="21">
        <v>473.0</v>
      </c>
      <c r="AA4" s="21">
        <v>538.0</v>
      </c>
      <c r="AB4" s="21">
        <v>603.0</v>
      </c>
      <c r="AC4" s="17">
        <f t="shared" si="2"/>
        <v>67</v>
      </c>
    </row>
    <row r="5">
      <c r="A5" s="2">
        <v>3.0</v>
      </c>
      <c r="B5" s="5">
        <v>39.0</v>
      </c>
      <c r="C5" s="5">
        <v>86.0</v>
      </c>
      <c r="D5" s="5">
        <v>133.0</v>
      </c>
      <c r="E5" s="5">
        <v>180.0</v>
      </c>
      <c r="F5" s="5">
        <v>227.0</v>
      </c>
      <c r="G5" s="5">
        <v>274.0</v>
      </c>
      <c r="H5" s="5">
        <v>321.0</v>
      </c>
      <c r="I5" s="5">
        <v>368.0</v>
      </c>
      <c r="J5" s="5">
        <v>415.0</v>
      </c>
      <c r="K5" s="5">
        <v>462.0</v>
      </c>
      <c r="L5" s="5">
        <v>509.0</v>
      </c>
      <c r="M5" s="5">
        <v>556.0</v>
      </c>
      <c r="N5" s="5">
        <v>603.0</v>
      </c>
      <c r="O5" s="5">
        <v>650.0</v>
      </c>
      <c r="P5" s="17">
        <f t="shared" si="1"/>
        <v>50</v>
      </c>
      <c r="R5" s="2">
        <v>3.0</v>
      </c>
      <c r="S5" s="21">
        <v>27.0</v>
      </c>
      <c r="T5" s="21">
        <v>90.0</v>
      </c>
      <c r="U5" s="21">
        <v>153.0</v>
      </c>
      <c r="V5" s="21">
        <v>216.0</v>
      </c>
      <c r="W5" s="21">
        <v>279.0</v>
      </c>
      <c r="X5" s="21">
        <v>342.0</v>
      </c>
      <c r="Y5" s="21">
        <v>405.0</v>
      </c>
      <c r="Z5" s="21">
        <v>468.0</v>
      </c>
      <c r="AA5" s="21">
        <v>531.0</v>
      </c>
      <c r="AB5" s="21">
        <v>594.0</v>
      </c>
      <c r="AC5" s="17">
        <f t="shared" si="2"/>
        <v>66</v>
      </c>
    </row>
    <row r="6">
      <c r="A6" s="2">
        <v>4.0</v>
      </c>
      <c r="B6" s="5">
        <v>52.0</v>
      </c>
      <c r="C6" s="5">
        <v>97.0</v>
      </c>
      <c r="D6" s="5">
        <v>142.0</v>
      </c>
      <c r="E6" s="5">
        <v>187.0</v>
      </c>
      <c r="F6" s="5">
        <v>232.0</v>
      </c>
      <c r="G6" s="5">
        <v>277.0</v>
      </c>
      <c r="H6" s="5">
        <v>322.0</v>
      </c>
      <c r="I6" s="5">
        <v>367.0</v>
      </c>
      <c r="J6" s="5">
        <v>412.0</v>
      </c>
      <c r="K6" s="5">
        <v>457.0</v>
      </c>
      <c r="L6" s="5">
        <v>502.0</v>
      </c>
      <c r="M6" s="5">
        <v>547.0</v>
      </c>
      <c r="N6" s="5">
        <v>592.0</v>
      </c>
      <c r="O6" s="5">
        <v>637.0</v>
      </c>
      <c r="P6" s="17">
        <f t="shared" si="1"/>
        <v>49</v>
      </c>
      <c r="R6" s="2">
        <v>4.0</v>
      </c>
      <c r="S6" s="21">
        <v>36.0</v>
      </c>
      <c r="T6" s="21">
        <v>97.0</v>
      </c>
      <c r="U6" s="21">
        <v>158.0</v>
      </c>
      <c r="V6" s="21">
        <v>219.0</v>
      </c>
      <c r="W6" s="21">
        <v>280.0</v>
      </c>
      <c r="X6" s="21">
        <v>341.0</v>
      </c>
      <c r="Y6" s="21">
        <v>402.0</v>
      </c>
      <c r="Z6" s="21">
        <v>463.0</v>
      </c>
      <c r="AA6" s="21">
        <v>524.0</v>
      </c>
      <c r="AB6" s="21">
        <v>585.0</v>
      </c>
      <c r="AC6" s="17">
        <f t="shared" si="2"/>
        <v>65</v>
      </c>
    </row>
    <row r="7">
      <c r="A7" s="2">
        <v>5.0</v>
      </c>
      <c r="B7" s="5">
        <v>65.0</v>
      </c>
      <c r="C7" s="5">
        <v>108.0</v>
      </c>
      <c r="D7" s="5">
        <v>151.0</v>
      </c>
      <c r="E7" s="5">
        <v>194.0</v>
      </c>
      <c r="F7" s="5">
        <v>237.0</v>
      </c>
      <c r="G7" s="5">
        <v>280.0</v>
      </c>
      <c r="H7" s="5">
        <v>323.0</v>
      </c>
      <c r="I7" s="5">
        <v>366.0</v>
      </c>
      <c r="J7" s="5">
        <v>409.0</v>
      </c>
      <c r="K7" s="5">
        <v>452.0</v>
      </c>
      <c r="L7" s="5">
        <v>495.0</v>
      </c>
      <c r="M7" s="5">
        <v>538.0</v>
      </c>
      <c r="N7" s="5">
        <v>581.0</v>
      </c>
      <c r="O7" s="5">
        <v>624.0</v>
      </c>
      <c r="P7" s="17">
        <f t="shared" si="1"/>
        <v>48</v>
      </c>
      <c r="R7" s="2">
        <v>5.0</v>
      </c>
      <c r="S7" s="21">
        <v>45.0</v>
      </c>
      <c r="T7" s="21">
        <v>104.0</v>
      </c>
      <c r="U7" s="21">
        <v>163.0</v>
      </c>
      <c r="V7" s="21">
        <v>222.0</v>
      </c>
      <c r="W7" s="21">
        <v>281.0</v>
      </c>
      <c r="X7" s="21">
        <v>340.0</v>
      </c>
      <c r="Y7" s="21">
        <v>399.0</v>
      </c>
      <c r="Z7" s="21">
        <v>458.0</v>
      </c>
      <c r="AA7" s="21">
        <v>517.0</v>
      </c>
      <c r="AB7" s="21">
        <v>576.0</v>
      </c>
      <c r="AC7" s="17">
        <f t="shared" si="2"/>
        <v>64</v>
      </c>
    </row>
    <row r="8">
      <c r="A8" s="2">
        <v>6.0</v>
      </c>
      <c r="B8" s="5">
        <v>78.0</v>
      </c>
      <c r="C8" s="5">
        <v>119.0</v>
      </c>
      <c r="D8" s="5">
        <v>160.0</v>
      </c>
      <c r="E8" s="5">
        <v>201.0</v>
      </c>
      <c r="F8" s="5">
        <v>242.0</v>
      </c>
      <c r="G8" s="5">
        <v>283.0</v>
      </c>
      <c r="H8" s="5">
        <v>324.0</v>
      </c>
      <c r="I8" s="5">
        <v>365.0</v>
      </c>
      <c r="J8" s="5">
        <v>406.0</v>
      </c>
      <c r="K8" s="5">
        <v>447.0</v>
      </c>
      <c r="L8" s="5">
        <v>488.0</v>
      </c>
      <c r="M8" s="5">
        <v>529.0</v>
      </c>
      <c r="N8" s="5">
        <v>570.0</v>
      </c>
      <c r="O8" s="5">
        <v>611.0</v>
      </c>
      <c r="P8" s="17">
        <f t="shared" si="1"/>
        <v>47</v>
      </c>
      <c r="R8" s="2">
        <v>6.0</v>
      </c>
      <c r="S8" s="21">
        <v>54.0</v>
      </c>
      <c r="T8" s="21">
        <v>111.0</v>
      </c>
      <c r="U8" s="21">
        <v>168.0</v>
      </c>
      <c r="V8" s="21">
        <v>225.0</v>
      </c>
      <c r="W8" s="21">
        <v>282.0</v>
      </c>
      <c r="X8" s="21">
        <v>339.0</v>
      </c>
      <c r="Y8" s="21">
        <v>396.0</v>
      </c>
      <c r="Z8" s="21">
        <v>453.0</v>
      </c>
      <c r="AA8" s="21">
        <v>510.0</v>
      </c>
      <c r="AB8" s="21">
        <v>567.0</v>
      </c>
      <c r="AC8" s="17">
        <f t="shared" si="2"/>
        <v>63</v>
      </c>
    </row>
    <row r="9">
      <c r="A9" s="2">
        <v>7.0</v>
      </c>
      <c r="B9" s="5">
        <v>91.0</v>
      </c>
      <c r="C9" s="5">
        <v>130.0</v>
      </c>
      <c r="D9" s="5">
        <v>169.0</v>
      </c>
      <c r="E9" s="5">
        <v>208.0</v>
      </c>
      <c r="F9" s="5">
        <v>247.0</v>
      </c>
      <c r="G9" s="5">
        <v>286.0</v>
      </c>
      <c r="H9" s="5">
        <v>325.0</v>
      </c>
      <c r="I9" s="5">
        <v>364.0</v>
      </c>
      <c r="J9" s="5">
        <v>403.0</v>
      </c>
      <c r="K9" s="5">
        <v>442.0</v>
      </c>
      <c r="L9" s="5">
        <v>481.0</v>
      </c>
      <c r="M9" s="5">
        <v>520.0</v>
      </c>
      <c r="N9" s="5">
        <v>559.0</v>
      </c>
      <c r="O9" s="5">
        <v>598.0</v>
      </c>
      <c r="P9" s="17">
        <f t="shared" si="1"/>
        <v>46</v>
      </c>
      <c r="R9" s="2">
        <v>7.0</v>
      </c>
      <c r="S9" s="21">
        <v>63.0</v>
      </c>
      <c r="T9" s="21">
        <v>118.0</v>
      </c>
      <c r="U9" s="21">
        <v>173.0</v>
      </c>
      <c r="V9" s="21">
        <v>228.0</v>
      </c>
      <c r="W9" s="21">
        <v>283.0</v>
      </c>
      <c r="X9" s="21">
        <v>338.0</v>
      </c>
      <c r="Y9" s="21">
        <v>393.0</v>
      </c>
      <c r="Z9" s="21">
        <v>448.0</v>
      </c>
      <c r="AA9" s="21">
        <v>503.0</v>
      </c>
      <c r="AB9" s="21">
        <v>558.0</v>
      </c>
      <c r="AC9" s="17">
        <f t="shared" si="2"/>
        <v>62</v>
      </c>
    </row>
    <row r="10">
      <c r="A10" s="2">
        <v>8.0</v>
      </c>
      <c r="B10" s="5">
        <v>104.0</v>
      </c>
      <c r="C10" s="5">
        <v>141.0</v>
      </c>
      <c r="D10" s="5">
        <v>178.0</v>
      </c>
      <c r="E10" s="5">
        <v>215.0</v>
      </c>
      <c r="F10" s="5">
        <v>252.0</v>
      </c>
      <c r="G10" s="5">
        <v>289.0</v>
      </c>
      <c r="H10" s="5">
        <v>326.0</v>
      </c>
      <c r="I10" s="5">
        <v>363.0</v>
      </c>
      <c r="J10" s="5">
        <v>400.0</v>
      </c>
      <c r="K10" s="5">
        <v>437.0</v>
      </c>
      <c r="L10" s="5">
        <v>474.0</v>
      </c>
      <c r="M10" s="5">
        <v>511.0</v>
      </c>
      <c r="N10" s="5">
        <v>548.0</v>
      </c>
      <c r="O10" s="5">
        <v>585.0</v>
      </c>
      <c r="P10" s="17">
        <f t="shared" si="1"/>
        <v>45</v>
      </c>
      <c r="R10" s="2">
        <v>8.0</v>
      </c>
      <c r="S10" s="21">
        <v>72.0</v>
      </c>
      <c r="T10" s="21">
        <v>125.0</v>
      </c>
      <c r="U10" s="21">
        <v>178.0</v>
      </c>
      <c r="V10" s="21">
        <v>231.0</v>
      </c>
      <c r="W10" s="21">
        <v>284.0</v>
      </c>
      <c r="X10" s="21">
        <v>337.0</v>
      </c>
      <c r="Y10" s="21">
        <v>390.0</v>
      </c>
      <c r="Z10" s="21">
        <v>443.0</v>
      </c>
      <c r="AA10" s="21">
        <v>496.0</v>
      </c>
      <c r="AB10" s="21">
        <v>549.0</v>
      </c>
      <c r="AC10" s="17">
        <f t="shared" si="2"/>
        <v>61</v>
      </c>
    </row>
    <row r="11">
      <c r="A11" s="2">
        <v>9.0</v>
      </c>
      <c r="B11" s="5">
        <v>117.0</v>
      </c>
      <c r="C11" s="5">
        <v>152.0</v>
      </c>
      <c r="D11" s="5">
        <v>187.0</v>
      </c>
      <c r="E11" s="5">
        <v>222.0</v>
      </c>
      <c r="F11" s="5">
        <v>257.0</v>
      </c>
      <c r="G11" s="5">
        <v>292.0</v>
      </c>
      <c r="H11" s="5">
        <v>327.0</v>
      </c>
      <c r="I11" s="5">
        <v>362.0</v>
      </c>
      <c r="J11" s="5">
        <v>397.0</v>
      </c>
      <c r="K11" s="5">
        <v>432.0</v>
      </c>
      <c r="L11" s="5">
        <v>467.0</v>
      </c>
      <c r="M11" s="5">
        <v>502.0</v>
      </c>
      <c r="N11" s="5">
        <v>537.0</v>
      </c>
      <c r="O11" s="5">
        <v>572.0</v>
      </c>
      <c r="P11" s="17">
        <f t="shared" si="1"/>
        <v>44</v>
      </c>
      <c r="R11" s="2">
        <v>9.0</v>
      </c>
      <c r="S11" s="21">
        <v>81.0</v>
      </c>
      <c r="T11" s="21">
        <v>132.0</v>
      </c>
      <c r="U11" s="21">
        <v>183.0</v>
      </c>
      <c r="V11" s="21">
        <v>234.0</v>
      </c>
      <c r="W11" s="21">
        <v>285.0</v>
      </c>
      <c r="X11" s="21">
        <v>336.0</v>
      </c>
      <c r="Y11" s="21">
        <v>387.0</v>
      </c>
      <c r="Z11" s="21">
        <v>438.0</v>
      </c>
      <c r="AA11" s="21">
        <v>489.0</v>
      </c>
      <c r="AB11" s="21">
        <v>540.0</v>
      </c>
      <c r="AC11" s="17">
        <f t="shared" si="2"/>
        <v>60</v>
      </c>
    </row>
    <row r="12">
      <c r="A12" s="2">
        <v>10.0</v>
      </c>
      <c r="B12" s="5">
        <v>130.0</v>
      </c>
      <c r="C12" s="5">
        <v>163.0</v>
      </c>
      <c r="D12" s="5">
        <v>196.0</v>
      </c>
      <c r="E12" s="5">
        <v>229.0</v>
      </c>
      <c r="F12" s="5">
        <v>262.0</v>
      </c>
      <c r="G12" s="5">
        <v>295.0</v>
      </c>
      <c r="H12" s="5">
        <v>328.0</v>
      </c>
      <c r="I12" s="5">
        <v>361.0</v>
      </c>
      <c r="J12" s="5">
        <v>394.0</v>
      </c>
      <c r="K12" s="5">
        <v>427.0</v>
      </c>
      <c r="L12" s="5">
        <v>460.0</v>
      </c>
      <c r="M12" s="5">
        <v>493.0</v>
      </c>
      <c r="N12" s="5">
        <v>526.0</v>
      </c>
      <c r="O12" s="5">
        <v>559.0</v>
      </c>
      <c r="P12" s="17">
        <f t="shared" si="1"/>
        <v>43</v>
      </c>
      <c r="R12" s="2">
        <v>10.0</v>
      </c>
      <c r="S12" s="21">
        <v>90.0</v>
      </c>
      <c r="T12" s="21">
        <v>139.0</v>
      </c>
      <c r="U12" s="21">
        <v>188.0</v>
      </c>
      <c r="V12" s="21">
        <v>237.0</v>
      </c>
      <c r="W12" s="21">
        <v>286.0</v>
      </c>
      <c r="X12" s="21">
        <v>335.0</v>
      </c>
      <c r="Y12" s="21">
        <v>384.0</v>
      </c>
      <c r="Z12" s="21">
        <v>433.0</v>
      </c>
      <c r="AA12" s="21">
        <v>482.0</v>
      </c>
      <c r="AB12" s="21">
        <v>531.0</v>
      </c>
      <c r="AC12" s="17">
        <f t="shared" si="2"/>
        <v>59</v>
      </c>
    </row>
    <row r="13">
      <c r="A13" s="2">
        <v>11.0</v>
      </c>
      <c r="B13" s="5">
        <v>143.0</v>
      </c>
      <c r="C13" s="5">
        <v>174.0</v>
      </c>
      <c r="D13" s="5">
        <v>205.0</v>
      </c>
      <c r="E13" s="5">
        <v>236.0</v>
      </c>
      <c r="F13" s="5">
        <v>267.0</v>
      </c>
      <c r="G13" s="5">
        <v>298.0</v>
      </c>
      <c r="H13" s="5">
        <v>329.0</v>
      </c>
      <c r="I13" s="5">
        <v>360.0</v>
      </c>
      <c r="J13" s="5">
        <v>391.0</v>
      </c>
      <c r="K13" s="5">
        <v>422.0</v>
      </c>
      <c r="L13" s="5">
        <v>453.0</v>
      </c>
      <c r="M13" s="5">
        <v>484.0</v>
      </c>
      <c r="N13" s="5">
        <v>515.0</v>
      </c>
      <c r="O13" s="5">
        <v>546.0</v>
      </c>
      <c r="P13" s="17">
        <f t="shared" si="1"/>
        <v>42</v>
      </c>
      <c r="R13" s="2">
        <v>11.0</v>
      </c>
      <c r="S13" s="21">
        <v>99.0</v>
      </c>
      <c r="T13" s="21">
        <v>146.0</v>
      </c>
      <c r="U13" s="21">
        <v>193.0</v>
      </c>
      <c r="V13" s="21">
        <v>240.0</v>
      </c>
      <c r="W13" s="21">
        <v>287.0</v>
      </c>
      <c r="X13" s="21">
        <v>334.0</v>
      </c>
      <c r="Y13" s="21">
        <v>381.0</v>
      </c>
      <c r="Z13" s="21">
        <v>428.0</v>
      </c>
      <c r="AA13" s="21">
        <v>475.0</v>
      </c>
      <c r="AB13" s="21">
        <v>522.0</v>
      </c>
      <c r="AC13" s="17">
        <f t="shared" si="2"/>
        <v>58</v>
      </c>
    </row>
    <row r="14">
      <c r="A14" s="2">
        <v>12.0</v>
      </c>
      <c r="B14" s="5">
        <v>156.0</v>
      </c>
      <c r="C14" s="5">
        <v>185.0</v>
      </c>
      <c r="D14" s="5">
        <v>214.0</v>
      </c>
      <c r="E14" s="5">
        <v>243.0</v>
      </c>
      <c r="F14" s="5">
        <v>272.0</v>
      </c>
      <c r="G14" s="5">
        <v>301.0</v>
      </c>
      <c r="H14" s="5">
        <v>330.0</v>
      </c>
      <c r="I14" s="5">
        <v>359.0</v>
      </c>
      <c r="J14" s="5">
        <v>388.0</v>
      </c>
      <c r="K14" s="5">
        <v>417.0</v>
      </c>
      <c r="L14" s="5">
        <v>446.0</v>
      </c>
      <c r="M14" s="5">
        <v>475.0</v>
      </c>
      <c r="N14" s="5">
        <v>504.0</v>
      </c>
      <c r="O14" s="5">
        <v>533.0</v>
      </c>
      <c r="P14" s="17">
        <f t="shared" si="1"/>
        <v>41</v>
      </c>
      <c r="R14" s="2">
        <v>12.0</v>
      </c>
      <c r="S14" s="21">
        <v>108.0</v>
      </c>
      <c r="T14" s="21">
        <v>153.0</v>
      </c>
      <c r="U14" s="21">
        <v>198.0</v>
      </c>
      <c r="V14" s="21">
        <v>243.0</v>
      </c>
      <c r="W14" s="21">
        <v>288.0</v>
      </c>
      <c r="X14" s="21">
        <v>333.0</v>
      </c>
      <c r="Y14" s="21">
        <v>378.0</v>
      </c>
      <c r="Z14" s="21">
        <v>423.0</v>
      </c>
      <c r="AA14" s="21">
        <v>468.0</v>
      </c>
      <c r="AB14" s="21">
        <v>513.0</v>
      </c>
      <c r="AC14" s="17">
        <f t="shared" si="2"/>
        <v>57</v>
      </c>
    </row>
    <row r="15">
      <c r="A15" s="2">
        <v>13.0</v>
      </c>
      <c r="B15" s="5">
        <v>169.0</v>
      </c>
      <c r="C15" s="5">
        <v>196.0</v>
      </c>
      <c r="D15" s="5">
        <v>223.0</v>
      </c>
      <c r="E15" s="5">
        <v>250.0</v>
      </c>
      <c r="F15" s="5">
        <v>277.0</v>
      </c>
      <c r="G15" s="5">
        <v>304.0</v>
      </c>
      <c r="H15" s="5">
        <v>331.0</v>
      </c>
      <c r="I15" s="5">
        <v>358.0</v>
      </c>
      <c r="J15" s="5">
        <v>385.0</v>
      </c>
      <c r="K15" s="5">
        <v>412.0</v>
      </c>
      <c r="L15" s="5">
        <v>439.0</v>
      </c>
      <c r="M15" s="5">
        <v>466.0</v>
      </c>
      <c r="N15" s="5">
        <v>493.0</v>
      </c>
      <c r="O15" s="5">
        <v>520.0</v>
      </c>
      <c r="P15" s="17">
        <f t="shared" si="1"/>
        <v>40</v>
      </c>
      <c r="R15" s="2">
        <v>13.0</v>
      </c>
      <c r="S15" s="21">
        <v>117.0</v>
      </c>
      <c r="T15" s="21">
        <v>160.0</v>
      </c>
      <c r="U15" s="21">
        <v>203.0</v>
      </c>
      <c r="V15" s="21">
        <v>246.0</v>
      </c>
      <c r="W15" s="21">
        <v>289.0</v>
      </c>
      <c r="X15" s="21">
        <v>332.0</v>
      </c>
      <c r="Y15" s="21">
        <v>375.0</v>
      </c>
      <c r="Z15" s="21">
        <v>418.0</v>
      </c>
      <c r="AA15" s="21">
        <v>461.0</v>
      </c>
      <c r="AB15" s="21">
        <v>504.0</v>
      </c>
      <c r="AC15" s="17">
        <f t="shared" si="2"/>
        <v>56</v>
      </c>
    </row>
    <row r="16">
      <c r="A16" s="2">
        <v>14.0</v>
      </c>
      <c r="B16" s="5">
        <v>182.0</v>
      </c>
      <c r="C16" s="5">
        <v>207.0</v>
      </c>
      <c r="D16" s="5">
        <v>232.0</v>
      </c>
      <c r="E16" s="5">
        <v>257.0</v>
      </c>
      <c r="F16" s="5">
        <v>282.0</v>
      </c>
      <c r="G16" s="5">
        <v>307.0</v>
      </c>
      <c r="H16" s="5">
        <v>332.0</v>
      </c>
      <c r="I16" s="5">
        <v>357.0</v>
      </c>
      <c r="J16" s="5">
        <v>382.0</v>
      </c>
      <c r="K16" s="5">
        <v>407.0</v>
      </c>
      <c r="L16" s="5">
        <v>432.0</v>
      </c>
      <c r="M16" s="5">
        <v>457.0</v>
      </c>
      <c r="N16" s="5">
        <v>482.0</v>
      </c>
      <c r="O16" s="5">
        <v>507.0</v>
      </c>
      <c r="P16" s="17">
        <f t="shared" si="1"/>
        <v>39</v>
      </c>
      <c r="R16" s="2">
        <v>14.0</v>
      </c>
      <c r="S16" s="21">
        <v>126.0</v>
      </c>
      <c r="T16" s="21">
        <v>167.0</v>
      </c>
      <c r="U16" s="21">
        <v>208.0</v>
      </c>
      <c r="V16" s="21">
        <v>249.0</v>
      </c>
      <c r="W16" s="21">
        <v>290.0</v>
      </c>
      <c r="X16" s="21">
        <v>331.0</v>
      </c>
      <c r="Y16" s="21">
        <v>372.0</v>
      </c>
      <c r="Z16" s="21">
        <v>413.0</v>
      </c>
      <c r="AA16" s="21">
        <v>454.0</v>
      </c>
      <c r="AB16" s="21">
        <v>495.0</v>
      </c>
      <c r="AC16" s="17">
        <f t="shared" si="2"/>
        <v>55</v>
      </c>
    </row>
    <row r="17">
      <c r="A17" s="2">
        <v>15.0</v>
      </c>
      <c r="B17" s="5">
        <v>195.0</v>
      </c>
      <c r="C17" s="5">
        <v>218.0</v>
      </c>
      <c r="D17" s="5">
        <v>241.0</v>
      </c>
      <c r="E17" s="5">
        <v>264.0</v>
      </c>
      <c r="F17" s="5">
        <v>287.0</v>
      </c>
      <c r="G17" s="5">
        <v>310.0</v>
      </c>
      <c r="H17" s="5">
        <v>333.0</v>
      </c>
      <c r="I17" s="5">
        <v>356.0</v>
      </c>
      <c r="J17" s="5">
        <v>379.0</v>
      </c>
      <c r="K17" s="5">
        <v>402.0</v>
      </c>
      <c r="L17" s="5">
        <v>425.0</v>
      </c>
      <c r="M17" s="5">
        <v>448.0</v>
      </c>
      <c r="N17" s="5">
        <v>471.0</v>
      </c>
      <c r="O17" s="5">
        <v>494.0</v>
      </c>
      <c r="P17" s="17">
        <f t="shared" si="1"/>
        <v>38</v>
      </c>
      <c r="R17" s="2">
        <v>15.0</v>
      </c>
      <c r="S17" s="21">
        <v>135.0</v>
      </c>
      <c r="T17" s="21">
        <v>174.0</v>
      </c>
      <c r="U17" s="21">
        <v>213.0</v>
      </c>
      <c r="V17" s="21">
        <v>252.0</v>
      </c>
      <c r="W17" s="21">
        <v>291.0</v>
      </c>
      <c r="X17" s="21">
        <v>330.0</v>
      </c>
      <c r="Y17" s="21">
        <v>369.0</v>
      </c>
      <c r="Z17" s="21">
        <v>408.0</v>
      </c>
      <c r="AA17" s="21">
        <v>447.0</v>
      </c>
      <c r="AB17" s="21">
        <v>486.0</v>
      </c>
      <c r="AC17" s="17">
        <f t="shared" si="2"/>
        <v>54</v>
      </c>
    </row>
    <row r="18">
      <c r="A18" s="2">
        <v>16.0</v>
      </c>
      <c r="B18" s="5">
        <v>208.0</v>
      </c>
      <c r="C18" s="5">
        <v>229.0</v>
      </c>
      <c r="D18" s="5">
        <v>250.0</v>
      </c>
      <c r="E18" s="5">
        <v>271.0</v>
      </c>
      <c r="F18" s="5">
        <v>292.0</v>
      </c>
      <c r="G18" s="5">
        <v>313.0</v>
      </c>
      <c r="H18" s="5">
        <v>334.0</v>
      </c>
      <c r="I18" s="5">
        <v>355.0</v>
      </c>
      <c r="J18" s="5">
        <v>376.0</v>
      </c>
      <c r="K18" s="5">
        <v>397.0</v>
      </c>
      <c r="L18" s="5">
        <v>418.0</v>
      </c>
      <c r="M18" s="5">
        <v>439.0</v>
      </c>
      <c r="N18" s="5">
        <v>460.0</v>
      </c>
      <c r="O18" s="5">
        <v>481.0</v>
      </c>
      <c r="P18" s="17">
        <f t="shared" si="1"/>
        <v>37</v>
      </c>
      <c r="R18" s="2">
        <v>16.0</v>
      </c>
      <c r="S18" s="21">
        <v>144.0</v>
      </c>
      <c r="T18" s="21">
        <v>181.0</v>
      </c>
      <c r="U18" s="21">
        <v>218.0</v>
      </c>
      <c r="V18" s="21">
        <v>255.0</v>
      </c>
      <c r="W18" s="21">
        <v>292.0</v>
      </c>
      <c r="X18" s="21">
        <v>329.0</v>
      </c>
      <c r="Y18" s="21">
        <v>366.0</v>
      </c>
      <c r="Z18" s="21">
        <v>403.0</v>
      </c>
      <c r="AA18" s="21">
        <v>440.0</v>
      </c>
      <c r="AB18" s="21">
        <v>477.0</v>
      </c>
      <c r="AC18" s="17">
        <f t="shared" si="2"/>
        <v>53</v>
      </c>
    </row>
    <row r="19">
      <c r="A19" s="2">
        <v>17.0</v>
      </c>
      <c r="B19" s="5">
        <v>221.0</v>
      </c>
      <c r="C19" s="5">
        <v>240.0</v>
      </c>
      <c r="D19" s="5">
        <v>259.0</v>
      </c>
      <c r="E19" s="5">
        <v>278.0</v>
      </c>
      <c r="F19" s="15">
        <v>297.0</v>
      </c>
      <c r="G19" s="5">
        <v>316.0</v>
      </c>
      <c r="H19" s="5">
        <v>335.0</v>
      </c>
      <c r="I19" s="5">
        <v>354.0</v>
      </c>
      <c r="J19" s="5">
        <v>373.0</v>
      </c>
      <c r="K19" s="5">
        <v>392.0</v>
      </c>
      <c r="L19" s="5">
        <v>411.0</v>
      </c>
      <c r="M19" s="5">
        <v>430.0</v>
      </c>
      <c r="N19" s="5">
        <v>449.0</v>
      </c>
      <c r="O19" s="5">
        <v>468.0</v>
      </c>
      <c r="P19" s="17">
        <f t="shared" si="1"/>
        <v>36</v>
      </c>
      <c r="R19" s="2">
        <v>17.0</v>
      </c>
      <c r="S19" s="21">
        <v>153.0</v>
      </c>
      <c r="T19" s="21">
        <v>188.0</v>
      </c>
      <c r="U19" s="21">
        <v>223.0</v>
      </c>
      <c r="V19" s="21">
        <v>258.0</v>
      </c>
      <c r="W19" s="21">
        <v>293.0</v>
      </c>
      <c r="X19" s="21">
        <v>328.0</v>
      </c>
      <c r="Y19" s="21">
        <v>363.0</v>
      </c>
      <c r="Z19" s="21">
        <v>398.0</v>
      </c>
      <c r="AA19" s="21">
        <v>433.0</v>
      </c>
      <c r="AB19" s="21">
        <v>468.0</v>
      </c>
      <c r="AC19" s="17">
        <f t="shared" si="2"/>
        <v>52</v>
      </c>
    </row>
    <row r="20">
      <c r="A20" s="2">
        <v>18.0</v>
      </c>
      <c r="B20" s="5">
        <v>234.0</v>
      </c>
      <c r="C20" s="5">
        <v>251.0</v>
      </c>
      <c r="D20" s="5">
        <v>268.0</v>
      </c>
      <c r="E20" s="5">
        <v>285.0</v>
      </c>
      <c r="F20" s="5">
        <v>302.0</v>
      </c>
      <c r="G20" s="5">
        <v>319.0</v>
      </c>
      <c r="H20" s="5">
        <v>336.0</v>
      </c>
      <c r="I20" s="5">
        <v>353.0</v>
      </c>
      <c r="J20" s="5">
        <v>370.0</v>
      </c>
      <c r="K20" s="5">
        <v>387.0</v>
      </c>
      <c r="L20" s="5">
        <v>404.0</v>
      </c>
      <c r="M20" s="5">
        <v>421.0</v>
      </c>
      <c r="N20" s="5">
        <v>438.0</v>
      </c>
      <c r="O20" s="5">
        <v>455.0</v>
      </c>
      <c r="P20" s="17">
        <f t="shared" si="1"/>
        <v>35</v>
      </c>
      <c r="R20" s="2">
        <v>18.0</v>
      </c>
      <c r="S20" s="21">
        <v>162.0</v>
      </c>
      <c r="T20" s="21">
        <v>195.0</v>
      </c>
      <c r="U20" s="21">
        <v>228.0</v>
      </c>
      <c r="V20" s="21">
        <v>261.0</v>
      </c>
      <c r="W20" s="21">
        <v>294.0</v>
      </c>
      <c r="X20" s="21">
        <v>327.0</v>
      </c>
      <c r="Y20" s="21">
        <v>360.0</v>
      </c>
      <c r="Z20" s="21">
        <v>393.0</v>
      </c>
      <c r="AA20" s="21">
        <v>426.0</v>
      </c>
      <c r="AB20" s="21">
        <v>459.0</v>
      </c>
      <c r="AC20" s="17">
        <f t="shared" si="2"/>
        <v>51</v>
      </c>
    </row>
    <row r="21">
      <c r="A21" s="2">
        <v>19.0</v>
      </c>
      <c r="B21" s="5">
        <v>247.0</v>
      </c>
      <c r="C21" s="5">
        <v>262.0</v>
      </c>
      <c r="D21" s="5">
        <v>277.0</v>
      </c>
      <c r="E21" s="5">
        <v>292.0</v>
      </c>
      <c r="F21" s="5">
        <v>307.0</v>
      </c>
      <c r="G21" s="5">
        <v>322.0</v>
      </c>
      <c r="H21" s="5">
        <v>337.0</v>
      </c>
      <c r="I21" s="5">
        <v>352.0</v>
      </c>
      <c r="J21" s="5">
        <v>367.0</v>
      </c>
      <c r="K21" s="5">
        <v>382.0</v>
      </c>
      <c r="L21" s="5">
        <v>397.0</v>
      </c>
      <c r="M21" s="5">
        <v>412.0</v>
      </c>
      <c r="N21" s="5">
        <v>427.0</v>
      </c>
      <c r="O21" s="5">
        <v>442.0</v>
      </c>
      <c r="P21" s="17">
        <f t="shared" si="1"/>
        <v>34</v>
      </c>
      <c r="R21" s="2">
        <v>19.0</v>
      </c>
      <c r="S21" s="21">
        <v>171.0</v>
      </c>
      <c r="T21" s="21">
        <v>202.0</v>
      </c>
      <c r="U21" s="21">
        <v>233.0</v>
      </c>
      <c r="V21" s="21">
        <v>264.0</v>
      </c>
      <c r="W21" s="21">
        <v>295.0</v>
      </c>
      <c r="X21" s="21">
        <v>326.0</v>
      </c>
      <c r="Y21" s="21">
        <v>357.0</v>
      </c>
      <c r="Z21" s="21">
        <v>388.0</v>
      </c>
      <c r="AA21" s="21">
        <v>419.0</v>
      </c>
      <c r="AB21" s="21">
        <v>450.0</v>
      </c>
      <c r="AC21" s="17">
        <f t="shared" si="2"/>
        <v>50</v>
      </c>
    </row>
    <row r="22">
      <c r="A22" s="2">
        <v>20.0</v>
      </c>
      <c r="B22" s="5">
        <v>260.0</v>
      </c>
      <c r="C22" s="5">
        <v>273.0</v>
      </c>
      <c r="D22" s="5">
        <v>286.0</v>
      </c>
      <c r="E22" s="15">
        <v>299.0</v>
      </c>
      <c r="F22" s="5">
        <v>312.0</v>
      </c>
      <c r="G22" s="5">
        <v>325.0</v>
      </c>
      <c r="H22" s="5">
        <v>338.0</v>
      </c>
      <c r="I22" s="5">
        <v>351.0</v>
      </c>
      <c r="J22" s="5">
        <v>364.0</v>
      </c>
      <c r="K22" s="5">
        <v>377.0</v>
      </c>
      <c r="L22" s="5">
        <v>390.0</v>
      </c>
      <c r="M22" s="5">
        <v>403.0</v>
      </c>
      <c r="N22" s="5">
        <v>416.0</v>
      </c>
      <c r="O22" s="5">
        <v>429.0</v>
      </c>
      <c r="P22" s="17">
        <f t="shared" si="1"/>
        <v>33</v>
      </c>
      <c r="R22" s="2">
        <v>20.0</v>
      </c>
      <c r="S22" s="21">
        <v>180.0</v>
      </c>
      <c r="T22" s="21">
        <v>209.0</v>
      </c>
      <c r="U22" s="21">
        <v>238.0</v>
      </c>
      <c r="V22" s="21">
        <v>267.0</v>
      </c>
      <c r="W22" s="5">
        <v>296.0</v>
      </c>
      <c r="X22" s="5">
        <v>325.0</v>
      </c>
      <c r="Y22" s="21">
        <v>354.0</v>
      </c>
      <c r="Z22" s="21">
        <v>383.0</v>
      </c>
      <c r="AA22" s="21">
        <v>412.0</v>
      </c>
      <c r="AB22" s="21">
        <v>441.0</v>
      </c>
      <c r="AC22" s="17">
        <f t="shared" si="2"/>
        <v>49</v>
      </c>
    </row>
    <row r="23">
      <c r="A23" s="2">
        <v>21.0</v>
      </c>
      <c r="B23" s="5">
        <v>273.0</v>
      </c>
      <c r="C23" s="5">
        <v>284.0</v>
      </c>
      <c r="D23" s="5">
        <v>295.0</v>
      </c>
      <c r="E23" s="5">
        <v>306.0</v>
      </c>
      <c r="F23" s="5">
        <v>317.0</v>
      </c>
      <c r="G23" s="5">
        <v>328.0</v>
      </c>
      <c r="H23" s="5">
        <v>339.0</v>
      </c>
      <c r="I23" s="5">
        <v>350.0</v>
      </c>
      <c r="J23" s="5">
        <v>361.0</v>
      </c>
      <c r="K23" s="5">
        <v>372.0</v>
      </c>
      <c r="L23" s="5">
        <v>383.0</v>
      </c>
      <c r="M23" s="5">
        <v>394.0</v>
      </c>
      <c r="N23" s="5">
        <v>405.0</v>
      </c>
      <c r="O23" s="5">
        <v>416.0</v>
      </c>
      <c r="P23" s="17">
        <f t="shared" si="1"/>
        <v>32</v>
      </c>
      <c r="R23" s="2">
        <v>21.0</v>
      </c>
      <c r="S23" s="21">
        <v>189.0</v>
      </c>
      <c r="T23" s="21">
        <v>216.0</v>
      </c>
      <c r="U23" s="21">
        <v>243.0</v>
      </c>
      <c r="V23" s="21">
        <v>270.0</v>
      </c>
      <c r="W23" s="5">
        <v>297.0</v>
      </c>
      <c r="X23" s="5">
        <v>324.0</v>
      </c>
      <c r="Y23" s="21">
        <v>351.0</v>
      </c>
      <c r="Z23" s="21">
        <v>378.0</v>
      </c>
      <c r="AA23" s="21">
        <v>405.0</v>
      </c>
      <c r="AB23" s="21">
        <v>432.0</v>
      </c>
      <c r="AC23" s="17">
        <f t="shared" si="2"/>
        <v>48</v>
      </c>
    </row>
    <row r="24">
      <c r="A24" s="2">
        <v>22.0</v>
      </c>
      <c r="B24" s="5">
        <v>286.0</v>
      </c>
      <c r="C24" s="5">
        <v>295.0</v>
      </c>
      <c r="D24" s="5">
        <v>304.0</v>
      </c>
      <c r="E24" s="5">
        <v>313.0</v>
      </c>
      <c r="F24" s="5">
        <v>322.0</v>
      </c>
      <c r="G24" s="5">
        <v>331.0</v>
      </c>
      <c r="H24" s="5">
        <v>340.0</v>
      </c>
      <c r="I24" s="5">
        <v>349.0</v>
      </c>
      <c r="J24" s="5">
        <v>358.0</v>
      </c>
      <c r="K24" s="5">
        <v>367.0</v>
      </c>
      <c r="L24" s="5">
        <v>376.0</v>
      </c>
      <c r="M24" s="5">
        <v>385.0</v>
      </c>
      <c r="N24" s="5">
        <v>394.0</v>
      </c>
      <c r="O24" s="5">
        <v>403.0</v>
      </c>
      <c r="P24" s="17">
        <f t="shared" si="1"/>
        <v>31</v>
      </c>
      <c r="R24" s="2">
        <v>22.0</v>
      </c>
      <c r="S24" s="21">
        <v>198.0</v>
      </c>
      <c r="T24" s="21">
        <v>223.0</v>
      </c>
      <c r="U24" s="21">
        <v>248.0</v>
      </c>
      <c r="V24" s="21">
        <v>273.0</v>
      </c>
      <c r="W24" s="5">
        <v>298.0</v>
      </c>
      <c r="X24" s="5">
        <v>323.0</v>
      </c>
      <c r="Y24" s="21">
        <v>348.0</v>
      </c>
      <c r="Z24" s="21">
        <v>373.0</v>
      </c>
      <c r="AA24" s="21">
        <v>398.0</v>
      </c>
      <c r="AB24" s="21">
        <v>423.0</v>
      </c>
      <c r="AC24" s="17">
        <f t="shared" si="2"/>
        <v>47</v>
      </c>
    </row>
    <row r="25">
      <c r="A25" s="2">
        <v>23.0</v>
      </c>
      <c r="B25" s="5">
        <v>299.0</v>
      </c>
      <c r="C25" s="5">
        <v>306.0</v>
      </c>
      <c r="D25" s="5">
        <v>313.0</v>
      </c>
      <c r="E25" s="5">
        <v>320.0</v>
      </c>
      <c r="F25" s="5">
        <v>327.0</v>
      </c>
      <c r="G25" s="5">
        <v>334.0</v>
      </c>
      <c r="H25" s="5">
        <v>341.0</v>
      </c>
      <c r="I25" s="5">
        <v>348.0</v>
      </c>
      <c r="J25" s="5">
        <v>355.0</v>
      </c>
      <c r="K25" s="5">
        <v>362.0</v>
      </c>
      <c r="L25" s="5">
        <v>369.0</v>
      </c>
      <c r="M25" s="5">
        <v>376.0</v>
      </c>
      <c r="N25" s="5">
        <v>383.0</v>
      </c>
      <c r="O25" s="5">
        <v>390.0</v>
      </c>
      <c r="P25" s="17">
        <f t="shared" si="1"/>
        <v>30</v>
      </c>
      <c r="R25" s="2">
        <v>23.0</v>
      </c>
      <c r="S25" s="21">
        <v>207.0</v>
      </c>
      <c r="T25" s="21">
        <v>230.0</v>
      </c>
      <c r="U25" s="21">
        <v>253.0</v>
      </c>
      <c r="V25" s="5">
        <v>276.0</v>
      </c>
      <c r="W25" s="5">
        <v>299.0</v>
      </c>
      <c r="X25" s="5">
        <v>322.0</v>
      </c>
      <c r="Y25" s="5">
        <v>345.0</v>
      </c>
      <c r="Z25" s="21">
        <v>368.0</v>
      </c>
      <c r="AA25" s="21">
        <v>391.0</v>
      </c>
      <c r="AB25" s="21">
        <v>414.0</v>
      </c>
      <c r="AC25" s="17">
        <f t="shared" si="2"/>
        <v>46</v>
      </c>
    </row>
    <row r="26">
      <c r="A26" s="2">
        <v>24.0</v>
      </c>
      <c r="B26" s="5">
        <v>312.0</v>
      </c>
      <c r="C26" s="5">
        <v>317.0</v>
      </c>
      <c r="D26" s="5">
        <v>322.0</v>
      </c>
      <c r="E26" s="5">
        <v>327.0</v>
      </c>
      <c r="F26" s="5">
        <v>332.0</v>
      </c>
      <c r="G26" s="5">
        <v>337.0</v>
      </c>
      <c r="H26" s="5">
        <v>342.0</v>
      </c>
      <c r="I26" s="5">
        <v>347.0</v>
      </c>
      <c r="J26" s="5">
        <v>352.0</v>
      </c>
      <c r="K26" s="5">
        <v>357.0</v>
      </c>
      <c r="L26" s="5">
        <v>362.0</v>
      </c>
      <c r="M26" s="5">
        <v>367.0</v>
      </c>
      <c r="N26" s="5">
        <v>372.0</v>
      </c>
      <c r="O26" s="5">
        <v>377.0</v>
      </c>
      <c r="P26" s="17">
        <f t="shared" si="1"/>
        <v>29</v>
      </c>
      <c r="R26" s="2">
        <v>24.0</v>
      </c>
      <c r="S26" s="21">
        <v>216.0</v>
      </c>
      <c r="T26" s="21">
        <v>237.0</v>
      </c>
      <c r="U26" s="21">
        <v>258.0</v>
      </c>
      <c r="V26" s="5">
        <v>279.0</v>
      </c>
      <c r="W26" s="5">
        <v>300.0</v>
      </c>
      <c r="X26" s="5">
        <v>321.0</v>
      </c>
      <c r="Y26" s="5">
        <v>342.0</v>
      </c>
      <c r="Z26" s="21">
        <v>363.0</v>
      </c>
      <c r="AA26" s="21">
        <v>384.0</v>
      </c>
      <c r="AB26" s="21">
        <v>405.0</v>
      </c>
      <c r="AC26" s="17">
        <f t="shared" si="2"/>
        <v>45</v>
      </c>
    </row>
    <row r="27">
      <c r="A27" s="2">
        <v>25.0</v>
      </c>
      <c r="B27" s="5">
        <v>325.0</v>
      </c>
      <c r="C27" s="5">
        <v>328.0</v>
      </c>
      <c r="D27" s="5">
        <v>331.0</v>
      </c>
      <c r="E27" s="5">
        <v>334.0</v>
      </c>
      <c r="F27" s="5">
        <v>337.0</v>
      </c>
      <c r="G27" s="5">
        <v>340.0</v>
      </c>
      <c r="H27" s="5">
        <v>343.0</v>
      </c>
      <c r="I27" s="5">
        <v>346.0</v>
      </c>
      <c r="J27" s="5">
        <v>349.0</v>
      </c>
      <c r="K27" s="5">
        <v>352.0</v>
      </c>
      <c r="L27" s="5">
        <v>355.0</v>
      </c>
      <c r="M27" s="5">
        <v>358.0</v>
      </c>
      <c r="N27" s="5">
        <v>361.0</v>
      </c>
      <c r="O27" s="5">
        <v>364.0</v>
      </c>
      <c r="P27" s="17">
        <f t="shared" si="1"/>
        <v>28</v>
      </c>
      <c r="R27" s="2">
        <v>25.0</v>
      </c>
      <c r="S27" s="21">
        <v>225.0</v>
      </c>
      <c r="T27" s="21">
        <v>244.0</v>
      </c>
      <c r="U27" s="21">
        <v>263.0</v>
      </c>
      <c r="V27" s="5">
        <v>282.0</v>
      </c>
      <c r="W27" s="5">
        <v>301.0</v>
      </c>
      <c r="X27" s="5">
        <v>320.0</v>
      </c>
      <c r="Y27" s="5">
        <v>339.0</v>
      </c>
      <c r="Z27" s="21">
        <v>358.0</v>
      </c>
      <c r="AA27" s="21">
        <v>377.0</v>
      </c>
      <c r="AB27" s="21">
        <v>396.0</v>
      </c>
      <c r="AC27" s="17">
        <f t="shared" si="2"/>
        <v>44</v>
      </c>
    </row>
    <row r="28">
      <c r="A28" s="2">
        <v>26.0</v>
      </c>
      <c r="B28" s="5">
        <v>338.0</v>
      </c>
      <c r="C28" s="5">
        <v>339.0</v>
      </c>
      <c r="D28" s="5">
        <v>340.0</v>
      </c>
      <c r="E28" s="5">
        <v>341.0</v>
      </c>
      <c r="F28" s="5">
        <v>342.0</v>
      </c>
      <c r="G28" s="5">
        <v>343.0</v>
      </c>
      <c r="H28" s="5">
        <v>344.0</v>
      </c>
      <c r="I28" s="5">
        <v>345.0</v>
      </c>
      <c r="J28" s="5">
        <v>346.0</v>
      </c>
      <c r="K28" s="5">
        <v>347.0</v>
      </c>
      <c r="L28" s="5">
        <v>348.0</v>
      </c>
      <c r="M28" s="5">
        <v>349.0</v>
      </c>
      <c r="N28" s="5">
        <v>350.0</v>
      </c>
      <c r="O28" s="5">
        <v>351.0</v>
      </c>
      <c r="P28" s="17">
        <f t="shared" si="1"/>
        <v>27</v>
      </c>
      <c r="R28" s="2">
        <v>26.0</v>
      </c>
      <c r="S28" s="21">
        <v>234.0</v>
      </c>
      <c r="T28" s="21">
        <v>251.0</v>
      </c>
      <c r="U28" s="21">
        <v>268.0</v>
      </c>
      <c r="V28" s="5">
        <v>285.0</v>
      </c>
      <c r="W28" s="5">
        <v>302.0</v>
      </c>
      <c r="X28" s="5">
        <v>319.0</v>
      </c>
      <c r="Y28" s="5">
        <v>336.0</v>
      </c>
      <c r="Z28" s="21">
        <v>353.0</v>
      </c>
      <c r="AA28" s="21">
        <v>370.0</v>
      </c>
      <c r="AB28" s="21">
        <v>387.0</v>
      </c>
      <c r="AC28" s="17">
        <f t="shared" si="2"/>
        <v>43</v>
      </c>
    </row>
    <row r="29">
      <c r="A29" s="2">
        <v>27.0</v>
      </c>
      <c r="B29" s="5">
        <v>351.0</v>
      </c>
      <c r="C29" s="5">
        <v>350.0</v>
      </c>
      <c r="D29" s="5">
        <v>349.0</v>
      </c>
      <c r="E29" s="5">
        <v>348.0</v>
      </c>
      <c r="F29" s="5">
        <v>347.0</v>
      </c>
      <c r="G29" s="5">
        <v>346.0</v>
      </c>
      <c r="H29" s="5">
        <v>345.0</v>
      </c>
      <c r="I29" s="5">
        <v>344.0</v>
      </c>
      <c r="J29" s="5">
        <v>343.0</v>
      </c>
      <c r="K29" s="5">
        <v>342.0</v>
      </c>
      <c r="L29" s="5">
        <v>341.0</v>
      </c>
      <c r="M29" s="5">
        <v>340.0</v>
      </c>
      <c r="N29" s="5">
        <v>339.0</v>
      </c>
      <c r="O29" s="5">
        <v>338.0</v>
      </c>
      <c r="P29" s="17">
        <f t="shared" si="1"/>
        <v>26</v>
      </c>
      <c r="R29" s="2">
        <v>27.0</v>
      </c>
      <c r="S29" s="21">
        <v>243.0</v>
      </c>
      <c r="T29" s="21">
        <v>258.0</v>
      </c>
      <c r="U29" s="15">
        <v>273.0</v>
      </c>
      <c r="V29" s="5">
        <v>288.0</v>
      </c>
      <c r="W29" s="5">
        <v>303.0</v>
      </c>
      <c r="X29" s="5">
        <v>318.0</v>
      </c>
      <c r="Y29" s="5">
        <v>333.0</v>
      </c>
      <c r="Z29" s="5">
        <v>348.0</v>
      </c>
      <c r="AA29" s="21">
        <v>363.0</v>
      </c>
      <c r="AB29" s="21">
        <v>378.0</v>
      </c>
      <c r="AC29" s="17">
        <f t="shared" si="2"/>
        <v>42</v>
      </c>
    </row>
    <row r="30">
      <c r="A30" s="2">
        <v>28.0</v>
      </c>
      <c r="B30" s="23">
        <v>364.0</v>
      </c>
      <c r="C30" s="5">
        <v>361.0</v>
      </c>
      <c r="D30" s="5">
        <v>358.0</v>
      </c>
      <c r="E30" s="5">
        <v>355.0</v>
      </c>
      <c r="F30" s="5">
        <v>352.0</v>
      </c>
      <c r="G30" s="5">
        <v>349.0</v>
      </c>
      <c r="H30" s="5">
        <v>346.0</v>
      </c>
      <c r="I30" s="5">
        <v>343.0</v>
      </c>
      <c r="J30" s="5">
        <v>340.0</v>
      </c>
      <c r="K30" s="5">
        <v>337.0</v>
      </c>
      <c r="L30" s="5">
        <v>334.0</v>
      </c>
      <c r="M30" s="5">
        <v>331.0</v>
      </c>
      <c r="N30" s="5">
        <v>328.0</v>
      </c>
      <c r="O30" s="23">
        <v>325.0</v>
      </c>
      <c r="P30" s="17">
        <f t="shared" si="1"/>
        <v>25</v>
      </c>
      <c r="R30" s="2">
        <v>28.0</v>
      </c>
      <c r="S30" s="21">
        <v>252.0</v>
      </c>
      <c r="T30" s="21">
        <v>265.0</v>
      </c>
      <c r="U30" s="5">
        <v>278.0</v>
      </c>
      <c r="V30" s="5">
        <v>291.0</v>
      </c>
      <c r="W30" s="5">
        <v>304.0</v>
      </c>
      <c r="X30" s="5">
        <v>317.0</v>
      </c>
      <c r="Y30" s="5">
        <v>330.0</v>
      </c>
      <c r="Z30" s="5">
        <v>343.0</v>
      </c>
      <c r="AA30" s="21">
        <v>356.0</v>
      </c>
      <c r="AB30" s="21">
        <v>369.0</v>
      </c>
      <c r="AC30" s="17">
        <f t="shared" si="2"/>
        <v>41</v>
      </c>
    </row>
    <row r="31">
      <c r="A31" s="2">
        <v>29.0</v>
      </c>
      <c r="B31" s="23">
        <v>377.0</v>
      </c>
      <c r="C31" s="5">
        <v>372.0</v>
      </c>
      <c r="D31" s="5">
        <v>367.0</v>
      </c>
      <c r="E31" s="5">
        <v>362.0</v>
      </c>
      <c r="F31" s="5">
        <v>357.0</v>
      </c>
      <c r="G31" s="5">
        <v>352.0</v>
      </c>
      <c r="H31" s="5">
        <v>347.0</v>
      </c>
      <c r="I31" s="5">
        <v>342.0</v>
      </c>
      <c r="J31" s="5">
        <v>337.0</v>
      </c>
      <c r="K31" s="5">
        <v>332.0</v>
      </c>
      <c r="L31" s="5">
        <v>327.0</v>
      </c>
      <c r="M31" s="5">
        <v>322.0</v>
      </c>
      <c r="N31" s="5">
        <v>317.0</v>
      </c>
      <c r="O31" s="23">
        <v>312.0</v>
      </c>
      <c r="P31" s="17">
        <f t="shared" si="1"/>
        <v>24</v>
      </c>
      <c r="R31" s="2">
        <v>29.0</v>
      </c>
      <c r="S31" s="21">
        <v>261.0</v>
      </c>
      <c r="T31" s="21">
        <v>272.0</v>
      </c>
      <c r="U31" s="5">
        <v>283.0</v>
      </c>
      <c r="V31" s="5">
        <v>294.0</v>
      </c>
      <c r="W31" s="5">
        <v>305.0</v>
      </c>
      <c r="X31" s="5">
        <v>316.0</v>
      </c>
      <c r="Y31" s="5">
        <v>327.0</v>
      </c>
      <c r="Z31" s="5">
        <v>338.0</v>
      </c>
      <c r="AA31" s="21">
        <v>349.0</v>
      </c>
      <c r="AB31" s="21">
        <v>360.0</v>
      </c>
      <c r="AC31" s="17">
        <f t="shared" si="2"/>
        <v>40</v>
      </c>
    </row>
    <row r="32">
      <c r="A32" s="2">
        <v>30.0</v>
      </c>
      <c r="B32" s="23">
        <v>390.0</v>
      </c>
      <c r="C32" s="23">
        <v>383.0</v>
      </c>
      <c r="D32" s="5">
        <v>376.0</v>
      </c>
      <c r="E32" s="5">
        <v>369.0</v>
      </c>
      <c r="F32" s="5">
        <v>362.0</v>
      </c>
      <c r="G32" s="5">
        <v>355.0</v>
      </c>
      <c r="H32" s="5">
        <v>348.0</v>
      </c>
      <c r="I32" s="5">
        <v>341.0</v>
      </c>
      <c r="J32" s="5">
        <v>334.0</v>
      </c>
      <c r="K32" s="5">
        <v>327.0</v>
      </c>
      <c r="L32" s="5">
        <v>320.0</v>
      </c>
      <c r="M32" s="5">
        <v>313.0</v>
      </c>
      <c r="N32" s="23">
        <v>306.0</v>
      </c>
      <c r="O32" s="23">
        <v>299.0</v>
      </c>
      <c r="P32" s="17">
        <f t="shared" si="1"/>
        <v>23</v>
      </c>
      <c r="R32" s="2">
        <v>30.0</v>
      </c>
      <c r="S32" s="21">
        <v>270.0</v>
      </c>
      <c r="T32" s="21">
        <v>279.0</v>
      </c>
      <c r="U32" s="5">
        <v>288.0</v>
      </c>
      <c r="V32" s="5">
        <v>297.0</v>
      </c>
      <c r="W32" s="5">
        <v>306.0</v>
      </c>
      <c r="X32" s="5">
        <v>315.0</v>
      </c>
      <c r="Y32" s="5">
        <v>324.0</v>
      </c>
      <c r="Z32" s="5">
        <v>333.0</v>
      </c>
      <c r="AA32" s="21">
        <v>342.0</v>
      </c>
      <c r="AB32" s="21">
        <v>351.0</v>
      </c>
      <c r="AC32" s="17">
        <f t="shared" si="2"/>
        <v>39</v>
      </c>
    </row>
    <row r="33">
      <c r="A33" s="2">
        <v>31.0</v>
      </c>
      <c r="B33" s="23">
        <v>403.0</v>
      </c>
      <c r="C33" s="23">
        <v>394.0</v>
      </c>
      <c r="D33" s="5">
        <v>385.0</v>
      </c>
      <c r="E33" s="5">
        <v>376.0</v>
      </c>
      <c r="F33" s="5">
        <v>367.0</v>
      </c>
      <c r="G33" s="5">
        <v>358.0</v>
      </c>
      <c r="H33" s="5">
        <v>349.0</v>
      </c>
      <c r="I33" s="5">
        <v>340.0</v>
      </c>
      <c r="J33" s="5">
        <v>331.0</v>
      </c>
      <c r="K33" s="5">
        <v>322.0</v>
      </c>
      <c r="L33" s="5">
        <v>313.0</v>
      </c>
      <c r="M33" s="5">
        <v>304.0</v>
      </c>
      <c r="N33" s="23">
        <v>295.0</v>
      </c>
      <c r="O33" s="23">
        <v>286.0</v>
      </c>
      <c r="P33" s="17">
        <f t="shared" si="1"/>
        <v>22</v>
      </c>
      <c r="R33" s="2">
        <v>31.0</v>
      </c>
      <c r="S33" s="21">
        <v>279.0</v>
      </c>
      <c r="T33" s="5">
        <v>286.0</v>
      </c>
      <c r="U33" s="5">
        <v>293.0</v>
      </c>
      <c r="V33" s="5">
        <v>300.0</v>
      </c>
      <c r="W33" s="5">
        <v>307.0</v>
      </c>
      <c r="X33" s="5">
        <v>314.0</v>
      </c>
      <c r="Y33" s="5">
        <v>321.0</v>
      </c>
      <c r="Z33" s="5">
        <v>328.0</v>
      </c>
      <c r="AA33" s="5">
        <v>335.0</v>
      </c>
      <c r="AB33" s="21">
        <v>342.0</v>
      </c>
      <c r="AC33" s="17">
        <f t="shared" si="2"/>
        <v>38</v>
      </c>
    </row>
    <row r="34">
      <c r="A34" s="2">
        <v>32.0</v>
      </c>
      <c r="B34" s="23">
        <v>416.0</v>
      </c>
      <c r="C34" s="23">
        <v>405.0</v>
      </c>
      <c r="D34" s="23">
        <v>394.0</v>
      </c>
      <c r="E34" s="5">
        <v>383.0</v>
      </c>
      <c r="F34" s="5">
        <v>372.0</v>
      </c>
      <c r="G34" s="5">
        <v>361.0</v>
      </c>
      <c r="H34" s="5">
        <v>350.0</v>
      </c>
      <c r="I34" s="5">
        <v>339.0</v>
      </c>
      <c r="J34" s="5">
        <v>328.0</v>
      </c>
      <c r="K34" s="5">
        <v>317.0</v>
      </c>
      <c r="L34" s="5">
        <v>306.0</v>
      </c>
      <c r="M34" s="23">
        <v>295.0</v>
      </c>
      <c r="N34" s="23">
        <v>284.0</v>
      </c>
      <c r="O34" s="23">
        <v>273.0</v>
      </c>
      <c r="P34" s="17">
        <f t="shared" si="1"/>
        <v>21</v>
      </c>
      <c r="R34" s="2">
        <v>32.0</v>
      </c>
      <c r="S34" s="21">
        <v>288.0</v>
      </c>
      <c r="T34" s="5">
        <v>293.0</v>
      </c>
      <c r="U34" s="5">
        <v>298.0</v>
      </c>
      <c r="V34" s="5">
        <v>303.0</v>
      </c>
      <c r="W34" s="5">
        <v>308.0</v>
      </c>
      <c r="X34" s="5">
        <v>313.0</v>
      </c>
      <c r="Y34" s="5">
        <v>318.0</v>
      </c>
      <c r="Z34" s="5">
        <v>323.0</v>
      </c>
      <c r="AA34" s="5">
        <v>328.0</v>
      </c>
      <c r="AB34" s="21">
        <v>333.0</v>
      </c>
      <c r="AC34" s="17">
        <f t="shared" si="2"/>
        <v>37</v>
      </c>
    </row>
    <row r="35">
      <c r="A35" s="2">
        <v>33.0</v>
      </c>
      <c r="B35" s="23">
        <v>429.0</v>
      </c>
      <c r="C35" s="23">
        <v>416.0</v>
      </c>
      <c r="D35" s="23">
        <v>403.0</v>
      </c>
      <c r="E35" s="5">
        <v>390.0</v>
      </c>
      <c r="F35" s="5">
        <v>377.0</v>
      </c>
      <c r="G35" s="5">
        <v>364.0</v>
      </c>
      <c r="H35" s="5">
        <v>351.0</v>
      </c>
      <c r="I35" s="5">
        <v>338.0</v>
      </c>
      <c r="J35" s="5">
        <v>325.0</v>
      </c>
      <c r="K35" s="5">
        <v>312.0</v>
      </c>
      <c r="L35" s="15">
        <v>299.0</v>
      </c>
      <c r="M35" s="23">
        <v>286.0</v>
      </c>
      <c r="N35" s="23">
        <v>273.0</v>
      </c>
      <c r="O35" s="23">
        <v>260.0</v>
      </c>
      <c r="P35" s="17">
        <f t="shared" si="1"/>
        <v>20</v>
      </c>
      <c r="R35" s="2">
        <v>33.0</v>
      </c>
      <c r="S35" s="5">
        <v>297.0</v>
      </c>
      <c r="T35" s="5">
        <v>300.0</v>
      </c>
      <c r="U35" s="5">
        <v>303.0</v>
      </c>
      <c r="V35" s="5">
        <v>306.0</v>
      </c>
      <c r="W35" s="5">
        <v>309.0</v>
      </c>
      <c r="X35" s="5">
        <v>312.0</v>
      </c>
      <c r="Y35" s="5">
        <v>315.0</v>
      </c>
      <c r="Z35" s="5">
        <v>318.0</v>
      </c>
      <c r="AA35" s="5">
        <v>321.0</v>
      </c>
      <c r="AB35" s="5">
        <v>324.0</v>
      </c>
      <c r="AC35" s="17">
        <f t="shared" si="2"/>
        <v>36</v>
      </c>
    </row>
    <row r="36">
      <c r="A36" s="2">
        <v>34.0</v>
      </c>
      <c r="B36" s="23">
        <v>442.0</v>
      </c>
      <c r="C36" s="23">
        <v>427.0</v>
      </c>
      <c r="D36" s="23">
        <v>412.0</v>
      </c>
      <c r="E36" s="23">
        <v>397.0</v>
      </c>
      <c r="F36" s="5">
        <v>382.0</v>
      </c>
      <c r="G36" s="5">
        <v>367.0</v>
      </c>
      <c r="H36" s="5">
        <v>352.0</v>
      </c>
      <c r="I36" s="5">
        <v>337.0</v>
      </c>
      <c r="J36" s="5">
        <v>322.0</v>
      </c>
      <c r="K36" s="5">
        <v>307.0</v>
      </c>
      <c r="L36" s="23">
        <v>292.0</v>
      </c>
      <c r="M36" s="23">
        <v>277.0</v>
      </c>
      <c r="N36" s="23">
        <v>262.0</v>
      </c>
      <c r="O36" s="23">
        <v>247.0</v>
      </c>
      <c r="P36" s="17">
        <f t="shared" si="1"/>
        <v>19</v>
      </c>
      <c r="R36" s="2">
        <v>34.0</v>
      </c>
      <c r="S36" s="5">
        <v>306.0</v>
      </c>
      <c r="T36" s="5">
        <v>307.0</v>
      </c>
      <c r="U36" s="5">
        <v>308.0</v>
      </c>
      <c r="V36" s="5">
        <v>309.0</v>
      </c>
      <c r="W36" s="5">
        <v>310.0</v>
      </c>
      <c r="X36" s="5">
        <v>311.0</v>
      </c>
      <c r="Y36" s="5">
        <v>312.0</v>
      </c>
      <c r="Z36" s="5">
        <v>313.0</v>
      </c>
      <c r="AA36" s="5">
        <v>314.0</v>
      </c>
      <c r="AB36" s="5">
        <v>315.0</v>
      </c>
      <c r="AC36" s="17">
        <f t="shared" si="2"/>
        <v>35</v>
      </c>
    </row>
    <row r="37">
      <c r="A37" s="2">
        <v>35.0</v>
      </c>
      <c r="B37" s="23">
        <v>455.0</v>
      </c>
      <c r="C37" s="23">
        <v>438.0</v>
      </c>
      <c r="D37" s="23">
        <v>421.0</v>
      </c>
      <c r="E37" s="23">
        <v>404.0</v>
      </c>
      <c r="F37" s="5">
        <v>387.0</v>
      </c>
      <c r="G37" s="5">
        <v>370.0</v>
      </c>
      <c r="H37" s="5">
        <v>353.0</v>
      </c>
      <c r="I37" s="5">
        <v>336.0</v>
      </c>
      <c r="J37" s="5">
        <v>319.0</v>
      </c>
      <c r="K37" s="5">
        <v>302.0</v>
      </c>
      <c r="L37" s="23">
        <v>285.0</v>
      </c>
      <c r="M37" s="23">
        <v>268.0</v>
      </c>
      <c r="N37" s="23">
        <v>251.0</v>
      </c>
      <c r="O37" s="23">
        <v>234.0</v>
      </c>
      <c r="P37" s="17">
        <f t="shared" si="1"/>
        <v>18</v>
      </c>
      <c r="R37" s="2">
        <v>35.0</v>
      </c>
      <c r="S37" s="5">
        <v>315.0</v>
      </c>
      <c r="T37" s="5">
        <v>314.0</v>
      </c>
      <c r="U37" s="5">
        <v>313.0</v>
      </c>
      <c r="V37" s="5">
        <v>312.0</v>
      </c>
      <c r="W37" s="5">
        <v>311.0</v>
      </c>
      <c r="X37" s="5">
        <v>310.0</v>
      </c>
      <c r="Y37" s="5">
        <v>309.0</v>
      </c>
      <c r="Z37" s="5">
        <v>308.0</v>
      </c>
      <c r="AA37" s="5">
        <v>307.0</v>
      </c>
      <c r="AB37" s="5">
        <v>306.0</v>
      </c>
      <c r="AC37" s="17">
        <f t="shared" si="2"/>
        <v>34</v>
      </c>
    </row>
    <row r="38">
      <c r="A38" s="2">
        <v>36.0</v>
      </c>
      <c r="B38" s="23">
        <v>468.0</v>
      </c>
      <c r="C38" s="23">
        <v>449.0</v>
      </c>
      <c r="D38" s="23">
        <v>430.0</v>
      </c>
      <c r="E38" s="23">
        <v>411.0</v>
      </c>
      <c r="F38" s="5">
        <v>392.0</v>
      </c>
      <c r="G38" s="5">
        <v>373.0</v>
      </c>
      <c r="H38" s="5">
        <v>354.0</v>
      </c>
      <c r="I38" s="5">
        <v>335.0</v>
      </c>
      <c r="J38" s="5">
        <v>316.0</v>
      </c>
      <c r="K38" s="15">
        <v>297.0</v>
      </c>
      <c r="L38" s="23">
        <v>278.0</v>
      </c>
      <c r="M38" s="23">
        <v>259.0</v>
      </c>
      <c r="N38" s="23">
        <v>240.0</v>
      </c>
      <c r="O38" s="23">
        <v>221.0</v>
      </c>
      <c r="P38" s="17">
        <f t="shared" si="1"/>
        <v>17</v>
      </c>
      <c r="R38" s="2">
        <v>36.0</v>
      </c>
      <c r="S38" s="5">
        <v>324.0</v>
      </c>
      <c r="T38" s="5">
        <v>321.0</v>
      </c>
      <c r="U38" s="5">
        <v>318.0</v>
      </c>
      <c r="V38" s="5">
        <v>315.0</v>
      </c>
      <c r="W38" s="5">
        <v>312.0</v>
      </c>
      <c r="X38" s="5">
        <v>309.0</v>
      </c>
      <c r="Y38" s="5">
        <v>306.0</v>
      </c>
      <c r="Z38" s="5">
        <v>303.0</v>
      </c>
      <c r="AA38" s="5">
        <v>300.0</v>
      </c>
      <c r="AB38" s="5">
        <v>297.0</v>
      </c>
      <c r="AC38" s="17">
        <f t="shared" si="2"/>
        <v>33</v>
      </c>
    </row>
    <row r="39">
      <c r="A39" s="2">
        <v>37.0</v>
      </c>
      <c r="B39" s="23">
        <v>481.0</v>
      </c>
      <c r="C39" s="23">
        <v>460.0</v>
      </c>
      <c r="D39" s="23">
        <v>439.0</v>
      </c>
      <c r="E39" s="23">
        <v>418.0</v>
      </c>
      <c r="F39" s="23">
        <v>397.0</v>
      </c>
      <c r="G39" s="5">
        <v>376.0</v>
      </c>
      <c r="H39" s="5">
        <v>355.0</v>
      </c>
      <c r="I39" s="5">
        <v>334.0</v>
      </c>
      <c r="J39" s="5">
        <v>313.0</v>
      </c>
      <c r="K39" s="23">
        <v>292.0</v>
      </c>
      <c r="L39" s="23">
        <v>271.0</v>
      </c>
      <c r="M39" s="23">
        <v>250.0</v>
      </c>
      <c r="N39" s="23">
        <v>229.0</v>
      </c>
      <c r="O39" s="23">
        <v>208.0</v>
      </c>
      <c r="P39" s="17">
        <f t="shared" si="1"/>
        <v>16</v>
      </c>
      <c r="R39" s="2">
        <v>37.0</v>
      </c>
      <c r="S39" s="5">
        <v>333.0</v>
      </c>
      <c r="T39" s="5">
        <v>328.0</v>
      </c>
      <c r="U39" s="5">
        <v>323.0</v>
      </c>
      <c r="V39" s="5">
        <v>318.0</v>
      </c>
      <c r="W39" s="5">
        <v>313.0</v>
      </c>
      <c r="X39" s="5">
        <v>308.0</v>
      </c>
      <c r="Y39" s="5">
        <v>303.0</v>
      </c>
      <c r="Z39" s="5">
        <v>298.0</v>
      </c>
      <c r="AA39" s="5">
        <v>293.0</v>
      </c>
      <c r="AB39" s="5">
        <v>288.0</v>
      </c>
      <c r="AC39" s="17">
        <f t="shared" si="2"/>
        <v>32</v>
      </c>
    </row>
    <row r="40">
      <c r="A40" s="2">
        <v>38.0</v>
      </c>
      <c r="B40" s="23">
        <v>494.0</v>
      </c>
      <c r="C40" s="23">
        <v>471.0</v>
      </c>
      <c r="D40" s="23">
        <v>448.0</v>
      </c>
      <c r="E40" s="23">
        <v>425.0</v>
      </c>
      <c r="F40" s="23">
        <v>402.0</v>
      </c>
      <c r="G40" s="5">
        <v>379.0</v>
      </c>
      <c r="H40" s="5">
        <v>356.0</v>
      </c>
      <c r="I40" s="5">
        <v>333.0</v>
      </c>
      <c r="J40" s="5">
        <v>310.0</v>
      </c>
      <c r="K40" s="23">
        <v>287.0</v>
      </c>
      <c r="L40" s="23">
        <v>264.0</v>
      </c>
      <c r="M40" s="23">
        <v>241.0</v>
      </c>
      <c r="N40" s="23">
        <v>218.0</v>
      </c>
      <c r="O40" s="23">
        <v>195.0</v>
      </c>
      <c r="P40" s="17">
        <f t="shared" si="1"/>
        <v>15</v>
      </c>
      <c r="R40" s="2">
        <v>38.0</v>
      </c>
      <c r="S40" s="5">
        <v>342.0</v>
      </c>
      <c r="T40" s="5">
        <v>335.0</v>
      </c>
      <c r="U40" s="5">
        <v>328.0</v>
      </c>
      <c r="V40" s="5">
        <v>321.0</v>
      </c>
      <c r="W40" s="5">
        <v>314.0</v>
      </c>
      <c r="X40" s="5">
        <v>307.0</v>
      </c>
      <c r="Y40" s="5">
        <v>300.0</v>
      </c>
      <c r="Z40" s="5">
        <v>293.0</v>
      </c>
      <c r="AA40" s="5">
        <v>286.0</v>
      </c>
      <c r="AB40" s="5">
        <v>279.0</v>
      </c>
      <c r="AC40" s="17">
        <f t="shared" si="2"/>
        <v>31</v>
      </c>
    </row>
    <row r="41">
      <c r="A41" s="2">
        <v>39.0</v>
      </c>
      <c r="B41" s="23">
        <v>507.0</v>
      </c>
      <c r="C41" s="23">
        <v>482.0</v>
      </c>
      <c r="D41" s="23">
        <v>457.0</v>
      </c>
      <c r="E41" s="23">
        <v>432.0</v>
      </c>
      <c r="F41" s="23">
        <v>407.0</v>
      </c>
      <c r="G41" s="23">
        <v>382.0</v>
      </c>
      <c r="H41" s="5">
        <v>357.0</v>
      </c>
      <c r="I41" s="5">
        <v>332.0</v>
      </c>
      <c r="J41" s="23">
        <v>307.0</v>
      </c>
      <c r="K41" s="23">
        <v>282.0</v>
      </c>
      <c r="L41" s="23">
        <v>257.0</v>
      </c>
      <c r="M41" s="23">
        <v>232.0</v>
      </c>
      <c r="N41" s="23">
        <v>207.0</v>
      </c>
      <c r="O41" s="23">
        <v>182.0</v>
      </c>
      <c r="P41" s="17">
        <f t="shared" si="1"/>
        <v>14</v>
      </c>
      <c r="R41" s="2">
        <v>39.0</v>
      </c>
      <c r="S41" s="5">
        <v>351.0</v>
      </c>
      <c r="T41" s="5">
        <v>342.0</v>
      </c>
      <c r="U41" s="5">
        <v>333.0</v>
      </c>
      <c r="V41" s="5">
        <v>324.0</v>
      </c>
      <c r="W41" s="5">
        <v>315.0</v>
      </c>
      <c r="X41" s="5">
        <v>306.0</v>
      </c>
      <c r="Y41" s="5">
        <v>297.0</v>
      </c>
      <c r="Z41" s="5">
        <v>288.0</v>
      </c>
      <c r="AA41" s="5">
        <v>279.0</v>
      </c>
      <c r="AB41" s="5">
        <v>270.0</v>
      </c>
      <c r="AC41" s="17">
        <f t="shared" si="2"/>
        <v>30</v>
      </c>
    </row>
    <row r="42">
      <c r="A42" s="2">
        <v>40.0</v>
      </c>
      <c r="B42" s="23">
        <v>520.0</v>
      </c>
      <c r="C42" s="23">
        <v>493.0</v>
      </c>
      <c r="D42" s="23">
        <v>466.0</v>
      </c>
      <c r="E42" s="23">
        <v>439.0</v>
      </c>
      <c r="F42" s="23">
        <v>412.0</v>
      </c>
      <c r="G42" s="23">
        <v>385.0</v>
      </c>
      <c r="H42" s="5">
        <v>358.0</v>
      </c>
      <c r="I42" s="5">
        <v>331.0</v>
      </c>
      <c r="J42" s="23">
        <v>304.0</v>
      </c>
      <c r="K42" s="23">
        <v>277.0</v>
      </c>
      <c r="L42" s="23">
        <v>250.0</v>
      </c>
      <c r="M42" s="23">
        <v>223.0</v>
      </c>
      <c r="N42" s="23">
        <v>196.0</v>
      </c>
      <c r="O42" s="23">
        <v>169.0</v>
      </c>
      <c r="P42" s="17">
        <f t="shared" si="1"/>
        <v>13</v>
      </c>
      <c r="R42" s="2">
        <v>40.0</v>
      </c>
      <c r="S42" s="5">
        <v>360.0</v>
      </c>
      <c r="T42" s="5">
        <v>349.0</v>
      </c>
      <c r="U42" s="5">
        <v>338.0</v>
      </c>
      <c r="V42" s="5">
        <v>327.0</v>
      </c>
      <c r="W42" s="5">
        <v>316.0</v>
      </c>
      <c r="X42" s="5">
        <v>305.0</v>
      </c>
      <c r="Y42" s="5">
        <v>294.0</v>
      </c>
      <c r="Z42" s="5">
        <v>283.0</v>
      </c>
      <c r="AA42" s="5">
        <v>272.0</v>
      </c>
      <c r="AB42" s="5">
        <v>261.0</v>
      </c>
      <c r="AC42" s="17">
        <f t="shared" si="2"/>
        <v>29</v>
      </c>
    </row>
    <row r="43">
      <c r="A43" s="2">
        <v>41.0</v>
      </c>
      <c r="B43" s="23">
        <v>533.0</v>
      </c>
      <c r="C43" s="23">
        <v>504.0</v>
      </c>
      <c r="D43" s="23">
        <v>475.0</v>
      </c>
      <c r="E43" s="23">
        <v>446.0</v>
      </c>
      <c r="F43" s="23">
        <v>417.0</v>
      </c>
      <c r="G43" s="23">
        <v>388.0</v>
      </c>
      <c r="H43" s="5">
        <v>359.0</v>
      </c>
      <c r="I43" s="5">
        <v>330.0</v>
      </c>
      <c r="J43" s="23">
        <v>301.0</v>
      </c>
      <c r="K43" s="23">
        <v>272.0</v>
      </c>
      <c r="L43" s="23">
        <v>243.0</v>
      </c>
      <c r="M43" s="23">
        <v>214.0</v>
      </c>
      <c r="N43" s="23">
        <v>185.0</v>
      </c>
      <c r="O43" s="23">
        <v>156.0</v>
      </c>
      <c r="P43" s="17">
        <f t="shared" si="1"/>
        <v>12</v>
      </c>
      <c r="R43" s="2">
        <v>41.0</v>
      </c>
      <c r="S43" s="5">
        <v>369.0</v>
      </c>
      <c r="T43" s="5">
        <v>356.0</v>
      </c>
      <c r="U43" s="5">
        <v>343.0</v>
      </c>
      <c r="V43" s="5">
        <v>330.0</v>
      </c>
      <c r="W43" s="5">
        <v>317.0</v>
      </c>
      <c r="X43" s="5">
        <v>304.0</v>
      </c>
      <c r="Y43" s="5">
        <v>291.0</v>
      </c>
      <c r="Z43" s="5">
        <v>278.0</v>
      </c>
      <c r="AA43" s="5">
        <v>265.0</v>
      </c>
      <c r="AB43" s="5">
        <v>252.0</v>
      </c>
      <c r="AC43" s="17">
        <f t="shared" si="2"/>
        <v>28</v>
      </c>
    </row>
    <row r="44">
      <c r="A44" s="2">
        <v>42.0</v>
      </c>
      <c r="B44" s="23">
        <v>546.0</v>
      </c>
      <c r="C44" s="23">
        <v>515.0</v>
      </c>
      <c r="D44" s="23">
        <v>484.0</v>
      </c>
      <c r="E44" s="23">
        <v>453.0</v>
      </c>
      <c r="F44" s="23">
        <v>422.0</v>
      </c>
      <c r="G44" s="23">
        <v>391.0</v>
      </c>
      <c r="H44" s="5">
        <v>360.0</v>
      </c>
      <c r="I44" s="5">
        <v>329.0</v>
      </c>
      <c r="J44" s="23">
        <v>298.0</v>
      </c>
      <c r="K44" s="23">
        <v>267.0</v>
      </c>
      <c r="L44" s="23">
        <v>236.0</v>
      </c>
      <c r="M44" s="23">
        <v>205.0</v>
      </c>
      <c r="N44" s="23">
        <v>174.0</v>
      </c>
      <c r="O44" s="23">
        <v>143.0</v>
      </c>
      <c r="P44" s="17">
        <f t="shared" si="1"/>
        <v>11</v>
      </c>
      <c r="R44" s="2">
        <v>42.0</v>
      </c>
      <c r="S44" s="5">
        <v>378.0</v>
      </c>
      <c r="T44" s="5">
        <v>363.0</v>
      </c>
      <c r="U44" s="5">
        <v>348.0</v>
      </c>
      <c r="V44" s="5">
        <v>333.0</v>
      </c>
      <c r="W44" s="5">
        <v>318.0</v>
      </c>
      <c r="X44" s="5">
        <v>303.0</v>
      </c>
      <c r="Y44" s="5">
        <v>288.0</v>
      </c>
      <c r="Z44" s="15">
        <v>273.0</v>
      </c>
      <c r="AA44" s="5">
        <v>258.0</v>
      </c>
      <c r="AB44" s="5">
        <v>243.0</v>
      </c>
      <c r="AC44" s="17">
        <f t="shared" si="2"/>
        <v>27</v>
      </c>
    </row>
    <row r="45">
      <c r="A45" s="2">
        <v>43.0</v>
      </c>
      <c r="B45" s="23">
        <v>559.0</v>
      </c>
      <c r="C45" s="23">
        <v>526.0</v>
      </c>
      <c r="D45" s="23">
        <v>493.0</v>
      </c>
      <c r="E45" s="23">
        <v>460.0</v>
      </c>
      <c r="F45" s="23">
        <v>427.0</v>
      </c>
      <c r="G45" s="23">
        <v>394.0</v>
      </c>
      <c r="H45" s="23">
        <v>361.0</v>
      </c>
      <c r="I45" s="23">
        <v>328.0</v>
      </c>
      <c r="J45" s="23">
        <v>295.0</v>
      </c>
      <c r="K45" s="23">
        <v>262.0</v>
      </c>
      <c r="L45" s="23">
        <v>229.0</v>
      </c>
      <c r="M45" s="23">
        <v>196.0</v>
      </c>
      <c r="N45" s="23">
        <v>163.0</v>
      </c>
      <c r="O45" s="23">
        <v>130.0</v>
      </c>
      <c r="P45" s="17">
        <f t="shared" si="1"/>
        <v>10</v>
      </c>
      <c r="R45" s="2">
        <v>43.0</v>
      </c>
      <c r="S45" s="5">
        <v>387.0</v>
      </c>
      <c r="T45" s="5">
        <v>370.0</v>
      </c>
      <c r="U45" s="5">
        <v>353.0</v>
      </c>
      <c r="V45" s="5">
        <v>336.0</v>
      </c>
      <c r="W45" s="5">
        <v>319.0</v>
      </c>
      <c r="X45" s="5">
        <v>302.0</v>
      </c>
      <c r="Y45" s="5">
        <v>285.0</v>
      </c>
      <c r="Z45" s="5">
        <v>268.0</v>
      </c>
      <c r="AA45" s="5">
        <v>251.0</v>
      </c>
      <c r="AB45" s="5">
        <v>234.0</v>
      </c>
      <c r="AC45" s="17">
        <f t="shared" si="2"/>
        <v>26</v>
      </c>
    </row>
    <row r="46">
      <c r="A46" s="2">
        <v>44.0</v>
      </c>
      <c r="B46" s="23">
        <v>572.0</v>
      </c>
      <c r="C46" s="23">
        <v>537.0</v>
      </c>
      <c r="D46" s="23">
        <v>502.0</v>
      </c>
      <c r="E46" s="23">
        <v>467.0</v>
      </c>
      <c r="F46" s="23">
        <v>432.0</v>
      </c>
      <c r="G46" s="23">
        <v>397.0</v>
      </c>
      <c r="H46" s="23">
        <v>362.0</v>
      </c>
      <c r="I46" s="23">
        <v>327.0</v>
      </c>
      <c r="J46" s="23">
        <v>292.0</v>
      </c>
      <c r="K46" s="23">
        <v>257.0</v>
      </c>
      <c r="L46" s="23">
        <v>222.0</v>
      </c>
      <c r="M46" s="23">
        <v>187.0</v>
      </c>
      <c r="N46" s="23">
        <v>152.0</v>
      </c>
      <c r="O46" s="23">
        <v>117.0</v>
      </c>
      <c r="P46" s="17">
        <f t="shared" si="1"/>
        <v>9</v>
      </c>
      <c r="R46" s="2">
        <v>44.0</v>
      </c>
      <c r="S46" s="5">
        <v>396.0</v>
      </c>
      <c r="T46" s="5">
        <v>377.0</v>
      </c>
      <c r="U46" s="5">
        <v>358.0</v>
      </c>
      <c r="V46" s="5">
        <v>339.0</v>
      </c>
      <c r="W46" s="5">
        <v>320.0</v>
      </c>
      <c r="X46" s="5">
        <v>301.0</v>
      </c>
      <c r="Y46" s="5">
        <v>282.0</v>
      </c>
      <c r="Z46" s="5">
        <v>263.0</v>
      </c>
      <c r="AA46" s="5">
        <v>244.0</v>
      </c>
      <c r="AB46" s="5">
        <v>225.0</v>
      </c>
      <c r="AC46" s="17">
        <f t="shared" si="2"/>
        <v>25</v>
      </c>
    </row>
    <row r="47">
      <c r="A47" s="2">
        <v>45.0</v>
      </c>
      <c r="B47" s="23">
        <v>585.0</v>
      </c>
      <c r="C47" s="23">
        <v>548.0</v>
      </c>
      <c r="D47" s="23">
        <v>511.0</v>
      </c>
      <c r="E47" s="23">
        <v>474.0</v>
      </c>
      <c r="F47" s="23">
        <v>437.0</v>
      </c>
      <c r="G47" s="23">
        <v>400.0</v>
      </c>
      <c r="H47" s="23">
        <v>363.0</v>
      </c>
      <c r="I47" s="23">
        <v>326.0</v>
      </c>
      <c r="J47" s="23">
        <v>289.0</v>
      </c>
      <c r="K47" s="23">
        <v>252.0</v>
      </c>
      <c r="L47" s="23">
        <v>215.0</v>
      </c>
      <c r="M47" s="23">
        <v>178.0</v>
      </c>
      <c r="N47" s="23">
        <v>141.0</v>
      </c>
      <c r="O47" s="23">
        <v>104.0</v>
      </c>
      <c r="P47" s="17">
        <f t="shared" si="1"/>
        <v>8</v>
      </c>
      <c r="R47" s="2">
        <v>45.0</v>
      </c>
      <c r="S47" s="5">
        <v>405.0</v>
      </c>
      <c r="T47" s="5">
        <v>384.0</v>
      </c>
      <c r="U47" s="5">
        <v>363.0</v>
      </c>
      <c r="V47" s="5">
        <v>342.0</v>
      </c>
      <c r="W47" s="5">
        <v>321.0</v>
      </c>
      <c r="X47" s="5">
        <v>300.0</v>
      </c>
      <c r="Y47" s="5">
        <v>279.0</v>
      </c>
      <c r="Z47" s="5">
        <v>258.0</v>
      </c>
      <c r="AA47" s="5">
        <v>237.0</v>
      </c>
      <c r="AB47" s="5">
        <v>216.0</v>
      </c>
      <c r="AC47" s="17">
        <f t="shared" si="2"/>
        <v>24</v>
      </c>
    </row>
    <row r="48">
      <c r="A48" s="2">
        <v>46.0</v>
      </c>
      <c r="B48" s="23">
        <v>598.0</v>
      </c>
      <c r="C48" s="23">
        <v>559.0</v>
      </c>
      <c r="D48" s="23">
        <v>520.0</v>
      </c>
      <c r="E48" s="23">
        <v>481.0</v>
      </c>
      <c r="F48" s="23">
        <v>442.0</v>
      </c>
      <c r="G48" s="23">
        <v>403.0</v>
      </c>
      <c r="H48" s="23">
        <v>364.0</v>
      </c>
      <c r="I48" s="23">
        <v>325.0</v>
      </c>
      <c r="J48" s="23">
        <v>286.0</v>
      </c>
      <c r="K48" s="23">
        <v>247.0</v>
      </c>
      <c r="L48" s="23">
        <v>208.0</v>
      </c>
      <c r="M48" s="23">
        <v>169.0</v>
      </c>
      <c r="N48" s="23">
        <v>130.0</v>
      </c>
      <c r="O48" s="23">
        <v>91.0</v>
      </c>
      <c r="P48" s="17">
        <f t="shared" si="1"/>
        <v>7</v>
      </c>
      <c r="R48" s="2">
        <v>46.0</v>
      </c>
      <c r="S48" s="5">
        <v>414.0</v>
      </c>
      <c r="T48" s="5">
        <v>391.0</v>
      </c>
      <c r="U48" s="5">
        <v>368.0</v>
      </c>
      <c r="V48" s="5">
        <v>345.0</v>
      </c>
      <c r="W48" s="5">
        <v>322.0</v>
      </c>
      <c r="X48" s="5">
        <v>299.0</v>
      </c>
      <c r="Y48" s="5">
        <v>276.0</v>
      </c>
      <c r="Z48" s="5">
        <v>253.0</v>
      </c>
      <c r="AA48" s="5">
        <v>230.0</v>
      </c>
      <c r="AB48" s="5">
        <v>207.0</v>
      </c>
      <c r="AC48" s="17">
        <f t="shared" si="2"/>
        <v>23</v>
      </c>
    </row>
    <row r="49">
      <c r="A49" s="2">
        <v>47.0</v>
      </c>
      <c r="B49" s="23">
        <v>611.0</v>
      </c>
      <c r="C49" s="23">
        <v>570.0</v>
      </c>
      <c r="D49" s="23">
        <v>529.0</v>
      </c>
      <c r="E49" s="23">
        <v>488.0</v>
      </c>
      <c r="F49" s="23">
        <v>447.0</v>
      </c>
      <c r="G49" s="23">
        <v>406.0</v>
      </c>
      <c r="H49" s="23">
        <v>365.0</v>
      </c>
      <c r="I49" s="23">
        <v>324.0</v>
      </c>
      <c r="J49" s="23">
        <v>283.0</v>
      </c>
      <c r="K49" s="23">
        <v>242.0</v>
      </c>
      <c r="L49" s="23">
        <v>201.0</v>
      </c>
      <c r="M49" s="23">
        <v>160.0</v>
      </c>
      <c r="N49" s="23">
        <v>119.0</v>
      </c>
      <c r="O49" s="23">
        <v>78.0</v>
      </c>
      <c r="P49" s="17">
        <f t="shared" si="1"/>
        <v>6</v>
      </c>
      <c r="R49" s="2">
        <v>47.0</v>
      </c>
      <c r="S49" s="5">
        <v>423.0</v>
      </c>
      <c r="T49" s="5">
        <v>398.0</v>
      </c>
      <c r="U49" s="5">
        <v>373.0</v>
      </c>
      <c r="V49" s="5">
        <v>348.0</v>
      </c>
      <c r="W49" s="5">
        <v>323.0</v>
      </c>
      <c r="X49" s="5">
        <v>298.0</v>
      </c>
      <c r="Y49" s="5">
        <v>273.0</v>
      </c>
      <c r="Z49" s="5">
        <v>248.0</v>
      </c>
      <c r="AA49" s="5">
        <v>223.0</v>
      </c>
      <c r="AB49" s="5">
        <v>198.0</v>
      </c>
      <c r="AC49" s="17">
        <f t="shared" si="2"/>
        <v>22</v>
      </c>
    </row>
    <row r="50">
      <c r="A50" s="2">
        <v>48.0</v>
      </c>
      <c r="B50" s="23">
        <v>624.0</v>
      </c>
      <c r="C50" s="23">
        <v>581.0</v>
      </c>
      <c r="D50" s="23">
        <v>538.0</v>
      </c>
      <c r="E50" s="23">
        <v>495.0</v>
      </c>
      <c r="F50" s="23">
        <v>452.0</v>
      </c>
      <c r="G50" s="23">
        <v>409.0</v>
      </c>
      <c r="H50" s="23">
        <v>366.0</v>
      </c>
      <c r="I50" s="23">
        <v>323.0</v>
      </c>
      <c r="J50" s="23">
        <v>280.0</v>
      </c>
      <c r="K50" s="23">
        <v>237.0</v>
      </c>
      <c r="L50" s="23">
        <v>194.0</v>
      </c>
      <c r="M50" s="23">
        <v>151.0</v>
      </c>
      <c r="N50" s="23">
        <v>108.0</v>
      </c>
      <c r="O50" s="23">
        <v>65.0</v>
      </c>
      <c r="P50" s="17">
        <f t="shared" si="1"/>
        <v>5</v>
      </c>
      <c r="R50" s="2">
        <v>48.0</v>
      </c>
      <c r="S50" s="5">
        <v>432.0</v>
      </c>
      <c r="T50" s="5">
        <v>405.0</v>
      </c>
      <c r="U50" s="5">
        <v>378.0</v>
      </c>
      <c r="V50" s="5">
        <v>351.0</v>
      </c>
      <c r="W50" s="5">
        <v>324.0</v>
      </c>
      <c r="X50" s="5">
        <v>297.0</v>
      </c>
      <c r="Y50" s="5">
        <v>270.0</v>
      </c>
      <c r="Z50" s="5">
        <v>243.0</v>
      </c>
      <c r="AA50" s="5">
        <v>216.0</v>
      </c>
      <c r="AB50" s="5">
        <v>189.0</v>
      </c>
      <c r="AC50" s="17">
        <f t="shared" si="2"/>
        <v>21</v>
      </c>
    </row>
    <row r="51">
      <c r="A51" s="2">
        <v>49.0</v>
      </c>
      <c r="B51" s="23">
        <v>637.0</v>
      </c>
      <c r="C51" s="23">
        <v>592.0</v>
      </c>
      <c r="D51" s="23">
        <v>547.0</v>
      </c>
      <c r="E51" s="23">
        <v>502.0</v>
      </c>
      <c r="F51" s="23">
        <v>457.0</v>
      </c>
      <c r="G51" s="23">
        <v>412.0</v>
      </c>
      <c r="H51" s="23">
        <v>367.0</v>
      </c>
      <c r="I51" s="23">
        <v>322.0</v>
      </c>
      <c r="J51" s="23">
        <v>277.0</v>
      </c>
      <c r="K51" s="23">
        <v>232.0</v>
      </c>
      <c r="L51" s="23">
        <v>187.0</v>
      </c>
      <c r="M51" s="23">
        <v>142.0</v>
      </c>
      <c r="N51" s="23">
        <v>97.0</v>
      </c>
      <c r="O51" s="23">
        <v>52.0</v>
      </c>
      <c r="P51" s="17">
        <f t="shared" si="1"/>
        <v>4</v>
      </c>
      <c r="R51" s="2">
        <v>49.0</v>
      </c>
      <c r="S51" s="5">
        <v>441.0</v>
      </c>
      <c r="T51" s="5">
        <v>412.0</v>
      </c>
      <c r="U51" s="5">
        <v>383.0</v>
      </c>
      <c r="V51" s="5">
        <v>354.0</v>
      </c>
      <c r="W51" s="5">
        <v>325.0</v>
      </c>
      <c r="X51" s="5">
        <v>296.0</v>
      </c>
      <c r="Y51" s="5">
        <v>267.0</v>
      </c>
      <c r="Z51" s="5">
        <v>238.0</v>
      </c>
      <c r="AA51" s="5">
        <v>209.0</v>
      </c>
      <c r="AB51" s="5">
        <v>180.0</v>
      </c>
      <c r="AC51" s="17">
        <f t="shared" si="2"/>
        <v>20</v>
      </c>
    </row>
    <row r="52">
      <c r="A52" s="2">
        <v>50.0</v>
      </c>
      <c r="B52" s="23">
        <v>650.0</v>
      </c>
      <c r="C52" s="23">
        <v>603.0</v>
      </c>
      <c r="D52" s="23">
        <v>556.0</v>
      </c>
      <c r="E52" s="23">
        <v>509.0</v>
      </c>
      <c r="F52" s="23">
        <v>462.0</v>
      </c>
      <c r="G52" s="23">
        <v>415.0</v>
      </c>
      <c r="H52" s="23">
        <v>368.0</v>
      </c>
      <c r="I52" s="23">
        <v>321.0</v>
      </c>
      <c r="J52" s="23">
        <v>274.0</v>
      </c>
      <c r="K52" s="23">
        <v>227.0</v>
      </c>
      <c r="L52" s="23">
        <v>180.0</v>
      </c>
      <c r="M52" s="23">
        <v>133.0</v>
      </c>
      <c r="N52" s="23">
        <v>86.0</v>
      </c>
      <c r="O52" s="23">
        <v>39.0</v>
      </c>
      <c r="P52" s="17">
        <f t="shared" si="1"/>
        <v>3</v>
      </c>
      <c r="R52" s="2">
        <v>50.0</v>
      </c>
      <c r="S52" s="5">
        <v>450.0</v>
      </c>
      <c r="T52" s="5">
        <v>419.0</v>
      </c>
      <c r="U52" s="5">
        <v>388.0</v>
      </c>
      <c r="V52" s="5">
        <v>357.0</v>
      </c>
      <c r="W52" s="5">
        <v>326.0</v>
      </c>
      <c r="X52" s="5">
        <v>295.0</v>
      </c>
      <c r="Y52" s="5">
        <v>264.0</v>
      </c>
      <c r="Z52" s="5">
        <v>233.0</v>
      </c>
      <c r="AA52" s="5">
        <v>202.0</v>
      </c>
      <c r="AB52" s="5">
        <v>171.0</v>
      </c>
      <c r="AC52" s="17">
        <f t="shared" si="2"/>
        <v>19</v>
      </c>
    </row>
    <row r="53">
      <c r="A53" s="2">
        <v>51.0</v>
      </c>
      <c r="B53" s="23">
        <v>663.0</v>
      </c>
      <c r="C53" s="23">
        <v>614.0</v>
      </c>
      <c r="D53" s="23">
        <v>565.0</v>
      </c>
      <c r="E53" s="23">
        <v>516.0</v>
      </c>
      <c r="F53" s="23">
        <v>467.0</v>
      </c>
      <c r="G53" s="23">
        <v>418.0</v>
      </c>
      <c r="H53" s="23">
        <v>369.0</v>
      </c>
      <c r="I53" s="23">
        <v>320.0</v>
      </c>
      <c r="J53" s="23">
        <v>271.0</v>
      </c>
      <c r="K53" s="23">
        <v>222.0</v>
      </c>
      <c r="L53" s="23">
        <v>173.0</v>
      </c>
      <c r="M53" s="23">
        <v>124.0</v>
      </c>
      <c r="N53" s="23">
        <v>75.0</v>
      </c>
      <c r="O53" s="23">
        <v>26.0</v>
      </c>
      <c r="P53" s="17">
        <f t="shared" si="1"/>
        <v>2</v>
      </c>
      <c r="R53" s="2">
        <v>51.0</v>
      </c>
      <c r="S53" s="5">
        <v>459.0</v>
      </c>
      <c r="T53" s="5">
        <v>426.0</v>
      </c>
      <c r="U53" s="5">
        <v>393.0</v>
      </c>
      <c r="V53" s="5">
        <v>360.0</v>
      </c>
      <c r="W53" s="5">
        <v>327.0</v>
      </c>
      <c r="X53" s="5">
        <v>294.0</v>
      </c>
      <c r="Y53" s="5">
        <v>261.0</v>
      </c>
      <c r="Z53" s="5">
        <v>228.0</v>
      </c>
      <c r="AA53" s="5">
        <v>195.0</v>
      </c>
      <c r="AB53" s="5">
        <v>162.0</v>
      </c>
      <c r="AC53" s="17">
        <f t="shared" si="2"/>
        <v>18</v>
      </c>
    </row>
    <row r="54">
      <c r="A54" s="2">
        <v>52.0</v>
      </c>
      <c r="B54" s="23">
        <v>676.0</v>
      </c>
      <c r="C54" s="23">
        <v>625.0</v>
      </c>
      <c r="D54" s="23">
        <v>574.0</v>
      </c>
      <c r="E54" s="23">
        <v>523.0</v>
      </c>
      <c r="F54" s="23">
        <v>472.0</v>
      </c>
      <c r="G54" s="23">
        <v>421.0</v>
      </c>
      <c r="H54" s="23">
        <v>370.0</v>
      </c>
      <c r="I54" s="23">
        <v>319.0</v>
      </c>
      <c r="J54" s="23">
        <v>268.0</v>
      </c>
      <c r="K54" s="23">
        <v>217.0</v>
      </c>
      <c r="L54" s="23">
        <v>166.0</v>
      </c>
      <c r="M54" s="23">
        <v>115.0</v>
      </c>
      <c r="N54" s="23">
        <v>64.0</v>
      </c>
      <c r="O54" s="23">
        <v>13.0</v>
      </c>
      <c r="P54" s="17">
        <f t="shared" si="1"/>
        <v>1</v>
      </c>
      <c r="R54" s="2">
        <v>52.0</v>
      </c>
      <c r="S54" s="5">
        <v>468.0</v>
      </c>
      <c r="T54" s="5">
        <v>433.0</v>
      </c>
      <c r="U54" s="5">
        <v>398.0</v>
      </c>
      <c r="V54" s="5">
        <v>363.0</v>
      </c>
      <c r="W54" s="5">
        <v>328.0</v>
      </c>
      <c r="X54" s="5">
        <v>293.0</v>
      </c>
      <c r="Y54" s="5">
        <v>258.0</v>
      </c>
      <c r="Z54" s="5">
        <v>223.0</v>
      </c>
      <c r="AA54" s="5">
        <v>188.0</v>
      </c>
      <c r="AB54" s="5">
        <v>153.0</v>
      </c>
      <c r="AC54" s="17">
        <f t="shared" si="2"/>
        <v>17</v>
      </c>
    </row>
    <row r="55">
      <c r="A55" s="2">
        <v>53.0</v>
      </c>
      <c r="B55" s="23">
        <v>689.0</v>
      </c>
      <c r="C55" s="23">
        <v>636.0</v>
      </c>
      <c r="D55" s="23">
        <v>583.0</v>
      </c>
      <c r="E55" s="23">
        <v>530.0</v>
      </c>
      <c r="F55" s="23">
        <v>477.0</v>
      </c>
      <c r="G55" s="23">
        <v>424.0</v>
      </c>
      <c r="H55" s="23">
        <v>371.0</v>
      </c>
      <c r="I55" s="23">
        <v>318.0</v>
      </c>
      <c r="J55" s="23">
        <v>265.0</v>
      </c>
      <c r="K55" s="23">
        <v>212.0</v>
      </c>
      <c r="L55" s="23">
        <v>159.0</v>
      </c>
      <c r="M55" s="23">
        <v>106.0</v>
      </c>
      <c r="N55" s="23">
        <v>53.0</v>
      </c>
      <c r="O55" s="23">
        <v>0.0</v>
      </c>
      <c r="P55" s="17">
        <f t="shared" si="1"/>
        <v>0</v>
      </c>
      <c r="R55" s="2">
        <v>53.0</v>
      </c>
      <c r="S55" s="5">
        <v>477.0</v>
      </c>
      <c r="T55" s="5">
        <v>440.0</v>
      </c>
      <c r="U55" s="5">
        <v>403.0</v>
      </c>
      <c r="V55" s="5">
        <v>366.0</v>
      </c>
      <c r="W55" s="5">
        <v>329.0</v>
      </c>
      <c r="X55" s="5">
        <v>292.0</v>
      </c>
      <c r="Y55" s="5">
        <v>255.0</v>
      </c>
      <c r="Z55" s="5">
        <v>218.0</v>
      </c>
      <c r="AA55" s="5">
        <v>181.0</v>
      </c>
      <c r="AB55" s="5">
        <v>144.0</v>
      </c>
      <c r="AC55" s="17">
        <f t="shared" si="2"/>
        <v>16</v>
      </c>
    </row>
    <row r="56">
      <c r="A56" s="17"/>
      <c r="B56" s="17">
        <f t="shared" ref="B56:O56" si="3">13-B1</f>
        <v>13</v>
      </c>
      <c r="C56" s="17">
        <f t="shared" si="3"/>
        <v>12</v>
      </c>
      <c r="D56" s="17">
        <f t="shared" si="3"/>
        <v>11</v>
      </c>
      <c r="E56" s="17">
        <f t="shared" si="3"/>
        <v>10</v>
      </c>
      <c r="F56" s="17">
        <f t="shared" si="3"/>
        <v>9</v>
      </c>
      <c r="G56" s="17">
        <f t="shared" si="3"/>
        <v>8</v>
      </c>
      <c r="H56" s="17">
        <f t="shared" si="3"/>
        <v>7</v>
      </c>
      <c r="I56" s="17">
        <f t="shared" si="3"/>
        <v>6</v>
      </c>
      <c r="J56" s="17">
        <f t="shared" si="3"/>
        <v>5</v>
      </c>
      <c r="K56" s="17">
        <f t="shared" si="3"/>
        <v>4</v>
      </c>
      <c r="L56" s="17">
        <f t="shared" si="3"/>
        <v>3</v>
      </c>
      <c r="M56" s="17">
        <f t="shared" si="3"/>
        <v>2</v>
      </c>
      <c r="N56" s="17">
        <f t="shared" si="3"/>
        <v>1</v>
      </c>
      <c r="O56" s="17">
        <f t="shared" si="3"/>
        <v>0</v>
      </c>
      <c r="P56" s="17"/>
      <c r="R56" s="2">
        <v>54.0</v>
      </c>
      <c r="S56" s="5">
        <v>486.0</v>
      </c>
      <c r="T56" s="5">
        <v>447.0</v>
      </c>
      <c r="U56" s="5">
        <v>408.0</v>
      </c>
      <c r="V56" s="5">
        <v>369.0</v>
      </c>
      <c r="W56" s="5">
        <v>330.0</v>
      </c>
      <c r="X56" s="5">
        <v>291.0</v>
      </c>
      <c r="Y56" s="5">
        <v>252.0</v>
      </c>
      <c r="Z56" s="5">
        <v>213.0</v>
      </c>
      <c r="AA56" s="5">
        <v>174.0</v>
      </c>
      <c r="AB56" s="5">
        <v>135.0</v>
      </c>
      <c r="AC56" s="17">
        <f t="shared" si="2"/>
        <v>15</v>
      </c>
    </row>
    <row r="57">
      <c r="A57" s="17"/>
      <c r="P57" s="17"/>
      <c r="R57" s="2">
        <v>55.0</v>
      </c>
      <c r="S57" s="5">
        <v>495.0</v>
      </c>
      <c r="T57" s="5">
        <v>454.0</v>
      </c>
      <c r="U57" s="5">
        <v>413.0</v>
      </c>
      <c r="V57" s="5">
        <v>372.0</v>
      </c>
      <c r="W57" s="5">
        <v>331.0</v>
      </c>
      <c r="X57" s="5">
        <v>290.0</v>
      </c>
      <c r="Y57" s="5">
        <v>249.0</v>
      </c>
      <c r="Z57" s="5">
        <v>208.0</v>
      </c>
      <c r="AA57" s="5">
        <v>167.0</v>
      </c>
      <c r="AB57" s="5">
        <v>126.0</v>
      </c>
      <c r="AC57" s="17">
        <f t="shared" si="2"/>
        <v>14</v>
      </c>
    </row>
    <row r="58">
      <c r="A58" s="17"/>
      <c r="P58" s="17"/>
      <c r="R58" s="2">
        <v>56.0</v>
      </c>
      <c r="S58" s="5">
        <v>504.0</v>
      </c>
      <c r="T58" s="5">
        <v>461.0</v>
      </c>
      <c r="U58" s="5">
        <v>418.0</v>
      </c>
      <c r="V58" s="5">
        <v>375.0</v>
      </c>
      <c r="W58" s="5">
        <v>332.0</v>
      </c>
      <c r="X58" s="5">
        <v>289.0</v>
      </c>
      <c r="Y58" s="5">
        <v>246.0</v>
      </c>
      <c r="Z58" s="5">
        <v>203.0</v>
      </c>
      <c r="AA58" s="5">
        <v>160.0</v>
      </c>
      <c r="AB58" s="5">
        <v>117.0</v>
      </c>
      <c r="AC58" s="17">
        <f t="shared" si="2"/>
        <v>13</v>
      </c>
    </row>
    <row r="59">
      <c r="A59" s="17"/>
      <c r="B59" s="10" t="s">
        <v>20</v>
      </c>
      <c r="P59" s="17"/>
      <c r="R59" s="2">
        <v>57.0</v>
      </c>
      <c r="S59" s="5">
        <v>513.0</v>
      </c>
      <c r="T59" s="5">
        <v>468.0</v>
      </c>
      <c r="U59" s="5">
        <v>423.0</v>
      </c>
      <c r="V59" s="5">
        <v>378.0</v>
      </c>
      <c r="W59" s="5">
        <v>333.0</v>
      </c>
      <c r="X59" s="5">
        <v>288.0</v>
      </c>
      <c r="Y59" s="5">
        <v>243.0</v>
      </c>
      <c r="Z59" s="5">
        <v>198.0</v>
      </c>
      <c r="AA59" s="5">
        <v>153.0</v>
      </c>
      <c r="AB59" s="5">
        <v>108.0</v>
      </c>
      <c r="AC59" s="17">
        <f t="shared" si="2"/>
        <v>12</v>
      </c>
    </row>
    <row r="60">
      <c r="A60" s="17"/>
      <c r="P60" s="17"/>
      <c r="R60" s="2">
        <v>58.0</v>
      </c>
      <c r="S60" s="5">
        <v>522.0</v>
      </c>
      <c r="T60" s="5">
        <v>475.0</v>
      </c>
      <c r="U60" s="5">
        <v>428.0</v>
      </c>
      <c r="V60" s="5">
        <v>381.0</v>
      </c>
      <c r="W60" s="5">
        <v>334.0</v>
      </c>
      <c r="X60" s="5">
        <v>287.0</v>
      </c>
      <c r="Y60" s="5">
        <v>240.0</v>
      </c>
      <c r="Z60" s="5">
        <v>193.0</v>
      </c>
      <c r="AA60" s="5">
        <v>146.0</v>
      </c>
      <c r="AB60" s="5">
        <v>99.0</v>
      </c>
      <c r="AC60" s="17">
        <f t="shared" si="2"/>
        <v>11</v>
      </c>
    </row>
    <row r="61">
      <c r="A61" s="17"/>
      <c r="B61" s="10" t="s">
        <v>21</v>
      </c>
      <c r="P61" s="17"/>
      <c r="R61" s="2">
        <v>59.0</v>
      </c>
      <c r="S61" s="5">
        <v>531.0</v>
      </c>
      <c r="T61" s="5">
        <v>482.0</v>
      </c>
      <c r="U61" s="5">
        <v>433.0</v>
      </c>
      <c r="V61" s="5">
        <v>384.0</v>
      </c>
      <c r="W61" s="5">
        <v>335.0</v>
      </c>
      <c r="X61" s="5">
        <v>286.0</v>
      </c>
      <c r="Y61" s="5">
        <v>237.0</v>
      </c>
      <c r="Z61" s="5">
        <v>188.0</v>
      </c>
      <c r="AA61" s="5">
        <v>139.0</v>
      </c>
      <c r="AB61" s="5">
        <v>90.0</v>
      </c>
      <c r="AC61" s="17">
        <f t="shared" si="2"/>
        <v>10</v>
      </c>
    </row>
    <row r="62">
      <c r="A62" s="17"/>
      <c r="P62" s="17"/>
      <c r="R62" s="2">
        <v>60.0</v>
      </c>
      <c r="S62" s="5">
        <v>540.0</v>
      </c>
      <c r="T62" s="5">
        <v>489.0</v>
      </c>
      <c r="U62" s="5">
        <v>438.0</v>
      </c>
      <c r="V62" s="5">
        <v>387.0</v>
      </c>
      <c r="W62" s="5">
        <v>336.0</v>
      </c>
      <c r="X62" s="5">
        <v>285.0</v>
      </c>
      <c r="Y62" s="5">
        <v>234.0</v>
      </c>
      <c r="Z62" s="5">
        <v>183.0</v>
      </c>
      <c r="AA62" s="5">
        <v>132.0</v>
      </c>
      <c r="AB62" s="5">
        <v>81.0</v>
      </c>
      <c r="AC62" s="17">
        <f t="shared" si="2"/>
        <v>9</v>
      </c>
    </row>
    <row r="63">
      <c r="A63" s="17"/>
      <c r="P63" s="17"/>
      <c r="R63" s="2">
        <v>61.0</v>
      </c>
      <c r="S63" s="5">
        <v>549.0</v>
      </c>
      <c r="T63" s="5">
        <v>496.0</v>
      </c>
      <c r="U63" s="5">
        <v>443.0</v>
      </c>
      <c r="V63" s="5">
        <v>390.0</v>
      </c>
      <c r="W63" s="5">
        <v>337.0</v>
      </c>
      <c r="X63" s="5">
        <v>284.0</v>
      </c>
      <c r="Y63" s="5">
        <v>231.0</v>
      </c>
      <c r="Z63" s="5">
        <v>178.0</v>
      </c>
      <c r="AA63" s="5">
        <v>125.0</v>
      </c>
      <c r="AB63" s="5">
        <v>72.0</v>
      </c>
      <c r="AC63" s="17">
        <f t="shared" si="2"/>
        <v>8</v>
      </c>
    </row>
    <row r="64">
      <c r="A64" s="17"/>
      <c r="P64" s="17"/>
      <c r="R64" s="2">
        <v>62.0</v>
      </c>
      <c r="S64" s="5">
        <v>558.0</v>
      </c>
      <c r="T64" s="5">
        <v>503.0</v>
      </c>
      <c r="U64" s="5">
        <v>448.0</v>
      </c>
      <c r="V64" s="5">
        <v>393.0</v>
      </c>
      <c r="W64" s="5">
        <v>338.0</v>
      </c>
      <c r="X64" s="5">
        <v>283.0</v>
      </c>
      <c r="Y64" s="5">
        <v>228.0</v>
      </c>
      <c r="Z64" s="5">
        <v>173.0</v>
      </c>
      <c r="AA64" s="5">
        <v>118.0</v>
      </c>
      <c r="AB64" s="5">
        <v>63.0</v>
      </c>
      <c r="AC64" s="17">
        <f t="shared" si="2"/>
        <v>7</v>
      </c>
    </row>
    <row r="65">
      <c r="A65" s="17"/>
      <c r="P65" s="17"/>
      <c r="R65" s="2">
        <v>63.0</v>
      </c>
      <c r="S65" s="5">
        <v>567.0</v>
      </c>
      <c r="T65" s="5">
        <v>510.0</v>
      </c>
      <c r="U65" s="5">
        <v>453.0</v>
      </c>
      <c r="V65" s="5">
        <v>396.0</v>
      </c>
      <c r="W65" s="5">
        <v>339.0</v>
      </c>
      <c r="X65" s="5">
        <v>282.0</v>
      </c>
      <c r="Y65" s="5">
        <v>225.0</v>
      </c>
      <c r="Z65" s="5">
        <v>168.0</v>
      </c>
      <c r="AA65" s="5">
        <v>111.0</v>
      </c>
      <c r="AB65" s="5">
        <v>54.0</v>
      </c>
      <c r="AC65" s="17">
        <f t="shared" si="2"/>
        <v>6</v>
      </c>
    </row>
    <row r="66">
      <c r="A66" s="17"/>
      <c r="P66" s="17"/>
      <c r="R66" s="2">
        <v>64.0</v>
      </c>
      <c r="S66" s="5">
        <v>576.0</v>
      </c>
      <c r="T66" s="5">
        <v>517.0</v>
      </c>
      <c r="U66" s="5">
        <v>458.0</v>
      </c>
      <c r="V66" s="5">
        <v>399.0</v>
      </c>
      <c r="W66" s="5">
        <v>340.0</v>
      </c>
      <c r="X66" s="5">
        <v>281.0</v>
      </c>
      <c r="Y66" s="5">
        <v>222.0</v>
      </c>
      <c r="Z66" s="5">
        <v>163.0</v>
      </c>
      <c r="AA66" s="5">
        <v>104.0</v>
      </c>
      <c r="AB66" s="5">
        <v>45.0</v>
      </c>
      <c r="AC66" s="17">
        <f t="shared" si="2"/>
        <v>5</v>
      </c>
    </row>
    <row r="67">
      <c r="A67" s="17"/>
      <c r="P67" s="17"/>
      <c r="R67" s="2">
        <v>65.0</v>
      </c>
      <c r="S67" s="5">
        <v>585.0</v>
      </c>
      <c r="T67" s="5">
        <v>524.0</v>
      </c>
      <c r="U67" s="5">
        <v>463.0</v>
      </c>
      <c r="V67" s="5">
        <v>402.0</v>
      </c>
      <c r="W67" s="5">
        <v>341.0</v>
      </c>
      <c r="X67" s="5">
        <v>280.0</v>
      </c>
      <c r="Y67" s="5">
        <v>219.0</v>
      </c>
      <c r="Z67" s="5">
        <v>158.0</v>
      </c>
      <c r="AA67" s="5">
        <v>97.0</v>
      </c>
      <c r="AB67" s="5">
        <v>36.0</v>
      </c>
      <c r="AC67" s="17">
        <f t="shared" si="2"/>
        <v>4</v>
      </c>
    </row>
    <row r="68">
      <c r="A68" s="17"/>
      <c r="P68" s="17"/>
      <c r="R68" s="2">
        <v>66.0</v>
      </c>
      <c r="S68" s="5">
        <v>594.0</v>
      </c>
      <c r="T68" s="5">
        <v>531.0</v>
      </c>
      <c r="U68" s="5">
        <v>468.0</v>
      </c>
      <c r="V68" s="5">
        <v>405.0</v>
      </c>
      <c r="W68" s="5">
        <v>342.0</v>
      </c>
      <c r="X68" s="5">
        <v>279.0</v>
      </c>
      <c r="Y68" s="5">
        <v>216.0</v>
      </c>
      <c r="Z68" s="5">
        <v>153.0</v>
      </c>
      <c r="AA68" s="5">
        <v>90.0</v>
      </c>
      <c r="AB68" s="5">
        <v>27.0</v>
      </c>
      <c r="AC68" s="17">
        <f t="shared" si="2"/>
        <v>3</v>
      </c>
    </row>
    <row r="69">
      <c r="A69" s="17"/>
      <c r="P69" s="17"/>
      <c r="R69" s="2">
        <v>67.0</v>
      </c>
      <c r="S69" s="5">
        <v>603.0</v>
      </c>
      <c r="T69" s="5">
        <v>538.0</v>
      </c>
      <c r="U69" s="5">
        <v>473.0</v>
      </c>
      <c r="V69" s="5">
        <v>408.0</v>
      </c>
      <c r="W69" s="5">
        <v>343.0</v>
      </c>
      <c r="X69" s="5">
        <v>278.0</v>
      </c>
      <c r="Y69" s="5">
        <v>213.0</v>
      </c>
      <c r="Z69" s="5">
        <v>148.0</v>
      </c>
      <c r="AA69" s="5">
        <v>83.0</v>
      </c>
      <c r="AB69" s="5">
        <v>18.0</v>
      </c>
      <c r="AC69" s="17">
        <f t="shared" si="2"/>
        <v>2</v>
      </c>
    </row>
    <row r="70">
      <c r="A70" s="17"/>
      <c r="P70" s="17"/>
      <c r="R70" s="2">
        <v>68.0</v>
      </c>
      <c r="S70" s="5">
        <v>612.0</v>
      </c>
      <c r="T70" s="5">
        <v>545.0</v>
      </c>
      <c r="U70" s="5">
        <v>478.0</v>
      </c>
      <c r="V70" s="5">
        <v>411.0</v>
      </c>
      <c r="W70" s="5">
        <v>344.0</v>
      </c>
      <c r="X70" s="5">
        <v>277.0</v>
      </c>
      <c r="Y70" s="5">
        <v>210.0</v>
      </c>
      <c r="Z70" s="5">
        <v>143.0</v>
      </c>
      <c r="AA70" s="5">
        <v>76.0</v>
      </c>
      <c r="AB70" s="5">
        <v>9.0</v>
      </c>
      <c r="AC70" s="17">
        <f t="shared" si="2"/>
        <v>1</v>
      </c>
    </row>
    <row r="71">
      <c r="A71" s="17"/>
      <c r="P71" s="17"/>
      <c r="R71" s="2">
        <v>69.0</v>
      </c>
      <c r="S71" s="5">
        <v>621.0</v>
      </c>
      <c r="T71" s="5">
        <v>552.0</v>
      </c>
      <c r="U71" s="5">
        <v>483.0</v>
      </c>
      <c r="V71" s="5">
        <v>414.0</v>
      </c>
      <c r="W71" s="5">
        <v>345.0</v>
      </c>
      <c r="X71" s="5">
        <v>276.0</v>
      </c>
      <c r="Y71" s="5">
        <v>207.0</v>
      </c>
      <c r="Z71" s="5">
        <v>138.0</v>
      </c>
      <c r="AA71" s="5">
        <v>69.0</v>
      </c>
      <c r="AB71" s="5">
        <v>0.0</v>
      </c>
      <c r="AC71" s="17">
        <f t="shared" si="2"/>
        <v>0</v>
      </c>
    </row>
    <row r="72">
      <c r="A72" s="17"/>
      <c r="P72" s="17"/>
      <c r="R72" s="17"/>
      <c r="S72" s="17">
        <f t="shared" ref="S72:AB72" si="4">9-S1</f>
        <v>9</v>
      </c>
      <c r="T72" s="17">
        <f t="shared" si="4"/>
        <v>8</v>
      </c>
      <c r="U72" s="17">
        <f t="shared" si="4"/>
        <v>7</v>
      </c>
      <c r="V72" s="17">
        <f t="shared" si="4"/>
        <v>6</v>
      </c>
      <c r="W72" s="17">
        <f t="shared" si="4"/>
        <v>5</v>
      </c>
      <c r="X72" s="17">
        <f t="shared" si="4"/>
        <v>4</v>
      </c>
      <c r="Y72" s="17">
        <f t="shared" si="4"/>
        <v>3</v>
      </c>
      <c r="Z72" s="17">
        <f t="shared" si="4"/>
        <v>2</v>
      </c>
      <c r="AA72" s="17">
        <f t="shared" si="4"/>
        <v>1</v>
      </c>
      <c r="AB72" s="17">
        <f t="shared" si="4"/>
        <v>0</v>
      </c>
      <c r="AC72" s="17"/>
    </row>
    <row r="73">
      <c r="A73" s="17"/>
      <c r="P73" s="17"/>
      <c r="R73" s="17"/>
      <c r="AC73" s="17"/>
    </row>
    <row r="74">
      <c r="A74" s="17"/>
      <c r="P74" s="17"/>
      <c r="R74" s="17"/>
      <c r="AC74" s="17"/>
    </row>
    <row r="75">
      <c r="A75" s="17"/>
      <c r="P75" s="17"/>
      <c r="R75" s="17"/>
      <c r="AC75" s="17"/>
    </row>
    <row r="76">
      <c r="A76" s="17"/>
      <c r="P76" s="17"/>
      <c r="R76" s="17"/>
      <c r="AC76" s="17"/>
    </row>
    <row r="77">
      <c r="A77" s="17"/>
      <c r="P77" s="17"/>
      <c r="R77" s="17"/>
      <c r="AC77" s="17"/>
    </row>
    <row r="78">
      <c r="A78" s="17"/>
      <c r="P78" s="17"/>
      <c r="R78" s="17"/>
      <c r="AC78" s="17"/>
    </row>
    <row r="79">
      <c r="A79" s="17"/>
      <c r="P79" s="17"/>
      <c r="R79" s="17"/>
      <c r="AC79" s="17"/>
    </row>
    <row r="80">
      <c r="A80" s="17"/>
      <c r="P80" s="17"/>
      <c r="R80" s="17"/>
      <c r="AC80" s="17"/>
    </row>
    <row r="81">
      <c r="A81" s="17"/>
      <c r="P81" s="17"/>
      <c r="R81" s="17"/>
      <c r="AC81" s="17"/>
    </row>
    <row r="82">
      <c r="A82" s="17"/>
      <c r="P82" s="17"/>
      <c r="R82" s="17"/>
      <c r="AC82" s="17"/>
    </row>
    <row r="83">
      <c r="A83" s="17"/>
      <c r="P83" s="17"/>
      <c r="R83" s="17"/>
      <c r="AC83" s="17"/>
    </row>
    <row r="84">
      <c r="A84" s="17"/>
      <c r="P84" s="17"/>
      <c r="R84" s="17"/>
      <c r="AC84" s="17"/>
    </row>
    <row r="85">
      <c r="A85" s="17"/>
      <c r="P85" s="17"/>
      <c r="R85" s="17"/>
      <c r="AC85" s="17"/>
    </row>
    <row r="86">
      <c r="A86" s="17"/>
      <c r="P86" s="17"/>
      <c r="R86" s="17"/>
      <c r="AC86" s="17"/>
    </row>
    <row r="87">
      <c r="A87" s="17"/>
      <c r="P87" s="17"/>
      <c r="R87" s="17"/>
      <c r="AC87" s="17"/>
    </row>
    <row r="88">
      <c r="A88" s="17"/>
      <c r="P88" s="17"/>
      <c r="R88" s="17"/>
      <c r="AC88" s="17"/>
    </row>
    <row r="89">
      <c r="A89" s="17"/>
      <c r="P89" s="17"/>
      <c r="R89" s="17"/>
      <c r="AC89" s="17"/>
    </row>
    <row r="90">
      <c r="A90" s="17"/>
      <c r="P90" s="17"/>
      <c r="R90" s="17"/>
      <c r="AC90" s="17"/>
    </row>
    <row r="91">
      <c r="A91" s="17"/>
      <c r="P91" s="17"/>
      <c r="R91" s="17"/>
      <c r="AC91" s="17"/>
    </row>
    <row r="92">
      <c r="A92" s="17"/>
      <c r="P92" s="17"/>
      <c r="R92" s="17"/>
      <c r="AC92" s="17"/>
    </row>
    <row r="93">
      <c r="A93" s="17"/>
      <c r="P93" s="17"/>
      <c r="R93" s="17"/>
      <c r="AC93" s="17"/>
    </row>
    <row r="94">
      <c r="A94" s="17"/>
      <c r="P94" s="17"/>
      <c r="R94" s="17"/>
      <c r="AC94" s="17"/>
    </row>
    <row r="95">
      <c r="A95" s="17"/>
      <c r="P95" s="17"/>
      <c r="R95" s="17"/>
      <c r="AC95" s="17"/>
    </row>
    <row r="96">
      <c r="A96" s="17"/>
      <c r="P96" s="17"/>
      <c r="R96" s="17"/>
      <c r="AC96" s="17"/>
    </row>
    <row r="97">
      <c r="A97" s="17"/>
      <c r="P97" s="17"/>
      <c r="R97" s="17"/>
      <c r="AC97" s="17"/>
    </row>
    <row r="98">
      <c r="A98" s="17"/>
      <c r="P98" s="17"/>
      <c r="R98" s="17"/>
      <c r="AC98" s="17"/>
    </row>
    <row r="99">
      <c r="A99" s="17"/>
      <c r="P99" s="17"/>
      <c r="R99" s="17"/>
      <c r="AC99" s="17"/>
    </row>
    <row r="100">
      <c r="A100" s="17"/>
      <c r="P100" s="17"/>
      <c r="R100" s="17"/>
      <c r="AC100" s="17"/>
    </row>
    <row r="101">
      <c r="A101" s="17"/>
      <c r="P101" s="17"/>
      <c r="R101" s="17"/>
      <c r="AC101" s="17"/>
    </row>
    <row r="102">
      <c r="A102" s="17"/>
      <c r="P102" s="17"/>
      <c r="R102" s="17"/>
      <c r="AC102" s="17"/>
    </row>
    <row r="103">
      <c r="A103" s="17"/>
      <c r="P103" s="17"/>
      <c r="R103" s="17"/>
      <c r="AC103" s="17"/>
    </row>
    <row r="104">
      <c r="A104" s="17"/>
      <c r="P104" s="17"/>
      <c r="R104" s="17"/>
      <c r="AC104" s="17"/>
    </row>
    <row r="105">
      <c r="A105" s="17"/>
      <c r="P105" s="17"/>
      <c r="R105" s="17"/>
      <c r="AC105" s="17"/>
    </row>
    <row r="106">
      <c r="A106" s="17"/>
      <c r="P106" s="17"/>
      <c r="R106" s="17"/>
      <c r="AC106" s="17"/>
    </row>
    <row r="107">
      <c r="A107" s="17"/>
      <c r="P107" s="17"/>
      <c r="R107" s="17"/>
      <c r="AC107" s="17"/>
    </row>
    <row r="108">
      <c r="A108" s="17"/>
      <c r="P108" s="17"/>
      <c r="R108" s="17"/>
      <c r="AC108" s="17"/>
    </row>
    <row r="109">
      <c r="A109" s="17"/>
      <c r="P109" s="17"/>
      <c r="R109" s="17"/>
      <c r="AC109" s="17"/>
    </row>
    <row r="110">
      <c r="A110" s="17"/>
      <c r="P110" s="17"/>
      <c r="R110" s="17"/>
      <c r="AC110" s="17"/>
    </row>
    <row r="111">
      <c r="A111" s="17"/>
      <c r="P111" s="17"/>
      <c r="R111" s="17"/>
      <c r="AC111" s="17"/>
    </row>
    <row r="112">
      <c r="A112" s="17"/>
      <c r="P112" s="17"/>
      <c r="R112" s="17"/>
      <c r="AC112" s="17"/>
    </row>
    <row r="113">
      <c r="A113" s="17"/>
      <c r="P113" s="17"/>
      <c r="R113" s="17"/>
      <c r="AC113" s="17"/>
    </row>
    <row r="114">
      <c r="A114" s="17"/>
      <c r="P114" s="17"/>
      <c r="R114" s="17"/>
      <c r="AC114" s="17"/>
    </row>
    <row r="115">
      <c r="A115" s="17"/>
      <c r="P115" s="17"/>
      <c r="R115" s="17"/>
      <c r="AC115" s="17"/>
    </row>
    <row r="116">
      <c r="A116" s="17"/>
      <c r="P116" s="17"/>
      <c r="R116" s="17"/>
      <c r="AC116" s="17"/>
    </row>
    <row r="117">
      <c r="A117" s="17"/>
      <c r="P117" s="17"/>
      <c r="R117" s="17"/>
      <c r="AC117" s="17"/>
    </row>
    <row r="118">
      <c r="A118" s="17"/>
      <c r="P118" s="17"/>
      <c r="R118" s="17"/>
      <c r="AC118" s="17"/>
    </row>
    <row r="119">
      <c r="A119" s="17"/>
      <c r="P119" s="17"/>
      <c r="R119" s="17"/>
      <c r="AC119" s="17"/>
    </row>
    <row r="120">
      <c r="A120" s="17"/>
      <c r="P120" s="17"/>
      <c r="R120" s="17"/>
      <c r="AC120" s="17"/>
    </row>
    <row r="121">
      <c r="A121" s="17"/>
      <c r="P121" s="17"/>
      <c r="R121" s="17"/>
      <c r="AC121" s="17"/>
    </row>
    <row r="122">
      <c r="A122" s="17"/>
      <c r="P122" s="17"/>
      <c r="R122" s="17"/>
      <c r="AC122" s="17"/>
    </row>
    <row r="123">
      <c r="A123" s="17"/>
      <c r="P123" s="17"/>
      <c r="R123" s="17"/>
      <c r="AC123" s="17"/>
    </row>
    <row r="124">
      <c r="A124" s="17"/>
      <c r="P124" s="17"/>
      <c r="R124" s="17"/>
      <c r="AC124" s="17"/>
    </row>
    <row r="125">
      <c r="A125" s="17"/>
      <c r="P125" s="17"/>
      <c r="R125" s="17"/>
      <c r="AC125" s="17"/>
    </row>
    <row r="126">
      <c r="A126" s="17"/>
      <c r="P126" s="17"/>
      <c r="R126" s="17"/>
      <c r="AC126" s="17"/>
    </row>
    <row r="127">
      <c r="A127" s="17"/>
      <c r="P127" s="17"/>
      <c r="R127" s="17"/>
      <c r="AC127" s="17"/>
    </row>
    <row r="128">
      <c r="A128" s="17"/>
      <c r="P128" s="17"/>
      <c r="R128" s="17"/>
      <c r="AC128" s="17"/>
    </row>
    <row r="129">
      <c r="A129" s="17"/>
      <c r="P129" s="17"/>
      <c r="R129" s="17"/>
      <c r="AC129" s="17"/>
    </row>
    <row r="130">
      <c r="A130" s="17"/>
      <c r="P130" s="17"/>
      <c r="R130" s="17"/>
      <c r="AC130" s="17"/>
    </row>
    <row r="131">
      <c r="A131" s="17"/>
      <c r="P131" s="17"/>
      <c r="R131" s="17"/>
      <c r="AC131" s="17"/>
    </row>
    <row r="132">
      <c r="A132" s="17"/>
      <c r="P132" s="17"/>
      <c r="R132" s="17"/>
      <c r="AC132" s="17"/>
    </row>
    <row r="133">
      <c r="A133" s="17"/>
      <c r="P133" s="17"/>
      <c r="R133" s="17"/>
      <c r="AC133" s="17"/>
    </row>
    <row r="134">
      <c r="A134" s="17"/>
      <c r="P134" s="17"/>
      <c r="R134" s="17"/>
      <c r="AC134" s="17"/>
    </row>
    <row r="135">
      <c r="A135" s="17"/>
      <c r="P135" s="17"/>
      <c r="R135" s="17"/>
      <c r="AC135" s="17"/>
    </row>
    <row r="136">
      <c r="A136" s="17"/>
      <c r="P136" s="17"/>
      <c r="R136" s="17"/>
      <c r="AC136" s="17"/>
    </row>
    <row r="137">
      <c r="A137" s="17"/>
      <c r="P137" s="17"/>
      <c r="R137" s="17"/>
      <c r="AC137" s="17"/>
    </row>
    <row r="138">
      <c r="A138" s="17"/>
      <c r="P138" s="17"/>
      <c r="R138" s="17"/>
      <c r="AC138" s="17"/>
    </row>
    <row r="139">
      <c r="A139" s="17"/>
      <c r="P139" s="17"/>
      <c r="R139" s="17"/>
      <c r="AC139" s="17"/>
    </row>
    <row r="140">
      <c r="A140" s="17"/>
      <c r="P140" s="17"/>
      <c r="R140" s="17"/>
      <c r="AC140" s="17"/>
    </row>
    <row r="141">
      <c r="A141" s="17"/>
      <c r="P141" s="17"/>
      <c r="R141" s="17"/>
      <c r="AC141" s="17"/>
    </row>
    <row r="142">
      <c r="A142" s="17"/>
      <c r="P142" s="17"/>
      <c r="R142" s="17"/>
      <c r="AC142" s="17"/>
    </row>
    <row r="143">
      <c r="A143" s="17"/>
      <c r="P143" s="17"/>
      <c r="R143" s="17"/>
      <c r="AC143" s="17"/>
    </row>
    <row r="144">
      <c r="A144" s="17"/>
      <c r="P144" s="17"/>
      <c r="R144" s="17"/>
      <c r="AC144" s="17"/>
    </row>
    <row r="145">
      <c r="A145" s="17"/>
      <c r="P145" s="17"/>
      <c r="R145" s="17"/>
      <c r="AC145" s="17"/>
    </row>
    <row r="146">
      <c r="A146" s="17"/>
      <c r="P146" s="17"/>
      <c r="R146" s="17"/>
      <c r="AC146" s="17"/>
    </row>
    <row r="147">
      <c r="A147" s="17"/>
      <c r="P147" s="17"/>
      <c r="R147" s="17"/>
      <c r="AC147" s="17"/>
    </row>
    <row r="148">
      <c r="A148" s="17"/>
      <c r="P148" s="17"/>
      <c r="R148" s="17"/>
      <c r="AC148" s="17"/>
    </row>
    <row r="149">
      <c r="A149" s="17"/>
      <c r="P149" s="17"/>
      <c r="R149" s="17"/>
      <c r="AC149" s="17"/>
    </row>
    <row r="150">
      <c r="A150" s="17"/>
      <c r="P150" s="17"/>
      <c r="R150" s="17"/>
      <c r="AC150" s="17"/>
    </row>
    <row r="151">
      <c r="A151" s="17"/>
      <c r="P151" s="17"/>
      <c r="R151" s="17"/>
      <c r="AC151" s="17"/>
    </row>
    <row r="152">
      <c r="A152" s="17"/>
      <c r="P152" s="17"/>
      <c r="R152" s="17"/>
      <c r="AC152" s="17"/>
    </row>
    <row r="153">
      <c r="A153" s="17"/>
      <c r="P153" s="17"/>
      <c r="R153" s="17"/>
      <c r="AC153" s="17"/>
    </row>
    <row r="154">
      <c r="A154" s="17"/>
      <c r="P154" s="17"/>
      <c r="R154" s="17"/>
      <c r="AC154" s="17"/>
    </row>
    <row r="155">
      <c r="A155" s="17"/>
      <c r="P155" s="17"/>
      <c r="R155" s="17"/>
      <c r="AC155" s="17"/>
    </row>
    <row r="156">
      <c r="A156" s="17"/>
      <c r="P156" s="17"/>
      <c r="R156" s="17"/>
      <c r="AC156" s="17"/>
    </row>
    <row r="157">
      <c r="A157" s="17"/>
      <c r="P157" s="17"/>
      <c r="R157" s="17"/>
      <c r="AC157" s="17"/>
    </row>
    <row r="158">
      <c r="A158" s="17"/>
      <c r="P158" s="17"/>
      <c r="R158" s="17"/>
      <c r="AC158" s="17"/>
    </row>
    <row r="159">
      <c r="A159" s="17"/>
      <c r="P159" s="17"/>
      <c r="R159" s="17"/>
      <c r="AC159" s="17"/>
    </row>
    <row r="160">
      <c r="A160" s="17"/>
      <c r="P160" s="17"/>
      <c r="R160" s="17"/>
      <c r="AC160" s="17"/>
    </row>
    <row r="161">
      <c r="A161" s="17"/>
      <c r="P161" s="17"/>
      <c r="R161" s="17"/>
      <c r="AC161" s="17"/>
    </row>
    <row r="162">
      <c r="A162" s="17"/>
      <c r="P162" s="17"/>
      <c r="R162" s="17"/>
      <c r="AC162" s="17"/>
    </row>
    <row r="163">
      <c r="A163" s="17"/>
      <c r="P163" s="17"/>
      <c r="R163" s="17"/>
      <c r="AC163" s="17"/>
    </row>
    <row r="164">
      <c r="A164" s="17"/>
      <c r="P164" s="17"/>
      <c r="R164" s="17"/>
      <c r="AC164" s="17"/>
    </row>
    <row r="165">
      <c r="A165" s="17"/>
      <c r="P165" s="17"/>
      <c r="R165" s="17"/>
      <c r="AC165" s="17"/>
    </row>
    <row r="166">
      <c r="A166" s="17"/>
      <c r="P166" s="17"/>
      <c r="R166" s="17"/>
      <c r="AC166" s="17"/>
    </row>
    <row r="167">
      <c r="A167" s="17"/>
      <c r="P167" s="17"/>
      <c r="R167" s="17"/>
      <c r="AC167" s="17"/>
    </row>
    <row r="168">
      <c r="A168" s="17"/>
      <c r="P168" s="17"/>
      <c r="R168" s="17"/>
      <c r="AC168" s="17"/>
    </row>
    <row r="169">
      <c r="A169" s="17"/>
      <c r="P169" s="17"/>
      <c r="R169" s="17"/>
      <c r="AC169" s="17"/>
    </row>
    <row r="170">
      <c r="A170" s="17"/>
      <c r="P170" s="17"/>
      <c r="R170" s="17"/>
      <c r="AC170" s="17"/>
    </row>
    <row r="171">
      <c r="A171" s="17"/>
      <c r="P171" s="17"/>
      <c r="R171" s="17"/>
      <c r="AC171" s="17"/>
    </row>
    <row r="172">
      <c r="A172" s="17"/>
      <c r="P172" s="17"/>
      <c r="R172" s="17"/>
      <c r="AC172" s="17"/>
    </row>
    <row r="173">
      <c r="A173" s="17"/>
      <c r="P173" s="17"/>
      <c r="R173" s="17"/>
      <c r="AC173" s="17"/>
    </row>
    <row r="174">
      <c r="A174" s="17"/>
      <c r="P174" s="17"/>
      <c r="R174" s="17"/>
      <c r="AC174" s="17"/>
    </row>
    <row r="175">
      <c r="A175" s="17"/>
      <c r="P175" s="17"/>
      <c r="R175" s="17"/>
      <c r="AC175" s="17"/>
    </row>
    <row r="176">
      <c r="A176" s="17"/>
      <c r="P176" s="17"/>
      <c r="R176" s="17"/>
      <c r="AC176" s="17"/>
    </row>
    <row r="177">
      <c r="A177" s="17"/>
      <c r="P177" s="17"/>
      <c r="R177" s="17"/>
      <c r="AC177" s="17"/>
    </row>
    <row r="178">
      <c r="A178" s="17"/>
      <c r="P178" s="17"/>
      <c r="R178" s="17"/>
      <c r="AC178" s="17"/>
    </row>
    <row r="179">
      <c r="A179" s="17"/>
      <c r="P179" s="17"/>
      <c r="R179" s="17"/>
      <c r="AC179" s="17"/>
    </row>
    <row r="180">
      <c r="A180" s="17"/>
      <c r="P180" s="17"/>
      <c r="R180" s="17"/>
      <c r="AC180" s="17"/>
    </row>
    <row r="181">
      <c r="A181" s="17"/>
      <c r="P181" s="17"/>
      <c r="R181" s="17"/>
      <c r="AC181" s="17"/>
    </row>
    <row r="182">
      <c r="A182" s="17"/>
      <c r="P182" s="17"/>
      <c r="R182" s="17"/>
      <c r="AC182" s="17"/>
    </row>
    <row r="183">
      <c r="A183" s="17"/>
      <c r="P183" s="17"/>
      <c r="R183" s="17"/>
      <c r="AC183" s="17"/>
    </row>
    <row r="184">
      <c r="A184" s="17"/>
      <c r="P184" s="17"/>
      <c r="R184" s="17"/>
      <c r="AC184" s="17"/>
    </row>
    <row r="185">
      <c r="A185" s="17"/>
      <c r="P185" s="17"/>
      <c r="R185" s="17"/>
      <c r="AC185" s="17"/>
    </row>
    <row r="186">
      <c r="A186" s="17"/>
      <c r="P186" s="17"/>
      <c r="R186" s="17"/>
      <c r="AC186" s="17"/>
    </row>
    <row r="187">
      <c r="A187" s="17"/>
      <c r="P187" s="17"/>
      <c r="R187" s="17"/>
      <c r="AC187" s="17"/>
    </row>
    <row r="188">
      <c r="A188" s="17"/>
      <c r="P188" s="17"/>
      <c r="R188" s="17"/>
      <c r="AC188" s="17"/>
    </row>
    <row r="189">
      <c r="A189" s="17"/>
      <c r="P189" s="17"/>
      <c r="R189" s="17"/>
      <c r="AC189" s="17"/>
    </row>
    <row r="190">
      <c r="A190" s="17"/>
      <c r="P190" s="17"/>
      <c r="R190" s="17"/>
      <c r="AC190" s="17"/>
    </row>
    <row r="191">
      <c r="A191" s="17"/>
      <c r="P191" s="17"/>
      <c r="R191" s="17"/>
      <c r="AC191" s="17"/>
    </row>
    <row r="192">
      <c r="A192" s="17"/>
      <c r="P192" s="17"/>
      <c r="R192" s="17"/>
      <c r="AC192" s="17"/>
    </row>
    <row r="193">
      <c r="A193" s="17"/>
      <c r="P193" s="17"/>
      <c r="R193" s="17"/>
      <c r="AC193" s="17"/>
    </row>
    <row r="194">
      <c r="A194" s="17"/>
      <c r="P194" s="17"/>
      <c r="R194" s="17"/>
      <c r="AC194" s="17"/>
    </row>
    <row r="195">
      <c r="A195" s="17"/>
      <c r="P195" s="17"/>
      <c r="R195" s="17"/>
      <c r="AC195" s="17"/>
    </row>
    <row r="196">
      <c r="A196" s="17"/>
      <c r="P196" s="17"/>
      <c r="R196" s="17"/>
      <c r="AC196" s="17"/>
    </row>
    <row r="197">
      <c r="A197" s="17"/>
      <c r="P197" s="17"/>
      <c r="R197" s="17"/>
      <c r="AC197" s="17"/>
    </row>
    <row r="198">
      <c r="A198" s="17"/>
      <c r="P198" s="17"/>
      <c r="R198" s="17"/>
      <c r="AC198" s="17"/>
    </row>
    <row r="199">
      <c r="A199" s="17"/>
      <c r="P199" s="17"/>
      <c r="R199" s="17"/>
      <c r="AC199" s="17"/>
    </row>
    <row r="200">
      <c r="A200" s="17"/>
      <c r="P200" s="17"/>
      <c r="R200" s="17"/>
      <c r="AC200" s="17"/>
    </row>
    <row r="201">
      <c r="A201" s="17"/>
      <c r="P201" s="17"/>
      <c r="R201" s="17"/>
      <c r="AC201" s="17"/>
    </row>
    <row r="202">
      <c r="A202" s="17"/>
      <c r="P202" s="17"/>
      <c r="R202" s="17"/>
      <c r="AC202" s="17"/>
    </row>
    <row r="203">
      <c r="A203" s="17"/>
      <c r="P203" s="17"/>
      <c r="R203" s="17"/>
      <c r="AC203" s="17"/>
    </row>
    <row r="204">
      <c r="A204" s="17"/>
      <c r="P204" s="17"/>
      <c r="R204" s="17"/>
      <c r="AC204" s="17"/>
    </row>
    <row r="205">
      <c r="A205" s="17"/>
      <c r="P205" s="17"/>
      <c r="R205" s="17"/>
      <c r="AC205" s="17"/>
    </row>
    <row r="206">
      <c r="A206" s="17"/>
      <c r="P206" s="17"/>
      <c r="R206" s="17"/>
      <c r="AC206" s="17"/>
    </row>
    <row r="207">
      <c r="A207" s="17"/>
      <c r="P207" s="17"/>
      <c r="R207" s="17"/>
      <c r="AC207" s="17"/>
    </row>
    <row r="208">
      <c r="A208" s="17"/>
      <c r="P208" s="17"/>
      <c r="R208" s="17"/>
      <c r="AC208" s="17"/>
    </row>
    <row r="209">
      <c r="A209" s="17"/>
      <c r="P209" s="17"/>
      <c r="R209" s="17"/>
      <c r="AC209" s="17"/>
    </row>
    <row r="210">
      <c r="A210" s="17"/>
      <c r="P210" s="17"/>
      <c r="R210" s="17"/>
      <c r="AC210" s="17"/>
    </row>
    <row r="211">
      <c r="A211" s="17"/>
      <c r="P211" s="17"/>
      <c r="R211" s="17"/>
      <c r="AC211" s="17"/>
    </row>
    <row r="212">
      <c r="A212" s="17"/>
      <c r="P212" s="17"/>
      <c r="R212" s="17"/>
      <c r="AC212" s="17"/>
    </row>
    <row r="213">
      <c r="A213" s="17"/>
      <c r="P213" s="17"/>
      <c r="R213" s="17"/>
      <c r="AC213" s="17"/>
    </row>
    <row r="214">
      <c r="A214" s="17"/>
      <c r="P214" s="17"/>
      <c r="R214" s="17"/>
      <c r="AC214" s="17"/>
    </row>
    <row r="215">
      <c r="A215" s="17"/>
      <c r="P215" s="17"/>
      <c r="R215" s="17"/>
      <c r="AC215" s="17"/>
    </row>
    <row r="216">
      <c r="A216" s="17"/>
      <c r="P216" s="17"/>
      <c r="R216" s="17"/>
      <c r="AC216" s="17"/>
    </row>
    <row r="217">
      <c r="A217" s="17"/>
      <c r="P217" s="17"/>
      <c r="R217" s="17"/>
      <c r="AC217" s="17"/>
    </row>
    <row r="218">
      <c r="A218" s="17"/>
      <c r="P218" s="17"/>
      <c r="R218" s="17"/>
      <c r="AC218" s="17"/>
    </row>
    <row r="219">
      <c r="A219" s="17"/>
      <c r="P219" s="17"/>
      <c r="R219" s="17"/>
      <c r="AC219" s="17"/>
    </row>
    <row r="220">
      <c r="A220" s="17"/>
      <c r="P220" s="17"/>
      <c r="R220" s="17"/>
      <c r="AC220" s="17"/>
    </row>
    <row r="221">
      <c r="A221" s="17"/>
      <c r="P221" s="17"/>
      <c r="R221" s="17"/>
      <c r="AC221" s="17"/>
    </row>
    <row r="222">
      <c r="A222" s="17"/>
      <c r="P222" s="17"/>
      <c r="R222" s="17"/>
      <c r="AC222" s="17"/>
    </row>
    <row r="223">
      <c r="A223" s="17"/>
      <c r="P223" s="17"/>
      <c r="R223" s="17"/>
      <c r="AC223" s="17"/>
    </row>
    <row r="224">
      <c r="A224" s="17"/>
      <c r="P224" s="17"/>
      <c r="R224" s="17"/>
      <c r="AC224" s="17"/>
    </row>
    <row r="225">
      <c r="A225" s="17"/>
      <c r="P225" s="17"/>
      <c r="R225" s="17"/>
      <c r="AC225" s="17"/>
    </row>
    <row r="226">
      <c r="A226" s="17"/>
      <c r="P226" s="17"/>
      <c r="R226" s="17"/>
      <c r="AC226" s="17"/>
    </row>
    <row r="227">
      <c r="A227" s="17"/>
      <c r="P227" s="17"/>
      <c r="R227" s="17"/>
      <c r="AC227" s="17"/>
    </row>
    <row r="228">
      <c r="A228" s="17"/>
      <c r="P228" s="17"/>
      <c r="R228" s="17"/>
      <c r="AC228" s="17"/>
    </row>
    <row r="229">
      <c r="A229" s="17"/>
      <c r="P229" s="17"/>
      <c r="R229" s="17"/>
      <c r="AC229" s="17"/>
    </row>
    <row r="230">
      <c r="A230" s="17"/>
      <c r="P230" s="17"/>
      <c r="R230" s="17"/>
      <c r="AC230" s="17"/>
    </row>
    <row r="231">
      <c r="A231" s="17"/>
      <c r="P231" s="17"/>
      <c r="R231" s="17"/>
      <c r="AC231" s="17"/>
    </row>
    <row r="232">
      <c r="A232" s="17"/>
      <c r="P232" s="17"/>
      <c r="R232" s="17"/>
      <c r="AC232" s="17"/>
    </row>
    <row r="233">
      <c r="A233" s="17"/>
      <c r="P233" s="17"/>
      <c r="R233" s="17"/>
      <c r="AC233" s="17"/>
    </row>
    <row r="234">
      <c r="A234" s="17"/>
      <c r="P234" s="17"/>
      <c r="R234" s="17"/>
      <c r="AC234" s="17"/>
    </row>
    <row r="235">
      <c r="A235" s="17"/>
      <c r="P235" s="17"/>
      <c r="R235" s="17"/>
      <c r="AC235" s="17"/>
    </row>
    <row r="236">
      <c r="A236" s="17"/>
      <c r="P236" s="17"/>
      <c r="R236" s="17"/>
      <c r="AC236" s="17"/>
    </row>
    <row r="237">
      <c r="A237" s="17"/>
      <c r="P237" s="17"/>
      <c r="R237" s="17"/>
      <c r="AC237" s="17"/>
    </row>
    <row r="238">
      <c r="A238" s="17"/>
      <c r="P238" s="17"/>
      <c r="R238" s="17"/>
      <c r="AC238" s="17"/>
    </row>
    <row r="239">
      <c r="A239" s="17"/>
      <c r="P239" s="17"/>
      <c r="R239" s="17"/>
      <c r="AC239" s="17"/>
    </row>
    <row r="240">
      <c r="A240" s="17"/>
      <c r="P240" s="17"/>
      <c r="R240" s="17"/>
      <c r="AC240" s="17"/>
    </row>
    <row r="241">
      <c r="A241" s="17"/>
      <c r="P241" s="17"/>
      <c r="R241" s="17"/>
      <c r="AC241" s="17"/>
    </row>
    <row r="242">
      <c r="A242" s="17"/>
      <c r="P242" s="17"/>
      <c r="R242" s="17"/>
      <c r="AC242" s="17"/>
    </row>
    <row r="243">
      <c r="A243" s="17"/>
      <c r="P243" s="17"/>
      <c r="R243" s="17"/>
      <c r="AC243" s="17"/>
    </row>
    <row r="244">
      <c r="A244" s="17"/>
      <c r="P244" s="17"/>
      <c r="R244" s="17"/>
      <c r="AC244" s="17"/>
    </row>
    <row r="245">
      <c r="A245" s="17"/>
      <c r="P245" s="17"/>
      <c r="R245" s="17"/>
      <c r="AC245" s="17"/>
    </row>
    <row r="246">
      <c r="A246" s="17"/>
      <c r="P246" s="17"/>
      <c r="R246" s="17"/>
      <c r="AC246" s="17"/>
    </row>
    <row r="247">
      <c r="A247" s="17"/>
      <c r="P247" s="17"/>
      <c r="R247" s="17"/>
      <c r="AC247" s="17"/>
    </row>
    <row r="248">
      <c r="A248" s="17"/>
      <c r="P248" s="17"/>
      <c r="R248" s="17"/>
      <c r="AC248" s="17"/>
    </row>
    <row r="249">
      <c r="A249" s="17"/>
      <c r="P249" s="17"/>
      <c r="R249" s="17"/>
      <c r="AC249" s="17"/>
    </row>
    <row r="250">
      <c r="A250" s="17"/>
      <c r="P250" s="17"/>
      <c r="R250" s="17"/>
      <c r="AC250" s="17"/>
    </row>
    <row r="251">
      <c r="A251" s="17"/>
      <c r="P251" s="17"/>
      <c r="R251" s="17"/>
      <c r="AC251" s="17"/>
    </row>
    <row r="252">
      <c r="A252" s="17"/>
      <c r="P252" s="17"/>
      <c r="R252" s="17"/>
      <c r="AC252" s="17"/>
    </row>
    <row r="253">
      <c r="A253" s="17"/>
      <c r="P253" s="17"/>
      <c r="R253" s="17"/>
      <c r="AC253" s="17"/>
    </row>
    <row r="254">
      <c r="A254" s="17"/>
      <c r="P254" s="17"/>
      <c r="R254" s="17"/>
      <c r="AC254" s="17"/>
    </row>
    <row r="255">
      <c r="A255" s="17"/>
      <c r="P255" s="17"/>
      <c r="R255" s="17"/>
      <c r="AC255" s="17"/>
    </row>
    <row r="256">
      <c r="A256" s="17"/>
      <c r="P256" s="17"/>
      <c r="R256" s="17"/>
      <c r="AC256" s="17"/>
    </row>
    <row r="257">
      <c r="A257" s="17"/>
      <c r="P257" s="17"/>
      <c r="R257" s="17"/>
      <c r="AC257" s="17"/>
    </row>
    <row r="258">
      <c r="A258" s="17"/>
      <c r="P258" s="17"/>
      <c r="R258" s="17"/>
      <c r="AC258" s="17"/>
    </row>
    <row r="259">
      <c r="A259" s="17"/>
      <c r="P259" s="17"/>
      <c r="R259" s="17"/>
      <c r="AC259" s="17"/>
    </row>
    <row r="260">
      <c r="A260" s="17"/>
      <c r="P260" s="17"/>
      <c r="R260" s="17"/>
      <c r="AC260" s="17"/>
    </row>
    <row r="261">
      <c r="A261" s="17"/>
      <c r="P261" s="17"/>
      <c r="R261" s="17"/>
      <c r="AC261" s="17"/>
    </row>
    <row r="262">
      <c r="A262" s="17"/>
      <c r="P262" s="17"/>
      <c r="R262" s="17"/>
      <c r="AC262" s="17"/>
    </row>
    <row r="263">
      <c r="A263" s="17"/>
      <c r="P263" s="17"/>
      <c r="R263" s="17"/>
      <c r="AC263" s="17"/>
    </row>
    <row r="264">
      <c r="A264" s="17"/>
      <c r="P264" s="17"/>
      <c r="R264" s="17"/>
      <c r="AC264" s="17"/>
    </row>
    <row r="265">
      <c r="A265" s="17"/>
      <c r="P265" s="17"/>
      <c r="R265" s="17"/>
      <c r="AC265" s="17"/>
    </row>
    <row r="266">
      <c r="A266" s="17"/>
      <c r="P266" s="17"/>
      <c r="R266" s="17"/>
      <c r="AC266" s="17"/>
    </row>
    <row r="267">
      <c r="A267" s="17"/>
      <c r="P267" s="17"/>
      <c r="R267" s="17"/>
      <c r="AC267" s="17"/>
    </row>
    <row r="268">
      <c r="A268" s="17"/>
      <c r="P268" s="17"/>
      <c r="R268" s="17"/>
      <c r="AC268" s="17"/>
    </row>
    <row r="269">
      <c r="A269" s="17"/>
      <c r="P269" s="17"/>
      <c r="R269" s="17"/>
      <c r="AC269" s="17"/>
    </row>
    <row r="270">
      <c r="A270" s="17"/>
      <c r="P270" s="17"/>
      <c r="R270" s="17"/>
      <c r="AC270" s="17"/>
    </row>
    <row r="271">
      <c r="A271" s="17"/>
      <c r="P271" s="17"/>
      <c r="R271" s="17"/>
      <c r="AC271" s="17"/>
    </row>
    <row r="272">
      <c r="A272" s="17"/>
      <c r="P272" s="17"/>
      <c r="R272" s="17"/>
      <c r="AC272" s="17"/>
    </row>
    <row r="273">
      <c r="A273" s="17"/>
      <c r="P273" s="17"/>
      <c r="R273" s="17"/>
      <c r="AC273" s="17"/>
    </row>
    <row r="274">
      <c r="A274" s="17"/>
      <c r="P274" s="17"/>
      <c r="R274" s="17"/>
      <c r="AC274" s="17"/>
    </row>
    <row r="275">
      <c r="A275" s="17"/>
      <c r="P275" s="17"/>
      <c r="R275" s="17"/>
      <c r="AC275" s="17"/>
    </row>
    <row r="276">
      <c r="A276" s="17"/>
      <c r="P276" s="17"/>
      <c r="R276" s="17"/>
      <c r="AC276" s="17"/>
    </row>
    <row r="277">
      <c r="A277" s="17"/>
      <c r="P277" s="17"/>
      <c r="R277" s="17"/>
      <c r="AC277" s="17"/>
    </row>
    <row r="278">
      <c r="A278" s="17"/>
      <c r="P278" s="17"/>
      <c r="R278" s="17"/>
      <c r="AC278" s="17"/>
    </row>
    <row r="279">
      <c r="A279" s="17"/>
      <c r="P279" s="17"/>
      <c r="R279" s="17"/>
      <c r="AC279" s="17"/>
    </row>
    <row r="280">
      <c r="A280" s="17"/>
      <c r="P280" s="17"/>
      <c r="R280" s="17"/>
      <c r="AC280" s="17"/>
    </row>
    <row r="281">
      <c r="A281" s="17"/>
      <c r="P281" s="17"/>
      <c r="R281" s="17"/>
      <c r="AC281" s="17"/>
    </row>
    <row r="282">
      <c r="A282" s="17"/>
      <c r="P282" s="17"/>
      <c r="R282" s="17"/>
      <c r="AC282" s="17"/>
    </row>
    <row r="283">
      <c r="A283" s="17"/>
      <c r="P283" s="17"/>
      <c r="R283" s="17"/>
      <c r="AC283" s="17"/>
    </row>
    <row r="284">
      <c r="A284" s="17"/>
      <c r="P284" s="17"/>
      <c r="R284" s="17"/>
      <c r="AC284" s="17"/>
    </row>
    <row r="285">
      <c r="A285" s="17"/>
      <c r="P285" s="17"/>
      <c r="R285" s="17"/>
      <c r="AC285" s="17"/>
    </row>
    <row r="286">
      <c r="A286" s="17"/>
      <c r="P286" s="17"/>
      <c r="R286" s="17"/>
      <c r="AC286" s="17"/>
    </row>
    <row r="287">
      <c r="A287" s="17"/>
      <c r="P287" s="17"/>
      <c r="R287" s="17"/>
      <c r="AC287" s="17"/>
    </row>
    <row r="288">
      <c r="A288" s="17"/>
      <c r="P288" s="17"/>
      <c r="R288" s="17"/>
      <c r="AC288" s="17"/>
    </row>
    <row r="289">
      <c r="A289" s="17"/>
      <c r="P289" s="17"/>
      <c r="R289" s="17"/>
      <c r="AC289" s="17"/>
    </row>
    <row r="290">
      <c r="A290" s="17"/>
      <c r="P290" s="17"/>
      <c r="R290" s="17"/>
      <c r="AC290" s="17"/>
    </row>
    <row r="291">
      <c r="A291" s="17"/>
      <c r="P291" s="17"/>
      <c r="R291" s="17"/>
      <c r="AC291" s="17"/>
    </row>
    <row r="292">
      <c r="A292" s="17"/>
      <c r="P292" s="17"/>
      <c r="R292" s="17"/>
      <c r="AC292" s="17"/>
    </row>
    <row r="293">
      <c r="A293" s="17"/>
      <c r="P293" s="17"/>
      <c r="R293" s="17"/>
      <c r="AC293" s="17"/>
    </row>
    <row r="294">
      <c r="A294" s="17"/>
      <c r="P294" s="17"/>
      <c r="R294" s="17"/>
      <c r="AC294" s="17"/>
    </row>
    <row r="295">
      <c r="A295" s="17"/>
      <c r="P295" s="17"/>
      <c r="R295" s="17"/>
      <c r="AC295" s="17"/>
    </row>
    <row r="296">
      <c r="A296" s="17"/>
      <c r="P296" s="17"/>
      <c r="R296" s="17"/>
      <c r="AC296" s="17"/>
    </row>
    <row r="297">
      <c r="A297" s="17"/>
      <c r="P297" s="17"/>
      <c r="R297" s="17"/>
      <c r="AC297" s="17"/>
    </row>
    <row r="298">
      <c r="A298" s="17"/>
      <c r="P298" s="17"/>
      <c r="R298" s="17"/>
      <c r="AC298" s="17"/>
    </row>
    <row r="299">
      <c r="A299" s="17"/>
      <c r="P299" s="17"/>
      <c r="R299" s="17"/>
      <c r="AC299" s="17"/>
    </row>
    <row r="300">
      <c r="A300" s="17"/>
      <c r="P300" s="17"/>
      <c r="R300" s="17"/>
      <c r="AC300" s="17"/>
    </row>
    <row r="301">
      <c r="A301" s="17"/>
      <c r="P301" s="17"/>
      <c r="R301" s="17"/>
      <c r="AC301" s="17"/>
    </row>
    <row r="302">
      <c r="A302" s="17"/>
      <c r="P302" s="17"/>
      <c r="R302" s="17"/>
      <c r="AC302" s="17"/>
    </row>
    <row r="303">
      <c r="A303" s="17"/>
      <c r="P303" s="17"/>
      <c r="R303" s="17"/>
      <c r="AC303" s="17"/>
    </row>
    <row r="304">
      <c r="A304" s="17"/>
      <c r="P304" s="17"/>
      <c r="R304" s="17"/>
      <c r="AC304" s="17"/>
    </row>
    <row r="305">
      <c r="A305" s="17"/>
      <c r="P305" s="17"/>
      <c r="R305" s="17"/>
      <c r="AC305" s="17"/>
    </row>
    <row r="306">
      <c r="A306" s="17"/>
      <c r="P306" s="17"/>
      <c r="R306" s="17"/>
      <c r="AC306" s="17"/>
    </row>
    <row r="307">
      <c r="A307" s="17"/>
      <c r="P307" s="17"/>
      <c r="R307" s="17"/>
      <c r="AC307" s="17"/>
    </row>
    <row r="308">
      <c r="A308" s="17"/>
      <c r="P308" s="17"/>
      <c r="R308" s="17"/>
      <c r="AC308" s="17"/>
    </row>
    <row r="309">
      <c r="A309" s="17"/>
      <c r="P309" s="17"/>
      <c r="R309" s="17"/>
      <c r="AC309" s="17"/>
    </row>
    <row r="310">
      <c r="A310" s="17"/>
      <c r="P310" s="17"/>
      <c r="R310" s="17"/>
      <c r="AC310" s="17"/>
    </row>
    <row r="311">
      <c r="A311" s="17"/>
      <c r="P311" s="17"/>
      <c r="R311" s="17"/>
      <c r="AC311" s="17"/>
    </row>
    <row r="312">
      <c r="A312" s="17"/>
      <c r="P312" s="17"/>
      <c r="R312" s="17"/>
      <c r="AC312" s="17"/>
    </row>
    <row r="313">
      <c r="A313" s="17"/>
      <c r="P313" s="17"/>
      <c r="R313" s="17"/>
      <c r="AC313" s="17"/>
    </row>
    <row r="314">
      <c r="A314" s="17"/>
      <c r="P314" s="17"/>
      <c r="R314" s="17"/>
      <c r="AC314" s="17"/>
    </row>
    <row r="315">
      <c r="A315" s="17"/>
      <c r="P315" s="17"/>
      <c r="R315" s="17"/>
      <c r="AC315" s="17"/>
    </row>
    <row r="316">
      <c r="A316" s="17"/>
      <c r="P316" s="17"/>
      <c r="R316" s="17"/>
      <c r="AC316" s="17"/>
    </row>
    <row r="317">
      <c r="A317" s="17"/>
      <c r="P317" s="17"/>
      <c r="R317" s="17"/>
      <c r="AC317" s="17"/>
    </row>
    <row r="318">
      <c r="A318" s="17"/>
      <c r="P318" s="17"/>
      <c r="R318" s="17"/>
      <c r="AC318" s="17"/>
    </row>
    <row r="319">
      <c r="A319" s="17"/>
      <c r="P319" s="17"/>
      <c r="R319" s="17"/>
      <c r="AC319" s="17"/>
    </row>
    <row r="320">
      <c r="A320" s="17"/>
      <c r="P320" s="17"/>
      <c r="R320" s="17"/>
      <c r="AC320" s="17"/>
    </row>
    <row r="321">
      <c r="A321" s="17"/>
      <c r="P321" s="17"/>
      <c r="R321" s="17"/>
      <c r="AC321" s="17"/>
    </row>
    <row r="322">
      <c r="A322" s="17"/>
      <c r="P322" s="17"/>
      <c r="R322" s="17"/>
      <c r="AC322" s="17"/>
    </row>
    <row r="323">
      <c r="A323" s="17"/>
      <c r="P323" s="17"/>
      <c r="R323" s="17"/>
      <c r="AC323" s="17"/>
    </row>
    <row r="324">
      <c r="A324" s="17"/>
      <c r="P324" s="17"/>
      <c r="R324" s="17"/>
      <c r="AC324" s="17"/>
    </row>
    <row r="325">
      <c r="A325" s="17"/>
      <c r="P325" s="17"/>
      <c r="R325" s="17"/>
      <c r="AC325" s="17"/>
    </row>
    <row r="326">
      <c r="A326" s="17"/>
      <c r="P326" s="17"/>
      <c r="R326" s="17"/>
      <c r="AC326" s="17"/>
    </row>
    <row r="327">
      <c r="A327" s="17"/>
      <c r="P327" s="17"/>
      <c r="R327" s="17"/>
      <c r="AC327" s="17"/>
    </row>
    <row r="328">
      <c r="A328" s="17"/>
      <c r="P328" s="17"/>
      <c r="R328" s="17"/>
      <c r="AC328" s="17"/>
    </row>
    <row r="329">
      <c r="A329" s="17"/>
      <c r="P329" s="17"/>
      <c r="R329" s="17"/>
      <c r="AC329" s="17"/>
    </row>
    <row r="330">
      <c r="A330" s="17"/>
      <c r="P330" s="17"/>
      <c r="R330" s="17"/>
      <c r="AC330" s="17"/>
    </row>
    <row r="331">
      <c r="A331" s="17"/>
      <c r="P331" s="17"/>
      <c r="R331" s="17"/>
      <c r="AC331" s="17"/>
    </row>
    <row r="332">
      <c r="A332" s="17"/>
      <c r="P332" s="17"/>
      <c r="R332" s="17"/>
      <c r="AC332" s="17"/>
    </row>
    <row r="333">
      <c r="A333" s="17"/>
      <c r="P333" s="17"/>
      <c r="R333" s="17"/>
      <c r="AC333" s="17"/>
    </row>
    <row r="334">
      <c r="A334" s="17"/>
      <c r="P334" s="17"/>
      <c r="R334" s="17"/>
      <c r="AC334" s="17"/>
    </row>
    <row r="335">
      <c r="A335" s="17"/>
      <c r="P335" s="17"/>
      <c r="R335" s="17"/>
      <c r="AC335" s="17"/>
    </row>
    <row r="336">
      <c r="A336" s="17"/>
      <c r="P336" s="17"/>
      <c r="R336" s="17"/>
      <c r="AC336" s="17"/>
    </row>
    <row r="337">
      <c r="A337" s="17"/>
      <c r="P337" s="17"/>
      <c r="R337" s="17"/>
      <c r="AC337" s="17"/>
    </row>
    <row r="338">
      <c r="A338" s="17"/>
      <c r="P338" s="17"/>
      <c r="R338" s="17"/>
      <c r="AC338" s="17"/>
    </row>
    <row r="339">
      <c r="A339" s="17"/>
      <c r="P339" s="17"/>
      <c r="R339" s="17"/>
      <c r="AC339" s="17"/>
    </row>
    <row r="340">
      <c r="A340" s="17"/>
      <c r="P340" s="17"/>
      <c r="R340" s="17"/>
      <c r="AC340" s="17"/>
    </row>
    <row r="341">
      <c r="A341" s="17"/>
      <c r="P341" s="17"/>
      <c r="R341" s="17"/>
      <c r="AC341" s="17"/>
    </row>
    <row r="342">
      <c r="A342" s="17"/>
      <c r="P342" s="17"/>
      <c r="R342" s="17"/>
      <c r="AC342" s="17"/>
    </row>
    <row r="343">
      <c r="A343" s="17"/>
      <c r="P343" s="17"/>
      <c r="R343" s="17"/>
      <c r="AC343" s="17"/>
    </row>
    <row r="344">
      <c r="A344" s="17"/>
      <c r="P344" s="17"/>
      <c r="R344" s="17"/>
      <c r="AC344" s="17"/>
    </row>
    <row r="345">
      <c r="A345" s="17"/>
      <c r="P345" s="17"/>
      <c r="R345" s="17"/>
      <c r="AC345" s="17"/>
    </row>
    <row r="346">
      <c r="A346" s="17"/>
      <c r="P346" s="17"/>
      <c r="R346" s="17"/>
      <c r="AC346" s="17"/>
    </row>
    <row r="347">
      <c r="A347" s="17"/>
      <c r="P347" s="17"/>
      <c r="R347" s="17"/>
      <c r="AC347" s="17"/>
    </row>
    <row r="348">
      <c r="A348" s="17"/>
      <c r="P348" s="17"/>
      <c r="R348" s="17"/>
      <c r="AC348" s="17"/>
    </row>
    <row r="349">
      <c r="A349" s="17"/>
      <c r="P349" s="17"/>
      <c r="R349" s="17"/>
      <c r="AC349" s="17"/>
    </row>
    <row r="350">
      <c r="A350" s="17"/>
      <c r="P350" s="17"/>
      <c r="R350" s="17"/>
      <c r="AC350" s="17"/>
    </row>
    <row r="351">
      <c r="A351" s="17"/>
      <c r="P351" s="17"/>
      <c r="R351" s="17"/>
      <c r="AC351" s="17"/>
    </row>
    <row r="352">
      <c r="A352" s="17"/>
      <c r="P352" s="17"/>
      <c r="R352" s="17"/>
      <c r="AC352" s="17"/>
    </row>
    <row r="353">
      <c r="A353" s="17"/>
      <c r="P353" s="17"/>
      <c r="R353" s="17"/>
      <c r="AC353" s="17"/>
    </row>
    <row r="354">
      <c r="A354" s="17"/>
      <c r="P354" s="17"/>
      <c r="R354" s="17"/>
      <c r="AC354" s="17"/>
    </row>
    <row r="355">
      <c r="A355" s="17"/>
      <c r="P355" s="17"/>
      <c r="R355" s="17"/>
      <c r="AC355" s="17"/>
    </row>
    <row r="356">
      <c r="A356" s="17"/>
      <c r="P356" s="17"/>
      <c r="R356" s="17"/>
      <c r="AC356" s="17"/>
    </row>
    <row r="357">
      <c r="A357" s="17"/>
      <c r="P357" s="17"/>
      <c r="R357" s="17"/>
      <c r="AC357" s="17"/>
    </row>
    <row r="358">
      <c r="A358" s="17"/>
      <c r="P358" s="17"/>
      <c r="R358" s="17"/>
      <c r="AC358" s="17"/>
    </row>
    <row r="359">
      <c r="A359" s="17"/>
      <c r="P359" s="17"/>
      <c r="R359" s="17"/>
      <c r="AC359" s="17"/>
    </row>
    <row r="360">
      <c r="A360" s="17"/>
      <c r="P360" s="17"/>
      <c r="R360" s="17"/>
      <c r="AC360" s="17"/>
    </row>
    <row r="361">
      <c r="A361" s="17"/>
      <c r="P361" s="17"/>
      <c r="R361" s="17"/>
      <c r="AC361" s="17"/>
    </row>
    <row r="362">
      <c r="A362" s="17"/>
      <c r="P362" s="17"/>
      <c r="R362" s="17"/>
      <c r="AC362" s="17"/>
    </row>
    <row r="363">
      <c r="A363" s="17"/>
      <c r="P363" s="17"/>
      <c r="R363" s="17"/>
      <c r="AC363" s="17"/>
    </row>
    <row r="364">
      <c r="A364" s="17"/>
      <c r="P364" s="17"/>
      <c r="R364" s="17"/>
      <c r="AC364" s="17"/>
    </row>
    <row r="365">
      <c r="A365" s="17"/>
      <c r="P365" s="17"/>
      <c r="R365" s="17"/>
      <c r="AC365" s="17"/>
    </row>
    <row r="366">
      <c r="A366" s="17"/>
      <c r="P366" s="17"/>
      <c r="R366" s="17"/>
      <c r="AC366" s="17"/>
    </row>
    <row r="367">
      <c r="A367" s="17"/>
      <c r="P367" s="17"/>
      <c r="R367" s="17"/>
      <c r="AC367" s="17"/>
    </row>
    <row r="368">
      <c r="A368" s="17"/>
      <c r="P368" s="17"/>
      <c r="R368" s="17"/>
      <c r="AC368" s="17"/>
    </row>
    <row r="369">
      <c r="A369" s="17"/>
      <c r="P369" s="17"/>
      <c r="R369" s="17"/>
      <c r="AC369" s="17"/>
    </row>
    <row r="370">
      <c r="A370" s="17"/>
      <c r="P370" s="17"/>
      <c r="R370" s="17"/>
      <c r="AC370" s="17"/>
    </row>
    <row r="371">
      <c r="A371" s="17"/>
      <c r="P371" s="17"/>
      <c r="R371" s="17"/>
      <c r="AC371" s="17"/>
    </row>
    <row r="372">
      <c r="A372" s="17"/>
      <c r="P372" s="17"/>
      <c r="R372" s="17"/>
      <c r="AC372" s="17"/>
    </row>
    <row r="373">
      <c r="A373" s="17"/>
      <c r="P373" s="17"/>
      <c r="R373" s="17"/>
      <c r="AC373" s="17"/>
    </row>
    <row r="374">
      <c r="A374" s="17"/>
      <c r="P374" s="17"/>
      <c r="R374" s="17"/>
      <c r="AC374" s="17"/>
    </row>
    <row r="375">
      <c r="A375" s="17"/>
      <c r="P375" s="17"/>
      <c r="R375" s="17"/>
      <c r="AC375" s="17"/>
    </row>
    <row r="376">
      <c r="A376" s="17"/>
      <c r="P376" s="17"/>
      <c r="R376" s="17"/>
      <c r="AC376" s="17"/>
    </row>
    <row r="377">
      <c r="A377" s="17"/>
      <c r="P377" s="17"/>
      <c r="R377" s="17"/>
      <c r="AC377" s="17"/>
    </row>
    <row r="378">
      <c r="A378" s="17"/>
      <c r="P378" s="17"/>
      <c r="R378" s="17"/>
      <c r="AC378" s="17"/>
    </row>
    <row r="379">
      <c r="A379" s="17"/>
      <c r="P379" s="17"/>
      <c r="R379" s="17"/>
      <c r="AC379" s="17"/>
    </row>
    <row r="380">
      <c r="A380" s="17"/>
      <c r="P380" s="17"/>
      <c r="R380" s="17"/>
      <c r="AC380" s="17"/>
    </row>
    <row r="381">
      <c r="A381" s="17"/>
      <c r="P381" s="17"/>
      <c r="R381" s="17"/>
      <c r="AC381" s="17"/>
    </row>
    <row r="382">
      <c r="A382" s="17"/>
      <c r="P382" s="17"/>
      <c r="R382" s="17"/>
      <c r="AC382" s="17"/>
    </row>
    <row r="383">
      <c r="A383" s="17"/>
      <c r="P383" s="17"/>
      <c r="R383" s="17"/>
      <c r="AC383" s="17"/>
    </row>
    <row r="384">
      <c r="A384" s="17"/>
      <c r="P384" s="17"/>
      <c r="R384" s="17"/>
      <c r="AC384" s="17"/>
    </row>
    <row r="385">
      <c r="A385" s="17"/>
      <c r="P385" s="17"/>
      <c r="R385" s="17"/>
      <c r="AC385" s="17"/>
    </row>
    <row r="386">
      <c r="A386" s="17"/>
      <c r="P386" s="17"/>
      <c r="R386" s="17"/>
      <c r="AC386" s="17"/>
    </row>
    <row r="387">
      <c r="A387" s="17"/>
      <c r="P387" s="17"/>
      <c r="R387" s="17"/>
      <c r="AC387" s="17"/>
    </row>
    <row r="388">
      <c r="A388" s="17"/>
      <c r="P388" s="17"/>
      <c r="R388" s="17"/>
      <c r="AC388" s="17"/>
    </row>
    <row r="389">
      <c r="A389" s="17"/>
      <c r="P389" s="17"/>
      <c r="R389" s="17"/>
      <c r="AC389" s="17"/>
    </row>
    <row r="390">
      <c r="A390" s="17"/>
      <c r="P390" s="17"/>
      <c r="R390" s="17"/>
      <c r="AC390" s="17"/>
    </row>
    <row r="391">
      <c r="A391" s="17"/>
      <c r="P391" s="17"/>
      <c r="R391" s="17"/>
      <c r="AC391" s="17"/>
    </row>
    <row r="392">
      <c r="A392" s="17"/>
      <c r="P392" s="17"/>
      <c r="R392" s="17"/>
      <c r="AC392" s="17"/>
    </row>
    <row r="393">
      <c r="A393" s="17"/>
      <c r="P393" s="17"/>
      <c r="R393" s="17"/>
      <c r="AC393" s="17"/>
    </row>
    <row r="394">
      <c r="A394" s="17"/>
      <c r="P394" s="17"/>
      <c r="R394" s="17"/>
      <c r="AC394" s="17"/>
    </row>
    <row r="395">
      <c r="A395" s="17"/>
      <c r="P395" s="17"/>
      <c r="R395" s="17"/>
      <c r="AC395" s="17"/>
    </row>
    <row r="396">
      <c r="A396" s="17"/>
      <c r="P396" s="17"/>
      <c r="R396" s="17"/>
      <c r="AC396" s="17"/>
    </row>
    <row r="397">
      <c r="A397" s="17"/>
      <c r="P397" s="17"/>
      <c r="R397" s="17"/>
      <c r="AC397" s="17"/>
    </row>
    <row r="398">
      <c r="A398" s="17"/>
      <c r="P398" s="17"/>
      <c r="R398" s="17"/>
      <c r="AC398" s="17"/>
    </row>
    <row r="399">
      <c r="A399" s="17"/>
      <c r="P399" s="17"/>
      <c r="R399" s="17"/>
      <c r="AC399" s="17"/>
    </row>
    <row r="400">
      <c r="A400" s="17"/>
      <c r="P400" s="17"/>
      <c r="R400" s="17"/>
      <c r="AC400" s="17"/>
    </row>
    <row r="401">
      <c r="A401" s="17"/>
      <c r="P401" s="17"/>
      <c r="R401" s="17"/>
      <c r="AC401" s="17"/>
    </row>
    <row r="402">
      <c r="A402" s="17"/>
      <c r="P402" s="17"/>
      <c r="R402" s="17"/>
      <c r="AC402" s="17"/>
    </row>
    <row r="403">
      <c r="A403" s="17"/>
      <c r="P403" s="17"/>
      <c r="R403" s="17"/>
      <c r="AC403" s="17"/>
    </row>
    <row r="404">
      <c r="A404" s="17"/>
      <c r="P404" s="17"/>
      <c r="R404" s="17"/>
      <c r="AC404" s="17"/>
    </row>
    <row r="405">
      <c r="A405" s="17"/>
      <c r="P405" s="17"/>
      <c r="R405" s="17"/>
      <c r="AC405" s="17"/>
    </row>
    <row r="406">
      <c r="A406" s="17"/>
      <c r="P406" s="17"/>
      <c r="R406" s="17"/>
      <c r="AC406" s="17"/>
    </row>
    <row r="407">
      <c r="A407" s="17"/>
      <c r="P407" s="17"/>
      <c r="R407" s="17"/>
      <c r="AC407" s="17"/>
    </row>
    <row r="408">
      <c r="A408" s="17"/>
      <c r="P408" s="17"/>
      <c r="R408" s="17"/>
      <c r="AC408" s="17"/>
    </row>
    <row r="409">
      <c r="A409" s="17"/>
      <c r="P409" s="17"/>
      <c r="R409" s="17"/>
      <c r="AC409" s="17"/>
    </row>
    <row r="410">
      <c r="A410" s="17"/>
      <c r="P410" s="17"/>
      <c r="R410" s="17"/>
      <c r="AC410" s="17"/>
    </row>
    <row r="411">
      <c r="A411" s="17"/>
      <c r="P411" s="17"/>
      <c r="R411" s="17"/>
      <c r="AC411" s="17"/>
    </row>
    <row r="412">
      <c r="A412" s="17"/>
      <c r="P412" s="17"/>
      <c r="R412" s="17"/>
      <c r="AC412" s="17"/>
    </row>
    <row r="413">
      <c r="A413" s="17"/>
      <c r="P413" s="17"/>
      <c r="R413" s="17"/>
      <c r="AC413" s="17"/>
    </row>
    <row r="414">
      <c r="A414" s="17"/>
      <c r="P414" s="17"/>
      <c r="R414" s="17"/>
      <c r="AC414" s="17"/>
    </row>
    <row r="415">
      <c r="A415" s="17"/>
      <c r="P415" s="17"/>
      <c r="R415" s="17"/>
      <c r="AC415" s="17"/>
    </row>
    <row r="416">
      <c r="A416" s="17"/>
      <c r="P416" s="17"/>
      <c r="R416" s="17"/>
      <c r="AC416" s="17"/>
    </row>
    <row r="417">
      <c r="A417" s="17"/>
      <c r="P417" s="17"/>
      <c r="R417" s="17"/>
      <c r="AC417" s="17"/>
    </row>
    <row r="418">
      <c r="A418" s="17"/>
      <c r="P418" s="17"/>
      <c r="R418" s="17"/>
      <c r="AC418" s="17"/>
    </row>
    <row r="419">
      <c r="A419" s="17"/>
      <c r="P419" s="17"/>
      <c r="R419" s="17"/>
      <c r="AC419" s="17"/>
    </row>
    <row r="420">
      <c r="A420" s="17"/>
      <c r="P420" s="17"/>
      <c r="R420" s="17"/>
      <c r="AC420" s="17"/>
    </row>
    <row r="421">
      <c r="A421" s="17"/>
      <c r="P421" s="17"/>
      <c r="R421" s="17"/>
      <c r="AC421" s="17"/>
    </row>
    <row r="422">
      <c r="A422" s="17"/>
      <c r="P422" s="17"/>
      <c r="R422" s="17"/>
      <c r="AC422" s="17"/>
    </row>
    <row r="423">
      <c r="A423" s="17"/>
      <c r="P423" s="17"/>
      <c r="R423" s="17"/>
      <c r="AC423" s="17"/>
    </row>
    <row r="424">
      <c r="A424" s="17"/>
      <c r="P424" s="17"/>
      <c r="R424" s="17"/>
      <c r="AC424" s="17"/>
    </row>
    <row r="425">
      <c r="A425" s="17"/>
      <c r="P425" s="17"/>
      <c r="R425" s="17"/>
      <c r="AC425" s="17"/>
    </row>
    <row r="426">
      <c r="A426" s="17"/>
      <c r="P426" s="17"/>
      <c r="R426" s="17"/>
      <c r="AC426" s="17"/>
    </row>
    <row r="427">
      <c r="A427" s="17"/>
      <c r="P427" s="17"/>
      <c r="R427" s="17"/>
      <c r="AC427" s="17"/>
    </row>
    <row r="428">
      <c r="A428" s="17"/>
      <c r="P428" s="17"/>
      <c r="R428" s="17"/>
      <c r="AC428" s="17"/>
    </row>
    <row r="429">
      <c r="A429" s="17"/>
      <c r="P429" s="17"/>
      <c r="R429" s="17"/>
      <c r="AC429" s="17"/>
    </row>
    <row r="430">
      <c r="A430" s="17"/>
      <c r="P430" s="17"/>
      <c r="R430" s="17"/>
      <c r="AC430" s="17"/>
    </row>
    <row r="431">
      <c r="A431" s="17"/>
      <c r="P431" s="17"/>
      <c r="R431" s="17"/>
      <c r="AC431" s="17"/>
    </row>
    <row r="432">
      <c r="A432" s="17"/>
      <c r="P432" s="17"/>
      <c r="R432" s="17"/>
      <c r="AC432" s="17"/>
    </row>
    <row r="433">
      <c r="A433" s="17"/>
      <c r="P433" s="17"/>
      <c r="R433" s="17"/>
      <c r="AC433" s="17"/>
    </row>
    <row r="434">
      <c r="A434" s="17"/>
      <c r="P434" s="17"/>
      <c r="R434" s="17"/>
      <c r="AC434" s="17"/>
    </row>
    <row r="435">
      <c r="A435" s="17"/>
      <c r="P435" s="17"/>
      <c r="R435" s="17"/>
      <c r="AC435" s="17"/>
    </row>
    <row r="436">
      <c r="A436" s="17"/>
      <c r="P436" s="17"/>
      <c r="R436" s="17"/>
      <c r="AC436" s="17"/>
    </row>
    <row r="437">
      <c r="A437" s="17"/>
      <c r="P437" s="17"/>
      <c r="R437" s="17"/>
      <c r="AC437" s="17"/>
    </row>
    <row r="438">
      <c r="A438" s="17"/>
      <c r="P438" s="17"/>
      <c r="R438" s="17"/>
      <c r="AC438" s="17"/>
    </row>
    <row r="439">
      <c r="A439" s="17"/>
      <c r="P439" s="17"/>
      <c r="R439" s="17"/>
      <c r="AC439" s="17"/>
    </row>
    <row r="440">
      <c r="A440" s="17"/>
      <c r="P440" s="17"/>
      <c r="R440" s="17"/>
      <c r="AC440" s="17"/>
    </row>
    <row r="441">
      <c r="A441" s="17"/>
      <c r="P441" s="17"/>
      <c r="R441" s="17"/>
      <c r="AC441" s="17"/>
    </row>
    <row r="442">
      <c r="A442" s="17"/>
      <c r="P442" s="17"/>
      <c r="R442" s="17"/>
      <c r="AC442" s="17"/>
    </row>
    <row r="443">
      <c r="A443" s="17"/>
      <c r="P443" s="17"/>
      <c r="R443" s="17"/>
      <c r="AC443" s="17"/>
    </row>
    <row r="444">
      <c r="A444" s="17"/>
      <c r="P444" s="17"/>
      <c r="R444" s="17"/>
      <c r="AC444" s="17"/>
    </row>
    <row r="445">
      <c r="A445" s="17"/>
      <c r="P445" s="17"/>
      <c r="R445" s="17"/>
      <c r="AC445" s="17"/>
    </row>
    <row r="446">
      <c r="A446" s="17"/>
      <c r="P446" s="17"/>
      <c r="R446" s="17"/>
      <c r="AC446" s="17"/>
    </row>
    <row r="447">
      <c r="A447" s="17"/>
      <c r="P447" s="17"/>
      <c r="R447" s="17"/>
      <c r="AC447" s="17"/>
    </row>
    <row r="448">
      <c r="A448" s="17"/>
      <c r="P448" s="17"/>
      <c r="R448" s="17"/>
      <c r="AC448" s="17"/>
    </row>
    <row r="449">
      <c r="A449" s="17"/>
      <c r="P449" s="17"/>
      <c r="R449" s="17"/>
      <c r="AC449" s="17"/>
    </row>
    <row r="450">
      <c r="A450" s="17"/>
      <c r="P450" s="17"/>
      <c r="R450" s="17"/>
      <c r="AC450" s="17"/>
    </row>
    <row r="451">
      <c r="A451" s="17"/>
      <c r="P451" s="17"/>
      <c r="R451" s="17"/>
      <c r="AC451" s="17"/>
    </row>
    <row r="452">
      <c r="A452" s="17"/>
      <c r="P452" s="17"/>
      <c r="R452" s="17"/>
      <c r="AC452" s="17"/>
    </row>
    <row r="453">
      <c r="A453" s="17"/>
      <c r="P453" s="17"/>
      <c r="R453" s="17"/>
      <c r="AC453" s="17"/>
    </row>
    <row r="454">
      <c r="A454" s="17"/>
      <c r="P454" s="17"/>
      <c r="R454" s="17"/>
      <c r="AC454" s="17"/>
    </row>
    <row r="455">
      <c r="A455" s="17"/>
      <c r="P455" s="17"/>
      <c r="R455" s="17"/>
      <c r="AC455" s="17"/>
    </row>
    <row r="456">
      <c r="A456" s="17"/>
      <c r="P456" s="17"/>
      <c r="R456" s="17"/>
      <c r="AC456" s="17"/>
    </row>
    <row r="457">
      <c r="A457" s="17"/>
      <c r="P457" s="17"/>
      <c r="R457" s="17"/>
      <c r="AC457" s="17"/>
    </row>
    <row r="458">
      <c r="A458" s="17"/>
      <c r="P458" s="17"/>
      <c r="R458" s="17"/>
      <c r="AC458" s="17"/>
    </row>
    <row r="459">
      <c r="A459" s="17"/>
      <c r="P459" s="17"/>
      <c r="R459" s="17"/>
      <c r="AC459" s="17"/>
    </row>
    <row r="460">
      <c r="A460" s="17"/>
      <c r="P460" s="17"/>
      <c r="R460" s="17"/>
      <c r="AC460" s="17"/>
    </row>
    <row r="461">
      <c r="A461" s="17"/>
      <c r="P461" s="17"/>
      <c r="R461" s="17"/>
      <c r="AC461" s="17"/>
    </row>
    <row r="462">
      <c r="A462" s="17"/>
      <c r="P462" s="17"/>
      <c r="R462" s="17"/>
      <c r="AC462" s="17"/>
    </row>
    <row r="463">
      <c r="A463" s="17"/>
      <c r="P463" s="17"/>
      <c r="R463" s="17"/>
      <c r="AC463" s="17"/>
    </row>
    <row r="464">
      <c r="A464" s="17"/>
      <c r="P464" s="17"/>
      <c r="R464" s="17"/>
      <c r="AC464" s="17"/>
    </row>
    <row r="465">
      <c r="A465" s="17"/>
      <c r="P465" s="17"/>
      <c r="R465" s="17"/>
      <c r="AC465" s="17"/>
    </row>
    <row r="466">
      <c r="A466" s="17"/>
      <c r="P466" s="17"/>
      <c r="R466" s="17"/>
      <c r="AC466" s="17"/>
    </row>
    <row r="467">
      <c r="A467" s="17"/>
      <c r="P467" s="17"/>
      <c r="R467" s="17"/>
      <c r="AC467" s="17"/>
    </row>
    <row r="468">
      <c r="A468" s="17"/>
      <c r="P468" s="17"/>
      <c r="R468" s="17"/>
      <c r="AC468" s="17"/>
    </row>
    <row r="469">
      <c r="A469" s="17"/>
      <c r="P469" s="17"/>
      <c r="R469" s="17"/>
      <c r="AC469" s="17"/>
    </row>
    <row r="470">
      <c r="A470" s="17"/>
      <c r="P470" s="17"/>
      <c r="R470" s="17"/>
      <c r="AC470" s="17"/>
    </row>
    <row r="471">
      <c r="A471" s="17"/>
      <c r="P471" s="17"/>
      <c r="R471" s="17"/>
      <c r="AC471" s="17"/>
    </row>
    <row r="472">
      <c r="A472" s="17"/>
      <c r="P472" s="17"/>
      <c r="R472" s="17"/>
      <c r="AC472" s="17"/>
    </row>
    <row r="473">
      <c r="A473" s="17"/>
      <c r="P473" s="17"/>
      <c r="R473" s="17"/>
      <c r="AC473" s="17"/>
    </row>
    <row r="474">
      <c r="A474" s="17"/>
      <c r="P474" s="17"/>
      <c r="R474" s="17"/>
      <c r="AC474" s="17"/>
    </row>
    <row r="475">
      <c r="A475" s="17"/>
      <c r="P475" s="17"/>
      <c r="R475" s="17"/>
      <c r="AC475" s="17"/>
    </row>
    <row r="476">
      <c r="A476" s="17"/>
      <c r="P476" s="17"/>
      <c r="R476" s="17"/>
      <c r="AC476" s="17"/>
    </row>
    <row r="477">
      <c r="A477" s="17"/>
      <c r="P477" s="17"/>
      <c r="R477" s="17"/>
      <c r="AC477" s="17"/>
    </row>
    <row r="478">
      <c r="A478" s="17"/>
      <c r="P478" s="17"/>
      <c r="R478" s="17"/>
      <c r="AC478" s="17"/>
    </row>
    <row r="479">
      <c r="A479" s="17"/>
      <c r="P479" s="17"/>
      <c r="R479" s="17"/>
      <c r="AC479" s="17"/>
    </row>
    <row r="480">
      <c r="A480" s="17"/>
      <c r="P480" s="17"/>
      <c r="R480" s="17"/>
      <c r="AC480" s="17"/>
    </row>
    <row r="481">
      <c r="A481" s="17"/>
      <c r="P481" s="17"/>
      <c r="R481" s="17"/>
      <c r="AC481" s="17"/>
    </row>
    <row r="482">
      <c r="A482" s="17"/>
      <c r="P482" s="17"/>
      <c r="R482" s="17"/>
      <c r="AC482" s="17"/>
    </row>
    <row r="483">
      <c r="A483" s="17"/>
      <c r="P483" s="17"/>
      <c r="R483" s="17"/>
      <c r="AC483" s="17"/>
    </row>
    <row r="484">
      <c r="A484" s="17"/>
      <c r="P484" s="17"/>
      <c r="R484" s="17"/>
      <c r="AC484" s="17"/>
    </row>
    <row r="485">
      <c r="A485" s="17"/>
      <c r="P485" s="17"/>
      <c r="R485" s="17"/>
      <c r="AC485" s="17"/>
    </row>
    <row r="486">
      <c r="A486" s="17"/>
      <c r="P486" s="17"/>
      <c r="R486" s="17"/>
      <c r="AC486" s="17"/>
    </row>
    <row r="487">
      <c r="A487" s="17"/>
      <c r="P487" s="17"/>
      <c r="R487" s="17"/>
      <c r="AC487" s="17"/>
    </row>
    <row r="488">
      <c r="A488" s="17"/>
      <c r="P488" s="17"/>
      <c r="R488" s="17"/>
      <c r="AC488" s="17"/>
    </row>
    <row r="489">
      <c r="A489" s="17"/>
      <c r="P489" s="17"/>
      <c r="R489" s="17"/>
      <c r="AC489" s="17"/>
    </row>
    <row r="490">
      <c r="A490" s="17"/>
      <c r="P490" s="17"/>
      <c r="R490" s="17"/>
      <c r="AC490" s="17"/>
    </row>
    <row r="491">
      <c r="A491" s="17"/>
      <c r="P491" s="17"/>
      <c r="R491" s="17"/>
      <c r="AC491" s="17"/>
    </row>
    <row r="492">
      <c r="A492" s="17"/>
      <c r="P492" s="17"/>
      <c r="R492" s="17"/>
      <c r="AC492" s="17"/>
    </row>
    <row r="493">
      <c r="A493" s="17"/>
      <c r="P493" s="17"/>
      <c r="R493" s="17"/>
      <c r="AC493" s="17"/>
    </row>
    <row r="494">
      <c r="A494" s="17"/>
      <c r="P494" s="17"/>
      <c r="R494" s="17"/>
      <c r="AC494" s="17"/>
    </row>
    <row r="495">
      <c r="A495" s="17"/>
      <c r="P495" s="17"/>
      <c r="R495" s="17"/>
      <c r="AC495" s="17"/>
    </row>
    <row r="496">
      <c r="A496" s="17"/>
      <c r="P496" s="17"/>
      <c r="R496" s="17"/>
      <c r="AC496" s="17"/>
    </row>
    <row r="497">
      <c r="A497" s="17"/>
      <c r="P497" s="17"/>
      <c r="R497" s="17"/>
      <c r="AC497" s="17"/>
    </row>
    <row r="498">
      <c r="A498" s="17"/>
      <c r="P498" s="17"/>
      <c r="R498" s="17"/>
      <c r="AC498" s="17"/>
    </row>
    <row r="499">
      <c r="A499" s="17"/>
      <c r="P499" s="17"/>
      <c r="R499" s="17"/>
      <c r="AC499" s="17"/>
    </row>
    <row r="500">
      <c r="A500" s="17"/>
      <c r="P500" s="17"/>
      <c r="R500" s="17"/>
      <c r="AC500" s="17"/>
    </row>
    <row r="501">
      <c r="A501" s="17"/>
      <c r="P501" s="17"/>
      <c r="R501" s="17"/>
      <c r="AC501" s="17"/>
    </row>
    <row r="502">
      <c r="A502" s="17"/>
      <c r="P502" s="17"/>
      <c r="R502" s="17"/>
      <c r="AC502" s="17"/>
    </row>
    <row r="503">
      <c r="A503" s="17"/>
      <c r="P503" s="17"/>
      <c r="R503" s="17"/>
      <c r="AC503" s="17"/>
    </row>
    <row r="504">
      <c r="A504" s="17"/>
      <c r="P504" s="17"/>
      <c r="R504" s="17"/>
      <c r="AC504" s="17"/>
    </row>
    <row r="505">
      <c r="A505" s="17"/>
      <c r="P505" s="17"/>
      <c r="R505" s="17"/>
      <c r="AC505" s="17"/>
    </row>
    <row r="506">
      <c r="A506" s="17"/>
      <c r="P506" s="17"/>
      <c r="R506" s="17"/>
      <c r="AC506" s="17"/>
    </row>
    <row r="507">
      <c r="A507" s="17"/>
      <c r="P507" s="17"/>
      <c r="R507" s="17"/>
      <c r="AC507" s="17"/>
    </row>
    <row r="508">
      <c r="A508" s="17"/>
      <c r="P508" s="17"/>
      <c r="R508" s="17"/>
      <c r="AC508" s="17"/>
    </row>
    <row r="509">
      <c r="A509" s="17"/>
      <c r="P509" s="17"/>
      <c r="R509" s="17"/>
      <c r="AC509" s="17"/>
    </row>
    <row r="510">
      <c r="A510" s="17"/>
      <c r="P510" s="17"/>
      <c r="R510" s="17"/>
      <c r="AC510" s="17"/>
    </row>
    <row r="511">
      <c r="A511" s="17"/>
      <c r="P511" s="17"/>
      <c r="R511" s="17"/>
      <c r="AC511" s="17"/>
    </row>
    <row r="512">
      <c r="A512" s="17"/>
      <c r="P512" s="17"/>
      <c r="R512" s="17"/>
      <c r="AC512" s="17"/>
    </row>
    <row r="513">
      <c r="A513" s="17"/>
      <c r="P513" s="17"/>
      <c r="R513" s="17"/>
      <c r="AC513" s="17"/>
    </row>
    <row r="514">
      <c r="A514" s="17"/>
      <c r="P514" s="17"/>
      <c r="R514" s="17"/>
      <c r="AC514" s="17"/>
    </row>
    <row r="515">
      <c r="A515" s="17"/>
      <c r="P515" s="17"/>
      <c r="R515" s="17"/>
      <c r="AC515" s="17"/>
    </row>
    <row r="516">
      <c r="A516" s="17"/>
      <c r="P516" s="17"/>
      <c r="R516" s="17"/>
      <c r="AC516" s="17"/>
    </row>
    <row r="517">
      <c r="A517" s="17"/>
      <c r="P517" s="17"/>
      <c r="R517" s="17"/>
      <c r="AC517" s="17"/>
    </row>
    <row r="518">
      <c r="A518" s="17"/>
      <c r="P518" s="17"/>
      <c r="R518" s="17"/>
      <c r="AC518" s="17"/>
    </row>
    <row r="519">
      <c r="A519" s="17"/>
      <c r="P519" s="17"/>
      <c r="R519" s="17"/>
      <c r="AC519" s="17"/>
    </row>
    <row r="520">
      <c r="A520" s="17"/>
      <c r="P520" s="17"/>
      <c r="R520" s="17"/>
      <c r="AC520" s="17"/>
    </row>
    <row r="521">
      <c r="A521" s="17"/>
      <c r="P521" s="17"/>
      <c r="R521" s="17"/>
      <c r="AC521" s="17"/>
    </row>
    <row r="522">
      <c r="A522" s="17"/>
      <c r="P522" s="17"/>
      <c r="R522" s="17"/>
      <c r="AC522" s="17"/>
    </row>
    <row r="523">
      <c r="A523" s="17"/>
      <c r="P523" s="17"/>
      <c r="R523" s="17"/>
      <c r="AC523" s="17"/>
    </row>
    <row r="524">
      <c r="A524" s="17"/>
      <c r="P524" s="17"/>
      <c r="R524" s="17"/>
      <c r="AC524" s="17"/>
    </row>
    <row r="525">
      <c r="A525" s="17"/>
      <c r="P525" s="17"/>
      <c r="R525" s="17"/>
      <c r="AC525" s="17"/>
    </row>
    <row r="526">
      <c r="A526" s="17"/>
      <c r="P526" s="17"/>
      <c r="R526" s="17"/>
      <c r="AC526" s="17"/>
    </row>
    <row r="527">
      <c r="A527" s="17"/>
      <c r="P527" s="17"/>
      <c r="R527" s="17"/>
      <c r="AC527" s="17"/>
    </row>
    <row r="528">
      <c r="A528" s="17"/>
      <c r="P528" s="17"/>
      <c r="R528" s="17"/>
      <c r="AC528" s="17"/>
    </row>
    <row r="529">
      <c r="A529" s="17"/>
      <c r="P529" s="17"/>
      <c r="R529" s="17"/>
      <c r="AC529" s="17"/>
    </row>
    <row r="530">
      <c r="A530" s="17"/>
      <c r="P530" s="17"/>
      <c r="R530" s="17"/>
      <c r="AC530" s="17"/>
    </row>
    <row r="531">
      <c r="A531" s="17"/>
      <c r="P531" s="17"/>
      <c r="R531" s="17"/>
      <c r="AC531" s="17"/>
    </row>
    <row r="532">
      <c r="A532" s="17"/>
      <c r="P532" s="17"/>
      <c r="R532" s="17"/>
      <c r="AC532" s="17"/>
    </row>
    <row r="533">
      <c r="A533" s="17"/>
      <c r="P533" s="17"/>
      <c r="R533" s="17"/>
      <c r="AC533" s="17"/>
    </row>
    <row r="534">
      <c r="A534" s="17"/>
      <c r="P534" s="17"/>
      <c r="R534" s="17"/>
      <c r="AC534" s="17"/>
    </row>
    <row r="535">
      <c r="A535" s="17"/>
      <c r="P535" s="17"/>
      <c r="R535" s="17"/>
      <c r="AC535" s="17"/>
    </row>
    <row r="536">
      <c r="A536" s="17"/>
      <c r="P536" s="17"/>
      <c r="R536" s="17"/>
      <c r="AC536" s="17"/>
    </row>
    <row r="537">
      <c r="A537" s="17"/>
      <c r="P537" s="17"/>
      <c r="R537" s="17"/>
      <c r="AC537" s="17"/>
    </row>
    <row r="538">
      <c r="A538" s="17"/>
      <c r="P538" s="17"/>
      <c r="R538" s="17"/>
      <c r="AC538" s="17"/>
    </row>
    <row r="539">
      <c r="A539" s="17"/>
      <c r="P539" s="17"/>
      <c r="R539" s="17"/>
      <c r="AC539" s="17"/>
    </row>
    <row r="540">
      <c r="A540" s="17"/>
      <c r="P540" s="17"/>
      <c r="R540" s="17"/>
      <c r="AC540" s="17"/>
    </row>
    <row r="541">
      <c r="A541" s="17"/>
      <c r="P541" s="17"/>
      <c r="R541" s="17"/>
      <c r="AC541" s="17"/>
    </row>
    <row r="542">
      <c r="A542" s="17"/>
      <c r="P542" s="17"/>
      <c r="R542" s="17"/>
      <c r="AC542" s="17"/>
    </row>
    <row r="543">
      <c r="A543" s="17"/>
      <c r="P543" s="17"/>
      <c r="R543" s="17"/>
      <c r="AC543" s="17"/>
    </row>
    <row r="544">
      <c r="A544" s="17"/>
      <c r="P544" s="17"/>
      <c r="R544" s="17"/>
      <c r="AC544" s="17"/>
    </row>
    <row r="545">
      <c r="A545" s="17"/>
      <c r="P545" s="17"/>
      <c r="R545" s="17"/>
      <c r="AC545" s="17"/>
    </row>
    <row r="546">
      <c r="A546" s="17"/>
      <c r="P546" s="17"/>
      <c r="R546" s="17"/>
      <c r="AC546" s="17"/>
    </row>
    <row r="547">
      <c r="A547" s="17"/>
      <c r="P547" s="17"/>
      <c r="R547" s="17"/>
      <c r="AC547" s="17"/>
    </row>
    <row r="548">
      <c r="A548" s="17"/>
      <c r="P548" s="17"/>
      <c r="R548" s="17"/>
      <c r="AC548" s="17"/>
    </row>
    <row r="549">
      <c r="A549" s="17"/>
      <c r="P549" s="17"/>
      <c r="R549" s="17"/>
      <c r="AC549" s="17"/>
    </row>
    <row r="550">
      <c r="A550" s="17"/>
      <c r="P550" s="17"/>
      <c r="R550" s="17"/>
      <c r="AC550" s="17"/>
    </row>
    <row r="551">
      <c r="A551" s="17"/>
      <c r="P551" s="17"/>
      <c r="R551" s="17"/>
      <c r="AC551" s="17"/>
    </row>
    <row r="552">
      <c r="A552" s="17"/>
      <c r="P552" s="17"/>
      <c r="R552" s="17"/>
      <c r="AC552" s="17"/>
    </row>
    <row r="553">
      <c r="A553" s="17"/>
      <c r="P553" s="17"/>
      <c r="R553" s="17"/>
      <c r="AC553" s="17"/>
    </row>
    <row r="554">
      <c r="A554" s="17"/>
      <c r="P554" s="17"/>
      <c r="R554" s="17"/>
      <c r="AC554" s="17"/>
    </row>
    <row r="555">
      <c r="A555" s="17"/>
      <c r="P555" s="17"/>
      <c r="R555" s="17"/>
      <c r="AC555" s="17"/>
    </row>
    <row r="556">
      <c r="A556" s="17"/>
      <c r="P556" s="17"/>
      <c r="R556" s="17"/>
      <c r="AC556" s="17"/>
    </row>
    <row r="557">
      <c r="A557" s="17"/>
      <c r="P557" s="17"/>
      <c r="R557" s="17"/>
      <c r="AC557" s="17"/>
    </row>
    <row r="558">
      <c r="A558" s="17"/>
      <c r="P558" s="17"/>
      <c r="R558" s="17"/>
      <c r="AC558" s="17"/>
    </row>
    <row r="559">
      <c r="A559" s="17"/>
      <c r="P559" s="17"/>
      <c r="R559" s="17"/>
      <c r="AC559" s="17"/>
    </row>
    <row r="560">
      <c r="A560" s="17"/>
      <c r="P560" s="17"/>
      <c r="R560" s="17"/>
      <c r="AC560" s="17"/>
    </row>
    <row r="561">
      <c r="A561" s="17"/>
      <c r="P561" s="17"/>
      <c r="R561" s="17"/>
      <c r="AC561" s="17"/>
    </row>
    <row r="562">
      <c r="A562" s="17"/>
      <c r="P562" s="17"/>
      <c r="R562" s="17"/>
      <c r="AC562" s="17"/>
    </row>
    <row r="563">
      <c r="A563" s="17"/>
      <c r="P563" s="17"/>
      <c r="R563" s="17"/>
      <c r="AC563" s="17"/>
    </row>
    <row r="564">
      <c r="A564" s="17"/>
      <c r="P564" s="17"/>
      <c r="R564" s="17"/>
      <c r="AC564" s="17"/>
    </row>
    <row r="565">
      <c r="A565" s="17"/>
      <c r="P565" s="17"/>
      <c r="R565" s="17"/>
      <c r="AC565" s="17"/>
    </row>
    <row r="566">
      <c r="A566" s="17"/>
      <c r="P566" s="17"/>
      <c r="R566" s="17"/>
      <c r="AC566" s="17"/>
    </row>
    <row r="567">
      <c r="A567" s="17"/>
      <c r="P567" s="17"/>
      <c r="R567" s="17"/>
      <c r="AC567" s="17"/>
    </row>
    <row r="568">
      <c r="A568" s="17"/>
      <c r="P568" s="17"/>
      <c r="R568" s="17"/>
      <c r="AC568" s="17"/>
    </row>
    <row r="569">
      <c r="A569" s="17"/>
      <c r="P569" s="17"/>
      <c r="R569" s="17"/>
      <c r="AC569" s="17"/>
    </row>
    <row r="570">
      <c r="A570" s="17"/>
      <c r="P570" s="17"/>
      <c r="R570" s="17"/>
      <c r="AC570" s="17"/>
    </row>
    <row r="571">
      <c r="A571" s="17"/>
      <c r="P571" s="17"/>
      <c r="R571" s="17"/>
      <c r="AC571" s="17"/>
    </row>
    <row r="572">
      <c r="A572" s="17"/>
      <c r="P572" s="17"/>
      <c r="R572" s="17"/>
      <c r="AC572" s="17"/>
    </row>
    <row r="573">
      <c r="A573" s="17"/>
      <c r="P573" s="17"/>
      <c r="R573" s="17"/>
      <c r="AC573" s="17"/>
    </row>
    <row r="574">
      <c r="A574" s="17"/>
      <c r="P574" s="17"/>
      <c r="R574" s="17"/>
      <c r="AC574" s="17"/>
    </row>
    <row r="575">
      <c r="A575" s="17"/>
      <c r="P575" s="17"/>
      <c r="R575" s="17"/>
      <c r="AC575" s="17"/>
    </row>
    <row r="576">
      <c r="A576" s="17"/>
      <c r="P576" s="17"/>
      <c r="R576" s="17"/>
      <c r="AC576" s="17"/>
    </row>
    <row r="577">
      <c r="A577" s="17"/>
      <c r="P577" s="17"/>
      <c r="R577" s="17"/>
      <c r="AC577" s="17"/>
    </row>
    <row r="578">
      <c r="A578" s="17"/>
      <c r="P578" s="17"/>
      <c r="R578" s="17"/>
      <c r="AC578" s="17"/>
    </row>
    <row r="579">
      <c r="A579" s="17"/>
      <c r="P579" s="17"/>
      <c r="R579" s="17"/>
      <c r="AC579" s="17"/>
    </row>
    <row r="580">
      <c r="A580" s="17"/>
      <c r="P580" s="17"/>
      <c r="R580" s="17"/>
      <c r="AC580" s="17"/>
    </row>
    <row r="581">
      <c r="A581" s="17"/>
      <c r="P581" s="17"/>
      <c r="R581" s="17"/>
      <c r="AC581" s="17"/>
    </row>
    <row r="582">
      <c r="A582" s="17"/>
      <c r="P582" s="17"/>
      <c r="R582" s="17"/>
      <c r="AC582" s="17"/>
    </row>
    <row r="583">
      <c r="A583" s="17"/>
      <c r="P583" s="17"/>
      <c r="R583" s="17"/>
      <c r="AC583" s="17"/>
    </row>
    <row r="584">
      <c r="A584" s="17"/>
      <c r="P584" s="17"/>
      <c r="R584" s="17"/>
      <c r="AC584" s="17"/>
    </row>
    <row r="585">
      <c r="A585" s="17"/>
      <c r="P585" s="17"/>
      <c r="R585" s="17"/>
      <c r="AC585" s="17"/>
    </row>
    <row r="586">
      <c r="A586" s="17"/>
      <c r="P586" s="17"/>
      <c r="R586" s="17"/>
      <c r="AC586" s="17"/>
    </row>
    <row r="587">
      <c r="A587" s="17"/>
      <c r="P587" s="17"/>
      <c r="R587" s="17"/>
      <c r="AC587" s="17"/>
    </row>
    <row r="588">
      <c r="A588" s="17"/>
      <c r="P588" s="17"/>
      <c r="R588" s="17"/>
      <c r="AC588" s="17"/>
    </row>
    <row r="589">
      <c r="A589" s="17"/>
      <c r="P589" s="17"/>
      <c r="R589" s="17"/>
      <c r="AC589" s="17"/>
    </row>
    <row r="590">
      <c r="A590" s="17"/>
      <c r="P590" s="17"/>
      <c r="R590" s="17"/>
      <c r="AC590" s="17"/>
    </row>
    <row r="591">
      <c r="A591" s="17"/>
      <c r="P591" s="17"/>
      <c r="R591" s="17"/>
      <c r="AC591" s="17"/>
    </row>
    <row r="592">
      <c r="A592" s="17"/>
      <c r="P592" s="17"/>
      <c r="R592" s="17"/>
      <c r="AC592" s="17"/>
    </row>
    <row r="593">
      <c r="A593" s="17"/>
      <c r="P593" s="17"/>
      <c r="R593" s="17"/>
      <c r="AC593" s="17"/>
    </row>
    <row r="594">
      <c r="A594" s="17"/>
      <c r="P594" s="17"/>
      <c r="R594" s="17"/>
      <c r="AC594" s="17"/>
    </row>
    <row r="595">
      <c r="A595" s="17"/>
      <c r="P595" s="17"/>
      <c r="R595" s="17"/>
      <c r="AC595" s="17"/>
    </row>
    <row r="596">
      <c r="A596" s="17"/>
      <c r="P596" s="17"/>
      <c r="R596" s="17"/>
      <c r="AC596" s="17"/>
    </row>
    <row r="597">
      <c r="A597" s="17"/>
      <c r="P597" s="17"/>
      <c r="R597" s="17"/>
      <c r="AC597" s="17"/>
    </row>
    <row r="598">
      <c r="A598" s="17"/>
      <c r="P598" s="17"/>
      <c r="R598" s="17"/>
      <c r="AC598" s="17"/>
    </row>
    <row r="599">
      <c r="A599" s="17"/>
      <c r="P599" s="17"/>
      <c r="R599" s="17"/>
      <c r="AC599" s="17"/>
    </row>
    <row r="600">
      <c r="A600" s="17"/>
      <c r="P600" s="17"/>
      <c r="R600" s="17"/>
      <c r="AC600" s="17"/>
    </row>
    <row r="601">
      <c r="A601" s="17"/>
      <c r="P601" s="17"/>
      <c r="R601" s="17"/>
      <c r="AC601" s="17"/>
    </row>
    <row r="602">
      <c r="A602" s="17"/>
      <c r="P602" s="17"/>
      <c r="R602" s="17"/>
      <c r="AC602" s="17"/>
    </row>
    <row r="603">
      <c r="A603" s="17"/>
      <c r="P603" s="17"/>
      <c r="R603" s="17"/>
      <c r="AC603" s="17"/>
    </row>
    <row r="604">
      <c r="A604" s="17"/>
      <c r="P604" s="17"/>
      <c r="R604" s="17"/>
      <c r="AC604" s="17"/>
    </row>
    <row r="605">
      <c r="A605" s="17"/>
      <c r="P605" s="17"/>
      <c r="R605" s="17"/>
      <c r="AC605" s="17"/>
    </row>
    <row r="606">
      <c r="A606" s="17"/>
      <c r="P606" s="17"/>
      <c r="R606" s="17"/>
      <c r="AC606" s="17"/>
    </row>
    <row r="607">
      <c r="A607" s="17"/>
      <c r="P607" s="17"/>
      <c r="R607" s="17"/>
      <c r="AC607" s="17"/>
    </row>
    <row r="608">
      <c r="A608" s="17"/>
      <c r="P608" s="17"/>
      <c r="R608" s="17"/>
      <c r="AC608" s="17"/>
    </row>
    <row r="609">
      <c r="A609" s="17"/>
      <c r="P609" s="17"/>
      <c r="R609" s="17"/>
      <c r="AC609" s="17"/>
    </row>
    <row r="610">
      <c r="A610" s="17"/>
      <c r="P610" s="17"/>
      <c r="R610" s="17"/>
      <c r="AC610" s="17"/>
    </row>
    <row r="611">
      <c r="A611" s="17"/>
      <c r="P611" s="17"/>
      <c r="R611" s="17"/>
      <c r="AC611" s="17"/>
    </row>
    <row r="612">
      <c r="A612" s="17"/>
      <c r="P612" s="17"/>
      <c r="R612" s="17"/>
      <c r="AC612" s="17"/>
    </row>
    <row r="613">
      <c r="A613" s="17"/>
      <c r="P613" s="17"/>
      <c r="R613" s="17"/>
      <c r="AC613" s="17"/>
    </row>
    <row r="614">
      <c r="A614" s="17"/>
      <c r="P614" s="17"/>
      <c r="R614" s="17"/>
      <c r="AC614" s="17"/>
    </row>
    <row r="615">
      <c r="A615" s="17"/>
      <c r="P615" s="17"/>
      <c r="R615" s="17"/>
      <c r="AC615" s="17"/>
    </row>
    <row r="616">
      <c r="A616" s="17"/>
      <c r="P616" s="17"/>
      <c r="R616" s="17"/>
      <c r="AC616" s="17"/>
    </row>
    <row r="617">
      <c r="A617" s="17"/>
      <c r="P617" s="17"/>
      <c r="R617" s="17"/>
      <c r="AC617" s="17"/>
    </row>
    <row r="618">
      <c r="A618" s="17"/>
      <c r="P618" s="17"/>
      <c r="R618" s="17"/>
      <c r="AC618" s="17"/>
    </row>
    <row r="619">
      <c r="A619" s="17"/>
      <c r="P619" s="17"/>
      <c r="R619" s="17"/>
      <c r="AC619" s="17"/>
    </row>
    <row r="620">
      <c r="A620" s="17"/>
      <c r="P620" s="17"/>
      <c r="R620" s="17"/>
      <c r="AC620" s="17"/>
    </row>
    <row r="621">
      <c r="A621" s="17"/>
      <c r="P621" s="17"/>
      <c r="R621" s="17"/>
      <c r="AC621" s="17"/>
    </row>
    <row r="622">
      <c r="A622" s="17"/>
      <c r="P622" s="17"/>
      <c r="R622" s="17"/>
      <c r="AC622" s="17"/>
    </row>
    <row r="623">
      <c r="A623" s="17"/>
      <c r="P623" s="17"/>
      <c r="R623" s="17"/>
      <c r="AC623" s="17"/>
    </row>
    <row r="624">
      <c r="A624" s="17"/>
      <c r="P624" s="17"/>
      <c r="R624" s="17"/>
      <c r="AC624" s="17"/>
    </row>
    <row r="625">
      <c r="A625" s="17"/>
      <c r="P625" s="17"/>
      <c r="R625" s="17"/>
      <c r="AC625" s="17"/>
    </row>
    <row r="626">
      <c r="A626" s="17"/>
      <c r="P626" s="17"/>
      <c r="R626" s="17"/>
      <c r="AC626" s="17"/>
    </row>
    <row r="627">
      <c r="A627" s="17"/>
      <c r="P627" s="17"/>
      <c r="R627" s="17"/>
      <c r="AC627" s="17"/>
    </row>
    <row r="628">
      <c r="A628" s="17"/>
      <c r="P628" s="17"/>
      <c r="R628" s="17"/>
      <c r="AC628" s="17"/>
    </row>
    <row r="629">
      <c r="A629" s="17"/>
      <c r="P629" s="17"/>
      <c r="R629" s="17"/>
      <c r="AC629" s="17"/>
    </row>
    <row r="630">
      <c r="A630" s="17"/>
      <c r="P630" s="17"/>
      <c r="R630" s="17"/>
      <c r="AC630" s="17"/>
    </row>
    <row r="631">
      <c r="A631" s="17"/>
      <c r="P631" s="17"/>
      <c r="R631" s="17"/>
      <c r="AC631" s="17"/>
    </row>
    <row r="632">
      <c r="A632" s="17"/>
      <c r="P632" s="17"/>
      <c r="R632" s="17"/>
      <c r="AC632" s="17"/>
    </row>
    <row r="633">
      <c r="A633" s="17"/>
      <c r="P633" s="17"/>
      <c r="R633" s="17"/>
      <c r="AC633" s="17"/>
    </row>
    <row r="634">
      <c r="A634" s="17"/>
      <c r="P634" s="17"/>
      <c r="R634" s="17"/>
      <c r="AC634" s="17"/>
    </row>
    <row r="635">
      <c r="A635" s="17"/>
      <c r="P635" s="17"/>
      <c r="R635" s="17"/>
      <c r="AC635" s="17"/>
    </row>
    <row r="636">
      <c r="A636" s="17"/>
      <c r="P636" s="17"/>
      <c r="R636" s="17"/>
      <c r="AC636" s="17"/>
    </row>
    <row r="637">
      <c r="A637" s="17"/>
      <c r="P637" s="17"/>
      <c r="R637" s="17"/>
      <c r="AC637" s="17"/>
    </row>
    <row r="638">
      <c r="A638" s="17"/>
      <c r="P638" s="17"/>
      <c r="R638" s="17"/>
      <c r="AC638" s="17"/>
    </row>
    <row r="639">
      <c r="A639" s="17"/>
      <c r="P639" s="17"/>
      <c r="R639" s="17"/>
      <c r="AC639" s="17"/>
    </row>
    <row r="640">
      <c r="A640" s="17"/>
      <c r="P640" s="17"/>
      <c r="R640" s="17"/>
      <c r="AC640" s="17"/>
    </row>
    <row r="641">
      <c r="A641" s="17"/>
      <c r="P641" s="17"/>
      <c r="R641" s="17"/>
      <c r="AC641" s="17"/>
    </row>
    <row r="642">
      <c r="A642" s="17"/>
      <c r="P642" s="17"/>
      <c r="R642" s="17"/>
      <c r="AC642" s="17"/>
    </row>
    <row r="643">
      <c r="A643" s="17"/>
      <c r="P643" s="17"/>
      <c r="R643" s="17"/>
      <c r="AC643" s="17"/>
    </row>
    <row r="644">
      <c r="A644" s="17"/>
      <c r="P644" s="17"/>
      <c r="R644" s="17"/>
      <c r="AC644" s="17"/>
    </row>
    <row r="645">
      <c r="A645" s="17"/>
      <c r="P645" s="17"/>
      <c r="R645" s="17"/>
      <c r="AC645" s="17"/>
    </row>
    <row r="646">
      <c r="A646" s="17"/>
      <c r="P646" s="17"/>
      <c r="R646" s="17"/>
      <c r="AC646" s="17"/>
    </row>
    <row r="647">
      <c r="A647" s="17"/>
      <c r="P647" s="17"/>
      <c r="R647" s="17"/>
      <c r="AC647" s="17"/>
    </row>
    <row r="648">
      <c r="A648" s="17"/>
      <c r="P648" s="17"/>
      <c r="R648" s="17"/>
      <c r="AC648" s="17"/>
    </row>
    <row r="649">
      <c r="A649" s="17"/>
      <c r="P649" s="17"/>
      <c r="R649" s="17"/>
      <c r="AC649" s="17"/>
    </row>
    <row r="650">
      <c r="A650" s="17"/>
      <c r="P650" s="17"/>
      <c r="R650" s="17"/>
      <c r="AC650" s="17"/>
    </row>
    <row r="651">
      <c r="A651" s="17"/>
      <c r="P651" s="17"/>
      <c r="R651" s="17"/>
      <c r="AC651" s="17"/>
    </row>
    <row r="652">
      <c r="A652" s="17"/>
      <c r="P652" s="17"/>
      <c r="R652" s="17"/>
      <c r="AC652" s="17"/>
    </row>
    <row r="653">
      <c r="A653" s="17"/>
      <c r="P653" s="17"/>
      <c r="R653" s="17"/>
      <c r="AC653" s="17"/>
    </row>
    <row r="654">
      <c r="A654" s="17"/>
      <c r="P654" s="17"/>
      <c r="R654" s="17"/>
      <c r="AC654" s="17"/>
    </row>
    <row r="655">
      <c r="A655" s="17"/>
      <c r="P655" s="17"/>
      <c r="R655" s="17"/>
      <c r="AC655" s="17"/>
    </row>
    <row r="656">
      <c r="A656" s="17"/>
      <c r="P656" s="17"/>
      <c r="R656" s="17"/>
      <c r="AC656" s="17"/>
    </row>
    <row r="657">
      <c r="A657" s="17"/>
      <c r="P657" s="17"/>
      <c r="R657" s="17"/>
      <c r="AC657" s="17"/>
    </row>
    <row r="658">
      <c r="A658" s="17"/>
      <c r="P658" s="17"/>
      <c r="R658" s="17"/>
      <c r="AC658" s="17"/>
    </row>
    <row r="659">
      <c r="A659" s="17"/>
      <c r="P659" s="17"/>
      <c r="R659" s="17"/>
      <c r="AC659" s="17"/>
    </row>
    <row r="660">
      <c r="A660" s="17"/>
      <c r="P660" s="17"/>
      <c r="R660" s="17"/>
      <c r="AC660" s="17"/>
    </row>
    <row r="661">
      <c r="A661" s="17"/>
      <c r="P661" s="17"/>
      <c r="R661" s="17"/>
      <c r="AC661" s="17"/>
    </row>
    <row r="662">
      <c r="A662" s="17"/>
      <c r="P662" s="17"/>
      <c r="R662" s="17"/>
      <c r="AC662" s="17"/>
    </row>
    <row r="663">
      <c r="A663" s="17"/>
      <c r="P663" s="17"/>
      <c r="R663" s="17"/>
      <c r="AC663" s="17"/>
    </row>
    <row r="664">
      <c r="A664" s="17"/>
      <c r="P664" s="17"/>
      <c r="R664" s="17"/>
      <c r="AC664" s="17"/>
    </row>
    <row r="665">
      <c r="A665" s="17"/>
      <c r="P665" s="17"/>
      <c r="R665" s="17"/>
      <c r="AC665" s="17"/>
    </row>
    <row r="666">
      <c r="A666" s="17"/>
      <c r="P666" s="17"/>
      <c r="R666" s="17"/>
      <c r="AC666" s="17"/>
    </row>
    <row r="667">
      <c r="A667" s="17"/>
      <c r="P667" s="17"/>
      <c r="R667" s="17"/>
      <c r="AC667" s="17"/>
    </row>
    <row r="668">
      <c r="A668" s="17"/>
      <c r="P668" s="17"/>
      <c r="R668" s="17"/>
      <c r="AC668" s="17"/>
    </row>
    <row r="669">
      <c r="A669" s="17"/>
      <c r="P669" s="17"/>
      <c r="R669" s="17"/>
      <c r="AC669" s="17"/>
    </row>
    <row r="670">
      <c r="A670" s="17"/>
      <c r="P670" s="17"/>
      <c r="R670" s="17"/>
      <c r="AC670" s="17"/>
    </row>
    <row r="671">
      <c r="A671" s="17"/>
      <c r="P671" s="17"/>
      <c r="R671" s="17"/>
      <c r="AC671" s="17"/>
    </row>
    <row r="672">
      <c r="A672" s="17"/>
      <c r="P672" s="17"/>
      <c r="R672" s="17"/>
      <c r="AC672" s="17"/>
    </row>
    <row r="673">
      <c r="A673" s="17"/>
      <c r="P673" s="17"/>
      <c r="R673" s="17"/>
      <c r="AC673" s="17"/>
    </row>
    <row r="674">
      <c r="A674" s="17"/>
      <c r="P674" s="17"/>
      <c r="R674" s="17"/>
      <c r="AC674" s="17"/>
    </row>
    <row r="675">
      <c r="A675" s="17"/>
      <c r="P675" s="17"/>
      <c r="R675" s="17"/>
      <c r="AC675" s="17"/>
    </row>
    <row r="676">
      <c r="A676" s="17"/>
      <c r="P676" s="17"/>
      <c r="R676" s="17"/>
      <c r="AC676" s="17"/>
    </row>
    <row r="677">
      <c r="A677" s="17"/>
      <c r="P677" s="17"/>
      <c r="R677" s="17"/>
      <c r="AC677" s="17"/>
    </row>
    <row r="678">
      <c r="A678" s="17"/>
      <c r="P678" s="17"/>
      <c r="R678" s="17"/>
      <c r="AC678" s="17"/>
    </row>
    <row r="679">
      <c r="A679" s="17"/>
      <c r="P679" s="17"/>
      <c r="R679" s="17"/>
      <c r="AC679" s="17"/>
    </row>
    <row r="680">
      <c r="A680" s="17"/>
      <c r="P680" s="17"/>
      <c r="R680" s="17"/>
      <c r="AC680" s="17"/>
    </row>
    <row r="681">
      <c r="A681" s="17"/>
      <c r="P681" s="17"/>
      <c r="R681" s="17"/>
      <c r="AC681" s="17"/>
    </row>
    <row r="682">
      <c r="A682" s="17"/>
      <c r="P682" s="17"/>
      <c r="R682" s="17"/>
      <c r="AC682" s="17"/>
    </row>
    <row r="683">
      <c r="A683" s="17"/>
      <c r="P683" s="17"/>
      <c r="R683" s="17"/>
      <c r="AC683" s="17"/>
    </row>
    <row r="684">
      <c r="A684" s="17"/>
      <c r="P684" s="17"/>
      <c r="R684" s="17"/>
      <c r="AC684" s="17"/>
    </row>
    <row r="685">
      <c r="A685" s="17"/>
      <c r="P685" s="17"/>
      <c r="R685" s="17"/>
      <c r="AC685" s="17"/>
    </row>
    <row r="686">
      <c r="A686" s="17"/>
      <c r="P686" s="17"/>
      <c r="R686" s="17"/>
      <c r="AC686" s="17"/>
    </row>
    <row r="687">
      <c r="A687" s="17"/>
      <c r="P687" s="17"/>
      <c r="R687" s="17"/>
      <c r="AC687" s="17"/>
    </row>
    <row r="688">
      <c r="A688" s="17"/>
      <c r="P688" s="17"/>
      <c r="R688" s="17"/>
      <c r="AC688" s="17"/>
    </row>
    <row r="689">
      <c r="A689" s="17"/>
      <c r="P689" s="17"/>
      <c r="R689" s="17"/>
      <c r="AC689" s="17"/>
    </row>
    <row r="690">
      <c r="A690" s="17"/>
      <c r="P690" s="17"/>
      <c r="R690" s="17"/>
      <c r="AC690" s="17"/>
    </row>
    <row r="691">
      <c r="A691" s="17"/>
      <c r="P691" s="17"/>
      <c r="R691" s="17"/>
      <c r="AC691" s="17"/>
    </row>
    <row r="692">
      <c r="A692" s="17"/>
      <c r="P692" s="17"/>
      <c r="R692" s="17"/>
      <c r="AC692" s="17"/>
    </row>
    <row r="693">
      <c r="A693" s="17"/>
      <c r="P693" s="17"/>
      <c r="R693" s="17"/>
      <c r="AC693" s="17"/>
    </row>
    <row r="694">
      <c r="A694" s="17"/>
      <c r="P694" s="17"/>
      <c r="R694" s="17"/>
      <c r="AC694" s="17"/>
    </row>
    <row r="695">
      <c r="A695" s="17"/>
      <c r="P695" s="17"/>
      <c r="R695" s="17"/>
      <c r="AC695" s="17"/>
    </row>
    <row r="696">
      <c r="A696" s="17"/>
      <c r="P696" s="17"/>
      <c r="R696" s="17"/>
      <c r="AC696" s="17"/>
    </row>
    <row r="697">
      <c r="A697" s="17"/>
      <c r="P697" s="17"/>
      <c r="R697" s="17"/>
      <c r="AC697" s="17"/>
    </row>
    <row r="698">
      <c r="A698" s="17"/>
      <c r="P698" s="17"/>
      <c r="R698" s="17"/>
      <c r="AC698" s="17"/>
    </row>
    <row r="699">
      <c r="A699" s="17"/>
      <c r="P699" s="17"/>
      <c r="R699" s="17"/>
      <c r="AC699" s="17"/>
    </row>
    <row r="700">
      <c r="A700" s="17"/>
      <c r="P700" s="17"/>
      <c r="R700" s="17"/>
      <c r="AC700" s="17"/>
    </row>
    <row r="701">
      <c r="A701" s="17"/>
      <c r="P701" s="17"/>
      <c r="R701" s="17"/>
      <c r="AC701" s="17"/>
    </row>
    <row r="702">
      <c r="A702" s="17"/>
      <c r="P702" s="17"/>
      <c r="R702" s="17"/>
      <c r="AC702" s="17"/>
    </row>
    <row r="703">
      <c r="A703" s="17"/>
      <c r="P703" s="17"/>
      <c r="R703" s="17"/>
      <c r="AC703" s="17"/>
    </row>
    <row r="704">
      <c r="A704" s="17"/>
      <c r="P704" s="17"/>
      <c r="R704" s="17"/>
      <c r="AC704" s="17"/>
    </row>
    <row r="705">
      <c r="A705" s="17"/>
      <c r="P705" s="17"/>
      <c r="R705" s="17"/>
      <c r="AC705" s="17"/>
    </row>
    <row r="706">
      <c r="A706" s="17"/>
      <c r="P706" s="17"/>
      <c r="R706" s="17"/>
      <c r="AC706" s="17"/>
    </row>
    <row r="707">
      <c r="A707" s="17"/>
      <c r="P707" s="17"/>
      <c r="R707" s="17"/>
      <c r="AC707" s="17"/>
    </row>
    <row r="708">
      <c r="A708" s="17"/>
      <c r="P708" s="17"/>
      <c r="R708" s="17"/>
      <c r="AC708" s="17"/>
    </row>
    <row r="709">
      <c r="A709" s="17"/>
      <c r="P709" s="17"/>
      <c r="R709" s="17"/>
      <c r="AC709" s="17"/>
    </row>
    <row r="710">
      <c r="A710" s="17"/>
      <c r="P710" s="17"/>
      <c r="R710" s="17"/>
      <c r="AC710" s="17"/>
    </row>
    <row r="711">
      <c r="A711" s="17"/>
      <c r="P711" s="17"/>
      <c r="R711" s="17"/>
      <c r="AC711" s="17"/>
    </row>
    <row r="712">
      <c r="A712" s="17"/>
      <c r="P712" s="17"/>
      <c r="R712" s="17"/>
      <c r="AC712" s="17"/>
    </row>
    <row r="713">
      <c r="A713" s="17"/>
      <c r="P713" s="17"/>
      <c r="R713" s="17"/>
      <c r="AC713" s="17"/>
    </row>
    <row r="714">
      <c r="A714" s="17"/>
      <c r="P714" s="17"/>
      <c r="R714" s="17"/>
      <c r="AC714" s="17"/>
    </row>
    <row r="715">
      <c r="A715" s="17"/>
      <c r="P715" s="17"/>
      <c r="R715" s="17"/>
      <c r="AC715" s="17"/>
    </row>
    <row r="716">
      <c r="A716" s="17"/>
      <c r="P716" s="17"/>
      <c r="R716" s="17"/>
      <c r="AC716" s="17"/>
    </row>
    <row r="717">
      <c r="A717" s="17"/>
      <c r="P717" s="17"/>
      <c r="R717" s="17"/>
      <c r="AC717" s="17"/>
    </row>
    <row r="718">
      <c r="A718" s="17"/>
      <c r="P718" s="17"/>
      <c r="R718" s="17"/>
      <c r="AC718" s="17"/>
    </row>
    <row r="719">
      <c r="A719" s="17"/>
      <c r="P719" s="17"/>
      <c r="R719" s="17"/>
      <c r="AC719" s="17"/>
    </row>
    <row r="720">
      <c r="A720" s="17"/>
      <c r="P720" s="17"/>
      <c r="R720" s="17"/>
      <c r="AC720" s="17"/>
    </row>
    <row r="721">
      <c r="A721" s="17"/>
      <c r="P721" s="17"/>
      <c r="R721" s="17"/>
      <c r="AC721" s="17"/>
    </row>
    <row r="722">
      <c r="A722" s="17"/>
      <c r="P722" s="17"/>
      <c r="R722" s="17"/>
      <c r="AC722" s="17"/>
    </row>
    <row r="723">
      <c r="A723" s="17"/>
      <c r="P723" s="17"/>
      <c r="R723" s="17"/>
      <c r="AC723" s="17"/>
    </row>
    <row r="724">
      <c r="A724" s="17"/>
      <c r="P724" s="17"/>
      <c r="R724" s="17"/>
      <c r="AC724" s="17"/>
    </row>
    <row r="725">
      <c r="A725" s="17"/>
      <c r="P725" s="17"/>
      <c r="R725" s="17"/>
      <c r="AC725" s="17"/>
    </row>
    <row r="726">
      <c r="A726" s="17"/>
      <c r="P726" s="17"/>
      <c r="R726" s="17"/>
      <c r="AC726" s="17"/>
    </row>
    <row r="727">
      <c r="A727" s="17"/>
      <c r="P727" s="17"/>
      <c r="R727" s="17"/>
      <c r="AC727" s="17"/>
    </row>
    <row r="728">
      <c r="A728" s="17"/>
      <c r="P728" s="17"/>
      <c r="R728" s="17"/>
      <c r="AC728" s="17"/>
    </row>
    <row r="729">
      <c r="A729" s="17"/>
      <c r="P729" s="17"/>
      <c r="R729" s="17"/>
      <c r="AC729" s="17"/>
    </row>
    <row r="730">
      <c r="A730" s="17"/>
      <c r="P730" s="17"/>
      <c r="R730" s="17"/>
      <c r="AC730" s="17"/>
    </row>
    <row r="731">
      <c r="A731" s="17"/>
      <c r="P731" s="17"/>
      <c r="R731" s="17"/>
      <c r="AC731" s="17"/>
    </row>
    <row r="732">
      <c r="A732" s="17"/>
      <c r="P732" s="17"/>
      <c r="R732" s="17"/>
      <c r="AC732" s="17"/>
    </row>
    <row r="733">
      <c r="A733" s="17"/>
      <c r="P733" s="17"/>
      <c r="R733" s="17"/>
      <c r="AC733" s="17"/>
    </row>
    <row r="734">
      <c r="A734" s="17"/>
      <c r="P734" s="17"/>
      <c r="R734" s="17"/>
      <c r="AC734" s="17"/>
    </row>
    <row r="735">
      <c r="A735" s="17"/>
      <c r="P735" s="17"/>
      <c r="R735" s="17"/>
      <c r="AC735" s="17"/>
    </row>
    <row r="736">
      <c r="A736" s="17"/>
      <c r="P736" s="17"/>
      <c r="R736" s="17"/>
      <c r="AC736" s="17"/>
    </row>
    <row r="737">
      <c r="A737" s="17"/>
      <c r="P737" s="17"/>
      <c r="R737" s="17"/>
      <c r="AC737" s="17"/>
    </row>
    <row r="738">
      <c r="A738" s="17"/>
      <c r="P738" s="17"/>
      <c r="R738" s="17"/>
      <c r="AC738" s="17"/>
    </row>
    <row r="739">
      <c r="A739" s="17"/>
      <c r="P739" s="17"/>
      <c r="R739" s="17"/>
      <c r="AC739" s="17"/>
    </row>
    <row r="740">
      <c r="A740" s="17"/>
      <c r="P740" s="17"/>
      <c r="R740" s="17"/>
      <c r="AC740" s="17"/>
    </row>
    <row r="741">
      <c r="A741" s="17"/>
      <c r="P741" s="17"/>
      <c r="R741" s="17"/>
      <c r="AC741" s="17"/>
    </row>
    <row r="742">
      <c r="A742" s="17"/>
      <c r="P742" s="17"/>
      <c r="R742" s="17"/>
      <c r="AC742" s="17"/>
    </row>
    <row r="743">
      <c r="A743" s="17"/>
      <c r="P743" s="17"/>
      <c r="R743" s="17"/>
      <c r="AC743" s="17"/>
    </row>
    <row r="744">
      <c r="A744" s="17"/>
      <c r="P744" s="17"/>
      <c r="R744" s="17"/>
      <c r="AC744" s="17"/>
    </row>
    <row r="745">
      <c r="A745" s="17"/>
      <c r="P745" s="17"/>
      <c r="R745" s="17"/>
      <c r="AC745" s="17"/>
    </row>
    <row r="746">
      <c r="A746" s="17"/>
      <c r="P746" s="17"/>
      <c r="R746" s="17"/>
      <c r="AC746" s="17"/>
    </row>
    <row r="747">
      <c r="A747" s="17"/>
      <c r="P747" s="17"/>
      <c r="R747" s="17"/>
      <c r="AC747" s="17"/>
    </row>
    <row r="748">
      <c r="A748" s="17"/>
      <c r="P748" s="17"/>
      <c r="R748" s="17"/>
      <c r="AC748" s="17"/>
    </row>
    <row r="749">
      <c r="A749" s="17"/>
      <c r="P749" s="17"/>
      <c r="R749" s="17"/>
      <c r="AC749" s="17"/>
    </row>
    <row r="750">
      <c r="A750" s="17"/>
      <c r="P750" s="17"/>
      <c r="R750" s="17"/>
      <c r="AC750" s="17"/>
    </row>
    <row r="751">
      <c r="A751" s="17"/>
      <c r="P751" s="17"/>
      <c r="R751" s="17"/>
      <c r="AC751" s="17"/>
    </row>
    <row r="752">
      <c r="A752" s="17"/>
      <c r="P752" s="17"/>
      <c r="R752" s="17"/>
      <c r="AC752" s="17"/>
    </row>
    <row r="753">
      <c r="A753" s="17"/>
      <c r="P753" s="17"/>
      <c r="R753" s="17"/>
      <c r="AC753" s="17"/>
    </row>
    <row r="754">
      <c r="A754" s="17"/>
      <c r="P754" s="17"/>
      <c r="R754" s="17"/>
      <c r="AC754" s="17"/>
    </row>
    <row r="755">
      <c r="A755" s="17"/>
      <c r="P755" s="17"/>
      <c r="R755" s="17"/>
      <c r="AC755" s="17"/>
    </row>
    <row r="756">
      <c r="A756" s="17"/>
      <c r="P756" s="17"/>
      <c r="R756" s="17"/>
      <c r="AC756" s="17"/>
    </row>
    <row r="757">
      <c r="A757" s="17"/>
      <c r="P757" s="17"/>
      <c r="R757" s="17"/>
      <c r="AC757" s="17"/>
    </row>
    <row r="758">
      <c r="A758" s="17"/>
      <c r="P758" s="17"/>
      <c r="R758" s="17"/>
      <c r="AC758" s="17"/>
    </row>
    <row r="759">
      <c r="A759" s="17"/>
      <c r="P759" s="17"/>
      <c r="R759" s="17"/>
      <c r="AC759" s="17"/>
    </row>
    <row r="760">
      <c r="A760" s="17"/>
      <c r="P760" s="17"/>
      <c r="R760" s="17"/>
      <c r="AC760" s="17"/>
    </row>
    <row r="761">
      <c r="A761" s="17"/>
      <c r="P761" s="17"/>
      <c r="R761" s="17"/>
      <c r="AC761" s="17"/>
    </row>
    <row r="762">
      <c r="A762" s="17"/>
      <c r="P762" s="17"/>
      <c r="R762" s="17"/>
      <c r="AC762" s="17"/>
    </row>
    <row r="763">
      <c r="A763" s="17"/>
      <c r="P763" s="17"/>
      <c r="R763" s="17"/>
      <c r="AC763" s="17"/>
    </row>
    <row r="764">
      <c r="A764" s="17"/>
      <c r="P764" s="17"/>
      <c r="R764" s="17"/>
      <c r="AC764" s="17"/>
    </row>
    <row r="765">
      <c r="A765" s="17"/>
      <c r="P765" s="17"/>
      <c r="R765" s="17"/>
      <c r="AC765" s="17"/>
    </row>
    <row r="766">
      <c r="A766" s="17"/>
      <c r="P766" s="17"/>
      <c r="R766" s="17"/>
      <c r="AC766" s="17"/>
    </row>
    <row r="767">
      <c r="A767" s="17"/>
      <c r="P767" s="17"/>
      <c r="R767" s="17"/>
      <c r="AC767" s="17"/>
    </row>
    <row r="768">
      <c r="A768" s="17"/>
      <c r="P768" s="17"/>
      <c r="R768" s="17"/>
      <c r="AC768" s="17"/>
    </row>
    <row r="769">
      <c r="A769" s="17"/>
      <c r="P769" s="17"/>
      <c r="R769" s="17"/>
      <c r="AC769" s="17"/>
    </row>
    <row r="770">
      <c r="A770" s="17"/>
      <c r="P770" s="17"/>
      <c r="R770" s="17"/>
      <c r="AC770" s="17"/>
    </row>
    <row r="771">
      <c r="A771" s="17"/>
      <c r="P771" s="17"/>
      <c r="R771" s="17"/>
      <c r="AC771" s="17"/>
    </row>
    <row r="772">
      <c r="A772" s="17"/>
      <c r="P772" s="17"/>
      <c r="R772" s="17"/>
      <c r="AC772" s="17"/>
    </row>
    <row r="773">
      <c r="A773" s="17"/>
      <c r="P773" s="17"/>
      <c r="R773" s="17"/>
      <c r="AC773" s="17"/>
    </row>
    <row r="774">
      <c r="A774" s="17"/>
      <c r="P774" s="17"/>
      <c r="R774" s="17"/>
      <c r="AC774" s="17"/>
    </row>
    <row r="775">
      <c r="A775" s="17"/>
      <c r="P775" s="17"/>
      <c r="R775" s="17"/>
      <c r="AC775" s="17"/>
    </row>
    <row r="776">
      <c r="A776" s="17"/>
      <c r="P776" s="17"/>
      <c r="R776" s="17"/>
      <c r="AC776" s="17"/>
    </row>
    <row r="777">
      <c r="A777" s="17"/>
      <c r="P777" s="17"/>
      <c r="R777" s="17"/>
      <c r="AC777" s="17"/>
    </row>
    <row r="778">
      <c r="A778" s="17"/>
      <c r="P778" s="17"/>
      <c r="R778" s="17"/>
      <c r="AC778" s="17"/>
    </row>
    <row r="779">
      <c r="A779" s="17"/>
      <c r="P779" s="17"/>
      <c r="R779" s="17"/>
      <c r="AC779" s="17"/>
    </row>
    <row r="780">
      <c r="A780" s="17"/>
      <c r="P780" s="17"/>
      <c r="R780" s="17"/>
      <c r="AC780" s="17"/>
    </row>
    <row r="781">
      <c r="A781" s="17"/>
      <c r="P781" s="17"/>
      <c r="R781" s="17"/>
      <c r="AC781" s="17"/>
    </row>
    <row r="782">
      <c r="A782" s="17"/>
      <c r="P782" s="17"/>
      <c r="R782" s="17"/>
      <c r="AC782" s="17"/>
    </row>
    <row r="783">
      <c r="A783" s="17"/>
      <c r="P783" s="17"/>
      <c r="R783" s="17"/>
      <c r="AC783" s="17"/>
    </row>
    <row r="784">
      <c r="A784" s="17"/>
      <c r="P784" s="17"/>
      <c r="R784" s="17"/>
      <c r="AC784" s="17"/>
    </row>
    <row r="785">
      <c r="A785" s="17"/>
      <c r="P785" s="17"/>
      <c r="R785" s="17"/>
      <c r="AC785" s="17"/>
    </row>
    <row r="786">
      <c r="A786" s="17"/>
      <c r="P786" s="17"/>
      <c r="R786" s="17"/>
      <c r="AC786" s="17"/>
    </row>
    <row r="787">
      <c r="A787" s="17"/>
      <c r="P787" s="17"/>
      <c r="R787" s="17"/>
      <c r="AC787" s="17"/>
    </row>
    <row r="788">
      <c r="A788" s="17"/>
      <c r="P788" s="17"/>
      <c r="R788" s="17"/>
      <c r="AC788" s="17"/>
    </row>
    <row r="789">
      <c r="A789" s="17"/>
      <c r="P789" s="17"/>
      <c r="R789" s="17"/>
      <c r="AC789" s="17"/>
    </row>
    <row r="790">
      <c r="A790" s="17"/>
      <c r="P790" s="17"/>
      <c r="R790" s="17"/>
      <c r="AC790" s="17"/>
    </row>
    <row r="791">
      <c r="A791" s="17"/>
      <c r="P791" s="17"/>
      <c r="R791" s="17"/>
      <c r="AC791" s="17"/>
    </row>
    <row r="792">
      <c r="A792" s="17"/>
      <c r="P792" s="17"/>
      <c r="R792" s="17"/>
      <c r="AC792" s="17"/>
    </row>
    <row r="793">
      <c r="A793" s="17"/>
      <c r="P793" s="17"/>
      <c r="R793" s="17"/>
      <c r="AC793" s="17"/>
    </row>
    <row r="794">
      <c r="A794" s="17"/>
      <c r="P794" s="17"/>
      <c r="R794" s="17"/>
      <c r="AC794" s="17"/>
    </row>
    <row r="795">
      <c r="A795" s="17"/>
      <c r="P795" s="17"/>
      <c r="R795" s="17"/>
      <c r="AC795" s="17"/>
    </row>
    <row r="796">
      <c r="A796" s="17"/>
      <c r="P796" s="17"/>
      <c r="R796" s="17"/>
      <c r="AC796" s="17"/>
    </row>
    <row r="797">
      <c r="A797" s="17"/>
      <c r="P797" s="17"/>
      <c r="R797" s="17"/>
      <c r="AC797" s="17"/>
    </row>
    <row r="798">
      <c r="A798" s="17"/>
      <c r="P798" s="17"/>
      <c r="R798" s="17"/>
      <c r="AC798" s="17"/>
    </row>
    <row r="799">
      <c r="A799" s="17"/>
      <c r="P799" s="17"/>
      <c r="R799" s="17"/>
      <c r="AC799" s="17"/>
    </row>
    <row r="800">
      <c r="A800" s="17"/>
      <c r="P800" s="17"/>
      <c r="R800" s="17"/>
      <c r="AC800" s="17"/>
    </row>
    <row r="801">
      <c r="A801" s="17"/>
      <c r="P801" s="17"/>
      <c r="R801" s="17"/>
      <c r="AC801" s="17"/>
    </row>
    <row r="802">
      <c r="A802" s="17"/>
      <c r="P802" s="17"/>
      <c r="R802" s="17"/>
      <c r="AC802" s="17"/>
    </row>
    <row r="803">
      <c r="A803" s="17"/>
      <c r="P803" s="17"/>
      <c r="R803" s="17"/>
      <c r="AC803" s="17"/>
    </row>
    <row r="804">
      <c r="A804" s="17"/>
      <c r="P804" s="17"/>
      <c r="R804" s="17"/>
      <c r="AC804" s="17"/>
    </row>
    <row r="805">
      <c r="A805" s="17"/>
      <c r="P805" s="17"/>
      <c r="R805" s="17"/>
      <c r="AC805" s="17"/>
    </row>
    <row r="806">
      <c r="A806" s="17"/>
      <c r="P806" s="17"/>
      <c r="R806" s="17"/>
      <c r="AC806" s="17"/>
    </row>
    <row r="807">
      <c r="A807" s="17"/>
      <c r="P807" s="17"/>
      <c r="R807" s="17"/>
      <c r="AC807" s="17"/>
    </row>
    <row r="808">
      <c r="A808" s="17"/>
      <c r="P808" s="17"/>
      <c r="R808" s="17"/>
      <c r="AC808" s="17"/>
    </row>
    <row r="809">
      <c r="A809" s="17"/>
      <c r="P809" s="17"/>
      <c r="R809" s="17"/>
      <c r="AC809" s="17"/>
    </row>
    <row r="810">
      <c r="A810" s="17"/>
      <c r="P810" s="17"/>
      <c r="R810" s="17"/>
      <c r="AC810" s="17"/>
    </row>
    <row r="811">
      <c r="A811" s="17"/>
      <c r="P811" s="17"/>
      <c r="R811" s="17"/>
      <c r="AC811" s="17"/>
    </row>
    <row r="812">
      <c r="A812" s="17"/>
      <c r="P812" s="17"/>
      <c r="R812" s="17"/>
      <c r="AC812" s="17"/>
    </row>
    <row r="813">
      <c r="A813" s="17"/>
      <c r="P813" s="17"/>
      <c r="R813" s="17"/>
      <c r="AC813" s="17"/>
    </row>
    <row r="814">
      <c r="A814" s="17"/>
      <c r="P814" s="17"/>
      <c r="R814" s="17"/>
      <c r="AC814" s="17"/>
    </row>
    <row r="815">
      <c r="A815" s="17"/>
      <c r="P815" s="17"/>
      <c r="R815" s="17"/>
      <c r="AC815" s="17"/>
    </row>
    <row r="816">
      <c r="A816" s="17"/>
      <c r="P816" s="17"/>
      <c r="R816" s="17"/>
      <c r="AC816" s="17"/>
    </row>
    <row r="817">
      <c r="A817" s="17"/>
      <c r="P817" s="17"/>
      <c r="R817" s="17"/>
      <c r="AC817" s="17"/>
    </row>
    <row r="818">
      <c r="A818" s="17"/>
      <c r="P818" s="17"/>
      <c r="R818" s="17"/>
      <c r="AC818" s="17"/>
    </row>
    <row r="819">
      <c r="A819" s="17"/>
      <c r="P819" s="17"/>
      <c r="R819" s="17"/>
      <c r="AC819" s="17"/>
    </row>
    <row r="820">
      <c r="A820" s="17"/>
      <c r="P820" s="17"/>
      <c r="R820" s="17"/>
      <c r="AC820" s="17"/>
    </row>
    <row r="821">
      <c r="A821" s="17"/>
      <c r="P821" s="17"/>
      <c r="R821" s="17"/>
      <c r="AC821" s="17"/>
    </row>
    <row r="822">
      <c r="A822" s="17"/>
      <c r="P822" s="17"/>
      <c r="R822" s="17"/>
      <c r="AC822" s="17"/>
    </row>
    <row r="823">
      <c r="A823" s="17"/>
      <c r="P823" s="17"/>
      <c r="R823" s="17"/>
      <c r="AC823" s="17"/>
    </row>
    <row r="824">
      <c r="A824" s="17"/>
      <c r="P824" s="17"/>
      <c r="R824" s="17"/>
      <c r="AC824" s="17"/>
    </row>
    <row r="825">
      <c r="A825" s="17"/>
      <c r="P825" s="17"/>
      <c r="R825" s="17"/>
      <c r="AC825" s="17"/>
    </row>
    <row r="826">
      <c r="A826" s="17"/>
      <c r="P826" s="17"/>
      <c r="R826" s="17"/>
      <c r="AC826" s="17"/>
    </row>
    <row r="827">
      <c r="A827" s="17"/>
      <c r="P827" s="17"/>
      <c r="R827" s="17"/>
      <c r="AC827" s="17"/>
    </row>
    <row r="828">
      <c r="A828" s="17"/>
      <c r="P828" s="17"/>
      <c r="R828" s="17"/>
      <c r="AC828" s="17"/>
    </row>
    <row r="829">
      <c r="A829" s="17"/>
      <c r="P829" s="17"/>
      <c r="R829" s="17"/>
      <c r="AC829" s="17"/>
    </row>
    <row r="830">
      <c r="A830" s="17"/>
      <c r="P830" s="17"/>
      <c r="R830" s="17"/>
      <c r="AC830" s="17"/>
    </row>
    <row r="831">
      <c r="A831" s="17"/>
      <c r="P831" s="17"/>
      <c r="R831" s="17"/>
      <c r="AC831" s="17"/>
    </row>
    <row r="832">
      <c r="A832" s="17"/>
      <c r="P832" s="17"/>
      <c r="R832" s="17"/>
      <c r="AC832" s="17"/>
    </row>
    <row r="833">
      <c r="A833" s="17"/>
      <c r="P833" s="17"/>
      <c r="R833" s="17"/>
      <c r="AC833" s="17"/>
    </row>
    <row r="834">
      <c r="A834" s="17"/>
      <c r="P834" s="17"/>
      <c r="R834" s="17"/>
      <c r="AC834" s="17"/>
    </row>
    <row r="835">
      <c r="A835" s="17"/>
      <c r="P835" s="17"/>
      <c r="R835" s="17"/>
      <c r="AC835" s="17"/>
    </row>
    <row r="836">
      <c r="A836" s="17"/>
      <c r="P836" s="17"/>
      <c r="R836" s="17"/>
      <c r="AC836" s="17"/>
    </row>
    <row r="837">
      <c r="A837" s="17"/>
      <c r="P837" s="17"/>
      <c r="R837" s="17"/>
      <c r="AC837" s="17"/>
    </row>
    <row r="838">
      <c r="A838" s="17"/>
      <c r="P838" s="17"/>
      <c r="R838" s="17"/>
      <c r="AC838" s="17"/>
    </row>
    <row r="839">
      <c r="A839" s="17"/>
      <c r="P839" s="17"/>
      <c r="R839" s="17"/>
      <c r="AC839" s="17"/>
    </row>
    <row r="840">
      <c r="A840" s="17"/>
      <c r="P840" s="17"/>
      <c r="R840" s="17"/>
      <c r="AC840" s="17"/>
    </row>
    <row r="841">
      <c r="A841" s="17"/>
      <c r="P841" s="17"/>
      <c r="R841" s="17"/>
      <c r="AC841" s="17"/>
    </row>
    <row r="842">
      <c r="A842" s="17"/>
      <c r="P842" s="17"/>
      <c r="R842" s="17"/>
      <c r="AC842" s="17"/>
    </row>
    <row r="843">
      <c r="A843" s="17"/>
      <c r="P843" s="17"/>
      <c r="R843" s="17"/>
      <c r="AC843" s="17"/>
    </row>
    <row r="844">
      <c r="A844" s="17"/>
      <c r="P844" s="17"/>
      <c r="R844" s="17"/>
      <c r="AC844" s="17"/>
    </row>
    <row r="845">
      <c r="A845" s="17"/>
      <c r="P845" s="17"/>
      <c r="R845" s="17"/>
      <c r="AC845" s="17"/>
    </row>
    <row r="846">
      <c r="A846" s="17"/>
      <c r="P846" s="17"/>
      <c r="R846" s="17"/>
      <c r="AC846" s="17"/>
    </row>
    <row r="847">
      <c r="A847" s="17"/>
      <c r="P847" s="17"/>
      <c r="R847" s="17"/>
      <c r="AC847" s="17"/>
    </row>
    <row r="848">
      <c r="A848" s="17"/>
      <c r="P848" s="17"/>
      <c r="R848" s="17"/>
      <c r="AC848" s="17"/>
    </row>
    <row r="849">
      <c r="A849" s="17"/>
      <c r="P849" s="17"/>
      <c r="R849" s="17"/>
      <c r="AC849" s="17"/>
    </row>
    <row r="850">
      <c r="A850" s="17"/>
      <c r="P850" s="17"/>
      <c r="R850" s="17"/>
      <c r="AC850" s="17"/>
    </row>
    <row r="851">
      <c r="A851" s="17"/>
      <c r="P851" s="17"/>
      <c r="R851" s="17"/>
      <c r="AC851" s="17"/>
    </row>
    <row r="852">
      <c r="A852" s="17"/>
      <c r="P852" s="17"/>
      <c r="R852" s="17"/>
      <c r="AC852" s="17"/>
    </row>
    <row r="853">
      <c r="A853" s="17"/>
      <c r="P853" s="17"/>
      <c r="R853" s="17"/>
      <c r="AC853" s="17"/>
    </row>
    <row r="854">
      <c r="A854" s="17"/>
      <c r="P854" s="17"/>
      <c r="R854" s="17"/>
      <c r="AC854" s="17"/>
    </row>
    <row r="855">
      <c r="A855" s="17"/>
      <c r="P855" s="17"/>
      <c r="R855" s="17"/>
      <c r="AC855" s="17"/>
    </row>
    <row r="856">
      <c r="A856" s="17"/>
      <c r="P856" s="17"/>
      <c r="R856" s="17"/>
      <c r="AC856" s="17"/>
    </row>
    <row r="857">
      <c r="A857" s="17"/>
      <c r="P857" s="17"/>
      <c r="R857" s="17"/>
      <c r="AC857" s="17"/>
    </row>
    <row r="858">
      <c r="A858" s="17"/>
      <c r="P858" s="17"/>
      <c r="R858" s="17"/>
      <c r="AC858" s="17"/>
    </row>
    <row r="859">
      <c r="A859" s="17"/>
      <c r="P859" s="17"/>
      <c r="R859" s="17"/>
      <c r="AC859" s="17"/>
    </row>
    <row r="860">
      <c r="A860" s="17"/>
      <c r="P860" s="17"/>
      <c r="R860" s="17"/>
      <c r="AC860" s="17"/>
    </row>
    <row r="861">
      <c r="A861" s="17"/>
      <c r="P861" s="17"/>
      <c r="R861" s="17"/>
      <c r="AC861" s="17"/>
    </row>
    <row r="862">
      <c r="A862" s="17"/>
      <c r="P862" s="17"/>
      <c r="R862" s="17"/>
      <c r="AC862" s="17"/>
    </row>
    <row r="863">
      <c r="A863" s="17"/>
      <c r="P863" s="17"/>
      <c r="R863" s="17"/>
      <c r="AC863" s="17"/>
    </row>
    <row r="864">
      <c r="A864" s="17"/>
      <c r="P864" s="17"/>
      <c r="R864" s="17"/>
      <c r="AC864" s="17"/>
    </row>
    <row r="865">
      <c r="A865" s="17"/>
      <c r="P865" s="17"/>
      <c r="R865" s="17"/>
      <c r="AC865" s="17"/>
    </row>
    <row r="866">
      <c r="A866" s="17"/>
      <c r="P866" s="17"/>
      <c r="R866" s="17"/>
      <c r="AC866" s="17"/>
    </row>
    <row r="867">
      <c r="A867" s="17"/>
      <c r="P867" s="17"/>
      <c r="R867" s="17"/>
      <c r="AC867" s="17"/>
    </row>
    <row r="868">
      <c r="A868" s="17"/>
      <c r="P868" s="17"/>
      <c r="R868" s="17"/>
      <c r="AC868" s="17"/>
    </row>
    <row r="869">
      <c r="A869" s="17"/>
      <c r="P869" s="17"/>
      <c r="R869" s="17"/>
      <c r="AC869" s="17"/>
    </row>
    <row r="870">
      <c r="A870" s="17"/>
      <c r="P870" s="17"/>
      <c r="R870" s="17"/>
      <c r="AC870" s="17"/>
    </row>
    <row r="871">
      <c r="A871" s="17"/>
      <c r="P871" s="17"/>
      <c r="R871" s="17"/>
      <c r="AC871" s="17"/>
    </row>
    <row r="872">
      <c r="A872" s="17"/>
      <c r="P872" s="17"/>
      <c r="R872" s="17"/>
      <c r="AC872" s="17"/>
    </row>
    <row r="873">
      <c r="A873" s="17"/>
      <c r="P873" s="17"/>
      <c r="R873" s="17"/>
      <c r="AC873" s="17"/>
    </row>
    <row r="874">
      <c r="A874" s="17"/>
      <c r="P874" s="17"/>
      <c r="R874" s="17"/>
      <c r="AC874" s="17"/>
    </row>
    <row r="875">
      <c r="A875" s="17"/>
      <c r="P875" s="17"/>
      <c r="R875" s="17"/>
      <c r="AC875" s="17"/>
    </row>
    <row r="876">
      <c r="A876" s="17"/>
      <c r="P876" s="17"/>
      <c r="R876" s="17"/>
      <c r="AC876" s="17"/>
    </row>
    <row r="877">
      <c r="A877" s="17"/>
      <c r="P877" s="17"/>
      <c r="R877" s="17"/>
      <c r="AC877" s="17"/>
    </row>
    <row r="878">
      <c r="A878" s="17"/>
      <c r="P878" s="17"/>
      <c r="R878" s="17"/>
      <c r="AC878" s="17"/>
    </row>
    <row r="879">
      <c r="A879" s="17"/>
      <c r="P879" s="17"/>
      <c r="R879" s="17"/>
      <c r="AC879" s="17"/>
    </row>
    <row r="880">
      <c r="A880" s="17"/>
      <c r="P880" s="17"/>
      <c r="R880" s="17"/>
      <c r="AC880" s="17"/>
    </row>
    <row r="881">
      <c r="A881" s="17"/>
      <c r="P881" s="17"/>
      <c r="R881" s="17"/>
      <c r="AC881" s="17"/>
    </row>
    <row r="882">
      <c r="A882" s="17"/>
      <c r="P882" s="17"/>
      <c r="R882" s="17"/>
      <c r="AC882" s="17"/>
    </row>
    <row r="883">
      <c r="A883" s="17"/>
      <c r="P883" s="17"/>
      <c r="R883" s="17"/>
      <c r="AC883" s="17"/>
    </row>
    <row r="884">
      <c r="A884" s="17"/>
      <c r="P884" s="17"/>
      <c r="R884" s="17"/>
      <c r="AC884" s="17"/>
    </row>
    <row r="885">
      <c r="A885" s="17"/>
      <c r="P885" s="17"/>
      <c r="R885" s="17"/>
      <c r="AC885" s="17"/>
    </row>
    <row r="886">
      <c r="A886" s="17"/>
      <c r="P886" s="17"/>
      <c r="R886" s="17"/>
      <c r="AC886" s="17"/>
    </row>
    <row r="887">
      <c r="A887" s="17"/>
      <c r="P887" s="17"/>
      <c r="R887" s="17"/>
      <c r="AC887" s="17"/>
    </row>
    <row r="888">
      <c r="A888" s="17"/>
      <c r="P888" s="17"/>
      <c r="R888" s="17"/>
      <c r="AC888" s="17"/>
    </row>
    <row r="889">
      <c r="A889" s="17"/>
      <c r="P889" s="17"/>
      <c r="R889" s="17"/>
      <c r="AC889" s="17"/>
    </row>
    <row r="890">
      <c r="A890" s="17"/>
      <c r="P890" s="17"/>
      <c r="R890" s="17"/>
      <c r="AC890" s="17"/>
    </row>
    <row r="891">
      <c r="A891" s="17"/>
      <c r="P891" s="17"/>
      <c r="R891" s="17"/>
      <c r="AC891" s="17"/>
    </row>
    <row r="892">
      <c r="A892" s="17"/>
      <c r="P892" s="17"/>
      <c r="R892" s="17"/>
      <c r="AC892" s="17"/>
    </row>
    <row r="893">
      <c r="A893" s="17"/>
      <c r="P893" s="17"/>
      <c r="R893" s="17"/>
      <c r="AC893" s="17"/>
    </row>
    <row r="894">
      <c r="A894" s="17"/>
      <c r="P894" s="17"/>
      <c r="R894" s="17"/>
      <c r="AC894" s="17"/>
    </row>
    <row r="895">
      <c r="A895" s="17"/>
      <c r="P895" s="17"/>
      <c r="R895" s="17"/>
      <c r="AC895" s="17"/>
    </row>
    <row r="896">
      <c r="A896" s="17"/>
      <c r="P896" s="17"/>
      <c r="R896" s="17"/>
      <c r="AC896" s="17"/>
    </row>
    <row r="897">
      <c r="A897" s="17"/>
      <c r="P897" s="17"/>
      <c r="R897" s="17"/>
      <c r="AC897" s="17"/>
    </row>
    <row r="898">
      <c r="A898" s="17"/>
      <c r="P898" s="17"/>
      <c r="R898" s="17"/>
      <c r="AC898" s="17"/>
    </row>
    <row r="899">
      <c r="A899" s="17"/>
      <c r="P899" s="17"/>
      <c r="R899" s="17"/>
      <c r="AC899" s="17"/>
    </row>
    <row r="900">
      <c r="A900" s="17"/>
      <c r="P900" s="17"/>
      <c r="R900" s="17"/>
      <c r="AC900" s="17"/>
    </row>
    <row r="901">
      <c r="A901" s="17"/>
      <c r="P901" s="17"/>
      <c r="R901" s="17"/>
      <c r="AC901" s="17"/>
    </row>
    <row r="902">
      <c r="A902" s="17"/>
      <c r="P902" s="17"/>
      <c r="R902" s="17"/>
      <c r="AC902" s="17"/>
    </row>
    <row r="903">
      <c r="A903" s="17"/>
      <c r="P903" s="17"/>
      <c r="R903" s="17"/>
      <c r="AC903" s="17"/>
    </row>
    <row r="904">
      <c r="A904" s="17"/>
      <c r="P904" s="17"/>
      <c r="R904" s="17"/>
      <c r="AC904" s="17"/>
    </row>
    <row r="905">
      <c r="A905" s="17"/>
      <c r="P905" s="17"/>
      <c r="R905" s="17"/>
      <c r="AC905" s="17"/>
    </row>
    <row r="906">
      <c r="A906" s="17"/>
      <c r="P906" s="17"/>
      <c r="R906" s="17"/>
      <c r="AC906" s="17"/>
    </row>
    <row r="907">
      <c r="A907" s="17"/>
      <c r="P907" s="17"/>
      <c r="R907" s="17"/>
      <c r="AC907" s="17"/>
    </row>
    <row r="908">
      <c r="A908" s="17"/>
      <c r="P908" s="17"/>
      <c r="R908" s="17"/>
      <c r="AC908" s="17"/>
    </row>
    <row r="909">
      <c r="A909" s="17"/>
      <c r="P909" s="17"/>
      <c r="R909" s="17"/>
      <c r="AC909" s="17"/>
    </row>
    <row r="910">
      <c r="A910" s="17"/>
      <c r="P910" s="17"/>
      <c r="R910" s="17"/>
      <c r="AC910" s="17"/>
    </row>
    <row r="911">
      <c r="A911" s="17"/>
      <c r="P911" s="17"/>
      <c r="R911" s="17"/>
      <c r="AC911" s="17"/>
    </row>
    <row r="912">
      <c r="A912" s="17"/>
      <c r="P912" s="17"/>
      <c r="R912" s="17"/>
      <c r="AC912" s="17"/>
    </row>
    <row r="913">
      <c r="A913" s="17"/>
      <c r="P913" s="17"/>
      <c r="R913" s="17"/>
      <c r="AC913" s="17"/>
    </row>
    <row r="914">
      <c r="A914" s="17"/>
      <c r="P914" s="17"/>
      <c r="R914" s="17"/>
      <c r="AC914" s="17"/>
    </row>
    <row r="915">
      <c r="A915" s="17"/>
      <c r="P915" s="17"/>
      <c r="R915" s="17"/>
      <c r="AC915" s="17"/>
    </row>
    <row r="916">
      <c r="A916" s="17"/>
      <c r="P916" s="17"/>
      <c r="R916" s="17"/>
      <c r="AC916" s="17"/>
    </row>
    <row r="917">
      <c r="A917" s="17"/>
      <c r="P917" s="17"/>
      <c r="R917" s="17"/>
      <c r="AC917" s="17"/>
    </row>
    <row r="918">
      <c r="A918" s="17"/>
      <c r="P918" s="17"/>
      <c r="R918" s="17"/>
      <c r="AC918" s="17"/>
    </row>
    <row r="919">
      <c r="A919" s="17"/>
      <c r="P919" s="17"/>
      <c r="R919" s="17"/>
      <c r="AC919" s="17"/>
    </row>
    <row r="920">
      <c r="A920" s="17"/>
      <c r="P920" s="17"/>
      <c r="R920" s="17"/>
      <c r="AC920" s="17"/>
    </row>
    <row r="921">
      <c r="A921" s="17"/>
      <c r="P921" s="17"/>
      <c r="R921" s="17"/>
      <c r="AC921" s="17"/>
    </row>
    <row r="922">
      <c r="A922" s="17"/>
      <c r="P922" s="17"/>
      <c r="R922" s="17"/>
      <c r="AC922" s="17"/>
    </row>
    <row r="923">
      <c r="A923" s="17"/>
      <c r="P923" s="17"/>
      <c r="R923" s="17"/>
      <c r="AC923" s="17"/>
    </row>
    <row r="924">
      <c r="A924" s="17"/>
      <c r="P924" s="17"/>
      <c r="R924" s="17"/>
      <c r="AC924" s="17"/>
    </row>
    <row r="925">
      <c r="A925" s="17"/>
      <c r="P925" s="17"/>
      <c r="R925" s="17"/>
      <c r="AC925" s="17"/>
    </row>
    <row r="926">
      <c r="A926" s="17"/>
      <c r="P926" s="17"/>
      <c r="R926" s="17"/>
      <c r="AC926" s="17"/>
    </row>
    <row r="927">
      <c r="A927" s="17"/>
      <c r="P927" s="17"/>
      <c r="R927" s="17"/>
      <c r="AC927" s="17"/>
    </row>
    <row r="928">
      <c r="A928" s="17"/>
      <c r="P928" s="17"/>
      <c r="R928" s="17"/>
      <c r="AC928" s="17"/>
    </row>
    <row r="929">
      <c r="A929" s="17"/>
      <c r="P929" s="17"/>
      <c r="R929" s="17"/>
      <c r="AC929" s="17"/>
    </row>
    <row r="930">
      <c r="A930" s="17"/>
      <c r="P930" s="17"/>
      <c r="R930" s="17"/>
      <c r="AC930" s="17"/>
    </row>
    <row r="931">
      <c r="A931" s="17"/>
      <c r="P931" s="17"/>
      <c r="R931" s="17"/>
      <c r="AC931" s="17"/>
    </row>
    <row r="932">
      <c r="A932" s="17"/>
      <c r="P932" s="17"/>
      <c r="R932" s="17"/>
      <c r="AC932" s="17"/>
    </row>
    <row r="933">
      <c r="A933" s="17"/>
      <c r="P933" s="17"/>
      <c r="R933" s="17"/>
      <c r="AC933" s="17"/>
    </row>
    <row r="934">
      <c r="A934" s="17"/>
      <c r="P934" s="17"/>
      <c r="R934" s="17"/>
      <c r="AC934" s="17"/>
    </row>
    <row r="935">
      <c r="A935" s="17"/>
      <c r="P935" s="17"/>
      <c r="R935" s="17"/>
      <c r="AC935" s="17"/>
    </row>
    <row r="936">
      <c r="A936" s="17"/>
      <c r="P936" s="17"/>
      <c r="R936" s="17"/>
      <c r="AC936" s="17"/>
    </row>
    <row r="937">
      <c r="A937" s="17"/>
      <c r="P937" s="17"/>
      <c r="R937" s="17"/>
      <c r="AC937" s="17"/>
    </row>
    <row r="938">
      <c r="A938" s="17"/>
      <c r="P938" s="17"/>
      <c r="R938" s="17"/>
      <c r="AC938" s="17"/>
    </row>
    <row r="939">
      <c r="A939" s="17"/>
      <c r="P939" s="17"/>
      <c r="R939" s="17"/>
      <c r="AC939" s="17"/>
    </row>
    <row r="940">
      <c r="A940" s="17"/>
      <c r="P940" s="17"/>
      <c r="R940" s="17"/>
      <c r="AC940" s="17"/>
    </row>
    <row r="941">
      <c r="A941" s="17"/>
      <c r="P941" s="17"/>
      <c r="R941" s="17"/>
      <c r="AC941" s="17"/>
    </row>
    <row r="942">
      <c r="A942" s="17"/>
      <c r="P942" s="17"/>
      <c r="R942" s="17"/>
      <c r="AC942" s="17"/>
    </row>
    <row r="943">
      <c r="A943" s="17"/>
      <c r="P943" s="17"/>
      <c r="R943" s="17"/>
      <c r="AC943" s="17"/>
    </row>
    <row r="944">
      <c r="A944" s="17"/>
      <c r="P944" s="17"/>
      <c r="R944" s="17"/>
      <c r="AC944" s="17"/>
    </row>
    <row r="945">
      <c r="A945" s="17"/>
      <c r="P945" s="17"/>
      <c r="R945" s="17"/>
      <c r="AC945" s="17"/>
    </row>
    <row r="946">
      <c r="A946" s="17"/>
      <c r="P946" s="17"/>
      <c r="R946" s="17"/>
      <c r="AC946" s="17"/>
    </row>
    <row r="947">
      <c r="A947" s="17"/>
      <c r="P947" s="17"/>
      <c r="R947" s="17"/>
      <c r="AC947" s="17"/>
    </row>
    <row r="948">
      <c r="A948" s="17"/>
      <c r="P948" s="17"/>
      <c r="R948" s="17"/>
      <c r="AC948" s="17"/>
    </row>
    <row r="949">
      <c r="A949" s="17"/>
      <c r="P949" s="17"/>
      <c r="R949" s="17"/>
      <c r="AC949" s="17"/>
    </row>
    <row r="950">
      <c r="A950" s="17"/>
      <c r="P950" s="17"/>
      <c r="R950" s="17"/>
      <c r="AC950" s="17"/>
    </row>
    <row r="951">
      <c r="A951" s="17"/>
      <c r="P951" s="17"/>
      <c r="R951" s="17"/>
      <c r="AC951" s="17"/>
    </row>
    <row r="952">
      <c r="A952" s="17"/>
      <c r="P952" s="17"/>
      <c r="R952" s="17"/>
      <c r="AC952" s="17"/>
    </row>
    <row r="953">
      <c r="A953" s="17"/>
      <c r="P953" s="17"/>
      <c r="R953" s="17"/>
      <c r="AC953" s="17"/>
    </row>
    <row r="954">
      <c r="A954" s="17"/>
      <c r="P954" s="17"/>
      <c r="R954" s="17"/>
      <c r="AC954" s="17"/>
    </row>
    <row r="955">
      <c r="A955" s="17"/>
      <c r="P955" s="17"/>
      <c r="R955" s="17"/>
      <c r="AC955" s="17"/>
    </row>
    <row r="956">
      <c r="A956" s="17"/>
      <c r="P956" s="17"/>
      <c r="R956" s="17"/>
      <c r="AC956" s="17"/>
    </row>
    <row r="957">
      <c r="A957" s="17"/>
      <c r="P957" s="17"/>
      <c r="R957" s="17"/>
      <c r="AC957" s="17"/>
    </row>
    <row r="958">
      <c r="A958" s="17"/>
      <c r="P958" s="17"/>
      <c r="R958" s="17"/>
      <c r="AC958" s="17"/>
    </row>
    <row r="959">
      <c r="A959" s="17"/>
      <c r="P959" s="17"/>
      <c r="R959" s="17"/>
      <c r="AC959" s="17"/>
    </row>
    <row r="960">
      <c r="A960" s="17"/>
      <c r="P960" s="17"/>
      <c r="R960" s="17"/>
      <c r="AC960" s="17"/>
    </row>
    <row r="961">
      <c r="A961" s="17"/>
      <c r="P961" s="17"/>
      <c r="R961" s="17"/>
      <c r="AC961" s="17"/>
    </row>
    <row r="962">
      <c r="A962" s="17"/>
      <c r="P962" s="17"/>
      <c r="R962" s="17"/>
      <c r="AC962" s="17"/>
    </row>
    <row r="963">
      <c r="A963" s="17"/>
      <c r="P963" s="17"/>
      <c r="R963" s="17"/>
      <c r="AC963" s="17"/>
    </row>
    <row r="964">
      <c r="A964" s="17"/>
      <c r="P964" s="17"/>
      <c r="R964" s="17"/>
      <c r="AC964" s="17"/>
    </row>
    <row r="965">
      <c r="A965" s="17"/>
      <c r="P965" s="17"/>
      <c r="R965" s="17"/>
      <c r="AC965" s="17"/>
    </row>
    <row r="966">
      <c r="A966" s="17"/>
      <c r="P966" s="17"/>
      <c r="R966" s="17"/>
      <c r="AC966" s="17"/>
    </row>
    <row r="967">
      <c r="A967" s="17"/>
      <c r="P967" s="17"/>
      <c r="R967" s="17"/>
      <c r="AC967" s="17"/>
    </row>
    <row r="968">
      <c r="A968" s="17"/>
      <c r="P968" s="17"/>
      <c r="R968" s="17"/>
      <c r="AC968" s="17"/>
    </row>
    <row r="969">
      <c r="A969" s="17"/>
      <c r="P969" s="17"/>
      <c r="R969" s="17"/>
      <c r="AC969" s="17"/>
    </row>
    <row r="970">
      <c r="A970" s="17"/>
      <c r="P970" s="17"/>
      <c r="R970" s="17"/>
      <c r="AC970" s="17"/>
    </row>
    <row r="971">
      <c r="A971" s="17"/>
      <c r="P971" s="17"/>
      <c r="R971" s="17"/>
      <c r="AC971" s="17"/>
    </row>
    <row r="972">
      <c r="A972" s="17"/>
      <c r="P972" s="17"/>
      <c r="R972" s="17"/>
      <c r="AC972" s="17"/>
    </row>
    <row r="973">
      <c r="A973" s="17"/>
      <c r="P973" s="17"/>
      <c r="R973" s="17"/>
      <c r="AC973" s="17"/>
    </row>
    <row r="974">
      <c r="A974" s="17"/>
      <c r="P974" s="17"/>
      <c r="R974" s="17"/>
      <c r="AC974" s="17"/>
    </row>
    <row r="975">
      <c r="A975" s="17"/>
      <c r="P975" s="17"/>
      <c r="R975" s="17"/>
      <c r="AC975" s="17"/>
    </row>
    <row r="976">
      <c r="A976" s="17"/>
      <c r="P976" s="17"/>
      <c r="R976" s="17"/>
      <c r="AC976" s="17"/>
    </row>
    <row r="977">
      <c r="A977" s="17"/>
      <c r="P977" s="17"/>
      <c r="R977" s="17"/>
      <c r="AC977" s="17"/>
    </row>
    <row r="978">
      <c r="A978" s="17"/>
      <c r="P978" s="17"/>
      <c r="R978" s="17"/>
      <c r="AC978" s="17"/>
    </row>
    <row r="979">
      <c r="A979" s="17"/>
      <c r="P979" s="17"/>
      <c r="R979" s="17"/>
      <c r="AC979" s="17"/>
    </row>
    <row r="980">
      <c r="A980" s="17"/>
      <c r="P980" s="17"/>
      <c r="R980" s="17"/>
      <c r="AC980" s="17"/>
    </row>
    <row r="981">
      <c r="A981" s="17"/>
      <c r="P981" s="17"/>
      <c r="R981" s="17"/>
      <c r="AC981" s="17"/>
    </row>
    <row r="982">
      <c r="A982" s="17"/>
      <c r="P982" s="17"/>
      <c r="R982" s="17"/>
      <c r="AC982" s="17"/>
    </row>
    <row r="983">
      <c r="A983" s="17"/>
      <c r="P983" s="17"/>
      <c r="R983" s="17"/>
      <c r="AC983" s="17"/>
    </row>
    <row r="984">
      <c r="A984" s="17"/>
      <c r="P984" s="17"/>
      <c r="R984" s="17"/>
      <c r="AC984" s="17"/>
    </row>
    <row r="985">
      <c r="A985" s="17"/>
      <c r="P985" s="17"/>
      <c r="R985" s="17"/>
      <c r="AC985" s="17"/>
    </row>
    <row r="986">
      <c r="A986" s="17"/>
      <c r="P986" s="17"/>
      <c r="R986" s="17"/>
      <c r="AC986" s="17"/>
    </row>
    <row r="987">
      <c r="A987" s="17"/>
      <c r="P987" s="17"/>
      <c r="R987" s="17"/>
      <c r="AC987" s="17"/>
    </row>
    <row r="988">
      <c r="A988" s="17"/>
      <c r="P988" s="17"/>
      <c r="R988" s="17"/>
      <c r="AC988" s="17"/>
    </row>
    <row r="989">
      <c r="A989" s="17"/>
      <c r="P989" s="17"/>
      <c r="R989" s="17"/>
      <c r="AC989" s="17"/>
    </row>
    <row r="990">
      <c r="A990" s="17"/>
      <c r="P990" s="17"/>
      <c r="R990" s="17"/>
      <c r="AC990" s="17"/>
    </row>
    <row r="991">
      <c r="A991" s="17"/>
      <c r="P991" s="17"/>
      <c r="R991" s="17"/>
      <c r="AC991" s="17"/>
    </row>
    <row r="992">
      <c r="A992" s="17"/>
      <c r="P992" s="17"/>
      <c r="R992" s="17"/>
      <c r="AC992" s="17"/>
    </row>
    <row r="993">
      <c r="A993" s="17"/>
      <c r="P993" s="17"/>
      <c r="R993" s="17"/>
      <c r="AC993" s="17"/>
    </row>
    <row r="994">
      <c r="A994" s="17"/>
      <c r="P994" s="17"/>
      <c r="R994" s="17"/>
      <c r="AC994" s="17"/>
    </row>
    <row r="995">
      <c r="A995" s="17"/>
      <c r="P995" s="17"/>
      <c r="R995" s="17"/>
      <c r="AC995" s="17"/>
    </row>
    <row r="996">
      <c r="A996" s="17"/>
      <c r="P996" s="17"/>
      <c r="R996" s="17"/>
      <c r="AC996" s="17"/>
    </row>
    <row r="997">
      <c r="A997" s="17"/>
      <c r="P997" s="17"/>
      <c r="R997" s="17"/>
      <c r="AC997" s="17"/>
    </row>
    <row r="998">
      <c r="A998" s="17"/>
      <c r="P998" s="17"/>
      <c r="R998" s="17"/>
      <c r="AC998" s="17"/>
    </row>
    <row r="999">
      <c r="A999" s="17"/>
      <c r="P999" s="17"/>
      <c r="R999" s="17"/>
      <c r="AC999" s="17"/>
    </row>
    <row r="1000">
      <c r="A1000" s="17"/>
      <c r="P1000" s="17"/>
      <c r="R1000" s="17"/>
      <c r="AC1000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4.75"/>
    <col customWidth="1" min="23" max="27" width="3.0"/>
    <col customWidth="1" min="28" max="28" width="4.13"/>
    <col customWidth="1" min="29" max="29" width="10.5"/>
    <col customWidth="1" min="30" max="33" width="3.0"/>
    <col customWidth="1" min="34" max="34" width="11.63"/>
    <col customWidth="1" min="35" max="35" width="9.38"/>
    <col customWidth="1" min="36" max="36" width="3.0"/>
    <col customWidth="1" min="37" max="37" width="6.5"/>
    <col customWidth="1" min="38" max="40" width="3.0"/>
    <col customWidth="1" min="41" max="41" width="11.5"/>
    <col customWidth="1" min="42" max="52" width="3.0"/>
  </cols>
  <sheetData>
    <row r="1"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AH1" s="4"/>
      <c r="AI1" s="4"/>
    </row>
    <row r="2">
      <c r="A2" s="2">
        <v>0.0</v>
      </c>
      <c r="B2" s="3">
        <f t="array" ref="B2:V40">(27-B1:V1)*A2:A40+0*B1:V1*(38-A2:A40)</f>
        <v>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0.0</v>
      </c>
      <c r="U2" s="5">
        <v>0.0</v>
      </c>
      <c r="V2" s="5">
        <v>0.0</v>
      </c>
      <c r="AH2" s="4"/>
      <c r="AI2" s="4"/>
    </row>
    <row r="3">
      <c r="A3" s="2">
        <v>1.0</v>
      </c>
      <c r="B3" s="5">
        <v>27.0</v>
      </c>
      <c r="C3" s="5">
        <v>26.0</v>
      </c>
      <c r="D3" s="5">
        <v>25.0</v>
      </c>
      <c r="E3" s="5">
        <v>24.0</v>
      </c>
      <c r="F3" s="5">
        <v>23.0</v>
      </c>
      <c r="G3" s="5">
        <v>22.0</v>
      </c>
      <c r="H3" s="5">
        <v>21.0</v>
      </c>
      <c r="I3" s="5">
        <v>20.0</v>
      </c>
      <c r="J3" s="5">
        <v>19.0</v>
      </c>
      <c r="K3" s="5">
        <v>18.0</v>
      </c>
      <c r="L3" s="5">
        <v>17.0</v>
      </c>
      <c r="M3" s="5">
        <v>16.0</v>
      </c>
      <c r="N3" s="5">
        <v>15.0</v>
      </c>
      <c r="O3" s="5">
        <v>14.0</v>
      </c>
      <c r="P3" s="5">
        <v>13.0</v>
      </c>
      <c r="Q3" s="5">
        <v>12.0</v>
      </c>
      <c r="R3" s="5">
        <v>11.0</v>
      </c>
      <c r="S3" s="5">
        <v>10.0</v>
      </c>
      <c r="T3" s="5">
        <v>9.0</v>
      </c>
      <c r="U3" s="5">
        <v>8.0</v>
      </c>
      <c r="V3" s="5">
        <v>7.0</v>
      </c>
      <c r="AH3" s="6">
        <f>23/51</f>
        <v>0.4509803922</v>
      </c>
      <c r="AI3" s="6">
        <f>9/20</f>
        <v>0.45</v>
      </c>
    </row>
    <row r="4">
      <c r="A4" s="2">
        <v>2.0</v>
      </c>
      <c r="B4" s="5">
        <v>54.0</v>
      </c>
      <c r="C4" s="5">
        <v>52.0</v>
      </c>
      <c r="D4" s="5">
        <v>50.0</v>
      </c>
      <c r="E4" s="5">
        <v>48.0</v>
      </c>
      <c r="F4" s="5">
        <v>46.0</v>
      </c>
      <c r="G4" s="5">
        <v>44.0</v>
      </c>
      <c r="H4" s="5">
        <v>42.0</v>
      </c>
      <c r="I4" s="5">
        <v>40.0</v>
      </c>
      <c r="J4" s="5">
        <v>38.0</v>
      </c>
      <c r="K4" s="5">
        <v>36.0</v>
      </c>
      <c r="L4" s="5">
        <v>34.0</v>
      </c>
      <c r="M4" s="5">
        <v>32.0</v>
      </c>
      <c r="N4" s="5">
        <v>30.0</v>
      </c>
      <c r="O4" s="5">
        <v>28.0</v>
      </c>
      <c r="P4" s="5">
        <v>26.0</v>
      </c>
      <c r="Q4" s="5">
        <v>24.0</v>
      </c>
      <c r="R4" s="5">
        <v>22.0</v>
      </c>
      <c r="S4" s="5">
        <v>20.0</v>
      </c>
      <c r="T4" s="5">
        <v>18.0</v>
      </c>
      <c r="U4" s="5">
        <v>16.0</v>
      </c>
      <c r="V4" s="5">
        <v>14.0</v>
      </c>
      <c r="AB4" s="3">
        <v>51.0</v>
      </c>
      <c r="AC4" s="3">
        <v>20.0</v>
      </c>
      <c r="AE4" s="3">
        <v>22.0</v>
      </c>
      <c r="AF4" s="3">
        <v>8.0</v>
      </c>
      <c r="AH4" s="4">
        <f t="shared" ref="AH4:AI4" si="1">AE4/AB4</f>
        <v>0.431372549</v>
      </c>
      <c r="AI4" s="4">
        <f t="shared" si="1"/>
        <v>0.4</v>
      </c>
      <c r="AK4" s="5">
        <f>(AE4+AF4)/(AB4+AC4)</f>
        <v>0.4225352113</v>
      </c>
    </row>
    <row r="5">
      <c r="A5" s="2">
        <v>3.0</v>
      </c>
      <c r="B5" s="5">
        <v>81.0</v>
      </c>
      <c r="C5" s="5">
        <v>78.0</v>
      </c>
      <c r="D5" s="5">
        <v>75.0</v>
      </c>
      <c r="E5" s="5">
        <v>72.0</v>
      </c>
      <c r="F5" s="5">
        <v>69.0</v>
      </c>
      <c r="G5" s="5">
        <v>66.0</v>
      </c>
      <c r="H5" s="5">
        <v>63.0</v>
      </c>
      <c r="I5" s="5">
        <v>60.0</v>
      </c>
      <c r="J5" s="5">
        <v>57.0</v>
      </c>
      <c r="K5" s="5">
        <v>54.0</v>
      </c>
      <c r="L5" s="5">
        <v>51.0</v>
      </c>
      <c r="M5" s="5">
        <v>48.0</v>
      </c>
      <c r="N5" s="5">
        <v>45.0</v>
      </c>
      <c r="O5" s="7">
        <v>42.0</v>
      </c>
      <c r="P5" s="5">
        <v>39.0</v>
      </c>
      <c r="Q5" s="5">
        <v>36.0</v>
      </c>
      <c r="R5" s="5">
        <v>33.0</v>
      </c>
      <c r="S5" s="5">
        <v>30.0</v>
      </c>
      <c r="T5" s="5">
        <v>27.0</v>
      </c>
      <c r="U5" s="5">
        <v>24.0</v>
      </c>
      <c r="V5" s="5">
        <v>21.0</v>
      </c>
      <c r="AB5" s="5">
        <f t="shared" ref="AB5:AC5" si="2">AB4*0.423</f>
        <v>21.573</v>
      </c>
      <c r="AC5" s="5">
        <f t="shared" si="2"/>
        <v>8.46</v>
      </c>
      <c r="AH5" s="8">
        <f>21/51</f>
        <v>0.4117647059</v>
      </c>
      <c r="AI5" s="6">
        <f>7/20</f>
        <v>0.35</v>
      </c>
    </row>
    <row r="6">
      <c r="A6" s="2">
        <v>4.0</v>
      </c>
      <c r="B6" s="5">
        <v>108.0</v>
      </c>
      <c r="C6" s="5">
        <v>104.0</v>
      </c>
      <c r="D6" s="5">
        <v>100.0</v>
      </c>
      <c r="E6" s="5">
        <v>96.0</v>
      </c>
      <c r="F6" s="5">
        <v>92.0</v>
      </c>
      <c r="G6" s="5">
        <v>88.0</v>
      </c>
      <c r="H6" s="5">
        <v>84.0</v>
      </c>
      <c r="I6" s="5">
        <v>80.0</v>
      </c>
      <c r="J6" s="5">
        <v>76.0</v>
      </c>
      <c r="K6" s="5">
        <v>72.0</v>
      </c>
      <c r="L6" s="5">
        <v>68.0</v>
      </c>
      <c r="M6" s="5">
        <v>64.0</v>
      </c>
      <c r="N6" s="5">
        <v>60.0</v>
      </c>
      <c r="O6" s="5">
        <v>56.0</v>
      </c>
      <c r="P6" s="5">
        <v>52.0</v>
      </c>
      <c r="Q6" s="5">
        <v>48.0</v>
      </c>
      <c r="R6" s="5">
        <v>44.0</v>
      </c>
      <c r="S6" s="5">
        <v>40.0</v>
      </c>
      <c r="T6" s="5">
        <v>36.0</v>
      </c>
      <c r="U6" s="5">
        <v>32.0</v>
      </c>
      <c r="V6" s="5">
        <v>28.0</v>
      </c>
      <c r="AH6" s="4"/>
      <c r="AI6" s="4"/>
    </row>
    <row r="7">
      <c r="A7" s="2">
        <v>5.0</v>
      </c>
      <c r="B7" s="5">
        <v>135.0</v>
      </c>
      <c r="C7" s="5">
        <v>130.0</v>
      </c>
      <c r="D7" s="5">
        <v>125.0</v>
      </c>
      <c r="E7" s="5">
        <v>120.0</v>
      </c>
      <c r="F7" s="5">
        <v>115.0</v>
      </c>
      <c r="G7" s="5">
        <v>110.0</v>
      </c>
      <c r="H7" s="5">
        <v>105.0</v>
      </c>
      <c r="I7" s="5">
        <v>100.0</v>
      </c>
      <c r="J7" s="5">
        <v>95.0</v>
      </c>
      <c r="K7" s="5">
        <v>90.0</v>
      </c>
      <c r="L7" s="5">
        <v>85.0</v>
      </c>
      <c r="M7" s="5">
        <v>80.0</v>
      </c>
      <c r="N7" s="5">
        <v>75.0</v>
      </c>
      <c r="O7" s="5">
        <v>70.0</v>
      </c>
      <c r="P7" s="5">
        <v>65.0</v>
      </c>
      <c r="Q7" s="5">
        <v>60.0</v>
      </c>
      <c r="R7" s="5">
        <v>55.0</v>
      </c>
      <c r="S7" s="5">
        <v>50.0</v>
      </c>
      <c r="T7" s="5">
        <v>45.0</v>
      </c>
      <c r="U7" s="5">
        <v>40.0</v>
      </c>
      <c r="V7" s="5">
        <v>35.0</v>
      </c>
      <c r="AH7" s="4"/>
      <c r="AI7" s="4"/>
    </row>
    <row r="8">
      <c r="A8" s="2">
        <v>6.0</v>
      </c>
      <c r="B8" s="5">
        <v>162.0</v>
      </c>
      <c r="C8" s="5">
        <v>156.0</v>
      </c>
      <c r="D8" s="5">
        <v>150.0</v>
      </c>
      <c r="E8" s="5">
        <v>144.0</v>
      </c>
      <c r="F8" s="5">
        <v>138.0</v>
      </c>
      <c r="G8" s="5">
        <v>132.0</v>
      </c>
      <c r="H8" s="5">
        <v>126.0</v>
      </c>
      <c r="I8" s="5">
        <v>120.0</v>
      </c>
      <c r="J8" s="5">
        <v>114.0</v>
      </c>
      <c r="K8" s="5">
        <v>108.0</v>
      </c>
      <c r="L8" s="5">
        <v>102.0</v>
      </c>
      <c r="M8" s="5">
        <v>96.0</v>
      </c>
      <c r="N8" s="5">
        <v>90.0</v>
      </c>
      <c r="O8" s="5">
        <v>84.0</v>
      </c>
      <c r="P8" s="5">
        <v>78.0</v>
      </c>
      <c r="Q8" s="5">
        <v>72.0</v>
      </c>
      <c r="R8" s="5">
        <v>66.0</v>
      </c>
      <c r="S8" s="5">
        <v>60.0</v>
      </c>
      <c r="T8" s="5">
        <v>54.0</v>
      </c>
      <c r="U8" s="5">
        <v>48.0</v>
      </c>
      <c r="V8" s="5">
        <v>42.0</v>
      </c>
      <c r="AB8" s="3">
        <v>33.0</v>
      </c>
      <c r="AC8" s="3">
        <v>32.0</v>
      </c>
      <c r="AE8" s="11">
        <v>12.0</v>
      </c>
      <c r="AF8" s="3">
        <v>15.0</v>
      </c>
      <c r="AH8" s="4">
        <f t="shared" ref="AH8:AI8" si="3">AE8/AB$8</f>
        <v>0.3636363636</v>
      </c>
      <c r="AI8" s="4">
        <f t="shared" si="3"/>
        <v>0.46875</v>
      </c>
      <c r="AK8" s="5">
        <f t="shared" ref="AK8:AK11" si="6">(AE8+AF8)/(AB$8+AC$8)</f>
        <v>0.4153846154</v>
      </c>
    </row>
    <row r="9">
      <c r="A9" s="2">
        <v>7.0</v>
      </c>
      <c r="B9" s="5">
        <v>189.0</v>
      </c>
      <c r="C9" s="5">
        <v>182.0</v>
      </c>
      <c r="D9" s="5">
        <v>175.0</v>
      </c>
      <c r="E9" s="5">
        <v>168.0</v>
      </c>
      <c r="F9" s="5">
        <v>161.0</v>
      </c>
      <c r="G9" s="5">
        <v>154.0</v>
      </c>
      <c r="H9" s="5">
        <v>147.0</v>
      </c>
      <c r="I9" s="5">
        <v>140.0</v>
      </c>
      <c r="J9" s="5">
        <v>133.0</v>
      </c>
      <c r="K9" s="5">
        <v>126.0</v>
      </c>
      <c r="L9" s="5">
        <v>119.0</v>
      </c>
      <c r="M9" s="5">
        <v>112.0</v>
      </c>
      <c r="N9" s="7">
        <v>105.0</v>
      </c>
      <c r="O9" s="5">
        <v>98.0</v>
      </c>
      <c r="P9" s="5">
        <v>91.0</v>
      </c>
      <c r="Q9" s="5">
        <v>84.0</v>
      </c>
      <c r="R9" s="5">
        <v>77.0</v>
      </c>
      <c r="S9" s="5">
        <v>70.0</v>
      </c>
      <c r="T9" s="5">
        <v>63.0</v>
      </c>
      <c r="U9" s="5">
        <v>56.0</v>
      </c>
      <c r="V9" s="5">
        <v>49.0</v>
      </c>
      <c r="AB9" s="5">
        <f t="shared" ref="AB9:AC9" si="4">AB8*0.423</f>
        <v>13.959</v>
      </c>
      <c r="AC9" s="5">
        <f t="shared" si="4"/>
        <v>13.536</v>
      </c>
      <c r="AE9" s="11">
        <v>13.0</v>
      </c>
      <c r="AF9" s="3">
        <v>14.0</v>
      </c>
      <c r="AH9" s="4">
        <f t="shared" ref="AH9:AI9" si="5">AE9/AB$8</f>
        <v>0.3939393939</v>
      </c>
      <c r="AI9" s="4">
        <f t="shared" si="5"/>
        <v>0.4375</v>
      </c>
      <c r="AK9" s="5">
        <f t="shared" si="6"/>
        <v>0.4153846154</v>
      </c>
    </row>
    <row r="10">
      <c r="A10" s="2">
        <v>8.0</v>
      </c>
      <c r="B10" s="5">
        <v>216.0</v>
      </c>
      <c r="C10" s="5">
        <v>208.0</v>
      </c>
      <c r="D10" s="5">
        <v>200.0</v>
      </c>
      <c r="E10" s="5">
        <v>192.0</v>
      </c>
      <c r="F10" s="5">
        <v>184.0</v>
      </c>
      <c r="G10" s="5">
        <v>176.0</v>
      </c>
      <c r="H10" s="5">
        <v>168.0</v>
      </c>
      <c r="I10" s="5">
        <v>160.0</v>
      </c>
      <c r="J10" s="5">
        <v>152.0</v>
      </c>
      <c r="K10" s="5">
        <v>144.0</v>
      </c>
      <c r="L10" s="5">
        <v>136.0</v>
      </c>
      <c r="M10" s="5">
        <v>128.0</v>
      </c>
      <c r="N10" s="5">
        <v>120.0</v>
      </c>
      <c r="O10" s="5">
        <v>112.0</v>
      </c>
      <c r="P10" s="5">
        <v>104.0</v>
      </c>
      <c r="Q10" s="5">
        <v>96.0</v>
      </c>
      <c r="R10" s="5">
        <v>88.0</v>
      </c>
      <c r="S10" s="5">
        <v>80.0</v>
      </c>
      <c r="T10" s="5">
        <v>72.0</v>
      </c>
      <c r="U10" s="5">
        <v>64.0</v>
      </c>
      <c r="V10" s="5">
        <v>56.0</v>
      </c>
      <c r="AE10" s="11">
        <v>14.0</v>
      </c>
      <c r="AF10" s="3">
        <v>13.0</v>
      </c>
      <c r="AH10" s="4">
        <f t="shared" ref="AH10:AI10" si="7">AE10/AB$8</f>
        <v>0.4242424242</v>
      </c>
      <c r="AI10" s="4">
        <f t="shared" si="7"/>
        <v>0.40625</v>
      </c>
      <c r="AK10" s="5">
        <f t="shared" si="6"/>
        <v>0.4153846154</v>
      </c>
    </row>
    <row r="11">
      <c r="A11" s="2">
        <v>9.0</v>
      </c>
      <c r="B11" s="5">
        <v>243.0</v>
      </c>
      <c r="C11" s="5">
        <v>234.0</v>
      </c>
      <c r="D11" s="5">
        <v>225.0</v>
      </c>
      <c r="E11" s="5">
        <v>216.0</v>
      </c>
      <c r="F11" s="5">
        <v>207.0</v>
      </c>
      <c r="G11" s="5">
        <v>198.0</v>
      </c>
      <c r="H11" s="5">
        <v>189.0</v>
      </c>
      <c r="I11" s="5">
        <v>180.0</v>
      </c>
      <c r="J11" s="5">
        <v>171.0</v>
      </c>
      <c r="K11" s="5">
        <v>162.0</v>
      </c>
      <c r="L11" s="5">
        <v>153.0</v>
      </c>
      <c r="M11" s="7">
        <v>144.0</v>
      </c>
      <c r="N11" s="5">
        <v>135.0</v>
      </c>
      <c r="O11" s="5">
        <v>126.0</v>
      </c>
      <c r="P11" s="5">
        <v>117.0</v>
      </c>
      <c r="Q11" s="5">
        <v>108.0</v>
      </c>
      <c r="R11" s="5">
        <v>99.0</v>
      </c>
      <c r="S11" s="5">
        <v>90.0</v>
      </c>
      <c r="T11" s="5">
        <v>81.0</v>
      </c>
      <c r="U11" s="5">
        <v>72.0</v>
      </c>
      <c r="V11" s="5">
        <v>63.0</v>
      </c>
      <c r="AE11" s="11">
        <v>15.0</v>
      </c>
      <c r="AF11" s="3">
        <v>12.0</v>
      </c>
      <c r="AH11" s="4">
        <f t="shared" ref="AH11:AI11" si="8">AE11/AB$8</f>
        <v>0.4545454545</v>
      </c>
      <c r="AI11" s="4">
        <f t="shared" si="8"/>
        <v>0.375</v>
      </c>
      <c r="AK11" s="5">
        <f t="shared" si="6"/>
        <v>0.4153846154</v>
      </c>
    </row>
    <row r="12">
      <c r="A12" s="2">
        <v>10.0</v>
      </c>
      <c r="B12" s="5">
        <v>270.0</v>
      </c>
      <c r="C12" s="5">
        <v>260.0</v>
      </c>
      <c r="D12" s="5">
        <v>250.0</v>
      </c>
      <c r="E12" s="5">
        <v>240.0</v>
      </c>
      <c r="F12" s="5">
        <v>230.0</v>
      </c>
      <c r="G12" s="5">
        <v>220.0</v>
      </c>
      <c r="H12" s="5">
        <v>210.0</v>
      </c>
      <c r="I12" s="5">
        <v>200.0</v>
      </c>
      <c r="J12" s="5">
        <v>190.0</v>
      </c>
      <c r="K12" s="5">
        <v>180.0</v>
      </c>
      <c r="L12" s="5">
        <v>170.0</v>
      </c>
      <c r="M12" s="5">
        <v>160.0</v>
      </c>
      <c r="N12" s="5">
        <v>150.0</v>
      </c>
      <c r="O12" s="5">
        <v>140.0</v>
      </c>
      <c r="P12" s="5">
        <v>130.0</v>
      </c>
      <c r="Q12" s="5">
        <v>120.0</v>
      </c>
      <c r="R12" s="5">
        <v>110.0</v>
      </c>
      <c r="S12" s="5">
        <v>100.0</v>
      </c>
      <c r="T12" s="5">
        <v>90.0</v>
      </c>
      <c r="U12" s="5">
        <v>80.0</v>
      </c>
      <c r="V12" s="5">
        <v>70.0</v>
      </c>
      <c r="AH12" s="4"/>
      <c r="AI12" s="4"/>
    </row>
    <row r="13">
      <c r="A13" s="2">
        <v>11.0</v>
      </c>
      <c r="B13" s="5">
        <v>297.0</v>
      </c>
      <c r="C13" s="5">
        <v>286.0</v>
      </c>
      <c r="D13" s="5">
        <v>275.0</v>
      </c>
      <c r="E13" s="5">
        <v>264.0</v>
      </c>
      <c r="F13" s="5">
        <v>253.0</v>
      </c>
      <c r="G13" s="5">
        <v>242.0</v>
      </c>
      <c r="H13" s="5">
        <v>231.0</v>
      </c>
      <c r="I13" s="5">
        <v>220.0</v>
      </c>
      <c r="J13" s="5">
        <v>209.0</v>
      </c>
      <c r="K13" s="5">
        <v>198.0</v>
      </c>
      <c r="L13" s="12">
        <v>187.0</v>
      </c>
      <c r="M13" s="5">
        <v>176.0</v>
      </c>
      <c r="N13" s="5">
        <v>165.0</v>
      </c>
      <c r="O13" s="5">
        <v>154.0</v>
      </c>
      <c r="P13" s="5">
        <v>143.0</v>
      </c>
      <c r="Q13" s="5">
        <v>132.0</v>
      </c>
      <c r="R13" s="5">
        <v>121.0</v>
      </c>
      <c r="S13" s="5">
        <v>110.0</v>
      </c>
      <c r="T13" s="5">
        <v>99.0</v>
      </c>
      <c r="U13" s="5">
        <v>88.0</v>
      </c>
      <c r="V13" s="5">
        <v>77.0</v>
      </c>
      <c r="AH13" s="4"/>
      <c r="AI13" s="4"/>
    </row>
    <row r="14">
      <c r="A14" s="2">
        <v>12.0</v>
      </c>
      <c r="B14" s="5">
        <v>324.0</v>
      </c>
      <c r="C14" s="5">
        <v>312.0</v>
      </c>
      <c r="D14" s="5">
        <v>300.0</v>
      </c>
      <c r="E14" s="5">
        <v>288.0</v>
      </c>
      <c r="F14" s="5">
        <v>276.0</v>
      </c>
      <c r="G14" s="5">
        <v>264.0</v>
      </c>
      <c r="H14" s="5">
        <v>252.0</v>
      </c>
      <c r="I14" s="5">
        <v>240.0</v>
      </c>
      <c r="J14" s="5">
        <v>228.0</v>
      </c>
      <c r="K14" s="5">
        <v>216.0</v>
      </c>
      <c r="L14" s="5">
        <v>204.0</v>
      </c>
      <c r="M14" s="5">
        <v>192.0</v>
      </c>
      <c r="N14" s="5">
        <v>180.0</v>
      </c>
      <c r="O14" s="5">
        <v>168.0</v>
      </c>
      <c r="P14" s="5">
        <v>156.0</v>
      </c>
      <c r="Q14" s="5">
        <v>144.0</v>
      </c>
      <c r="R14" s="5">
        <v>132.0</v>
      </c>
      <c r="S14" s="5">
        <v>120.0</v>
      </c>
      <c r="T14" s="5">
        <v>108.0</v>
      </c>
      <c r="U14" s="5">
        <v>96.0</v>
      </c>
      <c r="V14" s="5">
        <v>84.0</v>
      </c>
      <c r="AH14" s="4"/>
      <c r="AI14" s="4"/>
    </row>
    <row r="15">
      <c r="A15" s="2">
        <v>13.0</v>
      </c>
      <c r="B15" s="5">
        <v>351.0</v>
      </c>
      <c r="C15" s="5">
        <v>338.0</v>
      </c>
      <c r="D15" s="5">
        <v>325.0</v>
      </c>
      <c r="E15" s="5">
        <v>312.0</v>
      </c>
      <c r="F15" s="5">
        <v>299.0</v>
      </c>
      <c r="G15" s="5">
        <v>286.0</v>
      </c>
      <c r="H15" s="5">
        <v>273.0</v>
      </c>
      <c r="I15" s="5">
        <v>260.0</v>
      </c>
      <c r="J15" s="5">
        <v>247.0</v>
      </c>
      <c r="K15" s="12">
        <v>234.0</v>
      </c>
      <c r="L15" s="5">
        <v>221.0</v>
      </c>
      <c r="M15" s="5">
        <v>208.0</v>
      </c>
      <c r="N15" s="5">
        <v>195.0</v>
      </c>
      <c r="O15" s="13">
        <v>182.0</v>
      </c>
      <c r="P15" s="5">
        <v>169.0</v>
      </c>
      <c r="Q15" s="5">
        <v>156.0</v>
      </c>
      <c r="R15" s="5">
        <v>143.0</v>
      </c>
      <c r="S15" s="5">
        <v>130.0</v>
      </c>
      <c r="T15" s="5">
        <v>117.0</v>
      </c>
      <c r="U15" s="5">
        <v>104.0</v>
      </c>
      <c r="V15" s="5">
        <v>91.0</v>
      </c>
      <c r="AB15" s="3">
        <v>53.0</v>
      </c>
      <c r="AC15" s="3">
        <v>19.0</v>
      </c>
      <c r="AE15" s="3">
        <v>22.0</v>
      </c>
      <c r="AF15" s="3">
        <v>8.0</v>
      </c>
      <c r="AH15" s="4">
        <f t="shared" ref="AH15:AI15" si="9">AE15/AB15</f>
        <v>0.4150943396</v>
      </c>
      <c r="AI15" s="4">
        <f t="shared" si="9"/>
        <v>0.4210526316</v>
      </c>
      <c r="AK15" s="5">
        <f>(AE15+AF15)/(AB$15+AC$15)</f>
        <v>0.4166666667</v>
      </c>
    </row>
    <row r="16">
      <c r="A16" s="2">
        <v>14.0</v>
      </c>
      <c r="B16" s="5">
        <v>378.0</v>
      </c>
      <c r="C16" s="5">
        <v>364.0</v>
      </c>
      <c r="D16" s="5">
        <v>350.0</v>
      </c>
      <c r="E16" s="5">
        <v>336.0</v>
      </c>
      <c r="F16" s="5">
        <v>322.0</v>
      </c>
      <c r="G16" s="5">
        <v>308.0</v>
      </c>
      <c r="H16" s="5">
        <v>294.0</v>
      </c>
      <c r="I16" s="5">
        <v>280.0</v>
      </c>
      <c r="J16" s="12">
        <v>266.0</v>
      </c>
      <c r="K16" s="5">
        <v>252.0</v>
      </c>
      <c r="L16" s="5">
        <v>238.0</v>
      </c>
      <c r="M16" s="5">
        <v>224.0</v>
      </c>
      <c r="N16" s="13">
        <v>210.0</v>
      </c>
      <c r="O16" s="13">
        <v>196.0</v>
      </c>
      <c r="P16" s="5">
        <v>182.0</v>
      </c>
      <c r="Q16" s="5">
        <v>168.0</v>
      </c>
      <c r="R16" s="5">
        <v>154.0</v>
      </c>
      <c r="S16" s="5">
        <v>140.0</v>
      </c>
      <c r="T16" s="5">
        <v>126.0</v>
      </c>
      <c r="U16" s="5">
        <v>112.0</v>
      </c>
      <c r="V16" s="5">
        <v>98.0</v>
      </c>
      <c r="AB16" s="5">
        <f t="shared" ref="AB16:AC16" si="10">AB15*0.423</f>
        <v>22.419</v>
      </c>
      <c r="AC16" s="5">
        <f t="shared" si="10"/>
        <v>8.037</v>
      </c>
      <c r="AH16" s="4"/>
      <c r="AI16" s="4"/>
    </row>
    <row r="17">
      <c r="A17" s="2">
        <v>15.0</v>
      </c>
      <c r="B17" s="5">
        <v>405.0</v>
      </c>
      <c r="C17" s="5">
        <v>390.0</v>
      </c>
      <c r="D17" s="5">
        <v>375.0</v>
      </c>
      <c r="E17" s="5">
        <v>360.0</v>
      </c>
      <c r="F17" s="5">
        <v>345.0</v>
      </c>
      <c r="G17" s="5">
        <v>330.0</v>
      </c>
      <c r="H17" s="5">
        <v>315.0</v>
      </c>
      <c r="I17" s="12">
        <v>300.0</v>
      </c>
      <c r="J17" s="5">
        <v>285.0</v>
      </c>
      <c r="K17" s="5">
        <v>270.0</v>
      </c>
      <c r="L17" s="5">
        <v>255.0</v>
      </c>
      <c r="M17" s="5">
        <v>240.0</v>
      </c>
      <c r="N17" s="13">
        <v>225.0</v>
      </c>
      <c r="O17" s="13">
        <v>210.0</v>
      </c>
      <c r="P17" s="5">
        <v>195.0</v>
      </c>
      <c r="Q17" s="5">
        <v>180.0</v>
      </c>
      <c r="R17" s="5">
        <v>165.0</v>
      </c>
      <c r="S17" s="5">
        <v>150.0</v>
      </c>
      <c r="T17" s="5">
        <v>135.0</v>
      </c>
      <c r="U17" s="5">
        <v>120.0</v>
      </c>
      <c r="V17" s="5">
        <v>105.0</v>
      </c>
      <c r="AH17" s="4"/>
      <c r="AI17" s="4"/>
    </row>
    <row r="18">
      <c r="A18" s="2">
        <v>16.0</v>
      </c>
      <c r="B18" s="5">
        <v>432.0</v>
      </c>
      <c r="C18" s="5">
        <v>416.0</v>
      </c>
      <c r="D18" s="5">
        <v>400.0</v>
      </c>
      <c r="E18" s="5">
        <v>384.0</v>
      </c>
      <c r="F18" s="5">
        <v>368.0</v>
      </c>
      <c r="G18" s="5">
        <v>352.0</v>
      </c>
      <c r="H18" s="7">
        <v>336.0</v>
      </c>
      <c r="I18" s="5">
        <v>320.0</v>
      </c>
      <c r="J18" s="5">
        <v>304.0</v>
      </c>
      <c r="K18" s="5">
        <v>288.0</v>
      </c>
      <c r="L18" s="5">
        <v>272.0</v>
      </c>
      <c r="M18" s="13">
        <v>256.0</v>
      </c>
      <c r="N18" s="13">
        <v>240.0</v>
      </c>
      <c r="O18" s="13">
        <v>224.0</v>
      </c>
      <c r="P18" s="5">
        <v>208.0</v>
      </c>
      <c r="Q18" s="5">
        <v>192.0</v>
      </c>
      <c r="R18" s="5">
        <v>176.0</v>
      </c>
      <c r="S18" s="5">
        <v>160.0</v>
      </c>
      <c r="T18" s="5">
        <v>144.0</v>
      </c>
      <c r="U18" s="5">
        <v>128.0</v>
      </c>
      <c r="V18" s="5">
        <v>112.0</v>
      </c>
      <c r="AH18" s="4"/>
      <c r="AI18" s="4"/>
    </row>
    <row r="19">
      <c r="A19" s="2">
        <v>17.0</v>
      </c>
      <c r="B19" s="5">
        <v>459.0</v>
      </c>
      <c r="C19" s="5">
        <v>442.0</v>
      </c>
      <c r="D19" s="5">
        <v>425.0</v>
      </c>
      <c r="E19" s="5">
        <v>408.0</v>
      </c>
      <c r="F19" s="5">
        <v>391.0</v>
      </c>
      <c r="G19" s="7">
        <v>374.0</v>
      </c>
      <c r="H19" s="5">
        <v>357.0</v>
      </c>
      <c r="I19" s="5">
        <v>340.0</v>
      </c>
      <c r="J19" s="5">
        <v>323.0</v>
      </c>
      <c r="K19" s="5">
        <v>306.0</v>
      </c>
      <c r="L19" s="13">
        <v>289.0</v>
      </c>
      <c r="M19" s="13">
        <v>272.0</v>
      </c>
      <c r="N19" s="13">
        <v>255.0</v>
      </c>
      <c r="O19" s="13">
        <v>238.0</v>
      </c>
      <c r="P19" s="13">
        <v>221.0</v>
      </c>
      <c r="Q19" s="13">
        <v>204.0</v>
      </c>
      <c r="R19" s="5">
        <v>187.0</v>
      </c>
      <c r="S19" s="5">
        <v>170.0</v>
      </c>
      <c r="T19" s="5">
        <v>153.0</v>
      </c>
      <c r="U19" s="5">
        <v>136.0</v>
      </c>
      <c r="V19" s="5">
        <v>119.0</v>
      </c>
      <c r="AB19" s="3">
        <v>73.0</v>
      </c>
      <c r="AC19" s="3">
        <v>12.0</v>
      </c>
      <c r="AE19" s="3">
        <v>32.0</v>
      </c>
      <c r="AF19" s="3">
        <v>6.0</v>
      </c>
      <c r="AH19" s="4">
        <f t="shared" ref="AH19:AH27" si="12">AE19/73</f>
        <v>0.4383561644</v>
      </c>
      <c r="AI19" s="4">
        <f t="shared" ref="AI19:AI27" si="13">AF19/12</f>
        <v>0.5</v>
      </c>
      <c r="AK19" s="5">
        <f t="shared" ref="AK19:AK27" si="14">(AE19+AF19)/(AB$19+AC$19)</f>
        <v>0.4470588235</v>
      </c>
    </row>
    <row r="20">
      <c r="A20" s="2">
        <v>18.0</v>
      </c>
      <c r="B20" s="5">
        <v>486.0</v>
      </c>
      <c r="C20" s="5">
        <v>468.0</v>
      </c>
      <c r="D20" s="5">
        <v>450.0</v>
      </c>
      <c r="E20" s="7">
        <v>432.0</v>
      </c>
      <c r="F20" s="5">
        <v>414.0</v>
      </c>
      <c r="G20" s="5">
        <v>396.0</v>
      </c>
      <c r="H20" s="5">
        <v>378.0</v>
      </c>
      <c r="I20" s="5">
        <v>360.0</v>
      </c>
      <c r="J20" s="5">
        <v>342.0</v>
      </c>
      <c r="K20" s="13">
        <v>324.0</v>
      </c>
      <c r="L20" s="13">
        <v>306.0</v>
      </c>
      <c r="M20" s="13">
        <v>288.0</v>
      </c>
      <c r="N20" s="13">
        <v>270.0</v>
      </c>
      <c r="O20" s="13">
        <v>252.0</v>
      </c>
      <c r="P20" s="13">
        <v>234.0</v>
      </c>
      <c r="Q20" s="13">
        <v>216.0</v>
      </c>
      <c r="R20" s="13">
        <v>198.0</v>
      </c>
      <c r="S20" s="5">
        <v>180.0</v>
      </c>
      <c r="T20" s="5">
        <v>162.0</v>
      </c>
      <c r="U20" s="5">
        <v>144.0</v>
      </c>
      <c r="V20" s="5">
        <v>126.0</v>
      </c>
      <c r="AB20" s="5">
        <f t="shared" ref="AB20:AC20" si="11">AB19*0.423</f>
        <v>30.879</v>
      </c>
      <c r="AC20" s="5">
        <f t="shared" si="11"/>
        <v>5.076</v>
      </c>
      <c r="AE20" s="3">
        <v>33.0</v>
      </c>
      <c r="AF20" s="3">
        <v>6.0</v>
      </c>
      <c r="AH20" s="4">
        <f t="shared" si="12"/>
        <v>0.4520547945</v>
      </c>
      <c r="AI20" s="4">
        <f t="shared" si="13"/>
        <v>0.5</v>
      </c>
      <c r="AK20" s="5">
        <f t="shared" si="14"/>
        <v>0.4588235294</v>
      </c>
    </row>
    <row r="21">
      <c r="A21" s="2">
        <v>19.0</v>
      </c>
      <c r="B21" s="7">
        <v>513.0</v>
      </c>
      <c r="C21" s="7">
        <v>494.0</v>
      </c>
      <c r="D21" s="5">
        <v>475.0</v>
      </c>
      <c r="E21" s="5">
        <v>456.0</v>
      </c>
      <c r="F21" s="5">
        <v>437.0</v>
      </c>
      <c r="G21" s="5">
        <v>418.0</v>
      </c>
      <c r="H21" s="5">
        <v>399.0</v>
      </c>
      <c r="I21" s="5">
        <v>380.0</v>
      </c>
      <c r="J21" s="5">
        <v>361.0</v>
      </c>
      <c r="K21" s="13">
        <v>342.0</v>
      </c>
      <c r="L21" s="13">
        <v>323.0</v>
      </c>
      <c r="M21" s="13">
        <v>304.0</v>
      </c>
      <c r="N21" s="13">
        <v>285.0</v>
      </c>
      <c r="O21" s="13">
        <v>266.0</v>
      </c>
      <c r="P21" s="13">
        <v>247.0</v>
      </c>
      <c r="Q21" s="13">
        <v>228.0</v>
      </c>
      <c r="R21" s="13">
        <v>209.0</v>
      </c>
      <c r="S21" s="13">
        <v>190.0</v>
      </c>
      <c r="T21" s="13">
        <v>171.0</v>
      </c>
      <c r="U21" s="5">
        <v>152.0</v>
      </c>
      <c r="V21" s="5">
        <v>133.0</v>
      </c>
      <c r="AE21" s="3">
        <v>31.0</v>
      </c>
      <c r="AF21" s="3">
        <v>5.0</v>
      </c>
      <c r="AH21" s="4">
        <f t="shared" si="12"/>
        <v>0.4246575342</v>
      </c>
      <c r="AI21" s="4">
        <f t="shared" si="13"/>
        <v>0.4166666667</v>
      </c>
      <c r="AK21" s="5">
        <f t="shared" si="14"/>
        <v>0.4235294118</v>
      </c>
    </row>
    <row r="22">
      <c r="A22" s="2">
        <v>20.0</v>
      </c>
      <c r="B22" s="5">
        <v>540.0</v>
      </c>
      <c r="C22" s="5">
        <v>520.0</v>
      </c>
      <c r="D22" s="5">
        <v>500.0</v>
      </c>
      <c r="E22" s="5">
        <v>480.0</v>
      </c>
      <c r="F22" s="5">
        <v>460.0</v>
      </c>
      <c r="G22" s="5">
        <v>440.0</v>
      </c>
      <c r="H22" s="5">
        <v>420.0</v>
      </c>
      <c r="I22" s="5">
        <v>400.0</v>
      </c>
      <c r="J22" s="5">
        <v>380.0</v>
      </c>
      <c r="K22" s="5">
        <v>360.0</v>
      </c>
      <c r="L22" s="5">
        <v>340.0</v>
      </c>
      <c r="M22" s="13">
        <v>320.0</v>
      </c>
      <c r="N22" s="13">
        <v>300.0</v>
      </c>
      <c r="O22" s="13">
        <v>280.0</v>
      </c>
      <c r="P22" s="13">
        <v>260.0</v>
      </c>
      <c r="Q22" s="13">
        <v>240.0</v>
      </c>
      <c r="R22" s="13">
        <v>220.0</v>
      </c>
      <c r="S22" s="13">
        <v>200.0</v>
      </c>
      <c r="T22" s="13">
        <v>180.0</v>
      </c>
      <c r="U22" s="5">
        <v>160.0</v>
      </c>
      <c r="V22" s="5">
        <v>140.0</v>
      </c>
      <c r="AE22" s="3">
        <v>32.0</v>
      </c>
      <c r="AF22" s="3">
        <v>5.0</v>
      </c>
      <c r="AH22" s="4">
        <f t="shared" si="12"/>
        <v>0.4383561644</v>
      </c>
      <c r="AI22" s="4">
        <f t="shared" si="13"/>
        <v>0.4166666667</v>
      </c>
      <c r="AK22" s="5">
        <f t="shared" si="14"/>
        <v>0.4352941176</v>
      </c>
    </row>
    <row r="23">
      <c r="A23" s="2">
        <v>21.0</v>
      </c>
      <c r="B23" s="5">
        <v>567.0</v>
      </c>
      <c r="C23" s="5">
        <v>546.0</v>
      </c>
      <c r="D23" s="5">
        <v>525.0</v>
      </c>
      <c r="E23" s="5">
        <v>504.0</v>
      </c>
      <c r="F23" s="5">
        <v>483.0</v>
      </c>
      <c r="G23" s="5">
        <v>462.0</v>
      </c>
      <c r="H23" s="5">
        <v>441.0</v>
      </c>
      <c r="I23" s="5">
        <v>420.0</v>
      </c>
      <c r="J23" s="5">
        <v>399.0</v>
      </c>
      <c r="K23" s="5">
        <v>378.0</v>
      </c>
      <c r="L23" s="5">
        <v>357.0</v>
      </c>
      <c r="M23" s="5">
        <v>336.0</v>
      </c>
      <c r="N23" s="13">
        <v>315.0</v>
      </c>
      <c r="O23" s="13">
        <v>294.0</v>
      </c>
      <c r="P23" s="13">
        <v>273.0</v>
      </c>
      <c r="Q23" s="13">
        <v>252.0</v>
      </c>
      <c r="R23" s="13">
        <v>231.0</v>
      </c>
      <c r="S23" s="13">
        <v>210.0</v>
      </c>
      <c r="T23" s="5">
        <v>189.0</v>
      </c>
      <c r="U23" s="5">
        <v>168.0</v>
      </c>
      <c r="V23" s="5">
        <v>147.0</v>
      </c>
      <c r="AE23" s="3">
        <v>33.0</v>
      </c>
      <c r="AF23" s="3">
        <v>5.0</v>
      </c>
      <c r="AH23" s="4">
        <f t="shared" si="12"/>
        <v>0.4520547945</v>
      </c>
      <c r="AI23" s="4">
        <f t="shared" si="13"/>
        <v>0.4166666667</v>
      </c>
      <c r="AK23" s="5">
        <f t="shared" si="14"/>
        <v>0.4470588235</v>
      </c>
    </row>
    <row r="24">
      <c r="A24" s="2">
        <v>22.0</v>
      </c>
      <c r="B24" s="5">
        <v>594.0</v>
      </c>
      <c r="C24" s="5">
        <v>572.0</v>
      </c>
      <c r="D24" s="5">
        <v>550.0</v>
      </c>
      <c r="E24" s="5">
        <v>528.0</v>
      </c>
      <c r="F24" s="5">
        <v>506.0</v>
      </c>
      <c r="G24" s="5">
        <v>484.0</v>
      </c>
      <c r="H24" s="5">
        <v>462.0</v>
      </c>
      <c r="I24" s="5">
        <v>440.0</v>
      </c>
      <c r="J24" s="5">
        <v>418.0</v>
      </c>
      <c r="K24" s="5">
        <v>396.0</v>
      </c>
      <c r="L24" s="5">
        <v>374.0</v>
      </c>
      <c r="M24" s="5">
        <v>352.0</v>
      </c>
      <c r="N24" s="5">
        <v>330.0</v>
      </c>
      <c r="O24" s="5">
        <v>308.0</v>
      </c>
      <c r="P24" s="13">
        <v>286.0</v>
      </c>
      <c r="Q24" s="13">
        <v>264.0</v>
      </c>
      <c r="R24" s="13">
        <v>242.0</v>
      </c>
      <c r="S24" s="5">
        <v>220.0</v>
      </c>
      <c r="T24" s="5">
        <v>198.0</v>
      </c>
      <c r="U24" s="5">
        <v>176.0</v>
      </c>
      <c r="V24" s="5">
        <v>154.0</v>
      </c>
      <c r="AE24" s="3">
        <v>34.0</v>
      </c>
      <c r="AF24" s="3">
        <v>5.0</v>
      </c>
      <c r="AH24" s="4">
        <f t="shared" si="12"/>
        <v>0.4657534247</v>
      </c>
      <c r="AI24" s="4">
        <f t="shared" si="13"/>
        <v>0.4166666667</v>
      </c>
      <c r="AK24" s="5">
        <f t="shared" si="14"/>
        <v>0.4588235294</v>
      </c>
    </row>
    <row r="25">
      <c r="A25" s="2">
        <v>23.0</v>
      </c>
      <c r="B25" s="5">
        <v>621.0</v>
      </c>
      <c r="C25" s="5">
        <v>598.0</v>
      </c>
      <c r="D25" s="5">
        <v>575.0</v>
      </c>
      <c r="E25" s="5">
        <v>552.0</v>
      </c>
      <c r="F25" s="5">
        <v>529.0</v>
      </c>
      <c r="G25" s="5">
        <v>506.0</v>
      </c>
      <c r="H25" s="5">
        <v>483.0</v>
      </c>
      <c r="I25" s="5">
        <v>460.0</v>
      </c>
      <c r="J25" s="5">
        <v>437.0</v>
      </c>
      <c r="K25" s="5">
        <v>414.0</v>
      </c>
      <c r="L25" s="5">
        <v>391.0</v>
      </c>
      <c r="M25" s="5">
        <v>368.0</v>
      </c>
      <c r="N25" s="5">
        <v>345.0</v>
      </c>
      <c r="O25" s="5">
        <v>322.0</v>
      </c>
      <c r="P25" s="13">
        <v>299.0</v>
      </c>
      <c r="Q25" s="13">
        <v>276.0</v>
      </c>
      <c r="R25" s="5">
        <v>253.0</v>
      </c>
      <c r="S25" s="5">
        <v>230.0</v>
      </c>
      <c r="T25" s="5">
        <v>207.0</v>
      </c>
      <c r="U25" s="5">
        <v>184.0</v>
      </c>
      <c r="V25" s="12">
        <v>161.0</v>
      </c>
      <c r="AE25" s="3">
        <v>35.0</v>
      </c>
      <c r="AF25" s="3">
        <v>5.0</v>
      </c>
      <c r="AH25" s="4">
        <f t="shared" si="12"/>
        <v>0.4794520548</v>
      </c>
      <c r="AI25" s="4">
        <f t="shared" si="13"/>
        <v>0.4166666667</v>
      </c>
      <c r="AK25" s="5">
        <f t="shared" si="14"/>
        <v>0.4705882353</v>
      </c>
    </row>
    <row r="26">
      <c r="A26" s="2">
        <v>24.0</v>
      </c>
      <c r="B26" s="5">
        <v>648.0</v>
      </c>
      <c r="C26" s="5">
        <v>624.0</v>
      </c>
      <c r="D26" s="5">
        <v>600.0</v>
      </c>
      <c r="E26" s="5">
        <v>576.0</v>
      </c>
      <c r="F26" s="5">
        <v>552.0</v>
      </c>
      <c r="G26" s="5">
        <v>528.0</v>
      </c>
      <c r="H26" s="5">
        <v>504.0</v>
      </c>
      <c r="I26" s="5">
        <v>480.0</v>
      </c>
      <c r="J26" s="5">
        <v>456.0</v>
      </c>
      <c r="K26" s="5">
        <v>432.0</v>
      </c>
      <c r="L26" s="5">
        <v>408.0</v>
      </c>
      <c r="M26" s="5">
        <v>384.0</v>
      </c>
      <c r="N26" s="5">
        <v>360.0</v>
      </c>
      <c r="O26" s="5">
        <v>336.0</v>
      </c>
      <c r="P26" s="13">
        <v>312.0</v>
      </c>
      <c r="Q26" s="13">
        <v>288.0</v>
      </c>
      <c r="R26" s="5">
        <v>264.0</v>
      </c>
      <c r="S26" s="5">
        <v>240.0</v>
      </c>
      <c r="T26" s="5">
        <v>216.0</v>
      </c>
      <c r="U26" s="12">
        <v>192.0</v>
      </c>
      <c r="V26" s="5">
        <v>168.0</v>
      </c>
      <c r="AE26" s="3">
        <v>36.0</v>
      </c>
      <c r="AF26" s="3">
        <v>5.0</v>
      </c>
      <c r="AH26" s="4">
        <f t="shared" si="12"/>
        <v>0.4931506849</v>
      </c>
      <c r="AI26" s="4">
        <f t="shared" si="13"/>
        <v>0.4166666667</v>
      </c>
      <c r="AK26" s="5">
        <f t="shared" si="14"/>
        <v>0.4823529412</v>
      </c>
    </row>
    <row r="27">
      <c r="A27" s="2">
        <v>25.0</v>
      </c>
      <c r="B27" s="5">
        <v>675.0</v>
      </c>
      <c r="C27" s="5">
        <v>650.0</v>
      </c>
      <c r="D27" s="5">
        <v>625.0</v>
      </c>
      <c r="E27" s="5">
        <v>600.0</v>
      </c>
      <c r="F27" s="5">
        <v>575.0</v>
      </c>
      <c r="G27" s="5">
        <v>550.0</v>
      </c>
      <c r="H27" s="5">
        <v>525.0</v>
      </c>
      <c r="I27" s="5">
        <v>500.0</v>
      </c>
      <c r="J27" s="5">
        <v>475.0</v>
      </c>
      <c r="K27" s="5">
        <v>450.0</v>
      </c>
      <c r="L27" s="5">
        <v>425.0</v>
      </c>
      <c r="M27" s="5">
        <v>400.0</v>
      </c>
      <c r="N27" s="5">
        <v>375.0</v>
      </c>
      <c r="O27" s="5">
        <v>350.0</v>
      </c>
      <c r="P27" s="13">
        <v>325.0</v>
      </c>
      <c r="Q27" s="5">
        <v>300.0</v>
      </c>
      <c r="R27" s="5">
        <v>275.0</v>
      </c>
      <c r="S27" s="5">
        <v>250.0</v>
      </c>
      <c r="T27" s="12">
        <v>225.0</v>
      </c>
      <c r="U27" s="5">
        <v>200.0</v>
      </c>
      <c r="V27" s="5">
        <v>175.0</v>
      </c>
      <c r="AE27" s="3">
        <v>37.0</v>
      </c>
      <c r="AF27" s="3">
        <v>5.0</v>
      </c>
      <c r="AH27" s="4">
        <f t="shared" si="12"/>
        <v>0.5068493151</v>
      </c>
      <c r="AI27" s="4">
        <f t="shared" si="13"/>
        <v>0.4166666667</v>
      </c>
      <c r="AK27" s="5">
        <f t="shared" si="14"/>
        <v>0.4941176471</v>
      </c>
    </row>
    <row r="28">
      <c r="A28" s="2">
        <v>26.0</v>
      </c>
      <c r="B28" s="5">
        <v>702.0</v>
      </c>
      <c r="C28" s="5">
        <v>676.0</v>
      </c>
      <c r="D28" s="5">
        <v>650.0</v>
      </c>
      <c r="E28" s="5">
        <v>624.0</v>
      </c>
      <c r="F28" s="5">
        <v>598.0</v>
      </c>
      <c r="G28" s="5">
        <v>572.0</v>
      </c>
      <c r="H28" s="5">
        <v>546.0</v>
      </c>
      <c r="I28" s="5">
        <v>520.0</v>
      </c>
      <c r="J28" s="5">
        <v>494.0</v>
      </c>
      <c r="K28" s="5">
        <v>468.0</v>
      </c>
      <c r="L28" s="5">
        <v>442.0</v>
      </c>
      <c r="M28" s="5">
        <v>416.0</v>
      </c>
      <c r="N28" s="5">
        <v>390.0</v>
      </c>
      <c r="O28" s="5">
        <v>364.0</v>
      </c>
      <c r="P28" s="5">
        <v>338.0</v>
      </c>
      <c r="Q28" s="5">
        <v>312.0</v>
      </c>
      <c r="R28" s="5">
        <v>286.0</v>
      </c>
      <c r="S28" s="5">
        <v>260.0</v>
      </c>
      <c r="T28" s="5">
        <v>234.0</v>
      </c>
      <c r="U28" s="5">
        <v>208.0</v>
      </c>
      <c r="V28" s="5">
        <v>182.0</v>
      </c>
      <c r="AH28" s="4"/>
      <c r="AI28" s="4"/>
    </row>
    <row r="29">
      <c r="A29" s="2">
        <v>27.0</v>
      </c>
      <c r="B29" s="5">
        <v>729.0</v>
      </c>
      <c r="C29" s="5">
        <v>702.0</v>
      </c>
      <c r="D29" s="5">
        <v>675.0</v>
      </c>
      <c r="E29" s="5">
        <v>648.0</v>
      </c>
      <c r="F29" s="5">
        <v>621.0</v>
      </c>
      <c r="G29" s="5">
        <v>594.0</v>
      </c>
      <c r="H29" s="5">
        <v>567.0</v>
      </c>
      <c r="I29" s="5">
        <v>540.0</v>
      </c>
      <c r="J29" s="5">
        <v>513.0</v>
      </c>
      <c r="K29" s="5">
        <v>486.0</v>
      </c>
      <c r="L29" s="5">
        <v>459.0</v>
      </c>
      <c r="M29" s="5">
        <v>432.0</v>
      </c>
      <c r="N29" s="5">
        <v>405.0</v>
      </c>
      <c r="O29" s="5">
        <v>378.0</v>
      </c>
      <c r="P29" s="5">
        <v>351.0</v>
      </c>
      <c r="Q29" s="5">
        <v>324.0</v>
      </c>
      <c r="R29" s="5">
        <v>297.0</v>
      </c>
      <c r="S29" s="12">
        <v>270.0</v>
      </c>
      <c r="T29" s="5">
        <v>243.0</v>
      </c>
      <c r="U29" s="5">
        <v>216.0</v>
      </c>
      <c r="V29" s="5">
        <v>189.0</v>
      </c>
      <c r="AB29" s="3">
        <v>45.0</v>
      </c>
      <c r="AC29" s="3">
        <v>23.0</v>
      </c>
      <c r="AE29" s="3">
        <v>18.0</v>
      </c>
      <c r="AF29" s="3">
        <v>10.0</v>
      </c>
      <c r="AH29" s="4">
        <f t="shared" ref="AH29:AH31" si="16">AE29/45</f>
        <v>0.4</v>
      </c>
      <c r="AI29" s="4">
        <f t="shared" ref="AI29:AI31" si="17">AF29/23</f>
        <v>0.4347826087</v>
      </c>
      <c r="AK29" s="5">
        <f t="shared" ref="AK29:AK31" si="18">(AE29+AF29)/(AB$29+AC$29)</f>
        <v>0.4117647059</v>
      </c>
    </row>
    <row r="30">
      <c r="A30" s="2">
        <v>28.0</v>
      </c>
      <c r="B30" s="5">
        <v>756.0</v>
      </c>
      <c r="C30" s="5">
        <v>728.0</v>
      </c>
      <c r="D30" s="5">
        <v>700.0</v>
      </c>
      <c r="E30" s="5">
        <v>672.0</v>
      </c>
      <c r="F30" s="5">
        <v>644.0</v>
      </c>
      <c r="G30" s="5">
        <v>616.0</v>
      </c>
      <c r="H30" s="5">
        <v>588.0</v>
      </c>
      <c r="I30" s="5">
        <v>560.0</v>
      </c>
      <c r="J30" s="5">
        <v>532.0</v>
      </c>
      <c r="K30" s="5">
        <v>504.0</v>
      </c>
      <c r="L30" s="5">
        <v>476.0</v>
      </c>
      <c r="M30" s="5">
        <v>448.0</v>
      </c>
      <c r="N30" s="5">
        <v>420.0</v>
      </c>
      <c r="O30" s="5">
        <v>392.0</v>
      </c>
      <c r="P30" s="5">
        <v>364.0</v>
      </c>
      <c r="Q30" s="5">
        <v>336.0</v>
      </c>
      <c r="R30" s="5">
        <v>308.0</v>
      </c>
      <c r="S30" s="5">
        <v>280.0</v>
      </c>
      <c r="T30" s="5">
        <v>252.0</v>
      </c>
      <c r="U30" s="5">
        <v>224.0</v>
      </c>
      <c r="V30" s="5">
        <v>196.0</v>
      </c>
      <c r="AB30" s="5">
        <f t="shared" ref="AB30:AC30" si="15">AB29*0.423</f>
        <v>19.035</v>
      </c>
      <c r="AC30" s="5">
        <f t="shared" si="15"/>
        <v>9.729</v>
      </c>
      <c r="AE30" s="3">
        <v>19.0</v>
      </c>
      <c r="AF30" s="3">
        <v>10.0</v>
      </c>
      <c r="AH30" s="4">
        <f t="shared" si="16"/>
        <v>0.4222222222</v>
      </c>
      <c r="AI30" s="4">
        <f t="shared" si="17"/>
        <v>0.4347826087</v>
      </c>
      <c r="AK30" s="5">
        <f t="shared" si="18"/>
        <v>0.4264705882</v>
      </c>
    </row>
    <row r="31">
      <c r="A31" s="2">
        <v>29.0</v>
      </c>
      <c r="B31" s="5">
        <v>783.0</v>
      </c>
      <c r="C31" s="5">
        <v>754.0</v>
      </c>
      <c r="D31" s="5">
        <v>725.0</v>
      </c>
      <c r="E31" s="5">
        <v>696.0</v>
      </c>
      <c r="F31" s="5">
        <v>667.0</v>
      </c>
      <c r="G31" s="5">
        <v>638.0</v>
      </c>
      <c r="H31" s="5">
        <v>609.0</v>
      </c>
      <c r="I31" s="5">
        <v>580.0</v>
      </c>
      <c r="J31" s="5">
        <v>551.0</v>
      </c>
      <c r="K31" s="5">
        <v>522.0</v>
      </c>
      <c r="L31" s="5">
        <v>493.0</v>
      </c>
      <c r="M31" s="5">
        <v>464.0</v>
      </c>
      <c r="N31" s="5">
        <v>435.0</v>
      </c>
      <c r="O31" s="5">
        <v>406.0</v>
      </c>
      <c r="P31" s="5">
        <v>377.0</v>
      </c>
      <c r="Q31" s="5">
        <v>348.0</v>
      </c>
      <c r="R31" s="7">
        <v>319.0</v>
      </c>
      <c r="S31" s="5">
        <v>290.0</v>
      </c>
      <c r="T31" s="5">
        <v>261.0</v>
      </c>
      <c r="U31" s="5">
        <v>232.0</v>
      </c>
      <c r="V31" s="5">
        <v>203.0</v>
      </c>
      <c r="AE31" s="3">
        <v>20.0</v>
      </c>
      <c r="AF31" s="3">
        <v>9.0</v>
      </c>
      <c r="AH31" s="4">
        <f t="shared" si="16"/>
        <v>0.4444444444</v>
      </c>
      <c r="AI31" s="4">
        <f t="shared" si="17"/>
        <v>0.3913043478</v>
      </c>
      <c r="AK31" s="5">
        <f t="shared" si="18"/>
        <v>0.4264705882</v>
      </c>
    </row>
    <row r="32">
      <c r="A32" s="2">
        <v>30.0</v>
      </c>
      <c r="B32" s="5">
        <v>810.0</v>
      </c>
      <c r="C32" s="5">
        <v>780.0</v>
      </c>
      <c r="D32" s="5">
        <v>750.0</v>
      </c>
      <c r="E32" s="5">
        <v>720.0</v>
      </c>
      <c r="F32" s="5">
        <v>690.0</v>
      </c>
      <c r="G32" s="5">
        <v>660.0</v>
      </c>
      <c r="H32" s="5">
        <v>630.0</v>
      </c>
      <c r="I32" s="5">
        <v>600.0</v>
      </c>
      <c r="J32" s="5">
        <v>570.0</v>
      </c>
      <c r="K32" s="5">
        <v>540.0</v>
      </c>
      <c r="L32" s="5">
        <v>510.0</v>
      </c>
      <c r="M32" s="5">
        <v>480.0</v>
      </c>
      <c r="N32" s="5">
        <v>450.0</v>
      </c>
      <c r="O32" s="5">
        <v>420.0</v>
      </c>
      <c r="P32" s="5">
        <v>390.0</v>
      </c>
      <c r="Q32" s="5">
        <v>360.0</v>
      </c>
      <c r="R32" s="5">
        <v>330.0</v>
      </c>
      <c r="S32" s="5">
        <v>300.0</v>
      </c>
      <c r="T32" s="5">
        <v>270.0</v>
      </c>
      <c r="U32" s="5">
        <v>240.0</v>
      </c>
      <c r="V32" s="5">
        <v>210.0</v>
      </c>
      <c r="AH32" s="4"/>
      <c r="AI32" s="4"/>
    </row>
    <row r="33">
      <c r="A33" s="2">
        <v>31.0</v>
      </c>
      <c r="B33" s="5">
        <v>837.0</v>
      </c>
      <c r="C33" s="5">
        <v>806.0</v>
      </c>
      <c r="D33" s="5">
        <v>775.0</v>
      </c>
      <c r="E33" s="5">
        <v>744.0</v>
      </c>
      <c r="F33" s="5">
        <v>713.0</v>
      </c>
      <c r="G33" s="5">
        <v>682.0</v>
      </c>
      <c r="H33" s="5">
        <v>651.0</v>
      </c>
      <c r="I33" s="5">
        <v>620.0</v>
      </c>
      <c r="J33" s="5">
        <v>589.0</v>
      </c>
      <c r="K33" s="5">
        <v>558.0</v>
      </c>
      <c r="L33" s="5">
        <v>527.0</v>
      </c>
      <c r="M33" s="5">
        <v>496.0</v>
      </c>
      <c r="N33" s="5">
        <v>465.0</v>
      </c>
      <c r="O33" s="5">
        <v>434.0</v>
      </c>
      <c r="P33" s="5">
        <v>403.0</v>
      </c>
      <c r="Q33" s="7">
        <v>372.0</v>
      </c>
      <c r="R33" s="5">
        <v>341.0</v>
      </c>
      <c r="S33" s="5">
        <v>310.0</v>
      </c>
      <c r="T33" s="5">
        <v>279.0</v>
      </c>
      <c r="U33" s="5">
        <v>248.0</v>
      </c>
      <c r="V33" s="5">
        <v>217.0</v>
      </c>
      <c r="AH33" s="4"/>
      <c r="AI33" s="4"/>
    </row>
    <row r="34">
      <c r="A34" s="2">
        <v>32.0</v>
      </c>
      <c r="B34" s="5">
        <v>864.0</v>
      </c>
      <c r="C34" s="5">
        <v>832.0</v>
      </c>
      <c r="D34" s="5">
        <v>800.0</v>
      </c>
      <c r="E34" s="5">
        <v>768.0</v>
      </c>
      <c r="F34" s="5">
        <v>736.0</v>
      </c>
      <c r="G34" s="5">
        <v>704.0</v>
      </c>
      <c r="H34" s="5">
        <v>672.0</v>
      </c>
      <c r="I34" s="5">
        <v>640.0</v>
      </c>
      <c r="J34" s="5">
        <v>608.0</v>
      </c>
      <c r="K34" s="5">
        <v>576.0</v>
      </c>
      <c r="L34" s="5">
        <v>544.0</v>
      </c>
      <c r="M34" s="5">
        <v>512.0</v>
      </c>
      <c r="N34" s="5">
        <v>480.0</v>
      </c>
      <c r="O34" s="5">
        <v>448.0</v>
      </c>
      <c r="P34" s="5">
        <v>416.0</v>
      </c>
      <c r="Q34" s="5">
        <v>384.0</v>
      </c>
      <c r="R34" s="5">
        <v>352.0</v>
      </c>
      <c r="S34" s="5">
        <v>320.0</v>
      </c>
      <c r="T34" s="5">
        <v>288.0</v>
      </c>
      <c r="U34" s="5">
        <v>256.0</v>
      </c>
      <c r="V34" s="5">
        <v>224.0</v>
      </c>
      <c r="AC34" s="5">
        <f>sqrt(2)</f>
        <v>1.414213562</v>
      </c>
      <c r="AH34" s="4">
        <f>100*100*10000</f>
        <v>100000000</v>
      </c>
      <c r="AI34" s="4"/>
    </row>
    <row r="35">
      <c r="A35" s="2">
        <v>33.0</v>
      </c>
      <c r="B35" s="5">
        <v>891.0</v>
      </c>
      <c r="C35" s="5">
        <v>858.0</v>
      </c>
      <c r="D35" s="5">
        <v>825.0</v>
      </c>
      <c r="E35" s="5">
        <v>792.0</v>
      </c>
      <c r="F35" s="5">
        <v>759.0</v>
      </c>
      <c r="G35" s="5">
        <v>726.0</v>
      </c>
      <c r="H35" s="5">
        <v>693.0</v>
      </c>
      <c r="I35" s="5">
        <v>660.0</v>
      </c>
      <c r="J35" s="5">
        <v>627.0</v>
      </c>
      <c r="K35" s="5">
        <v>594.0</v>
      </c>
      <c r="L35" s="5">
        <v>561.0</v>
      </c>
      <c r="M35" s="5">
        <v>528.0</v>
      </c>
      <c r="N35" s="5">
        <v>495.0</v>
      </c>
      <c r="O35" s="5">
        <v>462.0</v>
      </c>
      <c r="P35" s="5">
        <v>429.0</v>
      </c>
      <c r="Q35" s="5">
        <v>396.0</v>
      </c>
      <c r="R35" s="5">
        <v>363.0</v>
      </c>
      <c r="S35" s="5">
        <v>330.0</v>
      </c>
      <c r="T35" s="5">
        <v>297.0</v>
      </c>
      <c r="U35" s="5">
        <v>264.0</v>
      </c>
      <c r="V35" s="5">
        <v>231.0</v>
      </c>
      <c r="AH35" s="4"/>
      <c r="AI35" s="4"/>
    </row>
    <row r="36">
      <c r="A36" s="2">
        <v>34.0</v>
      </c>
      <c r="B36" s="5">
        <v>918.0</v>
      </c>
      <c r="C36" s="5">
        <v>884.0</v>
      </c>
      <c r="D36" s="5">
        <v>850.0</v>
      </c>
      <c r="E36" s="5">
        <v>816.0</v>
      </c>
      <c r="F36" s="5">
        <v>782.0</v>
      </c>
      <c r="G36" s="5">
        <v>748.0</v>
      </c>
      <c r="H36" s="5">
        <v>714.0</v>
      </c>
      <c r="I36" s="5">
        <v>680.0</v>
      </c>
      <c r="J36" s="5">
        <v>646.0</v>
      </c>
      <c r="K36" s="5">
        <v>612.0</v>
      </c>
      <c r="L36" s="5">
        <v>578.0</v>
      </c>
      <c r="M36" s="5">
        <v>544.0</v>
      </c>
      <c r="N36" s="5">
        <v>510.0</v>
      </c>
      <c r="O36" s="5">
        <v>476.0</v>
      </c>
      <c r="P36" s="5">
        <v>442.0</v>
      </c>
      <c r="Q36" s="5">
        <v>408.0</v>
      </c>
      <c r="R36" s="5">
        <v>374.0</v>
      </c>
      <c r="S36" s="5">
        <v>340.0</v>
      </c>
      <c r="T36" s="5">
        <v>306.0</v>
      </c>
      <c r="U36" s="5">
        <v>272.0</v>
      </c>
      <c r="V36" s="5">
        <v>238.0</v>
      </c>
      <c r="AH36" s="4"/>
      <c r="AI36" s="4"/>
    </row>
    <row r="37">
      <c r="A37" s="2">
        <v>35.0</v>
      </c>
      <c r="B37" s="5">
        <v>945.0</v>
      </c>
      <c r="C37" s="5">
        <v>910.0</v>
      </c>
      <c r="D37" s="5">
        <v>875.0</v>
      </c>
      <c r="E37" s="5">
        <v>840.0</v>
      </c>
      <c r="F37" s="5">
        <v>805.0</v>
      </c>
      <c r="G37" s="5">
        <v>770.0</v>
      </c>
      <c r="H37" s="5">
        <v>735.0</v>
      </c>
      <c r="I37" s="5">
        <v>700.0</v>
      </c>
      <c r="J37" s="5">
        <v>665.0</v>
      </c>
      <c r="K37" s="5">
        <v>630.0</v>
      </c>
      <c r="L37" s="5">
        <v>595.0</v>
      </c>
      <c r="M37" s="5">
        <v>560.0</v>
      </c>
      <c r="N37" s="5">
        <v>525.0</v>
      </c>
      <c r="O37" s="5">
        <v>490.0</v>
      </c>
      <c r="P37" s="7">
        <v>455.0</v>
      </c>
      <c r="Q37" s="5">
        <v>420.0</v>
      </c>
      <c r="R37" s="5">
        <v>385.0</v>
      </c>
      <c r="S37" s="5">
        <v>350.0</v>
      </c>
      <c r="T37" s="5">
        <v>315.0</v>
      </c>
      <c r="U37" s="5">
        <v>280.0</v>
      </c>
      <c r="V37" s="5">
        <v>245.0</v>
      </c>
      <c r="AH37" s="4"/>
      <c r="AI37" s="4"/>
    </row>
    <row r="38">
      <c r="A38" s="2">
        <v>36.0</v>
      </c>
      <c r="B38" s="5">
        <v>972.0</v>
      </c>
      <c r="C38" s="5">
        <v>936.0</v>
      </c>
      <c r="D38" s="5">
        <v>900.0</v>
      </c>
      <c r="E38" s="5">
        <v>864.0</v>
      </c>
      <c r="F38" s="5">
        <v>828.0</v>
      </c>
      <c r="G38" s="5">
        <v>792.0</v>
      </c>
      <c r="H38" s="5">
        <v>756.0</v>
      </c>
      <c r="I38" s="5">
        <v>720.0</v>
      </c>
      <c r="J38" s="5">
        <v>684.0</v>
      </c>
      <c r="K38" s="5">
        <v>648.0</v>
      </c>
      <c r="L38" s="5">
        <v>612.0</v>
      </c>
      <c r="M38" s="5">
        <v>576.0</v>
      </c>
      <c r="N38" s="5">
        <v>540.0</v>
      </c>
      <c r="O38" s="5">
        <v>504.0</v>
      </c>
      <c r="P38" s="5">
        <v>468.0</v>
      </c>
      <c r="Q38" s="5">
        <v>432.0</v>
      </c>
      <c r="R38" s="5">
        <v>396.0</v>
      </c>
      <c r="S38" s="5">
        <v>360.0</v>
      </c>
      <c r="T38" s="5">
        <v>324.0</v>
      </c>
      <c r="U38" s="5">
        <v>288.0</v>
      </c>
      <c r="V38" s="5">
        <v>252.0</v>
      </c>
      <c r="AH38" s="4"/>
      <c r="AI38" s="4"/>
    </row>
    <row r="39">
      <c r="A39" s="2">
        <v>37.0</v>
      </c>
      <c r="B39" s="5">
        <v>999.0</v>
      </c>
      <c r="C39" s="5">
        <v>962.0</v>
      </c>
      <c r="D39" s="5">
        <v>925.0</v>
      </c>
      <c r="E39" s="5">
        <v>888.0</v>
      </c>
      <c r="F39" s="5">
        <v>851.0</v>
      </c>
      <c r="G39" s="5">
        <v>814.0</v>
      </c>
      <c r="H39" s="5">
        <v>777.0</v>
      </c>
      <c r="I39" s="5">
        <v>740.0</v>
      </c>
      <c r="J39" s="5">
        <v>703.0</v>
      </c>
      <c r="K39" s="5">
        <v>666.0</v>
      </c>
      <c r="L39" s="5">
        <v>629.0</v>
      </c>
      <c r="M39" s="5">
        <v>592.0</v>
      </c>
      <c r="N39" s="5">
        <v>555.0</v>
      </c>
      <c r="O39" s="5">
        <v>518.0</v>
      </c>
      <c r="P39" s="5">
        <v>481.0</v>
      </c>
      <c r="Q39" s="5">
        <v>444.0</v>
      </c>
      <c r="R39" s="5">
        <v>407.0</v>
      </c>
      <c r="S39" s="5">
        <v>370.0</v>
      </c>
      <c r="T39" s="5">
        <v>333.0</v>
      </c>
      <c r="U39" s="5">
        <v>296.0</v>
      </c>
      <c r="V39" s="5">
        <v>259.0</v>
      </c>
      <c r="AH39" s="4"/>
      <c r="AI39" s="4"/>
    </row>
    <row r="40">
      <c r="A40" s="2">
        <v>38.0</v>
      </c>
      <c r="B40" s="5">
        <v>1026.0</v>
      </c>
      <c r="C40" s="5">
        <v>988.0</v>
      </c>
      <c r="D40" s="5">
        <v>950.0</v>
      </c>
      <c r="E40" s="5">
        <v>912.0</v>
      </c>
      <c r="F40" s="5">
        <v>874.0</v>
      </c>
      <c r="G40" s="5">
        <v>836.0</v>
      </c>
      <c r="H40" s="5">
        <v>798.0</v>
      </c>
      <c r="I40" s="5">
        <v>760.0</v>
      </c>
      <c r="J40" s="5">
        <v>722.0</v>
      </c>
      <c r="K40" s="5">
        <v>684.0</v>
      </c>
      <c r="L40" s="5">
        <v>646.0</v>
      </c>
      <c r="M40" s="5">
        <v>608.0</v>
      </c>
      <c r="N40" s="5">
        <v>570.0</v>
      </c>
      <c r="O40" s="5">
        <v>532.0</v>
      </c>
      <c r="P40" s="5">
        <v>494.0</v>
      </c>
      <c r="Q40" s="5">
        <v>456.0</v>
      </c>
      <c r="R40" s="5">
        <v>418.0</v>
      </c>
      <c r="S40" s="5">
        <v>380.0</v>
      </c>
      <c r="T40" s="5">
        <v>342.0</v>
      </c>
      <c r="U40" s="5">
        <v>304.0</v>
      </c>
      <c r="V40" s="5">
        <v>266.0</v>
      </c>
      <c r="AH40" s="4"/>
      <c r="AI40" s="4"/>
    </row>
    <row r="41">
      <c r="AH41" s="4"/>
      <c r="AI41" s="4"/>
    </row>
    <row r="42">
      <c r="AH42" s="4"/>
      <c r="AI42" s="4"/>
    </row>
    <row r="43">
      <c r="B43" s="2">
        <v>0.0</v>
      </c>
      <c r="C43" s="2">
        <v>1.0</v>
      </c>
      <c r="D43" s="2">
        <v>2.0</v>
      </c>
      <c r="E43" s="2">
        <v>3.0</v>
      </c>
      <c r="F43" s="2">
        <v>4.0</v>
      </c>
      <c r="G43" s="2">
        <v>5.0</v>
      </c>
      <c r="H43" s="2">
        <v>6.0</v>
      </c>
      <c r="I43" s="2">
        <v>7.0</v>
      </c>
      <c r="J43" s="2">
        <v>8.0</v>
      </c>
      <c r="K43" s="2">
        <v>9.0</v>
      </c>
      <c r="L43" s="2">
        <v>10.0</v>
      </c>
      <c r="M43" s="2">
        <v>11.0</v>
      </c>
      <c r="N43" s="2">
        <v>12.0</v>
      </c>
      <c r="O43" s="2">
        <v>13.0</v>
      </c>
      <c r="P43" s="2">
        <v>14.0</v>
      </c>
      <c r="Q43" s="2">
        <v>15.0</v>
      </c>
      <c r="R43" s="2">
        <v>16.0</v>
      </c>
      <c r="S43" s="2">
        <v>17.0</v>
      </c>
      <c r="T43" s="2">
        <v>18.0</v>
      </c>
      <c r="U43" s="2">
        <v>19.0</v>
      </c>
      <c r="V43" s="2">
        <v>20.0</v>
      </c>
      <c r="AH43" s="4"/>
      <c r="AI43" s="4"/>
    </row>
    <row r="44">
      <c r="A44" s="2">
        <v>0.0</v>
      </c>
      <c r="B44" s="3">
        <f t="shared" ref="B44:V44" si="19">B$1*$A44</f>
        <v>0</v>
      </c>
      <c r="C44" s="3">
        <f t="shared" si="19"/>
        <v>0</v>
      </c>
      <c r="D44" s="3">
        <f t="shared" si="19"/>
        <v>0</v>
      </c>
      <c r="E44" s="3">
        <f t="shared" si="19"/>
        <v>0</v>
      </c>
      <c r="F44" s="3">
        <f t="shared" si="19"/>
        <v>0</v>
      </c>
      <c r="G44" s="3">
        <f t="shared" si="19"/>
        <v>0</v>
      </c>
      <c r="H44" s="3">
        <f t="shared" si="19"/>
        <v>0</v>
      </c>
      <c r="I44" s="3">
        <f t="shared" si="19"/>
        <v>0</v>
      </c>
      <c r="J44" s="3">
        <f t="shared" si="19"/>
        <v>0</v>
      </c>
      <c r="K44" s="3">
        <f t="shared" si="19"/>
        <v>0</v>
      </c>
      <c r="L44" s="3">
        <f t="shared" si="19"/>
        <v>0</v>
      </c>
      <c r="M44" s="3">
        <f t="shared" si="19"/>
        <v>0</v>
      </c>
      <c r="N44" s="3">
        <f t="shared" si="19"/>
        <v>0</v>
      </c>
      <c r="O44" s="3">
        <f t="shared" si="19"/>
        <v>0</v>
      </c>
      <c r="P44" s="3">
        <f t="shared" si="19"/>
        <v>0</v>
      </c>
      <c r="Q44" s="3">
        <f t="shared" si="19"/>
        <v>0</v>
      </c>
      <c r="R44" s="3">
        <f t="shared" si="19"/>
        <v>0</v>
      </c>
      <c r="S44" s="3">
        <f t="shared" si="19"/>
        <v>0</v>
      </c>
      <c r="T44" s="3">
        <f t="shared" si="19"/>
        <v>0</v>
      </c>
      <c r="U44" s="3">
        <f t="shared" si="19"/>
        <v>0</v>
      </c>
      <c r="V44" s="3">
        <f t="shared" si="19"/>
        <v>0</v>
      </c>
      <c r="AH44" s="4"/>
      <c r="AI44" s="4"/>
    </row>
    <row r="45">
      <c r="A45" s="2">
        <v>1.0</v>
      </c>
      <c r="B45" s="3">
        <f t="shared" ref="B45:V45" si="20">B$1*$A45</f>
        <v>0</v>
      </c>
      <c r="C45" s="3">
        <f t="shared" si="20"/>
        <v>1</v>
      </c>
      <c r="D45" s="3">
        <f t="shared" si="20"/>
        <v>2</v>
      </c>
      <c r="E45" s="3">
        <f t="shared" si="20"/>
        <v>3</v>
      </c>
      <c r="F45" s="3">
        <f t="shared" si="20"/>
        <v>4</v>
      </c>
      <c r="G45" s="3">
        <f t="shared" si="20"/>
        <v>5</v>
      </c>
      <c r="H45" s="3">
        <f t="shared" si="20"/>
        <v>6</v>
      </c>
      <c r="I45" s="3">
        <f t="shared" si="20"/>
        <v>7</v>
      </c>
      <c r="J45" s="3">
        <f t="shared" si="20"/>
        <v>8</v>
      </c>
      <c r="K45" s="3">
        <f t="shared" si="20"/>
        <v>9</v>
      </c>
      <c r="L45" s="3">
        <f t="shared" si="20"/>
        <v>10</v>
      </c>
      <c r="M45" s="3">
        <f t="shared" si="20"/>
        <v>11</v>
      </c>
      <c r="N45" s="3">
        <f t="shared" si="20"/>
        <v>12</v>
      </c>
      <c r="O45" s="3">
        <f t="shared" si="20"/>
        <v>13</v>
      </c>
      <c r="P45" s="3">
        <f t="shared" si="20"/>
        <v>14</v>
      </c>
      <c r="Q45" s="3">
        <f t="shared" si="20"/>
        <v>15</v>
      </c>
      <c r="R45" s="3">
        <f t="shared" si="20"/>
        <v>16</v>
      </c>
      <c r="S45" s="3">
        <f t="shared" si="20"/>
        <v>17</v>
      </c>
      <c r="T45" s="3">
        <f t="shared" si="20"/>
        <v>18</v>
      </c>
      <c r="U45" s="3">
        <f t="shared" si="20"/>
        <v>19</v>
      </c>
      <c r="V45" s="3">
        <f t="shared" si="20"/>
        <v>20</v>
      </c>
      <c r="AH45" s="4"/>
      <c r="AI45" s="4"/>
    </row>
    <row r="46">
      <c r="A46" s="2">
        <v>2.0</v>
      </c>
      <c r="B46" s="3">
        <f t="shared" ref="B46:V46" si="21">B$1*$A46</f>
        <v>0</v>
      </c>
      <c r="C46" s="3">
        <f t="shared" si="21"/>
        <v>2</v>
      </c>
      <c r="D46" s="3">
        <f t="shared" si="21"/>
        <v>4</v>
      </c>
      <c r="E46" s="3">
        <f t="shared" si="21"/>
        <v>6</v>
      </c>
      <c r="F46" s="3">
        <f t="shared" si="21"/>
        <v>8</v>
      </c>
      <c r="G46" s="3">
        <f t="shared" si="21"/>
        <v>10</v>
      </c>
      <c r="H46" s="3">
        <f t="shared" si="21"/>
        <v>12</v>
      </c>
      <c r="I46" s="3">
        <f t="shared" si="21"/>
        <v>14</v>
      </c>
      <c r="J46" s="3">
        <f t="shared" si="21"/>
        <v>16</v>
      </c>
      <c r="K46" s="3">
        <f t="shared" si="21"/>
        <v>18</v>
      </c>
      <c r="L46" s="3">
        <f t="shared" si="21"/>
        <v>20</v>
      </c>
      <c r="M46" s="3">
        <f t="shared" si="21"/>
        <v>22</v>
      </c>
      <c r="N46" s="3">
        <f t="shared" si="21"/>
        <v>24</v>
      </c>
      <c r="O46" s="3">
        <f t="shared" si="21"/>
        <v>26</v>
      </c>
      <c r="P46" s="3">
        <f t="shared" si="21"/>
        <v>28</v>
      </c>
      <c r="Q46" s="3">
        <f t="shared" si="21"/>
        <v>30</v>
      </c>
      <c r="R46" s="3">
        <f t="shared" si="21"/>
        <v>32</v>
      </c>
      <c r="S46" s="3">
        <f t="shared" si="21"/>
        <v>34</v>
      </c>
      <c r="T46" s="3">
        <f t="shared" si="21"/>
        <v>36</v>
      </c>
      <c r="U46" s="3">
        <f t="shared" si="21"/>
        <v>38</v>
      </c>
      <c r="V46" s="3">
        <f t="shared" si="21"/>
        <v>40</v>
      </c>
      <c r="AH46" s="4"/>
      <c r="AI46" s="4"/>
    </row>
    <row r="47">
      <c r="A47" s="2">
        <v>3.0</v>
      </c>
      <c r="B47" s="3">
        <f t="shared" ref="B47:V47" si="22">B$1*$A47</f>
        <v>0</v>
      </c>
      <c r="C47" s="3">
        <f t="shared" si="22"/>
        <v>3</v>
      </c>
      <c r="D47" s="3">
        <f t="shared" si="22"/>
        <v>6</v>
      </c>
      <c r="E47" s="3">
        <f t="shared" si="22"/>
        <v>9</v>
      </c>
      <c r="F47" s="3">
        <f t="shared" si="22"/>
        <v>12</v>
      </c>
      <c r="G47" s="3">
        <f t="shared" si="22"/>
        <v>15</v>
      </c>
      <c r="H47" s="3">
        <f t="shared" si="22"/>
        <v>18</v>
      </c>
      <c r="I47" s="3">
        <f t="shared" si="22"/>
        <v>21</v>
      </c>
      <c r="J47" s="3">
        <f t="shared" si="22"/>
        <v>24</v>
      </c>
      <c r="K47" s="3">
        <f t="shared" si="22"/>
        <v>27</v>
      </c>
      <c r="L47" s="3">
        <f t="shared" si="22"/>
        <v>30</v>
      </c>
      <c r="M47" s="3">
        <f t="shared" si="22"/>
        <v>33</v>
      </c>
      <c r="N47" s="3">
        <f t="shared" si="22"/>
        <v>36</v>
      </c>
      <c r="O47" s="7">
        <f t="shared" si="22"/>
        <v>39</v>
      </c>
      <c r="P47" s="3">
        <f t="shared" si="22"/>
        <v>42</v>
      </c>
      <c r="Q47" s="3">
        <f t="shared" si="22"/>
        <v>45</v>
      </c>
      <c r="R47" s="3">
        <f t="shared" si="22"/>
        <v>48</v>
      </c>
      <c r="S47" s="3">
        <f t="shared" si="22"/>
        <v>51</v>
      </c>
      <c r="T47" s="3">
        <f t="shared" si="22"/>
        <v>54</v>
      </c>
      <c r="U47" s="3">
        <f t="shared" si="22"/>
        <v>57</v>
      </c>
      <c r="V47" s="3">
        <f t="shared" si="22"/>
        <v>60</v>
      </c>
      <c r="AH47" s="4"/>
      <c r="AI47" s="4"/>
    </row>
    <row r="48">
      <c r="A48" s="2">
        <v>4.0</v>
      </c>
      <c r="B48" s="3">
        <f t="shared" ref="B48:V48" si="23">B$1*$A48</f>
        <v>0</v>
      </c>
      <c r="C48" s="3">
        <f t="shared" si="23"/>
        <v>4</v>
      </c>
      <c r="D48" s="3">
        <f t="shared" si="23"/>
        <v>8</v>
      </c>
      <c r="E48" s="3">
        <f t="shared" si="23"/>
        <v>12</v>
      </c>
      <c r="F48" s="3">
        <f t="shared" si="23"/>
        <v>16</v>
      </c>
      <c r="G48" s="3">
        <f t="shared" si="23"/>
        <v>20</v>
      </c>
      <c r="H48" s="3">
        <f t="shared" si="23"/>
        <v>24</v>
      </c>
      <c r="I48" s="3">
        <f t="shared" si="23"/>
        <v>28</v>
      </c>
      <c r="J48" s="3">
        <f t="shared" si="23"/>
        <v>32</v>
      </c>
      <c r="K48" s="3">
        <f t="shared" si="23"/>
        <v>36</v>
      </c>
      <c r="L48" s="3">
        <f t="shared" si="23"/>
        <v>40</v>
      </c>
      <c r="M48" s="3">
        <f t="shared" si="23"/>
        <v>44</v>
      </c>
      <c r="N48" s="3">
        <f t="shared" si="23"/>
        <v>48</v>
      </c>
      <c r="O48" s="3">
        <f t="shared" si="23"/>
        <v>52</v>
      </c>
      <c r="P48" s="3">
        <f t="shared" si="23"/>
        <v>56</v>
      </c>
      <c r="Q48" s="3">
        <f t="shared" si="23"/>
        <v>60</v>
      </c>
      <c r="R48" s="3">
        <f t="shared" si="23"/>
        <v>64</v>
      </c>
      <c r="S48" s="3">
        <f t="shared" si="23"/>
        <v>68</v>
      </c>
      <c r="T48" s="3">
        <f t="shared" si="23"/>
        <v>72</v>
      </c>
      <c r="U48" s="3">
        <f t="shared" si="23"/>
        <v>76</v>
      </c>
      <c r="V48" s="3">
        <f t="shared" si="23"/>
        <v>80</v>
      </c>
      <c r="AH48" s="4"/>
      <c r="AI48" s="4"/>
    </row>
    <row r="49">
      <c r="A49" s="2">
        <v>5.0</v>
      </c>
      <c r="B49" s="3">
        <f t="shared" ref="B49:V49" si="24">B$1*$A49</f>
        <v>0</v>
      </c>
      <c r="C49" s="3">
        <f t="shared" si="24"/>
        <v>5</v>
      </c>
      <c r="D49" s="3">
        <f t="shared" si="24"/>
        <v>10</v>
      </c>
      <c r="E49" s="3">
        <f t="shared" si="24"/>
        <v>15</v>
      </c>
      <c r="F49" s="3">
        <f t="shared" si="24"/>
        <v>20</v>
      </c>
      <c r="G49" s="3">
        <f t="shared" si="24"/>
        <v>25</v>
      </c>
      <c r="H49" s="3">
        <f t="shared" si="24"/>
        <v>30</v>
      </c>
      <c r="I49" s="3">
        <f t="shared" si="24"/>
        <v>35</v>
      </c>
      <c r="J49" s="3">
        <f t="shared" si="24"/>
        <v>40</v>
      </c>
      <c r="K49" s="3">
        <f t="shared" si="24"/>
        <v>45</v>
      </c>
      <c r="L49" s="3">
        <f t="shared" si="24"/>
        <v>50</v>
      </c>
      <c r="M49" s="3">
        <f t="shared" si="24"/>
        <v>55</v>
      </c>
      <c r="N49" s="3">
        <f t="shared" si="24"/>
        <v>60</v>
      </c>
      <c r="O49" s="3">
        <f t="shared" si="24"/>
        <v>65</v>
      </c>
      <c r="P49" s="3">
        <f t="shared" si="24"/>
        <v>70</v>
      </c>
      <c r="Q49" s="3">
        <f t="shared" si="24"/>
        <v>75</v>
      </c>
      <c r="R49" s="3">
        <f t="shared" si="24"/>
        <v>80</v>
      </c>
      <c r="S49" s="3">
        <f t="shared" si="24"/>
        <v>85</v>
      </c>
      <c r="T49" s="3">
        <f t="shared" si="24"/>
        <v>90</v>
      </c>
      <c r="U49" s="3">
        <f t="shared" si="24"/>
        <v>95</v>
      </c>
      <c r="V49" s="3">
        <f t="shared" si="24"/>
        <v>100</v>
      </c>
      <c r="AH49" s="4"/>
      <c r="AI49" s="4"/>
    </row>
    <row r="50">
      <c r="A50" s="2">
        <v>6.0</v>
      </c>
      <c r="B50" s="3">
        <f t="shared" ref="B50:V50" si="25">B$1*$A50</f>
        <v>0</v>
      </c>
      <c r="C50" s="3">
        <f t="shared" si="25"/>
        <v>6</v>
      </c>
      <c r="D50" s="3">
        <f t="shared" si="25"/>
        <v>12</v>
      </c>
      <c r="E50" s="3">
        <f t="shared" si="25"/>
        <v>18</v>
      </c>
      <c r="F50" s="3">
        <f t="shared" si="25"/>
        <v>24</v>
      </c>
      <c r="G50" s="3">
        <f t="shared" si="25"/>
        <v>30</v>
      </c>
      <c r="H50" s="3">
        <f t="shared" si="25"/>
        <v>36</v>
      </c>
      <c r="I50" s="3">
        <f t="shared" si="25"/>
        <v>42</v>
      </c>
      <c r="J50" s="3">
        <f t="shared" si="25"/>
        <v>48</v>
      </c>
      <c r="K50" s="3">
        <f t="shared" si="25"/>
        <v>54</v>
      </c>
      <c r="L50" s="3">
        <f t="shared" si="25"/>
        <v>60</v>
      </c>
      <c r="M50" s="3">
        <f t="shared" si="25"/>
        <v>66</v>
      </c>
      <c r="N50" s="3">
        <f t="shared" si="25"/>
        <v>72</v>
      </c>
      <c r="O50" s="3">
        <f t="shared" si="25"/>
        <v>78</v>
      </c>
      <c r="P50" s="3">
        <f t="shared" si="25"/>
        <v>84</v>
      </c>
      <c r="Q50" s="3">
        <f t="shared" si="25"/>
        <v>90</v>
      </c>
      <c r="R50" s="3">
        <f t="shared" si="25"/>
        <v>96</v>
      </c>
      <c r="S50" s="3">
        <f t="shared" si="25"/>
        <v>102</v>
      </c>
      <c r="T50" s="3">
        <f t="shared" si="25"/>
        <v>108</v>
      </c>
      <c r="U50" s="3">
        <f t="shared" si="25"/>
        <v>114</v>
      </c>
      <c r="V50" s="3">
        <f t="shared" si="25"/>
        <v>120</v>
      </c>
      <c r="AH50" s="4"/>
      <c r="AI50" s="4"/>
    </row>
    <row r="51">
      <c r="A51" s="2">
        <v>7.0</v>
      </c>
      <c r="B51" s="3">
        <f t="shared" ref="B51:V51" si="26">B$1*$A51</f>
        <v>0</v>
      </c>
      <c r="C51" s="3">
        <f t="shared" si="26"/>
        <v>7</v>
      </c>
      <c r="D51" s="3">
        <f t="shared" si="26"/>
        <v>14</v>
      </c>
      <c r="E51" s="3">
        <f t="shared" si="26"/>
        <v>21</v>
      </c>
      <c r="F51" s="3">
        <f t="shared" si="26"/>
        <v>28</v>
      </c>
      <c r="G51" s="3">
        <f t="shared" si="26"/>
        <v>35</v>
      </c>
      <c r="H51" s="3">
        <f t="shared" si="26"/>
        <v>42</v>
      </c>
      <c r="I51" s="3">
        <f t="shared" si="26"/>
        <v>49</v>
      </c>
      <c r="J51" s="3">
        <f t="shared" si="26"/>
        <v>56</v>
      </c>
      <c r="K51" s="3">
        <f t="shared" si="26"/>
        <v>63</v>
      </c>
      <c r="L51" s="3">
        <f t="shared" si="26"/>
        <v>70</v>
      </c>
      <c r="M51" s="3">
        <f t="shared" si="26"/>
        <v>77</v>
      </c>
      <c r="N51" s="7">
        <f t="shared" si="26"/>
        <v>84</v>
      </c>
      <c r="O51" s="3">
        <f t="shared" si="26"/>
        <v>91</v>
      </c>
      <c r="P51" s="3">
        <f t="shared" si="26"/>
        <v>98</v>
      </c>
      <c r="Q51" s="3">
        <f t="shared" si="26"/>
        <v>105</v>
      </c>
      <c r="R51" s="3">
        <f t="shared" si="26"/>
        <v>112</v>
      </c>
      <c r="S51" s="3">
        <f t="shared" si="26"/>
        <v>119</v>
      </c>
      <c r="T51" s="3">
        <f t="shared" si="26"/>
        <v>126</v>
      </c>
      <c r="U51" s="3">
        <f t="shared" si="26"/>
        <v>133</v>
      </c>
      <c r="V51" s="3">
        <f t="shared" si="26"/>
        <v>140</v>
      </c>
      <c r="AH51" s="4"/>
      <c r="AI51" s="4"/>
    </row>
    <row r="52">
      <c r="A52" s="2">
        <v>8.0</v>
      </c>
      <c r="B52" s="3">
        <f t="shared" ref="B52:V52" si="27">B$1*$A52</f>
        <v>0</v>
      </c>
      <c r="C52" s="3">
        <f t="shared" si="27"/>
        <v>8</v>
      </c>
      <c r="D52" s="3">
        <f t="shared" si="27"/>
        <v>16</v>
      </c>
      <c r="E52" s="3">
        <f t="shared" si="27"/>
        <v>24</v>
      </c>
      <c r="F52" s="3">
        <f t="shared" si="27"/>
        <v>32</v>
      </c>
      <c r="G52" s="3">
        <f t="shared" si="27"/>
        <v>40</v>
      </c>
      <c r="H52" s="3">
        <f t="shared" si="27"/>
        <v>48</v>
      </c>
      <c r="I52" s="3">
        <f t="shared" si="27"/>
        <v>56</v>
      </c>
      <c r="J52" s="3">
        <f t="shared" si="27"/>
        <v>64</v>
      </c>
      <c r="K52" s="3">
        <f t="shared" si="27"/>
        <v>72</v>
      </c>
      <c r="L52" s="3">
        <f t="shared" si="27"/>
        <v>80</v>
      </c>
      <c r="M52" s="3">
        <f t="shared" si="27"/>
        <v>88</v>
      </c>
      <c r="N52" s="3">
        <f t="shared" si="27"/>
        <v>96</v>
      </c>
      <c r="O52" s="3">
        <f t="shared" si="27"/>
        <v>104</v>
      </c>
      <c r="P52" s="3">
        <f t="shared" si="27"/>
        <v>112</v>
      </c>
      <c r="Q52" s="3">
        <f t="shared" si="27"/>
        <v>120</v>
      </c>
      <c r="R52" s="3">
        <f t="shared" si="27"/>
        <v>128</v>
      </c>
      <c r="S52" s="3">
        <f t="shared" si="27"/>
        <v>136</v>
      </c>
      <c r="T52" s="3">
        <f t="shared" si="27"/>
        <v>144</v>
      </c>
      <c r="U52" s="3">
        <f t="shared" si="27"/>
        <v>152</v>
      </c>
      <c r="V52" s="3">
        <f t="shared" si="27"/>
        <v>160</v>
      </c>
      <c r="AH52" s="4"/>
      <c r="AI52" s="4"/>
    </row>
    <row r="53">
      <c r="A53" s="2">
        <v>9.0</v>
      </c>
      <c r="B53" s="3">
        <f t="shared" ref="B53:V53" si="28">B$1*$A53</f>
        <v>0</v>
      </c>
      <c r="C53" s="3">
        <f t="shared" si="28"/>
        <v>9</v>
      </c>
      <c r="D53" s="3">
        <f t="shared" si="28"/>
        <v>18</v>
      </c>
      <c r="E53" s="3">
        <f t="shared" si="28"/>
        <v>27</v>
      </c>
      <c r="F53" s="3">
        <f t="shared" si="28"/>
        <v>36</v>
      </c>
      <c r="G53" s="3">
        <f t="shared" si="28"/>
        <v>45</v>
      </c>
      <c r="H53" s="3">
        <f t="shared" si="28"/>
        <v>54</v>
      </c>
      <c r="I53" s="3">
        <f t="shared" si="28"/>
        <v>63</v>
      </c>
      <c r="J53" s="3">
        <f t="shared" si="28"/>
        <v>72</v>
      </c>
      <c r="K53" s="3">
        <f t="shared" si="28"/>
        <v>81</v>
      </c>
      <c r="L53" s="3">
        <f t="shared" si="28"/>
        <v>90</v>
      </c>
      <c r="M53" s="7">
        <f t="shared" si="28"/>
        <v>99</v>
      </c>
      <c r="N53" s="3">
        <f t="shared" si="28"/>
        <v>108</v>
      </c>
      <c r="O53" s="3">
        <f t="shared" si="28"/>
        <v>117</v>
      </c>
      <c r="P53" s="3">
        <f t="shared" si="28"/>
        <v>126</v>
      </c>
      <c r="Q53" s="3">
        <f t="shared" si="28"/>
        <v>135</v>
      </c>
      <c r="R53" s="3">
        <f t="shared" si="28"/>
        <v>144</v>
      </c>
      <c r="S53" s="3">
        <f t="shared" si="28"/>
        <v>153</v>
      </c>
      <c r="T53" s="3">
        <f t="shared" si="28"/>
        <v>162</v>
      </c>
      <c r="U53" s="3">
        <f t="shared" si="28"/>
        <v>171</v>
      </c>
      <c r="V53" s="3">
        <f t="shared" si="28"/>
        <v>180</v>
      </c>
      <c r="AH53" s="4"/>
      <c r="AI53" s="4"/>
    </row>
    <row r="54">
      <c r="A54" s="2">
        <v>10.0</v>
      </c>
      <c r="B54" s="3">
        <f t="shared" ref="B54:V54" si="29">B$1*$A54</f>
        <v>0</v>
      </c>
      <c r="C54" s="3">
        <f t="shared" si="29"/>
        <v>10</v>
      </c>
      <c r="D54" s="3">
        <f t="shared" si="29"/>
        <v>20</v>
      </c>
      <c r="E54" s="3">
        <f t="shared" si="29"/>
        <v>30</v>
      </c>
      <c r="F54" s="3">
        <f t="shared" si="29"/>
        <v>40</v>
      </c>
      <c r="G54" s="3">
        <f t="shared" si="29"/>
        <v>50</v>
      </c>
      <c r="H54" s="3">
        <f t="shared" si="29"/>
        <v>60</v>
      </c>
      <c r="I54" s="3">
        <f t="shared" si="29"/>
        <v>70</v>
      </c>
      <c r="J54" s="3">
        <f t="shared" si="29"/>
        <v>80</v>
      </c>
      <c r="K54" s="3">
        <f t="shared" si="29"/>
        <v>90</v>
      </c>
      <c r="L54" s="3">
        <f t="shared" si="29"/>
        <v>100</v>
      </c>
      <c r="M54" s="3">
        <f t="shared" si="29"/>
        <v>110</v>
      </c>
      <c r="N54" s="3">
        <f t="shared" si="29"/>
        <v>120</v>
      </c>
      <c r="O54" s="3">
        <f t="shared" si="29"/>
        <v>130</v>
      </c>
      <c r="P54" s="3">
        <f t="shared" si="29"/>
        <v>140</v>
      </c>
      <c r="Q54" s="3">
        <f t="shared" si="29"/>
        <v>150</v>
      </c>
      <c r="R54" s="3">
        <f t="shared" si="29"/>
        <v>160</v>
      </c>
      <c r="S54" s="3">
        <f t="shared" si="29"/>
        <v>170</v>
      </c>
      <c r="T54" s="3">
        <f t="shared" si="29"/>
        <v>180</v>
      </c>
      <c r="U54" s="3">
        <f t="shared" si="29"/>
        <v>190</v>
      </c>
      <c r="V54" s="3">
        <f t="shared" si="29"/>
        <v>200</v>
      </c>
      <c r="AH54" s="4"/>
      <c r="AI54" s="4"/>
    </row>
    <row r="55">
      <c r="A55" s="2">
        <v>11.0</v>
      </c>
      <c r="B55" s="3">
        <f t="shared" ref="B55:V55" si="30">B$1*$A55</f>
        <v>0</v>
      </c>
      <c r="C55" s="3">
        <f t="shared" si="30"/>
        <v>11</v>
      </c>
      <c r="D55" s="3">
        <f t="shared" si="30"/>
        <v>22</v>
      </c>
      <c r="E55" s="3">
        <f t="shared" si="30"/>
        <v>33</v>
      </c>
      <c r="F55" s="3">
        <f t="shared" si="30"/>
        <v>44</v>
      </c>
      <c r="G55" s="3">
        <f t="shared" si="30"/>
        <v>55</v>
      </c>
      <c r="H55" s="3">
        <f t="shared" si="30"/>
        <v>66</v>
      </c>
      <c r="I55" s="3">
        <f t="shared" si="30"/>
        <v>77</v>
      </c>
      <c r="J55" s="3">
        <f t="shared" si="30"/>
        <v>88</v>
      </c>
      <c r="K55" s="3">
        <f t="shared" si="30"/>
        <v>99</v>
      </c>
      <c r="L55" s="12">
        <f t="shared" si="30"/>
        <v>110</v>
      </c>
      <c r="M55" s="3">
        <f t="shared" si="30"/>
        <v>121</v>
      </c>
      <c r="N55" s="3">
        <f t="shared" si="30"/>
        <v>132</v>
      </c>
      <c r="O55" s="3">
        <f t="shared" si="30"/>
        <v>143</v>
      </c>
      <c r="P55" s="3">
        <f t="shared" si="30"/>
        <v>154</v>
      </c>
      <c r="Q55" s="3">
        <f t="shared" si="30"/>
        <v>165</v>
      </c>
      <c r="R55" s="3">
        <f t="shared" si="30"/>
        <v>176</v>
      </c>
      <c r="S55" s="3">
        <f t="shared" si="30"/>
        <v>187</v>
      </c>
      <c r="T55" s="3">
        <f t="shared" si="30"/>
        <v>198</v>
      </c>
      <c r="U55" s="3">
        <f t="shared" si="30"/>
        <v>209</v>
      </c>
      <c r="V55" s="3">
        <f t="shared" si="30"/>
        <v>220</v>
      </c>
      <c r="AH55" s="4"/>
      <c r="AI55" s="4"/>
    </row>
    <row r="56">
      <c r="A56" s="2">
        <v>12.0</v>
      </c>
      <c r="B56" s="3">
        <f t="shared" ref="B56:V56" si="31">B$1*$A56</f>
        <v>0</v>
      </c>
      <c r="C56" s="3">
        <f t="shared" si="31"/>
        <v>12</v>
      </c>
      <c r="D56" s="3">
        <f t="shared" si="31"/>
        <v>24</v>
      </c>
      <c r="E56" s="3">
        <f t="shared" si="31"/>
        <v>36</v>
      </c>
      <c r="F56" s="3">
        <f t="shared" si="31"/>
        <v>48</v>
      </c>
      <c r="G56" s="3">
        <f t="shared" si="31"/>
        <v>60</v>
      </c>
      <c r="H56" s="3">
        <f t="shared" si="31"/>
        <v>72</v>
      </c>
      <c r="I56" s="3">
        <f t="shared" si="31"/>
        <v>84</v>
      </c>
      <c r="J56" s="3">
        <f t="shared" si="31"/>
        <v>96</v>
      </c>
      <c r="K56" s="3">
        <f t="shared" si="31"/>
        <v>108</v>
      </c>
      <c r="L56" s="3">
        <f t="shared" si="31"/>
        <v>120</v>
      </c>
      <c r="M56" s="3">
        <f t="shared" si="31"/>
        <v>132</v>
      </c>
      <c r="N56" s="3">
        <f t="shared" si="31"/>
        <v>144</v>
      </c>
      <c r="O56" s="3">
        <f t="shared" si="31"/>
        <v>156</v>
      </c>
      <c r="P56" s="3">
        <f t="shared" si="31"/>
        <v>168</v>
      </c>
      <c r="Q56" s="3">
        <f t="shared" si="31"/>
        <v>180</v>
      </c>
      <c r="R56" s="3">
        <f t="shared" si="31"/>
        <v>192</v>
      </c>
      <c r="S56" s="3">
        <f t="shared" si="31"/>
        <v>204</v>
      </c>
      <c r="T56" s="3">
        <f t="shared" si="31"/>
        <v>216</v>
      </c>
      <c r="U56" s="3">
        <f t="shared" si="31"/>
        <v>228</v>
      </c>
      <c r="V56" s="3">
        <f t="shared" si="31"/>
        <v>240</v>
      </c>
      <c r="AH56" s="4"/>
      <c r="AI56" s="4"/>
    </row>
    <row r="57">
      <c r="A57" s="2">
        <v>13.0</v>
      </c>
      <c r="B57" s="3">
        <f t="shared" ref="B57:V57" si="32">B$1*$A57</f>
        <v>0</v>
      </c>
      <c r="C57" s="3">
        <f t="shared" si="32"/>
        <v>13</v>
      </c>
      <c r="D57" s="3">
        <f t="shared" si="32"/>
        <v>26</v>
      </c>
      <c r="E57" s="3">
        <f t="shared" si="32"/>
        <v>39</v>
      </c>
      <c r="F57" s="3">
        <f t="shared" si="32"/>
        <v>52</v>
      </c>
      <c r="G57" s="3">
        <f t="shared" si="32"/>
        <v>65</v>
      </c>
      <c r="H57" s="3">
        <f t="shared" si="32"/>
        <v>78</v>
      </c>
      <c r="I57" s="3">
        <f t="shared" si="32"/>
        <v>91</v>
      </c>
      <c r="J57" s="3">
        <f t="shared" si="32"/>
        <v>104</v>
      </c>
      <c r="K57" s="12">
        <f t="shared" si="32"/>
        <v>117</v>
      </c>
      <c r="L57" s="3">
        <f t="shared" si="32"/>
        <v>130</v>
      </c>
      <c r="M57" s="3">
        <f t="shared" si="32"/>
        <v>143</v>
      </c>
      <c r="N57" s="3">
        <f t="shared" si="32"/>
        <v>156</v>
      </c>
      <c r="O57" s="13">
        <f t="shared" si="32"/>
        <v>169</v>
      </c>
      <c r="P57" s="3">
        <f t="shared" si="32"/>
        <v>182</v>
      </c>
      <c r="Q57" s="3">
        <f t="shared" si="32"/>
        <v>195</v>
      </c>
      <c r="R57" s="3">
        <f t="shared" si="32"/>
        <v>208</v>
      </c>
      <c r="S57" s="3">
        <f t="shared" si="32"/>
        <v>221</v>
      </c>
      <c r="T57" s="3">
        <f t="shared" si="32"/>
        <v>234</v>
      </c>
      <c r="U57" s="3">
        <f t="shared" si="32"/>
        <v>247</v>
      </c>
      <c r="V57" s="3">
        <f t="shared" si="32"/>
        <v>260</v>
      </c>
      <c r="AH57" s="4"/>
      <c r="AI57" s="4"/>
    </row>
    <row r="58">
      <c r="A58" s="2">
        <v>14.0</v>
      </c>
      <c r="B58" s="3">
        <f t="shared" ref="B58:V58" si="33">B$1*$A58</f>
        <v>0</v>
      </c>
      <c r="C58" s="3">
        <f t="shared" si="33"/>
        <v>14</v>
      </c>
      <c r="D58" s="3">
        <f t="shared" si="33"/>
        <v>28</v>
      </c>
      <c r="E58" s="3">
        <f t="shared" si="33"/>
        <v>42</v>
      </c>
      <c r="F58" s="3">
        <f t="shared" si="33"/>
        <v>56</v>
      </c>
      <c r="G58" s="3">
        <f t="shared" si="33"/>
        <v>70</v>
      </c>
      <c r="H58" s="3">
        <f t="shared" si="33"/>
        <v>84</v>
      </c>
      <c r="I58" s="3">
        <f t="shared" si="33"/>
        <v>98</v>
      </c>
      <c r="J58" s="12">
        <f t="shared" si="33"/>
        <v>112</v>
      </c>
      <c r="K58" s="3">
        <f t="shared" si="33"/>
        <v>126</v>
      </c>
      <c r="L58" s="3">
        <f t="shared" si="33"/>
        <v>140</v>
      </c>
      <c r="M58" s="3">
        <f t="shared" si="33"/>
        <v>154</v>
      </c>
      <c r="N58" s="13">
        <f t="shared" si="33"/>
        <v>168</v>
      </c>
      <c r="O58" s="13">
        <f t="shared" si="33"/>
        <v>182</v>
      </c>
      <c r="P58" s="3">
        <f t="shared" si="33"/>
        <v>196</v>
      </c>
      <c r="Q58" s="3">
        <f t="shared" si="33"/>
        <v>210</v>
      </c>
      <c r="R58" s="3">
        <f t="shared" si="33"/>
        <v>224</v>
      </c>
      <c r="S58" s="3">
        <f t="shared" si="33"/>
        <v>238</v>
      </c>
      <c r="T58" s="3">
        <f t="shared" si="33"/>
        <v>252</v>
      </c>
      <c r="U58" s="3">
        <f t="shared" si="33"/>
        <v>266</v>
      </c>
      <c r="V58" s="3">
        <f t="shared" si="33"/>
        <v>280</v>
      </c>
      <c r="AH58" s="4"/>
      <c r="AI58" s="4"/>
    </row>
    <row r="59">
      <c r="A59" s="2">
        <v>15.0</v>
      </c>
      <c r="B59" s="3">
        <f t="shared" ref="B59:V59" si="34">B$1*$A59</f>
        <v>0</v>
      </c>
      <c r="C59" s="3">
        <f t="shared" si="34"/>
        <v>15</v>
      </c>
      <c r="D59" s="3">
        <f t="shared" si="34"/>
        <v>30</v>
      </c>
      <c r="E59" s="3">
        <f t="shared" si="34"/>
        <v>45</v>
      </c>
      <c r="F59" s="3">
        <f t="shared" si="34"/>
        <v>60</v>
      </c>
      <c r="G59" s="3">
        <f t="shared" si="34"/>
        <v>75</v>
      </c>
      <c r="H59" s="3">
        <f t="shared" si="34"/>
        <v>90</v>
      </c>
      <c r="I59" s="12">
        <f t="shared" si="34"/>
        <v>105</v>
      </c>
      <c r="J59" s="3">
        <f t="shared" si="34"/>
        <v>120</v>
      </c>
      <c r="K59" s="3">
        <f t="shared" si="34"/>
        <v>135</v>
      </c>
      <c r="L59" s="3">
        <f t="shared" si="34"/>
        <v>150</v>
      </c>
      <c r="M59" s="3">
        <f t="shared" si="34"/>
        <v>165</v>
      </c>
      <c r="N59" s="13">
        <f t="shared" si="34"/>
        <v>180</v>
      </c>
      <c r="O59" s="13">
        <f t="shared" si="34"/>
        <v>195</v>
      </c>
      <c r="P59" s="3">
        <f t="shared" si="34"/>
        <v>210</v>
      </c>
      <c r="Q59" s="3">
        <f t="shared" si="34"/>
        <v>225</v>
      </c>
      <c r="R59" s="3">
        <f t="shared" si="34"/>
        <v>240</v>
      </c>
      <c r="S59" s="3">
        <f t="shared" si="34"/>
        <v>255</v>
      </c>
      <c r="T59" s="3">
        <f t="shared" si="34"/>
        <v>270</v>
      </c>
      <c r="U59" s="3">
        <f t="shared" si="34"/>
        <v>285</v>
      </c>
      <c r="V59" s="3">
        <f t="shared" si="34"/>
        <v>300</v>
      </c>
      <c r="AH59" s="4"/>
      <c r="AI59" s="4"/>
    </row>
    <row r="60">
      <c r="A60" s="2">
        <v>16.0</v>
      </c>
      <c r="B60" s="3">
        <f t="shared" ref="B60:V60" si="35">B$1*$A60</f>
        <v>0</v>
      </c>
      <c r="C60" s="3">
        <f t="shared" si="35"/>
        <v>16</v>
      </c>
      <c r="D60" s="3">
        <f t="shared" si="35"/>
        <v>32</v>
      </c>
      <c r="E60" s="3">
        <f t="shared" si="35"/>
        <v>48</v>
      </c>
      <c r="F60" s="3">
        <f t="shared" si="35"/>
        <v>64</v>
      </c>
      <c r="G60" s="3">
        <f t="shared" si="35"/>
        <v>80</v>
      </c>
      <c r="H60" s="7">
        <f t="shared" si="35"/>
        <v>96</v>
      </c>
      <c r="I60" s="3">
        <f t="shared" si="35"/>
        <v>112</v>
      </c>
      <c r="J60" s="3">
        <f t="shared" si="35"/>
        <v>128</v>
      </c>
      <c r="K60" s="3">
        <f t="shared" si="35"/>
        <v>144</v>
      </c>
      <c r="L60" s="3">
        <f t="shared" si="35"/>
        <v>160</v>
      </c>
      <c r="M60" s="13">
        <f t="shared" si="35"/>
        <v>176</v>
      </c>
      <c r="N60" s="13">
        <f t="shared" si="35"/>
        <v>192</v>
      </c>
      <c r="O60" s="13">
        <f t="shared" si="35"/>
        <v>208</v>
      </c>
      <c r="P60" s="3">
        <f t="shared" si="35"/>
        <v>224</v>
      </c>
      <c r="Q60" s="3">
        <f t="shared" si="35"/>
        <v>240</v>
      </c>
      <c r="R60" s="3">
        <f t="shared" si="35"/>
        <v>256</v>
      </c>
      <c r="S60" s="3">
        <f t="shared" si="35"/>
        <v>272</v>
      </c>
      <c r="T60" s="3">
        <f t="shared" si="35"/>
        <v>288</v>
      </c>
      <c r="U60" s="3">
        <f t="shared" si="35"/>
        <v>304</v>
      </c>
      <c r="V60" s="3">
        <f t="shared" si="35"/>
        <v>320</v>
      </c>
      <c r="AH60" s="4"/>
      <c r="AI60" s="4"/>
    </row>
    <row r="61">
      <c r="A61" s="2">
        <v>17.0</v>
      </c>
      <c r="B61" s="3">
        <f t="shared" ref="B61:V61" si="36">B$1*$A61</f>
        <v>0</v>
      </c>
      <c r="C61" s="3">
        <f t="shared" si="36"/>
        <v>17</v>
      </c>
      <c r="D61" s="3">
        <f t="shared" si="36"/>
        <v>34</v>
      </c>
      <c r="E61" s="3">
        <f t="shared" si="36"/>
        <v>51</v>
      </c>
      <c r="F61" s="3">
        <f t="shared" si="36"/>
        <v>68</v>
      </c>
      <c r="G61" s="7">
        <f t="shared" si="36"/>
        <v>85</v>
      </c>
      <c r="H61" s="3">
        <f t="shared" si="36"/>
        <v>102</v>
      </c>
      <c r="I61" s="3">
        <f t="shared" si="36"/>
        <v>119</v>
      </c>
      <c r="J61" s="3">
        <f t="shared" si="36"/>
        <v>136</v>
      </c>
      <c r="K61" s="3">
        <f t="shared" si="36"/>
        <v>153</v>
      </c>
      <c r="L61" s="13">
        <f t="shared" si="36"/>
        <v>170</v>
      </c>
      <c r="M61" s="13">
        <f t="shared" si="36"/>
        <v>187</v>
      </c>
      <c r="N61" s="13">
        <f t="shared" si="36"/>
        <v>204</v>
      </c>
      <c r="O61" s="13">
        <f t="shared" si="36"/>
        <v>221</v>
      </c>
      <c r="P61" s="13">
        <f t="shared" si="36"/>
        <v>238</v>
      </c>
      <c r="Q61" s="13">
        <f t="shared" si="36"/>
        <v>255</v>
      </c>
      <c r="R61" s="3">
        <f t="shared" si="36"/>
        <v>272</v>
      </c>
      <c r="S61" s="3">
        <f t="shared" si="36"/>
        <v>289</v>
      </c>
      <c r="T61" s="3">
        <f t="shared" si="36"/>
        <v>306</v>
      </c>
      <c r="U61" s="3">
        <f t="shared" si="36"/>
        <v>323</v>
      </c>
      <c r="V61" s="3">
        <f t="shared" si="36"/>
        <v>340</v>
      </c>
      <c r="AH61" s="4"/>
      <c r="AI61" s="4"/>
    </row>
    <row r="62">
      <c r="A62" s="2">
        <v>18.0</v>
      </c>
      <c r="B62" s="3">
        <f t="shared" ref="B62:V62" si="37">B$1*$A62</f>
        <v>0</v>
      </c>
      <c r="C62" s="3">
        <f t="shared" si="37"/>
        <v>18</v>
      </c>
      <c r="D62" s="3">
        <f t="shared" si="37"/>
        <v>36</v>
      </c>
      <c r="E62" s="7">
        <f t="shared" si="37"/>
        <v>54</v>
      </c>
      <c r="F62" s="3">
        <f t="shared" si="37"/>
        <v>72</v>
      </c>
      <c r="G62" s="3">
        <f t="shared" si="37"/>
        <v>90</v>
      </c>
      <c r="H62" s="3">
        <f t="shared" si="37"/>
        <v>108</v>
      </c>
      <c r="I62" s="3">
        <f t="shared" si="37"/>
        <v>126</v>
      </c>
      <c r="J62" s="3">
        <f t="shared" si="37"/>
        <v>144</v>
      </c>
      <c r="K62" s="13">
        <f t="shared" si="37"/>
        <v>162</v>
      </c>
      <c r="L62" s="13">
        <f t="shared" si="37"/>
        <v>180</v>
      </c>
      <c r="M62" s="13">
        <f t="shared" si="37"/>
        <v>198</v>
      </c>
      <c r="N62" s="13">
        <f t="shared" si="37"/>
        <v>216</v>
      </c>
      <c r="O62" s="13">
        <f t="shared" si="37"/>
        <v>234</v>
      </c>
      <c r="P62" s="13">
        <f t="shared" si="37"/>
        <v>252</v>
      </c>
      <c r="Q62" s="13">
        <f t="shared" si="37"/>
        <v>270</v>
      </c>
      <c r="R62" s="13">
        <f t="shared" si="37"/>
        <v>288</v>
      </c>
      <c r="S62" s="3">
        <f t="shared" si="37"/>
        <v>306</v>
      </c>
      <c r="T62" s="3">
        <f t="shared" si="37"/>
        <v>324</v>
      </c>
      <c r="U62" s="3">
        <f t="shared" si="37"/>
        <v>342</v>
      </c>
      <c r="V62" s="3">
        <f t="shared" si="37"/>
        <v>360</v>
      </c>
      <c r="AH62" s="4"/>
      <c r="AI62" s="4"/>
    </row>
    <row r="63">
      <c r="A63" s="2">
        <v>19.0</v>
      </c>
      <c r="B63" s="7">
        <f t="shared" ref="B63:V63" si="38">B$1*$A63</f>
        <v>0</v>
      </c>
      <c r="C63" s="7">
        <f t="shared" si="38"/>
        <v>19</v>
      </c>
      <c r="D63" s="3">
        <f t="shared" si="38"/>
        <v>38</v>
      </c>
      <c r="E63" s="3">
        <f t="shared" si="38"/>
        <v>57</v>
      </c>
      <c r="F63" s="3">
        <f t="shared" si="38"/>
        <v>76</v>
      </c>
      <c r="G63" s="3">
        <f t="shared" si="38"/>
        <v>95</v>
      </c>
      <c r="H63" s="3">
        <f t="shared" si="38"/>
        <v>114</v>
      </c>
      <c r="I63" s="3">
        <f t="shared" si="38"/>
        <v>133</v>
      </c>
      <c r="J63" s="3">
        <f t="shared" si="38"/>
        <v>152</v>
      </c>
      <c r="K63" s="13">
        <f t="shared" si="38"/>
        <v>171</v>
      </c>
      <c r="L63" s="13">
        <f t="shared" si="38"/>
        <v>190</v>
      </c>
      <c r="M63" s="13">
        <f t="shared" si="38"/>
        <v>209</v>
      </c>
      <c r="N63" s="13">
        <f t="shared" si="38"/>
        <v>228</v>
      </c>
      <c r="O63" s="13">
        <f t="shared" si="38"/>
        <v>247</v>
      </c>
      <c r="P63" s="13">
        <f t="shared" si="38"/>
        <v>266</v>
      </c>
      <c r="Q63" s="13">
        <f t="shared" si="38"/>
        <v>285</v>
      </c>
      <c r="R63" s="13">
        <f t="shared" si="38"/>
        <v>304</v>
      </c>
      <c r="S63" s="13">
        <f t="shared" si="38"/>
        <v>323</v>
      </c>
      <c r="T63" s="13">
        <f t="shared" si="38"/>
        <v>342</v>
      </c>
      <c r="U63" s="3">
        <f t="shared" si="38"/>
        <v>361</v>
      </c>
      <c r="V63" s="3">
        <f t="shared" si="38"/>
        <v>380</v>
      </c>
      <c r="AH63" s="4"/>
      <c r="AI63" s="4"/>
    </row>
    <row r="64">
      <c r="A64" s="2">
        <v>20.0</v>
      </c>
      <c r="B64" s="3">
        <f t="shared" ref="B64:V64" si="39">B$1*$A64</f>
        <v>0</v>
      </c>
      <c r="C64" s="3">
        <f t="shared" si="39"/>
        <v>20</v>
      </c>
      <c r="D64" s="3">
        <f t="shared" si="39"/>
        <v>40</v>
      </c>
      <c r="E64" s="3">
        <f t="shared" si="39"/>
        <v>60</v>
      </c>
      <c r="F64" s="3">
        <f t="shared" si="39"/>
        <v>80</v>
      </c>
      <c r="G64" s="3">
        <f t="shared" si="39"/>
        <v>100</v>
      </c>
      <c r="H64" s="3">
        <f t="shared" si="39"/>
        <v>120</v>
      </c>
      <c r="I64" s="3">
        <f t="shared" si="39"/>
        <v>140</v>
      </c>
      <c r="J64" s="3">
        <f t="shared" si="39"/>
        <v>160</v>
      </c>
      <c r="K64" s="3">
        <f t="shared" si="39"/>
        <v>180</v>
      </c>
      <c r="L64" s="3">
        <f t="shared" si="39"/>
        <v>200</v>
      </c>
      <c r="M64" s="13">
        <f t="shared" si="39"/>
        <v>220</v>
      </c>
      <c r="N64" s="13">
        <f t="shared" si="39"/>
        <v>240</v>
      </c>
      <c r="O64" s="13">
        <f t="shared" si="39"/>
        <v>260</v>
      </c>
      <c r="P64" s="13">
        <f t="shared" si="39"/>
        <v>280</v>
      </c>
      <c r="Q64" s="13">
        <f t="shared" si="39"/>
        <v>300</v>
      </c>
      <c r="R64" s="13">
        <f t="shared" si="39"/>
        <v>320</v>
      </c>
      <c r="S64" s="13">
        <f t="shared" si="39"/>
        <v>340</v>
      </c>
      <c r="T64" s="14">
        <f t="shared" si="39"/>
        <v>360</v>
      </c>
      <c r="U64" s="3">
        <f t="shared" si="39"/>
        <v>380</v>
      </c>
      <c r="V64" s="3">
        <f t="shared" si="39"/>
        <v>400</v>
      </c>
      <c r="AH64" s="4"/>
      <c r="AI64" s="4"/>
    </row>
    <row r="65">
      <c r="A65" s="2">
        <v>21.0</v>
      </c>
      <c r="B65" s="3">
        <f t="shared" ref="B65:V65" si="40">B$1*$A65</f>
        <v>0</v>
      </c>
      <c r="C65" s="3">
        <f t="shared" si="40"/>
        <v>21</v>
      </c>
      <c r="D65" s="3">
        <f t="shared" si="40"/>
        <v>42</v>
      </c>
      <c r="E65" s="3">
        <f t="shared" si="40"/>
        <v>63</v>
      </c>
      <c r="F65" s="3">
        <f t="shared" si="40"/>
        <v>84</v>
      </c>
      <c r="G65" s="3">
        <f t="shared" si="40"/>
        <v>105</v>
      </c>
      <c r="H65" s="3">
        <f t="shared" si="40"/>
        <v>126</v>
      </c>
      <c r="I65" s="3">
        <f t="shared" si="40"/>
        <v>147</v>
      </c>
      <c r="J65" s="3">
        <f t="shared" si="40"/>
        <v>168</v>
      </c>
      <c r="K65" s="3">
        <f t="shared" si="40"/>
        <v>189</v>
      </c>
      <c r="L65" s="3">
        <f t="shared" si="40"/>
        <v>210</v>
      </c>
      <c r="M65" s="3">
        <f t="shared" si="40"/>
        <v>231</v>
      </c>
      <c r="N65" s="13">
        <f t="shared" si="40"/>
        <v>252</v>
      </c>
      <c r="O65" s="13">
        <f t="shared" si="40"/>
        <v>273</v>
      </c>
      <c r="P65" s="13">
        <f t="shared" si="40"/>
        <v>294</v>
      </c>
      <c r="Q65" s="13">
        <f t="shared" si="40"/>
        <v>315</v>
      </c>
      <c r="R65" s="13">
        <f t="shared" si="40"/>
        <v>336</v>
      </c>
      <c r="S65" s="13">
        <f t="shared" si="40"/>
        <v>357</v>
      </c>
      <c r="T65" s="3">
        <f t="shared" si="40"/>
        <v>378</v>
      </c>
      <c r="U65" s="3">
        <f t="shared" si="40"/>
        <v>399</v>
      </c>
      <c r="V65" s="3">
        <f t="shared" si="40"/>
        <v>420</v>
      </c>
      <c r="AH65" s="4"/>
      <c r="AI65" s="4"/>
    </row>
    <row r="66">
      <c r="A66" s="2">
        <v>22.0</v>
      </c>
      <c r="B66" s="3">
        <f t="shared" ref="B66:V66" si="41">B$1*$A66</f>
        <v>0</v>
      </c>
      <c r="C66" s="3">
        <f t="shared" si="41"/>
        <v>22</v>
      </c>
      <c r="D66" s="3">
        <f t="shared" si="41"/>
        <v>44</v>
      </c>
      <c r="E66" s="3">
        <f t="shared" si="41"/>
        <v>66</v>
      </c>
      <c r="F66" s="3">
        <f t="shared" si="41"/>
        <v>88</v>
      </c>
      <c r="G66" s="3">
        <f t="shared" si="41"/>
        <v>110</v>
      </c>
      <c r="H66" s="3">
        <f t="shared" si="41"/>
        <v>132</v>
      </c>
      <c r="I66" s="3">
        <f t="shared" si="41"/>
        <v>154</v>
      </c>
      <c r="J66" s="3">
        <f t="shared" si="41"/>
        <v>176</v>
      </c>
      <c r="K66" s="3">
        <f t="shared" si="41"/>
        <v>198</v>
      </c>
      <c r="L66" s="3">
        <f t="shared" si="41"/>
        <v>220</v>
      </c>
      <c r="M66" s="3">
        <f t="shared" si="41"/>
        <v>242</v>
      </c>
      <c r="N66" s="3">
        <f t="shared" si="41"/>
        <v>264</v>
      </c>
      <c r="O66" s="3">
        <f t="shared" si="41"/>
        <v>286</v>
      </c>
      <c r="P66" s="13">
        <f t="shared" si="41"/>
        <v>308</v>
      </c>
      <c r="Q66" s="13">
        <f t="shared" si="41"/>
        <v>330</v>
      </c>
      <c r="R66" s="13">
        <f t="shared" si="41"/>
        <v>352</v>
      </c>
      <c r="S66" s="3">
        <f t="shared" si="41"/>
        <v>374</v>
      </c>
      <c r="T66" s="3">
        <f t="shared" si="41"/>
        <v>396</v>
      </c>
      <c r="U66" s="3">
        <f t="shared" si="41"/>
        <v>418</v>
      </c>
      <c r="V66" s="3">
        <f t="shared" si="41"/>
        <v>440</v>
      </c>
      <c r="AH66" s="4"/>
      <c r="AI66" s="4"/>
    </row>
    <row r="67">
      <c r="A67" s="2">
        <v>23.0</v>
      </c>
      <c r="B67" s="3">
        <f t="shared" ref="B67:V67" si="42">B$1*$A67</f>
        <v>0</v>
      </c>
      <c r="C67" s="3">
        <f t="shared" si="42"/>
        <v>23</v>
      </c>
      <c r="D67" s="3">
        <f t="shared" si="42"/>
        <v>46</v>
      </c>
      <c r="E67" s="3">
        <f t="shared" si="42"/>
        <v>69</v>
      </c>
      <c r="F67" s="3">
        <f t="shared" si="42"/>
        <v>92</v>
      </c>
      <c r="G67" s="3">
        <f t="shared" si="42"/>
        <v>115</v>
      </c>
      <c r="H67" s="3">
        <f t="shared" si="42"/>
        <v>138</v>
      </c>
      <c r="I67" s="3">
        <f t="shared" si="42"/>
        <v>161</v>
      </c>
      <c r="J67" s="3">
        <f t="shared" si="42"/>
        <v>184</v>
      </c>
      <c r="K67" s="3">
        <f t="shared" si="42"/>
        <v>207</v>
      </c>
      <c r="L67" s="3">
        <f t="shared" si="42"/>
        <v>230</v>
      </c>
      <c r="M67" s="3">
        <f t="shared" si="42"/>
        <v>253</v>
      </c>
      <c r="N67" s="3">
        <f t="shared" si="42"/>
        <v>276</v>
      </c>
      <c r="O67" s="3">
        <f t="shared" si="42"/>
        <v>299</v>
      </c>
      <c r="P67" s="13">
        <f t="shared" si="42"/>
        <v>322</v>
      </c>
      <c r="Q67" s="13">
        <f t="shared" si="42"/>
        <v>345</v>
      </c>
      <c r="R67" s="3">
        <f t="shared" si="42"/>
        <v>368</v>
      </c>
      <c r="S67" s="3">
        <f t="shared" si="42"/>
        <v>391</v>
      </c>
      <c r="T67" s="3">
        <f t="shared" si="42"/>
        <v>414</v>
      </c>
      <c r="U67" s="3">
        <f t="shared" si="42"/>
        <v>437</v>
      </c>
      <c r="V67" s="12">
        <f t="shared" si="42"/>
        <v>460</v>
      </c>
      <c r="AH67" s="4"/>
      <c r="AI67" s="4"/>
    </row>
    <row r="68">
      <c r="A68" s="2">
        <v>24.0</v>
      </c>
      <c r="B68" s="3">
        <f t="shared" ref="B68:V68" si="43">B$1*$A68</f>
        <v>0</v>
      </c>
      <c r="C68" s="3">
        <f t="shared" si="43"/>
        <v>24</v>
      </c>
      <c r="D68" s="3">
        <f t="shared" si="43"/>
        <v>48</v>
      </c>
      <c r="E68" s="3">
        <f t="shared" si="43"/>
        <v>72</v>
      </c>
      <c r="F68" s="3">
        <f t="shared" si="43"/>
        <v>96</v>
      </c>
      <c r="G68" s="3">
        <f t="shared" si="43"/>
        <v>120</v>
      </c>
      <c r="H68" s="3">
        <f t="shared" si="43"/>
        <v>144</v>
      </c>
      <c r="I68" s="3">
        <f t="shared" si="43"/>
        <v>168</v>
      </c>
      <c r="J68" s="3">
        <f t="shared" si="43"/>
        <v>192</v>
      </c>
      <c r="K68" s="3">
        <f t="shared" si="43"/>
        <v>216</v>
      </c>
      <c r="L68" s="3">
        <f t="shared" si="43"/>
        <v>240</v>
      </c>
      <c r="M68" s="3">
        <f t="shared" si="43"/>
        <v>264</v>
      </c>
      <c r="N68" s="3">
        <f t="shared" si="43"/>
        <v>288</v>
      </c>
      <c r="O68" s="3">
        <f t="shared" si="43"/>
        <v>312</v>
      </c>
      <c r="P68" s="13">
        <f t="shared" si="43"/>
        <v>336</v>
      </c>
      <c r="Q68" s="14">
        <f t="shared" si="43"/>
        <v>360</v>
      </c>
      <c r="R68" s="3">
        <f t="shared" si="43"/>
        <v>384</v>
      </c>
      <c r="S68" s="3">
        <f t="shared" si="43"/>
        <v>408</v>
      </c>
      <c r="T68" s="3">
        <f t="shared" si="43"/>
        <v>432</v>
      </c>
      <c r="U68" s="12">
        <f t="shared" si="43"/>
        <v>456</v>
      </c>
      <c r="V68" s="3">
        <f t="shared" si="43"/>
        <v>480</v>
      </c>
      <c r="AH68" s="4"/>
      <c r="AI68" s="4"/>
    </row>
    <row r="69">
      <c r="A69" s="2">
        <v>25.0</v>
      </c>
      <c r="B69" s="3">
        <f t="shared" ref="B69:V69" si="44">B$1*$A69</f>
        <v>0</v>
      </c>
      <c r="C69" s="3">
        <f t="shared" si="44"/>
        <v>25</v>
      </c>
      <c r="D69" s="3">
        <f t="shared" si="44"/>
        <v>50</v>
      </c>
      <c r="E69" s="3">
        <f t="shared" si="44"/>
        <v>75</v>
      </c>
      <c r="F69" s="3">
        <f t="shared" si="44"/>
        <v>100</v>
      </c>
      <c r="G69" s="3">
        <f t="shared" si="44"/>
        <v>125</v>
      </c>
      <c r="H69" s="3">
        <f t="shared" si="44"/>
        <v>150</v>
      </c>
      <c r="I69" s="3">
        <f t="shared" si="44"/>
        <v>175</v>
      </c>
      <c r="J69" s="3">
        <f t="shared" si="44"/>
        <v>200</v>
      </c>
      <c r="K69" s="3">
        <f t="shared" si="44"/>
        <v>225</v>
      </c>
      <c r="L69" s="3">
        <f t="shared" si="44"/>
        <v>250</v>
      </c>
      <c r="M69" s="3">
        <f t="shared" si="44"/>
        <v>275</v>
      </c>
      <c r="N69" s="3">
        <f t="shared" si="44"/>
        <v>300</v>
      </c>
      <c r="O69" s="3">
        <f t="shared" si="44"/>
        <v>325</v>
      </c>
      <c r="P69" s="13">
        <f t="shared" si="44"/>
        <v>350</v>
      </c>
      <c r="Q69" s="3">
        <f t="shared" si="44"/>
        <v>375</v>
      </c>
      <c r="R69" s="3">
        <f t="shared" si="44"/>
        <v>400</v>
      </c>
      <c r="S69" s="3">
        <f t="shared" si="44"/>
        <v>425</v>
      </c>
      <c r="T69" s="12">
        <f t="shared" si="44"/>
        <v>450</v>
      </c>
      <c r="U69" s="3">
        <f t="shared" si="44"/>
        <v>475</v>
      </c>
      <c r="V69" s="3">
        <f t="shared" si="44"/>
        <v>500</v>
      </c>
      <c r="AH69" s="4"/>
      <c r="AI69" s="4"/>
    </row>
    <row r="70">
      <c r="A70" s="2">
        <v>26.0</v>
      </c>
      <c r="B70" s="3">
        <f t="shared" ref="B70:V70" si="45">B$1*$A70</f>
        <v>0</v>
      </c>
      <c r="C70" s="3">
        <f t="shared" si="45"/>
        <v>26</v>
      </c>
      <c r="D70" s="3">
        <f t="shared" si="45"/>
        <v>52</v>
      </c>
      <c r="E70" s="3">
        <f t="shared" si="45"/>
        <v>78</v>
      </c>
      <c r="F70" s="3">
        <f t="shared" si="45"/>
        <v>104</v>
      </c>
      <c r="G70" s="3">
        <f t="shared" si="45"/>
        <v>130</v>
      </c>
      <c r="H70" s="3">
        <f t="shared" si="45"/>
        <v>156</v>
      </c>
      <c r="I70" s="3">
        <f t="shared" si="45"/>
        <v>182</v>
      </c>
      <c r="J70" s="3">
        <f t="shared" si="45"/>
        <v>208</v>
      </c>
      <c r="K70" s="3">
        <f t="shared" si="45"/>
        <v>234</v>
      </c>
      <c r="L70" s="3">
        <f t="shared" si="45"/>
        <v>260</v>
      </c>
      <c r="M70" s="3">
        <f t="shared" si="45"/>
        <v>286</v>
      </c>
      <c r="N70" s="3">
        <f t="shared" si="45"/>
        <v>312</v>
      </c>
      <c r="O70" s="3">
        <f t="shared" si="45"/>
        <v>338</v>
      </c>
      <c r="P70" s="3">
        <f t="shared" si="45"/>
        <v>364</v>
      </c>
      <c r="Q70" s="3">
        <f t="shared" si="45"/>
        <v>390</v>
      </c>
      <c r="R70" s="3">
        <f t="shared" si="45"/>
        <v>416</v>
      </c>
      <c r="S70" s="3">
        <f t="shared" si="45"/>
        <v>442</v>
      </c>
      <c r="T70" s="3">
        <f t="shared" si="45"/>
        <v>468</v>
      </c>
      <c r="U70" s="3">
        <f t="shared" si="45"/>
        <v>494</v>
      </c>
      <c r="V70" s="3">
        <f t="shared" si="45"/>
        <v>520</v>
      </c>
      <c r="AH70" s="4"/>
      <c r="AI70" s="4"/>
    </row>
    <row r="71">
      <c r="A71" s="2">
        <v>27.0</v>
      </c>
      <c r="B71" s="3">
        <f t="shared" ref="B71:V71" si="46">B$1*$A71</f>
        <v>0</v>
      </c>
      <c r="C71" s="3">
        <f t="shared" si="46"/>
        <v>27</v>
      </c>
      <c r="D71" s="3">
        <f t="shared" si="46"/>
        <v>54</v>
      </c>
      <c r="E71" s="3">
        <f t="shared" si="46"/>
        <v>81</v>
      </c>
      <c r="F71" s="3">
        <f t="shared" si="46"/>
        <v>108</v>
      </c>
      <c r="G71" s="3">
        <f t="shared" si="46"/>
        <v>135</v>
      </c>
      <c r="H71" s="3">
        <f t="shared" si="46"/>
        <v>162</v>
      </c>
      <c r="I71" s="3">
        <f t="shared" si="46"/>
        <v>189</v>
      </c>
      <c r="J71" s="3">
        <f t="shared" si="46"/>
        <v>216</v>
      </c>
      <c r="K71" s="3">
        <f t="shared" si="46"/>
        <v>243</v>
      </c>
      <c r="L71" s="3">
        <f t="shared" si="46"/>
        <v>270</v>
      </c>
      <c r="M71" s="3">
        <f t="shared" si="46"/>
        <v>297</v>
      </c>
      <c r="N71" s="3">
        <f t="shared" si="46"/>
        <v>324</v>
      </c>
      <c r="O71" s="3">
        <f t="shared" si="46"/>
        <v>351</v>
      </c>
      <c r="P71" s="3">
        <f t="shared" si="46"/>
        <v>378</v>
      </c>
      <c r="Q71" s="3">
        <f t="shared" si="46"/>
        <v>405</v>
      </c>
      <c r="R71" s="3">
        <f t="shared" si="46"/>
        <v>432</v>
      </c>
      <c r="S71" s="12">
        <f t="shared" si="46"/>
        <v>459</v>
      </c>
      <c r="T71" s="3">
        <f t="shared" si="46"/>
        <v>486</v>
      </c>
      <c r="U71" s="3">
        <f t="shared" si="46"/>
        <v>513</v>
      </c>
      <c r="V71" s="3">
        <f t="shared" si="46"/>
        <v>540</v>
      </c>
      <c r="AH71" s="4"/>
      <c r="AI71" s="4"/>
    </row>
    <row r="72">
      <c r="A72" s="2">
        <v>28.0</v>
      </c>
      <c r="B72" s="3">
        <f t="shared" ref="B72:V72" si="47">B$1*$A72</f>
        <v>0</v>
      </c>
      <c r="C72" s="3">
        <f t="shared" si="47"/>
        <v>28</v>
      </c>
      <c r="D72" s="3">
        <f t="shared" si="47"/>
        <v>56</v>
      </c>
      <c r="E72" s="3">
        <f t="shared" si="47"/>
        <v>84</v>
      </c>
      <c r="F72" s="3">
        <f t="shared" si="47"/>
        <v>112</v>
      </c>
      <c r="G72" s="3">
        <f t="shared" si="47"/>
        <v>140</v>
      </c>
      <c r="H72" s="3">
        <f t="shared" si="47"/>
        <v>168</v>
      </c>
      <c r="I72" s="3">
        <f t="shared" si="47"/>
        <v>196</v>
      </c>
      <c r="J72" s="3">
        <f t="shared" si="47"/>
        <v>224</v>
      </c>
      <c r="K72" s="3">
        <f t="shared" si="47"/>
        <v>252</v>
      </c>
      <c r="L72" s="3">
        <f t="shared" si="47"/>
        <v>280</v>
      </c>
      <c r="M72" s="3">
        <f t="shared" si="47"/>
        <v>308</v>
      </c>
      <c r="N72" s="3">
        <f t="shared" si="47"/>
        <v>336</v>
      </c>
      <c r="O72" s="3">
        <f t="shared" si="47"/>
        <v>364</v>
      </c>
      <c r="P72" s="3">
        <f t="shared" si="47"/>
        <v>392</v>
      </c>
      <c r="Q72" s="3">
        <f t="shared" si="47"/>
        <v>420</v>
      </c>
      <c r="R72" s="3">
        <f t="shared" si="47"/>
        <v>448</v>
      </c>
      <c r="S72" s="3">
        <f t="shared" si="47"/>
        <v>476</v>
      </c>
      <c r="T72" s="3">
        <f t="shared" si="47"/>
        <v>504</v>
      </c>
      <c r="U72" s="3">
        <f t="shared" si="47"/>
        <v>532</v>
      </c>
      <c r="V72" s="3">
        <f t="shared" si="47"/>
        <v>560</v>
      </c>
      <c r="AH72" s="4"/>
      <c r="AI72" s="4"/>
    </row>
    <row r="73">
      <c r="A73" s="2">
        <v>29.0</v>
      </c>
      <c r="B73" s="3">
        <f t="shared" ref="B73:V73" si="48">B$1*$A73</f>
        <v>0</v>
      </c>
      <c r="C73" s="3">
        <f t="shared" si="48"/>
        <v>29</v>
      </c>
      <c r="D73" s="3">
        <f t="shared" si="48"/>
        <v>58</v>
      </c>
      <c r="E73" s="3">
        <f t="shared" si="48"/>
        <v>87</v>
      </c>
      <c r="F73" s="3">
        <f t="shared" si="48"/>
        <v>116</v>
      </c>
      <c r="G73" s="3">
        <f t="shared" si="48"/>
        <v>145</v>
      </c>
      <c r="H73" s="3">
        <f t="shared" si="48"/>
        <v>174</v>
      </c>
      <c r="I73" s="3">
        <f t="shared" si="48"/>
        <v>203</v>
      </c>
      <c r="J73" s="3">
        <f t="shared" si="48"/>
        <v>232</v>
      </c>
      <c r="K73" s="3">
        <f t="shared" si="48"/>
        <v>261</v>
      </c>
      <c r="L73" s="3">
        <f t="shared" si="48"/>
        <v>290</v>
      </c>
      <c r="M73" s="3">
        <f t="shared" si="48"/>
        <v>319</v>
      </c>
      <c r="N73" s="3">
        <f t="shared" si="48"/>
        <v>348</v>
      </c>
      <c r="O73" s="3">
        <f t="shared" si="48"/>
        <v>377</v>
      </c>
      <c r="P73" s="3">
        <f t="shared" si="48"/>
        <v>406</v>
      </c>
      <c r="Q73" s="3">
        <f t="shared" si="48"/>
        <v>435</v>
      </c>
      <c r="R73" s="7">
        <f t="shared" si="48"/>
        <v>464</v>
      </c>
      <c r="S73" s="3">
        <f t="shared" si="48"/>
        <v>493</v>
      </c>
      <c r="T73" s="3">
        <f t="shared" si="48"/>
        <v>522</v>
      </c>
      <c r="U73" s="3">
        <f t="shared" si="48"/>
        <v>551</v>
      </c>
      <c r="V73" s="3">
        <f t="shared" si="48"/>
        <v>580</v>
      </c>
      <c r="AH73" s="4"/>
      <c r="AI73" s="4"/>
    </row>
    <row r="74">
      <c r="A74" s="2">
        <v>30.0</v>
      </c>
      <c r="B74" s="3">
        <f t="shared" ref="B74:V74" si="49">B$1*$A74</f>
        <v>0</v>
      </c>
      <c r="C74" s="3">
        <f t="shared" si="49"/>
        <v>30</v>
      </c>
      <c r="D74" s="3">
        <f t="shared" si="49"/>
        <v>60</v>
      </c>
      <c r="E74" s="3">
        <f t="shared" si="49"/>
        <v>90</v>
      </c>
      <c r="F74" s="3">
        <f t="shared" si="49"/>
        <v>120</v>
      </c>
      <c r="G74" s="3">
        <f t="shared" si="49"/>
        <v>150</v>
      </c>
      <c r="H74" s="3">
        <f t="shared" si="49"/>
        <v>180</v>
      </c>
      <c r="I74" s="3">
        <f t="shared" si="49"/>
        <v>210</v>
      </c>
      <c r="J74" s="3">
        <f t="shared" si="49"/>
        <v>240</v>
      </c>
      <c r="K74" s="3">
        <f t="shared" si="49"/>
        <v>270</v>
      </c>
      <c r="L74" s="3">
        <f t="shared" si="49"/>
        <v>300</v>
      </c>
      <c r="M74" s="3">
        <f t="shared" si="49"/>
        <v>330</v>
      </c>
      <c r="N74" s="3">
        <f t="shared" si="49"/>
        <v>360</v>
      </c>
      <c r="O74" s="3">
        <f t="shared" si="49"/>
        <v>390</v>
      </c>
      <c r="P74" s="3">
        <f t="shared" si="49"/>
        <v>420</v>
      </c>
      <c r="Q74" s="3">
        <f t="shared" si="49"/>
        <v>450</v>
      </c>
      <c r="R74" s="3">
        <f t="shared" si="49"/>
        <v>480</v>
      </c>
      <c r="S74" s="3">
        <f t="shared" si="49"/>
        <v>510</v>
      </c>
      <c r="T74" s="3">
        <f t="shared" si="49"/>
        <v>540</v>
      </c>
      <c r="U74" s="3">
        <f t="shared" si="49"/>
        <v>570</v>
      </c>
      <c r="V74" s="3">
        <f t="shared" si="49"/>
        <v>600</v>
      </c>
      <c r="AH74" s="4"/>
      <c r="AI74" s="4"/>
    </row>
    <row r="75">
      <c r="A75" s="2">
        <v>31.0</v>
      </c>
      <c r="B75" s="3">
        <f t="shared" ref="B75:V75" si="50">B$1*$A75</f>
        <v>0</v>
      </c>
      <c r="C75" s="3">
        <f t="shared" si="50"/>
        <v>31</v>
      </c>
      <c r="D75" s="3">
        <f t="shared" si="50"/>
        <v>62</v>
      </c>
      <c r="E75" s="3">
        <f t="shared" si="50"/>
        <v>93</v>
      </c>
      <c r="F75" s="3">
        <f t="shared" si="50"/>
        <v>124</v>
      </c>
      <c r="G75" s="3">
        <f t="shared" si="50"/>
        <v>155</v>
      </c>
      <c r="H75" s="3">
        <f t="shared" si="50"/>
        <v>186</v>
      </c>
      <c r="I75" s="3">
        <f t="shared" si="50"/>
        <v>217</v>
      </c>
      <c r="J75" s="3">
        <f t="shared" si="50"/>
        <v>248</v>
      </c>
      <c r="K75" s="3">
        <f t="shared" si="50"/>
        <v>279</v>
      </c>
      <c r="L75" s="3">
        <f t="shared" si="50"/>
        <v>310</v>
      </c>
      <c r="M75" s="3">
        <f t="shared" si="50"/>
        <v>341</v>
      </c>
      <c r="N75" s="3">
        <f t="shared" si="50"/>
        <v>372</v>
      </c>
      <c r="O75" s="3">
        <f t="shared" si="50"/>
        <v>403</v>
      </c>
      <c r="P75" s="3">
        <f t="shared" si="50"/>
        <v>434</v>
      </c>
      <c r="Q75" s="7">
        <f t="shared" si="50"/>
        <v>465</v>
      </c>
      <c r="R75" s="3">
        <f t="shared" si="50"/>
        <v>496</v>
      </c>
      <c r="S75" s="3">
        <f t="shared" si="50"/>
        <v>527</v>
      </c>
      <c r="T75" s="3">
        <f t="shared" si="50"/>
        <v>558</v>
      </c>
      <c r="U75" s="3">
        <f t="shared" si="50"/>
        <v>589</v>
      </c>
      <c r="V75" s="3">
        <f t="shared" si="50"/>
        <v>620</v>
      </c>
      <c r="AH75" s="4"/>
      <c r="AI75" s="4"/>
    </row>
    <row r="76">
      <c r="A76" s="2">
        <v>32.0</v>
      </c>
      <c r="B76" s="3">
        <f t="shared" ref="B76:V76" si="51">B$1*$A76</f>
        <v>0</v>
      </c>
      <c r="C76" s="3">
        <f t="shared" si="51"/>
        <v>32</v>
      </c>
      <c r="D76" s="3">
        <f t="shared" si="51"/>
        <v>64</v>
      </c>
      <c r="E76" s="3">
        <f t="shared" si="51"/>
        <v>96</v>
      </c>
      <c r="F76" s="3">
        <f t="shared" si="51"/>
        <v>128</v>
      </c>
      <c r="G76" s="3">
        <f t="shared" si="51"/>
        <v>160</v>
      </c>
      <c r="H76" s="3">
        <f t="shared" si="51"/>
        <v>192</v>
      </c>
      <c r="I76" s="3">
        <f t="shared" si="51"/>
        <v>224</v>
      </c>
      <c r="J76" s="3">
        <f t="shared" si="51"/>
        <v>256</v>
      </c>
      <c r="K76" s="3">
        <f t="shared" si="51"/>
        <v>288</v>
      </c>
      <c r="L76" s="3">
        <f t="shared" si="51"/>
        <v>320</v>
      </c>
      <c r="M76" s="3">
        <f t="shared" si="51"/>
        <v>352</v>
      </c>
      <c r="N76" s="3">
        <f t="shared" si="51"/>
        <v>384</v>
      </c>
      <c r="O76" s="3">
        <f t="shared" si="51"/>
        <v>416</v>
      </c>
      <c r="P76" s="3">
        <f t="shared" si="51"/>
        <v>448</v>
      </c>
      <c r="Q76" s="3">
        <f t="shared" si="51"/>
        <v>480</v>
      </c>
      <c r="R76" s="3">
        <f t="shared" si="51"/>
        <v>512</v>
      </c>
      <c r="S76" s="3">
        <f t="shared" si="51"/>
        <v>544</v>
      </c>
      <c r="T76" s="3">
        <f t="shared" si="51"/>
        <v>576</v>
      </c>
      <c r="U76" s="3">
        <f t="shared" si="51"/>
        <v>608</v>
      </c>
      <c r="V76" s="3">
        <f t="shared" si="51"/>
        <v>640</v>
      </c>
      <c r="AH76" s="4"/>
      <c r="AI76" s="4"/>
    </row>
    <row r="77">
      <c r="A77" s="2">
        <v>33.0</v>
      </c>
      <c r="B77" s="3">
        <f t="shared" ref="B77:V77" si="52">B$1*$A77</f>
        <v>0</v>
      </c>
      <c r="C77" s="3">
        <f t="shared" si="52"/>
        <v>33</v>
      </c>
      <c r="D77" s="3">
        <f t="shared" si="52"/>
        <v>66</v>
      </c>
      <c r="E77" s="3">
        <f t="shared" si="52"/>
        <v>99</v>
      </c>
      <c r="F77" s="3">
        <f t="shared" si="52"/>
        <v>132</v>
      </c>
      <c r="G77" s="3">
        <f t="shared" si="52"/>
        <v>165</v>
      </c>
      <c r="H77" s="3">
        <f t="shared" si="52"/>
        <v>198</v>
      </c>
      <c r="I77" s="3">
        <f t="shared" si="52"/>
        <v>231</v>
      </c>
      <c r="J77" s="3">
        <f t="shared" si="52"/>
        <v>264</v>
      </c>
      <c r="K77" s="3">
        <f t="shared" si="52"/>
        <v>297</v>
      </c>
      <c r="L77" s="3">
        <f t="shared" si="52"/>
        <v>330</v>
      </c>
      <c r="M77" s="3">
        <f t="shared" si="52"/>
        <v>363</v>
      </c>
      <c r="N77" s="3">
        <f t="shared" si="52"/>
        <v>396</v>
      </c>
      <c r="O77" s="3">
        <f t="shared" si="52"/>
        <v>429</v>
      </c>
      <c r="P77" s="3">
        <f t="shared" si="52"/>
        <v>462</v>
      </c>
      <c r="Q77" s="3">
        <f t="shared" si="52"/>
        <v>495</v>
      </c>
      <c r="R77" s="3">
        <f t="shared" si="52"/>
        <v>528</v>
      </c>
      <c r="S77" s="3">
        <f t="shared" si="52"/>
        <v>561</v>
      </c>
      <c r="T77" s="3">
        <f t="shared" si="52"/>
        <v>594</v>
      </c>
      <c r="U77" s="3">
        <f t="shared" si="52"/>
        <v>627</v>
      </c>
      <c r="V77" s="3">
        <f t="shared" si="52"/>
        <v>660</v>
      </c>
      <c r="AH77" s="4"/>
      <c r="AI77" s="4"/>
    </row>
    <row r="78">
      <c r="A78" s="2">
        <v>34.0</v>
      </c>
      <c r="B78" s="3">
        <f t="shared" ref="B78:V78" si="53">B$1*$A78</f>
        <v>0</v>
      </c>
      <c r="C78" s="3">
        <f t="shared" si="53"/>
        <v>34</v>
      </c>
      <c r="D78" s="3">
        <f t="shared" si="53"/>
        <v>68</v>
      </c>
      <c r="E78" s="3">
        <f t="shared" si="53"/>
        <v>102</v>
      </c>
      <c r="F78" s="3">
        <f t="shared" si="53"/>
        <v>136</v>
      </c>
      <c r="G78" s="3">
        <f t="shared" si="53"/>
        <v>170</v>
      </c>
      <c r="H78" s="3">
        <f t="shared" si="53"/>
        <v>204</v>
      </c>
      <c r="I78" s="3">
        <f t="shared" si="53"/>
        <v>238</v>
      </c>
      <c r="J78" s="3">
        <f t="shared" si="53"/>
        <v>272</v>
      </c>
      <c r="K78" s="3">
        <f t="shared" si="53"/>
        <v>306</v>
      </c>
      <c r="L78" s="3">
        <f t="shared" si="53"/>
        <v>340</v>
      </c>
      <c r="M78" s="3">
        <f t="shared" si="53"/>
        <v>374</v>
      </c>
      <c r="N78" s="3">
        <f t="shared" si="53"/>
        <v>408</v>
      </c>
      <c r="O78" s="3">
        <f t="shared" si="53"/>
        <v>442</v>
      </c>
      <c r="P78" s="3">
        <f t="shared" si="53"/>
        <v>476</v>
      </c>
      <c r="Q78" s="3">
        <f t="shared" si="53"/>
        <v>510</v>
      </c>
      <c r="R78" s="3">
        <f t="shared" si="53"/>
        <v>544</v>
      </c>
      <c r="S78" s="3">
        <f t="shared" si="53"/>
        <v>578</v>
      </c>
      <c r="T78" s="3">
        <f t="shared" si="53"/>
        <v>612</v>
      </c>
      <c r="U78" s="3">
        <f t="shared" si="53"/>
        <v>646</v>
      </c>
      <c r="V78" s="3">
        <f t="shared" si="53"/>
        <v>680</v>
      </c>
      <c r="AH78" s="4"/>
      <c r="AI78" s="4"/>
    </row>
    <row r="79">
      <c r="A79" s="2">
        <v>35.0</v>
      </c>
      <c r="B79" s="3">
        <f t="shared" ref="B79:V79" si="54">B$1*$A79</f>
        <v>0</v>
      </c>
      <c r="C79" s="3">
        <f t="shared" si="54"/>
        <v>35</v>
      </c>
      <c r="D79" s="3">
        <f t="shared" si="54"/>
        <v>70</v>
      </c>
      <c r="E79" s="3">
        <f t="shared" si="54"/>
        <v>105</v>
      </c>
      <c r="F79" s="3">
        <f t="shared" si="54"/>
        <v>140</v>
      </c>
      <c r="G79" s="3">
        <f t="shared" si="54"/>
        <v>175</v>
      </c>
      <c r="H79" s="3">
        <f t="shared" si="54"/>
        <v>210</v>
      </c>
      <c r="I79" s="3">
        <f t="shared" si="54"/>
        <v>245</v>
      </c>
      <c r="J79" s="3">
        <f t="shared" si="54"/>
        <v>280</v>
      </c>
      <c r="K79" s="3">
        <f t="shared" si="54"/>
        <v>315</v>
      </c>
      <c r="L79" s="3">
        <f t="shared" si="54"/>
        <v>350</v>
      </c>
      <c r="M79" s="3">
        <f t="shared" si="54"/>
        <v>385</v>
      </c>
      <c r="N79" s="3">
        <f t="shared" si="54"/>
        <v>420</v>
      </c>
      <c r="O79" s="3">
        <f t="shared" si="54"/>
        <v>455</v>
      </c>
      <c r="P79" s="7">
        <f t="shared" si="54"/>
        <v>490</v>
      </c>
      <c r="Q79" s="3">
        <f t="shared" si="54"/>
        <v>525</v>
      </c>
      <c r="R79" s="3">
        <f t="shared" si="54"/>
        <v>560</v>
      </c>
      <c r="S79" s="3">
        <f t="shared" si="54"/>
        <v>595</v>
      </c>
      <c r="T79" s="3">
        <f t="shared" si="54"/>
        <v>630</v>
      </c>
      <c r="U79" s="3">
        <f t="shared" si="54"/>
        <v>665</v>
      </c>
      <c r="V79" s="3">
        <f t="shared" si="54"/>
        <v>700</v>
      </c>
      <c r="AH79" s="4"/>
      <c r="AI79" s="4"/>
    </row>
    <row r="80">
      <c r="A80" s="2">
        <v>36.0</v>
      </c>
      <c r="B80" s="3">
        <f t="shared" ref="B80:V80" si="55">B$1*$A80</f>
        <v>0</v>
      </c>
      <c r="C80" s="3">
        <f t="shared" si="55"/>
        <v>36</v>
      </c>
      <c r="D80" s="3">
        <f t="shared" si="55"/>
        <v>72</v>
      </c>
      <c r="E80" s="3">
        <f t="shared" si="55"/>
        <v>108</v>
      </c>
      <c r="F80" s="3">
        <f t="shared" si="55"/>
        <v>144</v>
      </c>
      <c r="G80" s="3">
        <f t="shared" si="55"/>
        <v>180</v>
      </c>
      <c r="H80" s="3">
        <f t="shared" si="55"/>
        <v>216</v>
      </c>
      <c r="I80" s="3">
        <f t="shared" si="55"/>
        <v>252</v>
      </c>
      <c r="J80" s="3">
        <f t="shared" si="55"/>
        <v>288</v>
      </c>
      <c r="K80" s="3">
        <f t="shared" si="55"/>
        <v>324</v>
      </c>
      <c r="L80" s="3">
        <f t="shared" si="55"/>
        <v>360</v>
      </c>
      <c r="M80" s="3">
        <f t="shared" si="55"/>
        <v>396</v>
      </c>
      <c r="N80" s="3">
        <f t="shared" si="55"/>
        <v>432</v>
      </c>
      <c r="O80" s="3">
        <f t="shared" si="55"/>
        <v>468</v>
      </c>
      <c r="P80" s="3">
        <f t="shared" si="55"/>
        <v>504</v>
      </c>
      <c r="Q80" s="3">
        <f t="shared" si="55"/>
        <v>540</v>
      </c>
      <c r="R80" s="3">
        <f t="shared" si="55"/>
        <v>576</v>
      </c>
      <c r="S80" s="3">
        <f t="shared" si="55"/>
        <v>612</v>
      </c>
      <c r="T80" s="3">
        <f t="shared" si="55"/>
        <v>648</v>
      </c>
      <c r="U80" s="3">
        <f t="shared" si="55"/>
        <v>684</v>
      </c>
      <c r="V80" s="3">
        <f t="shared" si="55"/>
        <v>720</v>
      </c>
      <c r="AH80" s="4"/>
      <c r="AI80" s="4"/>
    </row>
    <row r="81">
      <c r="A81" s="2">
        <v>37.0</v>
      </c>
      <c r="B81" s="3">
        <f t="shared" ref="B81:V81" si="56">B$1*$A81</f>
        <v>0</v>
      </c>
      <c r="C81" s="3">
        <f t="shared" si="56"/>
        <v>37</v>
      </c>
      <c r="D81" s="3">
        <f t="shared" si="56"/>
        <v>74</v>
      </c>
      <c r="E81" s="3">
        <f t="shared" si="56"/>
        <v>111</v>
      </c>
      <c r="F81" s="3">
        <f t="shared" si="56"/>
        <v>148</v>
      </c>
      <c r="G81" s="3">
        <f t="shared" si="56"/>
        <v>185</v>
      </c>
      <c r="H81" s="3">
        <f t="shared" si="56"/>
        <v>222</v>
      </c>
      <c r="I81" s="3">
        <f t="shared" si="56"/>
        <v>259</v>
      </c>
      <c r="J81" s="3">
        <f t="shared" si="56"/>
        <v>296</v>
      </c>
      <c r="K81" s="3">
        <f t="shared" si="56"/>
        <v>333</v>
      </c>
      <c r="L81" s="3">
        <f t="shared" si="56"/>
        <v>370</v>
      </c>
      <c r="M81" s="3">
        <f t="shared" si="56"/>
        <v>407</v>
      </c>
      <c r="N81" s="3">
        <f t="shared" si="56"/>
        <v>444</v>
      </c>
      <c r="O81" s="3">
        <f t="shared" si="56"/>
        <v>481</v>
      </c>
      <c r="P81" s="3">
        <f t="shared" si="56"/>
        <v>518</v>
      </c>
      <c r="Q81" s="3">
        <f t="shared" si="56"/>
        <v>555</v>
      </c>
      <c r="R81" s="3">
        <f t="shared" si="56"/>
        <v>592</v>
      </c>
      <c r="S81" s="3">
        <f t="shared" si="56"/>
        <v>629</v>
      </c>
      <c r="T81" s="3">
        <f t="shared" si="56"/>
        <v>666</v>
      </c>
      <c r="U81" s="3">
        <f t="shared" si="56"/>
        <v>703</v>
      </c>
      <c r="V81" s="3">
        <f t="shared" si="56"/>
        <v>740</v>
      </c>
      <c r="AH81" s="4"/>
      <c r="AI81" s="4"/>
    </row>
    <row r="82">
      <c r="A82" s="2">
        <v>38.0</v>
      </c>
      <c r="B82" s="3">
        <f t="shared" ref="B82:V82" si="57">B$1*$A82</f>
        <v>0</v>
      </c>
      <c r="C82" s="3">
        <f t="shared" si="57"/>
        <v>38</v>
      </c>
      <c r="D82" s="3">
        <f t="shared" si="57"/>
        <v>76</v>
      </c>
      <c r="E82" s="3">
        <f t="shared" si="57"/>
        <v>114</v>
      </c>
      <c r="F82" s="3">
        <f t="shared" si="57"/>
        <v>152</v>
      </c>
      <c r="G82" s="3">
        <f t="shared" si="57"/>
        <v>190</v>
      </c>
      <c r="H82" s="3">
        <f t="shared" si="57"/>
        <v>228</v>
      </c>
      <c r="I82" s="3">
        <f t="shared" si="57"/>
        <v>266</v>
      </c>
      <c r="J82" s="3">
        <f t="shared" si="57"/>
        <v>304</v>
      </c>
      <c r="K82" s="3">
        <f t="shared" si="57"/>
        <v>342</v>
      </c>
      <c r="L82" s="3">
        <f t="shared" si="57"/>
        <v>380</v>
      </c>
      <c r="M82" s="3">
        <f t="shared" si="57"/>
        <v>418</v>
      </c>
      <c r="N82" s="3">
        <f t="shared" si="57"/>
        <v>456</v>
      </c>
      <c r="O82" s="3">
        <f t="shared" si="57"/>
        <v>494</v>
      </c>
      <c r="P82" s="3">
        <f t="shared" si="57"/>
        <v>532</v>
      </c>
      <c r="Q82" s="3">
        <f t="shared" si="57"/>
        <v>570</v>
      </c>
      <c r="R82" s="3">
        <f t="shared" si="57"/>
        <v>608</v>
      </c>
      <c r="S82" s="3">
        <f t="shared" si="57"/>
        <v>646</v>
      </c>
      <c r="T82" s="3">
        <f t="shared" si="57"/>
        <v>684</v>
      </c>
      <c r="U82" s="3">
        <f t="shared" si="57"/>
        <v>722</v>
      </c>
      <c r="V82" s="3">
        <f t="shared" si="57"/>
        <v>760</v>
      </c>
      <c r="AH82" s="4"/>
      <c r="AI82" s="4"/>
    </row>
    <row r="83">
      <c r="AH83" s="4"/>
      <c r="AI83" s="4"/>
    </row>
    <row r="84">
      <c r="AH84" s="4"/>
      <c r="AI84" s="4"/>
    </row>
    <row r="85">
      <c r="AH85" s="4"/>
      <c r="AI85" s="4"/>
    </row>
    <row r="86">
      <c r="AH86" s="4"/>
      <c r="AI86" s="4"/>
    </row>
    <row r="87">
      <c r="AH87" s="4"/>
      <c r="AI87" s="4"/>
    </row>
    <row r="88">
      <c r="AH88" s="4"/>
      <c r="AI88" s="4"/>
    </row>
    <row r="89">
      <c r="AH89" s="4"/>
      <c r="AI89" s="4"/>
    </row>
    <row r="90">
      <c r="AH90" s="4"/>
      <c r="AI90" s="4"/>
    </row>
    <row r="91">
      <c r="AH91" s="4"/>
      <c r="AI91" s="4"/>
    </row>
    <row r="92">
      <c r="AH92" s="4"/>
      <c r="AI92" s="4"/>
    </row>
    <row r="93">
      <c r="AH93" s="4"/>
      <c r="AI93" s="4"/>
    </row>
    <row r="94">
      <c r="AH94" s="4"/>
      <c r="AI94" s="4"/>
    </row>
    <row r="95">
      <c r="AH95" s="4"/>
      <c r="AI95" s="4"/>
    </row>
    <row r="96">
      <c r="AH96" s="4"/>
      <c r="AI96" s="4"/>
    </row>
    <row r="97">
      <c r="AH97" s="4"/>
      <c r="AI97" s="4"/>
    </row>
    <row r="98">
      <c r="AH98" s="4"/>
      <c r="AI98" s="4"/>
    </row>
    <row r="99">
      <c r="AH99" s="4"/>
      <c r="AI99" s="4"/>
    </row>
    <row r="100">
      <c r="AH100" s="4"/>
      <c r="AI100" s="4"/>
    </row>
    <row r="101">
      <c r="AH101" s="4"/>
      <c r="AI101" s="4"/>
    </row>
    <row r="102">
      <c r="AH102" s="4"/>
      <c r="AI102" s="4"/>
    </row>
    <row r="103">
      <c r="AH103" s="4"/>
      <c r="AI103" s="4"/>
    </row>
    <row r="104">
      <c r="AH104" s="4"/>
      <c r="AI104" s="4"/>
    </row>
    <row r="105">
      <c r="AH105" s="4"/>
      <c r="AI105" s="4"/>
    </row>
    <row r="106">
      <c r="AH106" s="4"/>
      <c r="AI106" s="4"/>
    </row>
    <row r="107">
      <c r="AH107" s="4"/>
      <c r="AI107" s="4"/>
    </row>
    <row r="108">
      <c r="AH108" s="4"/>
      <c r="AI108" s="4"/>
    </row>
    <row r="109">
      <c r="AH109" s="4"/>
      <c r="AI109" s="4"/>
    </row>
    <row r="110">
      <c r="AH110" s="4"/>
      <c r="AI110" s="4"/>
    </row>
    <row r="111">
      <c r="AH111" s="4"/>
      <c r="AI111" s="4"/>
    </row>
    <row r="112">
      <c r="AH112" s="4"/>
      <c r="AI112" s="4"/>
    </row>
    <row r="113">
      <c r="AH113" s="4"/>
      <c r="AI113" s="4"/>
    </row>
    <row r="114">
      <c r="AH114" s="4"/>
      <c r="AI114" s="4"/>
    </row>
    <row r="115">
      <c r="AH115" s="4"/>
      <c r="AI115" s="4"/>
    </row>
    <row r="116">
      <c r="AH116" s="4"/>
      <c r="AI116" s="4"/>
    </row>
    <row r="117">
      <c r="AH117" s="4"/>
      <c r="AI117" s="4"/>
    </row>
    <row r="118">
      <c r="AH118" s="4"/>
      <c r="AI118" s="4"/>
    </row>
    <row r="119">
      <c r="AH119" s="4"/>
      <c r="AI119" s="4"/>
    </row>
    <row r="120">
      <c r="AH120" s="4"/>
      <c r="AI120" s="4"/>
    </row>
    <row r="121">
      <c r="AH121" s="4"/>
      <c r="AI121" s="4"/>
    </row>
    <row r="122">
      <c r="AH122" s="4"/>
      <c r="AI122" s="4"/>
    </row>
    <row r="123">
      <c r="AH123" s="4"/>
      <c r="AI123" s="4"/>
    </row>
    <row r="124">
      <c r="AH124" s="4"/>
      <c r="AI124" s="4"/>
    </row>
    <row r="125">
      <c r="AH125" s="4"/>
      <c r="AI125" s="4"/>
    </row>
    <row r="126">
      <c r="AH126" s="4"/>
      <c r="AI126" s="4"/>
    </row>
    <row r="127">
      <c r="AH127" s="4"/>
      <c r="AI127" s="4"/>
    </row>
    <row r="128">
      <c r="AH128" s="4"/>
      <c r="AI128" s="4"/>
    </row>
    <row r="129">
      <c r="AH129" s="4"/>
      <c r="AI129" s="4"/>
    </row>
    <row r="130">
      <c r="AH130" s="4"/>
      <c r="AI130" s="4"/>
    </row>
    <row r="131">
      <c r="AH131" s="4"/>
      <c r="AI131" s="4"/>
    </row>
    <row r="132">
      <c r="AH132" s="4"/>
      <c r="AI132" s="4"/>
    </row>
    <row r="133">
      <c r="AH133" s="4"/>
      <c r="AI133" s="4"/>
    </row>
    <row r="134">
      <c r="AH134" s="4"/>
      <c r="AI134" s="4"/>
    </row>
    <row r="135">
      <c r="AH135" s="4"/>
      <c r="AI135" s="4"/>
    </row>
    <row r="136">
      <c r="AH136" s="4"/>
      <c r="AI136" s="4"/>
    </row>
    <row r="137">
      <c r="AH137" s="4"/>
      <c r="AI137" s="4"/>
    </row>
    <row r="138">
      <c r="AH138" s="4"/>
      <c r="AI138" s="4"/>
    </row>
    <row r="139">
      <c r="AH139" s="4"/>
      <c r="AI139" s="4"/>
    </row>
    <row r="140">
      <c r="AH140" s="4"/>
      <c r="AI140" s="4"/>
    </row>
    <row r="141">
      <c r="AH141" s="4"/>
      <c r="AI141" s="4"/>
    </row>
    <row r="142">
      <c r="AH142" s="4"/>
      <c r="AI142" s="4"/>
    </row>
    <row r="143">
      <c r="AH143" s="4"/>
      <c r="AI143" s="4"/>
    </row>
    <row r="144">
      <c r="AH144" s="4"/>
      <c r="AI144" s="4"/>
    </row>
    <row r="145">
      <c r="AH145" s="4"/>
      <c r="AI145" s="4"/>
    </row>
    <row r="146">
      <c r="AH146" s="4"/>
      <c r="AI146" s="4"/>
    </row>
    <row r="147">
      <c r="AH147" s="4"/>
      <c r="AI147" s="4"/>
    </row>
    <row r="148">
      <c r="AH148" s="4"/>
      <c r="AI148" s="4"/>
    </row>
    <row r="149">
      <c r="AH149" s="4"/>
      <c r="AI149" s="4"/>
    </row>
    <row r="150">
      <c r="AH150" s="4"/>
      <c r="AI150" s="4"/>
    </row>
    <row r="151">
      <c r="AH151" s="4"/>
      <c r="AI151" s="4"/>
    </row>
    <row r="152">
      <c r="AH152" s="4"/>
      <c r="AI152" s="4"/>
    </row>
    <row r="153">
      <c r="AH153" s="4"/>
      <c r="AI153" s="4"/>
    </row>
    <row r="154">
      <c r="AH154" s="4"/>
      <c r="AI154" s="4"/>
    </row>
    <row r="155">
      <c r="AH155" s="4"/>
      <c r="AI155" s="4"/>
    </row>
    <row r="156">
      <c r="AH156" s="4"/>
      <c r="AI156" s="4"/>
    </row>
    <row r="157">
      <c r="AH157" s="4"/>
      <c r="AI157" s="4"/>
    </row>
    <row r="158">
      <c r="AH158" s="4"/>
      <c r="AI158" s="4"/>
    </row>
    <row r="159">
      <c r="AH159" s="4"/>
      <c r="AI159" s="4"/>
    </row>
    <row r="160">
      <c r="AH160" s="4"/>
      <c r="AI160" s="4"/>
    </row>
    <row r="161">
      <c r="AH161" s="4"/>
      <c r="AI161" s="4"/>
    </row>
    <row r="162">
      <c r="AH162" s="4"/>
      <c r="AI162" s="4"/>
    </row>
    <row r="163">
      <c r="AH163" s="4"/>
      <c r="AI163" s="4"/>
    </row>
    <row r="164">
      <c r="AH164" s="4"/>
      <c r="AI164" s="4"/>
    </row>
    <row r="165">
      <c r="AH165" s="4"/>
      <c r="AI165" s="4"/>
    </row>
    <row r="166">
      <c r="AH166" s="4"/>
      <c r="AI166" s="4"/>
    </row>
    <row r="167">
      <c r="AH167" s="4"/>
      <c r="AI167" s="4"/>
    </row>
    <row r="168">
      <c r="AH168" s="4"/>
      <c r="AI168" s="4"/>
    </row>
    <row r="169">
      <c r="AH169" s="4"/>
      <c r="AI169" s="4"/>
    </row>
    <row r="170">
      <c r="AH170" s="4"/>
      <c r="AI170" s="4"/>
    </row>
    <row r="171">
      <c r="AH171" s="4"/>
      <c r="AI171" s="4"/>
    </row>
    <row r="172">
      <c r="AH172" s="4"/>
      <c r="AI172" s="4"/>
    </row>
    <row r="173">
      <c r="AH173" s="4"/>
      <c r="AI173" s="4"/>
    </row>
    <row r="174">
      <c r="AH174" s="4"/>
      <c r="AI174" s="4"/>
    </row>
    <row r="175">
      <c r="AH175" s="4"/>
      <c r="AI175" s="4"/>
    </row>
    <row r="176">
      <c r="AH176" s="4"/>
      <c r="AI176" s="4"/>
    </row>
    <row r="177">
      <c r="AH177" s="4"/>
      <c r="AI177" s="4"/>
    </row>
    <row r="178">
      <c r="AH178" s="4"/>
      <c r="AI178" s="4"/>
    </row>
    <row r="179">
      <c r="AH179" s="4"/>
      <c r="AI179" s="4"/>
    </row>
    <row r="180">
      <c r="AH180" s="4"/>
      <c r="AI180" s="4"/>
    </row>
    <row r="181">
      <c r="AH181" s="4"/>
      <c r="AI181" s="4"/>
    </row>
    <row r="182">
      <c r="AH182" s="4"/>
      <c r="AI182" s="4"/>
    </row>
    <row r="183">
      <c r="AH183" s="4"/>
      <c r="AI183" s="4"/>
    </row>
    <row r="184">
      <c r="AH184" s="4"/>
      <c r="AI184" s="4"/>
    </row>
    <row r="185">
      <c r="AH185" s="4"/>
      <c r="AI185" s="4"/>
    </row>
    <row r="186">
      <c r="AH186" s="4"/>
      <c r="AI186" s="4"/>
    </row>
    <row r="187">
      <c r="AH187" s="4"/>
      <c r="AI187" s="4"/>
    </row>
    <row r="188">
      <c r="AH188" s="4"/>
      <c r="AI188" s="4"/>
    </row>
    <row r="189">
      <c r="AH189" s="4"/>
      <c r="AI189" s="4"/>
    </row>
    <row r="190">
      <c r="AH190" s="4"/>
      <c r="AI190" s="4"/>
    </row>
    <row r="191">
      <c r="AH191" s="4"/>
      <c r="AI191" s="4"/>
    </row>
    <row r="192">
      <c r="AH192" s="4"/>
      <c r="AI192" s="4"/>
    </row>
    <row r="193">
      <c r="AH193" s="4"/>
      <c r="AI193" s="4"/>
    </row>
    <row r="194">
      <c r="AH194" s="4"/>
      <c r="AI194" s="4"/>
    </row>
    <row r="195">
      <c r="AH195" s="4"/>
      <c r="AI195" s="4"/>
    </row>
    <row r="196">
      <c r="AH196" s="4"/>
      <c r="AI196" s="4"/>
    </row>
    <row r="197">
      <c r="AH197" s="4"/>
      <c r="AI197" s="4"/>
    </row>
    <row r="198">
      <c r="AH198" s="4"/>
      <c r="AI198" s="4"/>
    </row>
    <row r="199">
      <c r="AH199" s="4"/>
      <c r="AI199" s="4"/>
    </row>
    <row r="200">
      <c r="AH200" s="4"/>
      <c r="AI200" s="4"/>
    </row>
    <row r="201">
      <c r="AH201" s="4"/>
      <c r="AI201" s="4"/>
    </row>
    <row r="202">
      <c r="AH202" s="4"/>
      <c r="AI202" s="4"/>
    </row>
    <row r="203">
      <c r="AH203" s="4"/>
      <c r="AI203" s="4"/>
    </row>
    <row r="204">
      <c r="AH204" s="4"/>
      <c r="AI204" s="4"/>
    </row>
    <row r="205">
      <c r="AH205" s="4"/>
      <c r="AI205" s="4"/>
    </row>
    <row r="206">
      <c r="AH206" s="4"/>
      <c r="AI206" s="4"/>
    </row>
    <row r="207">
      <c r="AH207" s="4"/>
      <c r="AI207" s="4"/>
    </row>
    <row r="208">
      <c r="AH208" s="4"/>
      <c r="AI208" s="4"/>
    </row>
    <row r="209">
      <c r="AH209" s="4"/>
      <c r="AI209" s="4"/>
    </row>
    <row r="210">
      <c r="AH210" s="4"/>
      <c r="AI210" s="4"/>
    </row>
    <row r="211">
      <c r="AH211" s="4"/>
      <c r="AI211" s="4"/>
    </row>
    <row r="212">
      <c r="AH212" s="4"/>
      <c r="AI212" s="4"/>
    </row>
    <row r="213">
      <c r="AH213" s="4"/>
      <c r="AI213" s="4"/>
    </row>
    <row r="214">
      <c r="AH214" s="4"/>
      <c r="AI214" s="4"/>
    </row>
    <row r="215">
      <c r="AH215" s="4"/>
      <c r="AI215" s="4"/>
    </row>
    <row r="216">
      <c r="AH216" s="4"/>
      <c r="AI216" s="4"/>
    </row>
    <row r="217">
      <c r="AH217" s="4"/>
      <c r="AI217" s="4"/>
    </row>
    <row r="218">
      <c r="AH218" s="4"/>
      <c r="AI218" s="4"/>
    </row>
    <row r="219">
      <c r="AH219" s="4"/>
      <c r="AI219" s="4"/>
    </row>
    <row r="220">
      <c r="AH220" s="4"/>
      <c r="AI220" s="4"/>
    </row>
    <row r="221">
      <c r="AH221" s="4"/>
      <c r="AI221" s="4"/>
    </row>
    <row r="222">
      <c r="AH222" s="4"/>
      <c r="AI222" s="4"/>
    </row>
    <row r="223">
      <c r="AH223" s="4"/>
      <c r="AI223" s="4"/>
    </row>
    <row r="224">
      <c r="AH224" s="4"/>
      <c r="AI224" s="4"/>
    </row>
    <row r="225">
      <c r="AH225" s="4"/>
      <c r="AI225" s="4"/>
    </row>
    <row r="226">
      <c r="AH226" s="4"/>
      <c r="AI226" s="4"/>
    </row>
    <row r="227">
      <c r="AH227" s="4"/>
      <c r="AI227" s="4"/>
    </row>
    <row r="228">
      <c r="AH228" s="4"/>
      <c r="AI228" s="4"/>
    </row>
    <row r="229">
      <c r="AH229" s="4"/>
      <c r="AI229" s="4"/>
    </row>
    <row r="230">
      <c r="AH230" s="4"/>
      <c r="AI230" s="4"/>
    </row>
    <row r="231">
      <c r="AH231" s="4"/>
      <c r="AI231" s="4"/>
    </row>
    <row r="232">
      <c r="AH232" s="4"/>
      <c r="AI232" s="4"/>
    </row>
    <row r="233">
      <c r="AH233" s="4"/>
      <c r="AI233" s="4"/>
    </row>
    <row r="234">
      <c r="AH234" s="4"/>
      <c r="AI234" s="4"/>
    </row>
    <row r="235">
      <c r="AH235" s="4"/>
      <c r="AI235" s="4"/>
    </row>
    <row r="236">
      <c r="AH236" s="4"/>
      <c r="AI236" s="4"/>
    </row>
    <row r="237">
      <c r="AH237" s="4"/>
      <c r="AI237" s="4"/>
    </row>
    <row r="238">
      <c r="AH238" s="4"/>
      <c r="AI238" s="4"/>
    </row>
    <row r="239">
      <c r="AH239" s="4"/>
      <c r="AI239" s="4"/>
    </row>
    <row r="240">
      <c r="AH240" s="4"/>
      <c r="AI240" s="4"/>
    </row>
    <row r="241">
      <c r="AH241" s="4"/>
      <c r="AI241" s="4"/>
    </row>
    <row r="242">
      <c r="AH242" s="4"/>
      <c r="AI242" s="4"/>
    </row>
    <row r="243">
      <c r="AH243" s="4"/>
      <c r="AI243" s="4"/>
    </row>
    <row r="244">
      <c r="AH244" s="4"/>
      <c r="AI244" s="4"/>
    </row>
    <row r="245">
      <c r="AH245" s="4"/>
      <c r="AI245" s="4"/>
    </row>
    <row r="246">
      <c r="AH246" s="4"/>
      <c r="AI246" s="4"/>
    </row>
    <row r="247">
      <c r="AH247" s="4"/>
      <c r="AI247" s="4"/>
    </row>
    <row r="248">
      <c r="AH248" s="4"/>
      <c r="AI248" s="4"/>
    </row>
    <row r="249">
      <c r="AH249" s="4"/>
      <c r="AI249" s="4"/>
    </row>
    <row r="250">
      <c r="AH250" s="4"/>
      <c r="AI250" s="4"/>
    </row>
    <row r="251">
      <c r="AH251" s="4"/>
      <c r="AI251" s="4"/>
    </row>
    <row r="252">
      <c r="AH252" s="4"/>
      <c r="AI252" s="4"/>
    </row>
    <row r="253">
      <c r="AH253" s="4"/>
      <c r="AI253" s="4"/>
    </row>
    <row r="254">
      <c r="AH254" s="4"/>
      <c r="AI254" s="4"/>
    </row>
    <row r="255">
      <c r="AH255" s="4"/>
      <c r="AI255" s="4"/>
    </row>
    <row r="256">
      <c r="AH256" s="4"/>
      <c r="AI256" s="4"/>
    </row>
    <row r="257">
      <c r="AH257" s="4"/>
      <c r="AI257" s="4"/>
    </row>
    <row r="258">
      <c r="AH258" s="4"/>
      <c r="AI258" s="4"/>
    </row>
    <row r="259">
      <c r="AH259" s="4"/>
      <c r="AI259" s="4"/>
    </row>
    <row r="260">
      <c r="AH260" s="4"/>
      <c r="AI260" s="4"/>
    </row>
    <row r="261">
      <c r="AH261" s="4"/>
      <c r="AI261" s="4"/>
    </row>
    <row r="262">
      <c r="AH262" s="4"/>
      <c r="AI262" s="4"/>
    </row>
    <row r="263">
      <c r="AH263" s="4"/>
      <c r="AI263" s="4"/>
    </row>
    <row r="264">
      <c r="AH264" s="4"/>
      <c r="AI264" s="4"/>
    </row>
    <row r="265">
      <c r="AH265" s="4"/>
      <c r="AI265" s="4"/>
    </row>
    <row r="266">
      <c r="AH266" s="4"/>
      <c r="AI266" s="4"/>
    </row>
    <row r="267">
      <c r="AH267" s="4"/>
      <c r="AI267" s="4"/>
    </row>
    <row r="268">
      <c r="AH268" s="4"/>
      <c r="AI268" s="4"/>
    </row>
    <row r="269">
      <c r="AH269" s="4"/>
      <c r="AI269" s="4"/>
    </row>
    <row r="270">
      <c r="AH270" s="4"/>
      <c r="AI270" s="4"/>
    </row>
    <row r="271">
      <c r="AH271" s="4"/>
      <c r="AI271" s="4"/>
    </row>
    <row r="272">
      <c r="AH272" s="4"/>
      <c r="AI272" s="4"/>
    </row>
    <row r="273">
      <c r="AH273" s="4"/>
      <c r="AI273" s="4"/>
    </row>
    <row r="274">
      <c r="AH274" s="4"/>
      <c r="AI274" s="4"/>
    </row>
    <row r="275">
      <c r="AH275" s="4"/>
      <c r="AI275" s="4"/>
    </row>
    <row r="276">
      <c r="AH276" s="4"/>
      <c r="AI276" s="4"/>
    </row>
    <row r="277">
      <c r="AH277" s="4"/>
      <c r="AI277" s="4"/>
    </row>
    <row r="278">
      <c r="AH278" s="4"/>
      <c r="AI278" s="4"/>
    </row>
    <row r="279">
      <c r="AH279" s="4"/>
      <c r="AI279" s="4"/>
    </row>
    <row r="280">
      <c r="AH280" s="4"/>
      <c r="AI280" s="4"/>
    </row>
    <row r="281">
      <c r="AH281" s="4"/>
      <c r="AI281" s="4"/>
    </row>
    <row r="282">
      <c r="AH282" s="4"/>
      <c r="AI282" s="4"/>
    </row>
    <row r="283">
      <c r="AH283" s="4"/>
      <c r="AI283" s="4"/>
    </row>
    <row r="284">
      <c r="AH284" s="4"/>
      <c r="AI284" s="4"/>
    </row>
    <row r="285">
      <c r="AH285" s="4"/>
      <c r="AI285" s="4"/>
    </row>
    <row r="286">
      <c r="AH286" s="4"/>
      <c r="AI286" s="4"/>
    </row>
    <row r="287">
      <c r="AH287" s="4"/>
      <c r="AI287" s="4"/>
    </row>
    <row r="288">
      <c r="AH288" s="4"/>
      <c r="AI288" s="4"/>
    </row>
    <row r="289">
      <c r="AH289" s="4"/>
      <c r="AI289" s="4"/>
    </row>
    <row r="290">
      <c r="AH290" s="4"/>
      <c r="AI290" s="4"/>
    </row>
    <row r="291">
      <c r="AH291" s="4"/>
      <c r="AI291" s="4"/>
    </row>
    <row r="292">
      <c r="AH292" s="4"/>
      <c r="AI292" s="4"/>
    </row>
    <row r="293">
      <c r="AH293" s="4"/>
      <c r="AI293" s="4"/>
    </row>
    <row r="294">
      <c r="AH294" s="4"/>
      <c r="AI294" s="4"/>
    </row>
    <row r="295">
      <c r="AH295" s="4"/>
      <c r="AI295" s="4"/>
    </row>
    <row r="296">
      <c r="AH296" s="4"/>
      <c r="AI296" s="4"/>
    </row>
    <row r="297">
      <c r="AH297" s="4"/>
      <c r="AI297" s="4"/>
    </row>
    <row r="298">
      <c r="AH298" s="4"/>
      <c r="AI298" s="4"/>
    </row>
    <row r="299">
      <c r="AH299" s="4"/>
      <c r="AI299" s="4"/>
    </row>
    <row r="300">
      <c r="AH300" s="4"/>
      <c r="AI300" s="4"/>
    </row>
    <row r="301">
      <c r="AH301" s="4"/>
      <c r="AI301" s="4"/>
    </row>
    <row r="302">
      <c r="AH302" s="4"/>
      <c r="AI302" s="4"/>
    </row>
    <row r="303">
      <c r="AH303" s="4"/>
      <c r="AI303" s="4"/>
    </row>
    <row r="304">
      <c r="AH304" s="4"/>
      <c r="AI304" s="4"/>
    </row>
    <row r="305">
      <c r="AH305" s="4"/>
      <c r="AI305" s="4"/>
    </row>
    <row r="306">
      <c r="AH306" s="4"/>
      <c r="AI306" s="4"/>
    </row>
    <row r="307">
      <c r="AH307" s="4"/>
      <c r="AI307" s="4"/>
    </row>
    <row r="308">
      <c r="AH308" s="4"/>
      <c r="AI308" s="4"/>
    </row>
    <row r="309">
      <c r="AH309" s="4"/>
      <c r="AI309" s="4"/>
    </row>
    <row r="310">
      <c r="AH310" s="4"/>
      <c r="AI310" s="4"/>
    </row>
    <row r="311">
      <c r="AH311" s="4"/>
      <c r="AI311" s="4"/>
    </row>
    <row r="312">
      <c r="AH312" s="4"/>
      <c r="AI312" s="4"/>
    </row>
    <row r="313">
      <c r="AH313" s="4"/>
      <c r="AI313" s="4"/>
    </row>
    <row r="314">
      <c r="AH314" s="4"/>
      <c r="AI314" s="4"/>
    </row>
    <row r="315">
      <c r="AH315" s="4"/>
      <c r="AI315" s="4"/>
    </row>
    <row r="316">
      <c r="AH316" s="4"/>
      <c r="AI316" s="4"/>
    </row>
    <row r="317">
      <c r="AH317" s="4"/>
      <c r="AI317" s="4"/>
    </row>
    <row r="318">
      <c r="AH318" s="4"/>
      <c r="AI318" s="4"/>
    </row>
    <row r="319">
      <c r="AH319" s="4"/>
      <c r="AI319" s="4"/>
    </row>
    <row r="320">
      <c r="AH320" s="4"/>
      <c r="AI320" s="4"/>
    </row>
    <row r="321">
      <c r="AH321" s="4"/>
      <c r="AI321" s="4"/>
    </row>
    <row r="322">
      <c r="AH322" s="4"/>
      <c r="AI322" s="4"/>
    </row>
    <row r="323">
      <c r="AH323" s="4"/>
      <c r="AI323" s="4"/>
    </row>
    <row r="324">
      <c r="AH324" s="4"/>
      <c r="AI324" s="4"/>
    </row>
    <row r="325">
      <c r="AH325" s="4"/>
      <c r="AI325" s="4"/>
    </row>
    <row r="326">
      <c r="AH326" s="4"/>
      <c r="AI326" s="4"/>
    </row>
    <row r="327">
      <c r="AH327" s="4"/>
      <c r="AI327" s="4"/>
    </row>
    <row r="328">
      <c r="AH328" s="4"/>
      <c r="AI328" s="4"/>
    </row>
    <row r="329">
      <c r="AH329" s="4"/>
      <c r="AI329" s="4"/>
    </row>
    <row r="330">
      <c r="AH330" s="4"/>
      <c r="AI330" s="4"/>
    </row>
    <row r="331">
      <c r="AH331" s="4"/>
      <c r="AI331" s="4"/>
    </row>
    <row r="332">
      <c r="AH332" s="4"/>
      <c r="AI332" s="4"/>
    </row>
    <row r="333">
      <c r="AH333" s="4"/>
      <c r="AI333" s="4"/>
    </row>
    <row r="334">
      <c r="AH334" s="4"/>
      <c r="AI334" s="4"/>
    </row>
    <row r="335">
      <c r="AH335" s="4"/>
      <c r="AI335" s="4"/>
    </row>
    <row r="336">
      <c r="AH336" s="4"/>
      <c r="AI336" s="4"/>
    </row>
    <row r="337">
      <c r="AH337" s="4"/>
      <c r="AI337" s="4"/>
    </row>
    <row r="338">
      <c r="AH338" s="4"/>
      <c r="AI338" s="4"/>
    </row>
    <row r="339">
      <c r="AH339" s="4"/>
      <c r="AI339" s="4"/>
    </row>
    <row r="340">
      <c r="AH340" s="4"/>
      <c r="AI340" s="4"/>
    </row>
    <row r="341">
      <c r="AH341" s="4"/>
      <c r="AI341" s="4"/>
    </row>
    <row r="342">
      <c r="AH342" s="4"/>
      <c r="AI342" s="4"/>
    </row>
    <row r="343">
      <c r="AH343" s="4"/>
      <c r="AI343" s="4"/>
    </row>
    <row r="344">
      <c r="AH344" s="4"/>
      <c r="AI344" s="4"/>
    </row>
    <row r="345">
      <c r="AH345" s="4"/>
      <c r="AI345" s="4"/>
    </row>
    <row r="346">
      <c r="AH346" s="4"/>
      <c r="AI346" s="4"/>
    </row>
    <row r="347">
      <c r="AH347" s="4"/>
      <c r="AI347" s="4"/>
    </row>
    <row r="348">
      <c r="AH348" s="4"/>
      <c r="AI348" s="4"/>
    </row>
    <row r="349">
      <c r="AH349" s="4"/>
      <c r="AI349" s="4"/>
    </row>
    <row r="350">
      <c r="AH350" s="4"/>
      <c r="AI350" s="4"/>
    </row>
    <row r="351">
      <c r="AH351" s="4"/>
      <c r="AI351" s="4"/>
    </row>
    <row r="352">
      <c r="AH352" s="4"/>
      <c r="AI352" s="4"/>
    </row>
    <row r="353">
      <c r="AH353" s="4"/>
      <c r="AI353" s="4"/>
    </row>
    <row r="354">
      <c r="AH354" s="4"/>
      <c r="AI354" s="4"/>
    </row>
    <row r="355">
      <c r="AH355" s="4"/>
      <c r="AI355" s="4"/>
    </row>
    <row r="356">
      <c r="AH356" s="4"/>
      <c r="AI356" s="4"/>
    </row>
    <row r="357">
      <c r="AH357" s="4"/>
      <c r="AI357" s="4"/>
    </row>
    <row r="358">
      <c r="AH358" s="4"/>
      <c r="AI358" s="4"/>
    </row>
    <row r="359">
      <c r="AH359" s="4"/>
      <c r="AI359" s="4"/>
    </row>
    <row r="360">
      <c r="AH360" s="4"/>
      <c r="AI360" s="4"/>
    </row>
    <row r="361">
      <c r="AH361" s="4"/>
      <c r="AI361" s="4"/>
    </row>
    <row r="362">
      <c r="AH362" s="4"/>
      <c r="AI362" s="4"/>
    </row>
    <row r="363">
      <c r="AH363" s="4"/>
      <c r="AI363" s="4"/>
    </row>
    <row r="364">
      <c r="AH364" s="4"/>
      <c r="AI364" s="4"/>
    </row>
    <row r="365">
      <c r="AH365" s="4"/>
      <c r="AI365" s="4"/>
    </row>
    <row r="366">
      <c r="AH366" s="4"/>
      <c r="AI366" s="4"/>
    </row>
    <row r="367">
      <c r="AH367" s="4"/>
      <c r="AI367" s="4"/>
    </row>
    <row r="368">
      <c r="AH368" s="4"/>
      <c r="AI368" s="4"/>
    </row>
    <row r="369">
      <c r="AH369" s="4"/>
      <c r="AI369" s="4"/>
    </row>
    <row r="370">
      <c r="AH370" s="4"/>
      <c r="AI370" s="4"/>
    </row>
    <row r="371">
      <c r="AH371" s="4"/>
      <c r="AI371" s="4"/>
    </row>
    <row r="372">
      <c r="AH372" s="4"/>
      <c r="AI372" s="4"/>
    </row>
    <row r="373">
      <c r="AH373" s="4"/>
      <c r="AI373" s="4"/>
    </row>
    <row r="374">
      <c r="AH374" s="4"/>
      <c r="AI374" s="4"/>
    </row>
    <row r="375">
      <c r="AH375" s="4"/>
      <c r="AI375" s="4"/>
    </row>
    <row r="376">
      <c r="AH376" s="4"/>
      <c r="AI376" s="4"/>
    </row>
    <row r="377">
      <c r="AH377" s="4"/>
      <c r="AI377" s="4"/>
    </row>
    <row r="378">
      <c r="AH378" s="4"/>
      <c r="AI378" s="4"/>
    </row>
    <row r="379">
      <c r="AH379" s="4"/>
      <c r="AI379" s="4"/>
    </row>
    <row r="380">
      <c r="AH380" s="4"/>
      <c r="AI380" s="4"/>
    </row>
    <row r="381">
      <c r="AH381" s="4"/>
      <c r="AI381" s="4"/>
    </row>
    <row r="382">
      <c r="AH382" s="4"/>
      <c r="AI382" s="4"/>
    </row>
    <row r="383">
      <c r="AH383" s="4"/>
      <c r="AI383" s="4"/>
    </row>
    <row r="384">
      <c r="AH384" s="4"/>
      <c r="AI384" s="4"/>
    </row>
    <row r="385">
      <c r="AH385" s="4"/>
      <c r="AI385" s="4"/>
    </row>
    <row r="386">
      <c r="AH386" s="4"/>
      <c r="AI386" s="4"/>
    </row>
    <row r="387">
      <c r="AH387" s="4"/>
      <c r="AI387" s="4"/>
    </row>
    <row r="388">
      <c r="AH388" s="4"/>
      <c r="AI388" s="4"/>
    </row>
    <row r="389">
      <c r="AH389" s="4"/>
      <c r="AI389" s="4"/>
    </row>
    <row r="390">
      <c r="AH390" s="4"/>
      <c r="AI390" s="4"/>
    </row>
    <row r="391">
      <c r="AH391" s="4"/>
      <c r="AI391" s="4"/>
    </row>
    <row r="392">
      <c r="AH392" s="4"/>
      <c r="AI392" s="4"/>
    </row>
    <row r="393">
      <c r="AH393" s="4"/>
      <c r="AI393" s="4"/>
    </row>
    <row r="394">
      <c r="AH394" s="4"/>
      <c r="AI394" s="4"/>
    </row>
    <row r="395">
      <c r="AH395" s="4"/>
      <c r="AI395" s="4"/>
    </row>
    <row r="396">
      <c r="AH396" s="4"/>
      <c r="AI396" s="4"/>
    </row>
    <row r="397">
      <c r="AH397" s="4"/>
      <c r="AI397" s="4"/>
    </row>
    <row r="398">
      <c r="AH398" s="4"/>
      <c r="AI398" s="4"/>
    </row>
    <row r="399">
      <c r="AH399" s="4"/>
      <c r="AI399" s="4"/>
    </row>
    <row r="400">
      <c r="AH400" s="4"/>
      <c r="AI400" s="4"/>
    </row>
    <row r="401">
      <c r="AH401" s="4"/>
      <c r="AI401" s="4"/>
    </row>
    <row r="402">
      <c r="AH402" s="4"/>
      <c r="AI402" s="4"/>
    </row>
    <row r="403">
      <c r="AH403" s="4"/>
      <c r="AI403" s="4"/>
    </row>
    <row r="404">
      <c r="AH404" s="4"/>
      <c r="AI404" s="4"/>
    </row>
    <row r="405">
      <c r="AH405" s="4"/>
      <c r="AI405" s="4"/>
    </row>
    <row r="406">
      <c r="AH406" s="4"/>
      <c r="AI406" s="4"/>
    </row>
    <row r="407">
      <c r="AH407" s="4"/>
      <c r="AI407" s="4"/>
    </row>
    <row r="408">
      <c r="AH408" s="4"/>
      <c r="AI408" s="4"/>
    </row>
    <row r="409">
      <c r="AH409" s="4"/>
      <c r="AI409" s="4"/>
    </row>
    <row r="410">
      <c r="AH410" s="4"/>
      <c r="AI410" s="4"/>
    </row>
    <row r="411">
      <c r="AH411" s="4"/>
      <c r="AI411" s="4"/>
    </row>
    <row r="412">
      <c r="AH412" s="4"/>
      <c r="AI412" s="4"/>
    </row>
    <row r="413">
      <c r="AH413" s="4"/>
      <c r="AI413" s="4"/>
    </row>
    <row r="414">
      <c r="AH414" s="4"/>
      <c r="AI414" s="4"/>
    </row>
    <row r="415">
      <c r="AH415" s="4"/>
      <c r="AI415" s="4"/>
    </row>
    <row r="416">
      <c r="AH416" s="4"/>
      <c r="AI416" s="4"/>
    </row>
    <row r="417">
      <c r="AH417" s="4"/>
      <c r="AI417" s="4"/>
    </row>
    <row r="418">
      <c r="AH418" s="4"/>
      <c r="AI418" s="4"/>
    </row>
    <row r="419">
      <c r="AH419" s="4"/>
      <c r="AI419" s="4"/>
    </row>
    <row r="420">
      <c r="AH420" s="4"/>
      <c r="AI420" s="4"/>
    </row>
    <row r="421">
      <c r="AH421" s="4"/>
      <c r="AI421" s="4"/>
    </row>
    <row r="422">
      <c r="AH422" s="4"/>
      <c r="AI422" s="4"/>
    </row>
    <row r="423">
      <c r="AH423" s="4"/>
      <c r="AI423" s="4"/>
    </row>
    <row r="424">
      <c r="AH424" s="4"/>
      <c r="AI424" s="4"/>
    </row>
    <row r="425">
      <c r="AH425" s="4"/>
      <c r="AI425" s="4"/>
    </row>
    <row r="426">
      <c r="AH426" s="4"/>
      <c r="AI426" s="4"/>
    </row>
    <row r="427">
      <c r="AH427" s="4"/>
      <c r="AI427" s="4"/>
    </row>
    <row r="428">
      <c r="AH428" s="4"/>
      <c r="AI428" s="4"/>
    </row>
    <row r="429">
      <c r="AH429" s="4"/>
      <c r="AI429" s="4"/>
    </row>
    <row r="430">
      <c r="AH430" s="4"/>
      <c r="AI430" s="4"/>
    </row>
    <row r="431">
      <c r="AH431" s="4"/>
      <c r="AI431" s="4"/>
    </row>
    <row r="432">
      <c r="AH432" s="4"/>
      <c r="AI432" s="4"/>
    </row>
    <row r="433">
      <c r="AH433" s="4"/>
      <c r="AI433" s="4"/>
    </row>
    <row r="434">
      <c r="AH434" s="4"/>
      <c r="AI434" s="4"/>
    </row>
    <row r="435">
      <c r="AH435" s="4"/>
      <c r="AI435" s="4"/>
    </row>
    <row r="436">
      <c r="AH436" s="4"/>
      <c r="AI436" s="4"/>
    </row>
    <row r="437">
      <c r="AH437" s="4"/>
      <c r="AI437" s="4"/>
    </row>
    <row r="438">
      <c r="AH438" s="4"/>
      <c r="AI438" s="4"/>
    </row>
    <row r="439">
      <c r="AH439" s="4"/>
      <c r="AI439" s="4"/>
    </row>
    <row r="440">
      <c r="AH440" s="4"/>
      <c r="AI440" s="4"/>
    </row>
    <row r="441">
      <c r="AH441" s="4"/>
      <c r="AI441" s="4"/>
    </row>
    <row r="442">
      <c r="AH442" s="4"/>
      <c r="AI442" s="4"/>
    </row>
    <row r="443">
      <c r="AH443" s="4"/>
      <c r="AI443" s="4"/>
    </row>
    <row r="444">
      <c r="AH444" s="4"/>
      <c r="AI444" s="4"/>
    </row>
    <row r="445">
      <c r="AH445" s="4"/>
      <c r="AI445" s="4"/>
    </row>
    <row r="446">
      <c r="AH446" s="4"/>
      <c r="AI446" s="4"/>
    </row>
    <row r="447">
      <c r="AH447" s="4"/>
      <c r="AI447" s="4"/>
    </row>
    <row r="448">
      <c r="AH448" s="4"/>
      <c r="AI448" s="4"/>
    </row>
    <row r="449">
      <c r="AH449" s="4"/>
      <c r="AI449" s="4"/>
    </row>
    <row r="450">
      <c r="AH450" s="4"/>
      <c r="AI450" s="4"/>
    </row>
    <row r="451">
      <c r="AH451" s="4"/>
      <c r="AI451" s="4"/>
    </row>
    <row r="452">
      <c r="AH452" s="4"/>
      <c r="AI452" s="4"/>
    </row>
    <row r="453">
      <c r="AH453" s="4"/>
      <c r="AI453" s="4"/>
    </row>
    <row r="454">
      <c r="AH454" s="4"/>
      <c r="AI454" s="4"/>
    </row>
    <row r="455">
      <c r="AH455" s="4"/>
      <c r="AI455" s="4"/>
    </row>
    <row r="456">
      <c r="AH456" s="4"/>
      <c r="AI456" s="4"/>
    </row>
    <row r="457">
      <c r="AH457" s="4"/>
      <c r="AI457" s="4"/>
    </row>
    <row r="458">
      <c r="AH458" s="4"/>
      <c r="AI458" s="4"/>
    </row>
    <row r="459">
      <c r="AH459" s="4"/>
      <c r="AI459" s="4"/>
    </row>
    <row r="460">
      <c r="AH460" s="4"/>
      <c r="AI460" s="4"/>
    </row>
    <row r="461">
      <c r="AH461" s="4"/>
      <c r="AI461" s="4"/>
    </row>
    <row r="462">
      <c r="AH462" s="4"/>
      <c r="AI462" s="4"/>
    </row>
    <row r="463">
      <c r="AH463" s="4"/>
      <c r="AI463" s="4"/>
    </row>
    <row r="464">
      <c r="AH464" s="4"/>
      <c r="AI464" s="4"/>
    </row>
    <row r="465">
      <c r="AH465" s="4"/>
      <c r="AI465" s="4"/>
    </row>
    <row r="466">
      <c r="AH466" s="4"/>
      <c r="AI466" s="4"/>
    </row>
    <row r="467">
      <c r="AH467" s="4"/>
      <c r="AI467" s="4"/>
    </row>
    <row r="468">
      <c r="AH468" s="4"/>
      <c r="AI468" s="4"/>
    </row>
    <row r="469">
      <c r="AH469" s="4"/>
      <c r="AI469" s="4"/>
    </row>
    <row r="470">
      <c r="AH470" s="4"/>
      <c r="AI470" s="4"/>
    </row>
    <row r="471">
      <c r="AH471" s="4"/>
      <c r="AI471" s="4"/>
    </row>
    <row r="472">
      <c r="AH472" s="4"/>
      <c r="AI472" s="4"/>
    </row>
    <row r="473">
      <c r="AH473" s="4"/>
      <c r="AI473" s="4"/>
    </row>
    <row r="474">
      <c r="AH474" s="4"/>
      <c r="AI474" s="4"/>
    </row>
    <row r="475">
      <c r="AH475" s="4"/>
      <c r="AI475" s="4"/>
    </row>
    <row r="476">
      <c r="AH476" s="4"/>
      <c r="AI476" s="4"/>
    </row>
    <row r="477">
      <c r="AH477" s="4"/>
      <c r="AI477" s="4"/>
    </row>
    <row r="478">
      <c r="AH478" s="4"/>
      <c r="AI478" s="4"/>
    </row>
    <row r="479">
      <c r="AH479" s="4"/>
      <c r="AI479" s="4"/>
    </row>
    <row r="480">
      <c r="AH480" s="4"/>
      <c r="AI480" s="4"/>
    </row>
    <row r="481">
      <c r="AH481" s="4"/>
      <c r="AI481" s="4"/>
    </row>
    <row r="482">
      <c r="AH482" s="4"/>
      <c r="AI482" s="4"/>
    </row>
    <row r="483">
      <c r="AH483" s="4"/>
      <c r="AI483" s="4"/>
    </row>
    <row r="484">
      <c r="AH484" s="4"/>
      <c r="AI484" s="4"/>
    </row>
    <row r="485">
      <c r="AH485" s="4"/>
      <c r="AI485" s="4"/>
    </row>
    <row r="486">
      <c r="AH486" s="4"/>
      <c r="AI486" s="4"/>
    </row>
    <row r="487">
      <c r="AH487" s="4"/>
      <c r="AI487" s="4"/>
    </row>
    <row r="488">
      <c r="AH488" s="4"/>
      <c r="AI488" s="4"/>
    </row>
    <row r="489">
      <c r="AH489" s="4"/>
      <c r="AI489" s="4"/>
    </row>
    <row r="490">
      <c r="AH490" s="4"/>
      <c r="AI490" s="4"/>
    </row>
    <row r="491">
      <c r="AH491" s="4"/>
      <c r="AI491" s="4"/>
    </row>
    <row r="492">
      <c r="AH492" s="4"/>
      <c r="AI492" s="4"/>
    </row>
    <row r="493">
      <c r="AH493" s="4"/>
      <c r="AI493" s="4"/>
    </row>
    <row r="494">
      <c r="AH494" s="4"/>
      <c r="AI494" s="4"/>
    </row>
    <row r="495">
      <c r="AH495" s="4"/>
      <c r="AI495" s="4"/>
    </row>
    <row r="496">
      <c r="AH496" s="4"/>
      <c r="AI496" s="4"/>
    </row>
    <row r="497">
      <c r="AH497" s="4"/>
      <c r="AI497" s="4"/>
    </row>
    <row r="498">
      <c r="AH498" s="4"/>
      <c r="AI498" s="4"/>
    </row>
    <row r="499">
      <c r="AH499" s="4"/>
      <c r="AI499" s="4"/>
    </row>
    <row r="500">
      <c r="AH500" s="4"/>
      <c r="AI500" s="4"/>
    </row>
    <row r="501">
      <c r="AH501" s="4"/>
      <c r="AI501" s="4"/>
    </row>
    <row r="502">
      <c r="AH502" s="4"/>
      <c r="AI502" s="4"/>
    </row>
    <row r="503">
      <c r="AH503" s="4"/>
      <c r="AI503" s="4"/>
    </row>
    <row r="504">
      <c r="AH504" s="4"/>
      <c r="AI504" s="4"/>
    </row>
    <row r="505">
      <c r="AH505" s="4"/>
      <c r="AI505" s="4"/>
    </row>
    <row r="506">
      <c r="AH506" s="4"/>
      <c r="AI506" s="4"/>
    </row>
    <row r="507">
      <c r="AH507" s="4"/>
      <c r="AI507" s="4"/>
    </row>
    <row r="508">
      <c r="AH508" s="4"/>
      <c r="AI508" s="4"/>
    </row>
    <row r="509">
      <c r="AH509" s="4"/>
      <c r="AI509" s="4"/>
    </row>
    <row r="510">
      <c r="AH510" s="4"/>
      <c r="AI510" s="4"/>
    </row>
    <row r="511">
      <c r="AH511" s="4"/>
      <c r="AI511" s="4"/>
    </row>
    <row r="512">
      <c r="AH512" s="4"/>
      <c r="AI512" s="4"/>
    </row>
    <row r="513">
      <c r="AH513" s="4"/>
      <c r="AI513" s="4"/>
    </row>
    <row r="514">
      <c r="AH514" s="4"/>
      <c r="AI514" s="4"/>
    </row>
    <row r="515">
      <c r="AH515" s="4"/>
      <c r="AI515" s="4"/>
    </row>
    <row r="516">
      <c r="AH516" s="4"/>
      <c r="AI516" s="4"/>
    </row>
    <row r="517">
      <c r="AH517" s="4"/>
      <c r="AI517" s="4"/>
    </row>
    <row r="518">
      <c r="AH518" s="4"/>
      <c r="AI518" s="4"/>
    </row>
    <row r="519">
      <c r="AH519" s="4"/>
      <c r="AI519" s="4"/>
    </row>
    <row r="520">
      <c r="AH520" s="4"/>
      <c r="AI520" s="4"/>
    </row>
    <row r="521">
      <c r="AH521" s="4"/>
      <c r="AI521" s="4"/>
    </row>
    <row r="522">
      <c r="AH522" s="4"/>
      <c r="AI522" s="4"/>
    </row>
    <row r="523">
      <c r="AH523" s="4"/>
      <c r="AI523" s="4"/>
    </row>
    <row r="524">
      <c r="AH524" s="4"/>
      <c r="AI524" s="4"/>
    </row>
    <row r="525">
      <c r="AH525" s="4"/>
      <c r="AI525" s="4"/>
    </row>
    <row r="526">
      <c r="AH526" s="4"/>
      <c r="AI526" s="4"/>
    </row>
    <row r="527">
      <c r="AH527" s="4"/>
      <c r="AI527" s="4"/>
    </row>
    <row r="528">
      <c r="AH528" s="4"/>
      <c r="AI528" s="4"/>
    </row>
    <row r="529">
      <c r="AH529" s="4"/>
      <c r="AI529" s="4"/>
    </row>
    <row r="530">
      <c r="AH530" s="4"/>
      <c r="AI530" s="4"/>
    </row>
    <row r="531">
      <c r="AH531" s="4"/>
      <c r="AI531" s="4"/>
    </row>
    <row r="532">
      <c r="AH532" s="4"/>
      <c r="AI532" s="4"/>
    </row>
    <row r="533">
      <c r="AH533" s="4"/>
      <c r="AI533" s="4"/>
    </row>
    <row r="534">
      <c r="AH534" s="4"/>
      <c r="AI534" s="4"/>
    </row>
    <row r="535">
      <c r="AH535" s="4"/>
      <c r="AI535" s="4"/>
    </row>
    <row r="536">
      <c r="AH536" s="4"/>
      <c r="AI536" s="4"/>
    </row>
    <row r="537">
      <c r="AH537" s="4"/>
      <c r="AI537" s="4"/>
    </row>
    <row r="538">
      <c r="AH538" s="4"/>
      <c r="AI538" s="4"/>
    </row>
    <row r="539">
      <c r="AH539" s="4"/>
      <c r="AI539" s="4"/>
    </row>
    <row r="540">
      <c r="AH540" s="4"/>
      <c r="AI540" s="4"/>
    </row>
    <row r="541">
      <c r="AH541" s="4"/>
      <c r="AI541" s="4"/>
    </row>
    <row r="542">
      <c r="AH542" s="4"/>
      <c r="AI542" s="4"/>
    </row>
    <row r="543">
      <c r="AH543" s="4"/>
      <c r="AI543" s="4"/>
    </row>
    <row r="544">
      <c r="AH544" s="4"/>
      <c r="AI544" s="4"/>
    </row>
    <row r="545">
      <c r="AH545" s="4"/>
      <c r="AI545" s="4"/>
    </row>
    <row r="546">
      <c r="AH546" s="4"/>
      <c r="AI546" s="4"/>
    </row>
    <row r="547">
      <c r="AH547" s="4"/>
      <c r="AI547" s="4"/>
    </row>
    <row r="548">
      <c r="AH548" s="4"/>
      <c r="AI548" s="4"/>
    </row>
    <row r="549">
      <c r="AH549" s="4"/>
      <c r="AI549" s="4"/>
    </row>
    <row r="550">
      <c r="AH550" s="4"/>
      <c r="AI550" s="4"/>
    </row>
    <row r="551">
      <c r="AH551" s="4"/>
      <c r="AI551" s="4"/>
    </row>
    <row r="552">
      <c r="AH552" s="4"/>
      <c r="AI552" s="4"/>
    </row>
    <row r="553">
      <c r="AH553" s="4"/>
      <c r="AI553" s="4"/>
    </row>
    <row r="554">
      <c r="AH554" s="4"/>
      <c r="AI554" s="4"/>
    </row>
    <row r="555">
      <c r="AH555" s="4"/>
      <c r="AI555" s="4"/>
    </row>
    <row r="556">
      <c r="AH556" s="4"/>
      <c r="AI556" s="4"/>
    </row>
    <row r="557">
      <c r="AH557" s="4"/>
      <c r="AI557" s="4"/>
    </row>
    <row r="558">
      <c r="AH558" s="4"/>
      <c r="AI558" s="4"/>
    </row>
    <row r="559">
      <c r="AH559" s="4"/>
      <c r="AI559" s="4"/>
    </row>
    <row r="560">
      <c r="AH560" s="4"/>
      <c r="AI560" s="4"/>
    </row>
    <row r="561">
      <c r="AH561" s="4"/>
      <c r="AI561" s="4"/>
    </row>
    <row r="562">
      <c r="AH562" s="4"/>
      <c r="AI562" s="4"/>
    </row>
    <row r="563">
      <c r="AH563" s="4"/>
      <c r="AI563" s="4"/>
    </row>
    <row r="564">
      <c r="AH564" s="4"/>
      <c r="AI564" s="4"/>
    </row>
    <row r="565">
      <c r="AH565" s="4"/>
      <c r="AI565" s="4"/>
    </row>
    <row r="566">
      <c r="AH566" s="4"/>
      <c r="AI566" s="4"/>
    </row>
    <row r="567">
      <c r="AH567" s="4"/>
      <c r="AI567" s="4"/>
    </row>
    <row r="568">
      <c r="AH568" s="4"/>
      <c r="AI568" s="4"/>
    </row>
    <row r="569">
      <c r="AH569" s="4"/>
      <c r="AI569" s="4"/>
    </row>
    <row r="570">
      <c r="AH570" s="4"/>
      <c r="AI570" s="4"/>
    </row>
    <row r="571">
      <c r="AH571" s="4"/>
      <c r="AI571" s="4"/>
    </row>
    <row r="572">
      <c r="AH572" s="4"/>
      <c r="AI572" s="4"/>
    </row>
    <row r="573">
      <c r="AH573" s="4"/>
      <c r="AI573" s="4"/>
    </row>
    <row r="574">
      <c r="AH574" s="4"/>
      <c r="AI574" s="4"/>
    </row>
    <row r="575">
      <c r="AH575" s="4"/>
      <c r="AI575" s="4"/>
    </row>
    <row r="576">
      <c r="AH576" s="4"/>
      <c r="AI576" s="4"/>
    </row>
    <row r="577">
      <c r="AH577" s="4"/>
      <c r="AI577" s="4"/>
    </row>
    <row r="578">
      <c r="AH578" s="4"/>
      <c r="AI578" s="4"/>
    </row>
    <row r="579">
      <c r="AH579" s="4"/>
      <c r="AI579" s="4"/>
    </row>
    <row r="580">
      <c r="AH580" s="4"/>
      <c r="AI580" s="4"/>
    </row>
    <row r="581">
      <c r="AH581" s="4"/>
      <c r="AI581" s="4"/>
    </row>
    <row r="582">
      <c r="AH582" s="4"/>
      <c r="AI582" s="4"/>
    </row>
    <row r="583">
      <c r="AH583" s="4"/>
      <c r="AI583" s="4"/>
    </row>
    <row r="584">
      <c r="AH584" s="4"/>
      <c r="AI584" s="4"/>
    </row>
    <row r="585">
      <c r="AH585" s="4"/>
      <c r="AI585" s="4"/>
    </row>
    <row r="586">
      <c r="AH586" s="4"/>
      <c r="AI586" s="4"/>
    </row>
    <row r="587">
      <c r="AH587" s="4"/>
      <c r="AI587" s="4"/>
    </row>
    <row r="588">
      <c r="AH588" s="4"/>
      <c r="AI588" s="4"/>
    </row>
    <row r="589">
      <c r="AH589" s="4"/>
      <c r="AI589" s="4"/>
    </row>
    <row r="590">
      <c r="AH590" s="4"/>
      <c r="AI590" s="4"/>
    </row>
    <row r="591">
      <c r="AH591" s="4"/>
      <c r="AI591" s="4"/>
    </row>
    <row r="592">
      <c r="AH592" s="4"/>
      <c r="AI592" s="4"/>
    </row>
    <row r="593">
      <c r="AH593" s="4"/>
      <c r="AI593" s="4"/>
    </row>
    <row r="594">
      <c r="AH594" s="4"/>
      <c r="AI594" s="4"/>
    </row>
    <row r="595">
      <c r="AH595" s="4"/>
      <c r="AI595" s="4"/>
    </row>
    <row r="596">
      <c r="AH596" s="4"/>
      <c r="AI596" s="4"/>
    </row>
    <row r="597">
      <c r="AH597" s="4"/>
      <c r="AI597" s="4"/>
    </row>
    <row r="598">
      <c r="AH598" s="4"/>
      <c r="AI598" s="4"/>
    </row>
    <row r="599">
      <c r="AH599" s="4"/>
      <c r="AI599" s="4"/>
    </row>
    <row r="600">
      <c r="AH600" s="4"/>
      <c r="AI600" s="4"/>
    </row>
    <row r="601">
      <c r="AH601" s="4"/>
      <c r="AI601" s="4"/>
    </row>
    <row r="602">
      <c r="AH602" s="4"/>
      <c r="AI602" s="4"/>
    </row>
    <row r="603">
      <c r="AH603" s="4"/>
      <c r="AI603" s="4"/>
    </row>
    <row r="604">
      <c r="AH604" s="4"/>
      <c r="AI604" s="4"/>
    </row>
    <row r="605">
      <c r="AH605" s="4"/>
      <c r="AI605" s="4"/>
    </row>
    <row r="606">
      <c r="AH606" s="4"/>
      <c r="AI606" s="4"/>
    </row>
    <row r="607">
      <c r="AH607" s="4"/>
      <c r="AI607" s="4"/>
    </row>
    <row r="608">
      <c r="AH608" s="4"/>
      <c r="AI608" s="4"/>
    </row>
    <row r="609">
      <c r="AH609" s="4"/>
      <c r="AI609" s="4"/>
    </row>
    <row r="610">
      <c r="AH610" s="4"/>
      <c r="AI610" s="4"/>
    </row>
    <row r="611">
      <c r="AH611" s="4"/>
      <c r="AI611" s="4"/>
    </row>
    <row r="612">
      <c r="AH612" s="4"/>
      <c r="AI612" s="4"/>
    </row>
    <row r="613">
      <c r="AH613" s="4"/>
      <c r="AI613" s="4"/>
    </row>
    <row r="614">
      <c r="AH614" s="4"/>
      <c r="AI614" s="4"/>
    </row>
    <row r="615">
      <c r="AH615" s="4"/>
      <c r="AI615" s="4"/>
    </row>
    <row r="616">
      <c r="AH616" s="4"/>
      <c r="AI616" s="4"/>
    </row>
    <row r="617">
      <c r="AH617" s="4"/>
      <c r="AI617" s="4"/>
    </row>
    <row r="618">
      <c r="AH618" s="4"/>
      <c r="AI618" s="4"/>
    </row>
    <row r="619">
      <c r="AH619" s="4"/>
      <c r="AI619" s="4"/>
    </row>
    <row r="620">
      <c r="AH620" s="4"/>
      <c r="AI620" s="4"/>
    </row>
    <row r="621">
      <c r="AH621" s="4"/>
      <c r="AI621" s="4"/>
    </row>
    <row r="622">
      <c r="AH622" s="4"/>
      <c r="AI622" s="4"/>
    </row>
    <row r="623">
      <c r="AH623" s="4"/>
      <c r="AI623" s="4"/>
    </row>
    <row r="624">
      <c r="AH624" s="4"/>
      <c r="AI624" s="4"/>
    </row>
    <row r="625">
      <c r="AH625" s="4"/>
      <c r="AI625" s="4"/>
    </row>
    <row r="626">
      <c r="AH626" s="4"/>
      <c r="AI626" s="4"/>
    </row>
    <row r="627">
      <c r="AH627" s="4"/>
      <c r="AI627" s="4"/>
    </row>
    <row r="628">
      <c r="AH628" s="4"/>
      <c r="AI628" s="4"/>
    </row>
    <row r="629">
      <c r="AH629" s="4"/>
      <c r="AI629" s="4"/>
    </row>
    <row r="630">
      <c r="AH630" s="4"/>
      <c r="AI630" s="4"/>
    </row>
    <row r="631">
      <c r="AH631" s="4"/>
      <c r="AI631" s="4"/>
    </row>
    <row r="632">
      <c r="AH632" s="4"/>
      <c r="AI632" s="4"/>
    </row>
    <row r="633">
      <c r="AH633" s="4"/>
      <c r="AI633" s="4"/>
    </row>
    <row r="634">
      <c r="AH634" s="4"/>
      <c r="AI634" s="4"/>
    </row>
    <row r="635">
      <c r="AH635" s="4"/>
      <c r="AI635" s="4"/>
    </row>
    <row r="636">
      <c r="AH636" s="4"/>
      <c r="AI636" s="4"/>
    </row>
    <row r="637">
      <c r="AH637" s="4"/>
      <c r="AI637" s="4"/>
    </row>
    <row r="638">
      <c r="AH638" s="4"/>
      <c r="AI638" s="4"/>
    </row>
    <row r="639">
      <c r="AH639" s="4"/>
      <c r="AI639" s="4"/>
    </row>
    <row r="640">
      <c r="AH640" s="4"/>
      <c r="AI640" s="4"/>
    </row>
    <row r="641">
      <c r="AH641" s="4"/>
      <c r="AI641" s="4"/>
    </row>
    <row r="642">
      <c r="AH642" s="4"/>
      <c r="AI642" s="4"/>
    </row>
    <row r="643">
      <c r="AH643" s="4"/>
      <c r="AI643" s="4"/>
    </row>
    <row r="644">
      <c r="AH644" s="4"/>
      <c r="AI644" s="4"/>
    </row>
    <row r="645">
      <c r="AH645" s="4"/>
      <c r="AI645" s="4"/>
    </row>
    <row r="646">
      <c r="AH646" s="4"/>
      <c r="AI646" s="4"/>
    </row>
    <row r="647">
      <c r="AH647" s="4"/>
      <c r="AI647" s="4"/>
    </row>
    <row r="648">
      <c r="AH648" s="4"/>
      <c r="AI648" s="4"/>
    </row>
    <row r="649">
      <c r="AH649" s="4"/>
      <c r="AI649" s="4"/>
    </row>
    <row r="650">
      <c r="AH650" s="4"/>
      <c r="AI650" s="4"/>
    </row>
    <row r="651">
      <c r="AH651" s="4"/>
      <c r="AI651" s="4"/>
    </row>
    <row r="652">
      <c r="AH652" s="4"/>
      <c r="AI652" s="4"/>
    </row>
    <row r="653">
      <c r="AH653" s="4"/>
      <c r="AI653" s="4"/>
    </row>
    <row r="654">
      <c r="AH654" s="4"/>
      <c r="AI654" s="4"/>
    </row>
    <row r="655">
      <c r="AH655" s="4"/>
      <c r="AI655" s="4"/>
    </row>
    <row r="656">
      <c r="AH656" s="4"/>
      <c r="AI656" s="4"/>
    </row>
    <row r="657">
      <c r="AH657" s="4"/>
      <c r="AI657" s="4"/>
    </row>
    <row r="658">
      <c r="AH658" s="4"/>
      <c r="AI658" s="4"/>
    </row>
    <row r="659">
      <c r="AH659" s="4"/>
      <c r="AI659" s="4"/>
    </row>
    <row r="660">
      <c r="AH660" s="4"/>
      <c r="AI660" s="4"/>
    </row>
    <row r="661">
      <c r="AH661" s="4"/>
      <c r="AI661" s="4"/>
    </row>
    <row r="662">
      <c r="AH662" s="4"/>
      <c r="AI662" s="4"/>
    </row>
    <row r="663">
      <c r="AH663" s="4"/>
      <c r="AI663" s="4"/>
    </row>
    <row r="664">
      <c r="AH664" s="4"/>
      <c r="AI664" s="4"/>
    </row>
    <row r="665">
      <c r="AH665" s="4"/>
      <c r="AI665" s="4"/>
    </row>
    <row r="666">
      <c r="AH666" s="4"/>
      <c r="AI666" s="4"/>
    </row>
    <row r="667">
      <c r="AH667" s="4"/>
      <c r="AI667" s="4"/>
    </row>
    <row r="668">
      <c r="AH668" s="4"/>
      <c r="AI668" s="4"/>
    </row>
    <row r="669">
      <c r="AH669" s="4"/>
      <c r="AI669" s="4"/>
    </row>
    <row r="670">
      <c r="AH670" s="4"/>
      <c r="AI670" s="4"/>
    </row>
    <row r="671">
      <c r="AH671" s="4"/>
      <c r="AI671" s="4"/>
    </row>
    <row r="672">
      <c r="AH672" s="4"/>
      <c r="AI672" s="4"/>
    </row>
    <row r="673">
      <c r="AH673" s="4"/>
      <c r="AI673" s="4"/>
    </row>
    <row r="674">
      <c r="AH674" s="4"/>
      <c r="AI674" s="4"/>
    </row>
    <row r="675">
      <c r="AH675" s="4"/>
      <c r="AI675" s="4"/>
    </row>
    <row r="676">
      <c r="AH676" s="4"/>
      <c r="AI676" s="4"/>
    </row>
    <row r="677">
      <c r="AH677" s="4"/>
      <c r="AI677" s="4"/>
    </row>
    <row r="678">
      <c r="AH678" s="4"/>
      <c r="AI678" s="4"/>
    </row>
    <row r="679">
      <c r="AH679" s="4"/>
      <c r="AI679" s="4"/>
    </row>
    <row r="680">
      <c r="AH680" s="4"/>
      <c r="AI680" s="4"/>
    </row>
    <row r="681">
      <c r="AH681" s="4"/>
      <c r="AI681" s="4"/>
    </row>
    <row r="682">
      <c r="AH682" s="4"/>
      <c r="AI682" s="4"/>
    </row>
    <row r="683">
      <c r="AH683" s="4"/>
      <c r="AI683" s="4"/>
    </row>
    <row r="684">
      <c r="AH684" s="4"/>
      <c r="AI684" s="4"/>
    </row>
    <row r="685">
      <c r="AH685" s="4"/>
      <c r="AI685" s="4"/>
    </row>
    <row r="686">
      <c r="AH686" s="4"/>
      <c r="AI686" s="4"/>
    </row>
    <row r="687">
      <c r="AH687" s="4"/>
      <c r="AI687" s="4"/>
    </row>
    <row r="688">
      <c r="AH688" s="4"/>
      <c r="AI688" s="4"/>
    </row>
    <row r="689">
      <c r="AH689" s="4"/>
      <c r="AI689" s="4"/>
    </row>
    <row r="690">
      <c r="AH690" s="4"/>
      <c r="AI690" s="4"/>
    </row>
    <row r="691">
      <c r="AH691" s="4"/>
      <c r="AI691" s="4"/>
    </row>
    <row r="692">
      <c r="AH692" s="4"/>
      <c r="AI692" s="4"/>
    </row>
    <row r="693">
      <c r="AH693" s="4"/>
      <c r="AI693" s="4"/>
    </row>
    <row r="694">
      <c r="AH694" s="4"/>
      <c r="AI694" s="4"/>
    </row>
    <row r="695">
      <c r="AH695" s="4"/>
      <c r="AI695" s="4"/>
    </row>
    <row r="696">
      <c r="AH696" s="4"/>
      <c r="AI696" s="4"/>
    </row>
    <row r="697">
      <c r="AH697" s="4"/>
      <c r="AI697" s="4"/>
    </row>
    <row r="698">
      <c r="AH698" s="4"/>
      <c r="AI698" s="4"/>
    </row>
    <row r="699">
      <c r="AH699" s="4"/>
      <c r="AI699" s="4"/>
    </row>
    <row r="700">
      <c r="AH700" s="4"/>
      <c r="AI700" s="4"/>
    </row>
    <row r="701">
      <c r="AH701" s="4"/>
      <c r="AI701" s="4"/>
    </row>
    <row r="702">
      <c r="AH702" s="4"/>
      <c r="AI702" s="4"/>
    </row>
    <row r="703">
      <c r="AH703" s="4"/>
      <c r="AI703" s="4"/>
    </row>
    <row r="704">
      <c r="AH704" s="4"/>
      <c r="AI704" s="4"/>
    </row>
    <row r="705">
      <c r="AH705" s="4"/>
      <c r="AI705" s="4"/>
    </row>
    <row r="706">
      <c r="AH706" s="4"/>
      <c r="AI706" s="4"/>
    </row>
    <row r="707">
      <c r="AH707" s="4"/>
      <c r="AI707" s="4"/>
    </row>
    <row r="708">
      <c r="AH708" s="4"/>
      <c r="AI708" s="4"/>
    </row>
    <row r="709">
      <c r="AH709" s="4"/>
      <c r="AI709" s="4"/>
    </row>
    <row r="710">
      <c r="AH710" s="4"/>
      <c r="AI710" s="4"/>
    </row>
    <row r="711">
      <c r="AH711" s="4"/>
      <c r="AI711" s="4"/>
    </row>
    <row r="712">
      <c r="AH712" s="4"/>
      <c r="AI712" s="4"/>
    </row>
    <row r="713">
      <c r="AH713" s="4"/>
      <c r="AI713" s="4"/>
    </row>
    <row r="714">
      <c r="AH714" s="4"/>
      <c r="AI714" s="4"/>
    </row>
    <row r="715">
      <c r="AH715" s="4"/>
      <c r="AI715" s="4"/>
    </row>
    <row r="716">
      <c r="AH716" s="4"/>
      <c r="AI716" s="4"/>
    </row>
    <row r="717">
      <c r="AH717" s="4"/>
      <c r="AI717" s="4"/>
    </row>
    <row r="718">
      <c r="AH718" s="4"/>
      <c r="AI718" s="4"/>
    </row>
    <row r="719">
      <c r="AH719" s="4"/>
      <c r="AI719" s="4"/>
    </row>
    <row r="720">
      <c r="AH720" s="4"/>
      <c r="AI720" s="4"/>
    </row>
    <row r="721">
      <c r="AH721" s="4"/>
      <c r="AI721" s="4"/>
    </row>
    <row r="722">
      <c r="AH722" s="4"/>
      <c r="AI722" s="4"/>
    </row>
    <row r="723">
      <c r="AH723" s="4"/>
      <c r="AI723" s="4"/>
    </row>
    <row r="724">
      <c r="AH724" s="4"/>
      <c r="AI724" s="4"/>
    </row>
    <row r="725">
      <c r="AH725" s="4"/>
      <c r="AI725" s="4"/>
    </row>
    <row r="726">
      <c r="AH726" s="4"/>
      <c r="AI726" s="4"/>
    </row>
    <row r="727">
      <c r="AH727" s="4"/>
      <c r="AI727" s="4"/>
    </row>
    <row r="728">
      <c r="AH728" s="4"/>
      <c r="AI728" s="4"/>
    </row>
    <row r="729">
      <c r="AH729" s="4"/>
      <c r="AI729" s="4"/>
    </row>
    <row r="730">
      <c r="AH730" s="4"/>
      <c r="AI730" s="4"/>
    </row>
    <row r="731">
      <c r="AH731" s="4"/>
      <c r="AI731" s="4"/>
    </row>
    <row r="732">
      <c r="AH732" s="4"/>
      <c r="AI732" s="4"/>
    </row>
    <row r="733">
      <c r="AH733" s="4"/>
      <c r="AI733" s="4"/>
    </row>
    <row r="734">
      <c r="AH734" s="4"/>
      <c r="AI734" s="4"/>
    </row>
    <row r="735">
      <c r="AH735" s="4"/>
      <c r="AI735" s="4"/>
    </row>
    <row r="736">
      <c r="AH736" s="4"/>
      <c r="AI736" s="4"/>
    </row>
    <row r="737">
      <c r="AH737" s="4"/>
      <c r="AI737" s="4"/>
    </row>
    <row r="738">
      <c r="AH738" s="4"/>
      <c r="AI738" s="4"/>
    </row>
    <row r="739">
      <c r="AH739" s="4"/>
      <c r="AI739" s="4"/>
    </row>
    <row r="740">
      <c r="AH740" s="4"/>
      <c r="AI740" s="4"/>
    </row>
    <row r="741">
      <c r="AH741" s="4"/>
      <c r="AI741" s="4"/>
    </row>
    <row r="742">
      <c r="AH742" s="4"/>
      <c r="AI742" s="4"/>
    </row>
    <row r="743">
      <c r="AH743" s="4"/>
      <c r="AI743" s="4"/>
    </row>
    <row r="744">
      <c r="AH744" s="4"/>
      <c r="AI744" s="4"/>
    </row>
    <row r="745">
      <c r="AH745" s="4"/>
      <c r="AI745" s="4"/>
    </row>
    <row r="746">
      <c r="AH746" s="4"/>
      <c r="AI746" s="4"/>
    </row>
    <row r="747">
      <c r="AH747" s="4"/>
      <c r="AI747" s="4"/>
    </row>
    <row r="748">
      <c r="AH748" s="4"/>
      <c r="AI748" s="4"/>
    </row>
    <row r="749">
      <c r="AH749" s="4"/>
      <c r="AI749" s="4"/>
    </row>
    <row r="750">
      <c r="AH750" s="4"/>
      <c r="AI750" s="4"/>
    </row>
    <row r="751">
      <c r="AH751" s="4"/>
      <c r="AI751" s="4"/>
    </row>
    <row r="752">
      <c r="AH752" s="4"/>
      <c r="AI752" s="4"/>
    </row>
    <row r="753">
      <c r="AH753" s="4"/>
      <c r="AI753" s="4"/>
    </row>
    <row r="754">
      <c r="AH754" s="4"/>
      <c r="AI754" s="4"/>
    </row>
    <row r="755">
      <c r="AH755" s="4"/>
      <c r="AI755" s="4"/>
    </row>
    <row r="756">
      <c r="AH756" s="4"/>
      <c r="AI756" s="4"/>
    </row>
    <row r="757">
      <c r="AH757" s="4"/>
      <c r="AI757" s="4"/>
    </row>
    <row r="758">
      <c r="AH758" s="4"/>
      <c r="AI758" s="4"/>
    </row>
    <row r="759">
      <c r="AH759" s="4"/>
      <c r="AI759" s="4"/>
    </row>
    <row r="760">
      <c r="AH760" s="4"/>
      <c r="AI760" s="4"/>
    </row>
    <row r="761">
      <c r="AH761" s="4"/>
      <c r="AI761" s="4"/>
    </row>
    <row r="762">
      <c r="AH762" s="4"/>
      <c r="AI762" s="4"/>
    </row>
    <row r="763">
      <c r="AH763" s="4"/>
      <c r="AI763" s="4"/>
    </row>
    <row r="764">
      <c r="AH764" s="4"/>
      <c r="AI764" s="4"/>
    </row>
    <row r="765">
      <c r="AH765" s="4"/>
      <c r="AI765" s="4"/>
    </row>
    <row r="766">
      <c r="AH766" s="4"/>
      <c r="AI766" s="4"/>
    </row>
    <row r="767">
      <c r="AH767" s="4"/>
      <c r="AI767" s="4"/>
    </row>
    <row r="768">
      <c r="AH768" s="4"/>
      <c r="AI768" s="4"/>
    </row>
    <row r="769">
      <c r="AH769" s="4"/>
      <c r="AI769" s="4"/>
    </row>
    <row r="770">
      <c r="AH770" s="4"/>
      <c r="AI770" s="4"/>
    </row>
    <row r="771">
      <c r="AH771" s="4"/>
      <c r="AI771" s="4"/>
    </row>
    <row r="772">
      <c r="AH772" s="4"/>
      <c r="AI772" s="4"/>
    </row>
    <row r="773">
      <c r="AH773" s="4"/>
      <c r="AI773" s="4"/>
    </row>
    <row r="774">
      <c r="AH774" s="4"/>
      <c r="AI774" s="4"/>
    </row>
    <row r="775">
      <c r="AH775" s="4"/>
      <c r="AI775" s="4"/>
    </row>
    <row r="776">
      <c r="AH776" s="4"/>
      <c r="AI776" s="4"/>
    </row>
    <row r="777">
      <c r="AH777" s="4"/>
      <c r="AI777" s="4"/>
    </row>
    <row r="778">
      <c r="AH778" s="4"/>
      <c r="AI778" s="4"/>
    </row>
    <row r="779">
      <c r="AH779" s="4"/>
      <c r="AI779" s="4"/>
    </row>
    <row r="780">
      <c r="AH780" s="4"/>
      <c r="AI780" s="4"/>
    </row>
    <row r="781">
      <c r="AH781" s="4"/>
      <c r="AI781" s="4"/>
    </row>
    <row r="782">
      <c r="AH782" s="4"/>
      <c r="AI782" s="4"/>
    </row>
    <row r="783">
      <c r="AH783" s="4"/>
      <c r="AI783" s="4"/>
    </row>
    <row r="784">
      <c r="AH784" s="4"/>
      <c r="AI784" s="4"/>
    </row>
    <row r="785">
      <c r="AH785" s="4"/>
      <c r="AI785" s="4"/>
    </row>
    <row r="786">
      <c r="AH786" s="4"/>
      <c r="AI786" s="4"/>
    </row>
    <row r="787">
      <c r="AH787" s="4"/>
      <c r="AI787" s="4"/>
    </row>
    <row r="788">
      <c r="AH788" s="4"/>
      <c r="AI788" s="4"/>
    </row>
    <row r="789">
      <c r="AH789" s="4"/>
      <c r="AI789" s="4"/>
    </row>
    <row r="790">
      <c r="AH790" s="4"/>
      <c r="AI790" s="4"/>
    </row>
    <row r="791">
      <c r="AH791" s="4"/>
      <c r="AI791" s="4"/>
    </row>
    <row r="792">
      <c r="AH792" s="4"/>
      <c r="AI792" s="4"/>
    </row>
    <row r="793">
      <c r="AH793" s="4"/>
      <c r="AI793" s="4"/>
    </row>
    <row r="794">
      <c r="AH794" s="4"/>
      <c r="AI794" s="4"/>
    </row>
    <row r="795">
      <c r="AH795" s="4"/>
      <c r="AI795" s="4"/>
    </row>
    <row r="796">
      <c r="AH796" s="4"/>
      <c r="AI796" s="4"/>
    </row>
    <row r="797">
      <c r="AH797" s="4"/>
      <c r="AI797" s="4"/>
    </row>
    <row r="798">
      <c r="AH798" s="4"/>
      <c r="AI798" s="4"/>
    </row>
    <row r="799">
      <c r="AH799" s="4"/>
      <c r="AI799" s="4"/>
    </row>
    <row r="800">
      <c r="AH800" s="4"/>
      <c r="AI800" s="4"/>
    </row>
    <row r="801">
      <c r="AH801" s="4"/>
      <c r="AI801" s="4"/>
    </row>
    <row r="802">
      <c r="AH802" s="4"/>
      <c r="AI802" s="4"/>
    </row>
    <row r="803">
      <c r="AH803" s="4"/>
      <c r="AI803" s="4"/>
    </row>
    <row r="804">
      <c r="AH804" s="4"/>
      <c r="AI804" s="4"/>
    </row>
    <row r="805">
      <c r="AH805" s="4"/>
      <c r="AI805" s="4"/>
    </row>
    <row r="806">
      <c r="AH806" s="4"/>
      <c r="AI806" s="4"/>
    </row>
    <row r="807">
      <c r="AH807" s="4"/>
      <c r="AI807" s="4"/>
    </row>
    <row r="808">
      <c r="AH808" s="4"/>
      <c r="AI808" s="4"/>
    </row>
    <row r="809">
      <c r="AH809" s="4"/>
      <c r="AI809" s="4"/>
    </row>
    <row r="810">
      <c r="AH810" s="4"/>
      <c r="AI810" s="4"/>
    </row>
    <row r="811">
      <c r="AH811" s="4"/>
      <c r="AI811" s="4"/>
    </row>
    <row r="812">
      <c r="AH812" s="4"/>
      <c r="AI812" s="4"/>
    </row>
    <row r="813">
      <c r="AH813" s="4"/>
      <c r="AI813" s="4"/>
    </row>
    <row r="814">
      <c r="AH814" s="4"/>
      <c r="AI814" s="4"/>
    </row>
    <row r="815">
      <c r="AH815" s="4"/>
      <c r="AI815" s="4"/>
    </row>
    <row r="816">
      <c r="AH816" s="4"/>
      <c r="AI816" s="4"/>
    </row>
    <row r="817">
      <c r="AH817" s="4"/>
      <c r="AI817" s="4"/>
    </row>
    <row r="818">
      <c r="AH818" s="4"/>
      <c r="AI818" s="4"/>
    </row>
    <row r="819">
      <c r="AH819" s="4"/>
      <c r="AI819" s="4"/>
    </row>
    <row r="820">
      <c r="AH820" s="4"/>
      <c r="AI820" s="4"/>
    </row>
    <row r="821">
      <c r="AH821" s="4"/>
      <c r="AI821" s="4"/>
    </row>
    <row r="822">
      <c r="AH822" s="4"/>
      <c r="AI822" s="4"/>
    </row>
    <row r="823">
      <c r="AH823" s="4"/>
      <c r="AI823" s="4"/>
    </row>
    <row r="824">
      <c r="AH824" s="4"/>
      <c r="AI824" s="4"/>
    </row>
    <row r="825">
      <c r="AH825" s="4"/>
      <c r="AI825" s="4"/>
    </row>
    <row r="826">
      <c r="AH826" s="4"/>
      <c r="AI826" s="4"/>
    </row>
    <row r="827">
      <c r="AH827" s="4"/>
      <c r="AI827" s="4"/>
    </row>
    <row r="828">
      <c r="AH828" s="4"/>
      <c r="AI828" s="4"/>
    </row>
    <row r="829">
      <c r="AH829" s="4"/>
      <c r="AI829" s="4"/>
    </row>
    <row r="830">
      <c r="AH830" s="4"/>
      <c r="AI830" s="4"/>
    </row>
    <row r="831">
      <c r="AH831" s="4"/>
      <c r="AI831" s="4"/>
    </row>
    <row r="832">
      <c r="AH832" s="4"/>
      <c r="AI832" s="4"/>
    </row>
    <row r="833">
      <c r="AH833" s="4"/>
      <c r="AI833" s="4"/>
    </row>
    <row r="834">
      <c r="AH834" s="4"/>
      <c r="AI834" s="4"/>
    </row>
    <row r="835">
      <c r="AH835" s="4"/>
      <c r="AI835" s="4"/>
    </row>
    <row r="836">
      <c r="AH836" s="4"/>
      <c r="AI836" s="4"/>
    </row>
    <row r="837">
      <c r="AH837" s="4"/>
      <c r="AI837" s="4"/>
    </row>
    <row r="838">
      <c r="AH838" s="4"/>
      <c r="AI838" s="4"/>
    </row>
    <row r="839">
      <c r="AH839" s="4"/>
      <c r="AI839" s="4"/>
    </row>
    <row r="840">
      <c r="AH840" s="4"/>
      <c r="AI840" s="4"/>
    </row>
    <row r="841">
      <c r="AH841" s="4"/>
      <c r="AI841" s="4"/>
    </row>
    <row r="842">
      <c r="AH842" s="4"/>
      <c r="AI842" s="4"/>
    </row>
    <row r="843">
      <c r="AH843" s="4"/>
      <c r="AI843" s="4"/>
    </row>
    <row r="844">
      <c r="AH844" s="4"/>
      <c r="AI844" s="4"/>
    </row>
    <row r="845">
      <c r="AH845" s="4"/>
      <c r="AI845" s="4"/>
    </row>
    <row r="846">
      <c r="AH846" s="4"/>
      <c r="AI846" s="4"/>
    </row>
    <row r="847">
      <c r="AH847" s="4"/>
      <c r="AI847" s="4"/>
    </row>
    <row r="848">
      <c r="AH848" s="4"/>
      <c r="AI848" s="4"/>
    </row>
    <row r="849">
      <c r="AH849" s="4"/>
      <c r="AI849" s="4"/>
    </row>
    <row r="850">
      <c r="AH850" s="4"/>
      <c r="AI850" s="4"/>
    </row>
    <row r="851">
      <c r="AH851" s="4"/>
      <c r="AI851" s="4"/>
    </row>
    <row r="852">
      <c r="AH852" s="4"/>
      <c r="AI852" s="4"/>
    </row>
    <row r="853">
      <c r="AH853" s="4"/>
      <c r="AI853" s="4"/>
    </row>
    <row r="854">
      <c r="AH854" s="4"/>
      <c r="AI854" s="4"/>
    </row>
    <row r="855">
      <c r="AH855" s="4"/>
      <c r="AI855" s="4"/>
    </row>
    <row r="856">
      <c r="AH856" s="4"/>
      <c r="AI856" s="4"/>
    </row>
    <row r="857">
      <c r="AH857" s="4"/>
      <c r="AI857" s="4"/>
    </row>
    <row r="858">
      <c r="AH858" s="4"/>
      <c r="AI858" s="4"/>
    </row>
    <row r="859">
      <c r="AH859" s="4"/>
      <c r="AI859" s="4"/>
    </row>
    <row r="860">
      <c r="AH860" s="4"/>
      <c r="AI860" s="4"/>
    </row>
    <row r="861">
      <c r="AH861" s="4"/>
      <c r="AI861" s="4"/>
    </row>
    <row r="862">
      <c r="AH862" s="4"/>
      <c r="AI862" s="4"/>
    </row>
    <row r="863">
      <c r="AH863" s="4"/>
      <c r="AI863" s="4"/>
    </row>
    <row r="864">
      <c r="AH864" s="4"/>
      <c r="AI864" s="4"/>
    </row>
    <row r="865">
      <c r="AH865" s="4"/>
      <c r="AI865" s="4"/>
    </row>
    <row r="866">
      <c r="AH866" s="4"/>
      <c r="AI866" s="4"/>
    </row>
    <row r="867">
      <c r="AH867" s="4"/>
      <c r="AI867" s="4"/>
    </row>
    <row r="868">
      <c r="AH868" s="4"/>
      <c r="AI868" s="4"/>
    </row>
    <row r="869">
      <c r="AH869" s="4"/>
      <c r="AI869" s="4"/>
    </row>
    <row r="870">
      <c r="AH870" s="4"/>
      <c r="AI870" s="4"/>
    </row>
    <row r="871">
      <c r="AH871" s="4"/>
      <c r="AI871" s="4"/>
    </row>
    <row r="872">
      <c r="AH872" s="4"/>
      <c r="AI872" s="4"/>
    </row>
    <row r="873">
      <c r="AH873" s="4"/>
      <c r="AI873" s="4"/>
    </row>
    <row r="874">
      <c r="AH874" s="4"/>
      <c r="AI874" s="4"/>
    </row>
    <row r="875">
      <c r="AH875" s="4"/>
      <c r="AI875" s="4"/>
    </row>
    <row r="876">
      <c r="AH876" s="4"/>
      <c r="AI876" s="4"/>
    </row>
    <row r="877">
      <c r="AH877" s="4"/>
      <c r="AI877" s="4"/>
    </row>
    <row r="878">
      <c r="AH878" s="4"/>
      <c r="AI878" s="4"/>
    </row>
    <row r="879">
      <c r="AH879" s="4"/>
      <c r="AI879" s="4"/>
    </row>
    <row r="880">
      <c r="AH880" s="4"/>
      <c r="AI880" s="4"/>
    </row>
    <row r="881">
      <c r="AH881" s="4"/>
      <c r="AI881" s="4"/>
    </row>
    <row r="882">
      <c r="AH882" s="4"/>
      <c r="AI882" s="4"/>
    </row>
    <row r="883">
      <c r="AH883" s="4"/>
      <c r="AI883" s="4"/>
    </row>
    <row r="884">
      <c r="AH884" s="4"/>
      <c r="AI884" s="4"/>
    </row>
    <row r="885">
      <c r="AH885" s="4"/>
      <c r="AI885" s="4"/>
    </row>
    <row r="886">
      <c r="AH886" s="4"/>
      <c r="AI886" s="4"/>
    </row>
    <row r="887">
      <c r="AH887" s="4"/>
      <c r="AI887" s="4"/>
    </row>
    <row r="888">
      <c r="AH888" s="4"/>
      <c r="AI888" s="4"/>
    </row>
    <row r="889">
      <c r="AH889" s="4"/>
      <c r="AI889" s="4"/>
    </row>
    <row r="890">
      <c r="AH890" s="4"/>
      <c r="AI890" s="4"/>
    </row>
    <row r="891">
      <c r="AH891" s="4"/>
      <c r="AI891" s="4"/>
    </row>
    <row r="892">
      <c r="AH892" s="4"/>
      <c r="AI892" s="4"/>
    </row>
    <row r="893">
      <c r="AH893" s="4"/>
      <c r="AI893" s="4"/>
    </row>
    <row r="894">
      <c r="AH894" s="4"/>
      <c r="AI894" s="4"/>
    </row>
    <row r="895">
      <c r="AH895" s="4"/>
      <c r="AI895" s="4"/>
    </row>
    <row r="896">
      <c r="AH896" s="4"/>
      <c r="AI896" s="4"/>
    </row>
    <row r="897">
      <c r="AH897" s="4"/>
      <c r="AI897" s="4"/>
    </row>
    <row r="898">
      <c r="AH898" s="4"/>
      <c r="AI898" s="4"/>
    </row>
    <row r="899">
      <c r="AH899" s="4"/>
      <c r="AI899" s="4"/>
    </row>
    <row r="900">
      <c r="AH900" s="4"/>
      <c r="AI900" s="4"/>
    </row>
    <row r="901">
      <c r="AH901" s="4"/>
      <c r="AI901" s="4"/>
    </row>
    <row r="902">
      <c r="AH902" s="4"/>
      <c r="AI902" s="4"/>
    </row>
    <row r="903">
      <c r="AH903" s="4"/>
      <c r="AI903" s="4"/>
    </row>
    <row r="904">
      <c r="AH904" s="4"/>
      <c r="AI904" s="4"/>
    </row>
    <row r="905">
      <c r="AH905" s="4"/>
      <c r="AI905" s="4"/>
    </row>
    <row r="906">
      <c r="AH906" s="4"/>
      <c r="AI906" s="4"/>
    </row>
    <row r="907">
      <c r="AH907" s="4"/>
      <c r="AI907" s="4"/>
    </row>
    <row r="908">
      <c r="AH908" s="4"/>
      <c r="AI908" s="4"/>
    </row>
    <row r="909">
      <c r="AH909" s="4"/>
      <c r="AI909" s="4"/>
    </row>
    <row r="910">
      <c r="AH910" s="4"/>
      <c r="AI910" s="4"/>
    </row>
    <row r="911">
      <c r="AH911" s="4"/>
      <c r="AI911" s="4"/>
    </row>
    <row r="912">
      <c r="AH912" s="4"/>
      <c r="AI912" s="4"/>
    </row>
    <row r="913">
      <c r="AH913" s="4"/>
      <c r="AI913" s="4"/>
    </row>
    <row r="914">
      <c r="AH914" s="4"/>
      <c r="AI914" s="4"/>
    </row>
    <row r="915">
      <c r="AH915" s="4"/>
      <c r="AI915" s="4"/>
    </row>
    <row r="916">
      <c r="AH916" s="4"/>
      <c r="AI916" s="4"/>
    </row>
    <row r="917">
      <c r="AH917" s="4"/>
      <c r="AI917" s="4"/>
    </row>
    <row r="918">
      <c r="AH918" s="4"/>
      <c r="AI918" s="4"/>
    </row>
    <row r="919">
      <c r="AH919" s="4"/>
      <c r="AI919" s="4"/>
    </row>
    <row r="920">
      <c r="AH920" s="4"/>
      <c r="AI920" s="4"/>
    </row>
    <row r="921">
      <c r="AH921" s="4"/>
      <c r="AI921" s="4"/>
    </row>
    <row r="922">
      <c r="AH922" s="4"/>
      <c r="AI922" s="4"/>
    </row>
    <row r="923">
      <c r="AH923" s="4"/>
      <c r="AI923" s="4"/>
    </row>
    <row r="924">
      <c r="AH924" s="4"/>
      <c r="AI924" s="4"/>
    </row>
    <row r="925">
      <c r="AH925" s="4"/>
      <c r="AI925" s="4"/>
    </row>
    <row r="926">
      <c r="AH926" s="4"/>
      <c r="AI926" s="4"/>
    </row>
    <row r="927">
      <c r="AH927" s="4"/>
      <c r="AI927" s="4"/>
    </row>
    <row r="928">
      <c r="AH928" s="4"/>
      <c r="AI928" s="4"/>
    </row>
    <row r="929">
      <c r="AH929" s="4"/>
      <c r="AI929" s="4"/>
    </row>
    <row r="930">
      <c r="AH930" s="4"/>
      <c r="AI930" s="4"/>
    </row>
    <row r="931">
      <c r="AH931" s="4"/>
      <c r="AI931" s="4"/>
    </row>
    <row r="932">
      <c r="AH932" s="4"/>
      <c r="AI932" s="4"/>
    </row>
    <row r="933">
      <c r="AH933" s="4"/>
      <c r="AI933" s="4"/>
    </row>
    <row r="934">
      <c r="AH934" s="4"/>
      <c r="AI934" s="4"/>
    </row>
    <row r="935">
      <c r="AH935" s="4"/>
      <c r="AI935" s="4"/>
    </row>
    <row r="936">
      <c r="AH936" s="4"/>
      <c r="AI936" s="4"/>
    </row>
    <row r="937">
      <c r="AH937" s="4"/>
      <c r="AI937" s="4"/>
    </row>
    <row r="938">
      <c r="AH938" s="4"/>
      <c r="AI938" s="4"/>
    </row>
    <row r="939">
      <c r="AH939" s="4"/>
      <c r="AI939" s="4"/>
    </row>
    <row r="940">
      <c r="AH940" s="4"/>
      <c r="AI940" s="4"/>
    </row>
    <row r="941">
      <c r="AH941" s="4"/>
      <c r="AI941" s="4"/>
    </row>
    <row r="942">
      <c r="AH942" s="4"/>
      <c r="AI942" s="4"/>
    </row>
    <row r="943">
      <c r="AH943" s="4"/>
      <c r="AI943" s="4"/>
    </row>
    <row r="944">
      <c r="AH944" s="4"/>
      <c r="AI944" s="4"/>
    </row>
    <row r="945">
      <c r="AH945" s="4"/>
      <c r="AI945" s="4"/>
    </row>
    <row r="946">
      <c r="AH946" s="4"/>
      <c r="AI946" s="4"/>
    </row>
    <row r="947">
      <c r="AH947" s="4"/>
      <c r="AI947" s="4"/>
    </row>
    <row r="948">
      <c r="AH948" s="4"/>
      <c r="AI948" s="4"/>
    </row>
    <row r="949">
      <c r="AH949" s="4"/>
      <c r="AI949" s="4"/>
    </row>
    <row r="950">
      <c r="AH950" s="4"/>
      <c r="AI950" s="4"/>
    </row>
    <row r="951">
      <c r="AH951" s="4"/>
      <c r="AI951" s="4"/>
    </row>
    <row r="952">
      <c r="AH952" s="4"/>
      <c r="AI952" s="4"/>
    </row>
    <row r="953">
      <c r="AH953" s="4"/>
      <c r="AI953" s="4"/>
    </row>
    <row r="954">
      <c r="AH954" s="4"/>
      <c r="AI954" s="4"/>
    </row>
    <row r="955">
      <c r="AH955" s="4"/>
      <c r="AI955" s="4"/>
    </row>
    <row r="956">
      <c r="AH956" s="4"/>
      <c r="AI956" s="4"/>
    </row>
    <row r="957">
      <c r="AH957" s="4"/>
      <c r="AI957" s="4"/>
    </row>
    <row r="958">
      <c r="AH958" s="4"/>
      <c r="AI958" s="4"/>
    </row>
    <row r="959">
      <c r="AH959" s="4"/>
      <c r="AI959" s="4"/>
    </row>
    <row r="960">
      <c r="AH960" s="4"/>
      <c r="AI960" s="4"/>
    </row>
    <row r="961">
      <c r="AH961" s="4"/>
      <c r="AI961" s="4"/>
    </row>
    <row r="962">
      <c r="AH962" s="4"/>
      <c r="AI962" s="4"/>
    </row>
    <row r="963">
      <c r="AH963" s="4"/>
      <c r="AI963" s="4"/>
    </row>
    <row r="964">
      <c r="AH964" s="4"/>
      <c r="AI964" s="4"/>
    </row>
    <row r="965">
      <c r="AH965" s="4"/>
      <c r="AI965" s="4"/>
    </row>
    <row r="966">
      <c r="AH966" s="4"/>
      <c r="AI966" s="4"/>
    </row>
    <row r="967">
      <c r="AH967" s="4"/>
      <c r="AI967" s="4"/>
    </row>
    <row r="968">
      <c r="AH968" s="4"/>
      <c r="AI968" s="4"/>
    </row>
    <row r="969">
      <c r="AH969" s="4"/>
      <c r="AI969" s="4"/>
    </row>
    <row r="970">
      <c r="AH970" s="4"/>
      <c r="AI970" s="4"/>
    </row>
    <row r="971">
      <c r="AH971" s="4"/>
      <c r="AI971" s="4"/>
    </row>
    <row r="972">
      <c r="AH972" s="4"/>
      <c r="AI972" s="4"/>
    </row>
    <row r="973">
      <c r="AH973" s="4"/>
      <c r="AI973" s="4"/>
    </row>
    <row r="974">
      <c r="AH974" s="4"/>
      <c r="AI974" s="4"/>
    </row>
    <row r="975">
      <c r="AH975" s="4"/>
      <c r="AI975" s="4"/>
    </row>
    <row r="976">
      <c r="AH976" s="4"/>
      <c r="AI976" s="4"/>
    </row>
    <row r="977">
      <c r="AH977" s="4"/>
      <c r="AI977" s="4"/>
    </row>
    <row r="978">
      <c r="AH978" s="4"/>
      <c r="AI978" s="4"/>
    </row>
    <row r="979">
      <c r="AH979" s="4"/>
      <c r="AI979" s="4"/>
    </row>
    <row r="980">
      <c r="AH980" s="4"/>
      <c r="AI980" s="4"/>
    </row>
    <row r="981">
      <c r="AH981" s="4"/>
      <c r="AI981" s="4"/>
    </row>
    <row r="982">
      <c r="AH982" s="4"/>
      <c r="AI982" s="4"/>
    </row>
    <row r="983">
      <c r="AH983" s="4"/>
      <c r="AI983" s="4"/>
    </row>
    <row r="984">
      <c r="AH984" s="4"/>
      <c r="AI984" s="4"/>
    </row>
    <row r="985">
      <c r="AH985" s="4"/>
      <c r="AI985" s="4"/>
    </row>
    <row r="986">
      <c r="AH986" s="4"/>
      <c r="AI986" s="4"/>
    </row>
    <row r="987">
      <c r="AH987" s="4"/>
      <c r="AI987" s="4"/>
    </row>
    <row r="988">
      <c r="AH988" s="4"/>
      <c r="AI988" s="4"/>
    </row>
    <row r="989">
      <c r="AH989" s="4"/>
      <c r="AI989" s="4"/>
    </row>
    <row r="990">
      <c r="AH990" s="4"/>
      <c r="AI990" s="4"/>
    </row>
    <row r="991">
      <c r="AH991" s="4"/>
      <c r="AI991" s="4"/>
    </row>
    <row r="992">
      <c r="AH992" s="4"/>
      <c r="AI992" s="4"/>
    </row>
    <row r="993">
      <c r="AH993" s="4"/>
      <c r="AI993" s="4"/>
    </row>
    <row r="994">
      <c r="AH994" s="4"/>
      <c r="AI994" s="4"/>
    </row>
    <row r="995">
      <c r="AH995" s="4"/>
      <c r="AI995" s="4"/>
    </row>
    <row r="996">
      <c r="AH996" s="4"/>
      <c r="AI996" s="4"/>
    </row>
    <row r="997">
      <c r="AH997" s="4"/>
      <c r="AI997" s="4"/>
    </row>
    <row r="998">
      <c r="AH998" s="4"/>
      <c r="AI998" s="4"/>
    </row>
    <row r="999">
      <c r="AH999" s="4"/>
      <c r="AI999" s="4"/>
    </row>
    <row r="1000">
      <c r="AH1000" s="4"/>
      <c r="AI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3.88"/>
    <col customWidth="1" min="23" max="23" width="5.63"/>
    <col customWidth="1" min="24" max="24" width="3.88"/>
    <col customWidth="1" min="25" max="25" width="5.75"/>
    <col customWidth="1" min="26" max="26" width="4.75"/>
    <col customWidth="1" min="27" max="27" width="3.88"/>
    <col customWidth="1" min="28" max="28" width="5.25"/>
    <col customWidth="1" min="29" max="42" width="3.88"/>
  </cols>
  <sheetData>
    <row r="1">
      <c r="A1" s="17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2">
        <v>32.0</v>
      </c>
      <c r="AH1" s="2">
        <v>33.0</v>
      </c>
      <c r="AI1" s="2">
        <v>34.0</v>
      </c>
      <c r="AJ1" s="2">
        <v>35.0</v>
      </c>
      <c r="AK1" s="2">
        <v>36.0</v>
      </c>
      <c r="AL1" s="2">
        <v>37.0</v>
      </c>
      <c r="AM1" s="2">
        <v>38.0</v>
      </c>
      <c r="AN1" s="2"/>
      <c r="AO1" s="2"/>
      <c r="AP1" s="2"/>
    </row>
    <row r="2">
      <c r="A2" s="2">
        <v>1.0</v>
      </c>
      <c r="B2" s="5">
        <f t="shared" ref="B2:AM2" si="1">B$1*$A2</f>
        <v>1</v>
      </c>
      <c r="C2" s="5">
        <f t="shared" si="1"/>
        <v>2</v>
      </c>
      <c r="D2" s="5">
        <f t="shared" si="1"/>
        <v>3</v>
      </c>
      <c r="E2" s="5">
        <f t="shared" si="1"/>
        <v>4</v>
      </c>
      <c r="F2" s="5">
        <f t="shared" si="1"/>
        <v>5</v>
      </c>
      <c r="G2" s="5">
        <f t="shared" si="1"/>
        <v>6</v>
      </c>
      <c r="H2" s="5">
        <f t="shared" si="1"/>
        <v>7</v>
      </c>
      <c r="I2" s="5">
        <f t="shared" si="1"/>
        <v>8</v>
      </c>
      <c r="J2" s="5">
        <f t="shared" si="1"/>
        <v>9</v>
      </c>
      <c r="K2" s="5">
        <f t="shared" si="1"/>
        <v>10</v>
      </c>
      <c r="L2" s="5">
        <f t="shared" si="1"/>
        <v>11</v>
      </c>
      <c r="M2" s="5">
        <f t="shared" si="1"/>
        <v>12</v>
      </c>
      <c r="N2" s="5">
        <f t="shared" si="1"/>
        <v>13</v>
      </c>
      <c r="O2" s="5">
        <f t="shared" si="1"/>
        <v>14</v>
      </c>
      <c r="P2" s="5">
        <f t="shared" si="1"/>
        <v>15</v>
      </c>
      <c r="Q2" s="5">
        <f t="shared" si="1"/>
        <v>16</v>
      </c>
      <c r="R2" s="5">
        <f t="shared" si="1"/>
        <v>17</v>
      </c>
      <c r="S2" s="5">
        <f t="shared" si="1"/>
        <v>18</v>
      </c>
      <c r="T2" s="5">
        <f t="shared" si="1"/>
        <v>19</v>
      </c>
      <c r="U2" s="5">
        <f t="shared" si="1"/>
        <v>20</v>
      </c>
      <c r="V2" s="5">
        <f t="shared" si="1"/>
        <v>21</v>
      </c>
      <c r="W2" s="5">
        <f t="shared" si="1"/>
        <v>22</v>
      </c>
      <c r="X2" s="5">
        <f t="shared" si="1"/>
        <v>23</v>
      </c>
      <c r="Y2" s="5">
        <f t="shared" si="1"/>
        <v>24</v>
      </c>
      <c r="Z2" s="5">
        <f t="shared" si="1"/>
        <v>25</v>
      </c>
      <c r="AA2" s="5">
        <f t="shared" si="1"/>
        <v>26</v>
      </c>
      <c r="AB2" s="5">
        <f t="shared" si="1"/>
        <v>27</v>
      </c>
      <c r="AC2" s="5">
        <f t="shared" si="1"/>
        <v>28</v>
      </c>
      <c r="AD2" s="5">
        <f t="shared" si="1"/>
        <v>29</v>
      </c>
      <c r="AE2" s="5">
        <f t="shared" si="1"/>
        <v>30</v>
      </c>
      <c r="AF2" s="5">
        <f t="shared" si="1"/>
        <v>31</v>
      </c>
      <c r="AG2" s="5">
        <f t="shared" si="1"/>
        <v>32</v>
      </c>
      <c r="AH2" s="5">
        <f t="shared" si="1"/>
        <v>33</v>
      </c>
      <c r="AI2" s="5">
        <f t="shared" si="1"/>
        <v>34</v>
      </c>
      <c r="AJ2" s="5">
        <f t="shared" si="1"/>
        <v>35</v>
      </c>
      <c r="AK2" s="5">
        <f t="shared" si="1"/>
        <v>36</v>
      </c>
      <c r="AL2" s="5">
        <f t="shared" si="1"/>
        <v>37</v>
      </c>
      <c r="AM2" s="5">
        <f t="shared" si="1"/>
        <v>38</v>
      </c>
    </row>
    <row r="3">
      <c r="A3" s="2">
        <v>2.0</v>
      </c>
      <c r="B3" s="5">
        <f t="shared" ref="B3:AM3" si="2">B$1*$A3</f>
        <v>2</v>
      </c>
      <c r="C3" s="5">
        <f t="shared" si="2"/>
        <v>4</v>
      </c>
      <c r="D3" s="5">
        <f t="shared" si="2"/>
        <v>6</v>
      </c>
      <c r="E3" s="5">
        <f t="shared" si="2"/>
        <v>8</v>
      </c>
      <c r="F3" s="5">
        <f t="shared" si="2"/>
        <v>10</v>
      </c>
      <c r="G3" s="5">
        <f t="shared" si="2"/>
        <v>12</v>
      </c>
      <c r="H3" s="5">
        <f t="shared" si="2"/>
        <v>14</v>
      </c>
      <c r="I3" s="5">
        <f t="shared" si="2"/>
        <v>16</v>
      </c>
      <c r="J3" s="5">
        <f t="shared" si="2"/>
        <v>18</v>
      </c>
      <c r="K3" s="5">
        <f t="shared" si="2"/>
        <v>20</v>
      </c>
      <c r="L3" s="5">
        <f t="shared" si="2"/>
        <v>22</v>
      </c>
      <c r="M3" s="5">
        <f t="shared" si="2"/>
        <v>24</v>
      </c>
      <c r="N3" s="5">
        <f t="shared" si="2"/>
        <v>26</v>
      </c>
      <c r="O3" s="5">
        <f t="shared" si="2"/>
        <v>28</v>
      </c>
      <c r="P3" s="5">
        <f t="shared" si="2"/>
        <v>30</v>
      </c>
      <c r="Q3" s="5">
        <f t="shared" si="2"/>
        <v>32</v>
      </c>
      <c r="R3" s="5">
        <f t="shared" si="2"/>
        <v>34</v>
      </c>
      <c r="S3" s="5">
        <f t="shared" si="2"/>
        <v>36</v>
      </c>
      <c r="T3" s="5">
        <f t="shared" si="2"/>
        <v>38</v>
      </c>
      <c r="U3" s="5">
        <f t="shared" si="2"/>
        <v>40</v>
      </c>
      <c r="V3" s="5">
        <f t="shared" si="2"/>
        <v>42</v>
      </c>
      <c r="W3" s="5">
        <f t="shared" si="2"/>
        <v>44</v>
      </c>
      <c r="X3" s="5">
        <f t="shared" si="2"/>
        <v>46</v>
      </c>
      <c r="Y3" s="5">
        <f t="shared" si="2"/>
        <v>48</v>
      </c>
      <c r="Z3" s="5">
        <f t="shared" si="2"/>
        <v>50</v>
      </c>
      <c r="AA3" s="5">
        <f t="shared" si="2"/>
        <v>52</v>
      </c>
      <c r="AB3" s="5">
        <f t="shared" si="2"/>
        <v>54</v>
      </c>
      <c r="AC3" s="5">
        <f t="shared" si="2"/>
        <v>56</v>
      </c>
      <c r="AD3" s="5">
        <f t="shared" si="2"/>
        <v>58</v>
      </c>
      <c r="AE3" s="5">
        <f t="shared" si="2"/>
        <v>60</v>
      </c>
      <c r="AF3" s="5">
        <f t="shared" si="2"/>
        <v>62</v>
      </c>
      <c r="AG3" s="5">
        <f t="shared" si="2"/>
        <v>64</v>
      </c>
      <c r="AH3" s="5">
        <f t="shared" si="2"/>
        <v>66</v>
      </c>
      <c r="AI3" s="5">
        <f t="shared" si="2"/>
        <v>68</v>
      </c>
      <c r="AJ3" s="5">
        <f t="shared" si="2"/>
        <v>70</v>
      </c>
      <c r="AK3" s="5">
        <f t="shared" si="2"/>
        <v>72</v>
      </c>
      <c r="AL3" s="5">
        <f t="shared" si="2"/>
        <v>74</v>
      </c>
      <c r="AM3" s="5">
        <f t="shared" si="2"/>
        <v>76</v>
      </c>
    </row>
    <row r="4">
      <c r="A4" s="2">
        <v>3.0</v>
      </c>
      <c r="B4" s="5">
        <f t="shared" ref="B4:AM4" si="3">B$1*$A4</f>
        <v>3</v>
      </c>
      <c r="C4" s="5">
        <f t="shared" si="3"/>
        <v>6</v>
      </c>
      <c r="D4" s="5">
        <f t="shared" si="3"/>
        <v>9</v>
      </c>
      <c r="E4" s="5">
        <f t="shared" si="3"/>
        <v>12</v>
      </c>
      <c r="F4" s="5">
        <f t="shared" si="3"/>
        <v>15</v>
      </c>
      <c r="G4" s="5">
        <f t="shared" si="3"/>
        <v>18</v>
      </c>
      <c r="H4" s="5">
        <f t="shared" si="3"/>
        <v>21</v>
      </c>
      <c r="I4" s="5">
        <f t="shared" si="3"/>
        <v>24</v>
      </c>
      <c r="J4" s="5">
        <f t="shared" si="3"/>
        <v>27</v>
      </c>
      <c r="K4" s="5">
        <f t="shared" si="3"/>
        <v>30</v>
      </c>
      <c r="L4" s="5">
        <f t="shared" si="3"/>
        <v>33</v>
      </c>
      <c r="M4" s="5">
        <f t="shared" si="3"/>
        <v>36</v>
      </c>
      <c r="N4" s="5">
        <f t="shared" si="3"/>
        <v>39</v>
      </c>
      <c r="O4" s="5">
        <f t="shared" si="3"/>
        <v>42</v>
      </c>
      <c r="P4" s="5">
        <f t="shared" si="3"/>
        <v>45</v>
      </c>
      <c r="Q4" s="5">
        <f t="shared" si="3"/>
        <v>48</v>
      </c>
      <c r="R4" s="5">
        <f t="shared" si="3"/>
        <v>51</v>
      </c>
      <c r="S4" s="5">
        <f t="shared" si="3"/>
        <v>54</v>
      </c>
      <c r="T4" s="5">
        <f t="shared" si="3"/>
        <v>57</v>
      </c>
      <c r="U4" s="5">
        <f t="shared" si="3"/>
        <v>60</v>
      </c>
      <c r="V4" s="5">
        <f t="shared" si="3"/>
        <v>63</v>
      </c>
      <c r="W4" s="5">
        <f t="shared" si="3"/>
        <v>66</v>
      </c>
      <c r="X4" s="5">
        <f t="shared" si="3"/>
        <v>69</v>
      </c>
      <c r="Y4" s="5">
        <f t="shared" si="3"/>
        <v>72</v>
      </c>
      <c r="Z4" s="5">
        <f t="shared" si="3"/>
        <v>75</v>
      </c>
      <c r="AA4" s="5">
        <f t="shared" si="3"/>
        <v>78</v>
      </c>
      <c r="AB4" s="5">
        <f t="shared" si="3"/>
        <v>81</v>
      </c>
      <c r="AC4" s="5">
        <f t="shared" si="3"/>
        <v>84</v>
      </c>
      <c r="AD4" s="5">
        <f t="shared" si="3"/>
        <v>87</v>
      </c>
      <c r="AE4" s="5">
        <f t="shared" si="3"/>
        <v>90</v>
      </c>
      <c r="AF4" s="5">
        <f t="shared" si="3"/>
        <v>93</v>
      </c>
      <c r="AG4" s="5">
        <f t="shared" si="3"/>
        <v>96</v>
      </c>
      <c r="AH4" s="5">
        <f t="shared" si="3"/>
        <v>99</v>
      </c>
      <c r="AI4" s="5">
        <f t="shared" si="3"/>
        <v>102</v>
      </c>
      <c r="AJ4" s="5">
        <f t="shared" si="3"/>
        <v>105</v>
      </c>
      <c r="AK4" s="5">
        <f t="shared" si="3"/>
        <v>108</v>
      </c>
      <c r="AL4" s="5">
        <f t="shared" si="3"/>
        <v>111</v>
      </c>
      <c r="AM4" s="5">
        <f t="shared" si="3"/>
        <v>114</v>
      </c>
    </row>
    <row r="5">
      <c r="A5" s="2">
        <v>4.0</v>
      </c>
      <c r="B5" s="5">
        <f t="shared" ref="B5:AM5" si="4">B$1*$A5</f>
        <v>4</v>
      </c>
      <c r="C5" s="5">
        <f t="shared" si="4"/>
        <v>8</v>
      </c>
      <c r="D5" s="5">
        <f t="shared" si="4"/>
        <v>12</v>
      </c>
      <c r="E5" s="5">
        <f t="shared" si="4"/>
        <v>16</v>
      </c>
      <c r="F5" s="5">
        <f t="shared" si="4"/>
        <v>20</v>
      </c>
      <c r="G5" s="5">
        <f t="shared" si="4"/>
        <v>24</v>
      </c>
      <c r="H5" s="5">
        <f t="shared" si="4"/>
        <v>28</v>
      </c>
      <c r="I5" s="5">
        <f t="shared" si="4"/>
        <v>32</v>
      </c>
      <c r="J5" s="5">
        <f t="shared" si="4"/>
        <v>36</v>
      </c>
      <c r="K5" s="5">
        <f t="shared" si="4"/>
        <v>40</v>
      </c>
      <c r="L5" s="5">
        <f t="shared" si="4"/>
        <v>44</v>
      </c>
      <c r="M5" s="5">
        <f t="shared" si="4"/>
        <v>48</v>
      </c>
      <c r="N5" s="5">
        <f t="shared" si="4"/>
        <v>52</v>
      </c>
      <c r="O5" s="5">
        <f t="shared" si="4"/>
        <v>56</v>
      </c>
      <c r="P5" s="5">
        <f t="shared" si="4"/>
        <v>60</v>
      </c>
      <c r="Q5" s="5">
        <f t="shared" si="4"/>
        <v>64</v>
      </c>
      <c r="R5" s="5">
        <f t="shared" si="4"/>
        <v>68</v>
      </c>
      <c r="S5" s="5">
        <f t="shared" si="4"/>
        <v>72</v>
      </c>
      <c r="T5" s="5">
        <f t="shared" si="4"/>
        <v>76</v>
      </c>
      <c r="U5" s="5">
        <f t="shared" si="4"/>
        <v>80</v>
      </c>
      <c r="V5" s="5">
        <f t="shared" si="4"/>
        <v>84</v>
      </c>
      <c r="W5" s="5">
        <f t="shared" si="4"/>
        <v>88</v>
      </c>
      <c r="X5" s="5">
        <f t="shared" si="4"/>
        <v>92</v>
      </c>
      <c r="Y5" s="5">
        <f t="shared" si="4"/>
        <v>96</v>
      </c>
      <c r="Z5" s="5">
        <f t="shared" si="4"/>
        <v>100</v>
      </c>
      <c r="AA5" s="5">
        <f t="shared" si="4"/>
        <v>104</v>
      </c>
      <c r="AB5" s="5">
        <f t="shared" si="4"/>
        <v>108</v>
      </c>
      <c r="AC5" s="5">
        <f t="shared" si="4"/>
        <v>112</v>
      </c>
      <c r="AD5" s="5">
        <f t="shared" si="4"/>
        <v>116</v>
      </c>
      <c r="AE5" s="5">
        <f t="shared" si="4"/>
        <v>120</v>
      </c>
      <c r="AF5" s="5">
        <f t="shared" si="4"/>
        <v>124</v>
      </c>
      <c r="AG5" s="5">
        <f t="shared" si="4"/>
        <v>128</v>
      </c>
      <c r="AH5" s="5">
        <f t="shared" si="4"/>
        <v>132</v>
      </c>
      <c r="AI5" s="5">
        <f t="shared" si="4"/>
        <v>136</v>
      </c>
      <c r="AJ5" s="5">
        <f t="shared" si="4"/>
        <v>140</v>
      </c>
      <c r="AK5" s="5">
        <f t="shared" si="4"/>
        <v>144</v>
      </c>
      <c r="AL5" s="5">
        <f t="shared" si="4"/>
        <v>148</v>
      </c>
      <c r="AM5" s="5">
        <f t="shared" si="4"/>
        <v>152</v>
      </c>
    </row>
    <row r="6">
      <c r="A6" s="2">
        <v>5.0</v>
      </c>
      <c r="B6" s="5">
        <f t="shared" ref="B6:AM6" si="5">B$1*$A6</f>
        <v>5</v>
      </c>
      <c r="C6" s="5">
        <f t="shared" si="5"/>
        <v>10</v>
      </c>
      <c r="D6" s="5">
        <f t="shared" si="5"/>
        <v>15</v>
      </c>
      <c r="E6" s="5">
        <f t="shared" si="5"/>
        <v>20</v>
      </c>
      <c r="F6" s="5">
        <f t="shared" si="5"/>
        <v>25</v>
      </c>
      <c r="G6" s="5">
        <f t="shared" si="5"/>
        <v>30</v>
      </c>
      <c r="H6" s="5">
        <f t="shared" si="5"/>
        <v>35</v>
      </c>
      <c r="I6" s="5">
        <f t="shared" si="5"/>
        <v>40</v>
      </c>
      <c r="J6" s="5">
        <f t="shared" si="5"/>
        <v>45</v>
      </c>
      <c r="K6" s="5">
        <f t="shared" si="5"/>
        <v>50</v>
      </c>
      <c r="L6" s="5">
        <f t="shared" si="5"/>
        <v>55</v>
      </c>
      <c r="M6" s="5">
        <f t="shared" si="5"/>
        <v>60</v>
      </c>
      <c r="N6" s="5">
        <f t="shared" si="5"/>
        <v>65</v>
      </c>
      <c r="O6" s="24">
        <f t="shared" si="5"/>
        <v>70</v>
      </c>
      <c r="P6" s="5">
        <f t="shared" si="5"/>
        <v>75</v>
      </c>
      <c r="Q6" s="5">
        <f t="shared" si="5"/>
        <v>80</v>
      </c>
      <c r="R6" s="5">
        <f t="shared" si="5"/>
        <v>85</v>
      </c>
      <c r="S6" s="5">
        <f t="shared" si="5"/>
        <v>90</v>
      </c>
      <c r="T6" s="5">
        <f t="shared" si="5"/>
        <v>95</v>
      </c>
      <c r="U6" s="5">
        <f t="shared" si="5"/>
        <v>100</v>
      </c>
      <c r="V6" s="5">
        <f t="shared" si="5"/>
        <v>105</v>
      </c>
      <c r="W6" s="5">
        <f t="shared" si="5"/>
        <v>110</v>
      </c>
      <c r="X6" s="5">
        <f t="shared" si="5"/>
        <v>115</v>
      </c>
      <c r="Y6" s="5">
        <f t="shared" si="5"/>
        <v>120</v>
      </c>
      <c r="Z6" s="5">
        <f t="shared" si="5"/>
        <v>125</v>
      </c>
      <c r="AA6" s="5">
        <f t="shared" si="5"/>
        <v>130</v>
      </c>
      <c r="AB6" s="5">
        <f t="shared" si="5"/>
        <v>135</v>
      </c>
      <c r="AC6" s="5">
        <f t="shared" si="5"/>
        <v>140</v>
      </c>
      <c r="AD6" s="5">
        <f t="shared" si="5"/>
        <v>145</v>
      </c>
      <c r="AE6" s="5">
        <f t="shared" si="5"/>
        <v>150</v>
      </c>
      <c r="AF6" s="5">
        <f t="shared" si="5"/>
        <v>155</v>
      </c>
      <c r="AG6" s="5">
        <f t="shared" si="5"/>
        <v>160</v>
      </c>
      <c r="AH6" s="5">
        <f t="shared" si="5"/>
        <v>165</v>
      </c>
      <c r="AI6" s="5">
        <f t="shared" si="5"/>
        <v>170</v>
      </c>
      <c r="AJ6" s="5">
        <f t="shared" si="5"/>
        <v>175</v>
      </c>
      <c r="AK6" s="5">
        <f t="shared" si="5"/>
        <v>180</v>
      </c>
      <c r="AL6" s="5">
        <f t="shared" si="5"/>
        <v>185</v>
      </c>
      <c r="AM6" s="5">
        <f t="shared" si="5"/>
        <v>190</v>
      </c>
    </row>
    <row r="7">
      <c r="A7" s="2">
        <v>6.0</v>
      </c>
      <c r="B7" s="5">
        <f t="shared" ref="B7:AM7" si="6">B$1*$A7</f>
        <v>6</v>
      </c>
      <c r="C7" s="5">
        <f t="shared" si="6"/>
        <v>12</v>
      </c>
      <c r="D7" s="5">
        <f t="shared" si="6"/>
        <v>18</v>
      </c>
      <c r="E7" s="5">
        <f t="shared" si="6"/>
        <v>24</v>
      </c>
      <c r="F7" s="5">
        <f t="shared" si="6"/>
        <v>30</v>
      </c>
      <c r="G7" s="5">
        <f t="shared" si="6"/>
        <v>36</v>
      </c>
      <c r="H7" s="5">
        <f t="shared" si="6"/>
        <v>42</v>
      </c>
      <c r="I7" s="5">
        <f t="shared" si="6"/>
        <v>48</v>
      </c>
      <c r="J7" s="5">
        <f t="shared" si="6"/>
        <v>54</v>
      </c>
      <c r="K7" s="5">
        <f t="shared" si="6"/>
        <v>60</v>
      </c>
      <c r="L7" s="5">
        <f t="shared" si="6"/>
        <v>66</v>
      </c>
      <c r="M7" s="5">
        <f t="shared" si="6"/>
        <v>72</v>
      </c>
      <c r="N7" s="24">
        <f t="shared" si="6"/>
        <v>78</v>
      </c>
      <c r="O7" s="5">
        <f t="shared" si="6"/>
        <v>84</v>
      </c>
      <c r="P7" s="5">
        <f t="shared" si="6"/>
        <v>90</v>
      </c>
      <c r="Q7" s="5">
        <f t="shared" si="6"/>
        <v>96</v>
      </c>
      <c r="R7" s="5">
        <f t="shared" si="6"/>
        <v>102</v>
      </c>
      <c r="S7" s="5">
        <f t="shared" si="6"/>
        <v>108</v>
      </c>
      <c r="T7" s="5">
        <f t="shared" si="6"/>
        <v>114</v>
      </c>
      <c r="U7" s="5">
        <f t="shared" si="6"/>
        <v>120</v>
      </c>
      <c r="V7" s="5">
        <f t="shared" si="6"/>
        <v>126</v>
      </c>
      <c r="W7" s="5">
        <f t="shared" si="6"/>
        <v>132</v>
      </c>
      <c r="X7" s="5">
        <f t="shared" si="6"/>
        <v>138</v>
      </c>
      <c r="Y7" s="5">
        <f t="shared" si="6"/>
        <v>144</v>
      </c>
      <c r="Z7" s="5">
        <f t="shared" si="6"/>
        <v>150</v>
      </c>
      <c r="AA7" s="5">
        <f t="shared" si="6"/>
        <v>156</v>
      </c>
      <c r="AB7" s="5">
        <f t="shared" si="6"/>
        <v>162</v>
      </c>
      <c r="AC7" s="5">
        <f t="shared" si="6"/>
        <v>168</v>
      </c>
      <c r="AD7" s="5">
        <f t="shared" si="6"/>
        <v>174</v>
      </c>
      <c r="AE7" s="5">
        <f t="shared" si="6"/>
        <v>180</v>
      </c>
      <c r="AF7" s="5">
        <f t="shared" si="6"/>
        <v>186</v>
      </c>
      <c r="AG7" s="5">
        <f t="shared" si="6"/>
        <v>192</v>
      </c>
      <c r="AH7" s="5">
        <f t="shared" si="6"/>
        <v>198</v>
      </c>
      <c r="AI7" s="5">
        <f t="shared" si="6"/>
        <v>204</v>
      </c>
      <c r="AJ7" s="5">
        <f t="shared" si="6"/>
        <v>210</v>
      </c>
      <c r="AK7" s="5">
        <f t="shared" si="6"/>
        <v>216</v>
      </c>
      <c r="AL7" s="5">
        <f t="shared" si="6"/>
        <v>222</v>
      </c>
      <c r="AM7" s="5">
        <f t="shared" si="6"/>
        <v>228</v>
      </c>
    </row>
    <row r="8">
      <c r="A8" s="2">
        <v>7.0</v>
      </c>
      <c r="B8" s="5">
        <f t="shared" ref="B8:AM8" si="7">B$1*$A8</f>
        <v>7</v>
      </c>
      <c r="C8" s="5">
        <f t="shared" si="7"/>
        <v>14</v>
      </c>
      <c r="D8" s="5">
        <f t="shared" si="7"/>
        <v>21</v>
      </c>
      <c r="E8" s="5">
        <f t="shared" si="7"/>
        <v>28</v>
      </c>
      <c r="F8" s="5">
        <f t="shared" si="7"/>
        <v>35</v>
      </c>
      <c r="G8" s="5">
        <f t="shared" si="7"/>
        <v>42</v>
      </c>
      <c r="H8" s="5">
        <f t="shared" si="7"/>
        <v>49</v>
      </c>
      <c r="I8" s="5">
        <f t="shared" si="7"/>
        <v>56</v>
      </c>
      <c r="J8" s="5">
        <f t="shared" si="7"/>
        <v>63</v>
      </c>
      <c r="K8" s="5">
        <f t="shared" si="7"/>
        <v>70</v>
      </c>
      <c r="L8" s="24">
        <f t="shared" si="7"/>
        <v>77</v>
      </c>
      <c r="M8" s="5">
        <f t="shared" si="7"/>
        <v>84</v>
      </c>
      <c r="N8" s="5">
        <f t="shared" si="7"/>
        <v>91</v>
      </c>
      <c r="O8" s="5">
        <f t="shared" si="7"/>
        <v>98</v>
      </c>
      <c r="P8" s="5">
        <f t="shared" si="7"/>
        <v>105</v>
      </c>
      <c r="Q8" s="5">
        <f t="shared" si="7"/>
        <v>112</v>
      </c>
      <c r="R8" s="5">
        <f t="shared" si="7"/>
        <v>119</v>
      </c>
      <c r="S8" s="5">
        <f t="shared" si="7"/>
        <v>126</v>
      </c>
      <c r="T8" s="5">
        <f t="shared" si="7"/>
        <v>133</v>
      </c>
      <c r="U8" s="5">
        <f t="shared" si="7"/>
        <v>140</v>
      </c>
      <c r="V8" s="5">
        <f t="shared" si="7"/>
        <v>147</v>
      </c>
      <c r="W8" s="5">
        <f t="shared" si="7"/>
        <v>154</v>
      </c>
      <c r="X8" s="5">
        <f t="shared" si="7"/>
        <v>161</v>
      </c>
      <c r="Y8" s="5">
        <f t="shared" si="7"/>
        <v>168</v>
      </c>
      <c r="Z8" s="5">
        <f t="shared" si="7"/>
        <v>175</v>
      </c>
      <c r="AA8" s="5">
        <f t="shared" si="7"/>
        <v>182</v>
      </c>
      <c r="AB8" s="5">
        <f t="shared" si="7"/>
        <v>189</v>
      </c>
      <c r="AC8" s="5">
        <f t="shared" si="7"/>
        <v>196</v>
      </c>
      <c r="AD8" s="5">
        <f t="shared" si="7"/>
        <v>203</v>
      </c>
      <c r="AE8" s="5">
        <f t="shared" si="7"/>
        <v>210</v>
      </c>
      <c r="AF8" s="5">
        <f t="shared" si="7"/>
        <v>217</v>
      </c>
      <c r="AG8" s="5">
        <f t="shared" si="7"/>
        <v>224</v>
      </c>
      <c r="AH8" s="5">
        <f t="shared" si="7"/>
        <v>231</v>
      </c>
      <c r="AI8" s="5">
        <f t="shared" si="7"/>
        <v>238</v>
      </c>
      <c r="AJ8" s="5">
        <f t="shared" si="7"/>
        <v>245</v>
      </c>
      <c r="AK8" s="5">
        <f t="shared" si="7"/>
        <v>252</v>
      </c>
      <c r="AL8" s="5">
        <f t="shared" si="7"/>
        <v>259</v>
      </c>
      <c r="AM8" s="5">
        <f t="shared" si="7"/>
        <v>266</v>
      </c>
    </row>
    <row r="9">
      <c r="A9" s="2">
        <v>8.0</v>
      </c>
      <c r="B9" s="5">
        <f t="shared" ref="B9:AM9" si="8">B$1*$A9</f>
        <v>8</v>
      </c>
      <c r="C9" s="5">
        <f t="shared" si="8"/>
        <v>16</v>
      </c>
      <c r="D9" s="5">
        <f t="shared" si="8"/>
        <v>24</v>
      </c>
      <c r="E9" s="5">
        <f t="shared" si="8"/>
        <v>32</v>
      </c>
      <c r="F9" s="5">
        <f t="shared" si="8"/>
        <v>40</v>
      </c>
      <c r="G9" s="5">
        <f t="shared" si="8"/>
        <v>48</v>
      </c>
      <c r="H9" s="5">
        <f t="shared" si="8"/>
        <v>56</v>
      </c>
      <c r="I9" s="5">
        <f t="shared" si="8"/>
        <v>64</v>
      </c>
      <c r="J9" s="5">
        <f t="shared" si="8"/>
        <v>72</v>
      </c>
      <c r="K9" s="5">
        <f t="shared" si="8"/>
        <v>80</v>
      </c>
      <c r="L9" s="5">
        <f t="shared" si="8"/>
        <v>88</v>
      </c>
      <c r="M9" s="5">
        <f t="shared" si="8"/>
        <v>96</v>
      </c>
      <c r="N9" s="5">
        <f t="shared" si="8"/>
        <v>104</v>
      </c>
      <c r="O9" s="5">
        <f t="shared" si="8"/>
        <v>112</v>
      </c>
      <c r="P9" s="5">
        <f t="shared" si="8"/>
        <v>120</v>
      </c>
      <c r="Q9" s="5">
        <f t="shared" si="8"/>
        <v>128</v>
      </c>
      <c r="R9" s="5">
        <f t="shared" si="8"/>
        <v>136</v>
      </c>
      <c r="S9" s="5">
        <f t="shared" si="8"/>
        <v>144</v>
      </c>
      <c r="T9" s="5">
        <f t="shared" si="8"/>
        <v>152</v>
      </c>
      <c r="U9" s="5">
        <f t="shared" si="8"/>
        <v>160</v>
      </c>
      <c r="V9" s="5">
        <f t="shared" si="8"/>
        <v>168</v>
      </c>
      <c r="W9" s="5">
        <f t="shared" si="8"/>
        <v>176</v>
      </c>
      <c r="X9" s="5">
        <f t="shared" si="8"/>
        <v>184</v>
      </c>
      <c r="Y9" s="5">
        <f t="shared" si="8"/>
        <v>192</v>
      </c>
      <c r="Z9" s="5">
        <f t="shared" si="8"/>
        <v>200</v>
      </c>
      <c r="AA9" s="5">
        <f t="shared" si="8"/>
        <v>208</v>
      </c>
      <c r="AB9" s="5">
        <f t="shared" si="8"/>
        <v>216</v>
      </c>
      <c r="AC9" s="5">
        <f t="shared" si="8"/>
        <v>224</v>
      </c>
      <c r="AD9" s="5">
        <f t="shared" si="8"/>
        <v>232</v>
      </c>
      <c r="AE9" s="5">
        <f t="shared" si="8"/>
        <v>240</v>
      </c>
      <c r="AF9" s="5">
        <f t="shared" si="8"/>
        <v>248</v>
      </c>
      <c r="AG9" s="5">
        <f t="shared" si="8"/>
        <v>256</v>
      </c>
      <c r="AH9" s="5">
        <f t="shared" si="8"/>
        <v>264</v>
      </c>
      <c r="AI9" s="5">
        <f t="shared" si="8"/>
        <v>272</v>
      </c>
      <c r="AJ9" s="5">
        <f t="shared" si="8"/>
        <v>280</v>
      </c>
      <c r="AK9" s="5">
        <f t="shared" si="8"/>
        <v>288</v>
      </c>
      <c r="AL9" s="5">
        <f t="shared" si="8"/>
        <v>296</v>
      </c>
      <c r="AM9" s="5">
        <f t="shared" si="8"/>
        <v>304</v>
      </c>
    </row>
    <row r="10">
      <c r="A10" s="2">
        <v>9.0</v>
      </c>
      <c r="B10" s="5">
        <f t="shared" ref="B10:AM10" si="9">B$1*$A10</f>
        <v>9</v>
      </c>
      <c r="C10" s="5">
        <f t="shared" si="9"/>
        <v>18</v>
      </c>
      <c r="D10" s="5">
        <f t="shared" si="9"/>
        <v>27</v>
      </c>
      <c r="E10" s="5">
        <f t="shared" si="9"/>
        <v>36</v>
      </c>
      <c r="F10" s="5">
        <f t="shared" si="9"/>
        <v>45</v>
      </c>
      <c r="G10" s="5">
        <f t="shared" si="9"/>
        <v>54</v>
      </c>
      <c r="H10" s="5">
        <f t="shared" si="9"/>
        <v>63</v>
      </c>
      <c r="I10" s="5">
        <f t="shared" si="9"/>
        <v>72</v>
      </c>
      <c r="J10" s="5">
        <f t="shared" si="9"/>
        <v>81</v>
      </c>
      <c r="K10" s="5">
        <f t="shared" si="9"/>
        <v>90</v>
      </c>
      <c r="L10" s="5">
        <f t="shared" si="9"/>
        <v>99</v>
      </c>
      <c r="M10" s="5">
        <f t="shared" si="9"/>
        <v>108</v>
      </c>
      <c r="N10" s="5">
        <f t="shared" si="9"/>
        <v>117</v>
      </c>
      <c r="O10" s="5">
        <f t="shared" si="9"/>
        <v>126</v>
      </c>
      <c r="P10" s="5">
        <f t="shared" si="9"/>
        <v>135</v>
      </c>
      <c r="Q10" s="5">
        <f t="shared" si="9"/>
        <v>144</v>
      </c>
      <c r="R10" s="5">
        <f t="shared" si="9"/>
        <v>153</v>
      </c>
      <c r="S10" s="5">
        <f t="shared" si="9"/>
        <v>162</v>
      </c>
      <c r="T10" s="5">
        <f t="shared" si="9"/>
        <v>171</v>
      </c>
      <c r="U10" s="5">
        <f t="shared" si="9"/>
        <v>180</v>
      </c>
      <c r="V10" s="5">
        <f t="shared" si="9"/>
        <v>189</v>
      </c>
      <c r="W10" s="5">
        <f t="shared" si="9"/>
        <v>198</v>
      </c>
      <c r="X10" s="5">
        <f t="shared" si="9"/>
        <v>207</v>
      </c>
      <c r="Y10" s="5">
        <f t="shared" si="9"/>
        <v>216</v>
      </c>
      <c r="Z10" s="5">
        <f t="shared" si="9"/>
        <v>225</v>
      </c>
      <c r="AA10" s="5">
        <f t="shared" si="9"/>
        <v>234</v>
      </c>
      <c r="AB10" s="5">
        <f t="shared" si="9"/>
        <v>243</v>
      </c>
      <c r="AC10" s="5">
        <f t="shared" si="9"/>
        <v>252</v>
      </c>
      <c r="AD10" s="5">
        <f t="shared" si="9"/>
        <v>261</v>
      </c>
      <c r="AE10" s="5">
        <f t="shared" si="9"/>
        <v>270</v>
      </c>
      <c r="AF10" s="5">
        <f t="shared" si="9"/>
        <v>279</v>
      </c>
      <c r="AG10" s="5">
        <f t="shared" si="9"/>
        <v>288</v>
      </c>
      <c r="AH10" s="5">
        <f t="shared" si="9"/>
        <v>297</v>
      </c>
      <c r="AI10" s="5">
        <f t="shared" si="9"/>
        <v>306</v>
      </c>
      <c r="AJ10" s="5">
        <f t="shared" si="9"/>
        <v>315</v>
      </c>
      <c r="AK10" s="5">
        <f t="shared" si="9"/>
        <v>324</v>
      </c>
      <c r="AL10" s="5">
        <f t="shared" si="9"/>
        <v>333</v>
      </c>
      <c r="AM10" s="5">
        <f t="shared" si="9"/>
        <v>342</v>
      </c>
    </row>
    <row r="11">
      <c r="A11" s="2">
        <v>10.0</v>
      </c>
      <c r="B11" s="5">
        <f t="shared" ref="B11:AM11" si="10">B$1*$A11</f>
        <v>10</v>
      </c>
      <c r="C11" s="5">
        <f t="shared" si="10"/>
        <v>20</v>
      </c>
      <c r="D11" s="5">
        <f t="shared" si="10"/>
        <v>30</v>
      </c>
      <c r="E11" s="5">
        <f t="shared" si="10"/>
        <v>40</v>
      </c>
      <c r="F11" s="5">
        <f t="shared" si="10"/>
        <v>50</v>
      </c>
      <c r="G11" s="5">
        <f t="shared" si="10"/>
        <v>60</v>
      </c>
      <c r="H11" s="5">
        <f t="shared" si="10"/>
        <v>70</v>
      </c>
      <c r="I11" s="5">
        <f t="shared" si="10"/>
        <v>80</v>
      </c>
      <c r="J11" s="5">
        <f t="shared" si="10"/>
        <v>90</v>
      </c>
      <c r="K11" s="5">
        <f t="shared" si="10"/>
        <v>100</v>
      </c>
      <c r="L11" s="5">
        <f t="shared" si="10"/>
        <v>110</v>
      </c>
      <c r="M11" s="5">
        <f t="shared" si="10"/>
        <v>120</v>
      </c>
      <c r="N11" s="5">
        <f t="shared" si="10"/>
        <v>130</v>
      </c>
      <c r="O11" s="5">
        <f t="shared" si="10"/>
        <v>140</v>
      </c>
      <c r="P11" s="5">
        <f t="shared" si="10"/>
        <v>150</v>
      </c>
      <c r="Q11" s="5">
        <f t="shared" si="10"/>
        <v>160</v>
      </c>
      <c r="R11" s="5">
        <f t="shared" si="10"/>
        <v>170</v>
      </c>
      <c r="S11" s="5">
        <f t="shared" si="10"/>
        <v>180</v>
      </c>
      <c r="T11" s="5">
        <f t="shared" si="10"/>
        <v>190</v>
      </c>
      <c r="U11" s="5">
        <f t="shared" si="10"/>
        <v>200</v>
      </c>
      <c r="V11" s="5">
        <f t="shared" si="10"/>
        <v>210</v>
      </c>
      <c r="W11" s="5">
        <f t="shared" si="10"/>
        <v>220</v>
      </c>
      <c r="X11" s="5">
        <f t="shared" si="10"/>
        <v>230</v>
      </c>
      <c r="Y11" s="5">
        <f t="shared" si="10"/>
        <v>240</v>
      </c>
      <c r="Z11" s="5">
        <f t="shared" si="10"/>
        <v>250</v>
      </c>
      <c r="AA11" s="5">
        <f t="shared" si="10"/>
        <v>260</v>
      </c>
      <c r="AB11" s="5">
        <f t="shared" si="10"/>
        <v>270</v>
      </c>
      <c r="AC11" s="5">
        <f t="shared" si="10"/>
        <v>280</v>
      </c>
      <c r="AD11" s="5">
        <f t="shared" si="10"/>
        <v>290</v>
      </c>
      <c r="AE11" s="5">
        <f t="shared" si="10"/>
        <v>300</v>
      </c>
      <c r="AF11" s="5">
        <f t="shared" si="10"/>
        <v>310</v>
      </c>
      <c r="AG11" s="5">
        <f t="shared" si="10"/>
        <v>320</v>
      </c>
      <c r="AH11" s="5">
        <f t="shared" si="10"/>
        <v>330</v>
      </c>
      <c r="AI11" s="5">
        <f t="shared" si="10"/>
        <v>340</v>
      </c>
      <c r="AJ11" s="5">
        <f t="shared" si="10"/>
        <v>350</v>
      </c>
      <c r="AK11" s="5">
        <f t="shared" si="10"/>
        <v>360</v>
      </c>
      <c r="AL11" s="5">
        <f t="shared" si="10"/>
        <v>370</v>
      </c>
      <c r="AM11" s="5">
        <f t="shared" si="10"/>
        <v>380</v>
      </c>
    </row>
    <row r="12">
      <c r="A12" s="2">
        <v>11.0</v>
      </c>
      <c r="B12" s="5">
        <f t="shared" ref="B12:AM12" si="11">B$1*$A12</f>
        <v>11</v>
      </c>
      <c r="C12" s="5">
        <f t="shared" si="11"/>
        <v>22</v>
      </c>
      <c r="D12" s="5">
        <f t="shared" si="11"/>
        <v>33</v>
      </c>
      <c r="E12" s="5">
        <f t="shared" si="11"/>
        <v>44</v>
      </c>
      <c r="F12" s="5">
        <f t="shared" si="11"/>
        <v>55</v>
      </c>
      <c r="G12" s="5">
        <f t="shared" si="11"/>
        <v>66</v>
      </c>
      <c r="H12" s="5">
        <f t="shared" si="11"/>
        <v>77</v>
      </c>
      <c r="I12" s="5">
        <f t="shared" si="11"/>
        <v>88</v>
      </c>
      <c r="J12" s="5">
        <f t="shared" si="11"/>
        <v>99</v>
      </c>
      <c r="K12" s="5">
        <f t="shared" si="11"/>
        <v>110</v>
      </c>
      <c r="L12" s="5">
        <f t="shared" si="11"/>
        <v>121</v>
      </c>
      <c r="M12" s="5">
        <f t="shared" si="11"/>
        <v>132</v>
      </c>
      <c r="N12" s="5">
        <f t="shared" si="11"/>
        <v>143</v>
      </c>
      <c r="O12" s="5">
        <f t="shared" si="11"/>
        <v>154</v>
      </c>
      <c r="P12" s="5">
        <f t="shared" si="11"/>
        <v>165</v>
      </c>
      <c r="Q12" s="5">
        <f t="shared" si="11"/>
        <v>176</v>
      </c>
      <c r="R12" s="5">
        <f t="shared" si="11"/>
        <v>187</v>
      </c>
      <c r="S12" s="5">
        <f t="shared" si="11"/>
        <v>198</v>
      </c>
      <c r="T12" s="5">
        <f t="shared" si="11"/>
        <v>209</v>
      </c>
      <c r="U12" s="5">
        <f t="shared" si="11"/>
        <v>220</v>
      </c>
      <c r="V12" s="5">
        <f t="shared" si="11"/>
        <v>231</v>
      </c>
      <c r="W12" s="5">
        <f t="shared" si="11"/>
        <v>242</v>
      </c>
      <c r="X12" s="5">
        <f t="shared" si="11"/>
        <v>253</v>
      </c>
      <c r="Y12" s="5">
        <f t="shared" si="11"/>
        <v>264</v>
      </c>
      <c r="Z12" s="5">
        <f t="shared" si="11"/>
        <v>275</v>
      </c>
      <c r="AA12" s="5">
        <f t="shared" si="11"/>
        <v>286</v>
      </c>
      <c r="AB12" s="5">
        <f t="shared" si="11"/>
        <v>297</v>
      </c>
      <c r="AC12" s="5">
        <f t="shared" si="11"/>
        <v>308</v>
      </c>
      <c r="AD12" s="5">
        <f t="shared" si="11"/>
        <v>319</v>
      </c>
      <c r="AE12" s="5">
        <f t="shared" si="11"/>
        <v>330</v>
      </c>
      <c r="AF12" s="5">
        <f t="shared" si="11"/>
        <v>341</v>
      </c>
      <c r="AG12" s="5">
        <f t="shared" si="11"/>
        <v>352</v>
      </c>
      <c r="AH12" s="5">
        <f t="shared" si="11"/>
        <v>363</v>
      </c>
      <c r="AI12" s="5">
        <f t="shared" si="11"/>
        <v>374</v>
      </c>
      <c r="AJ12" s="5">
        <f t="shared" si="11"/>
        <v>385</v>
      </c>
      <c r="AK12" s="5">
        <f t="shared" si="11"/>
        <v>396</v>
      </c>
      <c r="AL12" s="5">
        <f t="shared" si="11"/>
        <v>407</v>
      </c>
      <c r="AM12" s="5">
        <f t="shared" si="11"/>
        <v>418</v>
      </c>
    </row>
    <row r="13">
      <c r="A13" s="2">
        <v>12.0</v>
      </c>
      <c r="B13" s="5">
        <f t="shared" ref="B13:AM13" si="12">B$1*$A13</f>
        <v>12</v>
      </c>
      <c r="C13" s="5">
        <f t="shared" si="12"/>
        <v>24</v>
      </c>
      <c r="D13" s="5">
        <f t="shared" si="12"/>
        <v>36</v>
      </c>
      <c r="E13" s="5">
        <f t="shared" si="12"/>
        <v>48</v>
      </c>
      <c r="F13" s="5">
        <f t="shared" si="12"/>
        <v>60</v>
      </c>
      <c r="G13" s="5">
        <f t="shared" si="12"/>
        <v>72</v>
      </c>
      <c r="H13" s="5">
        <f t="shared" si="12"/>
        <v>84</v>
      </c>
      <c r="I13" s="5">
        <f t="shared" si="12"/>
        <v>96</v>
      </c>
      <c r="J13" s="5">
        <f t="shared" si="12"/>
        <v>108</v>
      </c>
      <c r="K13" s="5">
        <f t="shared" si="12"/>
        <v>120</v>
      </c>
      <c r="L13" s="5">
        <f t="shared" si="12"/>
        <v>132</v>
      </c>
      <c r="M13" s="5">
        <f t="shared" si="12"/>
        <v>144</v>
      </c>
      <c r="N13" s="5">
        <f t="shared" si="12"/>
        <v>156</v>
      </c>
      <c r="O13" s="5">
        <f t="shared" si="12"/>
        <v>168</v>
      </c>
      <c r="P13" s="5">
        <f t="shared" si="12"/>
        <v>180</v>
      </c>
      <c r="Q13" s="5">
        <f t="shared" si="12"/>
        <v>192</v>
      </c>
      <c r="R13" s="5">
        <f t="shared" si="12"/>
        <v>204</v>
      </c>
      <c r="S13" s="5">
        <f t="shared" si="12"/>
        <v>216</v>
      </c>
      <c r="T13" s="5">
        <f t="shared" si="12"/>
        <v>228</v>
      </c>
      <c r="U13" s="5">
        <f t="shared" si="12"/>
        <v>240</v>
      </c>
      <c r="V13" s="5">
        <f t="shared" si="12"/>
        <v>252</v>
      </c>
      <c r="W13" s="5">
        <f t="shared" si="12"/>
        <v>264</v>
      </c>
      <c r="X13" s="5">
        <f t="shared" si="12"/>
        <v>276</v>
      </c>
      <c r="Y13" s="5">
        <f t="shared" si="12"/>
        <v>288</v>
      </c>
      <c r="Z13" s="5">
        <f t="shared" si="12"/>
        <v>300</v>
      </c>
      <c r="AA13" s="5">
        <f t="shared" si="12"/>
        <v>312</v>
      </c>
      <c r="AB13" s="5">
        <f t="shared" si="12"/>
        <v>324</v>
      </c>
      <c r="AC13" s="5">
        <f t="shared" si="12"/>
        <v>336</v>
      </c>
      <c r="AD13" s="5">
        <f t="shared" si="12"/>
        <v>348</v>
      </c>
      <c r="AE13" s="5">
        <f t="shared" si="12"/>
        <v>360</v>
      </c>
      <c r="AF13" s="5">
        <f t="shared" si="12"/>
        <v>372</v>
      </c>
      <c r="AG13" s="5">
        <f t="shared" si="12"/>
        <v>384</v>
      </c>
      <c r="AH13" s="5">
        <f t="shared" si="12"/>
        <v>396</v>
      </c>
      <c r="AI13" s="5">
        <f t="shared" si="12"/>
        <v>408</v>
      </c>
      <c r="AJ13" s="5">
        <f t="shared" si="12"/>
        <v>420</v>
      </c>
      <c r="AK13" s="5">
        <f t="shared" si="12"/>
        <v>432</v>
      </c>
      <c r="AL13" s="5">
        <f t="shared" si="12"/>
        <v>444</v>
      </c>
      <c r="AM13" s="5">
        <f t="shared" si="12"/>
        <v>456</v>
      </c>
    </row>
    <row r="14">
      <c r="A14" s="2">
        <v>13.0</v>
      </c>
      <c r="B14" s="5">
        <f t="shared" ref="B14:AM14" si="13">B$1*$A14</f>
        <v>13</v>
      </c>
      <c r="C14" s="5">
        <f t="shared" si="13"/>
        <v>26</v>
      </c>
      <c r="D14" s="5">
        <f t="shared" si="13"/>
        <v>39</v>
      </c>
      <c r="E14" s="5">
        <f t="shared" si="13"/>
        <v>52</v>
      </c>
      <c r="F14" s="5">
        <f t="shared" si="13"/>
        <v>65</v>
      </c>
      <c r="G14" s="5">
        <f t="shared" si="13"/>
        <v>78</v>
      </c>
      <c r="H14" s="5">
        <f t="shared" si="13"/>
        <v>91</v>
      </c>
      <c r="I14" s="5">
        <f t="shared" si="13"/>
        <v>104</v>
      </c>
      <c r="J14" s="5">
        <f t="shared" si="13"/>
        <v>117</v>
      </c>
      <c r="K14" s="5">
        <f t="shared" si="13"/>
        <v>130</v>
      </c>
      <c r="L14" s="5">
        <f t="shared" si="13"/>
        <v>143</v>
      </c>
      <c r="M14" s="5">
        <f t="shared" si="13"/>
        <v>156</v>
      </c>
      <c r="N14" s="5">
        <f t="shared" si="13"/>
        <v>169</v>
      </c>
      <c r="O14" s="5">
        <f t="shared" si="13"/>
        <v>182</v>
      </c>
      <c r="P14" s="5">
        <f t="shared" si="13"/>
        <v>195</v>
      </c>
      <c r="Q14" s="5">
        <f t="shared" si="13"/>
        <v>208</v>
      </c>
      <c r="R14" s="5">
        <f t="shared" si="13"/>
        <v>221</v>
      </c>
      <c r="S14" s="5">
        <f t="shared" si="13"/>
        <v>234</v>
      </c>
      <c r="T14" s="5">
        <f t="shared" si="13"/>
        <v>247</v>
      </c>
      <c r="U14" s="5">
        <f t="shared" si="13"/>
        <v>260</v>
      </c>
      <c r="V14" s="5">
        <f t="shared" si="13"/>
        <v>273</v>
      </c>
      <c r="W14" s="5">
        <f t="shared" si="13"/>
        <v>286</v>
      </c>
      <c r="X14" s="5">
        <f t="shared" si="13"/>
        <v>299</v>
      </c>
      <c r="Y14" s="5">
        <f t="shared" si="13"/>
        <v>312</v>
      </c>
      <c r="Z14" s="5">
        <f t="shared" si="13"/>
        <v>325</v>
      </c>
      <c r="AA14" s="5">
        <f t="shared" si="13"/>
        <v>338</v>
      </c>
      <c r="AB14" s="24">
        <f t="shared" si="13"/>
        <v>351</v>
      </c>
      <c r="AC14" s="5">
        <f t="shared" si="13"/>
        <v>364</v>
      </c>
      <c r="AD14" s="5">
        <f t="shared" si="13"/>
        <v>377</v>
      </c>
      <c r="AE14" s="5">
        <f t="shared" si="13"/>
        <v>390</v>
      </c>
      <c r="AF14" s="5">
        <f t="shared" si="13"/>
        <v>403</v>
      </c>
      <c r="AG14" s="5">
        <f t="shared" si="13"/>
        <v>416</v>
      </c>
      <c r="AH14" s="5">
        <f t="shared" si="13"/>
        <v>429</v>
      </c>
      <c r="AI14" s="5">
        <f t="shared" si="13"/>
        <v>442</v>
      </c>
      <c r="AJ14" s="5">
        <f t="shared" si="13"/>
        <v>455</v>
      </c>
      <c r="AK14" s="5">
        <f t="shared" si="13"/>
        <v>468</v>
      </c>
      <c r="AL14" s="5">
        <f t="shared" si="13"/>
        <v>481</v>
      </c>
      <c r="AM14" s="5">
        <f t="shared" si="13"/>
        <v>494</v>
      </c>
    </row>
    <row r="15">
      <c r="A15" s="2">
        <v>14.0</v>
      </c>
      <c r="B15" s="5">
        <f t="shared" ref="B15:AM15" si="14">B$1*$A15</f>
        <v>14</v>
      </c>
      <c r="C15" s="5">
        <f t="shared" si="14"/>
        <v>28</v>
      </c>
      <c r="D15" s="5">
        <f t="shared" si="14"/>
        <v>42</v>
      </c>
      <c r="E15" s="5">
        <f t="shared" si="14"/>
        <v>56</v>
      </c>
      <c r="F15" s="5">
        <f t="shared" si="14"/>
        <v>70</v>
      </c>
      <c r="G15" s="5">
        <f t="shared" si="14"/>
        <v>84</v>
      </c>
      <c r="H15" s="5">
        <f t="shared" si="14"/>
        <v>98</v>
      </c>
      <c r="I15" s="5">
        <f t="shared" si="14"/>
        <v>112</v>
      </c>
      <c r="J15" s="5">
        <f t="shared" si="14"/>
        <v>126</v>
      </c>
      <c r="K15" s="5">
        <f t="shared" si="14"/>
        <v>140</v>
      </c>
      <c r="L15" s="5">
        <f t="shared" si="14"/>
        <v>154</v>
      </c>
      <c r="M15" s="5">
        <f t="shared" si="14"/>
        <v>168</v>
      </c>
      <c r="N15" s="5">
        <f t="shared" si="14"/>
        <v>182</v>
      </c>
      <c r="O15" s="5">
        <f t="shared" si="14"/>
        <v>196</v>
      </c>
      <c r="P15" s="5">
        <f t="shared" si="14"/>
        <v>210</v>
      </c>
      <c r="Q15" s="5">
        <f t="shared" si="14"/>
        <v>224</v>
      </c>
      <c r="R15" s="5">
        <f t="shared" si="14"/>
        <v>238</v>
      </c>
      <c r="S15" s="5">
        <f t="shared" si="14"/>
        <v>252</v>
      </c>
      <c r="T15" s="5">
        <f t="shared" si="14"/>
        <v>266</v>
      </c>
      <c r="U15" s="5">
        <f t="shared" si="14"/>
        <v>280</v>
      </c>
      <c r="V15" s="5">
        <f t="shared" si="14"/>
        <v>294</v>
      </c>
      <c r="W15" s="5">
        <f t="shared" si="14"/>
        <v>308</v>
      </c>
      <c r="X15" s="5">
        <f t="shared" si="14"/>
        <v>322</v>
      </c>
      <c r="Y15" s="5">
        <f t="shared" si="14"/>
        <v>336</v>
      </c>
      <c r="Z15" s="24">
        <f t="shared" si="14"/>
        <v>350</v>
      </c>
      <c r="AA15" s="5">
        <f t="shared" si="14"/>
        <v>364</v>
      </c>
      <c r="AB15" s="5">
        <f t="shared" si="14"/>
        <v>378</v>
      </c>
      <c r="AC15" s="5">
        <f t="shared" si="14"/>
        <v>392</v>
      </c>
      <c r="AD15" s="5">
        <f t="shared" si="14"/>
        <v>406</v>
      </c>
      <c r="AE15" s="5">
        <f t="shared" si="14"/>
        <v>420</v>
      </c>
      <c r="AF15" s="5">
        <f t="shared" si="14"/>
        <v>434</v>
      </c>
      <c r="AG15" s="5">
        <f t="shared" si="14"/>
        <v>448</v>
      </c>
      <c r="AH15" s="5">
        <f t="shared" si="14"/>
        <v>462</v>
      </c>
      <c r="AI15" s="5">
        <f t="shared" si="14"/>
        <v>476</v>
      </c>
      <c r="AJ15" s="5">
        <f t="shared" si="14"/>
        <v>490</v>
      </c>
      <c r="AK15" s="5">
        <f t="shared" si="14"/>
        <v>504</v>
      </c>
      <c r="AL15" s="5">
        <f t="shared" si="14"/>
        <v>518</v>
      </c>
      <c r="AM15" s="5">
        <f t="shared" si="14"/>
        <v>532</v>
      </c>
    </row>
    <row r="16">
      <c r="A16" s="2">
        <v>15.0</v>
      </c>
      <c r="B16" s="5">
        <f t="shared" ref="B16:AM16" si="15">B$1*$A16</f>
        <v>15</v>
      </c>
      <c r="C16" s="5">
        <f t="shared" si="15"/>
        <v>30</v>
      </c>
      <c r="D16" s="5">
        <f t="shared" si="15"/>
        <v>45</v>
      </c>
      <c r="E16" s="5">
        <f t="shared" si="15"/>
        <v>60</v>
      </c>
      <c r="F16" s="5">
        <f t="shared" si="15"/>
        <v>75</v>
      </c>
      <c r="G16" s="5">
        <f t="shared" si="15"/>
        <v>90</v>
      </c>
      <c r="H16" s="5">
        <f t="shared" si="15"/>
        <v>105</v>
      </c>
      <c r="I16" s="5">
        <f t="shared" si="15"/>
        <v>120</v>
      </c>
      <c r="J16" s="5">
        <f t="shared" si="15"/>
        <v>135</v>
      </c>
      <c r="K16" s="5">
        <f t="shared" si="15"/>
        <v>150</v>
      </c>
      <c r="L16" s="5">
        <f t="shared" si="15"/>
        <v>165</v>
      </c>
      <c r="M16" s="5">
        <f t="shared" si="15"/>
        <v>180</v>
      </c>
      <c r="N16" s="5">
        <f t="shared" si="15"/>
        <v>195</v>
      </c>
      <c r="O16" s="5">
        <f t="shared" si="15"/>
        <v>210</v>
      </c>
      <c r="P16" s="5">
        <f t="shared" si="15"/>
        <v>225</v>
      </c>
      <c r="Q16" s="5">
        <f t="shared" si="15"/>
        <v>240</v>
      </c>
      <c r="R16" s="5">
        <f t="shared" si="15"/>
        <v>255</v>
      </c>
      <c r="S16" s="5">
        <f t="shared" si="15"/>
        <v>270</v>
      </c>
      <c r="T16" s="5">
        <f t="shared" si="15"/>
        <v>285</v>
      </c>
      <c r="U16" s="5">
        <f t="shared" si="15"/>
        <v>300</v>
      </c>
      <c r="V16" s="5">
        <f t="shared" si="15"/>
        <v>315</v>
      </c>
      <c r="W16" s="5">
        <f t="shared" si="15"/>
        <v>330</v>
      </c>
      <c r="X16" s="5">
        <f t="shared" si="15"/>
        <v>345</v>
      </c>
      <c r="Y16" s="24">
        <f t="shared" si="15"/>
        <v>360</v>
      </c>
      <c r="Z16" s="5">
        <f t="shared" si="15"/>
        <v>375</v>
      </c>
      <c r="AA16" s="5">
        <f t="shared" si="15"/>
        <v>390</v>
      </c>
      <c r="AB16" s="5">
        <f t="shared" si="15"/>
        <v>405</v>
      </c>
      <c r="AC16" s="5">
        <f t="shared" si="15"/>
        <v>420</v>
      </c>
      <c r="AD16" s="5">
        <f t="shared" si="15"/>
        <v>435</v>
      </c>
      <c r="AE16" s="5">
        <f t="shared" si="15"/>
        <v>450</v>
      </c>
      <c r="AF16" s="5">
        <f t="shared" si="15"/>
        <v>465</v>
      </c>
      <c r="AG16" s="5">
        <f t="shared" si="15"/>
        <v>480</v>
      </c>
      <c r="AH16" s="5">
        <f t="shared" si="15"/>
        <v>495</v>
      </c>
      <c r="AI16" s="5">
        <f t="shared" si="15"/>
        <v>510</v>
      </c>
      <c r="AJ16" s="5">
        <f t="shared" si="15"/>
        <v>525</v>
      </c>
      <c r="AK16" s="5">
        <f t="shared" si="15"/>
        <v>540</v>
      </c>
      <c r="AL16" s="5">
        <f t="shared" si="15"/>
        <v>555</v>
      </c>
      <c r="AM16" s="5">
        <f t="shared" si="15"/>
        <v>570</v>
      </c>
    </row>
    <row r="17">
      <c r="A17" s="2">
        <v>16.0</v>
      </c>
      <c r="B17" s="5">
        <f t="shared" ref="B17:AM17" si="16">B$1*$A17</f>
        <v>16</v>
      </c>
      <c r="C17" s="5">
        <f t="shared" si="16"/>
        <v>32</v>
      </c>
      <c r="D17" s="5">
        <f t="shared" si="16"/>
        <v>48</v>
      </c>
      <c r="E17" s="5">
        <f t="shared" si="16"/>
        <v>64</v>
      </c>
      <c r="F17" s="5">
        <f t="shared" si="16"/>
        <v>80</v>
      </c>
      <c r="G17" s="5">
        <f t="shared" si="16"/>
        <v>96</v>
      </c>
      <c r="H17" s="5">
        <f t="shared" si="16"/>
        <v>112</v>
      </c>
      <c r="I17" s="5">
        <f t="shared" si="16"/>
        <v>128</v>
      </c>
      <c r="J17" s="5">
        <f t="shared" si="16"/>
        <v>144</v>
      </c>
      <c r="K17" s="5">
        <f t="shared" si="16"/>
        <v>160</v>
      </c>
      <c r="L17" s="5">
        <f t="shared" si="16"/>
        <v>176</v>
      </c>
      <c r="M17" s="5">
        <f t="shared" si="16"/>
        <v>192</v>
      </c>
      <c r="N17" s="5">
        <f t="shared" si="16"/>
        <v>208</v>
      </c>
      <c r="O17" s="5">
        <f t="shared" si="16"/>
        <v>224</v>
      </c>
      <c r="P17" s="5">
        <f t="shared" si="16"/>
        <v>240</v>
      </c>
      <c r="Q17" s="5">
        <f t="shared" si="16"/>
        <v>256</v>
      </c>
      <c r="R17" s="5">
        <f t="shared" si="16"/>
        <v>272</v>
      </c>
      <c r="S17" s="5">
        <f t="shared" si="16"/>
        <v>288</v>
      </c>
      <c r="T17" s="5">
        <f t="shared" si="16"/>
        <v>304</v>
      </c>
      <c r="U17" s="5">
        <f t="shared" si="16"/>
        <v>320</v>
      </c>
      <c r="V17" s="5">
        <f t="shared" si="16"/>
        <v>336</v>
      </c>
      <c r="W17" s="5">
        <f t="shared" si="16"/>
        <v>352</v>
      </c>
      <c r="X17" s="5">
        <f t="shared" si="16"/>
        <v>368</v>
      </c>
      <c r="Y17" s="5">
        <f t="shared" si="16"/>
        <v>384</v>
      </c>
      <c r="Z17" s="5">
        <f t="shared" si="16"/>
        <v>400</v>
      </c>
      <c r="AA17" s="5">
        <f t="shared" si="16"/>
        <v>416</v>
      </c>
      <c r="AB17" s="5">
        <f t="shared" si="16"/>
        <v>432</v>
      </c>
      <c r="AC17" s="5">
        <f t="shared" si="16"/>
        <v>448</v>
      </c>
      <c r="AD17" s="5">
        <f t="shared" si="16"/>
        <v>464</v>
      </c>
      <c r="AE17" s="5">
        <f t="shared" si="16"/>
        <v>480</v>
      </c>
      <c r="AF17" s="5">
        <f t="shared" si="16"/>
        <v>496</v>
      </c>
      <c r="AG17" s="5">
        <f t="shared" si="16"/>
        <v>512</v>
      </c>
      <c r="AH17" s="5">
        <f t="shared" si="16"/>
        <v>528</v>
      </c>
      <c r="AI17" s="5">
        <f t="shared" si="16"/>
        <v>544</v>
      </c>
      <c r="AJ17" s="5">
        <f t="shared" si="16"/>
        <v>560</v>
      </c>
      <c r="AK17" s="5">
        <f t="shared" si="16"/>
        <v>576</v>
      </c>
      <c r="AL17" s="5">
        <f t="shared" si="16"/>
        <v>592</v>
      </c>
      <c r="AM17" s="5">
        <f t="shared" si="16"/>
        <v>608</v>
      </c>
    </row>
    <row r="18">
      <c r="A18" s="2">
        <v>17.0</v>
      </c>
      <c r="B18" s="5">
        <f t="shared" ref="B18:AM18" si="17">B$1*$A18</f>
        <v>17</v>
      </c>
      <c r="C18" s="5">
        <f t="shared" si="17"/>
        <v>34</v>
      </c>
      <c r="D18" s="5">
        <f t="shared" si="17"/>
        <v>51</v>
      </c>
      <c r="E18" s="5">
        <f t="shared" si="17"/>
        <v>68</v>
      </c>
      <c r="F18" s="5">
        <f t="shared" si="17"/>
        <v>85</v>
      </c>
      <c r="G18" s="5">
        <f t="shared" si="17"/>
        <v>102</v>
      </c>
      <c r="H18" s="5">
        <f t="shared" si="17"/>
        <v>119</v>
      </c>
      <c r="I18" s="5">
        <f t="shared" si="17"/>
        <v>136</v>
      </c>
      <c r="J18" s="5">
        <f t="shared" si="17"/>
        <v>153</v>
      </c>
      <c r="K18" s="5">
        <f t="shared" si="17"/>
        <v>170</v>
      </c>
      <c r="L18" s="5">
        <f t="shared" si="17"/>
        <v>187</v>
      </c>
      <c r="M18" s="5">
        <f t="shared" si="17"/>
        <v>204</v>
      </c>
      <c r="N18" s="5">
        <f t="shared" si="17"/>
        <v>221</v>
      </c>
      <c r="O18" s="5">
        <f t="shared" si="17"/>
        <v>238</v>
      </c>
      <c r="P18" s="5">
        <f t="shared" si="17"/>
        <v>255</v>
      </c>
      <c r="Q18" s="5">
        <f t="shared" si="17"/>
        <v>272</v>
      </c>
      <c r="R18" s="5">
        <f t="shared" si="17"/>
        <v>289</v>
      </c>
      <c r="S18" s="5">
        <f t="shared" si="17"/>
        <v>306</v>
      </c>
      <c r="T18" s="5">
        <f t="shared" si="17"/>
        <v>323</v>
      </c>
      <c r="U18" s="5">
        <f t="shared" si="17"/>
        <v>340</v>
      </c>
      <c r="V18" s="5">
        <f t="shared" si="17"/>
        <v>357</v>
      </c>
      <c r="W18" s="5">
        <f t="shared" si="17"/>
        <v>374</v>
      </c>
      <c r="X18" s="5">
        <f t="shared" si="17"/>
        <v>391</v>
      </c>
      <c r="Y18" s="5">
        <f t="shared" si="17"/>
        <v>408</v>
      </c>
      <c r="Z18" s="5">
        <f t="shared" si="17"/>
        <v>425</v>
      </c>
      <c r="AA18" s="5">
        <f t="shared" si="17"/>
        <v>442</v>
      </c>
      <c r="AB18" s="5">
        <f t="shared" si="17"/>
        <v>459</v>
      </c>
      <c r="AC18" s="5">
        <f t="shared" si="17"/>
        <v>476</v>
      </c>
      <c r="AD18" s="5">
        <f t="shared" si="17"/>
        <v>493</v>
      </c>
      <c r="AE18" s="5">
        <f t="shared" si="17"/>
        <v>510</v>
      </c>
      <c r="AF18" s="5">
        <f t="shared" si="17"/>
        <v>527</v>
      </c>
      <c r="AG18" s="5">
        <f t="shared" si="17"/>
        <v>544</v>
      </c>
      <c r="AH18" s="5">
        <f t="shared" si="17"/>
        <v>561</v>
      </c>
      <c r="AI18" s="5">
        <f t="shared" si="17"/>
        <v>578</v>
      </c>
      <c r="AJ18" s="5">
        <f t="shared" si="17"/>
        <v>595</v>
      </c>
      <c r="AK18" s="5">
        <f t="shared" si="17"/>
        <v>612</v>
      </c>
      <c r="AL18" s="5">
        <f t="shared" si="17"/>
        <v>629</v>
      </c>
      <c r="AM18" s="5">
        <f t="shared" si="17"/>
        <v>646</v>
      </c>
    </row>
    <row r="19">
      <c r="A19" s="2">
        <v>18.0</v>
      </c>
      <c r="B19" s="5">
        <f t="shared" ref="B19:AM19" si="18">B$1*$A19</f>
        <v>18</v>
      </c>
      <c r="C19" s="5">
        <f t="shared" si="18"/>
        <v>36</v>
      </c>
      <c r="D19" s="5">
        <f t="shared" si="18"/>
        <v>54</v>
      </c>
      <c r="E19" s="5">
        <f t="shared" si="18"/>
        <v>72</v>
      </c>
      <c r="F19" s="5">
        <f t="shared" si="18"/>
        <v>90</v>
      </c>
      <c r="G19" s="5">
        <f t="shared" si="18"/>
        <v>108</v>
      </c>
      <c r="H19" s="5">
        <f t="shared" si="18"/>
        <v>126</v>
      </c>
      <c r="I19" s="5">
        <f t="shared" si="18"/>
        <v>144</v>
      </c>
      <c r="J19" s="5">
        <f t="shared" si="18"/>
        <v>162</v>
      </c>
      <c r="K19" s="5">
        <f t="shared" si="18"/>
        <v>180</v>
      </c>
      <c r="L19" s="5">
        <f t="shared" si="18"/>
        <v>198</v>
      </c>
      <c r="M19" s="5">
        <f t="shared" si="18"/>
        <v>216</v>
      </c>
      <c r="N19" s="5">
        <f t="shared" si="18"/>
        <v>234</v>
      </c>
      <c r="O19" s="5">
        <f t="shared" si="18"/>
        <v>252</v>
      </c>
      <c r="P19" s="5">
        <f t="shared" si="18"/>
        <v>270</v>
      </c>
      <c r="Q19" s="5">
        <f t="shared" si="18"/>
        <v>288</v>
      </c>
      <c r="R19" s="5">
        <f t="shared" si="18"/>
        <v>306</v>
      </c>
      <c r="S19" s="5">
        <f t="shared" si="18"/>
        <v>324</v>
      </c>
      <c r="T19" s="5">
        <f t="shared" si="18"/>
        <v>342</v>
      </c>
      <c r="U19" s="5">
        <f t="shared" si="18"/>
        <v>360</v>
      </c>
      <c r="V19" s="5">
        <f t="shared" si="18"/>
        <v>378</v>
      </c>
      <c r="W19" s="5">
        <f t="shared" si="18"/>
        <v>396</v>
      </c>
      <c r="X19" s="5">
        <f t="shared" si="18"/>
        <v>414</v>
      </c>
      <c r="Y19" s="5">
        <f t="shared" si="18"/>
        <v>432</v>
      </c>
      <c r="Z19" s="5">
        <f t="shared" si="18"/>
        <v>450</v>
      </c>
      <c r="AA19" s="5">
        <f t="shared" si="18"/>
        <v>468</v>
      </c>
      <c r="AB19" s="5">
        <f t="shared" si="18"/>
        <v>486</v>
      </c>
      <c r="AC19" s="5">
        <f t="shared" si="18"/>
        <v>504</v>
      </c>
      <c r="AD19" s="5">
        <f t="shared" si="18"/>
        <v>522</v>
      </c>
      <c r="AE19" s="5">
        <f t="shared" si="18"/>
        <v>540</v>
      </c>
      <c r="AF19" s="5">
        <f t="shared" si="18"/>
        <v>558</v>
      </c>
      <c r="AG19" s="5">
        <f t="shared" si="18"/>
        <v>576</v>
      </c>
      <c r="AH19" s="5">
        <f t="shared" si="18"/>
        <v>594</v>
      </c>
      <c r="AI19" s="5">
        <f t="shared" si="18"/>
        <v>612</v>
      </c>
      <c r="AJ19" s="5">
        <f t="shared" si="18"/>
        <v>630</v>
      </c>
      <c r="AK19" s="5">
        <f t="shared" si="18"/>
        <v>648</v>
      </c>
      <c r="AL19" s="5">
        <f t="shared" si="18"/>
        <v>666</v>
      </c>
      <c r="AM19" s="5">
        <f t="shared" si="18"/>
        <v>684</v>
      </c>
    </row>
    <row r="20">
      <c r="A20" s="2">
        <v>19.0</v>
      </c>
      <c r="B20" s="5">
        <f t="shared" ref="B20:AM20" si="19">B$1*$A20</f>
        <v>19</v>
      </c>
      <c r="C20" s="5">
        <f t="shared" si="19"/>
        <v>38</v>
      </c>
      <c r="D20" s="5">
        <f t="shared" si="19"/>
        <v>57</v>
      </c>
      <c r="E20" s="5">
        <f t="shared" si="19"/>
        <v>76</v>
      </c>
      <c r="F20" s="5">
        <f t="shared" si="19"/>
        <v>95</v>
      </c>
      <c r="G20" s="5">
        <f t="shared" si="19"/>
        <v>114</v>
      </c>
      <c r="H20" s="5">
        <f t="shared" si="19"/>
        <v>133</v>
      </c>
      <c r="I20" s="5">
        <f t="shared" si="19"/>
        <v>152</v>
      </c>
      <c r="J20" s="5">
        <f t="shared" si="19"/>
        <v>171</v>
      </c>
      <c r="K20" s="5">
        <f t="shared" si="19"/>
        <v>190</v>
      </c>
      <c r="L20" s="5">
        <f t="shared" si="19"/>
        <v>209</v>
      </c>
      <c r="M20" s="5">
        <f t="shared" si="19"/>
        <v>228</v>
      </c>
      <c r="N20" s="5">
        <f t="shared" si="19"/>
        <v>247</v>
      </c>
      <c r="O20" s="5">
        <f t="shared" si="19"/>
        <v>266</v>
      </c>
      <c r="P20" s="5">
        <f t="shared" si="19"/>
        <v>285</v>
      </c>
      <c r="Q20" s="5">
        <f t="shared" si="19"/>
        <v>304</v>
      </c>
      <c r="R20" s="5">
        <f t="shared" si="19"/>
        <v>323</v>
      </c>
      <c r="S20" s="5">
        <f t="shared" si="19"/>
        <v>342</v>
      </c>
      <c r="T20" s="5">
        <f t="shared" si="19"/>
        <v>361</v>
      </c>
      <c r="U20" s="5">
        <f t="shared" si="19"/>
        <v>380</v>
      </c>
      <c r="V20" s="5">
        <f t="shared" si="19"/>
        <v>399</v>
      </c>
      <c r="W20" s="5">
        <f t="shared" si="19"/>
        <v>418</v>
      </c>
      <c r="X20" s="5">
        <f t="shared" si="19"/>
        <v>437</v>
      </c>
      <c r="Y20" s="5">
        <f t="shared" si="19"/>
        <v>456</v>
      </c>
      <c r="Z20" s="5">
        <f t="shared" si="19"/>
        <v>475</v>
      </c>
      <c r="AA20" s="5">
        <f t="shared" si="19"/>
        <v>494</v>
      </c>
      <c r="AB20" s="5">
        <f t="shared" si="19"/>
        <v>513</v>
      </c>
      <c r="AC20" s="5">
        <f t="shared" si="19"/>
        <v>532</v>
      </c>
      <c r="AD20" s="5">
        <f t="shared" si="19"/>
        <v>551</v>
      </c>
      <c r="AE20" s="5">
        <f t="shared" si="19"/>
        <v>570</v>
      </c>
      <c r="AF20" s="5">
        <f t="shared" si="19"/>
        <v>589</v>
      </c>
      <c r="AG20" s="5">
        <f t="shared" si="19"/>
        <v>608</v>
      </c>
      <c r="AH20" s="5">
        <f t="shared" si="19"/>
        <v>627</v>
      </c>
      <c r="AI20" s="5">
        <f t="shared" si="19"/>
        <v>646</v>
      </c>
      <c r="AJ20" s="5">
        <f t="shared" si="19"/>
        <v>665</v>
      </c>
      <c r="AK20" s="5">
        <f t="shared" si="19"/>
        <v>684</v>
      </c>
      <c r="AL20" s="5">
        <f t="shared" si="19"/>
        <v>703</v>
      </c>
      <c r="AM20" s="5">
        <f t="shared" si="19"/>
        <v>722</v>
      </c>
    </row>
    <row r="21">
      <c r="A21" s="2">
        <v>20.0</v>
      </c>
      <c r="B21" s="5">
        <f t="shared" ref="B21:AM21" si="20">B$1*$A21</f>
        <v>20</v>
      </c>
      <c r="C21" s="5">
        <f t="shared" si="20"/>
        <v>40</v>
      </c>
      <c r="D21" s="5">
        <f t="shared" si="20"/>
        <v>60</v>
      </c>
      <c r="E21" s="5">
        <f t="shared" si="20"/>
        <v>80</v>
      </c>
      <c r="F21" s="5">
        <f t="shared" si="20"/>
        <v>100</v>
      </c>
      <c r="G21" s="5">
        <f t="shared" si="20"/>
        <v>120</v>
      </c>
      <c r="H21" s="5">
        <f t="shared" si="20"/>
        <v>140</v>
      </c>
      <c r="I21" s="5">
        <f t="shared" si="20"/>
        <v>160</v>
      </c>
      <c r="J21" s="5">
        <f t="shared" si="20"/>
        <v>180</v>
      </c>
      <c r="K21" s="5">
        <f t="shared" si="20"/>
        <v>200</v>
      </c>
      <c r="L21" s="5">
        <f t="shared" si="20"/>
        <v>220</v>
      </c>
      <c r="M21" s="5">
        <f t="shared" si="20"/>
        <v>240</v>
      </c>
      <c r="N21" s="5">
        <f t="shared" si="20"/>
        <v>260</v>
      </c>
      <c r="O21" s="5">
        <f t="shared" si="20"/>
        <v>280</v>
      </c>
      <c r="P21" s="5">
        <f t="shared" si="20"/>
        <v>300</v>
      </c>
      <c r="Q21" s="5">
        <f t="shared" si="20"/>
        <v>320</v>
      </c>
      <c r="R21" s="5">
        <f t="shared" si="20"/>
        <v>340</v>
      </c>
      <c r="S21" s="5">
        <f t="shared" si="20"/>
        <v>360</v>
      </c>
      <c r="T21" s="5">
        <f t="shared" si="20"/>
        <v>380</v>
      </c>
      <c r="U21" s="5">
        <f t="shared" si="20"/>
        <v>400</v>
      </c>
      <c r="V21" s="5">
        <f t="shared" si="20"/>
        <v>420</v>
      </c>
      <c r="W21" s="5">
        <f t="shared" si="20"/>
        <v>440</v>
      </c>
      <c r="X21" s="5">
        <f t="shared" si="20"/>
        <v>460</v>
      </c>
      <c r="Y21" s="5">
        <f t="shared" si="20"/>
        <v>480</v>
      </c>
      <c r="Z21" s="5">
        <f t="shared" si="20"/>
        <v>500</v>
      </c>
      <c r="AA21" s="5">
        <f t="shared" si="20"/>
        <v>520</v>
      </c>
      <c r="AB21" s="5">
        <f t="shared" si="20"/>
        <v>540</v>
      </c>
      <c r="AC21" s="5">
        <f t="shared" si="20"/>
        <v>560</v>
      </c>
      <c r="AD21" s="5">
        <f t="shared" si="20"/>
        <v>580</v>
      </c>
      <c r="AE21" s="5">
        <f t="shared" si="20"/>
        <v>600</v>
      </c>
      <c r="AF21" s="5">
        <f t="shared" si="20"/>
        <v>620</v>
      </c>
      <c r="AG21" s="5">
        <f t="shared" si="20"/>
        <v>640</v>
      </c>
      <c r="AH21" s="5">
        <f t="shared" si="20"/>
        <v>660</v>
      </c>
      <c r="AI21" s="5">
        <f t="shared" si="20"/>
        <v>680</v>
      </c>
      <c r="AJ21" s="5">
        <f t="shared" si="20"/>
        <v>700</v>
      </c>
      <c r="AK21" s="5">
        <f t="shared" si="20"/>
        <v>720</v>
      </c>
      <c r="AL21" s="5">
        <f t="shared" si="20"/>
        <v>740</v>
      </c>
      <c r="AM21" s="5">
        <f t="shared" si="20"/>
        <v>760</v>
      </c>
    </row>
    <row r="22">
      <c r="A22" s="17"/>
    </row>
    <row r="23">
      <c r="A23" s="17"/>
      <c r="B23" s="2">
        <v>1.0</v>
      </c>
      <c r="C23" s="2">
        <v>2.0</v>
      </c>
      <c r="D23" s="2">
        <v>3.0</v>
      </c>
      <c r="E23" s="2">
        <v>4.0</v>
      </c>
      <c r="F23" s="2">
        <v>5.0</v>
      </c>
      <c r="G23" s="2">
        <v>6.0</v>
      </c>
      <c r="H23" s="2">
        <v>7.0</v>
      </c>
      <c r="I23" s="2">
        <v>8.0</v>
      </c>
      <c r="J23" s="2">
        <v>9.0</v>
      </c>
      <c r="K23" s="2">
        <v>10.0</v>
      </c>
      <c r="L23" s="2">
        <v>11.0</v>
      </c>
      <c r="M23" s="2">
        <v>12.0</v>
      </c>
      <c r="N23" s="2">
        <v>13.0</v>
      </c>
      <c r="O23" s="2">
        <v>14.0</v>
      </c>
      <c r="P23" s="2">
        <v>15.0</v>
      </c>
      <c r="Q23" s="2">
        <v>16.0</v>
      </c>
      <c r="R23" s="2">
        <v>17.0</v>
      </c>
      <c r="S23" s="2">
        <v>18.0</v>
      </c>
      <c r="T23" s="2">
        <v>19.0</v>
      </c>
      <c r="U23" s="2">
        <v>20.0</v>
      </c>
      <c r="V23" s="2">
        <v>21.0</v>
      </c>
      <c r="W23" s="2">
        <v>22.0</v>
      </c>
      <c r="X23" s="2">
        <v>23.0</v>
      </c>
      <c r="Y23" s="2">
        <v>24.0</v>
      </c>
      <c r="Z23" s="2">
        <v>25.0</v>
      </c>
      <c r="AA23" s="2">
        <v>26.0</v>
      </c>
      <c r="AB23" s="2">
        <v>27.0</v>
      </c>
      <c r="AC23" s="2">
        <v>28.0</v>
      </c>
      <c r="AD23" s="2">
        <v>29.0</v>
      </c>
      <c r="AE23" s="2">
        <v>30.0</v>
      </c>
      <c r="AF23" s="2">
        <v>31.0</v>
      </c>
      <c r="AG23" s="2">
        <v>32.0</v>
      </c>
      <c r="AH23" s="2">
        <v>33.0</v>
      </c>
      <c r="AI23" s="2">
        <v>34.0</v>
      </c>
      <c r="AJ23" s="2">
        <v>35.0</v>
      </c>
      <c r="AK23" s="2">
        <v>36.0</v>
      </c>
      <c r="AL23" s="2">
        <v>37.0</v>
      </c>
      <c r="AM23" s="2">
        <v>38.0</v>
      </c>
    </row>
    <row r="24">
      <c r="A24" s="2">
        <v>1.0</v>
      </c>
      <c r="B24" s="5">
        <f t="shared" ref="B24:AM24" si="21">(38-B$1)*$A24+B$1*(20-$A24)</f>
        <v>56</v>
      </c>
      <c r="C24" s="5">
        <f t="shared" si="21"/>
        <v>74</v>
      </c>
      <c r="D24" s="5">
        <f t="shared" si="21"/>
        <v>92</v>
      </c>
      <c r="E24" s="5">
        <f t="shared" si="21"/>
        <v>110</v>
      </c>
      <c r="F24" s="5">
        <f t="shared" si="21"/>
        <v>128</v>
      </c>
      <c r="G24" s="5">
        <f t="shared" si="21"/>
        <v>146</v>
      </c>
      <c r="H24" s="5">
        <f t="shared" si="21"/>
        <v>164</v>
      </c>
      <c r="I24" s="5">
        <f t="shared" si="21"/>
        <v>182</v>
      </c>
      <c r="J24" s="5">
        <f t="shared" si="21"/>
        <v>200</v>
      </c>
      <c r="K24" s="5">
        <f t="shared" si="21"/>
        <v>218</v>
      </c>
      <c r="L24" s="5">
        <f t="shared" si="21"/>
        <v>236</v>
      </c>
      <c r="M24" s="5">
        <f t="shared" si="21"/>
        <v>254</v>
      </c>
      <c r="N24" s="5">
        <f t="shared" si="21"/>
        <v>272</v>
      </c>
      <c r="O24" s="5">
        <f t="shared" si="21"/>
        <v>290</v>
      </c>
      <c r="P24" s="5">
        <f t="shared" si="21"/>
        <v>308</v>
      </c>
      <c r="Q24" s="5">
        <f t="shared" si="21"/>
        <v>326</v>
      </c>
      <c r="R24" s="5">
        <f t="shared" si="21"/>
        <v>344</v>
      </c>
      <c r="S24" s="5">
        <f t="shared" si="21"/>
        <v>362</v>
      </c>
      <c r="T24" s="5">
        <f t="shared" si="21"/>
        <v>380</v>
      </c>
      <c r="U24" s="5">
        <f t="shared" si="21"/>
        <v>398</v>
      </c>
      <c r="V24" s="5">
        <f t="shared" si="21"/>
        <v>416</v>
      </c>
      <c r="W24" s="5">
        <f t="shared" si="21"/>
        <v>434</v>
      </c>
      <c r="X24" s="5">
        <f t="shared" si="21"/>
        <v>452</v>
      </c>
      <c r="Y24" s="5">
        <f t="shared" si="21"/>
        <v>470</v>
      </c>
      <c r="Z24" s="5">
        <f t="shared" si="21"/>
        <v>488</v>
      </c>
      <c r="AA24" s="5">
        <f t="shared" si="21"/>
        <v>506</v>
      </c>
      <c r="AB24" s="5">
        <f t="shared" si="21"/>
        <v>524</v>
      </c>
      <c r="AC24" s="5">
        <f t="shared" si="21"/>
        <v>542</v>
      </c>
      <c r="AD24" s="5">
        <f t="shared" si="21"/>
        <v>560</v>
      </c>
      <c r="AE24" s="5">
        <f t="shared" si="21"/>
        <v>578</v>
      </c>
      <c r="AF24" s="5">
        <f t="shared" si="21"/>
        <v>596</v>
      </c>
      <c r="AG24" s="5">
        <f t="shared" si="21"/>
        <v>614</v>
      </c>
      <c r="AH24" s="5">
        <f t="shared" si="21"/>
        <v>632</v>
      </c>
      <c r="AI24" s="5">
        <f t="shared" si="21"/>
        <v>650</v>
      </c>
      <c r="AJ24" s="5">
        <f t="shared" si="21"/>
        <v>668</v>
      </c>
      <c r="AK24" s="5">
        <f t="shared" si="21"/>
        <v>686</v>
      </c>
      <c r="AL24" s="5">
        <f t="shared" si="21"/>
        <v>704</v>
      </c>
      <c r="AM24" s="5">
        <f t="shared" si="21"/>
        <v>722</v>
      </c>
    </row>
    <row r="25">
      <c r="A25" s="2">
        <v>2.0</v>
      </c>
      <c r="B25" s="5">
        <f t="shared" ref="B25:AM25" si="22">(38-B$1)*$A25+B$1*(20-$A25)</f>
        <v>92</v>
      </c>
      <c r="C25" s="5">
        <f t="shared" si="22"/>
        <v>108</v>
      </c>
      <c r="D25" s="5">
        <f t="shared" si="22"/>
        <v>124</v>
      </c>
      <c r="E25" s="5">
        <f t="shared" si="22"/>
        <v>140</v>
      </c>
      <c r="F25" s="5">
        <f t="shared" si="22"/>
        <v>156</v>
      </c>
      <c r="G25" s="5">
        <f t="shared" si="22"/>
        <v>172</v>
      </c>
      <c r="H25" s="5">
        <f t="shared" si="22"/>
        <v>188</v>
      </c>
      <c r="I25" s="5">
        <f t="shared" si="22"/>
        <v>204</v>
      </c>
      <c r="J25" s="5">
        <f t="shared" si="22"/>
        <v>220</v>
      </c>
      <c r="K25" s="5">
        <f t="shared" si="22"/>
        <v>236</v>
      </c>
      <c r="L25" s="5">
        <f t="shared" si="22"/>
        <v>252</v>
      </c>
      <c r="M25" s="5">
        <f t="shared" si="22"/>
        <v>268</v>
      </c>
      <c r="N25" s="5">
        <f t="shared" si="22"/>
        <v>284</v>
      </c>
      <c r="O25" s="5">
        <f t="shared" si="22"/>
        <v>300</v>
      </c>
      <c r="P25" s="5">
        <f t="shared" si="22"/>
        <v>316</v>
      </c>
      <c r="Q25" s="5">
        <f t="shared" si="22"/>
        <v>332</v>
      </c>
      <c r="R25" s="5">
        <f t="shared" si="22"/>
        <v>348</v>
      </c>
      <c r="S25" s="5">
        <f t="shared" si="22"/>
        <v>364</v>
      </c>
      <c r="T25" s="5">
        <f t="shared" si="22"/>
        <v>380</v>
      </c>
      <c r="U25" s="5">
        <f t="shared" si="22"/>
        <v>396</v>
      </c>
      <c r="V25" s="5">
        <f t="shared" si="22"/>
        <v>412</v>
      </c>
      <c r="W25" s="5">
        <f t="shared" si="22"/>
        <v>428</v>
      </c>
      <c r="X25" s="5">
        <f t="shared" si="22"/>
        <v>444</v>
      </c>
      <c r="Y25" s="5">
        <f t="shared" si="22"/>
        <v>460</v>
      </c>
      <c r="Z25" s="5">
        <f t="shared" si="22"/>
        <v>476</v>
      </c>
      <c r="AA25" s="5">
        <f t="shared" si="22"/>
        <v>492</v>
      </c>
      <c r="AB25" s="5">
        <f t="shared" si="22"/>
        <v>508</v>
      </c>
      <c r="AC25" s="5">
        <f t="shared" si="22"/>
        <v>524</v>
      </c>
      <c r="AD25" s="5">
        <f t="shared" si="22"/>
        <v>540</v>
      </c>
      <c r="AE25" s="5">
        <f t="shared" si="22"/>
        <v>556</v>
      </c>
      <c r="AF25" s="5">
        <f t="shared" si="22"/>
        <v>572</v>
      </c>
      <c r="AG25" s="5">
        <f t="shared" si="22"/>
        <v>588</v>
      </c>
      <c r="AH25" s="5">
        <f t="shared" si="22"/>
        <v>604</v>
      </c>
      <c r="AI25" s="5">
        <f t="shared" si="22"/>
        <v>620</v>
      </c>
      <c r="AJ25" s="5">
        <f t="shared" si="22"/>
        <v>636</v>
      </c>
      <c r="AK25" s="5">
        <f t="shared" si="22"/>
        <v>652</v>
      </c>
      <c r="AL25" s="5">
        <f t="shared" si="22"/>
        <v>668</v>
      </c>
      <c r="AM25" s="5">
        <f t="shared" si="22"/>
        <v>684</v>
      </c>
    </row>
    <row r="26">
      <c r="A26" s="2">
        <v>3.0</v>
      </c>
      <c r="B26" s="5">
        <f t="shared" ref="B26:AM26" si="23">(38-B$1)*$A26+B$1*(20-$A26)</f>
        <v>128</v>
      </c>
      <c r="C26" s="5">
        <f t="shared" si="23"/>
        <v>142</v>
      </c>
      <c r="D26" s="5">
        <f t="shared" si="23"/>
        <v>156</v>
      </c>
      <c r="E26" s="5">
        <f t="shared" si="23"/>
        <v>170</v>
      </c>
      <c r="F26" s="5">
        <f t="shared" si="23"/>
        <v>184</v>
      </c>
      <c r="G26" s="5">
        <f t="shared" si="23"/>
        <v>198</v>
      </c>
      <c r="H26" s="5">
        <f t="shared" si="23"/>
        <v>212</v>
      </c>
      <c r="I26" s="5">
        <f t="shared" si="23"/>
        <v>226</v>
      </c>
      <c r="J26" s="5">
        <f t="shared" si="23"/>
        <v>240</v>
      </c>
      <c r="K26" s="5">
        <f t="shared" si="23"/>
        <v>254</v>
      </c>
      <c r="L26" s="5">
        <f t="shared" si="23"/>
        <v>268</v>
      </c>
      <c r="M26" s="5">
        <f t="shared" si="23"/>
        <v>282</v>
      </c>
      <c r="N26" s="5">
        <f t="shared" si="23"/>
        <v>296</v>
      </c>
      <c r="O26" s="5">
        <f t="shared" si="23"/>
        <v>310</v>
      </c>
      <c r="P26" s="5">
        <f t="shared" si="23"/>
        <v>324</v>
      </c>
      <c r="Q26" s="5">
        <f t="shared" si="23"/>
        <v>338</v>
      </c>
      <c r="R26" s="5">
        <f t="shared" si="23"/>
        <v>352</v>
      </c>
      <c r="S26" s="5">
        <f t="shared" si="23"/>
        <v>366</v>
      </c>
      <c r="T26" s="5">
        <f t="shared" si="23"/>
        <v>380</v>
      </c>
      <c r="U26" s="5">
        <f t="shared" si="23"/>
        <v>394</v>
      </c>
      <c r="V26" s="5">
        <f t="shared" si="23"/>
        <v>408</v>
      </c>
      <c r="W26" s="5">
        <f t="shared" si="23"/>
        <v>422</v>
      </c>
      <c r="X26" s="5">
        <f t="shared" si="23"/>
        <v>436</v>
      </c>
      <c r="Y26" s="5">
        <f t="shared" si="23"/>
        <v>450</v>
      </c>
      <c r="Z26" s="5">
        <f t="shared" si="23"/>
        <v>464</v>
      </c>
      <c r="AA26" s="5">
        <f t="shared" si="23"/>
        <v>478</v>
      </c>
      <c r="AB26" s="5">
        <f t="shared" si="23"/>
        <v>492</v>
      </c>
      <c r="AC26" s="5">
        <f t="shared" si="23"/>
        <v>506</v>
      </c>
      <c r="AD26" s="5">
        <f t="shared" si="23"/>
        <v>520</v>
      </c>
      <c r="AE26" s="5">
        <f t="shared" si="23"/>
        <v>534</v>
      </c>
      <c r="AF26" s="5">
        <f t="shared" si="23"/>
        <v>548</v>
      </c>
      <c r="AG26" s="5">
        <f t="shared" si="23"/>
        <v>562</v>
      </c>
      <c r="AH26" s="5">
        <f t="shared" si="23"/>
        <v>576</v>
      </c>
      <c r="AI26" s="5">
        <f t="shared" si="23"/>
        <v>590</v>
      </c>
      <c r="AJ26" s="5">
        <f t="shared" si="23"/>
        <v>604</v>
      </c>
      <c r="AK26" s="5">
        <f t="shared" si="23"/>
        <v>618</v>
      </c>
      <c r="AL26" s="5">
        <f t="shared" si="23"/>
        <v>632</v>
      </c>
      <c r="AM26" s="5">
        <f t="shared" si="23"/>
        <v>646</v>
      </c>
    </row>
    <row r="27">
      <c r="A27" s="2">
        <v>4.0</v>
      </c>
      <c r="B27" s="5">
        <f t="shared" ref="B27:AM27" si="24">(38-B$1)*$A27+B$1*(20-$A27)</f>
        <v>164</v>
      </c>
      <c r="C27" s="5">
        <f t="shared" si="24"/>
        <v>176</v>
      </c>
      <c r="D27" s="5">
        <f t="shared" si="24"/>
        <v>188</v>
      </c>
      <c r="E27" s="5">
        <f t="shared" si="24"/>
        <v>200</v>
      </c>
      <c r="F27" s="5">
        <f t="shared" si="24"/>
        <v>212</v>
      </c>
      <c r="G27" s="5">
        <f t="shared" si="24"/>
        <v>224</v>
      </c>
      <c r="H27" s="5">
        <f t="shared" si="24"/>
        <v>236</v>
      </c>
      <c r="I27" s="5">
        <f t="shared" si="24"/>
        <v>248</v>
      </c>
      <c r="J27" s="5">
        <f t="shared" si="24"/>
        <v>260</v>
      </c>
      <c r="K27" s="5">
        <f t="shared" si="24"/>
        <v>272</v>
      </c>
      <c r="L27" s="5">
        <f t="shared" si="24"/>
        <v>284</v>
      </c>
      <c r="M27" s="5">
        <f t="shared" si="24"/>
        <v>296</v>
      </c>
      <c r="N27" s="5">
        <f t="shared" si="24"/>
        <v>308</v>
      </c>
      <c r="O27" s="5">
        <f t="shared" si="24"/>
        <v>320</v>
      </c>
      <c r="P27" s="5">
        <f t="shared" si="24"/>
        <v>332</v>
      </c>
      <c r="Q27" s="5">
        <f t="shared" si="24"/>
        <v>344</v>
      </c>
      <c r="R27" s="5">
        <f t="shared" si="24"/>
        <v>356</v>
      </c>
      <c r="S27" s="5">
        <f t="shared" si="24"/>
        <v>368</v>
      </c>
      <c r="T27" s="5">
        <f t="shared" si="24"/>
        <v>380</v>
      </c>
      <c r="U27" s="5">
        <f t="shared" si="24"/>
        <v>392</v>
      </c>
      <c r="V27" s="5">
        <f t="shared" si="24"/>
        <v>404</v>
      </c>
      <c r="W27" s="5">
        <f t="shared" si="24"/>
        <v>416</v>
      </c>
      <c r="X27" s="5">
        <f t="shared" si="24"/>
        <v>428</v>
      </c>
      <c r="Y27" s="5">
        <f t="shared" si="24"/>
        <v>440</v>
      </c>
      <c r="Z27" s="5">
        <f t="shared" si="24"/>
        <v>452</v>
      </c>
      <c r="AA27" s="5">
        <f t="shared" si="24"/>
        <v>464</v>
      </c>
      <c r="AB27" s="5">
        <f t="shared" si="24"/>
        <v>476</v>
      </c>
      <c r="AC27" s="5">
        <f t="shared" si="24"/>
        <v>488</v>
      </c>
      <c r="AD27" s="5">
        <f t="shared" si="24"/>
        <v>500</v>
      </c>
      <c r="AE27" s="5">
        <f t="shared" si="24"/>
        <v>512</v>
      </c>
      <c r="AF27" s="5">
        <f t="shared" si="24"/>
        <v>524</v>
      </c>
      <c r="AG27" s="5">
        <f t="shared" si="24"/>
        <v>536</v>
      </c>
      <c r="AH27" s="5">
        <f t="shared" si="24"/>
        <v>548</v>
      </c>
      <c r="AI27" s="5">
        <f t="shared" si="24"/>
        <v>560</v>
      </c>
      <c r="AJ27" s="5">
        <f t="shared" si="24"/>
        <v>572</v>
      </c>
      <c r="AK27" s="5">
        <f t="shared" si="24"/>
        <v>584</v>
      </c>
      <c r="AL27" s="5">
        <f t="shared" si="24"/>
        <v>596</v>
      </c>
      <c r="AM27" s="5">
        <f t="shared" si="24"/>
        <v>608</v>
      </c>
    </row>
    <row r="28">
      <c r="A28" s="2">
        <v>5.0</v>
      </c>
      <c r="B28" s="5">
        <f t="shared" ref="B28:AM28" si="25">(38-B$1)*$A28+B$1*(20-$A28)</f>
        <v>200</v>
      </c>
      <c r="C28" s="5">
        <f t="shared" si="25"/>
        <v>210</v>
      </c>
      <c r="D28" s="5">
        <f t="shared" si="25"/>
        <v>220</v>
      </c>
      <c r="E28" s="5">
        <f t="shared" si="25"/>
        <v>230</v>
      </c>
      <c r="F28" s="5">
        <f t="shared" si="25"/>
        <v>240</v>
      </c>
      <c r="G28" s="5">
        <f t="shared" si="25"/>
        <v>250</v>
      </c>
      <c r="H28" s="5">
        <f t="shared" si="25"/>
        <v>260</v>
      </c>
      <c r="I28" s="5">
        <f t="shared" si="25"/>
        <v>270</v>
      </c>
      <c r="J28" s="5">
        <f t="shared" si="25"/>
        <v>280</v>
      </c>
      <c r="K28" s="5">
        <f t="shared" si="25"/>
        <v>290</v>
      </c>
      <c r="L28" s="5">
        <f t="shared" si="25"/>
        <v>300</v>
      </c>
      <c r="M28" s="5">
        <f t="shared" si="25"/>
        <v>310</v>
      </c>
      <c r="N28" s="5">
        <f t="shared" si="25"/>
        <v>320</v>
      </c>
      <c r="O28" s="24">
        <f t="shared" si="25"/>
        <v>330</v>
      </c>
      <c r="P28" s="5">
        <f t="shared" si="25"/>
        <v>340</v>
      </c>
      <c r="Q28" s="5">
        <f t="shared" si="25"/>
        <v>350</v>
      </c>
      <c r="R28" s="5">
        <f t="shared" si="25"/>
        <v>360</v>
      </c>
      <c r="S28" s="5">
        <f t="shared" si="25"/>
        <v>370</v>
      </c>
      <c r="T28" s="5">
        <f t="shared" si="25"/>
        <v>380</v>
      </c>
      <c r="U28" s="5">
        <f t="shared" si="25"/>
        <v>390</v>
      </c>
      <c r="V28" s="5">
        <f t="shared" si="25"/>
        <v>400</v>
      </c>
      <c r="W28" s="5">
        <f t="shared" si="25"/>
        <v>410</v>
      </c>
      <c r="X28" s="5">
        <f t="shared" si="25"/>
        <v>420</v>
      </c>
      <c r="Y28" s="5">
        <f t="shared" si="25"/>
        <v>430</v>
      </c>
      <c r="Z28" s="5">
        <f t="shared" si="25"/>
        <v>440</v>
      </c>
      <c r="AA28" s="5">
        <f t="shared" si="25"/>
        <v>450</v>
      </c>
      <c r="AB28" s="5">
        <f t="shared" si="25"/>
        <v>460</v>
      </c>
      <c r="AC28" s="5">
        <f t="shared" si="25"/>
        <v>470</v>
      </c>
      <c r="AD28" s="5">
        <f t="shared" si="25"/>
        <v>480</v>
      </c>
      <c r="AE28" s="5">
        <f t="shared" si="25"/>
        <v>490</v>
      </c>
      <c r="AF28" s="5">
        <f t="shared" si="25"/>
        <v>500</v>
      </c>
      <c r="AG28" s="5">
        <f t="shared" si="25"/>
        <v>510</v>
      </c>
      <c r="AH28" s="5">
        <f t="shared" si="25"/>
        <v>520</v>
      </c>
      <c r="AI28" s="5">
        <f t="shared" si="25"/>
        <v>530</v>
      </c>
      <c r="AJ28" s="5">
        <f t="shared" si="25"/>
        <v>540</v>
      </c>
      <c r="AK28" s="5">
        <f t="shared" si="25"/>
        <v>550</v>
      </c>
      <c r="AL28" s="5">
        <f t="shared" si="25"/>
        <v>560</v>
      </c>
      <c r="AM28" s="5">
        <f t="shared" si="25"/>
        <v>570</v>
      </c>
    </row>
    <row r="29">
      <c r="A29" s="2">
        <v>6.0</v>
      </c>
      <c r="B29" s="5">
        <f t="shared" ref="B29:AM29" si="26">(38-B$1)*$A29+B$1*(20-$A29)</f>
        <v>236</v>
      </c>
      <c r="C29" s="5">
        <f t="shared" si="26"/>
        <v>244</v>
      </c>
      <c r="D29" s="5">
        <f t="shared" si="26"/>
        <v>252</v>
      </c>
      <c r="E29" s="5">
        <f t="shared" si="26"/>
        <v>260</v>
      </c>
      <c r="F29" s="5">
        <f t="shared" si="26"/>
        <v>268</v>
      </c>
      <c r="G29" s="5">
        <f t="shared" si="26"/>
        <v>276</v>
      </c>
      <c r="H29" s="5">
        <f t="shared" si="26"/>
        <v>284</v>
      </c>
      <c r="I29" s="5">
        <f t="shared" si="26"/>
        <v>292</v>
      </c>
      <c r="J29" s="5">
        <f t="shared" si="26"/>
        <v>300</v>
      </c>
      <c r="K29" s="5">
        <f t="shared" si="26"/>
        <v>308</v>
      </c>
      <c r="L29" s="5">
        <f t="shared" si="26"/>
        <v>316</v>
      </c>
      <c r="M29" s="5">
        <f t="shared" si="26"/>
        <v>324</v>
      </c>
      <c r="N29" s="24">
        <f t="shared" si="26"/>
        <v>332</v>
      </c>
      <c r="O29" s="5">
        <f t="shared" si="26"/>
        <v>340</v>
      </c>
      <c r="P29" s="5">
        <f t="shared" si="26"/>
        <v>348</v>
      </c>
      <c r="Q29" s="5">
        <f t="shared" si="26"/>
        <v>356</v>
      </c>
      <c r="R29" s="5">
        <f t="shared" si="26"/>
        <v>364</v>
      </c>
      <c r="S29" s="5">
        <f t="shared" si="26"/>
        <v>372</v>
      </c>
      <c r="T29" s="5">
        <f t="shared" si="26"/>
        <v>380</v>
      </c>
      <c r="U29" s="5">
        <f t="shared" si="26"/>
        <v>388</v>
      </c>
      <c r="V29" s="5">
        <f t="shared" si="26"/>
        <v>396</v>
      </c>
      <c r="W29" s="5">
        <f t="shared" si="26"/>
        <v>404</v>
      </c>
      <c r="X29" s="5">
        <f t="shared" si="26"/>
        <v>412</v>
      </c>
      <c r="Y29" s="5">
        <f t="shared" si="26"/>
        <v>420</v>
      </c>
      <c r="Z29" s="5">
        <f t="shared" si="26"/>
        <v>428</v>
      </c>
      <c r="AA29" s="5">
        <f t="shared" si="26"/>
        <v>436</v>
      </c>
      <c r="AB29" s="5">
        <f t="shared" si="26"/>
        <v>444</v>
      </c>
      <c r="AC29" s="5">
        <f t="shared" si="26"/>
        <v>452</v>
      </c>
      <c r="AD29" s="5">
        <f t="shared" si="26"/>
        <v>460</v>
      </c>
      <c r="AE29" s="5">
        <f t="shared" si="26"/>
        <v>468</v>
      </c>
      <c r="AF29" s="5">
        <f t="shared" si="26"/>
        <v>476</v>
      </c>
      <c r="AG29" s="5">
        <f t="shared" si="26"/>
        <v>484</v>
      </c>
      <c r="AH29" s="5">
        <f t="shared" si="26"/>
        <v>492</v>
      </c>
      <c r="AI29" s="5">
        <f t="shared" si="26"/>
        <v>500</v>
      </c>
      <c r="AJ29" s="5">
        <f t="shared" si="26"/>
        <v>508</v>
      </c>
      <c r="AK29" s="5">
        <f t="shared" si="26"/>
        <v>516</v>
      </c>
      <c r="AL29" s="5">
        <f t="shared" si="26"/>
        <v>524</v>
      </c>
      <c r="AM29" s="5">
        <f t="shared" si="26"/>
        <v>532</v>
      </c>
    </row>
    <row r="30">
      <c r="A30" s="2">
        <v>7.0</v>
      </c>
      <c r="B30" s="5">
        <f t="shared" ref="B30:AM30" si="27">(38-B$1)*$A30+B$1*(20-$A30)</f>
        <v>272</v>
      </c>
      <c r="C30" s="5">
        <f t="shared" si="27"/>
        <v>278</v>
      </c>
      <c r="D30" s="5">
        <f t="shared" si="27"/>
        <v>284</v>
      </c>
      <c r="E30" s="5">
        <f t="shared" si="27"/>
        <v>290</v>
      </c>
      <c r="F30" s="5">
        <f t="shared" si="27"/>
        <v>296</v>
      </c>
      <c r="G30" s="5">
        <f t="shared" si="27"/>
        <v>302</v>
      </c>
      <c r="H30" s="5">
        <f t="shared" si="27"/>
        <v>308</v>
      </c>
      <c r="I30" s="5">
        <f t="shared" si="27"/>
        <v>314</v>
      </c>
      <c r="J30" s="5">
        <f t="shared" si="27"/>
        <v>320</v>
      </c>
      <c r="K30" s="5">
        <f t="shared" si="27"/>
        <v>326</v>
      </c>
      <c r="L30" s="24">
        <f t="shared" si="27"/>
        <v>332</v>
      </c>
      <c r="M30" s="5">
        <f t="shared" si="27"/>
        <v>338</v>
      </c>
      <c r="N30" s="5">
        <f t="shared" si="27"/>
        <v>344</v>
      </c>
      <c r="O30" s="5">
        <f t="shared" si="27"/>
        <v>350</v>
      </c>
      <c r="P30" s="5">
        <f t="shared" si="27"/>
        <v>356</v>
      </c>
      <c r="Q30" s="5">
        <f t="shared" si="27"/>
        <v>362</v>
      </c>
      <c r="R30" s="5">
        <f t="shared" si="27"/>
        <v>368</v>
      </c>
      <c r="S30" s="5">
        <f t="shared" si="27"/>
        <v>374</v>
      </c>
      <c r="T30" s="5">
        <f t="shared" si="27"/>
        <v>380</v>
      </c>
      <c r="U30" s="5">
        <f t="shared" si="27"/>
        <v>386</v>
      </c>
      <c r="V30" s="5">
        <f t="shared" si="27"/>
        <v>392</v>
      </c>
      <c r="W30" s="5">
        <f t="shared" si="27"/>
        <v>398</v>
      </c>
      <c r="X30" s="5">
        <f t="shared" si="27"/>
        <v>404</v>
      </c>
      <c r="Y30" s="5">
        <f t="shared" si="27"/>
        <v>410</v>
      </c>
      <c r="Z30" s="5">
        <f t="shared" si="27"/>
        <v>416</v>
      </c>
      <c r="AA30" s="5">
        <f t="shared" si="27"/>
        <v>422</v>
      </c>
      <c r="AB30" s="5">
        <f t="shared" si="27"/>
        <v>428</v>
      </c>
      <c r="AC30" s="5">
        <f t="shared" si="27"/>
        <v>434</v>
      </c>
      <c r="AD30" s="5">
        <f t="shared" si="27"/>
        <v>440</v>
      </c>
      <c r="AE30" s="5">
        <f t="shared" si="27"/>
        <v>446</v>
      </c>
      <c r="AF30" s="5">
        <f t="shared" si="27"/>
        <v>452</v>
      </c>
      <c r="AG30" s="5">
        <f t="shared" si="27"/>
        <v>458</v>
      </c>
      <c r="AH30" s="5">
        <f t="shared" si="27"/>
        <v>464</v>
      </c>
      <c r="AI30" s="5">
        <f t="shared" si="27"/>
        <v>470</v>
      </c>
      <c r="AJ30" s="5">
        <f t="shared" si="27"/>
        <v>476</v>
      </c>
      <c r="AK30" s="5">
        <f t="shared" si="27"/>
        <v>482</v>
      </c>
      <c r="AL30" s="5">
        <f t="shared" si="27"/>
        <v>488</v>
      </c>
      <c r="AM30" s="5">
        <f t="shared" si="27"/>
        <v>494</v>
      </c>
    </row>
    <row r="31">
      <c r="A31" s="2">
        <v>8.0</v>
      </c>
      <c r="B31" s="5">
        <f t="shared" ref="B31:AM31" si="28">(38-B$1)*$A31+B$1*(20-$A31)</f>
        <v>308</v>
      </c>
      <c r="C31" s="5">
        <f t="shared" si="28"/>
        <v>312</v>
      </c>
      <c r="D31" s="5">
        <f t="shared" si="28"/>
        <v>316</v>
      </c>
      <c r="E31" s="5">
        <f t="shared" si="28"/>
        <v>320</v>
      </c>
      <c r="F31" s="5">
        <f t="shared" si="28"/>
        <v>324</v>
      </c>
      <c r="G31" s="5">
        <f t="shared" si="28"/>
        <v>328</v>
      </c>
      <c r="H31" s="5">
        <f t="shared" si="28"/>
        <v>332</v>
      </c>
      <c r="I31" s="5">
        <f t="shared" si="28"/>
        <v>336</v>
      </c>
      <c r="J31" s="5">
        <f t="shared" si="28"/>
        <v>340</v>
      </c>
      <c r="K31" s="5">
        <f t="shared" si="28"/>
        <v>344</v>
      </c>
      <c r="L31" s="5">
        <f t="shared" si="28"/>
        <v>348</v>
      </c>
      <c r="M31" s="5">
        <f t="shared" si="28"/>
        <v>352</v>
      </c>
      <c r="N31" s="5">
        <f t="shared" si="28"/>
        <v>356</v>
      </c>
      <c r="O31" s="5">
        <f t="shared" si="28"/>
        <v>360</v>
      </c>
      <c r="P31" s="5">
        <f t="shared" si="28"/>
        <v>364</v>
      </c>
      <c r="Q31" s="5">
        <f t="shared" si="28"/>
        <v>368</v>
      </c>
      <c r="R31" s="5">
        <f t="shared" si="28"/>
        <v>372</v>
      </c>
      <c r="S31" s="5">
        <f t="shared" si="28"/>
        <v>376</v>
      </c>
      <c r="T31" s="5">
        <f t="shared" si="28"/>
        <v>380</v>
      </c>
      <c r="U31" s="5">
        <f t="shared" si="28"/>
        <v>384</v>
      </c>
      <c r="V31" s="5">
        <f t="shared" si="28"/>
        <v>388</v>
      </c>
      <c r="W31" s="5">
        <f t="shared" si="28"/>
        <v>392</v>
      </c>
      <c r="X31" s="5">
        <f t="shared" si="28"/>
        <v>396</v>
      </c>
      <c r="Y31" s="5">
        <f t="shared" si="28"/>
        <v>400</v>
      </c>
      <c r="Z31" s="5">
        <f t="shared" si="28"/>
        <v>404</v>
      </c>
      <c r="AA31" s="5">
        <f t="shared" si="28"/>
        <v>408</v>
      </c>
      <c r="AB31" s="5">
        <f t="shared" si="28"/>
        <v>412</v>
      </c>
      <c r="AC31" s="5">
        <f t="shared" si="28"/>
        <v>416</v>
      </c>
      <c r="AD31" s="5">
        <f t="shared" si="28"/>
        <v>420</v>
      </c>
      <c r="AE31" s="5">
        <f t="shared" si="28"/>
        <v>424</v>
      </c>
      <c r="AF31" s="5">
        <f t="shared" si="28"/>
        <v>428</v>
      </c>
      <c r="AG31" s="5">
        <f t="shared" si="28"/>
        <v>432</v>
      </c>
      <c r="AH31" s="5">
        <f t="shared" si="28"/>
        <v>436</v>
      </c>
      <c r="AI31" s="5">
        <f t="shared" si="28"/>
        <v>440</v>
      </c>
      <c r="AJ31" s="5">
        <f t="shared" si="28"/>
        <v>444</v>
      </c>
      <c r="AK31" s="5">
        <f t="shared" si="28"/>
        <v>448</v>
      </c>
      <c r="AL31" s="5">
        <f t="shared" si="28"/>
        <v>452</v>
      </c>
      <c r="AM31" s="5">
        <f t="shared" si="28"/>
        <v>456</v>
      </c>
    </row>
    <row r="32">
      <c r="A32" s="2">
        <v>9.0</v>
      </c>
      <c r="B32" s="5">
        <f t="shared" ref="B32:AM32" si="29">(38-B$1)*$A32+B$1*(20-$A32)</f>
        <v>344</v>
      </c>
      <c r="C32" s="5">
        <f t="shared" si="29"/>
        <v>346</v>
      </c>
      <c r="D32" s="5">
        <f t="shared" si="29"/>
        <v>348</v>
      </c>
      <c r="E32" s="5">
        <f t="shared" si="29"/>
        <v>350</v>
      </c>
      <c r="F32" s="5">
        <f t="shared" si="29"/>
        <v>352</v>
      </c>
      <c r="G32" s="5">
        <f t="shared" si="29"/>
        <v>354</v>
      </c>
      <c r="H32" s="5">
        <f t="shared" si="29"/>
        <v>356</v>
      </c>
      <c r="I32" s="5">
        <f t="shared" si="29"/>
        <v>358</v>
      </c>
      <c r="J32" s="5">
        <f t="shared" si="29"/>
        <v>360</v>
      </c>
      <c r="K32" s="5">
        <f t="shared" si="29"/>
        <v>362</v>
      </c>
      <c r="L32" s="5">
        <f t="shared" si="29"/>
        <v>364</v>
      </c>
      <c r="M32" s="5">
        <f t="shared" si="29"/>
        <v>366</v>
      </c>
      <c r="N32" s="5">
        <f t="shared" si="29"/>
        <v>368</v>
      </c>
      <c r="O32" s="5">
        <f t="shared" si="29"/>
        <v>370</v>
      </c>
      <c r="P32" s="5">
        <f t="shared" si="29"/>
        <v>372</v>
      </c>
      <c r="Q32" s="5">
        <f t="shared" si="29"/>
        <v>374</v>
      </c>
      <c r="R32" s="5">
        <f t="shared" si="29"/>
        <v>376</v>
      </c>
      <c r="S32" s="5">
        <f t="shared" si="29"/>
        <v>378</v>
      </c>
      <c r="T32" s="5">
        <f t="shared" si="29"/>
        <v>380</v>
      </c>
      <c r="U32" s="5">
        <f t="shared" si="29"/>
        <v>382</v>
      </c>
      <c r="V32" s="5">
        <f t="shared" si="29"/>
        <v>384</v>
      </c>
      <c r="W32" s="5">
        <f t="shared" si="29"/>
        <v>386</v>
      </c>
      <c r="X32" s="5">
        <f t="shared" si="29"/>
        <v>388</v>
      </c>
      <c r="Y32" s="5">
        <f t="shared" si="29"/>
        <v>390</v>
      </c>
      <c r="Z32" s="5">
        <f t="shared" si="29"/>
        <v>392</v>
      </c>
      <c r="AA32" s="5">
        <f t="shared" si="29"/>
        <v>394</v>
      </c>
      <c r="AB32" s="5">
        <f t="shared" si="29"/>
        <v>396</v>
      </c>
      <c r="AC32" s="5">
        <f t="shared" si="29"/>
        <v>398</v>
      </c>
      <c r="AD32" s="5">
        <f t="shared" si="29"/>
        <v>400</v>
      </c>
      <c r="AE32" s="5">
        <f t="shared" si="29"/>
        <v>402</v>
      </c>
      <c r="AF32" s="5">
        <f t="shared" si="29"/>
        <v>404</v>
      </c>
      <c r="AG32" s="5">
        <f t="shared" si="29"/>
        <v>406</v>
      </c>
      <c r="AH32" s="5">
        <f t="shared" si="29"/>
        <v>408</v>
      </c>
      <c r="AI32" s="5">
        <f t="shared" si="29"/>
        <v>410</v>
      </c>
      <c r="AJ32" s="5">
        <f t="shared" si="29"/>
        <v>412</v>
      </c>
      <c r="AK32" s="5">
        <f t="shared" si="29"/>
        <v>414</v>
      </c>
      <c r="AL32" s="5">
        <f t="shared" si="29"/>
        <v>416</v>
      </c>
      <c r="AM32" s="5">
        <f t="shared" si="29"/>
        <v>418</v>
      </c>
    </row>
    <row r="33">
      <c r="A33" s="2">
        <v>10.0</v>
      </c>
      <c r="B33" s="5">
        <f t="shared" ref="B33:AM33" si="30">(38-B$1)*$A33+B$1*(20-$A33)</f>
        <v>380</v>
      </c>
      <c r="C33" s="5">
        <f t="shared" si="30"/>
        <v>380</v>
      </c>
      <c r="D33" s="5">
        <f t="shared" si="30"/>
        <v>380</v>
      </c>
      <c r="E33" s="5">
        <f t="shared" si="30"/>
        <v>380</v>
      </c>
      <c r="F33" s="5">
        <f t="shared" si="30"/>
        <v>380</v>
      </c>
      <c r="G33" s="5">
        <f t="shared" si="30"/>
        <v>380</v>
      </c>
      <c r="H33" s="5">
        <f t="shared" si="30"/>
        <v>380</v>
      </c>
      <c r="I33" s="5">
        <f t="shared" si="30"/>
        <v>380</v>
      </c>
      <c r="J33" s="5">
        <f t="shared" si="30"/>
        <v>380</v>
      </c>
      <c r="K33" s="5">
        <f t="shared" si="30"/>
        <v>380</v>
      </c>
      <c r="L33" s="5">
        <f t="shared" si="30"/>
        <v>380</v>
      </c>
      <c r="M33" s="5">
        <f t="shared" si="30"/>
        <v>380</v>
      </c>
      <c r="N33" s="5">
        <f t="shared" si="30"/>
        <v>380</v>
      </c>
      <c r="O33" s="5">
        <f t="shared" si="30"/>
        <v>380</v>
      </c>
      <c r="P33" s="5">
        <f t="shared" si="30"/>
        <v>380</v>
      </c>
      <c r="Q33" s="5">
        <f t="shared" si="30"/>
        <v>380</v>
      </c>
      <c r="R33" s="5">
        <f t="shared" si="30"/>
        <v>380</v>
      </c>
      <c r="S33" s="5">
        <f t="shared" si="30"/>
        <v>380</v>
      </c>
      <c r="T33" s="5">
        <f t="shared" si="30"/>
        <v>380</v>
      </c>
      <c r="U33" s="5">
        <f t="shared" si="30"/>
        <v>380</v>
      </c>
      <c r="V33" s="5">
        <f t="shared" si="30"/>
        <v>380</v>
      </c>
      <c r="W33" s="5">
        <f t="shared" si="30"/>
        <v>380</v>
      </c>
      <c r="X33" s="5">
        <f t="shared" si="30"/>
        <v>380</v>
      </c>
      <c r="Y33" s="5">
        <f t="shared" si="30"/>
        <v>380</v>
      </c>
      <c r="Z33" s="5">
        <f t="shared" si="30"/>
        <v>380</v>
      </c>
      <c r="AA33" s="5">
        <f t="shared" si="30"/>
        <v>380</v>
      </c>
      <c r="AB33" s="5">
        <f t="shared" si="30"/>
        <v>380</v>
      </c>
      <c r="AC33" s="5">
        <f t="shared" si="30"/>
        <v>380</v>
      </c>
      <c r="AD33" s="5">
        <f t="shared" si="30"/>
        <v>380</v>
      </c>
      <c r="AE33" s="5">
        <f t="shared" si="30"/>
        <v>380</v>
      </c>
      <c r="AF33" s="5">
        <f t="shared" si="30"/>
        <v>380</v>
      </c>
      <c r="AG33" s="5">
        <f t="shared" si="30"/>
        <v>380</v>
      </c>
      <c r="AH33" s="5">
        <f t="shared" si="30"/>
        <v>380</v>
      </c>
      <c r="AI33" s="5">
        <f t="shared" si="30"/>
        <v>380</v>
      </c>
      <c r="AJ33" s="5">
        <f t="shared" si="30"/>
        <v>380</v>
      </c>
      <c r="AK33" s="5">
        <f t="shared" si="30"/>
        <v>380</v>
      </c>
      <c r="AL33" s="5">
        <f t="shared" si="30"/>
        <v>380</v>
      </c>
      <c r="AM33" s="5">
        <f t="shared" si="30"/>
        <v>380</v>
      </c>
    </row>
    <row r="34">
      <c r="A34" s="2">
        <v>11.0</v>
      </c>
      <c r="B34" s="5">
        <f t="shared" ref="B34:AM34" si="31">(38-B$1)*$A34+B$1*(20-$A34)</f>
        <v>416</v>
      </c>
      <c r="C34" s="5">
        <f t="shared" si="31"/>
        <v>414</v>
      </c>
      <c r="D34" s="5">
        <f t="shared" si="31"/>
        <v>412</v>
      </c>
      <c r="E34" s="5">
        <f t="shared" si="31"/>
        <v>410</v>
      </c>
      <c r="F34" s="5">
        <f t="shared" si="31"/>
        <v>408</v>
      </c>
      <c r="G34" s="5">
        <f t="shared" si="31"/>
        <v>406</v>
      </c>
      <c r="H34" s="5">
        <f t="shared" si="31"/>
        <v>404</v>
      </c>
      <c r="I34" s="5">
        <f t="shared" si="31"/>
        <v>402</v>
      </c>
      <c r="J34" s="5">
        <f t="shared" si="31"/>
        <v>400</v>
      </c>
      <c r="K34" s="5">
        <f t="shared" si="31"/>
        <v>398</v>
      </c>
      <c r="L34" s="5">
        <f t="shared" si="31"/>
        <v>396</v>
      </c>
      <c r="M34" s="5">
        <f t="shared" si="31"/>
        <v>394</v>
      </c>
      <c r="N34" s="5">
        <f t="shared" si="31"/>
        <v>392</v>
      </c>
      <c r="O34" s="5">
        <f t="shared" si="31"/>
        <v>390</v>
      </c>
      <c r="P34" s="5">
        <f t="shared" si="31"/>
        <v>388</v>
      </c>
      <c r="Q34" s="5">
        <f t="shared" si="31"/>
        <v>386</v>
      </c>
      <c r="R34" s="5">
        <f t="shared" si="31"/>
        <v>384</v>
      </c>
      <c r="S34" s="5">
        <f t="shared" si="31"/>
        <v>382</v>
      </c>
      <c r="T34" s="5">
        <f t="shared" si="31"/>
        <v>380</v>
      </c>
      <c r="U34" s="5">
        <f t="shared" si="31"/>
        <v>378</v>
      </c>
      <c r="V34" s="5">
        <f t="shared" si="31"/>
        <v>376</v>
      </c>
      <c r="W34" s="5">
        <f t="shared" si="31"/>
        <v>374</v>
      </c>
      <c r="X34" s="5">
        <f t="shared" si="31"/>
        <v>372</v>
      </c>
      <c r="Y34" s="5">
        <f t="shared" si="31"/>
        <v>370</v>
      </c>
      <c r="Z34" s="5">
        <f t="shared" si="31"/>
        <v>368</v>
      </c>
      <c r="AA34" s="5">
        <f t="shared" si="31"/>
        <v>366</v>
      </c>
      <c r="AB34" s="5">
        <f t="shared" si="31"/>
        <v>364</v>
      </c>
      <c r="AC34" s="5">
        <f t="shared" si="31"/>
        <v>362</v>
      </c>
      <c r="AD34" s="5">
        <f t="shared" si="31"/>
        <v>360</v>
      </c>
      <c r="AE34" s="5">
        <f t="shared" si="31"/>
        <v>358</v>
      </c>
      <c r="AF34" s="5">
        <f t="shared" si="31"/>
        <v>356</v>
      </c>
      <c r="AG34" s="5">
        <f t="shared" si="31"/>
        <v>354</v>
      </c>
      <c r="AH34" s="5">
        <f t="shared" si="31"/>
        <v>352</v>
      </c>
      <c r="AI34" s="5">
        <f t="shared" si="31"/>
        <v>350</v>
      </c>
      <c r="AJ34" s="5">
        <f t="shared" si="31"/>
        <v>348</v>
      </c>
      <c r="AK34" s="5">
        <f t="shared" si="31"/>
        <v>346</v>
      </c>
      <c r="AL34" s="5">
        <f t="shared" si="31"/>
        <v>344</v>
      </c>
      <c r="AM34" s="5">
        <f t="shared" si="31"/>
        <v>342</v>
      </c>
    </row>
    <row r="35">
      <c r="A35" s="2">
        <v>12.0</v>
      </c>
      <c r="B35" s="5">
        <f t="shared" ref="B35:AM35" si="32">(38-B$1)*$A35+B$1*(20-$A35)</f>
        <v>452</v>
      </c>
      <c r="C35" s="5">
        <f t="shared" si="32"/>
        <v>448</v>
      </c>
      <c r="D35" s="5">
        <f t="shared" si="32"/>
        <v>444</v>
      </c>
      <c r="E35" s="5">
        <f t="shared" si="32"/>
        <v>440</v>
      </c>
      <c r="F35" s="5">
        <f t="shared" si="32"/>
        <v>436</v>
      </c>
      <c r="G35" s="5">
        <f t="shared" si="32"/>
        <v>432</v>
      </c>
      <c r="H35" s="5">
        <f t="shared" si="32"/>
        <v>428</v>
      </c>
      <c r="I35" s="5">
        <f t="shared" si="32"/>
        <v>424</v>
      </c>
      <c r="J35" s="5">
        <f t="shared" si="32"/>
        <v>420</v>
      </c>
      <c r="K35" s="5">
        <f t="shared" si="32"/>
        <v>416</v>
      </c>
      <c r="L35" s="5">
        <f t="shared" si="32"/>
        <v>412</v>
      </c>
      <c r="M35" s="5">
        <f t="shared" si="32"/>
        <v>408</v>
      </c>
      <c r="N35" s="5">
        <f t="shared" si="32"/>
        <v>404</v>
      </c>
      <c r="O35" s="5">
        <f t="shared" si="32"/>
        <v>400</v>
      </c>
      <c r="P35" s="5">
        <f t="shared" si="32"/>
        <v>396</v>
      </c>
      <c r="Q35" s="5">
        <f t="shared" si="32"/>
        <v>392</v>
      </c>
      <c r="R35" s="5">
        <f t="shared" si="32"/>
        <v>388</v>
      </c>
      <c r="S35" s="5">
        <f t="shared" si="32"/>
        <v>384</v>
      </c>
      <c r="T35" s="5">
        <f t="shared" si="32"/>
        <v>380</v>
      </c>
      <c r="U35" s="5">
        <f t="shared" si="32"/>
        <v>376</v>
      </c>
      <c r="V35" s="5">
        <f t="shared" si="32"/>
        <v>372</v>
      </c>
      <c r="W35" s="5">
        <f t="shared" si="32"/>
        <v>368</v>
      </c>
      <c r="X35" s="5">
        <f t="shared" si="32"/>
        <v>364</v>
      </c>
      <c r="Y35" s="5">
        <f t="shared" si="32"/>
        <v>360</v>
      </c>
      <c r="Z35" s="5">
        <f t="shared" si="32"/>
        <v>356</v>
      </c>
      <c r="AA35" s="5">
        <f t="shared" si="32"/>
        <v>352</v>
      </c>
      <c r="AB35" s="5">
        <f t="shared" si="32"/>
        <v>348</v>
      </c>
      <c r="AC35" s="5">
        <f t="shared" si="32"/>
        <v>344</v>
      </c>
      <c r="AD35" s="5">
        <f t="shared" si="32"/>
        <v>340</v>
      </c>
      <c r="AE35" s="5">
        <f t="shared" si="32"/>
        <v>336</v>
      </c>
      <c r="AF35" s="5">
        <f t="shared" si="32"/>
        <v>332</v>
      </c>
      <c r="AG35" s="5">
        <f t="shared" si="32"/>
        <v>328</v>
      </c>
      <c r="AH35" s="5">
        <f t="shared" si="32"/>
        <v>324</v>
      </c>
      <c r="AI35" s="5">
        <f t="shared" si="32"/>
        <v>320</v>
      </c>
      <c r="AJ35" s="5">
        <f t="shared" si="32"/>
        <v>316</v>
      </c>
      <c r="AK35" s="5">
        <f t="shared" si="32"/>
        <v>312</v>
      </c>
      <c r="AL35" s="5">
        <f t="shared" si="32"/>
        <v>308</v>
      </c>
      <c r="AM35" s="5">
        <f t="shared" si="32"/>
        <v>304</v>
      </c>
    </row>
    <row r="36">
      <c r="A36" s="2">
        <v>13.0</v>
      </c>
      <c r="B36" s="5">
        <f t="shared" ref="B36:AM36" si="33">(38-B$1)*$A36+B$1*(20-$A36)</f>
        <v>488</v>
      </c>
      <c r="C36" s="5">
        <f t="shared" si="33"/>
        <v>482</v>
      </c>
      <c r="D36" s="5">
        <f t="shared" si="33"/>
        <v>476</v>
      </c>
      <c r="E36" s="5">
        <f t="shared" si="33"/>
        <v>470</v>
      </c>
      <c r="F36" s="5">
        <f t="shared" si="33"/>
        <v>464</v>
      </c>
      <c r="G36" s="5">
        <f t="shared" si="33"/>
        <v>458</v>
      </c>
      <c r="H36" s="5">
        <f t="shared" si="33"/>
        <v>452</v>
      </c>
      <c r="I36" s="5">
        <f t="shared" si="33"/>
        <v>446</v>
      </c>
      <c r="J36" s="5">
        <f t="shared" si="33"/>
        <v>440</v>
      </c>
      <c r="K36" s="5">
        <f t="shared" si="33"/>
        <v>434</v>
      </c>
      <c r="L36" s="5">
        <f t="shared" si="33"/>
        <v>428</v>
      </c>
      <c r="M36" s="5">
        <f t="shared" si="33"/>
        <v>422</v>
      </c>
      <c r="N36" s="5">
        <f t="shared" si="33"/>
        <v>416</v>
      </c>
      <c r="O36" s="5">
        <f t="shared" si="33"/>
        <v>410</v>
      </c>
      <c r="P36" s="5">
        <f t="shared" si="33"/>
        <v>404</v>
      </c>
      <c r="Q36" s="5">
        <f t="shared" si="33"/>
        <v>398</v>
      </c>
      <c r="R36" s="5">
        <f t="shared" si="33"/>
        <v>392</v>
      </c>
      <c r="S36" s="5">
        <f t="shared" si="33"/>
        <v>386</v>
      </c>
      <c r="T36" s="5">
        <f t="shared" si="33"/>
        <v>380</v>
      </c>
      <c r="U36" s="5">
        <f t="shared" si="33"/>
        <v>374</v>
      </c>
      <c r="V36" s="5">
        <f t="shared" si="33"/>
        <v>368</v>
      </c>
      <c r="W36" s="5">
        <f t="shared" si="33"/>
        <v>362</v>
      </c>
      <c r="X36" s="5">
        <f t="shared" si="33"/>
        <v>356</v>
      </c>
      <c r="Y36" s="5">
        <f t="shared" si="33"/>
        <v>350</v>
      </c>
      <c r="Z36" s="5">
        <f t="shared" si="33"/>
        <v>344</v>
      </c>
      <c r="AA36" s="5">
        <f t="shared" si="33"/>
        <v>338</v>
      </c>
      <c r="AB36" s="24">
        <f t="shared" si="33"/>
        <v>332</v>
      </c>
      <c r="AC36" s="5">
        <f t="shared" si="33"/>
        <v>326</v>
      </c>
      <c r="AD36" s="5">
        <f t="shared" si="33"/>
        <v>320</v>
      </c>
      <c r="AE36" s="5">
        <f t="shared" si="33"/>
        <v>314</v>
      </c>
      <c r="AF36" s="5">
        <f t="shared" si="33"/>
        <v>308</v>
      </c>
      <c r="AG36" s="5">
        <f t="shared" si="33"/>
        <v>302</v>
      </c>
      <c r="AH36" s="5">
        <f t="shared" si="33"/>
        <v>296</v>
      </c>
      <c r="AI36" s="5">
        <f t="shared" si="33"/>
        <v>290</v>
      </c>
      <c r="AJ36" s="5">
        <f t="shared" si="33"/>
        <v>284</v>
      </c>
      <c r="AK36" s="5">
        <f t="shared" si="33"/>
        <v>278</v>
      </c>
      <c r="AL36" s="5">
        <f t="shared" si="33"/>
        <v>272</v>
      </c>
      <c r="AM36" s="5">
        <f t="shared" si="33"/>
        <v>266</v>
      </c>
    </row>
    <row r="37">
      <c r="A37" s="2">
        <v>14.0</v>
      </c>
      <c r="B37" s="5">
        <f t="shared" ref="B37:AM37" si="34">(38-B$1)*$A37+B$1*(20-$A37)</f>
        <v>524</v>
      </c>
      <c r="C37" s="5">
        <f t="shared" si="34"/>
        <v>516</v>
      </c>
      <c r="D37" s="5">
        <f t="shared" si="34"/>
        <v>508</v>
      </c>
      <c r="E37" s="5">
        <f t="shared" si="34"/>
        <v>500</v>
      </c>
      <c r="F37" s="5">
        <f t="shared" si="34"/>
        <v>492</v>
      </c>
      <c r="G37" s="5">
        <f t="shared" si="34"/>
        <v>484</v>
      </c>
      <c r="H37" s="5">
        <f t="shared" si="34"/>
        <v>476</v>
      </c>
      <c r="I37" s="5">
        <f t="shared" si="34"/>
        <v>468</v>
      </c>
      <c r="J37" s="5">
        <f t="shared" si="34"/>
        <v>460</v>
      </c>
      <c r="K37" s="5">
        <f t="shared" si="34"/>
        <v>452</v>
      </c>
      <c r="L37" s="5">
        <f t="shared" si="34"/>
        <v>444</v>
      </c>
      <c r="M37" s="5">
        <f t="shared" si="34"/>
        <v>436</v>
      </c>
      <c r="N37" s="5">
        <f t="shared" si="34"/>
        <v>428</v>
      </c>
      <c r="O37" s="5">
        <f t="shared" si="34"/>
        <v>420</v>
      </c>
      <c r="P37" s="5">
        <f t="shared" si="34"/>
        <v>412</v>
      </c>
      <c r="Q37" s="5">
        <f t="shared" si="34"/>
        <v>404</v>
      </c>
      <c r="R37" s="5">
        <f t="shared" si="34"/>
        <v>396</v>
      </c>
      <c r="S37" s="5">
        <f t="shared" si="34"/>
        <v>388</v>
      </c>
      <c r="T37" s="5">
        <f t="shared" si="34"/>
        <v>380</v>
      </c>
      <c r="U37" s="5">
        <f t="shared" si="34"/>
        <v>372</v>
      </c>
      <c r="V37" s="5">
        <f t="shared" si="34"/>
        <v>364</v>
      </c>
      <c r="W37" s="5">
        <f t="shared" si="34"/>
        <v>356</v>
      </c>
      <c r="X37" s="5">
        <f t="shared" si="34"/>
        <v>348</v>
      </c>
      <c r="Y37" s="5">
        <f t="shared" si="34"/>
        <v>340</v>
      </c>
      <c r="Z37" s="24">
        <f t="shared" si="34"/>
        <v>332</v>
      </c>
      <c r="AA37" s="5">
        <f t="shared" si="34"/>
        <v>324</v>
      </c>
      <c r="AB37" s="5">
        <f t="shared" si="34"/>
        <v>316</v>
      </c>
      <c r="AC37" s="5">
        <f t="shared" si="34"/>
        <v>308</v>
      </c>
      <c r="AD37" s="5">
        <f t="shared" si="34"/>
        <v>300</v>
      </c>
      <c r="AE37" s="5">
        <f t="shared" si="34"/>
        <v>292</v>
      </c>
      <c r="AF37" s="5">
        <f t="shared" si="34"/>
        <v>284</v>
      </c>
      <c r="AG37" s="5">
        <f t="shared" si="34"/>
        <v>276</v>
      </c>
      <c r="AH37" s="5">
        <f t="shared" si="34"/>
        <v>268</v>
      </c>
      <c r="AI37" s="5">
        <f t="shared" si="34"/>
        <v>260</v>
      </c>
      <c r="AJ37" s="5">
        <f t="shared" si="34"/>
        <v>252</v>
      </c>
      <c r="AK37" s="5">
        <f t="shared" si="34"/>
        <v>244</v>
      </c>
      <c r="AL37" s="5">
        <f t="shared" si="34"/>
        <v>236</v>
      </c>
      <c r="AM37" s="5">
        <f t="shared" si="34"/>
        <v>228</v>
      </c>
    </row>
    <row r="38">
      <c r="A38" s="2">
        <v>15.0</v>
      </c>
      <c r="B38" s="5">
        <f t="shared" ref="B38:AM38" si="35">(38-B$1)*$A38+B$1*(20-$A38)</f>
        <v>560</v>
      </c>
      <c r="C38" s="5">
        <f t="shared" si="35"/>
        <v>550</v>
      </c>
      <c r="D38" s="5">
        <f t="shared" si="35"/>
        <v>540</v>
      </c>
      <c r="E38" s="5">
        <f t="shared" si="35"/>
        <v>530</v>
      </c>
      <c r="F38" s="5">
        <f t="shared" si="35"/>
        <v>520</v>
      </c>
      <c r="G38" s="5">
        <f t="shared" si="35"/>
        <v>510</v>
      </c>
      <c r="H38" s="5">
        <f t="shared" si="35"/>
        <v>500</v>
      </c>
      <c r="I38" s="5">
        <f t="shared" si="35"/>
        <v>490</v>
      </c>
      <c r="J38" s="5">
        <f t="shared" si="35"/>
        <v>480</v>
      </c>
      <c r="K38" s="5">
        <f t="shared" si="35"/>
        <v>470</v>
      </c>
      <c r="L38" s="5">
        <f t="shared" si="35"/>
        <v>460</v>
      </c>
      <c r="M38" s="5">
        <f t="shared" si="35"/>
        <v>450</v>
      </c>
      <c r="N38" s="5">
        <f t="shared" si="35"/>
        <v>440</v>
      </c>
      <c r="O38" s="5">
        <f t="shared" si="35"/>
        <v>430</v>
      </c>
      <c r="P38" s="5">
        <f t="shared" si="35"/>
        <v>420</v>
      </c>
      <c r="Q38" s="5">
        <f t="shared" si="35"/>
        <v>410</v>
      </c>
      <c r="R38" s="5">
        <f t="shared" si="35"/>
        <v>400</v>
      </c>
      <c r="S38" s="5">
        <f t="shared" si="35"/>
        <v>390</v>
      </c>
      <c r="T38" s="5">
        <f t="shared" si="35"/>
        <v>380</v>
      </c>
      <c r="U38" s="5">
        <f t="shared" si="35"/>
        <v>370</v>
      </c>
      <c r="V38" s="5">
        <f t="shared" si="35"/>
        <v>360</v>
      </c>
      <c r="W38" s="5">
        <f t="shared" si="35"/>
        <v>350</v>
      </c>
      <c r="X38" s="5">
        <f t="shared" si="35"/>
        <v>340</v>
      </c>
      <c r="Y38" s="24">
        <f t="shared" si="35"/>
        <v>330</v>
      </c>
      <c r="Z38" s="5">
        <f t="shared" si="35"/>
        <v>320</v>
      </c>
      <c r="AA38" s="5">
        <f t="shared" si="35"/>
        <v>310</v>
      </c>
      <c r="AB38" s="5">
        <f t="shared" si="35"/>
        <v>300</v>
      </c>
      <c r="AC38" s="5">
        <f t="shared" si="35"/>
        <v>290</v>
      </c>
      <c r="AD38" s="5">
        <f t="shared" si="35"/>
        <v>280</v>
      </c>
      <c r="AE38" s="5">
        <f t="shared" si="35"/>
        <v>270</v>
      </c>
      <c r="AF38" s="5">
        <f t="shared" si="35"/>
        <v>260</v>
      </c>
      <c r="AG38" s="5">
        <f t="shared" si="35"/>
        <v>250</v>
      </c>
      <c r="AH38" s="5">
        <f t="shared" si="35"/>
        <v>240</v>
      </c>
      <c r="AI38" s="5">
        <f t="shared" si="35"/>
        <v>230</v>
      </c>
      <c r="AJ38" s="5">
        <f t="shared" si="35"/>
        <v>220</v>
      </c>
      <c r="AK38" s="5">
        <f t="shared" si="35"/>
        <v>210</v>
      </c>
      <c r="AL38" s="5">
        <f t="shared" si="35"/>
        <v>200</v>
      </c>
      <c r="AM38" s="5">
        <f t="shared" si="35"/>
        <v>190</v>
      </c>
    </row>
    <row r="39">
      <c r="A39" s="2">
        <v>16.0</v>
      </c>
      <c r="B39" s="5">
        <f t="shared" ref="B39:AM39" si="36">(38-B$1)*$A39+B$1*(20-$A39)</f>
        <v>596</v>
      </c>
      <c r="C39" s="5">
        <f t="shared" si="36"/>
        <v>584</v>
      </c>
      <c r="D39" s="5">
        <f t="shared" si="36"/>
        <v>572</v>
      </c>
      <c r="E39" s="5">
        <f t="shared" si="36"/>
        <v>560</v>
      </c>
      <c r="F39" s="5">
        <f t="shared" si="36"/>
        <v>548</v>
      </c>
      <c r="G39" s="5">
        <f t="shared" si="36"/>
        <v>536</v>
      </c>
      <c r="H39" s="5">
        <f t="shared" si="36"/>
        <v>524</v>
      </c>
      <c r="I39" s="5">
        <f t="shared" si="36"/>
        <v>512</v>
      </c>
      <c r="J39" s="5">
        <f t="shared" si="36"/>
        <v>500</v>
      </c>
      <c r="K39" s="5">
        <f t="shared" si="36"/>
        <v>488</v>
      </c>
      <c r="L39" s="5">
        <f t="shared" si="36"/>
        <v>476</v>
      </c>
      <c r="M39" s="5">
        <f t="shared" si="36"/>
        <v>464</v>
      </c>
      <c r="N39" s="5">
        <f t="shared" si="36"/>
        <v>452</v>
      </c>
      <c r="O39" s="5">
        <f t="shared" si="36"/>
        <v>440</v>
      </c>
      <c r="P39" s="5">
        <f t="shared" si="36"/>
        <v>428</v>
      </c>
      <c r="Q39" s="5">
        <f t="shared" si="36"/>
        <v>416</v>
      </c>
      <c r="R39" s="5">
        <f t="shared" si="36"/>
        <v>404</v>
      </c>
      <c r="S39" s="5">
        <f t="shared" si="36"/>
        <v>392</v>
      </c>
      <c r="T39" s="5">
        <f t="shared" si="36"/>
        <v>380</v>
      </c>
      <c r="U39" s="5">
        <f t="shared" si="36"/>
        <v>368</v>
      </c>
      <c r="V39" s="5">
        <f t="shared" si="36"/>
        <v>356</v>
      </c>
      <c r="W39" s="5">
        <f t="shared" si="36"/>
        <v>344</v>
      </c>
      <c r="X39" s="5">
        <f t="shared" si="36"/>
        <v>332</v>
      </c>
      <c r="Y39" s="5">
        <f t="shared" si="36"/>
        <v>320</v>
      </c>
      <c r="Z39" s="5">
        <f t="shared" si="36"/>
        <v>308</v>
      </c>
      <c r="AA39" s="5">
        <f t="shared" si="36"/>
        <v>296</v>
      </c>
      <c r="AB39" s="5">
        <f t="shared" si="36"/>
        <v>284</v>
      </c>
      <c r="AC39" s="5">
        <f t="shared" si="36"/>
        <v>272</v>
      </c>
      <c r="AD39" s="5">
        <f t="shared" si="36"/>
        <v>260</v>
      </c>
      <c r="AE39" s="5">
        <f t="shared" si="36"/>
        <v>248</v>
      </c>
      <c r="AF39" s="5">
        <f t="shared" si="36"/>
        <v>236</v>
      </c>
      <c r="AG39" s="5">
        <f t="shared" si="36"/>
        <v>224</v>
      </c>
      <c r="AH39" s="5">
        <f t="shared" si="36"/>
        <v>212</v>
      </c>
      <c r="AI39" s="5">
        <f t="shared" si="36"/>
        <v>200</v>
      </c>
      <c r="AJ39" s="5">
        <f t="shared" si="36"/>
        <v>188</v>
      </c>
      <c r="AK39" s="5">
        <f t="shared" si="36"/>
        <v>176</v>
      </c>
      <c r="AL39" s="5">
        <f t="shared" si="36"/>
        <v>164</v>
      </c>
      <c r="AM39" s="5">
        <f t="shared" si="36"/>
        <v>152</v>
      </c>
    </row>
    <row r="40">
      <c r="A40" s="2">
        <v>17.0</v>
      </c>
      <c r="B40" s="5">
        <f t="shared" ref="B40:AM40" si="37">(38-B$1)*$A40+B$1*(20-$A40)</f>
        <v>632</v>
      </c>
      <c r="C40" s="5">
        <f t="shared" si="37"/>
        <v>618</v>
      </c>
      <c r="D40" s="5">
        <f t="shared" si="37"/>
        <v>604</v>
      </c>
      <c r="E40" s="5">
        <f t="shared" si="37"/>
        <v>590</v>
      </c>
      <c r="F40" s="5">
        <f t="shared" si="37"/>
        <v>576</v>
      </c>
      <c r="G40" s="5">
        <f t="shared" si="37"/>
        <v>562</v>
      </c>
      <c r="H40" s="5">
        <f t="shared" si="37"/>
        <v>548</v>
      </c>
      <c r="I40" s="5">
        <f t="shared" si="37"/>
        <v>534</v>
      </c>
      <c r="J40" s="5">
        <f t="shared" si="37"/>
        <v>520</v>
      </c>
      <c r="K40" s="5">
        <f t="shared" si="37"/>
        <v>506</v>
      </c>
      <c r="L40" s="5">
        <f t="shared" si="37"/>
        <v>492</v>
      </c>
      <c r="M40" s="5">
        <f t="shared" si="37"/>
        <v>478</v>
      </c>
      <c r="N40" s="5">
        <f t="shared" si="37"/>
        <v>464</v>
      </c>
      <c r="O40" s="5">
        <f t="shared" si="37"/>
        <v>450</v>
      </c>
      <c r="P40" s="5">
        <f t="shared" si="37"/>
        <v>436</v>
      </c>
      <c r="Q40" s="5">
        <f t="shared" si="37"/>
        <v>422</v>
      </c>
      <c r="R40" s="5">
        <f t="shared" si="37"/>
        <v>408</v>
      </c>
      <c r="S40" s="5">
        <f t="shared" si="37"/>
        <v>394</v>
      </c>
      <c r="T40" s="5">
        <f t="shared" si="37"/>
        <v>380</v>
      </c>
      <c r="U40" s="5">
        <f t="shared" si="37"/>
        <v>366</v>
      </c>
      <c r="V40" s="5">
        <f t="shared" si="37"/>
        <v>352</v>
      </c>
      <c r="W40" s="5">
        <f t="shared" si="37"/>
        <v>338</v>
      </c>
      <c r="X40" s="5">
        <f t="shared" si="37"/>
        <v>324</v>
      </c>
      <c r="Y40" s="5">
        <f t="shared" si="37"/>
        <v>310</v>
      </c>
      <c r="Z40" s="5">
        <f t="shared" si="37"/>
        <v>296</v>
      </c>
      <c r="AA40" s="5">
        <f t="shared" si="37"/>
        <v>282</v>
      </c>
      <c r="AB40" s="5">
        <f t="shared" si="37"/>
        <v>268</v>
      </c>
      <c r="AC40" s="5">
        <f t="shared" si="37"/>
        <v>254</v>
      </c>
      <c r="AD40" s="5">
        <f t="shared" si="37"/>
        <v>240</v>
      </c>
      <c r="AE40" s="5">
        <f t="shared" si="37"/>
        <v>226</v>
      </c>
      <c r="AF40" s="5">
        <f t="shared" si="37"/>
        <v>212</v>
      </c>
      <c r="AG40" s="5">
        <f t="shared" si="37"/>
        <v>198</v>
      </c>
      <c r="AH40" s="5">
        <f t="shared" si="37"/>
        <v>184</v>
      </c>
      <c r="AI40" s="5">
        <f t="shared" si="37"/>
        <v>170</v>
      </c>
      <c r="AJ40" s="5">
        <f t="shared" si="37"/>
        <v>156</v>
      </c>
      <c r="AK40" s="5">
        <f t="shared" si="37"/>
        <v>142</v>
      </c>
      <c r="AL40" s="5">
        <f t="shared" si="37"/>
        <v>128</v>
      </c>
      <c r="AM40" s="5">
        <f t="shared" si="37"/>
        <v>114</v>
      </c>
    </row>
    <row r="41">
      <c r="A41" s="2">
        <v>18.0</v>
      </c>
      <c r="B41" s="5">
        <f t="shared" ref="B41:AM41" si="38">(38-B$1)*$A41+B$1*(20-$A41)</f>
        <v>668</v>
      </c>
      <c r="C41" s="5">
        <f t="shared" si="38"/>
        <v>652</v>
      </c>
      <c r="D41" s="5">
        <f t="shared" si="38"/>
        <v>636</v>
      </c>
      <c r="E41" s="5">
        <f t="shared" si="38"/>
        <v>620</v>
      </c>
      <c r="F41" s="5">
        <f t="shared" si="38"/>
        <v>604</v>
      </c>
      <c r="G41" s="5">
        <f t="shared" si="38"/>
        <v>588</v>
      </c>
      <c r="H41" s="5">
        <f t="shared" si="38"/>
        <v>572</v>
      </c>
      <c r="I41" s="5">
        <f t="shared" si="38"/>
        <v>556</v>
      </c>
      <c r="J41" s="5">
        <f t="shared" si="38"/>
        <v>540</v>
      </c>
      <c r="K41" s="5">
        <f t="shared" si="38"/>
        <v>524</v>
      </c>
      <c r="L41" s="5">
        <f t="shared" si="38"/>
        <v>508</v>
      </c>
      <c r="M41" s="5">
        <f t="shared" si="38"/>
        <v>492</v>
      </c>
      <c r="N41" s="5">
        <f t="shared" si="38"/>
        <v>476</v>
      </c>
      <c r="O41" s="5">
        <f t="shared" si="38"/>
        <v>460</v>
      </c>
      <c r="P41" s="5">
        <f t="shared" si="38"/>
        <v>444</v>
      </c>
      <c r="Q41" s="5">
        <f t="shared" si="38"/>
        <v>428</v>
      </c>
      <c r="R41" s="5">
        <f t="shared" si="38"/>
        <v>412</v>
      </c>
      <c r="S41" s="5">
        <f t="shared" si="38"/>
        <v>396</v>
      </c>
      <c r="T41" s="5">
        <f t="shared" si="38"/>
        <v>380</v>
      </c>
      <c r="U41" s="5">
        <f t="shared" si="38"/>
        <v>364</v>
      </c>
      <c r="V41" s="5">
        <f t="shared" si="38"/>
        <v>348</v>
      </c>
      <c r="W41" s="5">
        <f t="shared" si="38"/>
        <v>332</v>
      </c>
      <c r="X41" s="5">
        <f t="shared" si="38"/>
        <v>316</v>
      </c>
      <c r="Y41" s="5">
        <f t="shared" si="38"/>
        <v>300</v>
      </c>
      <c r="Z41" s="5">
        <f t="shared" si="38"/>
        <v>284</v>
      </c>
      <c r="AA41" s="5">
        <f t="shared" si="38"/>
        <v>268</v>
      </c>
      <c r="AB41" s="5">
        <f t="shared" si="38"/>
        <v>252</v>
      </c>
      <c r="AC41" s="5">
        <f t="shared" si="38"/>
        <v>236</v>
      </c>
      <c r="AD41" s="5">
        <f t="shared" si="38"/>
        <v>220</v>
      </c>
      <c r="AE41" s="5">
        <f t="shared" si="38"/>
        <v>204</v>
      </c>
      <c r="AF41" s="5">
        <f t="shared" si="38"/>
        <v>188</v>
      </c>
      <c r="AG41" s="5">
        <f t="shared" si="38"/>
        <v>172</v>
      </c>
      <c r="AH41" s="5">
        <f t="shared" si="38"/>
        <v>156</v>
      </c>
      <c r="AI41" s="5">
        <f t="shared" si="38"/>
        <v>140</v>
      </c>
      <c r="AJ41" s="5">
        <f t="shared" si="38"/>
        <v>124</v>
      </c>
      <c r="AK41" s="5">
        <f t="shared" si="38"/>
        <v>108</v>
      </c>
      <c r="AL41" s="5">
        <f t="shared" si="38"/>
        <v>92</v>
      </c>
      <c r="AM41" s="5">
        <f t="shared" si="38"/>
        <v>76</v>
      </c>
    </row>
    <row r="42">
      <c r="A42" s="2">
        <v>19.0</v>
      </c>
      <c r="B42" s="5">
        <f t="shared" ref="B42:AM42" si="39">(38-B$1)*$A42+B$1*(20-$A42)</f>
        <v>704</v>
      </c>
      <c r="C42" s="5">
        <f t="shared" si="39"/>
        <v>686</v>
      </c>
      <c r="D42" s="5">
        <f t="shared" si="39"/>
        <v>668</v>
      </c>
      <c r="E42" s="5">
        <f t="shared" si="39"/>
        <v>650</v>
      </c>
      <c r="F42" s="5">
        <f t="shared" si="39"/>
        <v>632</v>
      </c>
      <c r="G42" s="5">
        <f t="shared" si="39"/>
        <v>614</v>
      </c>
      <c r="H42" s="5">
        <f t="shared" si="39"/>
        <v>596</v>
      </c>
      <c r="I42" s="5">
        <f t="shared" si="39"/>
        <v>578</v>
      </c>
      <c r="J42" s="5">
        <f t="shared" si="39"/>
        <v>560</v>
      </c>
      <c r="K42" s="5">
        <f t="shared" si="39"/>
        <v>542</v>
      </c>
      <c r="L42" s="5">
        <f t="shared" si="39"/>
        <v>524</v>
      </c>
      <c r="M42" s="5">
        <f t="shared" si="39"/>
        <v>506</v>
      </c>
      <c r="N42" s="5">
        <f t="shared" si="39"/>
        <v>488</v>
      </c>
      <c r="O42" s="5">
        <f t="shared" si="39"/>
        <v>470</v>
      </c>
      <c r="P42" s="5">
        <f t="shared" si="39"/>
        <v>452</v>
      </c>
      <c r="Q42" s="5">
        <f t="shared" si="39"/>
        <v>434</v>
      </c>
      <c r="R42" s="5">
        <f t="shared" si="39"/>
        <v>416</v>
      </c>
      <c r="S42" s="5">
        <f t="shared" si="39"/>
        <v>398</v>
      </c>
      <c r="T42" s="5">
        <f t="shared" si="39"/>
        <v>380</v>
      </c>
      <c r="U42" s="5">
        <f t="shared" si="39"/>
        <v>362</v>
      </c>
      <c r="V42" s="5">
        <f t="shared" si="39"/>
        <v>344</v>
      </c>
      <c r="W42" s="5">
        <f t="shared" si="39"/>
        <v>326</v>
      </c>
      <c r="X42" s="5">
        <f t="shared" si="39"/>
        <v>308</v>
      </c>
      <c r="Y42" s="5">
        <f t="shared" si="39"/>
        <v>290</v>
      </c>
      <c r="Z42" s="5">
        <f t="shared" si="39"/>
        <v>272</v>
      </c>
      <c r="AA42" s="5">
        <f t="shared" si="39"/>
        <v>254</v>
      </c>
      <c r="AB42" s="5">
        <f t="shared" si="39"/>
        <v>236</v>
      </c>
      <c r="AC42" s="5">
        <f t="shared" si="39"/>
        <v>218</v>
      </c>
      <c r="AD42" s="5">
        <f t="shared" si="39"/>
        <v>200</v>
      </c>
      <c r="AE42" s="5">
        <f t="shared" si="39"/>
        <v>182</v>
      </c>
      <c r="AF42" s="5">
        <f t="shared" si="39"/>
        <v>164</v>
      </c>
      <c r="AG42" s="5">
        <f t="shared" si="39"/>
        <v>146</v>
      </c>
      <c r="AH42" s="5">
        <f t="shared" si="39"/>
        <v>128</v>
      </c>
      <c r="AI42" s="5">
        <f t="shared" si="39"/>
        <v>110</v>
      </c>
      <c r="AJ42" s="5">
        <f t="shared" si="39"/>
        <v>92</v>
      </c>
      <c r="AK42" s="5">
        <f t="shared" si="39"/>
        <v>74</v>
      </c>
      <c r="AL42" s="5">
        <f t="shared" si="39"/>
        <v>56</v>
      </c>
      <c r="AM42" s="5">
        <f t="shared" si="39"/>
        <v>38</v>
      </c>
    </row>
    <row r="43">
      <c r="A43" s="2">
        <v>20.0</v>
      </c>
      <c r="B43" s="5">
        <f t="shared" ref="B43:AM43" si="40">(38-B$1)*$A43+B$1*(20-$A43)</f>
        <v>740</v>
      </c>
      <c r="C43" s="5">
        <f t="shared" si="40"/>
        <v>720</v>
      </c>
      <c r="D43" s="5">
        <f t="shared" si="40"/>
        <v>700</v>
      </c>
      <c r="E43" s="5">
        <f t="shared" si="40"/>
        <v>680</v>
      </c>
      <c r="F43" s="5">
        <f t="shared" si="40"/>
        <v>660</v>
      </c>
      <c r="G43" s="5">
        <f t="shared" si="40"/>
        <v>640</v>
      </c>
      <c r="H43" s="5">
        <f t="shared" si="40"/>
        <v>620</v>
      </c>
      <c r="I43" s="5">
        <f t="shared" si="40"/>
        <v>600</v>
      </c>
      <c r="J43" s="5">
        <f t="shared" si="40"/>
        <v>580</v>
      </c>
      <c r="K43" s="5">
        <f t="shared" si="40"/>
        <v>560</v>
      </c>
      <c r="L43" s="5">
        <f t="shared" si="40"/>
        <v>540</v>
      </c>
      <c r="M43" s="5">
        <f t="shared" si="40"/>
        <v>520</v>
      </c>
      <c r="N43" s="5">
        <f t="shared" si="40"/>
        <v>500</v>
      </c>
      <c r="O43" s="5">
        <f t="shared" si="40"/>
        <v>480</v>
      </c>
      <c r="P43" s="5">
        <f t="shared" si="40"/>
        <v>460</v>
      </c>
      <c r="Q43" s="5">
        <f t="shared" si="40"/>
        <v>440</v>
      </c>
      <c r="R43" s="5">
        <f t="shared" si="40"/>
        <v>420</v>
      </c>
      <c r="S43" s="5">
        <f t="shared" si="40"/>
        <v>400</v>
      </c>
      <c r="T43" s="5">
        <f t="shared" si="40"/>
        <v>380</v>
      </c>
      <c r="U43" s="5">
        <f t="shared" si="40"/>
        <v>360</v>
      </c>
      <c r="V43" s="5">
        <f t="shared" si="40"/>
        <v>340</v>
      </c>
      <c r="W43" s="5">
        <f t="shared" si="40"/>
        <v>320</v>
      </c>
      <c r="X43" s="5">
        <f t="shared" si="40"/>
        <v>300</v>
      </c>
      <c r="Y43" s="5">
        <f t="shared" si="40"/>
        <v>280</v>
      </c>
      <c r="Z43" s="5">
        <f t="shared" si="40"/>
        <v>260</v>
      </c>
      <c r="AA43" s="5">
        <f t="shared" si="40"/>
        <v>240</v>
      </c>
      <c r="AB43" s="5">
        <f t="shared" si="40"/>
        <v>220</v>
      </c>
      <c r="AC43" s="5">
        <f t="shared" si="40"/>
        <v>200</v>
      </c>
      <c r="AD43" s="5">
        <f t="shared" si="40"/>
        <v>180</v>
      </c>
      <c r="AE43" s="5">
        <f t="shared" si="40"/>
        <v>160</v>
      </c>
      <c r="AF43" s="5">
        <f t="shared" si="40"/>
        <v>140</v>
      </c>
      <c r="AG43" s="5">
        <f t="shared" si="40"/>
        <v>120</v>
      </c>
      <c r="AH43" s="5">
        <f t="shared" si="40"/>
        <v>100</v>
      </c>
      <c r="AI43" s="5">
        <f t="shared" si="40"/>
        <v>80</v>
      </c>
      <c r="AJ43" s="5">
        <f t="shared" si="40"/>
        <v>60</v>
      </c>
      <c r="AK43" s="5">
        <f t="shared" si="40"/>
        <v>40</v>
      </c>
      <c r="AL43" s="5">
        <f t="shared" si="40"/>
        <v>20</v>
      </c>
      <c r="AM43" s="5">
        <f t="shared" si="40"/>
        <v>0</v>
      </c>
    </row>
    <row r="44">
      <c r="A44" s="17"/>
    </row>
    <row r="45">
      <c r="A45" s="17"/>
      <c r="B45" s="2">
        <v>1.0</v>
      </c>
      <c r="C45" s="2">
        <v>2.0</v>
      </c>
      <c r="D45" s="2">
        <v>3.0</v>
      </c>
      <c r="E45" s="2">
        <v>4.0</v>
      </c>
      <c r="F45" s="2">
        <v>5.0</v>
      </c>
      <c r="G45" s="2">
        <v>6.0</v>
      </c>
      <c r="H45" s="2">
        <v>7.0</v>
      </c>
      <c r="I45" s="2">
        <v>8.0</v>
      </c>
      <c r="J45" s="2">
        <v>9.0</v>
      </c>
      <c r="K45" s="2">
        <v>10.0</v>
      </c>
      <c r="L45" s="2">
        <v>11.0</v>
      </c>
      <c r="M45" s="2">
        <v>12.0</v>
      </c>
      <c r="N45" s="2">
        <v>13.0</v>
      </c>
      <c r="O45" s="2">
        <v>14.0</v>
      </c>
      <c r="P45" s="2">
        <v>15.0</v>
      </c>
      <c r="Q45" s="2">
        <v>16.0</v>
      </c>
      <c r="R45" s="2">
        <v>17.0</v>
      </c>
      <c r="S45" s="2">
        <v>18.0</v>
      </c>
      <c r="T45" s="2">
        <v>19.0</v>
      </c>
      <c r="U45" s="2">
        <v>20.0</v>
      </c>
      <c r="V45" s="2">
        <v>21.0</v>
      </c>
      <c r="W45" s="2">
        <v>22.0</v>
      </c>
      <c r="X45" s="2">
        <v>23.0</v>
      </c>
      <c r="Y45" s="2">
        <v>24.0</v>
      </c>
      <c r="Z45" s="2">
        <v>25.0</v>
      </c>
      <c r="AA45" s="2">
        <v>26.0</v>
      </c>
      <c r="AB45" s="2">
        <v>27.0</v>
      </c>
      <c r="AC45" s="2">
        <v>28.0</v>
      </c>
      <c r="AD45" s="2">
        <v>29.0</v>
      </c>
      <c r="AE45" s="2">
        <v>30.0</v>
      </c>
      <c r="AF45" s="2">
        <v>31.0</v>
      </c>
      <c r="AG45" s="2">
        <v>32.0</v>
      </c>
      <c r="AH45" s="2">
        <v>33.0</v>
      </c>
      <c r="AI45" s="2">
        <v>34.0</v>
      </c>
      <c r="AJ45" s="2">
        <v>35.0</v>
      </c>
      <c r="AK45" s="2">
        <v>36.0</v>
      </c>
      <c r="AL45" s="2">
        <v>37.0</v>
      </c>
      <c r="AM45" s="2">
        <v>38.0</v>
      </c>
    </row>
    <row r="46">
      <c r="A46" s="2">
        <v>1.0</v>
      </c>
      <c r="B46" s="5">
        <f t="shared" ref="B46:AM46" si="41">B24/B2</f>
        <v>56</v>
      </c>
      <c r="C46" s="5">
        <f t="shared" si="41"/>
        <v>37</v>
      </c>
      <c r="D46" s="5">
        <f t="shared" si="41"/>
        <v>30.66666667</v>
      </c>
      <c r="E46" s="5">
        <f t="shared" si="41"/>
        <v>27.5</v>
      </c>
      <c r="F46" s="5">
        <f t="shared" si="41"/>
        <v>25.6</v>
      </c>
      <c r="G46" s="5">
        <f t="shared" si="41"/>
        <v>24.33333333</v>
      </c>
      <c r="H46" s="5">
        <f t="shared" si="41"/>
        <v>23.42857143</v>
      </c>
      <c r="I46" s="5">
        <f t="shared" si="41"/>
        <v>22.75</v>
      </c>
      <c r="J46" s="5">
        <f t="shared" si="41"/>
        <v>22.22222222</v>
      </c>
      <c r="K46" s="5">
        <f t="shared" si="41"/>
        <v>21.8</v>
      </c>
      <c r="L46" s="5">
        <f t="shared" si="41"/>
        <v>21.45454545</v>
      </c>
      <c r="M46" s="5">
        <f t="shared" si="41"/>
        <v>21.16666667</v>
      </c>
      <c r="N46" s="5">
        <f t="shared" si="41"/>
        <v>20.92307692</v>
      </c>
      <c r="O46" s="5">
        <f t="shared" si="41"/>
        <v>20.71428571</v>
      </c>
      <c r="P46" s="5">
        <f t="shared" si="41"/>
        <v>20.53333333</v>
      </c>
      <c r="Q46" s="5">
        <f t="shared" si="41"/>
        <v>20.375</v>
      </c>
      <c r="R46" s="5">
        <f t="shared" si="41"/>
        <v>20.23529412</v>
      </c>
      <c r="S46" s="5">
        <f t="shared" si="41"/>
        <v>20.11111111</v>
      </c>
      <c r="T46" s="5">
        <f t="shared" si="41"/>
        <v>20</v>
      </c>
      <c r="U46" s="5">
        <f t="shared" si="41"/>
        <v>19.9</v>
      </c>
      <c r="V46" s="5">
        <f t="shared" si="41"/>
        <v>19.80952381</v>
      </c>
      <c r="W46" s="5">
        <f t="shared" si="41"/>
        <v>19.72727273</v>
      </c>
      <c r="X46" s="5">
        <f t="shared" si="41"/>
        <v>19.65217391</v>
      </c>
      <c r="Y46" s="5">
        <f t="shared" si="41"/>
        <v>19.58333333</v>
      </c>
      <c r="Z46" s="5">
        <f t="shared" si="41"/>
        <v>19.52</v>
      </c>
      <c r="AA46" s="5">
        <f t="shared" si="41"/>
        <v>19.46153846</v>
      </c>
      <c r="AB46" s="5">
        <f t="shared" si="41"/>
        <v>19.40740741</v>
      </c>
      <c r="AC46" s="5">
        <f t="shared" si="41"/>
        <v>19.35714286</v>
      </c>
      <c r="AD46" s="5">
        <f t="shared" si="41"/>
        <v>19.31034483</v>
      </c>
      <c r="AE46" s="5">
        <f t="shared" si="41"/>
        <v>19.26666667</v>
      </c>
      <c r="AF46" s="5">
        <f t="shared" si="41"/>
        <v>19.22580645</v>
      </c>
      <c r="AG46" s="5">
        <f t="shared" si="41"/>
        <v>19.1875</v>
      </c>
      <c r="AH46" s="5">
        <f t="shared" si="41"/>
        <v>19.15151515</v>
      </c>
      <c r="AI46" s="5">
        <f t="shared" si="41"/>
        <v>19.11764706</v>
      </c>
      <c r="AJ46" s="5">
        <f t="shared" si="41"/>
        <v>19.08571429</v>
      </c>
      <c r="AK46" s="5">
        <f t="shared" si="41"/>
        <v>19.05555556</v>
      </c>
      <c r="AL46" s="5">
        <f t="shared" si="41"/>
        <v>19.02702703</v>
      </c>
      <c r="AM46" s="5">
        <f t="shared" si="41"/>
        <v>19</v>
      </c>
    </row>
    <row r="47">
      <c r="A47" s="2">
        <v>2.0</v>
      </c>
      <c r="B47" s="5">
        <f t="shared" ref="B47:AM47" si="42">B25/B3</f>
        <v>46</v>
      </c>
      <c r="C47" s="5">
        <f t="shared" si="42"/>
        <v>27</v>
      </c>
      <c r="D47" s="5">
        <f t="shared" si="42"/>
        <v>20.66666667</v>
      </c>
      <c r="E47" s="5">
        <f t="shared" si="42"/>
        <v>17.5</v>
      </c>
      <c r="F47" s="5">
        <f t="shared" si="42"/>
        <v>15.6</v>
      </c>
      <c r="G47" s="5">
        <f t="shared" si="42"/>
        <v>14.33333333</v>
      </c>
      <c r="H47" s="5">
        <f t="shared" si="42"/>
        <v>13.42857143</v>
      </c>
      <c r="I47" s="5">
        <f t="shared" si="42"/>
        <v>12.75</v>
      </c>
      <c r="J47" s="5">
        <f t="shared" si="42"/>
        <v>12.22222222</v>
      </c>
      <c r="K47" s="5">
        <f t="shared" si="42"/>
        <v>11.8</v>
      </c>
      <c r="L47" s="5">
        <f t="shared" si="42"/>
        <v>11.45454545</v>
      </c>
      <c r="M47" s="5">
        <f t="shared" si="42"/>
        <v>11.16666667</v>
      </c>
      <c r="N47" s="5">
        <f t="shared" si="42"/>
        <v>10.92307692</v>
      </c>
      <c r="O47" s="5">
        <f t="shared" si="42"/>
        <v>10.71428571</v>
      </c>
      <c r="P47" s="5">
        <f t="shared" si="42"/>
        <v>10.53333333</v>
      </c>
      <c r="Q47" s="5">
        <f t="shared" si="42"/>
        <v>10.375</v>
      </c>
      <c r="R47" s="5">
        <f t="shared" si="42"/>
        <v>10.23529412</v>
      </c>
      <c r="S47" s="5">
        <f t="shared" si="42"/>
        <v>10.11111111</v>
      </c>
      <c r="T47" s="5">
        <f t="shared" si="42"/>
        <v>10</v>
      </c>
      <c r="U47" s="5">
        <f t="shared" si="42"/>
        <v>9.9</v>
      </c>
      <c r="V47" s="5">
        <f t="shared" si="42"/>
        <v>9.80952381</v>
      </c>
      <c r="W47" s="5">
        <f t="shared" si="42"/>
        <v>9.727272727</v>
      </c>
      <c r="X47" s="5">
        <f t="shared" si="42"/>
        <v>9.652173913</v>
      </c>
      <c r="Y47" s="5">
        <f t="shared" si="42"/>
        <v>9.583333333</v>
      </c>
      <c r="Z47" s="5">
        <f t="shared" si="42"/>
        <v>9.52</v>
      </c>
      <c r="AA47" s="5">
        <f t="shared" si="42"/>
        <v>9.461538462</v>
      </c>
      <c r="AB47" s="5">
        <f t="shared" si="42"/>
        <v>9.407407407</v>
      </c>
      <c r="AC47" s="5">
        <f t="shared" si="42"/>
        <v>9.357142857</v>
      </c>
      <c r="AD47" s="5">
        <f t="shared" si="42"/>
        <v>9.310344828</v>
      </c>
      <c r="AE47" s="5">
        <f t="shared" si="42"/>
        <v>9.266666667</v>
      </c>
      <c r="AF47" s="5">
        <f t="shared" si="42"/>
        <v>9.225806452</v>
      </c>
      <c r="AG47" s="5">
        <f t="shared" si="42"/>
        <v>9.1875</v>
      </c>
      <c r="AH47" s="5">
        <f t="shared" si="42"/>
        <v>9.151515152</v>
      </c>
      <c r="AI47" s="5">
        <f t="shared" si="42"/>
        <v>9.117647059</v>
      </c>
      <c r="AJ47" s="5">
        <f t="shared" si="42"/>
        <v>9.085714286</v>
      </c>
      <c r="AK47" s="5">
        <f t="shared" si="42"/>
        <v>9.055555556</v>
      </c>
      <c r="AL47" s="5">
        <f t="shared" si="42"/>
        <v>9.027027027</v>
      </c>
      <c r="AM47" s="5">
        <f t="shared" si="42"/>
        <v>9</v>
      </c>
    </row>
    <row r="48">
      <c r="A48" s="2">
        <v>3.0</v>
      </c>
      <c r="B48" s="5">
        <f t="shared" ref="B48:AM48" si="43">B26/B4</f>
        <v>42.66666667</v>
      </c>
      <c r="C48" s="5">
        <f t="shared" si="43"/>
        <v>23.66666667</v>
      </c>
      <c r="D48" s="5">
        <f t="shared" si="43"/>
        <v>17.33333333</v>
      </c>
      <c r="E48" s="5">
        <f t="shared" si="43"/>
        <v>14.16666667</v>
      </c>
      <c r="F48" s="5">
        <f t="shared" si="43"/>
        <v>12.26666667</v>
      </c>
      <c r="G48" s="5">
        <f t="shared" si="43"/>
        <v>11</v>
      </c>
      <c r="H48" s="5">
        <f t="shared" si="43"/>
        <v>10.0952381</v>
      </c>
      <c r="I48" s="5">
        <f t="shared" si="43"/>
        <v>9.416666667</v>
      </c>
      <c r="J48" s="5">
        <f t="shared" si="43"/>
        <v>8.888888889</v>
      </c>
      <c r="K48" s="5">
        <f t="shared" si="43"/>
        <v>8.466666667</v>
      </c>
      <c r="L48" s="5">
        <f t="shared" si="43"/>
        <v>8.121212121</v>
      </c>
      <c r="M48" s="5">
        <f t="shared" si="43"/>
        <v>7.833333333</v>
      </c>
      <c r="N48" s="5">
        <f t="shared" si="43"/>
        <v>7.58974359</v>
      </c>
      <c r="O48" s="5">
        <f t="shared" si="43"/>
        <v>7.380952381</v>
      </c>
      <c r="P48" s="5">
        <f t="shared" si="43"/>
        <v>7.2</v>
      </c>
      <c r="Q48" s="5">
        <f t="shared" si="43"/>
        <v>7.041666667</v>
      </c>
      <c r="R48" s="5">
        <f t="shared" si="43"/>
        <v>6.901960784</v>
      </c>
      <c r="S48" s="5">
        <f t="shared" si="43"/>
        <v>6.777777778</v>
      </c>
      <c r="T48" s="5">
        <f t="shared" si="43"/>
        <v>6.666666667</v>
      </c>
      <c r="U48" s="5">
        <f t="shared" si="43"/>
        <v>6.566666667</v>
      </c>
      <c r="V48" s="5">
        <f t="shared" si="43"/>
        <v>6.476190476</v>
      </c>
      <c r="W48" s="5">
        <f t="shared" si="43"/>
        <v>6.393939394</v>
      </c>
      <c r="X48" s="5">
        <f t="shared" si="43"/>
        <v>6.31884058</v>
      </c>
      <c r="Y48" s="5">
        <f t="shared" si="43"/>
        <v>6.25</v>
      </c>
      <c r="Z48" s="5">
        <f t="shared" si="43"/>
        <v>6.186666667</v>
      </c>
      <c r="AA48" s="5">
        <f t="shared" si="43"/>
        <v>6.128205128</v>
      </c>
      <c r="AB48" s="5">
        <f t="shared" si="43"/>
        <v>6.074074074</v>
      </c>
      <c r="AC48" s="5">
        <f t="shared" si="43"/>
        <v>6.023809524</v>
      </c>
      <c r="AD48" s="5">
        <f t="shared" si="43"/>
        <v>5.977011494</v>
      </c>
      <c r="AE48" s="5">
        <f t="shared" si="43"/>
        <v>5.933333333</v>
      </c>
      <c r="AF48" s="5">
        <f t="shared" si="43"/>
        <v>5.892473118</v>
      </c>
      <c r="AG48" s="5">
        <f t="shared" si="43"/>
        <v>5.854166667</v>
      </c>
      <c r="AH48" s="5">
        <f t="shared" si="43"/>
        <v>5.818181818</v>
      </c>
      <c r="AI48" s="5">
        <f t="shared" si="43"/>
        <v>5.784313725</v>
      </c>
      <c r="AJ48" s="5">
        <f t="shared" si="43"/>
        <v>5.752380952</v>
      </c>
      <c r="AK48" s="5">
        <f t="shared" si="43"/>
        <v>5.722222222</v>
      </c>
      <c r="AL48" s="5">
        <f t="shared" si="43"/>
        <v>5.693693694</v>
      </c>
      <c r="AM48" s="5">
        <f t="shared" si="43"/>
        <v>5.666666667</v>
      </c>
    </row>
    <row r="49">
      <c r="A49" s="2">
        <v>4.0</v>
      </c>
      <c r="B49" s="5">
        <f t="shared" ref="B49:AM49" si="44">B27/B5</f>
        <v>41</v>
      </c>
      <c r="C49" s="5">
        <f t="shared" si="44"/>
        <v>22</v>
      </c>
      <c r="D49" s="5">
        <f t="shared" si="44"/>
        <v>15.66666667</v>
      </c>
      <c r="E49" s="5">
        <f t="shared" si="44"/>
        <v>12.5</v>
      </c>
      <c r="F49" s="5">
        <f t="shared" si="44"/>
        <v>10.6</v>
      </c>
      <c r="G49" s="5">
        <f t="shared" si="44"/>
        <v>9.333333333</v>
      </c>
      <c r="H49" s="5">
        <f t="shared" si="44"/>
        <v>8.428571429</v>
      </c>
      <c r="I49" s="5">
        <f t="shared" si="44"/>
        <v>7.75</v>
      </c>
      <c r="J49" s="5">
        <f t="shared" si="44"/>
        <v>7.222222222</v>
      </c>
      <c r="K49" s="5">
        <f t="shared" si="44"/>
        <v>6.8</v>
      </c>
      <c r="L49" s="5">
        <f t="shared" si="44"/>
        <v>6.454545455</v>
      </c>
      <c r="M49" s="5">
        <f t="shared" si="44"/>
        <v>6.166666667</v>
      </c>
      <c r="N49" s="5">
        <f t="shared" si="44"/>
        <v>5.923076923</v>
      </c>
      <c r="O49" s="5">
        <f t="shared" si="44"/>
        <v>5.714285714</v>
      </c>
      <c r="P49" s="5">
        <f t="shared" si="44"/>
        <v>5.533333333</v>
      </c>
      <c r="Q49" s="5">
        <f t="shared" si="44"/>
        <v>5.375</v>
      </c>
      <c r="R49" s="5">
        <f t="shared" si="44"/>
        <v>5.235294118</v>
      </c>
      <c r="S49" s="5">
        <f t="shared" si="44"/>
        <v>5.111111111</v>
      </c>
      <c r="T49" s="5">
        <f t="shared" si="44"/>
        <v>5</v>
      </c>
      <c r="U49" s="5">
        <f t="shared" si="44"/>
        <v>4.9</v>
      </c>
      <c r="V49" s="5">
        <f t="shared" si="44"/>
        <v>4.80952381</v>
      </c>
      <c r="W49" s="5">
        <f t="shared" si="44"/>
        <v>4.727272727</v>
      </c>
      <c r="X49" s="5">
        <f t="shared" si="44"/>
        <v>4.652173913</v>
      </c>
      <c r="Y49" s="5">
        <f t="shared" si="44"/>
        <v>4.583333333</v>
      </c>
      <c r="Z49" s="5">
        <f t="shared" si="44"/>
        <v>4.52</v>
      </c>
      <c r="AA49" s="5">
        <f t="shared" si="44"/>
        <v>4.461538462</v>
      </c>
      <c r="AB49" s="5">
        <f t="shared" si="44"/>
        <v>4.407407407</v>
      </c>
      <c r="AC49" s="5">
        <f t="shared" si="44"/>
        <v>4.357142857</v>
      </c>
      <c r="AD49" s="5">
        <f t="shared" si="44"/>
        <v>4.310344828</v>
      </c>
      <c r="AE49" s="5">
        <f t="shared" si="44"/>
        <v>4.266666667</v>
      </c>
      <c r="AF49" s="5">
        <f t="shared" si="44"/>
        <v>4.225806452</v>
      </c>
      <c r="AG49" s="5">
        <f t="shared" si="44"/>
        <v>4.1875</v>
      </c>
      <c r="AH49" s="5">
        <f t="shared" si="44"/>
        <v>4.151515152</v>
      </c>
      <c r="AI49" s="5">
        <f t="shared" si="44"/>
        <v>4.117647059</v>
      </c>
      <c r="AJ49" s="5">
        <f t="shared" si="44"/>
        <v>4.085714286</v>
      </c>
      <c r="AK49" s="5">
        <f t="shared" si="44"/>
        <v>4.055555556</v>
      </c>
      <c r="AL49" s="5">
        <f t="shared" si="44"/>
        <v>4.027027027</v>
      </c>
      <c r="AM49" s="5">
        <f t="shared" si="44"/>
        <v>4</v>
      </c>
    </row>
    <row r="50">
      <c r="A50" s="2">
        <v>5.0</v>
      </c>
      <c r="B50" s="5">
        <f t="shared" ref="B50:AM50" si="45">B28/B6</f>
        <v>40</v>
      </c>
      <c r="C50" s="5">
        <f t="shared" si="45"/>
        <v>21</v>
      </c>
      <c r="D50" s="5">
        <f t="shared" si="45"/>
        <v>14.66666667</v>
      </c>
      <c r="E50" s="5">
        <f t="shared" si="45"/>
        <v>11.5</v>
      </c>
      <c r="F50" s="5">
        <f t="shared" si="45"/>
        <v>9.6</v>
      </c>
      <c r="G50" s="5">
        <f t="shared" si="45"/>
        <v>8.333333333</v>
      </c>
      <c r="H50" s="5">
        <f t="shared" si="45"/>
        <v>7.428571429</v>
      </c>
      <c r="I50" s="5">
        <f t="shared" si="45"/>
        <v>6.75</v>
      </c>
      <c r="J50" s="5">
        <f t="shared" si="45"/>
        <v>6.222222222</v>
      </c>
      <c r="K50" s="5">
        <f t="shared" si="45"/>
        <v>5.8</v>
      </c>
      <c r="L50" s="5">
        <f t="shared" si="45"/>
        <v>5.454545455</v>
      </c>
      <c r="M50" s="5">
        <f t="shared" si="45"/>
        <v>5.166666667</v>
      </c>
      <c r="N50" s="5">
        <f t="shared" si="45"/>
        <v>4.923076923</v>
      </c>
      <c r="O50" s="24">
        <f t="shared" si="45"/>
        <v>4.714285714</v>
      </c>
      <c r="P50" s="5">
        <f t="shared" si="45"/>
        <v>4.533333333</v>
      </c>
      <c r="Q50" s="5">
        <f t="shared" si="45"/>
        <v>4.375</v>
      </c>
      <c r="R50" s="5">
        <f t="shared" si="45"/>
        <v>4.235294118</v>
      </c>
      <c r="S50" s="5">
        <f t="shared" si="45"/>
        <v>4.111111111</v>
      </c>
      <c r="T50" s="5">
        <f t="shared" si="45"/>
        <v>4</v>
      </c>
      <c r="U50" s="5">
        <f t="shared" si="45"/>
        <v>3.9</v>
      </c>
      <c r="V50" s="5">
        <f t="shared" si="45"/>
        <v>3.80952381</v>
      </c>
      <c r="W50" s="5">
        <f t="shared" si="45"/>
        <v>3.727272727</v>
      </c>
      <c r="X50" s="5">
        <f t="shared" si="45"/>
        <v>3.652173913</v>
      </c>
      <c r="Y50" s="5">
        <f t="shared" si="45"/>
        <v>3.583333333</v>
      </c>
      <c r="Z50" s="5">
        <f t="shared" si="45"/>
        <v>3.52</v>
      </c>
      <c r="AA50" s="5">
        <f t="shared" si="45"/>
        <v>3.461538462</v>
      </c>
      <c r="AB50" s="5">
        <f t="shared" si="45"/>
        <v>3.407407407</v>
      </c>
      <c r="AC50" s="5">
        <f t="shared" si="45"/>
        <v>3.357142857</v>
      </c>
      <c r="AD50" s="5">
        <f t="shared" si="45"/>
        <v>3.310344828</v>
      </c>
      <c r="AE50" s="5">
        <f t="shared" si="45"/>
        <v>3.266666667</v>
      </c>
      <c r="AF50" s="5">
        <f t="shared" si="45"/>
        <v>3.225806452</v>
      </c>
      <c r="AG50" s="5">
        <f t="shared" si="45"/>
        <v>3.1875</v>
      </c>
      <c r="AH50" s="5">
        <f t="shared" si="45"/>
        <v>3.151515152</v>
      </c>
      <c r="AI50" s="5">
        <f t="shared" si="45"/>
        <v>3.117647059</v>
      </c>
      <c r="AJ50" s="5">
        <f t="shared" si="45"/>
        <v>3.085714286</v>
      </c>
      <c r="AK50" s="5">
        <f t="shared" si="45"/>
        <v>3.055555556</v>
      </c>
      <c r="AL50" s="5">
        <f t="shared" si="45"/>
        <v>3.027027027</v>
      </c>
      <c r="AM50" s="5">
        <f t="shared" si="45"/>
        <v>3</v>
      </c>
    </row>
    <row r="51">
      <c r="A51" s="2">
        <v>6.0</v>
      </c>
      <c r="B51" s="5">
        <f t="shared" ref="B51:AM51" si="46">B29/B7</f>
        <v>39.33333333</v>
      </c>
      <c r="C51" s="5">
        <f t="shared" si="46"/>
        <v>20.33333333</v>
      </c>
      <c r="D51" s="5">
        <f t="shared" si="46"/>
        <v>14</v>
      </c>
      <c r="E51" s="5">
        <f t="shared" si="46"/>
        <v>10.83333333</v>
      </c>
      <c r="F51" s="5">
        <f t="shared" si="46"/>
        <v>8.933333333</v>
      </c>
      <c r="G51" s="5">
        <f t="shared" si="46"/>
        <v>7.666666667</v>
      </c>
      <c r="H51" s="5">
        <f t="shared" si="46"/>
        <v>6.761904762</v>
      </c>
      <c r="I51" s="5">
        <f t="shared" si="46"/>
        <v>6.083333333</v>
      </c>
      <c r="J51" s="5">
        <f t="shared" si="46"/>
        <v>5.555555556</v>
      </c>
      <c r="K51" s="5">
        <f t="shared" si="46"/>
        <v>5.133333333</v>
      </c>
      <c r="L51" s="5">
        <f t="shared" si="46"/>
        <v>4.787878788</v>
      </c>
      <c r="M51" s="5">
        <f t="shared" si="46"/>
        <v>4.5</v>
      </c>
      <c r="N51" s="24">
        <f t="shared" si="46"/>
        <v>4.256410256</v>
      </c>
      <c r="O51" s="5">
        <f t="shared" si="46"/>
        <v>4.047619048</v>
      </c>
      <c r="P51" s="5">
        <f t="shared" si="46"/>
        <v>3.866666667</v>
      </c>
      <c r="Q51" s="5">
        <f t="shared" si="46"/>
        <v>3.708333333</v>
      </c>
      <c r="R51" s="5">
        <f t="shared" si="46"/>
        <v>3.568627451</v>
      </c>
      <c r="S51" s="5">
        <f t="shared" si="46"/>
        <v>3.444444444</v>
      </c>
      <c r="T51" s="5">
        <f t="shared" si="46"/>
        <v>3.333333333</v>
      </c>
      <c r="U51" s="5">
        <f t="shared" si="46"/>
        <v>3.233333333</v>
      </c>
      <c r="V51" s="5">
        <f t="shared" si="46"/>
        <v>3.142857143</v>
      </c>
      <c r="W51" s="5">
        <f t="shared" si="46"/>
        <v>3.060606061</v>
      </c>
      <c r="X51" s="5">
        <f t="shared" si="46"/>
        <v>2.985507246</v>
      </c>
      <c r="Y51" s="5">
        <f t="shared" si="46"/>
        <v>2.916666667</v>
      </c>
      <c r="Z51" s="5">
        <f t="shared" si="46"/>
        <v>2.853333333</v>
      </c>
      <c r="AA51" s="5">
        <f t="shared" si="46"/>
        <v>2.794871795</v>
      </c>
      <c r="AB51" s="5">
        <f t="shared" si="46"/>
        <v>2.740740741</v>
      </c>
      <c r="AC51" s="5">
        <f t="shared" si="46"/>
        <v>2.69047619</v>
      </c>
      <c r="AD51" s="5">
        <f t="shared" si="46"/>
        <v>2.643678161</v>
      </c>
      <c r="AE51" s="5">
        <f t="shared" si="46"/>
        <v>2.6</v>
      </c>
      <c r="AF51" s="5">
        <f t="shared" si="46"/>
        <v>2.559139785</v>
      </c>
      <c r="AG51" s="5">
        <f t="shared" si="46"/>
        <v>2.520833333</v>
      </c>
      <c r="AH51" s="5">
        <f t="shared" si="46"/>
        <v>2.484848485</v>
      </c>
      <c r="AI51" s="5">
        <f t="shared" si="46"/>
        <v>2.450980392</v>
      </c>
      <c r="AJ51" s="5">
        <f t="shared" si="46"/>
        <v>2.419047619</v>
      </c>
      <c r="AK51" s="5">
        <f t="shared" si="46"/>
        <v>2.388888889</v>
      </c>
      <c r="AL51" s="5">
        <f t="shared" si="46"/>
        <v>2.36036036</v>
      </c>
      <c r="AM51" s="5">
        <f t="shared" si="46"/>
        <v>2.333333333</v>
      </c>
    </row>
    <row r="52">
      <c r="A52" s="2">
        <v>7.0</v>
      </c>
      <c r="B52" s="5">
        <f t="shared" ref="B52:AM52" si="47">B30/B8</f>
        <v>38.85714286</v>
      </c>
      <c r="C52" s="5">
        <f t="shared" si="47"/>
        <v>19.85714286</v>
      </c>
      <c r="D52" s="5">
        <f t="shared" si="47"/>
        <v>13.52380952</v>
      </c>
      <c r="E52" s="5">
        <f t="shared" si="47"/>
        <v>10.35714286</v>
      </c>
      <c r="F52" s="5">
        <f t="shared" si="47"/>
        <v>8.457142857</v>
      </c>
      <c r="G52" s="5">
        <f t="shared" si="47"/>
        <v>7.19047619</v>
      </c>
      <c r="H52" s="5">
        <f t="shared" si="47"/>
        <v>6.285714286</v>
      </c>
      <c r="I52" s="5">
        <f t="shared" si="47"/>
        <v>5.607142857</v>
      </c>
      <c r="J52" s="5">
        <f t="shared" si="47"/>
        <v>5.079365079</v>
      </c>
      <c r="K52" s="5">
        <f t="shared" si="47"/>
        <v>4.657142857</v>
      </c>
      <c r="L52" s="24">
        <f t="shared" si="47"/>
        <v>4.311688312</v>
      </c>
      <c r="M52" s="5">
        <f t="shared" si="47"/>
        <v>4.023809524</v>
      </c>
      <c r="N52" s="5">
        <f t="shared" si="47"/>
        <v>3.78021978</v>
      </c>
      <c r="O52" s="5">
        <f t="shared" si="47"/>
        <v>3.571428571</v>
      </c>
      <c r="P52" s="5">
        <f t="shared" si="47"/>
        <v>3.39047619</v>
      </c>
      <c r="Q52" s="5">
        <f t="shared" si="47"/>
        <v>3.232142857</v>
      </c>
      <c r="R52" s="5">
        <f t="shared" si="47"/>
        <v>3.092436975</v>
      </c>
      <c r="S52" s="5">
        <f t="shared" si="47"/>
        <v>2.968253968</v>
      </c>
      <c r="T52" s="5">
        <f t="shared" si="47"/>
        <v>2.857142857</v>
      </c>
      <c r="U52" s="5">
        <f t="shared" si="47"/>
        <v>2.757142857</v>
      </c>
      <c r="V52" s="5">
        <f t="shared" si="47"/>
        <v>2.666666667</v>
      </c>
      <c r="W52" s="5">
        <f t="shared" si="47"/>
        <v>2.584415584</v>
      </c>
      <c r="X52" s="5">
        <f t="shared" si="47"/>
        <v>2.50931677</v>
      </c>
      <c r="Y52" s="5">
        <f t="shared" si="47"/>
        <v>2.44047619</v>
      </c>
      <c r="Z52" s="5">
        <f t="shared" si="47"/>
        <v>2.377142857</v>
      </c>
      <c r="AA52" s="5">
        <f t="shared" si="47"/>
        <v>2.318681319</v>
      </c>
      <c r="AB52" s="5">
        <f t="shared" si="47"/>
        <v>2.264550265</v>
      </c>
      <c r="AC52" s="5">
        <f t="shared" si="47"/>
        <v>2.214285714</v>
      </c>
      <c r="AD52" s="5">
        <f t="shared" si="47"/>
        <v>2.167487685</v>
      </c>
      <c r="AE52" s="5">
        <f t="shared" si="47"/>
        <v>2.123809524</v>
      </c>
      <c r="AF52" s="5">
        <f t="shared" si="47"/>
        <v>2.082949309</v>
      </c>
      <c r="AG52" s="5">
        <f t="shared" si="47"/>
        <v>2.044642857</v>
      </c>
      <c r="AH52" s="5">
        <f t="shared" si="47"/>
        <v>2.008658009</v>
      </c>
      <c r="AI52" s="5">
        <f t="shared" si="47"/>
        <v>1.974789916</v>
      </c>
      <c r="AJ52" s="5">
        <f t="shared" si="47"/>
        <v>1.942857143</v>
      </c>
      <c r="AK52" s="5">
        <f t="shared" si="47"/>
        <v>1.912698413</v>
      </c>
      <c r="AL52" s="5">
        <f t="shared" si="47"/>
        <v>1.884169884</v>
      </c>
      <c r="AM52" s="5">
        <f t="shared" si="47"/>
        <v>1.857142857</v>
      </c>
    </row>
    <row r="53">
      <c r="A53" s="2">
        <v>8.0</v>
      </c>
      <c r="B53" s="5">
        <f t="shared" ref="B53:AM53" si="48">B31/B9</f>
        <v>38.5</v>
      </c>
      <c r="C53" s="5">
        <f t="shared" si="48"/>
        <v>19.5</v>
      </c>
      <c r="D53" s="5">
        <f t="shared" si="48"/>
        <v>13.16666667</v>
      </c>
      <c r="E53" s="5">
        <f t="shared" si="48"/>
        <v>10</v>
      </c>
      <c r="F53" s="5">
        <f t="shared" si="48"/>
        <v>8.1</v>
      </c>
      <c r="G53" s="5">
        <f t="shared" si="48"/>
        <v>6.833333333</v>
      </c>
      <c r="H53" s="5">
        <f t="shared" si="48"/>
        <v>5.928571429</v>
      </c>
      <c r="I53" s="5">
        <f t="shared" si="48"/>
        <v>5.25</v>
      </c>
      <c r="J53" s="5">
        <f t="shared" si="48"/>
        <v>4.722222222</v>
      </c>
      <c r="K53" s="5">
        <f t="shared" si="48"/>
        <v>4.3</v>
      </c>
      <c r="L53" s="5">
        <f t="shared" si="48"/>
        <v>3.954545455</v>
      </c>
      <c r="M53" s="5">
        <f t="shared" si="48"/>
        <v>3.666666667</v>
      </c>
      <c r="N53" s="5">
        <f t="shared" si="48"/>
        <v>3.423076923</v>
      </c>
      <c r="O53" s="5">
        <f t="shared" si="48"/>
        <v>3.214285714</v>
      </c>
      <c r="P53" s="5">
        <f t="shared" si="48"/>
        <v>3.033333333</v>
      </c>
      <c r="Q53" s="5">
        <f t="shared" si="48"/>
        <v>2.875</v>
      </c>
      <c r="R53" s="5">
        <f t="shared" si="48"/>
        <v>2.735294118</v>
      </c>
      <c r="S53" s="5">
        <f t="shared" si="48"/>
        <v>2.611111111</v>
      </c>
      <c r="T53" s="5">
        <f t="shared" si="48"/>
        <v>2.5</v>
      </c>
      <c r="U53" s="5">
        <f t="shared" si="48"/>
        <v>2.4</v>
      </c>
      <c r="V53" s="5">
        <f t="shared" si="48"/>
        <v>2.30952381</v>
      </c>
      <c r="W53" s="5">
        <f t="shared" si="48"/>
        <v>2.227272727</v>
      </c>
      <c r="X53" s="5">
        <f t="shared" si="48"/>
        <v>2.152173913</v>
      </c>
      <c r="Y53" s="5">
        <f t="shared" si="48"/>
        <v>2.083333333</v>
      </c>
      <c r="Z53" s="5">
        <f t="shared" si="48"/>
        <v>2.02</v>
      </c>
      <c r="AA53" s="5">
        <f t="shared" si="48"/>
        <v>1.961538462</v>
      </c>
      <c r="AB53" s="5">
        <f t="shared" si="48"/>
        <v>1.907407407</v>
      </c>
      <c r="AC53" s="5">
        <f t="shared" si="48"/>
        <v>1.857142857</v>
      </c>
      <c r="AD53" s="5">
        <f t="shared" si="48"/>
        <v>1.810344828</v>
      </c>
      <c r="AE53" s="5">
        <f t="shared" si="48"/>
        <v>1.766666667</v>
      </c>
      <c r="AF53" s="5">
        <f t="shared" si="48"/>
        <v>1.725806452</v>
      </c>
      <c r="AG53" s="5">
        <f t="shared" si="48"/>
        <v>1.6875</v>
      </c>
      <c r="AH53" s="5">
        <f t="shared" si="48"/>
        <v>1.651515152</v>
      </c>
      <c r="AI53" s="5">
        <f t="shared" si="48"/>
        <v>1.617647059</v>
      </c>
      <c r="AJ53" s="5">
        <f t="shared" si="48"/>
        <v>1.585714286</v>
      </c>
      <c r="AK53" s="5">
        <f t="shared" si="48"/>
        <v>1.555555556</v>
      </c>
      <c r="AL53" s="5">
        <f t="shared" si="48"/>
        <v>1.527027027</v>
      </c>
      <c r="AM53" s="5">
        <f t="shared" si="48"/>
        <v>1.5</v>
      </c>
    </row>
    <row r="54">
      <c r="A54" s="2">
        <v>9.0</v>
      </c>
      <c r="B54" s="5">
        <f t="shared" ref="B54:AM54" si="49">B32/B10</f>
        <v>38.22222222</v>
      </c>
      <c r="C54" s="5">
        <f t="shared" si="49"/>
        <v>19.22222222</v>
      </c>
      <c r="D54" s="5">
        <f t="shared" si="49"/>
        <v>12.88888889</v>
      </c>
      <c r="E54" s="5">
        <f t="shared" si="49"/>
        <v>9.722222222</v>
      </c>
      <c r="F54" s="5">
        <f t="shared" si="49"/>
        <v>7.822222222</v>
      </c>
      <c r="G54" s="5">
        <f t="shared" si="49"/>
        <v>6.555555556</v>
      </c>
      <c r="H54" s="5">
        <f t="shared" si="49"/>
        <v>5.650793651</v>
      </c>
      <c r="I54" s="5">
        <f t="shared" si="49"/>
        <v>4.972222222</v>
      </c>
      <c r="J54" s="5">
        <f t="shared" si="49"/>
        <v>4.444444444</v>
      </c>
      <c r="K54" s="5">
        <f t="shared" si="49"/>
        <v>4.022222222</v>
      </c>
      <c r="L54" s="5">
        <f t="shared" si="49"/>
        <v>3.676767677</v>
      </c>
      <c r="M54" s="5">
        <f t="shared" si="49"/>
        <v>3.388888889</v>
      </c>
      <c r="N54" s="5">
        <f t="shared" si="49"/>
        <v>3.145299145</v>
      </c>
      <c r="O54" s="5">
        <f t="shared" si="49"/>
        <v>2.936507937</v>
      </c>
      <c r="P54" s="5">
        <f t="shared" si="49"/>
        <v>2.755555556</v>
      </c>
      <c r="Q54" s="5">
        <f t="shared" si="49"/>
        <v>2.597222222</v>
      </c>
      <c r="R54" s="5">
        <f t="shared" si="49"/>
        <v>2.45751634</v>
      </c>
      <c r="S54" s="5">
        <f t="shared" si="49"/>
        <v>2.333333333</v>
      </c>
      <c r="T54" s="5">
        <f t="shared" si="49"/>
        <v>2.222222222</v>
      </c>
      <c r="U54" s="5">
        <f t="shared" si="49"/>
        <v>2.122222222</v>
      </c>
      <c r="V54" s="5">
        <f t="shared" si="49"/>
        <v>2.031746032</v>
      </c>
      <c r="W54" s="5">
        <f t="shared" si="49"/>
        <v>1.949494949</v>
      </c>
      <c r="X54" s="5">
        <f t="shared" si="49"/>
        <v>1.874396135</v>
      </c>
      <c r="Y54" s="5">
        <f t="shared" si="49"/>
        <v>1.805555556</v>
      </c>
      <c r="Z54" s="5">
        <f t="shared" si="49"/>
        <v>1.742222222</v>
      </c>
      <c r="AA54" s="5">
        <f t="shared" si="49"/>
        <v>1.683760684</v>
      </c>
      <c r="AB54" s="5">
        <f t="shared" si="49"/>
        <v>1.62962963</v>
      </c>
      <c r="AC54" s="5">
        <f t="shared" si="49"/>
        <v>1.579365079</v>
      </c>
      <c r="AD54" s="5">
        <f t="shared" si="49"/>
        <v>1.53256705</v>
      </c>
      <c r="AE54" s="5">
        <f t="shared" si="49"/>
        <v>1.488888889</v>
      </c>
      <c r="AF54" s="5">
        <f t="shared" si="49"/>
        <v>1.448028674</v>
      </c>
      <c r="AG54" s="5">
        <f t="shared" si="49"/>
        <v>1.409722222</v>
      </c>
      <c r="AH54" s="5">
        <f t="shared" si="49"/>
        <v>1.373737374</v>
      </c>
      <c r="AI54" s="5">
        <f t="shared" si="49"/>
        <v>1.339869281</v>
      </c>
      <c r="AJ54" s="5">
        <f t="shared" si="49"/>
        <v>1.307936508</v>
      </c>
      <c r="AK54" s="5">
        <f t="shared" si="49"/>
        <v>1.277777778</v>
      </c>
      <c r="AL54" s="5">
        <f t="shared" si="49"/>
        <v>1.249249249</v>
      </c>
      <c r="AM54" s="5">
        <f t="shared" si="49"/>
        <v>1.222222222</v>
      </c>
    </row>
    <row r="55">
      <c r="A55" s="2">
        <v>10.0</v>
      </c>
      <c r="B55" s="5">
        <f t="shared" ref="B55:AM55" si="50">B33/B11</f>
        <v>38</v>
      </c>
      <c r="C55" s="5">
        <f t="shared" si="50"/>
        <v>19</v>
      </c>
      <c r="D55" s="5">
        <f t="shared" si="50"/>
        <v>12.66666667</v>
      </c>
      <c r="E55" s="5">
        <f t="shared" si="50"/>
        <v>9.5</v>
      </c>
      <c r="F55" s="5">
        <f t="shared" si="50"/>
        <v>7.6</v>
      </c>
      <c r="G55" s="5">
        <f t="shared" si="50"/>
        <v>6.333333333</v>
      </c>
      <c r="H55" s="5">
        <f t="shared" si="50"/>
        <v>5.428571429</v>
      </c>
      <c r="I55" s="5">
        <f t="shared" si="50"/>
        <v>4.75</v>
      </c>
      <c r="J55" s="5">
        <f t="shared" si="50"/>
        <v>4.222222222</v>
      </c>
      <c r="K55" s="5">
        <f t="shared" si="50"/>
        <v>3.8</v>
      </c>
      <c r="L55" s="5">
        <f t="shared" si="50"/>
        <v>3.454545455</v>
      </c>
      <c r="M55" s="5">
        <f t="shared" si="50"/>
        <v>3.166666667</v>
      </c>
      <c r="N55" s="5">
        <f t="shared" si="50"/>
        <v>2.923076923</v>
      </c>
      <c r="O55" s="5">
        <f t="shared" si="50"/>
        <v>2.714285714</v>
      </c>
      <c r="P55" s="5">
        <f t="shared" si="50"/>
        <v>2.533333333</v>
      </c>
      <c r="Q55" s="5">
        <f t="shared" si="50"/>
        <v>2.375</v>
      </c>
      <c r="R55" s="5">
        <f t="shared" si="50"/>
        <v>2.235294118</v>
      </c>
      <c r="S55" s="5">
        <f t="shared" si="50"/>
        <v>2.111111111</v>
      </c>
      <c r="T55" s="5">
        <f t="shared" si="50"/>
        <v>2</v>
      </c>
      <c r="U55" s="5">
        <f t="shared" si="50"/>
        <v>1.9</v>
      </c>
      <c r="V55" s="5">
        <f t="shared" si="50"/>
        <v>1.80952381</v>
      </c>
      <c r="W55" s="5">
        <f t="shared" si="50"/>
        <v>1.727272727</v>
      </c>
      <c r="X55" s="5">
        <f t="shared" si="50"/>
        <v>1.652173913</v>
      </c>
      <c r="Y55" s="5">
        <f t="shared" si="50"/>
        <v>1.583333333</v>
      </c>
      <c r="Z55" s="5">
        <f t="shared" si="50"/>
        <v>1.52</v>
      </c>
      <c r="AA55" s="5">
        <f t="shared" si="50"/>
        <v>1.461538462</v>
      </c>
      <c r="AB55" s="5">
        <f t="shared" si="50"/>
        <v>1.407407407</v>
      </c>
      <c r="AC55" s="5">
        <f t="shared" si="50"/>
        <v>1.357142857</v>
      </c>
      <c r="AD55" s="5">
        <f t="shared" si="50"/>
        <v>1.310344828</v>
      </c>
      <c r="AE55" s="5">
        <f t="shared" si="50"/>
        <v>1.266666667</v>
      </c>
      <c r="AF55" s="5">
        <f t="shared" si="50"/>
        <v>1.225806452</v>
      </c>
      <c r="AG55" s="5">
        <f t="shared" si="50"/>
        <v>1.1875</v>
      </c>
      <c r="AH55" s="5">
        <f t="shared" si="50"/>
        <v>1.151515152</v>
      </c>
      <c r="AI55" s="5">
        <f t="shared" si="50"/>
        <v>1.117647059</v>
      </c>
      <c r="AJ55" s="5">
        <f t="shared" si="50"/>
        <v>1.085714286</v>
      </c>
      <c r="AK55" s="5">
        <f t="shared" si="50"/>
        <v>1.055555556</v>
      </c>
      <c r="AL55" s="5">
        <f t="shared" si="50"/>
        <v>1.027027027</v>
      </c>
      <c r="AM55" s="5">
        <f t="shared" si="50"/>
        <v>1</v>
      </c>
    </row>
    <row r="56">
      <c r="A56" s="2">
        <v>11.0</v>
      </c>
      <c r="B56" s="5">
        <f t="shared" ref="B56:AM56" si="51">B34/B12</f>
        <v>37.81818182</v>
      </c>
      <c r="C56" s="5">
        <f t="shared" si="51"/>
        <v>18.81818182</v>
      </c>
      <c r="D56" s="5">
        <f t="shared" si="51"/>
        <v>12.48484848</v>
      </c>
      <c r="E56" s="5">
        <f t="shared" si="51"/>
        <v>9.318181818</v>
      </c>
      <c r="F56" s="5">
        <f t="shared" si="51"/>
        <v>7.418181818</v>
      </c>
      <c r="G56" s="5">
        <f t="shared" si="51"/>
        <v>6.151515152</v>
      </c>
      <c r="H56" s="5">
        <f t="shared" si="51"/>
        <v>5.246753247</v>
      </c>
      <c r="I56" s="5">
        <f t="shared" si="51"/>
        <v>4.568181818</v>
      </c>
      <c r="J56" s="5">
        <f t="shared" si="51"/>
        <v>4.04040404</v>
      </c>
      <c r="K56" s="5">
        <f t="shared" si="51"/>
        <v>3.618181818</v>
      </c>
      <c r="L56" s="5">
        <f t="shared" si="51"/>
        <v>3.272727273</v>
      </c>
      <c r="M56" s="5">
        <f t="shared" si="51"/>
        <v>2.984848485</v>
      </c>
      <c r="N56" s="5">
        <f t="shared" si="51"/>
        <v>2.741258741</v>
      </c>
      <c r="O56" s="5">
        <f t="shared" si="51"/>
        <v>2.532467532</v>
      </c>
      <c r="P56" s="5">
        <f t="shared" si="51"/>
        <v>2.351515152</v>
      </c>
      <c r="Q56" s="5">
        <f t="shared" si="51"/>
        <v>2.193181818</v>
      </c>
      <c r="R56" s="5">
        <f t="shared" si="51"/>
        <v>2.053475936</v>
      </c>
      <c r="S56" s="5">
        <f t="shared" si="51"/>
        <v>1.929292929</v>
      </c>
      <c r="T56" s="5">
        <f t="shared" si="51"/>
        <v>1.818181818</v>
      </c>
      <c r="U56" s="5">
        <f t="shared" si="51"/>
        <v>1.718181818</v>
      </c>
      <c r="V56" s="5">
        <f t="shared" si="51"/>
        <v>1.627705628</v>
      </c>
      <c r="W56" s="5">
        <f t="shared" si="51"/>
        <v>1.545454545</v>
      </c>
      <c r="X56" s="5">
        <f t="shared" si="51"/>
        <v>1.470355731</v>
      </c>
      <c r="Y56" s="5">
        <f t="shared" si="51"/>
        <v>1.401515152</v>
      </c>
      <c r="Z56" s="5">
        <f t="shared" si="51"/>
        <v>1.338181818</v>
      </c>
      <c r="AA56" s="5">
        <f t="shared" si="51"/>
        <v>1.27972028</v>
      </c>
      <c r="AB56" s="5">
        <f t="shared" si="51"/>
        <v>1.225589226</v>
      </c>
      <c r="AC56" s="5">
        <f t="shared" si="51"/>
        <v>1.175324675</v>
      </c>
      <c r="AD56" s="5">
        <f t="shared" si="51"/>
        <v>1.128526646</v>
      </c>
      <c r="AE56" s="5">
        <f t="shared" si="51"/>
        <v>1.084848485</v>
      </c>
      <c r="AF56" s="5">
        <f t="shared" si="51"/>
        <v>1.04398827</v>
      </c>
      <c r="AG56" s="5">
        <f t="shared" si="51"/>
        <v>1.005681818</v>
      </c>
      <c r="AH56" s="5">
        <f t="shared" si="51"/>
        <v>0.9696969697</v>
      </c>
      <c r="AI56" s="5">
        <f t="shared" si="51"/>
        <v>0.935828877</v>
      </c>
      <c r="AJ56" s="5">
        <f t="shared" si="51"/>
        <v>0.9038961039</v>
      </c>
      <c r="AK56" s="5">
        <f t="shared" si="51"/>
        <v>0.8737373737</v>
      </c>
      <c r="AL56" s="5">
        <f t="shared" si="51"/>
        <v>0.8452088452</v>
      </c>
      <c r="AM56" s="5">
        <f t="shared" si="51"/>
        <v>0.8181818182</v>
      </c>
    </row>
    <row r="57">
      <c r="A57" s="2">
        <v>12.0</v>
      </c>
      <c r="B57" s="5">
        <f t="shared" ref="B57:AM57" si="52">B35/B13</f>
        <v>37.66666667</v>
      </c>
      <c r="C57" s="5">
        <f t="shared" si="52"/>
        <v>18.66666667</v>
      </c>
      <c r="D57" s="5">
        <f t="shared" si="52"/>
        <v>12.33333333</v>
      </c>
      <c r="E57" s="5">
        <f t="shared" si="52"/>
        <v>9.166666667</v>
      </c>
      <c r="F57" s="5">
        <f t="shared" si="52"/>
        <v>7.266666667</v>
      </c>
      <c r="G57" s="5">
        <f t="shared" si="52"/>
        <v>6</v>
      </c>
      <c r="H57" s="5">
        <f t="shared" si="52"/>
        <v>5.095238095</v>
      </c>
      <c r="I57" s="5">
        <f t="shared" si="52"/>
        <v>4.416666667</v>
      </c>
      <c r="J57" s="5">
        <f t="shared" si="52"/>
        <v>3.888888889</v>
      </c>
      <c r="K57" s="5">
        <f t="shared" si="52"/>
        <v>3.466666667</v>
      </c>
      <c r="L57" s="5">
        <f t="shared" si="52"/>
        <v>3.121212121</v>
      </c>
      <c r="M57" s="5">
        <f t="shared" si="52"/>
        <v>2.833333333</v>
      </c>
      <c r="N57" s="5">
        <f t="shared" si="52"/>
        <v>2.58974359</v>
      </c>
      <c r="O57" s="5">
        <f t="shared" si="52"/>
        <v>2.380952381</v>
      </c>
      <c r="P57" s="5">
        <f t="shared" si="52"/>
        <v>2.2</v>
      </c>
      <c r="Q57" s="5">
        <f t="shared" si="52"/>
        <v>2.041666667</v>
      </c>
      <c r="R57" s="5">
        <f t="shared" si="52"/>
        <v>1.901960784</v>
      </c>
      <c r="S57" s="5">
        <f t="shared" si="52"/>
        <v>1.777777778</v>
      </c>
      <c r="T57" s="5">
        <f t="shared" si="52"/>
        <v>1.666666667</v>
      </c>
      <c r="U57" s="5">
        <f t="shared" si="52"/>
        <v>1.566666667</v>
      </c>
      <c r="V57" s="5">
        <f t="shared" si="52"/>
        <v>1.476190476</v>
      </c>
      <c r="W57" s="5">
        <f t="shared" si="52"/>
        <v>1.393939394</v>
      </c>
      <c r="X57" s="5">
        <f t="shared" si="52"/>
        <v>1.31884058</v>
      </c>
      <c r="Y57" s="5">
        <f t="shared" si="52"/>
        <v>1.25</v>
      </c>
      <c r="Z57" s="5">
        <f t="shared" si="52"/>
        <v>1.186666667</v>
      </c>
      <c r="AA57" s="5">
        <f t="shared" si="52"/>
        <v>1.128205128</v>
      </c>
      <c r="AB57" s="5">
        <f t="shared" si="52"/>
        <v>1.074074074</v>
      </c>
      <c r="AC57" s="5">
        <f t="shared" si="52"/>
        <v>1.023809524</v>
      </c>
      <c r="AD57" s="5">
        <f t="shared" si="52"/>
        <v>0.9770114943</v>
      </c>
      <c r="AE57" s="5">
        <f t="shared" si="52"/>
        <v>0.9333333333</v>
      </c>
      <c r="AF57" s="5">
        <f t="shared" si="52"/>
        <v>0.8924731183</v>
      </c>
      <c r="AG57" s="5">
        <f t="shared" si="52"/>
        <v>0.8541666667</v>
      </c>
      <c r="AH57" s="5">
        <f t="shared" si="52"/>
        <v>0.8181818182</v>
      </c>
      <c r="AI57" s="5">
        <f t="shared" si="52"/>
        <v>0.7843137255</v>
      </c>
      <c r="AJ57" s="5">
        <f t="shared" si="52"/>
        <v>0.7523809524</v>
      </c>
      <c r="AK57" s="5">
        <f t="shared" si="52"/>
        <v>0.7222222222</v>
      </c>
      <c r="AL57" s="5">
        <f t="shared" si="52"/>
        <v>0.6936936937</v>
      </c>
      <c r="AM57" s="5">
        <f t="shared" si="52"/>
        <v>0.6666666667</v>
      </c>
    </row>
    <row r="58">
      <c r="A58" s="2">
        <v>13.0</v>
      </c>
      <c r="B58" s="5">
        <f t="shared" ref="B58:AM58" si="53">B36/B14</f>
        <v>37.53846154</v>
      </c>
      <c r="C58" s="5">
        <f t="shared" si="53"/>
        <v>18.53846154</v>
      </c>
      <c r="D58" s="5">
        <f t="shared" si="53"/>
        <v>12.20512821</v>
      </c>
      <c r="E58" s="5">
        <f t="shared" si="53"/>
        <v>9.038461538</v>
      </c>
      <c r="F58" s="5">
        <f t="shared" si="53"/>
        <v>7.138461538</v>
      </c>
      <c r="G58" s="5">
        <f t="shared" si="53"/>
        <v>5.871794872</v>
      </c>
      <c r="H58" s="5">
        <f t="shared" si="53"/>
        <v>4.967032967</v>
      </c>
      <c r="I58" s="5">
        <f t="shared" si="53"/>
        <v>4.288461538</v>
      </c>
      <c r="J58" s="5">
        <f t="shared" si="53"/>
        <v>3.760683761</v>
      </c>
      <c r="K58" s="5">
        <f t="shared" si="53"/>
        <v>3.338461538</v>
      </c>
      <c r="L58" s="5">
        <f t="shared" si="53"/>
        <v>2.993006993</v>
      </c>
      <c r="M58" s="5">
        <f t="shared" si="53"/>
        <v>2.705128205</v>
      </c>
      <c r="N58" s="5">
        <f t="shared" si="53"/>
        <v>2.461538462</v>
      </c>
      <c r="O58" s="5">
        <f t="shared" si="53"/>
        <v>2.252747253</v>
      </c>
      <c r="P58" s="5">
        <f t="shared" si="53"/>
        <v>2.071794872</v>
      </c>
      <c r="Q58" s="5">
        <f t="shared" si="53"/>
        <v>1.913461538</v>
      </c>
      <c r="R58" s="5">
        <f t="shared" si="53"/>
        <v>1.773755656</v>
      </c>
      <c r="S58" s="5">
        <f t="shared" si="53"/>
        <v>1.64957265</v>
      </c>
      <c r="T58" s="5">
        <f t="shared" si="53"/>
        <v>1.538461538</v>
      </c>
      <c r="U58" s="5">
        <f t="shared" si="53"/>
        <v>1.438461538</v>
      </c>
      <c r="V58" s="5">
        <f t="shared" si="53"/>
        <v>1.347985348</v>
      </c>
      <c r="W58" s="5">
        <f t="shared" si="53"/>
        <v>1.265734266</v>
      </c>
      <c r="X58" s="5">
        <f t="shared" si="53"/>
        <v>1.190635452</v>
      </c>
      <c r="Y58" s="5">
        <f t="shared" si="53"/>
        <v>1.121794872</v>
      </c>
      <c r="Z58" s="5">
        <f t="shared" si="53"/>
        <v>1.058461538</v>
      </c>
      <c r="AA58" s="5">
        <f t="shared" si="53"/>
        <v>1</v>
      </c>
      <c r="AB58" s="24">
        <f t="shared" si="53"/>
        <v>0.9458689459</v>
      </c>
      <c r="AC58" s="5">
        <f t="shared" si="53"/>
        <v>0.8956043956</v>
      </c>
      <c r="AD58" s="5">
        <f t="shared" si="53"/>
        <v>0.848806366</v>
      </c>
      <c r="AE58" s="5">
        <f t="shared" si="53"/>
        <v>0.8051282051</v>
      </c>
      <c r="AF58" s="5">
        <f t="shared" si="53"/>
        <v>0.7642679901</v>
      </c>
      <c r="AG58" s="5">
        <f t="shared" si="53"/>
        <v>0.7259615385</v>
      </c>
      <c r="AH58" s="5">
        <f t="shared" si="53"/>
        <v>0.68997669</v>
      </c>
      <c r="AI58" s="5">
        <f t="shared" si="53"/>
        <v>0.6561085973</v>
      </c>
      <c r="AJ58" s="5">
        <f t="shared" si="53"/>
        <v>0.6241758242</v>
      </c>
      <c r="AK58" s="5">
        <f t="shared" si="53"/>
        <v>0.594017094</v>
      </c>
      <c r="AL58" s="5">
        <f t="shared" si="53"/>
        <v>0.5654885655</v>
      </c>
      <c r="AM58" s="5">
        <f t="shared" si="53"/>
        <v>0.5384615385</v>
      </c>
    </row>
    <row r="59">
      <c r="A59" s="2">
        <v>14.0</v>
      </c>
      <c r="B59" s="5">
        <f t="shared" ref="B59:AM59" si="54">B37/B15</f>
        <v>37.42857143</v>
      </c>
      <c r="C59" s="5">
        <f t="shared" si="54"/>
        <v>18.42857143</v>
      </c>
      <c r="D59" s="5">
        <f t="shared" si="54"/>
        <v>12.0952381</v>
      </c>
      <c r="E59" s="5">
        <f t="shared" si="54"/>
        <v>8.928571429</v>
      </c>
      <c r="F59" s="5">
        <f t="shared" si="54"/>
        <v>7.028571429</v>
      </c>
      <c r="G59" s="5">
        <f t="shared" si="54"/>
        <v>5.761904762</v>
      </c>
      <c r="H59" s="5">
        <f t="shared" si="54"/>
        <v>4.857142857</v>
      </c>
      <c r="I59" s="5">
        <f t="shared" si="54"/>
        <v>4.178571429</v>
      </c>
      <c r="J59" s="5">
        <f t="shared" si="54"/>
        <v>3.650793651</v>
      </c>
      <c r="K59" s="5">
        <f t="shared" si="54"/>
        <v>3.228571429</v>
      </c>
      <c r="L59" s="5">
        <f t="shared" si="54"/>
        <v>2.883116883</v>
      </c>
      <c r="M59" s="5">
        <f t="shared" si="54"/>
        <v>2.595238095</v>
      </c>
      <c r="N59" s="5">
        <f t="shared" si="54"/>
        <v>2.351648352</v>
      </c>
      <c r="O59" s="5">
        <f t="shared" si="54"/>
        <v>2.142857143</v>
      </c>
      <c r="P59" s="5">
        <f t="shared" si="54"/>
        <v>1.961904762</v>
      </c>
      <c r="Q59" s="5">
        <f t="shared" si="54"/>
        <v>1.803571429</v>
      </c>
      <c r="R59" s="5">
        <f t="shared" si="54"/>
        <v>1.663865546</v>
      </c>
      <c r="S59" s="5">
        <f t="shared" si="54"/>
        <v>1.53968254</v>
      </c>
      <c r="T59" s="5">
        <f t="shared" si="54"/>
        <v>1.428571429</v>
      </c>
      <c r="U59" s="5">
        <f t="shared" si="54"/>
        <v>1.328571429</v>
      </c>
      <c r="V59" s="5">
        <f t="shared" si="54"/>
        <v>1.238095238</v>
      </c>
      <c r="W59" s="5">
        <f t="shared" si="54"/>
        <v>1.155844156</v>
      </c>
      <c r="X59" s="5">
        <f t="shared" si="54"/>
        <v>1.080745342</v>
      </c>
      <c r="Y59" s="5">
        <f t="shared" si="54"/>
        <v>1.011904762</v>
      </c>
      <c r="Z59" s="24">
        <f t="shared" si="54"/>
        <v>0.9485714286</v>
      </c>
      <c r="AA59" s="5">
        <f t="shared" si="54"/>
        <v>0.8901098901</v>
      </c>
      <c r="AB59" s="5">
        <f t="shared" si="54"/>
        <v>0.835978836</v>
      </c>
      <c r="AC59" s="5">
        <f t="shared" si="54"/>
        <v>0.7857142857</v>
      </c>
      <c r="AD59" s="5">
        <f t="shared" si="54"/>
        <v>0.7389162562</v>
      </c>
      <c r="AE59" s="5">
        <f t="shared" si="54"/>
        <v>0.6952380952</v>
      </c>
      <c r="AF59" s="5">
        <f t="shared" si="54"/>
        <v>0.6543778802</v>
      </c>
      <c r="AG59" s="5">
        <f t="shared" si="54"/>
        <v>0.6160714286</v>
      </c>
      <c r="AH59" s="5">
        <f t="shared" si="54"/>
        <v>0.5800865801</v>
      </c>
      <c r="AI59" s="5">
        <f t="shared" si="54"/>
        <v>0.5462184874</v>
      </c>
      <c r="AJ59" s="5">
        <f t="shared" si="54"/>
        <v>0.5142857143</v>
      </c>
      <c r="AK59" s="5">
        <f t="shared" si="54"/>
        <v>0.4841269841</v>
      </c>
      <c r="AL59" s="5">
        <f t="shared" si="54"/>
        <v>0.4555984556</v>
      </c>
      <c r="AM59" s="5">
        <f t="shared" si="54"/>
        <v>0.4285714286</v>
      </c>
    </row>
    <row r="60">
      <c r="A60" s="2">
        <v>15.0</v>
      </c>
      <c r="B60" s="5">
        <f t="shared" ref="B60:AM60" si="55">B38/B16</f>
        <v>37.33333333</v>
      </c>
      <c r="C60" s="5">
        <f t="shared" si="55"/>
        <v>18.33333333</v>
      </c>
      <c r="D60" s="5">
        <f t="shared" si="55"/>
        <v>12</v>
      </c>
      <c r="E60" s="5">
        <f t="shared" si="55"/>
        <v>8.833333333</v>
      </c>
      <c r="F60" s="5">
        <f t="shared" si="55"/>
        <v>6.933333333</v>
      </c>
      <c r="G60" s="5">
        <f t="shared" si="55"/>
        <v>5.666666667</v>
      </c>
      <c r="H60" s="5">
        <f t="shared" si="55"/>
        <v>4.761904762</v>
      </c>
      <c r="I60" s="5">
        <f t="shared" si="55"/>
        <v>4.083333333</v>
      </c>
      <c r="J60" s="5">
        <f t="shared" si="55"/>
        <v>3.555555556</v>
      </c>
      <c r="K60" s="5">
        <f t="shared" si="55"/>
        <v>3.133333333</v>
      </c>
      <c r="L60" s="5">
        <f t="shared" si="55"/>
        <v>2.787878788</v>
      </c>
      <c r="M60" s="5">
        <f t="shared" si="55"/>
        <v>2.5</v>
      </c>
      <c r="N60" s="5">
        <f t="shared" si="55"/>
        <v>2.256410256</v>
      </c>
      <c r="O60" s="5">
        <f t="shared" si="55"/>
        <v>2.047619048</v>
      </c>
      <c r="P60" s="5">
        <f t="shared" si="55"/>
        <v>1.866666667</v>
      </c>
      <c r="Q60" s="5">
        <f t="shared" si="55"/>
        <v>1.708333333</v>
      </c>
      <c r="R60" s="5">
        <f t="shared" si="55"/>
        <v>1.568627451</v>
      </c>
      <c r="S60" s="5">
        <f t="shared" si="55"/>
        <v>1.444444444</v>
      </c>
      <c r="T60" s="5">
        <f t="shared" si="55"/>
        <v>1.333333333</v>
      </c>
      <c r="U60" s="5">
        <f t="shared" si="55"/>
        <v>1.233333333</v>
      </c>
      <c r="V60" s="5">
        <f t="shared" si="55"/>
        <v>1.142857143</v>
      </c>
      <c r="W60" s="5">
        <f t="shared" si="55"/>
        <v>1.060606061</v>
      </c>
      <c r="X60" s="5">
        <f t="shared" si="55"/>
        <v>0.9855072464</v>
      </c>
      <c r="Y60" s="24">
        <f t="shared" si="55"/>
        <v>0.9166666667</v>
      </c>
      <c r="Z60" s="5">
        <f t="shared" si="55"/>
        <v>0.8533333333</v>
      </c>
      <c r="AA60" s="5">
        <f t="shared" si="55"/>
        <v>0.7948717949</v>
      </c>
      <c r="AB60" s="5">
        <f t="shared" si="55"/>
        <v>0.7407407407</v>
      </c>
      <c r="AC60" s="5">
        <f t="shared" si="55"/>
        <v>0.6904761905</v>
      </c>
      <c r="AD60" s="5">
        <f t="shared" si="55"/>
        <v>0.6436781609</v>
      </c>
      <c r="AE60" s="5">
        <f t="shared" si="55"/>
        <v>0.6</v>
      </c>
      <c r="AF60" s="5">
        <f t="shared" si="55"/>
        <v>0.5591397849</v>
      </c>
      <c r="AG60" s="5">
        <f t="shared" si="55"/>
        <v>0.5208333333</v>
      </c>
      <c r="AH60" s="5">
        <f t="shared" si="55"/>
        <v>0.4848484848</v>
      </c>
      <c r="AI60" s="5">
        <f t="shared" si="55"/>
        <v>0.4509803922</v>
      </c>
      <c r="AJ60" s="5">
        <f t="shared" si="55"/>
        <v>0.419047619</v>
      </c>
      <c r="AK60" s="5">
        <f t="shared" si="55"/>
        <v>0.3888888889</v>
      </c>
      <c r="AL60" s="5">
        <f t="shared" si="55"/>
        <v>0.3603603604</v>
      </c>
      <c r="AM60" s="5">
        <f t="shared" si="55"/>
        <v>0.3333333333</v>
      </c>
    </row>
    <row r="61">
      <c r="A61" s="2">
        <v>16.0</v>
      </c>
      <c r="B61" s="5">
        <f t="shared" ref="B61:AM61" si="56">B39/B17</f>
        <v>37.25</v>
      </c>
      <c r="C61" s="5">
        <f t="shared" si="56"/>
        <v>18.25</v>
      </c>
      <c r="D61" s="5">
        <f t="shared" si="56"/>
        <v>11.91666667</v>
      </c>
      <c r="E61" s="5">
        <f t="shared" si="56"/>
        <v>8.75</v>
      </c>
      <c r="F61" s="5">
        <f t="shared" si="56"/>
        <v>6.85</v>
      </c>
      <c r="G61" s="5">
        <f t="shared" si="56"/>
        <v>5.583333333</v>
      </c>
      <c r="H61" s="5">
        <f t="shared" si="56"/>
        <v>4.678571429</v>
      </c>
      <c r="I61" s="5">
        <f t="shared" si="56"/>
        <v>4</v>
      </c>
      <c r="J61" s="5">
        <f t="shared" si="56"/>
        <v>3.472222222</v>
      </c>
      <c r="K61" s="5">
        <f t="shared" si="56"/>
        <v>3.05</v>
      </c>
      <c r="L61" s="5">
        <f t="shared" si="56"/>
        <v>2.704545455</v>
      </c>
      <c r="M61" s="5">
        <f t="shared" si="56"/>
        <v>2.416666667</v>
      </c>
      <c r="N61" s="5">
        <f t="shared" si="56"/>
        <v>2.173076923</v>
      </c>
      <c r="O61" s="5">
        <f t="shared" si="56"/>
        <v>1.964285714</v>
      </c>
      <c r="P61" s="5">
        <f t="shared" si="56"/>
        <v>1.783333333</v>
      </c>
      <c r="Q61" s="5">
        <f t="shared" si="56"/>
        <v>1.625</v>
      </c>
      <c r="R61" s="5">
        <f t="shared" si="56"/>
        <v>1.485294118</v>
      </c>
      <c r="S61" s="5">
        <f t="shared" si="56"/>
        <v>1.361111111</v>
      </c>
      <c r="T61" s="5">
        <f t="shared" si="56"/>
        <v>1.25</v>
      </c>
      <c r="U61" s="5">
        <f t="shared" si="56"/>
        <v>1.15</v>
      </c>
      <c r="V61" s="5">
        <f t="shared" si="56"/>
        <v>1.05952381</v>
      </c>
      <c r="W61" s="5">
        <f t="shared" si="56"/>
        <v>0.9772727273</v>
      </c>
      <c r="X61" s="5">
        <f t="shared" si="56"/>
        <v>0.902173913</v>
      </c>
      <c r="Y61" s="5">
        <f t="shared" si="56"/>
        <v>0.8333333333</v>
      </c>
      <c r="Z61" s="5">
        <f t="shared" si="56"/>
        <v>0.77</v>
      </c>
      <c r="AA61" s="5">
        <f t="shared" si="56"/>
        <v>0.7115384615</v>
      </c>
      <c r="AB61" s="5">
        <f t="shared" si="56"/>
        <v>0.6574074074</v>
      </c>
      <c r="AC61" s="5">
        <f t="shared" si="56"/>
        <v>0.6071428571</v>
      </c>
      <c r="AD61" s="5">
        <f t="shared" si="56"/>
        <v>0.5603448276</v>
      </c>
      <c r="AE61" s="5">
        <f t="shared" si="56"/>
        <v>0.5166666667</v>
      </c>
      <c r="AF61" s="5">
        <f t="shared" si="56"/>
        <v>0.4758064516</v>
      </c>
      <c r="AG61" s="5">
        <f t="shared" si="56"/>
        <v>0.4375</v>
      </c>
      <c r="AH61" s="5">
        <f t="shared" si="56"/>
        <v>0.4015151515</v>
      </c>
      <c r="AI61" s="5">
        <f t="shared" si="56"/>
        <v>0.3676470588</v>
      </c>
      <c r="AJ61" s="5">
        <f t="shared" si="56"/>
        <v>0.3357142857</v>
      </c>
      <c r="AK61" s="5">
        <f t="shared" si="56"/>
        <v>0.3055555556</v>
      </c>
      <c r="AL61" s="5">
        <f t="shared" si="56"/>
        <v>0.277027027</v>
      </c>
      <c r="AM61" s="5">
        <f t="shared" si="56"/>
        <v>0.25</v>
      </c>
    </row>
    <row r="62">
      <c r="A62" s="2">
        <v>17.0</v>
      </c>
      <c r="B62" s="5">
        <f t="shared" ref="B62:AM62" si="57">B40/B18</f>
        <v>37.17647059</v>
      </c>
      <c r="C62" s="5">
        <f t="shared" si="57"/>
        <v>18.17647059</v>
      </c>
      <c r="D62" s="5">
        <f t="shared" si="57"/>
        <v>11.84313725</v>
      </c>
      <c r="E62" s="5">
        <f t="shared" si="57"/>
        <v>8.676470588</v>
      </c>
      <c r="F62" s="5">
        <f t="shared" si="57"/>
        <v>6.776470588</v>
      </c>
      <c r="G62" s="5">
        <f t="shared" si="57"/>
        <v>5.509803922</v>
      </c>
      <c r="H62" s="5">
        <f t="shared" si="57"/>
        <v>4.605042017</v>
      </c>
      <c r="I62" s="5">
        <f t="shared" si="57"/>
        <v>3.926470588</v>
      </c>
      <c r="J62" s="5">
        <f t="shared" si="57"/>
        <v>3.39869281</v>
      </c>
      <c r="K62" s="5">
        <f t="shared" si="57"/>
        <v>2.976470588</v>
      </c>
      <c r="L62" s="5">
        <f t="shared" si="57"/>
        <v>2.631016043</v>
      </c>
      <c r="M62" s="5">
        <f t="shared" si="57"/>
        <v>2.343137255</v>
      </c>
      <c r="N62" s="5">
        <f t="shared" si="57"/>
        <v>2.099547511</v>
      </c>
      <c r="O62" s="5">
        <f t="shared" si="57"/>
        <v>1.890756303</v>
      </c>
      <c r="P62" s="5">
        <f t="shared" si="57"/>
        <v>1.709803922</v>
      </c>
      <c r="Q62" s="5">
        <f t="shared" si="57"/>
        <v>1.551470588</v>
      </c>
      <c r="R62" s="5">
        <f t="shared" si="57"/>
        <v>1.411764706</v>
      </c>
      <c r="S62" s="5">
        <f t="shared" si="57"/>
        <v>1.287581699</v>
      </c>
      <c r="T62" s="5">
        <f t="shared" si="57"/>
        <v>1.176470588</v>
      </c>
      <c r="U62" s="5">
        <f t="shared" si="57"/>
        <v>1.076470588</v>
      </c>
      <c r="V62" s="5">
        <f t="shared" si="57"/>
        <v>0.9859943978</v>
      </c>
      <c r="W62" s="5">
        <f t="shared" si="57"/>
        <v>0.9037433155</v>
      </c>
      <c r="X62" s="5">
        <f t="shared" si="57"/>
        <v>0.8286445013</v>
      </c>
      <c r="Y62" s="5">
        <f t="shared" si="57"/>
        <v>0.7598039216</v>
      </c>
      <c r="Z62" s="5">
        <f t="shared" si="57"/>
        <v>0.6964705882</v>
      </c>
      <c r="AA62" s="5">
        <f t="shared" si="57"/>
        <v>0.6380090498</v>
      </c>
      <c r="AB62" s="5">
        <f t="shared" si="57"/>
        <v>0.5838779956</v>
      </c>
      <c r="AC62" s="5">
        <f t="shared" si="57"/>
        <v>0.5336134454</v>
      </c>
      <c r="AD62" s="5">
        <f t="shared" si="57"/>
        <v>0.4868154158</v>
      </c>
      <c r="AE62" s="5">
        <f t="shared" si="57"/>
        <v>0.4431372549</v>
      </c>
      <c r="AF62" s="5">
        <f t="shared" si="57"/>
        <v>0.4022770398</v>
      </c>
      <c r="AG62" s="5">
        <f t="shared" si="57"/>
        <v>0.3639705882</v>
      </c>
      <c r="AH62" s="5">
        <f t="shared" si="57"/>
        <v>0.3279857398</v>
      </c>
      <c r="AI62" s="5">
        <f t="shared" si="57"/>
        <v>0.2941176471</v>
      </c>
      <c r="AJ62" s="5">
        <f t="shared" si="57"/>
        <v>0.2621848739</v>
      </c>
      <c r="AK62" s="5">
        <f t="shared" si="57"/>
        <v>0.2320261438</v>
      </c>
      <c r="AL62" s="5">
        <f t="shared" si="57"/>
        <v>0.2034976153</v>
      </c>
      <c r="AM62" s="5">
        <f t="shared" si="57"/>
        <v>0.1764705882</v>
      </c>
    </row>
    <row r="63">
      <c r="A63" s="2">
        <v>18.0</v>
      </c>
      <c r="B63" s="5">
        <f t="shared" ref="B63:AM63" si="58">B41/B19</f>
        <v>37.11111111</v>
      </c>
      <c r="C63" s="5">
        <f t="shared" si="58"/>
        <v>18.11111111</v>
      </c>
      <c r="D63" s="5">
        <f t="shared" si="58"/>
        <v>11.77777778</v>
      </c>
      <c r="E63" s="5">
        <f t="shared" si="58"/>
        <v>8.611111111</v>
      </c>
      <c r="F63" s="5">
        <f t="shared" si="58"/>
        <v>6.711111111</v>
      </c>
      <c r="G63" s="5">
        <f t="shared" si="58"/>
        <v>5.444444444</v>
      </c>
      <c r="H63" s="5">
        <f t="shared" si="58"/>
        <v>4.53968254</v>
      </c>
      <c r="I63" s="5">
        <f t="shared" si="58"/>
        <v>3.861111111</v>
      </c>
      <c r="J63" s="5">
        <f t="shared" si="58"/>
        <v>3.333333333</v>
      </c>
      <c r="K63" s="5">
        <f t="shared" si="58"/>
        <v>2.911111111</v>
      </c>
      <c r="L63" s="5">
        <f t="shared" si="58"/>
        <v>2.565656566</v>
      </c>
      <c r="M63" s="5">
        <f t="shared" si="58"/>
        <v>2.277777778</v>
      </c>
      <c r="N63" s="5">
        <f t="shared" si="58"/>
        <v>2.034188034</v>
      </c>
      <c r="O63" s="5">
        <f t="shared" si="58"/>
        <v>1.825396825</v>
      </c>
      <c r="P63" s="5">
        <f t="shared" si="58"/>
        <v>1.644444444</v>
      </c>
      <c r="Q63" s="5">
        <f t="shared" si="58"/>
        <v>1.486111111</v>
      </c>
      <c r="R63" s="5">
        <f t="shared" si="58"/>
        <v>1.346405229</v>
      </c>
      <c r="S63" s="5">
        <f t="shared" si="58"/>
        <v>1.222222222</v>
      </c>
      <c r="T63" s="5">
        <f t="shared" si="58"/>
        <v>1.111111111</v>
      </c>
      <c r="U63" s="5">
        <f t="shared" si="58"/>
        <v>1.011111111</v>
      </c>
      <c r="V63" s="5">
        <f t="shared" si="58"/>
        <v>0.9206349206</v>
      </c>
      <c r="W63" s="5">
        <f t="shared" si="58"/>
        <v>0.8383838384</v>
      </c>
      <c r="X63" s="5">
        <f t="shared" si="58"/>
        <v>0.7632850242</v>
      </c>
      <c r="Y63" s="5">
        <f t="shared" si="58"/>
        <v>0.6944444444</v>
      </c>
      <c r="Z63" s="5">
        <f t="shared" si="58"/>
        <v>0.6311111111</v>
      </c>
      <c r="AA63" s="5">
        <f t="shared" si="58"/>
        <v>0.5726495726</v>
      </c>
      <c r="AB63" s="5">
        <f t="shared" si="58"/>
        <v>0.5185185185</v>
      </c>
      <c r="AC63" s="5">
        <f t="shared" si="58"/>
        <v>0.4682539683</v>
      </c>
      <c r="AD63" s="5">
        <f t="shared" si="58"/>
        <v>0.4214559387</v>
      </c>
      <c r="AE63" s="5">
        <f t="shared" si="58"/>
        <v>0.3777777778</v>
      </c>
      <c r="AF63" s="5">
        <f t="shared" si="58"/>
        <v>0.3369175627</v>
      </c>
      <c r="AG63" s="5">
        <f t="shared" si="58"/>
        <v>0.2986111111</v>
      </c>
      <c r="AH63" s="5">
        <f t="shared" si="58"/>
        <v>0.2626262626</v>
      </c>
      <c r="AI63" s="5">
        <f t="shared" si="58"/>
        <v>0.2287581699</v>
      </c>
      <c r="AJ63" s="5">
        <f t="shared" si="58"/>
        <v>0.1968253968</v>
      </c>
      <c r="AK63" s="5">
        <f t="shared" si="58"/>
        <v>0.1666666667</v>
      </c>
      <c r="AL63" s="5">
        <f t="shared" si="58"/>
        <v>0.1381381381</v>
      </c>
      <c r="AM63" s="5">
        <f t="shared" si="58"/>
        <v>0.1111111111</v>
      </c>
    </row>
    <row r="64">
      <c r="A64" s="2">
        <v>19.0</v>
      </c>
      <c r="B64" s="5">
        <f t="shared" ref="B64:AM64" si="59">B42/B20</f>
        <v>37.05263158</v>
      </c>
      <c r="C64" s="5">
        <f t="shared" si="59"/>
        <v>18.05263158</v>
      </c>
      <c r="D64" s="5">
        <f t="shared" si="59"/>
        <v>11.71929825</v>
      </c>
      <c r="E64" s="5">
        <f t="shared" si="59"/>
        <v>8.552631579</v>
      </c>
      <c r="F64" s="5">
        <f t="shared" si="59"/>
        <v>6.652631579</v>
      </c>
      <c r="G64" s="5">
        <f t="shared" si="59"/>
        <v>5.385964912</v>
      </c>
      <c r="H64" s="5">
        <f t="shared" si="59"/>
        <v>4.481203008</v>
      </c>
      <c r="I64" s="5">
        <f t="shared" si="59"/>
        <v>3.802631579</v>
      </c>
      <c r="J64" s="5">
        <f t="shared" si="59"/>
        <v>3.274853801</v>
      </c>
      <c r="K64" s="5">
        <f t="shared" si="59"/>
        <v>2.852631579</v>
      </c>
      <c r="L64" s="5">
        <f t="shared" si="59"/>
        <v>2.507177033</v>
      </c>
      <c r="M64" s="5">
        <f t="shared" si="59"/>
        <v>2.219298246</v>
      </c>
      <c r="N64" s="5">
        <f t="shared" si="59"/>
        <v>1.975708502</v>
      </c>
      <c r="O64" s="5">
        <f t="shared" si="59"/>
        <v>1.766917293</v>
      </c>
      <c r="P64" s="5">
        <f t="shared" si="59"/>
        <v>1.585964912</v>
      </c>
      <c r="Q64" s="5">
        <f t="shared" si="59"/>
        <v>1.427631579</v>
      </c>
      <c r="R64" s="5">
        <f t="shared" si="59"/>
        <v>1.287925697</v>
      </c>
      <c r="S64" s="5">
        <f t="shared" si="59"/>
        <v>1.16374269</v>
      </c>
      <c r="T64" s="5">
        <f t="shared" si="59"/>
        <v>1.052631579</v>
      </c>
      <c r="U64" s="5">
        <f t="shared" si="59"/>
        <v>0.9526315789</v>
      </c>
      <c r="V64" s="5">
        <f t="shared" si="59"/>
        <v>0.8621553885</v>
      </c>
      <c r="W64" s="5">
        <f t="shared" si="59"/>
        <v>0.7799043062</v>
      </c>
      <c r="X64" s="5">
        <f t="shared" si="59"/>
        <v>0.704805492</v>
      </c>
      <c r="Y64" s="5">
        <f t="shared" si="59"/>
        <v>0.6359649123</v>
      </c>
      <c r="Z64" s="5">
        <f t="shared" si="59"/>
        <v>0.5726315789</v>
      </c>
      <c r="AA64" s="5">
        <f t="shared" si="59"/>
        <v>0.5141700405</v>
      </c>
      <c r="AB64" s="5">
        <f t="shared" si="59"/>
        <v>0.4600389864</v>
      </c>
      <c r="AC64" s="5">
        <f t="shared" si="59"/>
        <v>0.4097744361</v>
      </c>
      <c r="AD64" s="5">
        <f t="shared" si="59"/>
        <v>0.3629764065</v>
      </c>
      <c r="AE64" s="5">
        <f t="shared" si="59"/>
        <v>0.3192982456</v>
      </c>
      <c r="AF64" s="5">
        <f t="shared" si="59"/>
        <v>0.2784380306</v>
      </c>
      <c r="AG64" s="5">
        <f t="shared" si="59"/>
        <v>0.2401315789</v>
      </c>
      <c r="AH64" s="5">
        <f t="shared" si="59"/>
        <v>0.2041467305</v>
      </c>
      <c r="AI64" s="5">
        <f t="shared" si="59"/>
        <v>0.1702786378</v>
      </c>
      <c r="AJ64" s="5">
        <f t="shared" si="59"/>
        <v>0.1383458647</v>
      </c>
      <c r="AK64" s="5">
        <f t="shared" si="59"/>
        <v>0.1081871345</v>
      </c>
      <c r="AL64" s="5">
        <f t="shared" si="59"/>
        <v>0.07965860597</v>
      </c>
      <c r="AM64" s="5">
        <f t="shared" si="59"/>
        <v>0.05263157895</v>
      </c>
    </row>
    <row r="65">
      <c r="A65" s="2">
        <v>20.0</v>
      </c>
      <c r="B65" s="5">
        <f t="shared" ref="B65:AM65" si="60">B43/B21</f>
        <v>37</v>
      </c>
      <c r="C65" s="5">
        <f t="shared" si="60"/>
        <v>18</v>
      </c>
      <c r="D65" s="5">
        <f t="shared" si="60"/>
        <v>11.66666667</v>
      </c>
      <c r="E65" s="5">
        <f t="shared" si="60"/>
        <v>8.5</v>
      </c>
      <c r="F65" s="5">
        <f t="shared" si="60"/>
        <v>6.6</v>
      </c>
      <c r="G65" s="5">
        <f t="shared" si="60"/>
        <v>5.333333333</v>
      </c>
      <c r="H65" s="5">
        <f t="shared" si="60"/>
        <v>4.428571429</v>
      </c>
      <c r="I65" s="5">
        <f t="shared" si="60"/>
        <v>3.75</v>
      </c>
      <c r="J65" s="5">
        <f t="shared" si="60"/>
        <v>3.222222222</v>
      </c>
      <c r="K65" s="5">
        <f t="shared" si="60"/>
        <v>2.8</v>
      </c>
      <c r="L65" s="5">
        <f t="shared" si="60"/>
        <v>2.454545455</v>
      </c>
      <c r="M65" s="5">
        <f t="shared" si="60"/>
        <v>2.166666667</v>
      </c>
      <c r="N65" s="5">
        <f t="shared" si="60"/>
        <v>1.923076923</v>
      </c>
      <c r="O65" s="5">
        <f t="shared" si="60"/>
        <v>1.714285714</v>
      </c>
      <c r="P65" s="5">
        <f t="shared" si="60"/>
        <v>1.533333333</v>
      </c>
      <c r="Q65" s="5">
        <f t="shared" si="60"/>
        <v>1.375</v>
      </c>
      <c r="R65" s="5">
        <f t="shared" si="60"/>
        <v>1.235294118</v>
      </c>
      <c r="S65" s="5">
        <f t="shared" si="60"/>
        <v>1.111111111</v>
      </c>
      <c r="T65" s="5">
        <f t="shared" si="60"/>
        <v>1</v>
      </c>
      <c r="U65" s="5">
        <f t="shared" si="60"/>
        <v>0.9</v>
      </c>
      <c r="V65" s="5">
        <f t="shared" si="60"/>
        <v>0.8095238095</v>
      </c>
      <c r="W65" s="5">
        <f t="shared" si="60"/>
        <v>0.7272727273</v>
      </c>
      <c r="X65" s="5">
        <f t="shared" si="60"/>
        <v>0.652173913</v>
      </c>
      <c r="Y65" s="5">
        <f t="shared" si="60"/>
        <v>0.5833333333</v>
      </c>
      <c r="Z65" s="5">
        <f t="shared" si="60"/>
        <v>0.52</v>
      </c>
      <c r="AA65" s="5">
        <f t="shared" si="60"/>
        <v>0.4615384615</v>
      </c>
      <c r="AB65" s="5">
        <f t="shared" si="60"/>
        <v>0.4074074074</v>
      </c>
      <c r="AC65" s="5">
        <f t="shared" si="60"/>
        <v>0.3571428571</v>
      </c>
      <c r="AD65" s="5">
        <f t="shared" si="60"/>
        <v>0.3103448276</v>
      </c>
      <c r="AE65" s="5">
        <f t="shared" si="60"/>
        <v>0.2666666667</v>
      </c>
      <c r="AF65" s="5">
        <f t="shared" si="60"/>
        <v>0.2258064516</v>
      </c>
      <c r="AG65" s="5">
        <f t="shared" si="60"/>
        <v>0.1875</v>
      </c>
      <c r="AH65" s="5">
        <f t="shared" si="60"/>
        <v>0.1515151515</v>
      </c>
      <c r="AI65" s="5">
        <f t="shared" si="60"/>
        <v>0.1176470588</v>
      </c>
      <c r="AJ65" s="5">
        <f t="shared" si="60"/>
        <v>0.08571428571</v>
      </c>
      <c r="AK65" s="5">
        <f t="shared" si="60"/>
        <v>0.05555555556</v>
      </c>
      <c r="AL65" s="5">
        <f t="shared" si="60"/>
        <v>0.02702702703</v>
      </c>
      <c r="AM65" s="5">
        <f t="shared" si="60"/>
        <v>0</v>
      </c>
    </row>
    <row r="66">
      <c r="A66" s="17"/>
      <c r="B66" s="25">
        <v>1.07</v>
      </c>
      <c r="D66" s="25" t="s">
        <v>22</v>
      </c>
    </row>
    <row r="67">
      <c r="A67" s="17"/>
      <c r="B67" s="2">
        <v>1.0</v>
      </c>
      <c r="C67" s="2">
        <v>2.0</v>
      </c>
      <c r="D67" s="2">
        <v>3.0</v>
      </c>
      <c r="E67" s="2">
        <v>4.0</v>
      </c>
      <c r="F67" s="2">
        <v>5.0</v>
      </c>
      <c r="G67" s="2">
        <v>6.0</v>
      </c>
      <c r="H67" s="2">
        <v>7.0</v>
      </c>
      <c r="I67" s="2">
        <v>8.0</v>
      </c>
      <c r="J67" s="2">
        <v>9.0</v>
      </c>
      <c r="K67" s="2">
        <v>10.0</v>
      </c>
      <c r="L67" s="2">
        <v>11.0</v>
      </c>
      <c r="M67" s="2">
        <v>12.0</v>
      </c>
      <c r="N67" s="2">
        <v>13.0</v>
      </c>
      <c r="O67" s="2">
        <v>14.0</v>
      </c>
      <c r="P67" s="2">
        <v>15.0</v>
      </c>
      <c r="Q67" s="2">
        <v>16.0</v>
      </c>
      <c r="R67" s="2">
        <v>17.0</v>
      </c>
      <c r="S67" s="2">
        <v>18.0</v>
      </c>
      <c r="T67" s="2">
        <v>19.0</v>
      </c>
      <c r="U67" s="2">
        <v>20.0</v>
      </c>
      <c r="V67" s="2">
        <v>21.0</v>
      </c>
      <c r="W67" s="2">
        <v>22.0</v>
      </c>
      <c r="X67" s="2">
        <v>23.0</v>
      </c>
      <c r="Y67" s="2">
        <v>24.0</v>
      </c>
      <c r="Z67" s="2">
        <v>25.0</v>
      </c>
      <c r="AA67" s="2">
        <v>26.0</v>
      </c>
      <c r="AB67" s="2">
        <v>27.0</v>
      </c>
      <c r="AC67" s="2">
        <v>28.0</v>
      </c>
      <c r="AD67" s="2">
        <v>29.0</v>
      </c>
      <c r="AE67" s="2">
        <v>30.0</v>
      </c>
      <c r="AF67" s="2">
        <v>31.0</v>
      </c>
      <c r="AG67" s="2">
        <v>32.0</v>
      </c>
      <c r="AH67" s="2">
        <v>33.0</v>
      </c>
      <c r="AI67" s="2">
        <v>34.0</v>
      </c>
      <c r="AJ67" s="2">
        <v>35.0</v>
      </c>
      <c r="AK67" s="2">
        <v>36.0</v>
      </c>
      <c r="AL67" s="2">
        <v>37.0</v>
      </c>
      <c r="AM67" s="2">
        <v>38.0</v>
      </c>
    </row>
    <row r="68">
      <c r="A68" s="2">
        <v>1.0</v>
      </c>
      <c r="B68" s="5">
        <f t="shared" ref="B68:AM68" si="61">max(B2,B24*$B$66)</f>
        <v>59.92</v>
      </c>
      <c r="C68" s="5">
        <f t="shared" si="61"/>
        <v>79.18</v>
      </c>
      <c r="D68" s="5">
        <f t="shared" si="61"/>
        <v>98.44</v>
      </c>
      <c r="E68" s="5">
        <f t="shared" si="61"/>
        <v>117.7</v>
      </c>
      <c r="F68" s="5">
        <f t="shared" si="61"/>
        <v>136.96</v>
      </c>
      <c r="G68" s="5">
        <f t="shared" si="61"/>
        <v>156.22</v>
      </c>
      <c r="H68" s="5">
        <f t="shared" si="61"/>
        <v>175.48</v>
      </c>
      <c r="I68" s="5">
        <f t="shared" si="61"/>
        <v>194.74</v>
      </c>
      <c r="J68" s="5">
        <f t="shared" si="61"/>
        <v>214</v>
      </c>
      <c r="K68" s="5">
        <f t="shared" si="61"/>
        <v>233.26</v>
      </c>
      <c r="L68" s="5">
        <f t="shared" si="61"/>
        <v>252.52</v>
      </c>
      <c r="M68" s="5">
        <f t="shared" si="61"/>
        <v>271.78</v>
      </c>
      <c r="N68" s="5">
        <f t="shared" si="61"/>
        <v>291.04</v>
      </c>
      <c r="O68" s="5">
        <f t="shared" si="61"/>
        <v>310.3</v>
      </c>
      <c r="P68" s="5">
        <f t="shared" si="61"/>
        <v>329.56</v>
      </c>
      <c r="Q68" s="5">
        <f t="shared" si="61"/>
        <v>348.82</v>
      </c>
      <c r="R68" s="5">
        <f t="shared" si="61"/>
        <v>368.08</v>
      </c>
      <c r="S68" s="5">
        <f t="shared" si="61"/>
        <v>387.34</v>
      </c>
      <c r="T68" s="5">
        <f t="shared" si="61"/>
        <v>406.6</v>
      </c>
      <c r="U68" s="5">
        <f t="shared" si="61"/>
        <v>425.86</v>
      </c>
      <c r="V68" s="5">
        <f t="shared" si="61"/>
        <v>445.12</v>
      </c>
      <c r="W68" s="5">
        <f t="shared" si="61"/>
        <v>464.38</v>
      </c>
      <c r="X68" s="5">
        <f t="shared" si="61"/>
        <v>483.64</v>
      </c>
      <c r="Y68" s="5">
        <f t="shared" si="61"/>
        <v>502.9</v>
      </c>
      <c r="Z68" s="5">
        <f t="shared" si="61"/>
        <v>522.16</v>
      </c>
      <c r="AA68" s="5">
        <f t="shared" si="61"/>
        <v>541.42</v>
      </c>
      <c r="AB68" s="5">
        <f t="shared" si="61"/>
        <v>560.68</v>
      </c>
      <c r="AC68" s="5">
        <f t="shared" si="61"/>
        <v>579.94</v>
      </c>
      <c r="AD68" s="5">
        <f t="shared" si="61"/>
        <v>599.2</v>
      </c>
      <c r="AE68" s="5">
        <f t="shared" si="61"/>
        <v>618.46</v>
      </c>
      <c r="AF68" s="5">
        <f t="shared" si="61"/>
        <v>637.72</v>
      </c>
      <c r="AG68" s="5">
        <f t="shared" si="61"/>
        <v>656.98</v>
      </c>
      <c r="AH68" s="5">
        <f t="shared" si="61"/>
        <v>676.24</v>
      </c>
      <c r="AI68" s="5">
        <f t="shared" si="61"/>
        <v>695.5</v>
      </c>
      <c r="AJ68" s="5">
        <f t="shared" si="61"/>
        <v>714.76</v>
      </c>
      <c r="AK68" s="5">
        <f t="shared" si="61"/>
        <v>734.02</v>
      </c>
      <c r="AL68" s="5">
        <f t="shared" si="61"/>
        <v>753.28</v>
      </c>
      <c r="AM68" s="5">
        <f t="shared" si="61"/>
        <v>772.54</v>
      </c>
    </row>
    <row r="69">
      <c r="A69" s="2">
        <v>2.0</v>
      </c>
      <c r="B69" s="5">
        <f t="shared" ref="B69:AM69" si="62">max(B3,B25*$B$66)</f>
        <v>98.44</v>
      </c>
      <c r="C69" s="5">
        <f t="shared" si="62"/>
        <v>115.56</v>
      </c>
      <c r="D69" s="5">
        <f t="shared" si="62"/>
        <v>132.68</v>
      </c>
      <c r="E69" s="5">
        <f t="shared" si="62"/>
        <v>149.8</v>
      </c>
      <c r="F69" s="5">
        <f t="shared" si="62"/>
        <v>166.92</v>
      </c>
      <c r="G69" s="5">
        <f t="shared" si="62"/>
        <v>184.04</v>
      </c>
      <c r="H69" s="5">
        <f t="shared" si="62"/>
        <v>201.16</v>
      </c>
      <c r="I69" s="5">
        <f t="shared" si="62"/>
        <v>218.28</v>
      </c>
      <c r="J69" s="5">
        <f t="shared" si="62"/>
        <v>235.4</v>
      </c>
      <c r="K69" s="5">
        <f t="shared" si="62"/>
        <v>252.52</v>
      </c>
      <c r="L69" s="5">
        <f t="shared" si="62"/>
        <v>269.64</v>
      </c>
      <c r="M69" s="5">
        <f t="shared" si="62"/>
        <v>286.76</v>
      </c>
      <c r="N69" s="5">
        <f t="shared" si="62"/>
        <v>303.88</v>
      </c>
      <c r="O69" s="5">
        <f t="shared" si="62"/>
        <v>321</v>
      </c>
      <c r="P69" s="5">
        <f t="shared" si="62"/>
        <v>338.12</v>
      </c>
      <c r="Q69" s="5">
        <f t="shared" si="62"/>
        <v>355.24</v>
      </c>
      <c r="R69" s="5">
        <f t="shared" si="62"/>
        <v>372.36</v>
      </c>
      <c r="S69" s="5">
        <f t="shared" si="62"/>
        <v>389.48</v>
      </c>
      <c r="T69" s="5">
        <f t="shared" si="62"/>
        <v>406.6</v>
      </c>
      <c r="U69" s="5">
        <f t="shared" si="62"/>
        <v>423.72</v>
      </c>
      <c r="V69" s="5">
        <f t="shared" si="62"/>
        <v>440.84</v>
      </c>
      <c r="W69" s="5">
        <f t="shared" si="62"/>
        <v>457.96</v>
      </c>
      <c r="X69" s="5">
        <f t="shared" si="62"/>
        <v>475.08</v>
      </c>
      <c r="Y69" s="5">
        <f t="shared" si="62"/>
        <v>492.2</v>
      </c>
      <c r="Z69" s="5">
        <f t="shared" si="62"/>
        <v>509.32</v>
      </c>
      <c r="AA69" s="5">
        <f t="shared" si="62"/>
        <v>526.44</v>
      </c>
      <c r="AB69" s="5">
        <f t="shared" si="62"/>
        <v>543.56</v>
      </c>
      <c r="AC69" s="5">
        <f t="shared" si="62"/>
        <v>560.68</v>
      </c>
      <c r="AD69" s="5">
        <f t="shared" si="62"/>
        <v>577.8</v>
      </c>
      <c r="AE69" s="5">
        <f t="shared" si="62"/>
        <v>594.92</v>
      </c>
      <c r="AF69" s="5">
        <f t="shared" si="62"/>
        <v>612.04</v>
      </c>
      <c r="AG69" s="5">
        <f t="shared" si="62"/>
        <v>629.16</v>
      </c>
      <c r="AH69" s="5">
        <f t="shared" si="62"/>
        <v>646.28</v>
      </c>
      <c r="AI69" s="5">
        <f t="shared" si="62"/>
        <v>663.4</v>
      </c>
      <c r="AJ69" s="5">
        <f t="shared" si="62"/>
        <v>680.52</v>
      </c>
      <c r="AK69" s="5">
        <f t="shared" si="62"/>
        <v>697.64</v>
      </c>
      <c r="AL69" s="5">
        <f t="shared" si="62"/>
        <v>714.76</v>
      </c>
      <c r="AM69" s="5">
        <f t="shared" si="62"/>
        <v>731.88</v>
      </c>
    </row>
    <row r="70">
      <c r="A70" s="2">
        <v>3.0</v>
      </c>
      <c r="B70" s="5">
        <f t="shared" ref="B70:AM70" si="63">max(B4,B26*$B$66)</f>
        <v>136.96</v>
      </c>
      <c r="C70" s="5">
        <f t="shared" si="63"/>
        <v>151.94</v>
      </c>
      <c r="D70" s="5">
        <f t="shared" si="63"/>
        <v>166.92</v>
      </c>
      <c r="E70" s="5">
        <f t="shared" si="63"/>
        <v>181.9</v>
      </c>
      <c r="F70" s="5">
        <f t="shared" si="63"/>
        <v>196.88</v>
      </c>
      <c r="G70" s="5">
        <f t="shared" si="63"/>
        <v>211.86</v>
      </c>
      <c r="H70" s="5">
        <f t="shared" si="63"/>
        <v>226.84</v>
      </c>
      <c r="I70" s="5">
        <f t="shared" si="63"/>
        <v>241.82</v>
      </c>
      <c r="J70" s="5">
        <f t="shared" si="63"/>
        <v>256.8</v>
      </c>
      <c r="K70" s="5">
        <f t="shared" si="63"/>
        <v>271.78</v>
      </c>
      <c r="L70" s="5">
        <f t="shared" si="63"/>
        <v>286.76</v>
      </c>
      <c r="M70" s="5">
        <f t="shared" si="63"/>
        <v>301.74</v>
      </c>
      <c r="N70" s="5">
        <f t="shared" si="63"/>
        <v>316.72</v>
      </c>
      <c r="O70" s="5">
        <f t="shared" si="63"/>
        <v>331.7</v>
      </c>
      <c r="P70" s="5">
        <f t="shared" si="63"/>
        <v>346.68</v>
      </c>
      <c r="Q70" s="5">
        <f t="shared" si="63"/>
        <v>361.66</v>
      </c>
      <c r="R70" s="5">
        <f t="shared" si="63"/>
        <v>376.64</v>
      </c>
      <c r="S70" s="5">
        <f t="shared" si="63"/>
        <v>391.62</v>
      </c>
      <c r="T70" s="5">
        <f t="shared" si="63"/>
        <v>406.6</v>
      </c>
      <c r="U70" s="5">
        <f t="shared" si="63"/>
        <v>421.58</v>
      </c>
      <c r="V70" s="5">
        <f t="shared" si="63"/>
        <v>436.56</v>
      </c>
      <c r="W70" s="5">
        <f t="shared" si="63"/>
        <v>451.54</v>
      </c>
      <c r="X70" s="5">
        <f t="shared" si="63"/>
        <v>466.52</v>
      </c>
      <c r="Y70" s="5">
        <f t="shared" si="63"/>
        <v>481.5</v>
      </c>
      <c r="Z70" s="5">
        <f t="shared" si="63"/>
        <v>496.48</v>
      </c>
      <c r="AA70" s="5">
        <f t="shared" si="63"/>
        <v>511.46</v>
      </c>
      <c r="AB70" s="5">
        <f t="shared" si="63"/>
        <v>526.44</v>
      </c>
      <c r="AC70" s="5">
        <f t="shared" si="63"/>
        <v>541.42</v>
      </c>
      <c r="AD70" s="5">
        <f t="shared" si="63"/>
        <v>556.4</v>
      </c>
      <c r="AE70" s="5">
        <f t="shared" si="63"/>
        <v>571.38</v>
      </c>
      <c r="AF70" s="5">
        <f t="shared" si="63"/>
        <v>586.36</v>
      </c>
      <c r="AG70" s="5">
        <f t="shared" si="63"/>
        <v>601.34</v>
      </c>
      <c r="AH70" s="5">
        <f t="shared" si="63"/>
        <v>616.32</v>
      </c>
      <c r="AI70" s="5">
        <f t="shared" si="63"/>
        <v>631.3</v>
      </c>
      <c r="AJ70" s="5">
        <f t="shared" si="63"/>
        <v>646.28</v>
      </c>
      <c r="AK70" s="5">
        <f t="shared" si="63"/>
        <v>661.26</v>
      </c>
      <c r="AL70" s="5">
        <f t="shared" si="63"/>
        <v>676.24</v>
      </c>
      <c r="AM70" s="5">
        <f t="shared" si="63"/>
        <v>691.22</v>
      </c>
    </row>
    <row r="71">
      <c r="A71" s="2">
        <v>4.0</v>
      </c>
      <c r="B71" s="5">
        <f t="shared" ref="B71:AM71" si="64">max(B5,B27*$B$66)</f>
        <v>175.48</v>
      </c>
      <c r="C71" s="5">
        <f t="shared" si="64"/>
        <v>188.32</v>
      </c>
      <c r="D71" s="5">
        <f t="shared" si="64"/>
        <v>201.16</v>
      </c>
      <c r="E71" s="5">
        <f t="shared" si="64"/>
        <v>214</v>
      </c>
      <c r="F71" s="5">
        <f t="shared" si="64"/>
        <v>226.84</v>
      </c>
      <c r="G71" s="5">
        <f t="shared" si="64"/>
        <v>239.68</v>
      </c>
      <c r="H71" s="5">
        <f t="shared" si="64"/>
        <v>252.52</v>
      </c>
      <c r="I71" s="5">
        <f t="shared" si="64"/>
        <v>265.36</v>
      </c>
      <c r="J71" s="5">
        <f t="shared" si="64"/>
        <v>278.2</v>
      </c>
      <c r="K71" s="5">
        <f t="shared" si="64"/>
        <v>291.04</v>
      </c>
      <c r="L71" s="5">
        <f t="shared" si="64"/>
        <v>303.88</v>
      </c>
      <c r="M71" s="5">
        <f t="shared" si="64"/>
        <v>316.72</v>
      </c>
      <c r="N71" s="5">
        <f t="shared" si="64"/>
        <v>329.56</v>
      </c>
      <c r="O71" s="5">
        <f t="shared" si="64"/>
        <v>342.4</v>
      </c>
      <c r="P71" s="5">
        <f t="shared" si="64"/>
        <v>355.24</v>
      </c>
      <c r="Q71" s="5">
        <f t="shared" si="64"/>
        <v>368.08</v>
      </c>
      <c r="R71" s="5">
        <f t="shared" si="64"/>
        <v>380.92</v>
      </c>
      <c r="S71" s="5">
        <f t="shared" si="64"/>
        <v>393.76</v>
      </c>
      <c r="T71" s="5">
        <f t="shared" si="64"/>
        <v>406.6</v>
      </c>
      <c r="U71" s="5">
        <f t="shared" si="64"/>
        <v>419.44</v>
      </c>
      <c r="V71" s="5">
        <f t="shared" si="64"/>
        <v>432.28</v>
      </c>
      <c r="W71" s="5">
        <f t="shared" si="64"/>
        <v>445.12</v>
      </c>
      <c r="X71" s="5">
        <f t="shared" si="64"/>
        <v>457.96</v>
      </c>
      <c r="Y71" s="5">
        <f t="shared" si="64"/>
        <v>470.8</v>
      </c>
      <c r="Z71" s="5">
        <f t="shared" si="64"/>
        <v>483.64</v>
      </c>
      <c r="AA71" s="5">
        <f t="shared" si="64"/>
        <v>496.48</v>
      </c>
      <c r="AB71" s="5">
        <f t="shared" si="64"/>
        <v>509.32</v>
      </c>
      <c r="AC71" s="5">
        <f t="shared" si="64"/>
        <v>522.16</v>
      </c>
      <c r="AD71" s="5">
        <f t="shared" si="64"/>
        <v>535</v>
      </c>
      <c r="AE71" s="5">
        <f t="shared" si="64"/>
        <v>547.84</v>
      </c>
      <c r="AF71" s="5">
        <f t="shared" si="64"/>
        <v>560.68</v>
      </c>
      <c r="AG71" s="5">
        <f t="shared" si="64"/>
        <v>573.52</v>
      </c>
      <c r="AH71" s="5">
        <f t="shared" si="64"/>
        <v>586.36</v>
      </c>
      <c r="AI71" s="5">
        <f t="shared" si="64"/>
        <v>599.2</v>
      </c>
      <c r="AJ71" s="5">
        <f t="shared" si="64"/>
        <v>612.04</v>
      </c>
      <c r="AK71" s="5">
        <f t="shared" si="64"/>
        <v>624.88</v>
      </c>
      <c r="AL71" s="5">
        <f t="shared" si="64"/>
        <v>637.72</v>
      </c>
      <c r="AM71" s="5">
        <f t="shared" si="64"/>
        <v>650.56</v>
      </c>
    </row>
    <row r="72">
      <c r="A72" s="2">
        <v>5.0</v>
      </c>
      <c r="B72" s="5">
        <f t="shared" ref="B72:AM72" si="65">max(B6,B28*$B$66)</f>
        <v>214</v>
      </c>
      <c r="C72" s="5">
        <f t="shared" si="65"/>
        <v>224.7</v>
      </c>
      <c r="D72" s="5">
        <f t="shared" si="65"/>
        <v>235.4</v>
      </c>
      <c r="E72" s="5">
        <f t="shared" si="65"/>
        <v>246.1</v>
      </c>
      <c r="F72" s="5">
        <f t="shared" si="65"/>
        <v>256.8</v>
      </c>
      <c r="G72" s="5">
        <f t="shared" si="65"/>
        <v>267.5</v>
      </c>
      <c r="H72" s="5">
        <f t="shared" si="65"/>
        <v>278.2</v>
      </c>
      <c r="I72" s="5">
        <f t="shared" si="65"/>
        <v>288.9</v>
      </c>
      <c r="J72" s="5">
        <f t="shared" si="65"/>
        <v>299.6</v>
      </c>
      <c r="K72" s="5">
        <f t="shared" si="65"/>
        <v>310.3</v>
      </c>
      <c r="L72" s="5">
        <f t="shared" si="65"/>
        <v>321</v>
      </c>
      <c r="M72" s="5">
        <f t="shared" si="65"/>
        <v>331.7</v>
      </c>
      <c r="N72" s="5">
        <f t="shared" si="65"/>
        <v>342.4</v>
      </c>
      <c r="O72" s="24">
        <f t="shared" si="65"/>
        <v>353.1</v>
      </c>
      <c r="P72" s="5">
        <f t="shared" si="65"/>
        <v>363.8</v>
      </c>
      <c r="Q72" s="5">
        <f t="shared" si="65"/>
        <v>374.5</v>
      </c>
      <c r="R72" s="5">
        <f t="shared" si="65"/>
        <v>385.2</v>
      </c>
      <c r="S72" s="5">
        <f t="shared" si="65"/>
        <v>395.9</v>
      </c>
      <c r="T72" s="5">
        <f t="shared" si="65"/>
        <v>406.6</v>
      </c>
      <c r="U72" s="5">
        <f t="shared" si="65"/>
        <v>417.3</v>
      </c>
      <c r="V72" s="5">
        <f t="shared" si="65"/>
        <v>428</v>
      </c>
      <c r="W72" s="5">
        <f t="shared" si="65"/>
        <v>438.7</v>
      </c>
      <c r="X72" s="5">
        <f t="shared" si="65"/>
        <v>449.4</v>
      </c>
      <c r="Y72" s="5">
        <f t="shared" si="65"/>
        <v>460.1</v>
      </c>
      <c r="Z72" s="5">
        <f t="shared" si="65"/>
        <v>470.8</v>
      </c>
      <c r="AA72" s="5">
        <f t="shared" si="65"/>
        <v>481.5</v>
      </c>
      <c r="AB72" s="5">
        <f t="shared" si="65"/>
        <v>492.2</v>
      </c>
      <c r="AC72" s="5">
        <f t="shared" si="65"/>
        <v>502.9</v>
      </c>
      <c r="AD72" s="5">
        <f t="shared" si="65"/>
        <v>513.6</v>
      </c>
      <c r="AE72" s="5">
        <f t="shared" si="65"/>
        <v>524.3</v>
      </c>
      <c r="AF72" s="5">
        <f t="shared" si="65"/>
        <v>535</v>
      </c>
      <c r="AG72" s="5">
        <f t="shared" si="65"/>
        <v>545.7</v>
      </c>
      <c r="AH72" s="5">
        <f t="shared" si="65"/>
        <v>556.4</v>
      </c>
      <c r="AI72" s="5">
        <f t="shared" si="65"/>
        <v>567.1</v>
      </c>
      <c r="AJ72" s="5">
        <f t="shared" si="65"/>
        <v>577.8</v>
      </c>
      <c r="AK72" s="5">
        <f t="shared" si="65"/>
        <v>588.5</v>
      </c>
      <c r="AL72" s="5">
        <f t="shared" si="65"/>
        <v>599.2</v>
      </c>
      <c r="AM72" s="5">
        <f t="shared" si="65"/>
        <v>609.9</v>
      </c>
    </row>
    <row r="73">
      <c r="A73" s="2">
        <v>6.0</v>
      </c>
      <c r="B73" s="5">
        <f t="shared" ref="B73:AM73" si="66">max(B7,B29*$B$66)</f>
        <v>252.52</v>
      </c>
      <c r="C73" s="5">
        <f t="shared" si="66"/>
        <v>261.08</v>
      </c>
      <c r="D73" s="5">
        <f t="shared" si="66"/>
        <v>269.64</v>
      </c>
      <c r="E73" s="5">
        <f t="shared" si="66"/>
        <v>278.2</v>
      </c>
      <c r="F73" s="5">
        <f t="shared" si="66"/>
        <v>286.76</v>
      </c>
      <c r="G73" s="5">
        <f t="shared" si="66"/>
        <v>295.32</v>
      </c>
      <c r="H73" s="5">
        <f t="shared" si="66"/>
        <v>303.88</v>
      </c>
      <c r="I73" s="5">
        <f t="shared" si="66"/>
        <v>312.44</v>
      </c>
      <c r="J73" s="5">
        <f t="shared" si="66"/>
        <v>321</v>
      </c>
      <c r="K73" s="5">
        <f t="shared" si="66"/>
        <v>329.56</v>
      </c>
      <c r="L73" s="5">
        <f t="shared" si="66"/>
        <v>338.12</v>
      </c>
      <c r="M73" s="5">
        <f t="shared" si="66"/>
        <v>346.68</v>
      </c>
      <c r="N73" s="24">
        <f t="shared" si="66"/>
        <v>355.24</v>
      </c>
      <c r="O73" s="5">
        <f t="shared" si="66"/>
        <v>363.8</v>
      </c>
      <c r="P73" s="5">
        <f t="shared" si="66"/>
        <v>372.36</v>
      </c>
      <c r="Q73" s="5">
        <f t="shared" si="66"/>
        <v>380.92</v>
      </c>
      <c r="R73" s="5">
        <f t="shared" si="66"/>
        <v>389.48</v>
      </c>
      <c r="S73" s="5">
        <f t="shared" si="66"/>
        <v>398.04</v>
      </c>
      <c r="T73" s="5">
        <f t="shared" si="66"/>
        <v>406.6</v>
      </c>
      <c r="U73" s="5">
        <f t="shared" si="66"/>
        <v>415.16</v>
      </c>
      <c r="V73" s="5">
        <f t="shared" si="66"/>
        <v>423.72</v>
      </c>
      <c r="W73" s="5">
        <f t="shared" si="66"/>
        <v>432.28</v>
      </c>
      <c r="X73" s="5">
        <f t="shared" si="66"/>
        <v>440.84</v>
      </c>
      <c r="Y73" s="5">
        <f t="shared" si="66"/>
        <v>449.4</v>
      </c>
      <c r="Z73" s="5">
        <f t="shared" si="66"/>
        <v>457.96</v>
      </c>
      <c r="AA73" s="5">
        <f t="shared" si="66"/>
        <v>466.52</v>
      </c>
      <c r="AB73" s="5">
        <f t="shared" si="66"/>
        <v>475.08</v>
      </c>
      <c r="AC73" s="5">
        <f t="shared" si="66"/>
        <v>483.64</v>
      </c>
      <c r="AD73" s="5">
        <f t="shared" si="66"/>
        <v>492.2</v>
      </c>
      <c r="AE73" s="5">
        <f t="shared" si="66"/>
        <v>500.76</v>
      </c>
      <c r="AF73" s="5">
        <f t="shared" si="66"/>
        <v>509.32</v>
      </c>
      <c r="AG73" s="5">
        <f t="shared" si="66"/>
        <v>517.88</v>
      </c>
      <c r="AH73" s="5">
        <f t="shared" si="66"/>
        <v>526.44</v>
      </c>
      <c r="AI73" s="5">
        <f t="shared" si="66"/>
        <v>535</v>
      </c>
      <c r="AJ73" s="5">
        <f t="shared" si="66"/>
        <v>543.56</v>
      </c>
      <c r="AK73" s="5">
        <f t="shared" si="66"/>
        <v>552.12</v>
      </c>
      <c r="AL73" s="5">
        <f t="shared" si="66"/>
        <v>560.68</v>
      </c>
      <c r="AM73" s="5">
        <f t="shared" si="66"/>
        <v>569.24</v>
      </c>
    </row>
    <row r="74">
      <c r="A74" s="2">
        <v>7.0</v>
      </c>
      <c r="B74" s="5">
        <f t="shared" ref="B74:AM74" si="67">max(B8,B30*$B$66)</f>
        <v>291.04</v>
      </c>
      <c r="C74" s="5">
        <f t="shared" si="67"/>
        <v>297.46</v>
      </c>
      <c r="D74" s="5">
        <f t="shared" si="67"/>
        <v>303.88</v>
      </c>
      <c r="E74" s="5">
        <f t="shared" si="67"/>
        <v>310.3</v>
      </c>
      <c r="F74" s="5">
        <f t="shared" si="67"/>
        <v>316.72</v>
      </c>
      <c r="G74" s="5">
        <f t="shared" si="67"/>
        <v>323.14</v>
      </c>
      <c r="H74" s="5">
        <f t="shared" si="67"/>
        <v>329.56</v>
      </c>
      <c r="I74" s="5">
        <f t="shared" si="67"/>
        <v>335.98</v>
      </c>
      <c r="J74" s="5">
        <f t="shared" si="67"/>
        <v>342.4</v>
      </c>
      <c r="K74" s="5">
        <f t="shared" si="67"/>
        <v>348.82</v>
      </c>
      <c r="L74" s="24">
        <f t="shared" si="67"/>
        <v>355.24</v>
      </c>
      <c r="M74" s="5">
        <f t="shared" si="67"/>
        <v>361.66</v>
      </c>
      <c r="N74" s="5">
        <f t="shared" si="67"/>
        <v>368.08</v>
      </c>
      <c r="O74" s="5">
        <f t="shared" si="67"/>
        <v>374.5</v>
      </c>
      <c r="P74" s="5">
        <f t="shared" si="67"/>
        <v>380.92</v>
      </c>
      <c r="Q74" s="5">
        <f t="shared" si="67"/>
        <v>387.34</v>
      </c>
      <c r="R74" s="5">
        <f t="shared" si="67"/>
        <v>393.76</v>
      </c>
      <c r="S74" s="5">
        <f t="shared" si="67"/>
        <v>400.18</v>
      </c>
      <c r="T74" s="5">
        <f t="shared" si="67"/>
        <v>406.6</v>
      </c>
      <c r="U74" s="5">
        <f t="shared" si="67"/>
        <v>413.02</v>
      </c>
      <c r="V74" s="5">
        <f t="shared" si="67"/>
        <v>419.44</v>
      </c>
      <c r="W74" s="5">
        <f t="shared" si="67"/>
        <v>425.86</v>
      </c>
      <c r="X74" s="5">
        <f t="shared" si="67"/>
        <v>432.28</v>
      </c>
      <c r="Y74" s="5">
        <f t="shared" si="67"/>
        <v>438.7</v>
      </c>
      <c r="Z74" s="5">
        <f t="shared" si="67"/>
        <v>445.12</v>
      </c>
      <c r="AA74" s="5">
        <f t="shared" si="67"/>
        <v>451.54</v>
      </c>
      <c r="AB74" s="5">
        <f t="shared" si="67"/>
        <v>457.96</v>
      </c>
      <c r="AC74" s="5">
        <f t="shared" si="67"/>
        <v>464.38</v>
      </c>
      <c r="AD74" s="5">
        <f t="shared" si="67"/>
        <v>470.8</v>
      </c>
      <c r="AE74" s="5">
        <f t="shared" si="67"/>
        <v>477.22</v>
      </c>
      <c r="AF74" s="5">
        <f t="shared" si="67"/>
        <v>483.64</v>
      </c>
      <c r="AG74" s="5">
        <f t="shared" si="67"/>
        <v>490.06</v>
      </c>
      <c r="AH74" s="5">
        <f t="shared" si="67"/>
        <v>496.48</v>
      </c>
      <c r="AI74" s="5">
        <f t="shared" si="67"/>
        <v>502.9</v>
      </c>
      <c r="AJ74" s="5">
        <f t="shared" si="67"/>
        <v>509.32</v>
      </c>
      <c r="AK74" s="5">
        <f t="shared" si="67"/>
        <v>515.74</v>
      </c>
      <c r="AL74" s="5">
        <f t="shared" si="67"/>
        <v>522.16</v>
      </c>
      <c r="AM74" s="5">
        <f t="shared" si="67"/>
        <v>528.58</v>
      </c>
    </row>
    <row r="75">
      <c r="A75" s="2">
        <v>8.0</v>
      </c>
      <c r="B75" s="5">
        <f t="shared" ref="B75:AM75" si="68">max(B9,B31*$B$66)</f>
        <v>329.56</v>
      </c>
      <c r="C75" s="5">
        <f t="shared" si="68"/>
        <v>333.84</v>
      </c>
      <c r="D75" s="5">
        <f t="shared" si="68"/>
        <v>338.12</v>
      </c>
      <c r="E75" s="5">
        <f t="shared" si="68"/>
        <v>342.4</v>
      </c>
      <c r="F75" s="5">
        <f t="shared" si="68"/>
        <v>346.68</v>
      </c>
      <c r="G75" s="5">
        <f t="shared" si="68"/>
        <v>350.96</v>
      </c>
      <c r="H75" s="5">
        <f t="shared" si="68"/>
        <v>355.24</v>
      </c>
      <c r="I75" s="5">
        <f t="shared" si="68"/>
        <v>359.52</v>
      </c>
      <c r="J75" s="5">
        <f t="shared" si="68"/>
        <v>363.8</v>
      </c>
      <c r="K75" s="5">
        <f t="shared" si="68"/>
        <v>368.08</v>
      </c>
      <c r="L75" s="5">
        <f t="shared" si="68"/>
        <v>372.36</v>
      </c>
      <c r="M75" s="5">
        <f t="shared" si="68"/>
        <v>376.64</v>
      </c>
      <c r="N75" s="5">
        <f t="shared" si="68"/>
        <v>380.92</v>
      </c>
      <c r="O75" s="5">
        <f t="shared" si="68"/>
        <v>385.2</v>
      </c>
      <c r="P75" s="5">
        <f t="shared" si="68"/>
        <v>389.48</v>
      </c>
      <c r="Q75" s="5">
        <f t="shared" si="68"/>
        <v>393.76</v>
      </c>
      <c r="R75" s="5">
        <f t="shared" si="68"/>
        <v>398.04</v>
      </c>
      <c r="S75" s="5">
        <f t="shared" si="68"/>
        <v>402.32</v>
      </c>
      <c r="T75" s="5">
        <f t="shared" si="68"/>
        <v>406.6</v>
      </c>
      <c r="U75" s="5">
        <f t="shared" si="68"/>
        <v>410.88</v>
      </c>
      <c r="V75" s="5">
        <f t="shared" si="68"/>
        <v>415.16</v>
      </c>
      <c r="W75" s="5">
        <f t="shared" si="68"/>
        <v>419.44</v>
      </c>
      <c r="X75" s="5">
        <f t="shared" si="68"/>
        <v>423.72</v>
      </c>
      <c r="Y75" s="5">
        <f t="shared" si="68"/>
        <v>428</v>
      </c>
      <c r="Z75" s="5">
        <f t="shared" si="68"/>
        <v>432.28</v>
      </c>
      <c r="AA75" s="5">
        <f t="shared" si="68"/>
        <v>436.56</v>
      </c>
      <c r="AB75" s="5">
        <f t="shared" si="68"/>
        <v>440.84</v>
      </c>
      <c r="AC75" s="5">
        <f t="shared" si="68"/>
        <v>445.12</v>
      </c>
      <c r="AD75" s="5">
        <f t="shared" si="68"/>
        <v>449.4</v>
      </c>
      <c r="AE75" s="5">
        <f t="shared" si="68"/>
        <v>453.68</v>
      </c>
      <c r="AF75" s="5">
        <f t="shared" si="68"/>
        <v>457.96</v>
      </c>
      <c r="AG75" s="5">
        <f t="shared" si="68"/>
        <v>462.24</v>
      </c>
      <c r="AH75" s="5">
        <f t="shared" si="68"/>
        <v>466.52</v>
      </c>
      <c r="AI75" s="5">
        <f t="shared" si="68"/>
        <v>470.8</v>
      </c>
      <c r="AJ75" s="5">
        <f t="shared" si="68"/>
        <v>475.08</v>
      </c>
      <c r="AK75" s="5">
        <f t="shared" si="68"/>
        <v>479.36</v>
      </c>
      <c r="AL75" s="5">
        <f t="shared" si="68"/>
        <v>483.64</v>
      </c>
      <c r="AM75" s="5">
        <f t="shared" si="68"/>
        <v>487.92</v>
      </c>
    </row>
    <row r="76">
      <c r="A76" s="2">
        <v>9.0</v>
      </c>
      <c r="B76" s="5">
        <f t="shared" ref="B76:AM76" si="69">max(B10,B32*$B$66)</f>
        <v>368.08</v>
      </c>
      <c r="C76" s="5">
        <f t="shared" si="69"/>
        <v>370.22</v>
      </c>
      <c r="D76" s="5">
        <f t="shared" si="69"/>
        <v>372.36</v>
      </c>
      <c r="E76" s="5">
        <f t="shared" si="69"/>
        <v>374.5</v>
      </c>
      <c r="F76" s="5">
        <f t="shared" si="69"/>
        <v>376.64</v>
      </c>
      <c r="G76" s="5">
        <f t="shared" si="69"/>
        <v>378.78</v>
      </c>
      <c r="H76" s="5">
        <f t="shared" si="69"/>
        <v>380.92</v>
      </c>
      <c r="I76" s="5">
        <f t="shared" si="69"/>
        <v>383.06</v>
      </c>
      <c r="J76" s="5">
        <f t="shared" si="69"/>
        <v>385.2</v>
      </c>
      <c r="K76" s="5">
        <f t="shared" si="69"/>
        <v>387.34</v>
      </c>
      <c r="L76" s="5">
        <f t="shared" si="69"/>
        <v>389.48</v>
      </c>
      <c r="M76" s="5">
        <f t="shared" si="69"/>
        <v>391.62</v>
      </c>
      <c r="N76" s="5">
        <f t="shared" si="69"/>
        <v>393.76</v>
      </c>
      <c r="O76" s="5">
        <f t="shared" si="69"/>
        <v>395.9</v>
      </c>
      <c r="P76" s="5">
        <f t="shared" si="69"/>
        <v>398.04</v>
      </c>
      <c r="Q76" s="5">
        <f t="shared" si="69"/>
        <v>400.18</v>
      </c>
      <c r="R76" s="5">
        <f t="shared" si="69"/>
        <v>402.32</v>
      </c>
      <c r="S76" s="5">
        <f t="shared" si="69"/>
        <v>404.46</v>
      </c>
      <c r="T76" s="5">
        <f t="shared" si="69"/>
        <v>406.6</v>
      </c>
      <c r="U76" s="5">
        <f t="shared" si="69"/>
        <v>408.74</v>
      </c>
      <c r="V76" s="5">
        <f t="shared" si="69"/>
        <v>410.88</v>
      </c>
      <c r="W76" s="5">
        <f t="shared" si="69"/>
        <v>413.02</v>
      </c>
      <c r="X76" s="5">
        <f t="shared" si="69"/>
        <v>415.16</v>
      </c>
      <c r="Y76" s="5">
        <f t="shared" si="69"/>
        <v>417.3</v>
      </c>
      <c r="Z76" s="5">
        <f t="shared" si="69"/>
        <v>419.44</v>
      </c>
      <c r="AA76" s="5">
        <f t="shared" si="69"/>
        <v>421.58</v>
      </c>
      <c r="AB76" s="5">
        <f t="shared" si="69"/>
        <v>423.72</v>
      </c>
      <c r="AC76" s="5">
        <f t="shared" si="69"/>
        <v>425.86</v>
      </c>
      <c r="AD76" s="5">
        <f t="shared" si="69"/>
        <v>428</v>
      </c>
      <c r="AE76" s="5">
        <f t="shared" si="69"/>
        <v>430.14</v>
      </c>
      <c r="AF76" s="5">
        <f t="shared" si="69"/>
        <v>432.28</v>
      </c>
      <c r="AG76" s="5">
        <f t="shared" si="69"/>
        <v>434.42</v>
      </c>
      <c r="AH76" s="5">
        <f t="shared" si="69"/>
        <v>436.56</v>
      </c>
      <c r="AI76" s="5">
        <f t="shared" si="69"/>
        <v>438.7</v>
      </c>
      <c r="AJ76" s="5">
        <f t="shared" si="69"/>
        <v>440.84</v>
      </c>
      <c r="AK76" s="5">
        <f t="shared" si="69"/>
        <v>442.98</v>
      </c>
      <c r="AL76" s="5">
        <f t="shared" si="69"/>
        <v>445.12</v>
      </c>
      <c r="AM76" s="5">
        <f t="shared" si="69"/>
        <v>447.26</v>
      </c>
    </row>
    <row r="77">
      <c r="A77" s="2">
        <v>10.0</v>
      </c>
      <c r="B77" s="5">
        <f t="shared" ref="B77:AM77" si="70">max(B11,B33*$B$66)</f>
        <v>406.6</v>
      </c>
      <c r="C77" s="5">
        <f t="shared" si="70"/>
        <v>406.6</v>
      </c>
      <c r="D77" s="5">
        <f t="shared" si="70"/>
        <v>406.6</v>
      </c>
      <c r="E77" s="5">
        <f t="shared" si="70"/>
        <v>406.6</v>
      </c>
      <c r="F77" s="5">
        <f t="shared" si="70"/>
        <v>406.6</v>
      </c>
      <c r="G77" s="5">
        <f t="shared" si="70"/>
        <v>406.6</v>
      </c>
      <c r="H77" s="5">
        <f t="shared" si="70"/>
        <v>406.6</v>
      </c>
      <c r="I77" s="5">
        <f t="shared" si="70"/>
        <v>406.6</v>
      </c>
      <c r="J77" s="5">
        <f t="shared" si="70"/>
        <v>406.6</v>
      </c>
      <c r="K77" s="5">
        <f t="shared" si="70"/>
        <v>406.6</v>
      </c>
      <c r="L77" s="5">
        <f t="shared" si="70"/>
        <v>406.6</v>
      </c>
      <c r="M77" s="5">
        <f t="shared" si="70"/>
        <v>406.6</v>
      </c>
      <c r="N77" s="5">
        <f t="shared" si="70"/>
        <v>406.6</v>
      </c>
      <c r="O77" s="5">
        <f t="shared" si="70"/>
        <v>406.6</v>
      </c>
      <c r="P77" s="5">
        <f t="shared" si="70"/>
        <v>406.6</v>
      </c>
      <c r="Q77" s="5">
        <f t="shared" si="70"/>
        <v>406.6</v>
      </c>
      <c r="R77" s="5">
        <f t="shared" si="70"/>
        <v>406.6</v>
      </c>
      <c r="S77" s="5">
        <f t="shared" si="70"/>
        <v>406.6</v>
      </c>
      <c r="T77" s="5">
        <f t="shared" si="70"/>
        <v>406.6</v>
      </c>
      <c r="U77" s="5">
        <f t="shared" si="70"/>
        <v>406.6</v>
      </c>
      <c r="V77" s="5">
        <f t="shared" si="70"/>
        <v>406.6</v>
      </c>
      <c r="W77" s="5">
        <f t="shared" si="70"/>
        <v>406.6</v>
      </c>
      <c r="X77" s="5">
        <f t="shared" si="70"/>
        <v>406.6</v>
      </c>
      <c r="Y77" s="5">
        <f t="shared" si="70"/>
        <v>406.6</v>
      </c>
      <c r="Z77" s="5">
        <f t="shared" si="70"/>
        <v>406.6</v>
      </c>
      <c r="AA77" s="5">
        <f t="shared" si="70"/>
        <v>406.6</v>
      </c>
      <c r="AB77" s="5">
        <f t="shared" si="70"/>
        <v>406.6</v>
      </c>
      <c r="AC77" s="5">
        <f t="shared" si="70"/>
        <v>406.6</v>
      </c>
      <c r="AD77" s="5">
        <f t="shared" si="70"/>
        <v>406.6</v>
      </c>
      <c r="AE77" s="5">
        <f t="shared" si="70"/>
        <v>406.6</v>
      </c>
      <c r="AF77" s="5">
        <f t="shared" si="70"/>
        <v>406.6</v>
      </c>
      <c r="AG77" s="5">
        <f t="shared" si="70"/>
        <v>406.6</v>
      </c>
      <c r="AH77" s="5">
        <f t="shared" si="70"/>
        <v>406.6</v>
      </c>
      <c r="AI77" s="5">
        <f t="shared" si="70"/>
        <v>406.6</v>
      </c>
      <c r="AJ77" s="5">
        <f t="shared" si="70"/>
        <v>406.6</v>
      </c>
      <c r="AK77" s="5">
        <f t="shared" si="70"/>
        <v>406.6</v>
      </c>
      <c r="AL77" s="5">
        <f t="shared" si="70"/>
        <v>406.6</v>
      </c>
      <c r="AM77" s="5">
        <f t="shared" si="70"/>
        <v>406.6</v>
      </c>
    </row>
    <row r="78">
      <c r="A78" s="2">
        <v>11.0</v>
      </c>
      <c r="B78" s="5">
        <f t="shared" ref="B78:AM78" si="71">max(B12,B34*$B$66)</f>
        <v>445.12</v>
      </c>
      <c r="C78" s="5">
        <f t="shared" si="71"/>
        <v>442.98</v>
      </c>
      <c r="D78" s="5">
        <f t="shared" si="71"/>
        <v>440.84</v>
      </c>
      <c r="E78" s="5">
        <f t="shared" si="71"/>
        <v>438.7</v>
      </c>
      <c r="F78" s="5">
        <f t="shared" si="71"/>
        <v>436.56</v>
      </c>
      <c r="G78" s="5">
        <f t="shared" si="71"/>
        <v>434.42</v>
      </c>
      <c r="H78" s="5">
        <f t="shared" si="71"/>
        <v>432.28</v>
      </c>
      <c r="I78" s="5">
        <f t="shared" si="71"/>
        <v>430.14</v>
      </c>
      <c r="J78" s="5">
        <f t="shared" si="71"/>
        <v>428</v>
      </c>
      <c r="K78" s="5">
        <f t="shared" si="71"/>
        <v>425.86</v>
      </c>
      <c r="L78" s="5">
        <f t="shared" si="71"/>
        <v>423.72</v>
      </c>
      <c r="M78" s="5">
        <f t="shared" si="71"/>
        <v>421.58</v>
      </c>
      <c r="N78" s="5">
        <f t="shared" si="71"/>
        <v>419.44</v>
      </c>
      <c r="O78" s="5">
        <f t="shared" si="71"/>
        <v>417.3</v>
      </c>
      <c r="P78" s="5">
        <f t="shared" si="71"/>
        <v>415.16</v>
      </c>
      <c r="Q78" s="5">
        <f t="shared" si="71"/>
        <v>413.02</v>
      </c>
      <c r="R78" s="5">
        <f t="shared" si="71"/>
        <v>410.88</v>
      </c>
      <c r="S78" s="5">
        <f t="shared" si="71"/>
        <v>408.74</v>
      </c>
      <c r="T78" s="5">
        <f t="shared" si="71"/>
        <v>406.6</v>
      </c>
      <c r="U78" s="5">
        <f t="shared" si="71"/>
        <v>404.46</v>
      </c>
      <c r="V78" s="5">
        <f t="shared" si="71"/>
        <v>402.32</v>
      </c>
      <c r="W78" s="5">
        <f t="shared" si="71"/>
        <v>400.18</v>
      </c>
      <c r="X78" s="5">
        <f t="shared" si="71"/>
        <v>398.04</v>
      </c>
      <c r="Y78" s="5">
        <f t="shared" si="71"/>
        <v>395.9</v>
      </c>
      <c r="Z78" s="5">
        <f t="shared" si="71"/>
        <v>393.76</v>
      </c>
      <c r="AA78" s="5">
        <f t="shared" si="71"/>
        <v>391.62</v>
      </c>
      <c r="AB78" s="5">
        <f t="shared" si="71"/>
        <v>389.48</v>
      </c>
      <c r="AC78" s="5">
        <f t="shared" si="71"/>
        <v>387.34</v>
      </c>
      <c r="AD78" s="5">
        <f t="shared" si="71"/>
        <v>385.2</v>
      </c>
      <c r="AE78" s="5">
        <f t="shared" si="71"/>
        <v>383.06</v>
      </c>
      <c r="AF78" s="5">
        <f t="shared" si="71"/>
        <v>380.92</v>
      </c>
      <c r="AG78" s="5">
        <f t="shared" si="71"/>
        <v>378.78</v>
      </c>
      <c r="AH78" s="5">
        <f t="shared" si="71"/>
        <v>376.64</v>
      </c>
      <c r="AI78" s="5">
        <f t="shared" si="71"/>
        <v>374.5</v>
      </c>
      <c r="AJ78" s="5">
        <f t="shared" si="71"/>
        <v>385</v>
      </c>
      <c r="AK78" s="5">
        <f t="shared" si="71"/>
        <v>396</v>
      </c>
      <c r="AL78" s="5">
        <f t="shared" si="71"/>
        <v>407</v>
      </c>
      <c r="AM78" s="5">
        <f t="shared" si="71"/>
        <v>418</v>
      </c>
    </row>
    <row r="79">
      <c r="A79" s="2">
        <v>12.0</v>
      </c>
      <c r="B79" s="5">
        <f t="shared" ref="B79:AM79" si="72">max(B13,B35*$B$66)</f>
        <v>483.64</v>
      </c>
      <c r="C79" s="5">
        <f t="shared" si="72"/>
        <v>479.36</v>
      </c>
      <c r="D79" s="5">
        <f t="shared" si="72"/>
        <v>475.08</v>
      </c>
      <c r="E79" s="5">
        <f t="shared" si="72"/>
        <v>470.8</v>
      </c>
      <c r="F79" s="5">
        <f t="shared" si="72"/>
        <v>466.52</v>
      </c>
      <c r="G79" s="5">
        <f t="shared" si="72"/>
        <v>462.24</v>
      </c>
      <c r="H79" s="5">
        <f t="shared" si="72"/>
        <v>457.96</v>
      </c>
      <c r="I79" s="5">
        <f t="shared" si="72"/>
        <v>453.68</v>
      </c>
      <c r="J79" s="5">
        <f t="shared" si="72"/>
        <v>449.4</v>
      </c>
      <c r="K79" s="5">
        <f t="shared" si="72"/>
        <v>445.12</v>
      </c>
      <c r="L79" s="5">
        <f t="shared" si="72"/>
        <v>440.84</v>
      </c>
      <c r="M79" s="5">
        <f t="shared" si="72"/>
        <v>436.56</v>
      </c>
      <c r="N79" s="5">
        <f t="shared" si="72"/>
        <v>432.28</v>
      </c>
      <c r="O79" s="5">
        <f t="shared" si="72"/>
        <v>428</v>
      </c>
      <c r="P79" s="5">
        <f t="shared" si="72"/>
        <v>423.72</v>
      </c>
      <c r="Q79" s="5">
        <f t="shared" si="72"/>
        <v>419.44</v>
      </c>
      <c r="R79" s="5">
        <f t="shared" si="72"/>
        <v>415.16</v>
      </c>
      <c r="S79" s="5">
        <f t="shared" si="72"/>
        <v>410.88</v>
      </c>
      <c r="T79" s="5">
        <f t="shared" si="72"/>
        <v>406.6</v>
      </c>
      <c r="U79" s="5">
        <f t="shared" si="72"/>
        <v>402.32</v>
      </c>
      <c r="V79" s="5">
        <f t="shared" si="72"/>
        <v>398.04</v>
      </c>
      <c r="W79" s="5">
        <f t="shared" si="72"/>
        <v>393.76</v>
      </c>
      <c r="X79" s="5">
        <f t="shared" si="72"/>
        <v>389.48</v>
      </c>
      <c r="Y79" s="5">
        <f t="shared" si="72"/>
        <v>385.2</v>
      </c>
      <c r="Z79" s="5">
        <f t="shared" si="72"/>
        <v>380.92</v>
      </c>
      <c r="AA79" s="5">
        <f t="shared" si="72"/>
        <v>376.64</v>
      </c>
      <c r="AB79" s="5">
        <f t="shared" si="72"/>
        <v>372.36</v>
      </c>
      <c r="AC79" s="5">
        <f t="shared" si="72"/>
        <v>368.08</v>
      </c>
      <c r="AD79" s="5">
        <f t="shared" si="72"/>
        <v>363.8</v>
      </c>
      <c r="AE79" s="5">
        <f t="shared" si="72"/>
        <v>360</v>
      </c>
      <c r="AF79" s="5">
        <f t="shared" si="72"/>
        <v>372</v>
      </c>
      <c r="AG79" s="5">
        <f t="shared" si="72"/>
        <v>384</v>
      </c>
      <c r="AH79" s="5">
        <f t="shared" si="72"/>
        <v>396</v>
      </c>
      <c r="AI79" s="5">
        <f t="shared" si="72"/>
        <v>408</v>
      </c>
      <c r="AJ79" s="5">
        <f t="shared" si="72"/>
        <v>420</v>
      </c>
      <c r="AK79" s="5">
        <f t="shared" si="72"/>
        <v>432</v>
      </c>
      <c r="AL79" s="5">
        <f t="shared" si="72"/>
        <v>444</v>
      </c>
      <c r="AM79" s="5">
        <f t="shared" si="72"/>
        <v>456</v>
      </c>
    </row>
    <row r="80">
      <c r="A80" s="2">
        <v>13.0</v>
      </c>
      <c r="B80" s="5">
        <f t="shared" ref="B80:AM80" si="73">max(B14,B36*$B$66)</f>
        <v>522.16</v>
      </c>
      <c r="C80" s="5">
        <f t="shared" si="73"/>
        <v>515.74</v>
      </c>
      <c r="D80" s="5">
        <f t="shared" si="73"/>
        <v>509.32</v>
      </c>
      <c r="E80" s="5">
        <f t="shared" si="73"/>
        <v>502.9</v>
      </c>
      <c r="F80" s="5">
        <f t="shared" si="73"/>
        <v>496.48</v>
      </c>
      <c r="G80" s="5">
        <f t="shared" si="73"/>
        <v>490.06</v>
      </c>
      <c r="H80" s="5">
        <f t="shared" si="73"/>
        <v>483.64</v>
      </c>
      <c r="I80" s="5">
        <f t="shared" si="73"/>
        <v>477.22</v>
      </c>
      <c r="J80" s="5">
        <f t="shared" si="73"/>
        <v>470.8</v>
      </c>
      <c r="K80" s="5">
        <f t="shared" si="73"/>
        <v>464.38</v>
      </c>
      <c r="L80" s="5">
        <f t="shared" si="73"/>
        <v>457.96</v>
      </c>
      <c r="M80" s="5">
        <f t="shared" si="73"/>
        <v>451.54</v>
      </c>
      <c r="N80" s="5">
        <f t="shared" si="73"/>
        <v>445.12</v>
      </c>
      <c r="O80" s="5">
        <f t="shared" si="73"/>
        <v>438.7</v>
      </c>
      <c r="P80" s="5">
        <f t="shared" si="73"/>
        <v>432.28</v>
      </c>
      <c r="Q80" s="5">
        <f t="shared" si="73"/>
        <v>425.86</v>
      </c>
      <c r="R80" s="5">
        <f t="shared" si="73"/>
        <v>419.44</v>
      </c>
      <c r="S80" s="5">
        <f t="shared" si="73"/>
        <v>413.02</v>
      </c>
      <c r="T80" s="5">
        <f t="shared" si="73"/>
        <v>406.6</v>
      </c>
      <c r="U80" s="5">
        <f t="shared" si="73"/>
        <v>400.18</v>
      </c>
      <c r="V80" s="5">
        <f t="shared" si="73"/>
        <v>393.76</v>
      </c>
      <c r="W80" s="5">
        <f t="shared" si="73"/>
        <v>387.34</v>
      </c>
      <c r="X80" s="5">
        <f t="shared" si="73"/>
        <v>380.92</v>
      </c>
      <c r="Y80" s="5">
        <f t="shared" si="73"/>
        <v>374.5</v>
      </c>
      <c r="Z80" s="5">
        <f t="shared" si="73"/>
        <v>368.08</v>
      </c>
      <c r="AA80" s="5">
        <f t="shared" si="73"/>
        <v>361.66</v>
      </c>
      <c r="AB80" s="24">
        <f t="shared" si="73"/>
        <v>355.24</v>
      </c>
      <c r="AC80" s="5">
        <f t="shared" si="73"/>
        <v>364</v>
      </c>
      <c r="AD80" s="5">
        <f t="shared" si="73"/>
        <v>377</v>
      </c>
      <c r="AE80" s="5">
        <f t="shared" si="73"/>
        <v>390</v>
      </c>
      <c r="AF80" s="5">
        <f t="shared" si="73"/>
        <v>403</v>
      </c>
      <c r="AG80" s="5">
        <f t="shared" si="73"/>
        <v>416</v>
      </c>
      <c r="AH80" s="5">
        <f t="shared" si="73"/>
        <v>429</v>
      </c>
      <c r="AI80" s="5">
        <f t="shared" si="73"/>
        <v>442</v>
      </c>
      <c r="AJ80" s="5">
        <f t="shared" si="73"/>
        <v>455</v>
      </c>
      <c r="AK80" s="5">
        <f t="shared" si="73"/>
        <v>468</v>
      </c>
      <c r="AL80" s="5">
        <f t="shared" si="73"/>
        <v>481</v>
      </c>
      <c r="AM80" s="5">
        <f t="shared" si="73"/>
        <v>494</v>
      </c>
    </row>
    <row r="81">
      <c r="A81" s="2">
        <v>14.0</v>
      </c>
      <c r="B81" s="5">
        <f t="shared" ref="B81:AM81" si="74">max(B15,B37*$B$66)</f>
        <v>560.68</v>
      </c>
      <c r="C81" s="5">
        <f t="shared" si="74"/>
        <v>552.12</v>
      </c>
      <c r="D81" s="5">
        <f t="shared" si="74"/>
        <v>543.56</v>
      </c>
      <c r="E81" s="5">
        <f t="shared" si="74"/>
        <v>535</v>
      </c>
      <c r="F81" s="5">
        <f t="shared" si="74"/>
        <v>526.44</v>
      </c>
      <c r="G81" s="5">
        <f t="shared" si="74"/>
        <v>517.88</v>
      </c>
      <c r="H81" s="5">
        <f t="shared" si="74"/>
        <v>509.32</v>
      </c>
      <c r="I81" s="5">
        <f t="shared" si="74"/>
        <v>500.76</v>
      </c>
      <c r="J81" s="5">
        <f t="shared" si="74"/>
        <v>492.2</v>
      </c>
      <c r="K81" s="5">
        <f t="shared" si="74"/>
        <v>483.64</v>
      </c>
      <c r="L81" s="5">
        <f t="shared" si="74"/>
        <v>475.08</v>
      </c>
      <c r="M81" s="5">
        <f t="shared" si="74"/>
        <v>466.52</v>
      </c>
      <c r="N81" s="5">
        <f t="shared" si="74"/>
        <v>457.96</v>
      </c>
      <c r="O81" s="5">
        <f t="shared" si="74"/>
        <v>449.4</v>
      </c>
      <c r="P81" s="5">
        <f t="shared" si="74"/>
        <v>440.84</v>
      </c>
      <c r="Q81" s="5">
        <f t="shared" si="74"/>
        <v>432.28</v>
      </c>
      <c r="R81" s="5">
        <f t="shared" si="74"/>
        <v>423.72</v>
      </c>
      <c r="S81" s="5">
        <f t="shared" si="74"/>
        <v>415.16</v>
      </c>
      <c r="T81" s="5">
        <f t="shared" si="74"/>
        <v>406.6</v>
      </c>
      <c r="U81" s="5">
        <f t="shared" si="74"/>
        <v>398.04</v>
      </c>
      <c r="V81" s="5">
        <f t="shared" si="74"/>
        <v>389.48</v>
      </c>
      <c r="W81" s="5">
        <f t="shared" si="74"/>
        <v>380.92</v>
      </c>
      <c r="X81" s="5">
        <f t="shared" si="74"/>
        <v>372.36</v>
      </c>
      <c r="Y81" s="5">
        <f t="shared" si="74"/>
        <v>363.8</v>
      </c>
      <c r="Z81" s="24">
        <f t="shared" si="74"/>
        <v>355.24</v>
      </c>
      <c r="AA81" s="5">
        <f t="shared" si="74"/>
        <v>364</v>
      </c>
      <c r="AB81" s="5">
        <f t="shared" si="74"/>
        <v>378</v>
      </c>
      <c r="AC81" s="5">
        <f t="shared" si="74"/>
        <v>392</v>
      </c>
      <c r="AD81" s="5">
        <f t="shared" si="74"/>
        <v>406</v>
      </c>
      <c r="AE81" s="5">
        <f t="shared" si="74"/>
        <v>420</v>
      </c>
      <c r="AF81" s="5">
        <f t="shared" si="74"/>
        <v>434</v>
      </c>
      <c r="AG81" s="5">
        <f t="shared" si="74"/>
        <v>448</v>
      </c>
      <c r="AH81" s="5">
        <f t="shared" si="74"/>
        <v>462</v>
      </c>
      <c r="AI81" s="5">
        <f t="shared" si="74"/>
        <v>476</v>
      </c>
      <c r="AJ81" s="5">
        <f t="shared" si="74"/>
        <v>490</v>
      </c>
      <c r="AK81" s="5">
        <f t="shared" si="74"/>
        <v>504</v>
      </c>
      <c r="AL81" s="5">
        <f t="shared" si="74"/>
        <v>518</v>
      </c>
      <c r="AM81" s="5">
        <f t="shared" si="74"/>
        <v>532</v>
      </c>
    </row>
    <row r="82">
      <c r="A82" s="2">
        <v>15.0</v>
      </c>
      <c r="B82" s="5">
        <f t="shared" ref="B82:AM82" si="75">max(B16,B38*$B$66)</f>
        <v>599.2</v>
      </c>
      <c r="C82" s="5">
        <f t="shared" si="75"/>
        <v>588.5</v>
      </c>
      <c r="D82" s="5">
        <f t="shared" si="75"/>
        <v>577.8</v>
      </c>
      <c r="E82" s="5">
        <f t="shared" si="75"/>
        <v>567.1</v>
      </c>
      <c r="F82" s="5">
        <f t="shared" si="75"/>
        <v>556.4</v>
      </c>
      <c r="G82" s="5">
        <f t="shared" si="75"/>
        <v>545.7</v>
      </c>
      <c r="H82" s="5">
        <f t="shared" si="75"/>
        <v>535</v>
      </c>
      <c r="I82" s="5">
        <f t="shared" si="75"/>
        <v>524.3</v>
      </c>
      <c r="J82" s="5">
        <f t="shared" si="75"/>
        <v>513.6</v>
      </c>
      <c r="K82" s="5">
        <f t="shared" si="75"/>
        <v>502.9</v>
      </c>
      <c r="L82" s="5">
        <f t="shared" si="75"/>
        <v>492.2</v>
      </c>
      <c r="M82" s="5">
        <f t="shared" si="75"/>
        <v>481.5</v>
      </c>
      <c r="N82" s="5">
        <f t="shared" si="75"/>
        <v>470.8</v>
      </c>
      <c r="O82" s="5">
        <f t="shared" si="75"/>
        <v>460.1</v>
      </c>
      <c r="P82" s="5">
        <f t="shared" si="75"/>
        <v>449.4</v>
      </c>
      <c r="Q82" s="5">
        <f t="shared" si="75"/>
        <v>438.7</v>
      </c>
      <c r="R82" s="5">
        <f t="shared" si="75"/>
        <v>428</v>
      </c>
      <c r="S82" s="5">
        <f t="shared" si="75"/>
        <v>417.3</v>
      </c>
      <c r="T82" s="5">
        <f t="shared" si="75"/>
        <v>406.6</v>
      </c>
      <c r="U82" s="5">
        <f t="shared" si="75"/>
        <v>395.9</v>
      </c>
      <c r="V82" s="5">
        <f t="shared" si="75"/>
        <v>385.2</v>
      </c>
      <c r="W82" s="5">
        <f t="shared" si="75"/>
        <v>374.5</v>
      </c>
      <c r="X82" s="5">
        <f t="shared" si="75"/>
        <v>363.8</v>
      </c>
      <c r="Y82" s="24">
        <f t="shared" si="75"/>
        <v>360</v>
      </c>
      <c r="Z82" s="5">
        <f t="shared" si="75"/>
        <v>375</v>
      </c>
      <c r="AA82" s="5">
        <f t="shared" si="75"/>
        <v>390</v>
      </c>
      <c r="AB82" s="5">
        <f t="shared" si="75"/>
        <v>405</v>
      </c>
      <c r="AC82" s="5">
        <f t="shared" si="75"/>
        <v>420</v>
      </c>
      <c r="AD82" s="5">
        <f t="shared" si="75"/>
        <v>435</v>
      </c>
      <c r="AE82" s="5">
        <f t="shared" si="75"/>
        <v>450</v>
      </c>
      <c r="AF82" s="5">
        <f t="shared" si="75"/>
        <v>465</v>
      </c>
      <c r="AG82" s="5">
        <f t="shared" si="75"/>
        <v>480</v>
      </c>
      <c r="AH82" s="5">
        <f t="shared" si="75"/>
        <v>495</v>
      </c>
      <c r="AI82" s="5">
        <f t="shared" si="75"/>
        <v>510</v>
      </c>
      <c r="AJ82" s="5">
        <f t="shared" si="75"/>
        <v>525</v>
      </c>
      <c r="AK82" s="5">
        <f t="shared" si="75"/>
        <v>540</v>
      </c>
      <c r="AL82" s="5">
        <f t="shared" si="75"/>
        <v>555</v>
      </c>
      <c r="AM82" s="5">
        <f t="shared" si="75"/>
        <v>570</v>
      </c>
    </row>
    <row r="83">
      <c r="A83" s="2">
        <v>16.0</v>
      </c>
      <c r="B83" s="5">
        <f t="shared" ref="B83:AM83" si="76">max(B17,B39*$B$66)</f>
        <v>637.72</v>
      </c>
      <c r="C83" s="5">
        <f t="shared" si="76"/>
        <v>624.88</v>
      </c>
      <c r="D83" s="5">
        <f t="shared" si="76"/>
        <v>612.04</v>
      </c>
      <c r="E83" s="5">
        <f t="shared" si="76"/>
        <v>599.2</v>
      </c>
      <c r="F83" s="5">
        <f t="shared" si="76"/>
        <v>586.36</v>
      </c>
      <c r="G83" s="5">
        <f t="shared" si="76"/>
        <v>573.52</v>
      </c>
      <c r="H83" s="5">
        <f t="shared" si="76"/>
        <v>560.68</v>
      </c>
      <c r="I83" s="5">
        <f t="shared" si="76"/>
        <v>547.84</v>
      </c>
      <c r="J83" s="5">
        <f t="shared" si="76"/>
        <v>535</v>
      </c>
      <c r="K83" s="5">
        <f t="shared" si="76"/>
        <v>522.16</v>
      </c>
      <c r="L83" s="5">
        <f t="shared" si="76"/>
        <v>509.32</v>
      </c>
      <c r="M83" s="5">
        <f t="shared" si="76"/>
        <v>496.48</v>
      </c>
      <c r="N83" s="5">
        <f t="shared" si="76"/>
        <v>483.64</v>
      </c>
      <c r="O83" s="5">
        <f t="shared" si="76"/>
        <v>470.8</v>
      </c>
      <c r="P83" s="5">
        <f t="shared" si="76"/>
        <v>457.96</v>
      </c>
      <c r="Q83" s="5">
        <f t="shared" si="76"/>
        <v>445.12</v>
      </c>
      <c r="R83" s="5">
        <f t="shared" si="76"/>
        <v>432.28</v>
      </c>
      <c r="S83" s="5">
        <f t="shared" si="76"/>
        <v>419.44</v>
      </c>
      <c r="T83" s="5">
        <f t="shared" si="76"/>
        <v>406.6</v>
      </c>
      <c r="U83" s="5">
        <f t="shared" si="76"/>
        <v>393.76</v>
      </c>
      <c r="V83" s="5">
        <f t="shared" si="76"/>
        <v>380.92</v>
      </c>
      <c r="W83" s="5">
        <f t="shared" si="76"/>
        <v>368.08</v>
      </c>
      <c r="X83" s="5">
        <f t="shared" si="76"/>
        <v>368</v>
      </c>
      <c r="Y83" s="5">
        <f t="shared" si="76"/>
        <v>384</v>
      </c>
      <c r="Z83" s="5">
        <f t="shared" si="76"/>
        <v>400</v>
      </c>
      <c r="AA83" s="5">
        <f t="shared" si="76"/>
        <v>416</v>
      </c>
      <c r="AB83" s="5">
        <f t="shared" si="76"/>
        <v>432</v>
      </c>
      <c r="AC83" s="5">
        <f t="shared" si="76"/>
        <v>448</v>
      </c>
      <c r="AD83" s="5">
        <f t="shared" si="76"/>
        <v>464</v>
      </c>
      <c r="AE83" s="5">
        <f t="shared" si="76"/>
        <v>480</v>
      </c>
      <c r="AF83" s="5">
        <f t="shared" si="76"/>
        <v>496</v>
      </c>
      <c r="AG83" s="5">
        <f t="shared" si="76"/>
        <v>512</v>
      </c>
      <c r="AH83" s="5">
        <f t="shared" si="76"/>
        <v>528</v>
      </c>
      <c r="AI83" s="5">
        <f t="shared" si="76"/>
        <v>544</v>
      </c>
      <c r="AJ83" s="5">
        <f t="shared" si="76"/>
        <v>560</v>
      </c>
      <c r="AK83" s="5">
        <f t="shared" si="76"/>
        <v>576</v>
      </c>
      <c r="AL83" s="5">
        <f t="shared" si="76"/>
        <v>592</v>
      </c>
      <c r="AM83" s="5">
        <f t="shared" si="76"/>
        <v>608</v>
      </c>
    </row>
    <row r="84">
      <c r="A84" s="2">
        <v>17.0</v>
      </c>
      <c r="B84" s="5">
        <f t="shared" ref="B84:AM84" si="77">max(B18,B40*$B$66)</f>
        <v>676.24</v>
      </c>
      <c r="C84" s="5">
        <f t="shared" si="77"/>
        <v>661.26</v>
      </c>
      <c r="D84" s="5">
        <f t="shared" si="77"/>
        <v>646.28</v>
      </c>
      <c r="E84" s="5">
        <f t="shared" si="77"/>
        <v>631.3</v>
      </c>
      <c r="F84" s="5">
        <f t="shared" si="77"/>
        <v>616.32</v>
      </c>
      <c r="G84" s="5">
        <f t="shared" si="77"/>
        <v>601.34</v>
      </c>
      <c r="H84" s="5">
        <f t="shared" si="77"/>
        <v>586.36</v>
      </c>
      <c r="I84" s="5">
        <f t="shared" si="77"/>
        <v>571.38</v>
      </c>
      <c r="J84" s="5">
        <f t="shared" si="77"/>
        <v>556.4</v>
      </c>
      <c r="K84" s="5">
        <f t="shared" si="77"/>
        <v>541.42</v>
      </c>
      <c r="L84" s="5">
        <f t="shared" si="77"/>
        <v>526.44</v>
      </c>
      <c r="M84" s="5">
        <f t="shared" si="77"/>
        <v>511.46</v>
      </c>
      <c r="N84" s="5">
        <f t="shared" si="77"/>
        <v>496.48</v>
      </c>
      <c r="O84" s="5">
        <f t="shared" si="77"/>
        <v>481.5</v>
      </c>
      <c r="P84" s="5">
        <f t="shared" si="77"/>
        <v>466.52</v>
      </c>
      <c r="Q84" s="5">
        <f t="shared" si="77"/>
        <v>451.54</v>
      </c>
      <c r="R84" s="5">
        <f t="shared" si="77"/>
        <v>436.56</v>
      </c>
      <c r="S84" s="5">
        <f t="shared" si="77"/>
        <v>421.58</v>
      </c>
      <c r="T84" s="5">
        <f t="shared" si="77"/>
        <v>406.6</v>
      </c>
      <c r="U84" s="5">
        <f t="shared" si="77"/>
        <v>391.62</v>
      </c>
      <c r="V84" s="5">
        <f t="shared" si="77"/>
        <v>376.64</v>
      </c>
      <c r="W84" s="5">
        <f t="shared" si="77"/>
        <v>374</v>
      </c>
      <c r="X84" s="5">
        <f t="shared" si="77"/>
        <v>391</v>
      </c>
      <c r="Y84" s="5">
        <f t="shared" si="77"/>
        <v>408</v>
      </c>
      <c r="Z84" s="5">
        <f t="shared" si="77"/>
        <v>425</v>
      </c>
      <c r="AA84" s="5">
        <f t="shared" si="77"/>
        <v>442</v>
      </c>
      <c r="AB84" s="5">
        <f t="shared" si="77"/>
        <v>459</v>
      </c>
      <c r="AC84" s="5">
        <f t="shared" si="77"/>
        <v>476</v>
      </c>
      <c r="AD84" s="5">
        <f t="shared" si="77"/>
        <v>493</v>
      </c>
      <c r="AE84" s="5">
        <f t="shared" si="77"/>
        <v>510</v>
      </c>
      <c r="AF84" s="5">
        <f t="shared" si="77"/>
        <v>527</v>
      </c>
      <c r="AG84" s="5">
        <f t="shared" si="77"/>
        <v>544</v>
      </c>
      <c r="AH84" s="5">
        <f t="shared" si="77"/>
        <v>561</v>
      </c>
      <c r="AI84" s="5">
        <f t="shared" si="77"/>
        <v>578</v>
      </c>
      <c r="AJ84" s="5">
        <f t="shared" si="77"/>
        <v>595</v>
      </c>
      <c r="AK84" s="5">
        <f t="shared" si="77"/>
        <v>612</v>
      </c>
      <c r="AL84" s="5">
        <f t="shared" si="77"/>
        <v>629</v>
      </c>
      <c r="AM84" s="5">
        <f t="shared" si="77"/>
        <v>646</v>
      </c>
    </row>
    <row r="85">
      <c r="A85" s="2">
        <v>18.0</v>
      </c>
      <c r="B85" s="5">
        <f t="shared" ref="B85:AM85" si="78">max(B19,B41*$B$66)</f>
        <v>714.76</v>
      </c>
      <c r="C85" s="5">
        <f t="shared" si="78"/>
        <v>697.64</v>
      </c>
      <c r="D85" s="5">
        <f t="shared" si="78"/>
        <v>680.52</v>
      </c>
      <c r="E85" s="5">
        <f t="shared" si="78"/>
        <v>663.4</v>
      </c>
      <c r="F85" s="5">
        <f t="shared" si="78"/>
        <v>646.28</v>
      </c>
      <c r="G85" s="5">
        <f t="shared" si="78"/>
        <v>629.16</v>
      </c>
      <c r="H85" s="5">
        <f t="shared" si="78"/>
        <v>612.04</v>
      </c>
      <c r="I85" s="5">
        <f t="shared" si="78"/>
        <v>594.92</v>
      </c>
      <c r="J85" s="5">
        <f t="shared" si="78"/>
        <v>577.8</v>
      </c>
      <c r="K85" s="5">
        <f t="shared" si="78"/>
        <v>560.68</v>
      </c>
      <c r="L85" s="5">
        <f t="shared" si="78"/>
        <v>543.56</v>
      </c>
      <c r="M85" s="5">
        <f t="shared" si="78"/>
        <v>526.44</v>
      </c>
      <c r="N85" s="5">
        <f t="shared" si="78"/>
        <v>509.32</v>
      </c>
      <c r="O85" s="5">
        <f t="shared" si="78"/>
        <v>492.2</v>
      </c>
      <c r="P85" s="5">
        <f t="shared" si="78"/>
        <v>475.08</v>
      </c>
      <c r="Q85" s="5">
        <f t="shared" si="78"/>
        <v>457.96</v>
      </c>
      <c r="R85" s="5">
        <f t="shared" si="78"/>
        <v>440.84</v>
      </c>
      <c r="S85" s="5">
        <f t="shared" si="78"/>
        <v>423.72</v>
      </c>
      <c r="T85" s="5">
        <f t="shared" si="78"/>
        <v>406.6</v>
      </c>
      <c r="U85" s="5">
        <f t="shared" si="78"/>
        <v>389.48</v>
      </c>
      <c r="V85" s="5">
        <f t="shared" si="78"/>
        <v>378</v>
      </c>
      <c r="W85" s="5">
        <f t="shared" si="78"/>
        <v>396</v>
      </c>
      <c r="X85" s="5">
        <f t="shared" si="78"/>
        <v>414</v>
      </c>
      <c r="Y85" s="5">
        <f t="shared" si="78"/>
        <v>432</v>
      </c>
      <c r="Z85" s="5">
        <f t="shared" si="78"/>
        <v>450</v>
      </c>
      <c r="AA85" s="5">
        <f t="shared" si="78"/>
        <v>468</v>
      </c>
      <c r="AB85" s="5">
        <f t="shared" si="78"/>
        <v>486</v>
      </c>
      <c r="AC85" s="5">
        <f t="shared" si="78"/>
        <v>504</v>
      </c>
      <c r="AD85" s="5">
        <f t="shared" si="78"/>
        <v>522</v>
      </c>
      <c r="AE85" s="5">
        <f t="shared" si="78"/>
        <v>540</v>
      </c>
      <c r="AF85" s="5">
        <f t="shared" si="78"/>
        <v>558</v>
      </c>
      <c r="AG85" s="5">
        <f t="shared" si="78"/>
        <v>576</v>
      </c>
      <c r="AH85" s="5">
        <f t="shared" si="78"/>
        <v>594</v>
      </c>
      <c r="AI85" s="5">
        <f t="shared" si="78"/>
        <v>612</v>
      </c>
      <c r="AJ85" s="5">
        <f t="shared" si="78"/>
        <v>630</v>
      </c>
      <c r="AK85" s="5">
        <f t="shared" si="78"/>
        <v>648</v>
      </c>
      <c r="AL85" s="5">
        <f t="shared" si="78"/>
        <v>666</v>
      </c>
      <c r="AM85" s="5">
        <f t="shared" si="78"/>
        <v>684</v>
      </c>
    </row>
    <row r="86">
      <c r="A86" s="2">
        <v>19.0</v>
      </c>
      <c r="B86" s="5">
        <f t="shared" ref="B86:AM86" si="79">max(B20,B42*$B$66)</f>
        <v>753.28</v>
      </c>
      <c r="C86" s="5">
        <f t="shared" si="79"/>
        <v>734.02</v>
      </c>
      <c r="D86" s="5">
        <f t="shared" si="79"/>
        <v>714.76</v>
      </c>
      <c r="E86" s="5">
        <f t="shared" si="79"/>
        <v>695.5</v>
      </c>
      <c r="F86" s="5">
        <f t="shared" si="79"/>
        <v>676.24</v>
      </c>
      <c r="G86" s="5">
        <f t="shared" si="79"/>
        <v>656.98</v>
      </c>
      <c r="H86" s="5">
        <f t="shared" si="79"/>
        <v>637.72</v>
      </c>
      <c r="I86" s="5">
        <f t="shared" si="79"/>
        <v>618.46</v>
      </c>
      <c r="J86" s="5">
        <f t="shared" si="79"/>
        <v>599.2</v>
      </c>
      <c r="K86" s="5">
        <f t="shared" si="79"/>
        <v>579.94</v>
      </c>
      <c r="L86" s="5">
        <f t="shared" si="79"/>
        <v>560.68</v>
      </c>
      <c r="M86" s="5">
        <f t="shared" si="79"/>
        <v>541.42</v>
      </c>
      <c r="N86" s="5">
        <f t="shared" si="79"/>
        <v>522.16</v>
      </c>
      <c r="O86" s="5">
        <f t="shared" si="79"/>
        <v>502.9</v>
      </c>
      <c r="P86" s="5">
        <f t="shared" si="79"/>
        <v>483.64</v>
      </c>
      <c r="Q86" s="5">
        <f t="shared" si="79"/>
        <v>464.38</v>
      </c>
      <c r="R86" s="5">
        <f t="shared" si="79"/>
        <v>445.12</v>
      </c>
      <c r="S86" s="5">
        <f t="shared" si="79"/>
        <v>425.86</v>
      </c>
      <c r="T86" s="5">
        <f t="shared" si="79"/>
        <v>406.6</v>
      </c>
      <c r="U86" s="5">
        <f t="shared" si="79"/>
        <v>387.34</v>
      </c>
      <c r="V86" s="5">
        <f t="shared" si="79"/>
        <v>399</v>
      </c>
      <c r="W86" s="5">
        <f t="shared" si="79"/>
        <v>418</v>
      </c>
      <c r="X86" s="5">
        <f t="shared" si="79"/>
        <v>437</v>
      </c>
      <c r="Y86" s="5">
        <f t="shared" si="79"/>
        <v>456</v>
      </c>
      <c r="Z86" s="5">
        <f t="shared" si="79"/>
        <v>475</v>
      </c>
      <c r="AA86" s="5">
        <f t="shared" si="79"/>
        <v>494</v>
      </c>
      <c r="AB86" s="5">
        <f t="shared" si="79"/>
        <v>513</v>
      </c>
      <c r="AC86" s="5">
        <f t="shared" si="79"/>
        <v>532</v>
      </c>
      <c r="AD86" s="5">
        <f t="shared" si="79"/>
        <v>551</v>
      </c>
      <c r="AE86" s="5">
        <f t="shared" si="79"/>
        <v>570</v>
      </c>
      <c r="AF86" s="5">
        <f t="shared" si="79"/>
        <v>589</v>
      </c>
      <c r="AG86" s="5">
        <f t="shared" si="79"/>
        <v>608</v>
      </c>
      <c r="AH86" s="5">
        <f t="shared" si="79"/>
        <v>627</v>
      </c>
      <c r="AI86" s="5">
        <f t="shared" si="79"/>
        <v>646</v>
      </c>
      <c r="AJ86" s="5">
        <f t="shared" si="79"/>
        <v>665</v>
      </c>
      <c r="AK86" s="5">
        <f t="shared" si="79"/>
        <v>684</v>
      </c>
      <c r="AL86" s="5">
        <f t="shared" si="79"/>
        <v>703</v>
      </c>
      <c r="AM86" s="5">
        <f t="shared" si="79"/>
        <v>722</v>
      </c>
    </row>
    <row r="87">
      <c r="A87" s="2">
        <v>20.0</v>
      </c>
      <c r="B87" s="5">
        <f t="shared" ref="B87:AM87" si="80">max(B21,B43*$B$66)</f>
        <v>791.8</v>
      </c>
      <c r="C87" s="5">
        <f t="shared" si="80"/>
        <v>770.4</v>
      </c>
      <c r="D87" s="5">
        <f t="shared" si="80"/>
        <v>749</v>
      </c>
      <c r="E87" s="5">
        <f t="shared" si="80"/>
        <v>727.6</v>
      </c>
      <c r="F87" s="5">
        <f t="shared" si="80"/>
        <v>706.2</v>
      </c>
      <c r="G87" s="5">
        <f t="shared" si="80"/>
        <v>684.8</v>
      </c>
      <c r="H87" s="5">
        <f t="shared" si="80"/>
        <v>663.4</v>
      </c>
      <c r="I87" s="5">
        <f t="shared" si="80"/>
        <v>642</v>
      </c>
      <c r="J87" s="5">
        <f t="shared" si="80"/>
        <v>620.6</v>
      </c>
      <c r="K87" s="5">
        <f t="shared" si="80"/>
        <v>599.2</v>
      </c>
      <c r="L87" s="5">
        <f t="shared" si="80"/>
        <v>577.8</v>
      </c>
      <c r="M87" s="5">
        <f t="shared" si="80"/>
        <v>556.4</v>
      </c>
      <c r="N87" s="5">
        <f t="shared" si="80"/>
        <v>535</v>
      </c>
      <c r="O87" s="5">
        <f t="shared" si="80"/>
        <v>513.6</v>
      </c>
      <c r="P87" s="5">
        <f t="shared" si="80"/>
        <v>492.2</v>
      </c>
      <c r="Q87" s="5">
        <f t="shared" si="80"/>
        <v>470.8</v>
      </c>
      <c r="R87" s="5">
        <f t="shared" si="80"/>
        <v>449.4</v>
      </c>
      <c r="S87" s="5">
        <f t="shared" si="80"/>
        <v>428</v>
      </c>
      <c r="T87" s="5">
        <f t="shared" si="80"/>
        <v>406.6</v>
      </c>
      <c r="U87" s="5">
        <f t="shared" si="80"/>
        <v>400</v>
      </c>
      <c r="V87" s="5">
        <f t="shared" si="80"/>
        <v>420</v>
      </c>
      <c r="W87" s="5">
        <f t="shared" si="80"/>
        <v>440</v>
      </c>
      <c r="X87" s="5">
        <f t="shared" si="80"/>
        <v>460</v>
      </c>
      <c r="Y87" s="5">
        <f t="shared" si="80"/>
        <v>480</v>
      </c>
      <c r="Z87" s="5">
        <f t="shared" si="80"/>
        <v>500</v>
      </c>
      <c r="AA87" s="5">
        <f t="shared" si="80"/>
        <v>520</v>
      </c>
      <c r="AB87" s="5">
        <f t="shared" si="80"/>
        <v>540</v>
      </c>
      <c r="AC87" s="5">
        <f t="shared" si="80"/>
        <v>560</v>
      </c>
      <c r="AD87" s="5">
        <f t="shared" si="80"/>
        <v>580</v>
      </c>
      <c r="AE87" s="5">
        <f t="shared" si="80"/>
        <v>600</v>
      </c>
      <c r="AF87" s="5">
        <f t="shared" si="80"/>
        <v>620</v>
      </c>
      <c r="AG87" s="5">
        <f t="shared" si="80"/>
        <v>640</v>
      </c>
      <c r="AH87" s="5">
        <f t="shared" si="80"/>
        <v>660</v>
      </c>
      <c r="AI87" s="5">
        <f t="shared" si="80"/>
        <v>680</v>
      </c>
      <c r="AJ87" s="5">
        <f t="shared" si="80"/>
        <v>700</v>
      </c>
      <c r="AK87" s="5">
        <f t="shared" si="80"/>
        <v>720</v>
      </c>
      <c r="AL87" s="5">
        <f t="shared" si="80"/>
        <v>740</v>
      </c>
      <c r="AM87" s="5">
        <f t="shared" si="80"/>
        <v>760</v>
      </c>
    </row>
    <row r="88">
      <c r="A88" s="17"/>
    </row>
    <row r="89">
      <c r="A89" s="17"/>
    </row>
    <row r="90">
      <c r="A90" s="17"/>
      <c r="W90" s="5">
        <f>351/332</f>
        <v>1.057228916</v>
      </c>
    </row>
    <row r="91">
      <c r="A91" s="17"/>
      <c r="W91" s="5">
        <f>350/332</f>
        <v>1.054216867</v>
      </c>
    </row>
    <row r="92">
      <c r="A92" s="17"/>
      <c r="W92" s="5">
        <f>360/330</f>
        <v>1.090909091</v>
      </c>
    </row>
    <row r="93">
      <c r="A93" s="17"/>
    </row>
    <row r="94">
      <c r="A94" s="17"/>
      <c r="W94" s="5">
        <f t="shared" ref="W94:W96" si="81">1/W90</f>
        <v>0.9458689459</v>
      </c>
    </row>
    <row r="95">
      <c r="A95" s="17"/>
      <c r="W95" s="5">
        <f t="shared" si="81"/>
        <v>0.9485714286</v>
      </c>
    </row>
    <row r="96">
      <c r="A96" s="17"/>
      <c r="W96" s="5">
        <f t="shared" si="81"/>
        <v>0.9166666667</v>
      </c>
    </row>
    <row r="97">
      <c r="A97" s="17"/>
    </row>
    <row r="98">
      <c r="A98" s="17"/>
      <c r="B98" s="2">
        <v>1.0</v>
      </c>
      <c r="C98" s="2">
        <v>2.0</v>
      </c>
      <c r="D98" s="2">
        <v>3.0</v>
      </c>
      <c r="E98" s="2">
        <v>4.0</v>
      </c>
      <c r="F98" s="2">
        <v>5.0</v>
      </c>
      <c r="G98" s="2">
        <v>6.0</v>
      </c>
      <c r="H98" s="2">
        <v>7.0</v>
      </c>
      <c r="I98" s="2">
        <v>8.0</v>
      </c>
      <c r="J98" s="2">
        <v>9.0</v>
      </c>
      <c r="K98" s="2">
        <v>10.0</v>
      </c>
      <c r="L98" s="2">
        <v>11.0</v>
      </c>
      <c r="M98" s="2">
        <v>12.0</v>
      </c>
      <c r="N98" s="2">
        <v>13.0</v>
      </c>
      <c r="O98" s="2">
        <v>14.0</v>
      </c>
      <c r="P98" s="2">
        <v>15.0</v>
      </c>
      <c r="Q98" s="2">
        <v>16.0</v>
      </c>
      <c r="R98" s="2">
        <v>17.0</v>
      </c>
      <c r="S98" s="2">
        <v>18.0</v>
      </c>
      <c r="T98" s="2">
        <v>19.0</v>
      </c>
      <c r="U98" s="2">
        <v>20.0</v>
      </c>
      <c r="V98" s="2">
        <v>21.0</v>
      </c>
      <c r="W98" s="2">
        <v>22.0</v>
      </c>
      <c r="X98" s="2">
        <v>23.0</v>
      </c>
      <c r="Y98" s="2">
        <v>24.0</v>
      </c>
      <c r="Z98" s="2">
        <v>25.0</v>
      </c>
      <c r="AA98" s="2">
        <v>26.0</v>
      </c>
      <c r="AB98" s="2">
        <v>27.0</v>
      </c>
      <c r="AC98" s="2">
        <v>28.0</v>
      </c>
      <c r="AD98" s="2">
        <v>29.0</v>
      </c>
      <c r="AE98" s="2">
        <v>30.0</v>
      </c>
      <c r="AF98" s="2">
        <v>31.0</v>
      </c>
      <c r="AG98" s="2">
        <v>32.0</v>
      </c>
      <c r="AH98" s="2">
        <v>33.0</v>
      </c>
      <c r="AI98" s="2">
        <v>34.0</v>
      </c>
      <c r="AJ98" s="2">
        <v>35.0</v>
      </c>
      <c r="AK98" s="2">
        <v>36.0</v>
      </c>
      <c r="AL98" s="2">
        <v>37.0</v>
      </c>
      <c r="AM98" s="2">
        <v>38.0</v>
      </c>
    </row>
    <row r="99">
      <c r="A99" s="2">
        <v>1.0</v>
      </c>
      <c r="B99" s="5">
        <f t="array" ref="B99:AM118">B24:AM43/B2:AM21</f>
        <v>56</v>
      </c>
      <c r="C99" s="5">
        <v>37.0</v>
      </c>
      <c r="D99" s="5">
        <v>30.666666666666668</v>
      </c>
      <c r="E99" s="5">
        <v>27.5</v>
      </c>
      <c r="F99" s="5">
        <v>25.6</v>
      </c>
      <c r="G99" s="5">
        <v>24.333333333333332</v>
      </c>
      <c r="H99" s="5">
        <v>23.428571428571427</v>
      </c>
      <c r="I99" s="5">
        <v>22.75</v>
      </c>
      <c r="J99" s="5">
        <v>22.22222222222222</v>
      </c>
      <c r="K99" s="5">
        <v>21.8</v>
      </c>
      <c r="L99" s="5">
        <v>21.454545454545453</v>
      </c>
      <c r="M99" s="5">
        <v>21.166666666666668</v>
      </c>
      <c r="N99" s="5">
        <v>20.923076923076923</v>
      </c>
      <c r="O99" s="5">
        <v>20.714285714285715</v>
      </c>
      <c r="P99" s="5">
        <v>20.533333333333335</v>
      </c>
      <c r="Q99" s="5">
        <v>20.375</v>
      </c>
      <c r="R99" s="5">
        <v>20.235294117647058</v>
      </c>
      <c r="S99" s="5">
        <v>20.11111111111111</v>
      </c>
      <c r="T99" s="5">
        <v>20.0</v>
      </c>
      <c r="U99" s="5">
        <v>19.9</v>
      </c>
      <c r="V99" s="5">
        <v>19.80952380952381</v>
      </c>
      <c r="W99" s="5">
        <v>19.727272727272727</v>
      </c>
      <c r="X99" s="5">
        <v>19.652173913043477</v>
      </c>
      <c r="Y99" s="5">
        <v>19.583333333333332</v>
      </c>
      <c r="Z99" s="5">
        <v>19.52</v>
      </c>
      <c r="AA99" s="5">
        <v>19.46153846153846</v>
      </c>
      <c r="AB99" s="5">
        <v>19.40740740740741</v>
      </c>
      <c r="AC99" s="5">
        <v>19.357142857142858</v>
      </c>
      <c r="AD99" s="5">
        <v>19.310344827586206</v>
      </c>
      <c r="AE99" s="5">
        <v>19.266666666666666</v>
      </c>
      <c r="AF99" s="5">
        <v>19.225806451612904</v>
      </c>
      <c r="AG99" s="5">
        <v>19.1875</v>
      </c>
      <c r="AH99" s="5">
        <v>19.151515151515152</v>
      </c>
      <c r="AI99" s="5">
        <v>19.11764705882353</v>
      </c>
      <c r="AJ99" s="5">
        <v>19.085714285714285</v>
      </c>
      <c r="AK99" s="5">
        <v>19.055555555555557</v>
      </c>
      <c r="AL99" s="5">
        <v>19.027027027027028</v>
      </c>
      <c r="AM99" s="5">
        <v>19.0</v>
      </c>
    </row>
    <row r="100">
      <c r="A100" s="2">
        <v>2.0</v>
      </c>
      <c r="B100" s="5">
        <v>46.0</v>
      </c>
      <c r="C100" s="5">
        <v>27.0</v>
      </c>
      <c r="D100" s="5">
        <v>20.666666666666668</v>
      </c>
      <c r="E100" s="5">
        <v>17.5</v>
      </c>
      <c r="F100" s="5">
        <v>15.6</v>
      </c>
      <c r="G100" s="5">
        <v>14.333333333333334</v>
      </c>
      <c r="H100" s="5">
        <v>13.428571428571429</v>
      </c>
      <c r="I100" s="5">
        <v>12.75</v>
      </c>
      <c r="J100" s="5">
        <v>12.222222222222221</v>
      </c>
      <c r="K100" s="5">
        <v>11.8</v>
      </c>
      <c r="L100" s="5">
        <v>11.454545454545455</v>
      </c>
      <c r="M100" s="5">
        <v>11.166666666666666</v>
      </c>
      <c r="N100" s="5">
        <v>10.923076923076923</v>
      </c>
      <c r="O100" s="5">
        <v>10.714285714285714</v>
      </c>
      <c r="P100" s="5">
        <v>10.533333333333333</v>
      </c>
      <c r="Q100" s="5">
        <v>10.375</v>
      </c>
      <c r="R100" s="5">
        <v>10.235294117647058</v>
      </c>
      <c r="S100" s="5">
        <v>10.11111111111111</v>
      </c>
      <c r="T100" s="5">
        <v>10.0</v>
      </c>
      <c r="U100" s="5">
        <v>9.9</v>
      </c>
      <c r="V100" s="5">
        <v>9.80952380952381</v>
      </c>
      <c r="W100" s="5">
        <v>9.727272727272727</v>
      </c>
      <c r="X100" s="5">
        <v>9.652173913043478</v>
      </c>
      <c r="Y100" s="5">
        <v>9.583333333333334</v>
      </c>
      <c r="Z100" s="5">
        <v>9.52</v>
      </c>
      <c r="AA100" s="5">
        <v>9.461538461538462</v>
      </c>
      <c r="AB100" s="5">
        <v>9.407407407407407</v>
      </c>
      <c r="AC100" s="5">
        <v>9.357142857142858</v>
      </c>
      <c r="AD100" s="5">
        <v>9.310344827586206</v>
      </c>
      <c r="AE100" s="5">
        <v>9.266666666666667</v>
      </c>
      <c r="AF100" s="5">
        <v>9.225806451612904</v>
      </c>
      <c r="AG100" s="5">
        <v>9.1875</v>
      </c>
      <c r="AH100" s="5">
        <v>9.151515151515152</v>
      </c>
      <c r="AI100" s="5">
        <v>9.117647058823529</v>
      </c>
      <c r="AJ100" s="5">
        <v>9.085714285714285</v>
      </c>
      <c r="AK100" s="5">
        <v>9.055555555555555</v>
      </c>
      <c r="AL100" s="5">
        <v>9.027027027027026</v>
      </c>
      <c r="AM100" s="5">
        <v>9.0</v>
      </c>
    </row>
    <row r="101">
      <c r="A101" s="2">
        <v>3.0</v>
      </c>
      <c r="B101" s="5">
        <v>42.666666666666664</v>
      </c>
      <c r="C101" s="5">
        <v>23.666666666666668</v>
      </c>
      <c r="D101" s="5">
        <v>17.333333333333332</v>
      </c>
      <c r="E101" s="5">
        <v>14.166666666666666</v>
      </c>
      <c r="F101" s="5">
        <v>12.266666666666667</v>
      </c>
      <c r="G101" s="5">
        <v>11.0</v>
      </c>
      <c r="H101" s="5">
        <v>10.095238095238095</v>
      </c>
      <c r="I101" s="5">
        <v>9.416666666666666</v>
      </c>
      <c r="J101" s="5">
        <v>8.88888888888889</v>
      </c>
      <c r="K101" s="5">
        <v>8.466666666666667</v>
      </c>
      <c r="L101" s="5">
        <v>8.121212121212121</v>
      </c>
      <c r="M101" s="5">
        <v>7.833333333333333</v>
      </c>
      <c r="N101" s="5">
        <v>7.589743589743589</v>
      </c>
      <c r="O101" s="5">
        <v>7.380952380952381</v>
      </c>
      <c r="P101" s="5">
        <v>7.2</v>
      </c>
      <c r="Q101" s="5">
        <v>7.041666666666667</v>
      </c>
      <c r="R101" s="5">
        <v>6.901960784313726</v>
      </c>
      <c r="S101" s="5">
        <v>6.777777777777778</v>
      </c>
      <c r="T101" s="5">
        <v>6.666666666666667</v>
      </c>
      <c r="U101" s="5">
        <v>6.566666666666666</v>
      </c>
      <c r="V101" s="5">
        <v>6.476190476190476</v>
      </c>
      <c r="W101" s="5">
        <v>6.393939393939394</v>
      </c>
      <c r="X101" s="5">
        <v>6.318840579710145</v>
      </c>
      <c r="Y101" s="5">
        <v>6.25</v>
      </c>
      <c r="Z101" s="5">
        <v>6.1866666666666665</v>
      </c>
      <c r="AA101" s="5">
        <v>6.128205128205129</v>
      </c>
      <c r="AB101" s="5">
        <v>6.074074074074074</v>
      </c>
      <c r="AC101" s="5">
        <v>6.023809523809524</v>
      </c>
      <c r="AD101" s="5">
        <v>5.977011494252873</v>
      </c>
      <c r="AE101" s="5">
        <v>5.933333333333334</v>
      </c>
      <c r="AF101" s="5">
        <v>5.89247311827957</v>
      </c>
      <c r="AG101" s="5">
        <v>5.854166666666667</v>
      </c>
      <c r="AH101" s="5">
        <v>5.818181818181818</v>
      </c>
      <c r="AI101" s="5">
        <v>5.784313725490196</v>
      </c>
      <c r="AJ101" s="5">
        <v>5.752380952380952</v>
      </c>
      <c r="AK101" s="5">
        <v>5.722222222222222</v>
      </c>
      <c r="AL101" s="5">
        <v>5.693693693693693</v>
      </c>
      <c r="AM101" s="5">
        <v>5.666666666666667</v>
      </c>
    </row>
    <row r="102">
      <c r="A102" s="2">
        <v>4.0</v>
      </c>
      <c r="B102" s="5">
        <v>41.0</v>
      </c>
      <c r="C102" s="5">
        <v>22.0</v>
      </c>
      <c r="D102" s="5">
        <v>15.666666666666666</v>
      </c>
      <c r="E102" s="5">
        <v>12.5</v>
      </c>
      <c r="F102" s="5">
        <v>10.6</v>
      </c>
      <c r="G102" s="5">
        <v>9.333333333333334</v>
      </c>
      <c r="H102" s="5">
        <v>8.428571428571429</v>
      </c>
      <c r="I102" s="5">
        <v>7.75</v>
      </c>
      <c r="J102" s="5">
        <v>7.222222222222222</v>
      </c>
      <c r="K102" s="5">
        <v>6.8</v>
      </c>
      <c r="L102" s="5">
        <v>6.454545454545454</v>
      </c>
      <c r="M102" s="5">
        <v>6.166666666666667</v>
      </c>
      <c r="N102" s="5">
        <v>5.923076923076923</v>
      </c>
      <c r="O102" s="5">
        <v>5.714285714285714</v>
      </c>
      <c r="P102" s="5">
        <v>5.533333333333333</v>
      </c>
      <c r="Q102" s="5">
        <v>5.375</v>
      </c>
      <c r="R102" s="5">
        <v>5.235294117647059</v>
      </c>
      <c r="S102" s="5">
        <v>5.111111111111111</v>
      </c>
      <c r="T102" s="5">
        <v>5.0</v>
      </c>
      <c r="U102" s="5">
        <v>4.9</v>
      </c>
      <c r="V102" s="5">
        <v>4.809523809523809</v>
      </c>
      <c r="W102" s="5">
        <v>4.7272727272727275</v>
      </c>
      <c r="X102" s="5">
        <v>4.6521739130434785</v>
      </c>
      <c r="Y102" s="5">
        <v>4.583333333333333</v>
      </c>
      <c r="Z102" s="5">
        <v>4.52</v>
      </c>
      <c r="AA102" s="5">
        <v>4.461538461538462</v>
      </c>
      <c r="AB102" s="5">
        <v>4.407407407407407</v>
      </c>
      <c r="AC102" s="5">
        <v>4.357142857142857</v>
      </c>
      <c r="AD102" s="5">
        <v>4.310344827586207</v>
      </c>
      <c r="AE102" s="5">
        <v>4.266666666666667</v>
      </c>
      <c r="AF102" s="5">
        <v>4.225806451612903</v>
      </c>
      <c r="AG102" s="5">
        <v>4.1875</v>
      </c>
      <c r="AH102" s="5">
        <v>4.151515151515151</v>
      </c>
      <c r="AI102" s="5">
        <v>4.117647058823529</v>
      </c>
      <c r="AJ102" s="5">
        <v>4.085714285714285</v>
      </c>
      <c r="AK102" s="5">
        <v>4.055555555555555</v>
      </c>
      <c r="AL102" s="5">
        <v>4.027027027027027</v>
      </c>
      <c r="AM102" s="5">
        <v>4.0</v>
      </c>
    </row>
    <row r="103">
      <c r="A103" s="2">
        <v>5.0</v>
      </c>
      <c r="B103" s="5">
        <v>40.0</v>
      </c>
      <c r="C103" s="5">
        <v>21.0</v>
      </c>
      <c r="D103" s="5">
        <v>14.666666666666666</v>
      </c>
      <c r="E103" s="5">
        <v>11.5</v>
      </c>
      <c r="F103" s="5">
        <v>9.6</v>
      </c>
      <c r="G103" s="5">
        <v>8.333333333333334</v>
      </c>
      <c r="H103" s="5">
        <v>7.428571428571429</v>
      </c>
      <c r="I103" s="5">
        <v>6.75</v>
      </c>
      <c r="J103" s="5">
        <v>6.222222222222222</v>
      </c>
      <c r="K103" s="5">
        <v>5.8</v>
      </c>
      <c r="L103" s="5">
        <v>5.454545454545454</v>
      </c>
      <c r="M103" s="5">
        <v>5.166666666666667</v>
      </c>
      <c r="N103" s="5">
        <v>4.923076923076923</v>
      </c>
      <c r="O103" s="24">
        <v>4.714285714285714</v>
      </c>
      <c r="P103" s="5">
        <v>4.533333333333333</v>
      </c>
      <c r="Q103" s="5">
        <v>4.375</v>
      </c>
      <c r="R103" s="5">
        <v>4.235294117647059</v>
      </c>
      <c r="S103" s="5">
        <v>4.111111111111111</v>
      </c>
      <c r="T103" s="5">
        <v>4.0</v>
      </c>
      <c r="U103" s="5">
        <v>3.9</v>
      </c>
      <c r="V103" s="5">
        <v>3.8095238095238093</v>
      </c>
      <c r="W103" s="5">
        <v>3.727272727272727</v>
      </c>
      <c r="X103" s="5">
        <v>3.652173913043478</v>
      </c>
      <c r="Y103" s="5">
        <v>3.5833333333333335</v>
      </c>
      <c r="Z103" s="5">
        <v>3.52</v>
      </c>
      <c r="AA103" s="5">
        <v>3.4615384615384617</v>
      </c>
      <c r="AB103" s="5">
        <v>3.4074074074074074</v>
      </c>
      <c r="AC103" s="5">
        <v>3.357142857142857</v>
      </c>
      <c r="AD103" s="5">
        <v>3.310344827586207</v>
      </c>
      <c r="AE103" s="5">
        <v>3.2666666666666666</v>
      </c>
      <c r="AF103" s="5">
        <v>3.225806451612903</v>
      </c>
      <c r="AG103" s="5">
        <v>3.1875</v>
      </c>
      <c r="AH103" s="5">
        <v>3.1515151515151514</v>
      </c>
      <c r="AI103" s="5">
        <v>3.1176470588235294</v>
      </c>
      <c r="AJ103" s="5">
        <v>3.085714285714286</v>
      </c>
      <c r="AK103" s="5">
        <v>3.0555555555555554</v>
      </c>
      <c r="AL103" s="5">
        <v>3.027027027027027</v>
      </c>
      <c r="AM103" s="5">
        <v>3.0</v>
      </c>
    </row>
    <row r="104">
      <c r="A104" s="2">
        <v>6.0</v>
      </c>
      <c r="B104" s="5">
        <v>39.333333333333336</v>
      </c>
      <c r="C104" s="5">
        <v>20.333333333333332</v>
      </c>
      <c r="D104" s="5">
        <v>14.0</v>
      </c>
      <c r="E104" s="5">
        <v>10.833333333333334</v>
      </c>
      <c r="F104" s="5">
        <v>8.933333333333334</v>
      </c>
      <c r="G104" s="5">
        <v>7.666666666666667</v>
      </c>
      <c r="H104" s="5">
        <v>6.761904761904762</v>
      </c>
      <c r="I104" s="5">
        <v>6.083333333333333</v>
      </c>
      <c r="J104" s="5">
        <v>5.555555555555555</v>
      </c>
      <c r="K104" s="5">
        <v>5.133333333333334</v>
      </c>
      <c r="L104" s="5">
        <v>4.787878787878788</v>
      </c>
      <c r="M104" s="5">
        <v>4.5</v>
      </c>
      <c r="N104" s="24">
        <v>4.256410256410256</v>
      </c>
      <c r="O104" s="5">
        <v>4.0476190476190474</v>
      </c>
      <c r="P104" s="5">
        <v>3.8666666666666667</v>
      </c>
      <c r="Q104" s="5">
        <v>3.7083333333333335</v>
      </c>
      <c r="R104" s="5">
        <v>3.5686274509803924</v>
      </c>
      <c r="S104" s="5">
        <v>3.4444444444444446</v>
      </c>
      <c r="T104" s="5">
        <v>3.3333333333333335</v>
      </c>
      <c r="U104" s="5">
        <v>3.2333333333333334</v>
      </c>
      <c r="V104" s="5">
        <v>3.142857142857143</v>
      </c>
      <c r="W104" s="5">
        <v>3.0606060606060606</v>
      </c>
      <c r="X104" s="5">
        <v>2.9855072463768115</v>
      </c>
      <c r="Y104" s="5">
        <v>2.9166666666666665</v>
      </c>
      <c r="Z104" s="5">
        <v>2.8533333333333335</v>
      </c>
      <c r="AA104" s="5">
        <v>2.7948717948717947</v>
      </c>
      <c r="AB104" s="5">
        <v>2.740740740740741</v>
      </c>
      <c r="AC104" s="5">
        <v>2.6904761904761907</v>
      </c>
      <c r="AD104" s="5">
        <v>2.6436781609195403</v>
      </c>
      <c r="AE104" s="5">
        <v>2.6</v>
      </c>
      <c r="AF104" s="5">
        <v>2.5591397849462365</v>
      </c>
      <c r="AG104" s="5">
        <v>2.5208333333333335</v>
      </c>
      <c r="AH104" s="5">
        <v>2.484848484848485</v>
      </c>
      <c r="AI104" s="5">
        <v>2.450980392156863</v>
      </c>
      <c r="AJ104" s="5">
        <v>2.419047619047619</v>
      </c>
      <c r="AK104" s="5">
        <v>2.388888888888889</v>
      </c>
      <c r="AL104" s="5">
        <v>2.3603603603603602</v>
      </c>
      <c r="AM104" s="5">
        <v>2.3333333333333335</v>
      </c>
    </row>
    <row r="105">
      <c r="A105" s="2">
        <v>7.0</v>
      </c>
      <c r="B105" s="5">
        <v>38.857142857142854</v>
      </c>
      <c r="C105" s="5">
        <v>19.857142857142858</v>
      </c>
      <c r="D105" s="5">
        <v>13.523809523809524</v>
      </c>
      <c r="E105" s="5">
        <v>10.357142857142858</v>
      </c>
      <c r="F105" s="5">
        <v>8.457142857142857</v>
      </c>
      <c r="G105" s="5">
        <v>7.190476190476191</v>
      </c>
      <c r="H105" s="5">
        <v>6.285714285714286</v>
      </c>
      <c r="I105" s="5">
        <v>5.607142857142857</v>
      </c>
      <c r="J105" s="5">
        <v>5.079365079365079</v>
      </c>
      <c r="K105" s="5">
        <v>4.6571428571428575</v>
      </c>
      <c r="L105" s="24">
        <v>4.311688311688312</v>
      </c>
      <c r="M105" s="5">
        <v>4.023809523809524</v>
      </c>
      <c r="N105" s="5">
        <v>3.78021978021978</v>
      </c>
      <c r="O105" s="5">
        <v>3.5714285714285716</v>
      </c>
      <c r="P105" s="5">
        <v>3.3904761904761904</v>
      </c>
      <c r="Q105" s="5">
        <v>3.232142857142857</v>
      </c>
      <c r="R105" s="5">
        <v>3.092436974789916</v>
      </c>
      <c r="S105" s="5">
        <v>2.9682539682539684</v>
      </c>
      <c r="T105" s="5">
        <v>2.857142857142857</v>
      </c>
      <c r="U105" s="5">
        <v>2.757142857142857</v>
      </c>
      <c r="V105" s="5">
        <v>2.6666666666666665</v>
      </c>
      <c r="W105" s="5">
        <v>2.5844155844155843</v>
      </c>
      <c r="X105" s="5">
        <v>2.5093167701863353</v>
      </c>
      <c r="Y105" s="5">
        <v>2.4404761904761907</v>
      </c>
      <c r="Z105" s="5">
        <v>2.3771428571428572</v>
      </c>
      <c r="AA105" s="5">
        <v>2.318681318681319</v>
      </c>
      <c r="AB105" s="5">
        <v>2.2645502645502646</v>
      </c>
      <c r="AC105" s="5">
        <v>2.2142857142857144</v>
      </c>
      <c r="AD105" s="5">
        <v>2.167487684729064</v>
      </c>
      <c r="AE105" s="5">
        <v>2.123809523809524</v>
      </c>
      <c r="AF105" s="5">
        <v>2.0829493087557602</v>
      </c>
      <c r="AG105" s="5">
        <v>2.044642857142857</v>
      </c>
      <c r="AH105" s="5">
        <v>2.0086580086580086</v>
      </c>
      <c r="AI105" s="5">
        <v>1.9747899159663866</v>
      </c>
      <c r="AJ105" s="5">
        <v>1.9428571428571428</v>
      </c>
      <c r="AK105" s="5">
        <v>1.9126984126984128</v>
      </c>
      <c r="AL105" s="5">
        <v>1.8841698841698842</v>
      </c>
      <c r="AM105" s="5">
        <v>1.8571428571428572</v>
      </c>
    </row>
    <row r="106">
      <c r="A106" s="2">
        <v>8.0</v>
      </c>
      <c r="B106" s="5">
        <v>38.5</v>
      </c>
      <c r="C106" s="5">
        <v>19.5</v>
      </c>
      <c r="D106" s="5">
        <v>13.166666666666666</v>
      </c>
      <c r="E106" s="5">
        <v>10.0</v>
      </c>
      <c r="F106" s="5">
        <v>8.1</v>
      </c>
      <c r="G106" s="5">
        <v>6.833333333333333</v>
      </c>
      <c r="H106" s="5">
        <v>5.928571428571429</v>
      </c>
      <c r="I106" s="5">
        <v>5.25</v>
      </c>
      <c r="J106" s="5">
        <v>4.722222222222222</v>
      </c>
      <c r="K106" s="5">
        <v>4.3</v>
      </c>
      <c r="L106" s="5">
        <v>3.9545454545454546</v>
      </c>
      <c r="M106" s="5">
        <v>3.6666666666666665</v>
      </c>
      <c r="N106" s="5">
        <v>3.423076923076923</v>
      </c>
      <c r="O106" s="5">
        <v>3.2142857142857144</v>
      </c>
      <c r="P106" s="5">
        <v>3.033333333333333</v>
      </c>
      <c r="Q106" s="5">
        <v>2.875</v>
      </c>
      <c r="R106" s="5">
        <v>2.735294117647059</v>
      </c>
      <c r="S106" s="5">
        <v>2.611111111111111</v>
      </c>
      <c r="T106" s="5">
        <v>2.5</v>
      </c>
      <c r="U106" s="5">
        <v>2.4</v>
      </c>
      <c r="V106" s="5">
        <v>2.3095238095238093</v>
      </c>
      <c r="W106" s="5">
        <v>2.227272727272727</v>
      </c>
      <c r="X106" s="5">
        <v>2.152173913043478</v>
      </c>
      <c r="Y106" s="5">
        <v>2.0833333333333335</v>
      </c>
      <c r="Z106" s="5">
        <v>2.02</v>
      </c>
      <c r="AA106" s="5">
        <v>1.9615384615384615</v>
      </c>
      <c r="AB106" s="5">
        <v>1.9074074074074074</v>
      </c>
      <c r="AC106" s="5">
        <v>1.8571428571428572</v>
      </c>
      <c r="AD106" s="5">
        <v>1.8103448275862069</v>
      </c>
      <c r="AE106" s="5">
        <v>1.7666666666666666</v>
      </c>
      <c r="AF106" s="5">
        <v>1.7258064516129032</v>
      </c>
      <c r="AG106" s="5">
        <v>1.6875</v>
      </c>
      <c r="AH106" s="5">
        <v>1.6515151515151516</v>
      </c>
      <c r="AI106" s="5">
        <v>1.6176470588235294</v>
      </c>
      <c r="AJ106" s="5">
        <v>1.5857142857142856</v>
      </c>
      <c r="AK106" s="5">
        <v>1.5555555555555556</v>
      </c>
      <c r="AL106" s="5">
        <v>1.527027027027027</v>
      </c>
      <c r="AM106" s="5">
        <v>1.5</v>
      </c>
    </row>
    <row r="107">
      <c r="A107" s="2">
        <v>9.0</v>
      </c>
      <c r="B107" s="5">
        <v>38.22222222222222</v>
      </c>
      <c r="C107" s="5">
        <v>19.22222222222222</v>
      </c>
      <c r="D107" s="5">
        <v>12.88888888888889</v>
      </c>
      <c r="E107" s="5">
        <v>9.722222222222221</v>
      </c>
      <c r="F107" s="5">
        <v>7.822222222222222</v>
      </c>
      <c r="G107" s="5">
        <v>6.555555555555555</v>
      </c>
      <c r="H107" s="5">
        <v>5.650793650793651</v>
      </c>
      <c r="I107" s="5">
        <v>4.972222222222222</v>
      </c>
      <c r="J107" s="5">
        <v>4.444444444444445</v>
      </c>
      <c r="K107" s="5">
        <v>4.022222222222222</v>
      </c>
      <c r="L107" s="5">
        <v>3.676767676767677</v>
      </c>
      <c r="M107" s="5">
        <v>3.388888888888889</v>
      </c>
      <c r="N107" s="5">
        <v>3.1452991452991452</v>
      </c>
      <c r="O107" s="5">
        <v>2.9365079365079363</v>
      </c>
      <c r="P107" s="5">
        <v>2.7555555555555555</v>
      </c>
      <c r="Q107" s="5">
        <v>2.5972222222222223</v>
      </c>
      <c r="R107" s="5">
        <v>2.457516339869281</v>
      </c>
      <c r="S107" s="5">
        <v>2.3333333333333335</v>
      </c>
      <c r="T107" s="5">
        <v>2.2222222222222223</v>
      </c>
      <c r="U107" s="5">
        <v>2.1222222222222222</v>
      </c>
      <c r="V107" s="5">
        <v>2.0317460317460316</v>
      </c>
      <c r="W107" s="5">
        <v>1.9494949494949494</v>
      </c>
      <c r="X107" s="5">
        <v>1.8743961352657006</v>
      </c>
      <c r="Y107" s="5">
        <v>1.8055555555555556</v>
      </c>
      <c r="Z107" s="5">
        <v>1.7422222222222221</v>
      </c>
      <c r="AA107" s="5">
        <v>1.6837606837606838</v>
      </c>
      <c r="AB107" s="5">
        <v>1.6296296296296295</v>
      </c>
      <c r="AC107" s="5">
        <v>1.5793650793650793</v>
      </c>
      <c r="AD107" s="5">
        <v>1.5325670498084292</v>
      </c>
      <c r="AE107" s="5">
        <v>1.488888888888889</v>
      </c>
      <c r="AF107" s="5">
        <v>1.4480286738351253</v>
      </c>
      <c r="AG107" s="5">
        <v>1.4097222222222223</v>
      </c>
      <c r="AH107" s="5">
        <v>1.3737373737373737</v>
      </c>
      <c r="AI107" s="5">
        <v>1.3398692810457515</v>
      </c>
      <c r="AJ107" s="5">
        <v>1.307936507936508</v>
      </c>
      <c r="AK107" s="5">
        <v>1.2777777777777777</v>
      </c>
      <c r="AL107" s="5">
        <v>1.2492492492492493</v>
      </c>
      <c r="AM107" s="5">
        <v>1.2222222222222223</v>
      </c>
    </row>
    <row r="108">
      <c r="A108" s="2">
        <v>10.0</v>
      </c>
      <c r="B108" s="5">
        <v>38.0</v>
      </c>
      <c r="C108" s="5">
        <v>19.0</v>
      </c>
      <c r="D108" s="5">
        <v>12.666666666666666</v>
      </c>
      <c r="E108" s="5">
        <v>9.5</v>
      </c>
      <c r="F108" s="5">
        <v>7.6</v>
      </c>
      <c r="G108" s="5">
        <v>6.333333333333333</v>
      </c>
      <c r="H108" s="5">
        <v>5.428571428571429</v>
      </c>
      <c r="I108" s="5">
        <v>4.75</v>
      </c>
      <c r="J108" s="5">
        <v>4.222222222222222</v>
      </c>
      <c r="K108" s="5">
        <v>3.8</v>
      </c>
      <c r="L108" s="5">
        <v>3.4545454545454546</v>
      </c>
      <c r="M108" s="5">
        <v>3.1666666666666665</v>
      </c>
      <c r="N108" s="5">
        <v>2.923076923076923</v>
      </c>
      <c r="O108" s="5">
        <v>2.7142857142857144</v>
      </c>
      <c r="P108" s="5">
        <v>2.533333333333333</v>
      </c>
      <c r="Q108" s="5">
        <v>2.375</v>
      </c>
      <c r="R108" s="5">
        <v>2.235294117647059</v>
      </c>
      <c r="S108" s="5">
        <v>2.111111111111111</v>
      </c>
      <c r="T108" s="5">
        <v>2.0</v>
      </c>
      <c r="U108" s="5">
        <v>1.9</v>
      </c>
      <c r="V108" s="5">
        <v>1.8095238095238095</v>
      </c>
      <c r="W108" s="5">
        <v>1.7272727272727273</v>
      </c>
      <c r="X108" s="5">
        <v>1.6521739130434783</v>
      </c>
      <c r="Y108" s="5">
        <v>1.5833333333333333</v>
      </c>
      <c r="Z108" s="5">
        <v>1.52</v>
      </c>
      <c r="AA108" s="5">
        <v>1.4615384615384615</v>
      </c>
      <c r="AB108" s="5">
        <v>1.4074074074074074</v>
      </c>
      <c r="AC108" s="5">
        <v>1.3571428571428572</v>
      </c>
      <c r="AD108" s="5">
        <v>1.3103448275862069</v>
      </c>
      <c r="AE108" s="5">
        <v>1.2666666666666666</v>
      </c>
      <c r="AF108" s="5">
        <v>1.2258064516129032</v>
      </c>
      <c r="AG108" s="5">
        <v>1.1875</v>
      </c>
      <c r="AH108" s="5">
        <v>1.1515151515151516</v>
      </c>
      <c r="AI108" s="5">
        <v>1.1176470588235294</v>
      </c>
      <c r="AJ108" s="5">
        <v>1.0857142857142856</v>
      </c>
      <c r="AK108" s="5">
        <v>1.0555555555555556</v>
      </c>
      <c r="AL108" s="5">
        <v>1.027027027027027</v>
      </c>
      <c r="AM108" s="5">
        <v>1.0</v>
      </c>
    </row>
    <row r="109">
      <c r="A109" s="2">
        <v>11.0</v>
      </c>
      <c r="B109" s="5">
        <v>37.81818181818182</v>
      </c>
      <c r="C109" s="5">
        <v>18.818181818181817</v>
      </c>
      <c r="D109" s="5">
        <v>12.484848484848484</v>
      </c>
      <c r="E109" s="5">
        <v>9.318181818181818</v>
      </c>
      <c r="F109" s="5">
        <v>7.418181818181818</v>
      </c>
      <c r="G109" s="5">
        <v>6.151515151515151</v>
      </c>
      <c r="H109" s="5">
        <v>5.246753246753247</v>
      </c>
      <c r="I109" s="5">
        <v>4.568181818181818</v>
      </c>
      <c r="J109" s="5">
        <v>4.040404040404041</v>
      </c>
      <c r="K109" s="5">
        <v>3.618181818181818</v>
      </c>
      <c r="L109" s="5">
        <v>3.272727272727273</v>
      </c>
      <c r="M109" s="5">
        <v>2.984848484848485</v>
      </c>
      <c r="N109" s="5">
        <v>2.7412587412587412</v>
      </c>
      <c r="O109" s="5">
        <v>2.5324675324675323</v>
      </c>
      <c r="P109" s="5">
        <v>2.3515151515151516</v>
      </c>
      <c r="Q109" s="5">
        <v>2.1931818181818183</v>
      </c>
      <c r="R109" s="5">
        <v>2.053475935828877</v>
      </c>
      <c r="S109" s="5">
        <v>1.9292929292929293</v>
      </c>
      <c r="T109" s="5">
        <v>1.8181818181818181</v>
      </c>
      <c r="U109" s="5">
        <v>1.7181818181818183</v>
      </c>
      <c r="V109" s="5">
        <v>1.6277056277056277</v>
      </c>
      <c r="W109" s="5">
        <v>1.5454545454545454</v>
      </c>
      <c r="X109" s="5">
        <v>1.4703557312252964</v>
      </c>
      <c r="Y109" s="5">
        <v>1.4015151515151516</v>
      </c>
      <c r="Z109" s="5">
        <v>1.3381818181818181</v>
      </c>
      <c r="AA109" s="5">
        <v>1.2797202797202798</v>
      </c>
      <c r="AB109" s="5">
        <v>1.2255892255892256</v>
      </c>
      <c r="AC109" s="5">
        <v>1.1753246753246753</v>
      </c>
      <c r="AD109" s="5">
        <v>1.128526645768025</v>
      </c>
      <c r="AE109" s="5">
        <v>1.084848484848485</v>
      </c>
      <c r="AF109" s="5">
        <v>1.0439882697947214</v>
      </c>
      <c r="AG109" s="5">
        <v>1.0056818181818181</v>
      </c>
      <c r="AH109" s="5">
        <v>0.9696969696969697</v>
      </c>
      <c r="AI109" s="5">
        <v>0.9358288770053476</v>
      </c>
      <c r="AJ109" s="5">
        <v>0.9038961038961039</v>
      </c>
      <c r="AK109" s="5">
        <v>0.8737373737373737</v>
      </c>
      <c r="AL109" s="5">
        <v>0.8452088452088452</v>
      </c>
      <c r="AM109" s="5">
        <v>0.8181818181818182</v>
      </c>
    </row>
    <row r="110">
      <c r="A110" s="2">
        <v>12.0</v>
      </c>
      <c r="B110" s="5">
        <v>37.666666666666664</v>
      </c>
      <c r="C110" s="5">
        <v>18.666666666666668</v>
      </c>
      <c r="D110" s="5">
        <v>12.333333333333334</v>
      </c>
      <c r="E110" s="5">
        <v>9.166666666666666</v>
      </c>
      <c r="F110" s="5">
        <v>7.266666666666667</v>
      </c>
      <c r="G110" s="5">
        <v>6.0</v>
      </c>
      <c r="H110" s="5">
        <v>5.095238095238095</v>
      </c>
      <c r="I110" s="5">
        <v>4.416666666666667</v>
      </c>
      <c r="J110" s="5">
        <v>3.888888888888889</v>
      </c>
      <c r="K110" s="5">
        <v>3.466666666666667</v>
      </c>
      <c r="L110" s="5">
        <v>3.121212121212121</v>
      </c>
      <c r="M110" s="5">
        <v>2.8333333333333335</v>
      </c>
      <c r="N110" s="5">
        <v>2.58974358974359</v>
      </c>
      <c r="O110" s="5">
        <v>2.380952380952381</v>
      </c>
      <c r="P110" s="5">
        <v>2.2</v>
      </c>
      <c r="Q110" s="5">
        <v>2.0416666666666665</v>
      </c>
      <c r="R110" s="5">
        <v>1.9019607843137254</v>
      </c>
      <c r="S110" s="5">
        <v>1.7777777777777777</v>
      </c>
      <c r="T110" s="5">
        <v>1.6666666666666667</v>
      </c>
      <c r="U110" s="5">
        <v>1.5666666666666667</v>
      </c>
      <c r="V110" s="5">
        <v>1.4761904761904763</v>
      </c>
      <c r="W110" s="5">
        <v>1.393939393939394</v>
      </c>
      <c r="X110" s="5">
        <v>1.318840579710145</v>
      </c>
      <c r="Y110" s="5">
        <v>1.25</v>
      </c>
      <c r="Z110" s="5">
        <v>1.1866666666666668</v>
      </c>
      <c r="AA110" s="5">
        <v>1.1282051282051282</v>
      </c>
      <c r="AB110" s="5">
        <v>1.0740740740740742</v>
      </c>
      <c r="AC110" s="5">
        <v>1.0238095238095237</v>
      </c>
      <c r="AD110" s="5">
        <v>0.9770114942528736</v>
      </c>
      <c r="AE110" s="5">
        <v>0.9333333333333333</v>
      </c>
      <c r="AF110" s="5">
        <v>0.8924731182795699</v>
      </c>
      <c r="AG110" s="5">
        <v>0.8541666666666666</v>
      </c>
      <c r="AH110" s="5">
        <v>0.8181818181818182</v>
      </c>
      <c r="AI110" s="5">
        <v>0.7843137254901961</v>
      </c>
      <c r="AJ110" s="5">
        <v>0.7523809523809524</v>
      </c>
      <c r="AK110" s="5">
        <v>0.7222222222222222</v>
      </c>
      <c r="AL110" s="5">
        <v>0.6936936936936937</v>
      </c>
      <c r="AM110" s="5">
        <v>0.6666666666666666</v>
      </c>
    </row>
    <row r="111">
      <c r="A111" s="2">
        <v>13.0</v>
      </c>
      <c r="B111" s="5">
        <v>37.53846153846154</v>
      </c>
      <c r="C111" s="5">
        <v>18.53846153846154</v>
      </c>
      <c r="D111" s="5">
        <v>12.205128205128204</v>
      </c>
      <c r="E111" s="5">
        <v>9.038461538461538</v>
      </c>
      <c r="F111" s="5">
        <v>7.138461538461539</v>
      </c>
      <c r="G111" s="5">
        <v>5.871794871794871</v>
      </c>
      <c r="H111" s="5">
        <v>4.967032967032967</v>
      </c>
      <c r="I111" s="5">
        <v>4.288461538461538</v>
      </c>
      <c r="J111" s="5">
        <v>3.7606837606837606</v>
      </c>
      <c r="K111" s="5">
        <v>3.3384615384615386</v>
      </c>
      <c r="L111" s="5">
        <v>2.993006993006993</v>
      </c>
      <c r="M111" s="5">
        <v>2.7051282051282053</v>
      </c>
      <c r="N111" s="5">
        <v>2.4615384615384617</v>
      </c>
      <c r="O111" s="5">
        <v>2.2527472527472527</v>
      </c>
      <c r="P111" s="5">
        <v>2.071794871794872</v>
      </c>
      <c r="Q111" s="5">
        <v>1.9134615384615385</v>
      </c>
      <c r="R111" s="5">
        <v>1.7737556561085972</v>
      </c>
      <c r="S111" s="5">
        <v>1.6495726495726495</v>
      </c>
      <c r="T111" s="5">
        <v>1.5384615384615385</v>
      </c>
      <c r="U111" s="5">
        <v>1.4384615384615385</v>
      </c>
      <c r="V111" s="5">
        <v>1.347985347985348</v>
      </c>
      <c r="W111" s="5">
        <v>1.2657342657342658</v>
      </c>
      <c r="X111" s="5">
        <v>1.1906354515050168</v>
      </c>
      <c r="Y111" s="5">
        <v>1.1217948717948718</v>
      </c>
      <c r="Z111" s="5">
        <v>1.0584615384615386</v>
      </c>
      <c r="AA111" s="5">
        <v>1.0</v>
      </c>
      <c r="AB111" s="24">
        <v>0.9458689458689459</v>
      </c>
      <c r="AC111" s="5">
        <v>0.8956043956043956</v>
      </c>
      <c r="AD111" s="5">
        <v>0.8488063660477454</v>
      </c>
      <c r="AE111" s="5">
        <v>0.8051282051282052</v>
      </c>
      <c r="AF111" s="5">
        <v>0.7642679900744417</v>
      </c>
      <c r="AG111" s="5">
        <v>0.7259615384615384</v>
      </c>
      <c r="AH111" s="5">
        <v>0.6899766899766899</v>
      </c>
      <c r="AI111" s="5">
        <v>0.6561085972850679</v>
      </c>
      <c r="AJ111" s="5">
        <v>0.6241758241758242</v>
      </c>
      <c r="AK111" s="5">
        <v>0.594017094017094</v>
      </c>
      <c r="AL111" s="5">
        <v>0.5654885654885655</v>
      </c>
      <c r="AM111" s="5">
        <v>0.5384615384615384</v>
      </c>
    </row>
    <row r="112">
      <c r="A112" s="2">
        <v>14.0</v>
      </c>
      <c r="B112" s="5">
        <v>37.42857142857143</v>
      </c>
      <c r="C112" s="5">
        <v>18.428571428571427</v>
      </c>
      <c r="D112" s="5">
        <v>12.095238095238095</v>
      </c>
      <c r="E112" s="5">
        <v>8.928571428571429</v>
      </c>
      <c r="F112" s="5">
        <v>7.0285714285714285</v>
      </c>
      <c r="G112" s="5">
        <v>5.761904761904762</v>
      </c>
      <c r="H112" s="5">
        <v>4.857142857142857</v>
      </c>
      <c r="I112" s="5">
        <v>4.178571428571429</v>
      </c>
      <c r="J112" s="5">
        <v>3.6507936507936507</v>
      </c>
      <c r="K112" s="5">
        <v>3.2285714285714286</v>
      </c>
      <c r="L112" s="5">
        <v>2.883116883116883</v>
      </c>
      <c r="M112" s="5">
        <v>2.5952380952380953</v>
      </c>
      <c r="N112" s="5">
        <v>2.3516483516483517</v>
      </c>
      <c r="O112" s="5">
        <v>2.142857142857143</v>
      </c>
      <c r="P112" s="5">
        <v>1.9619047619047618</v>
      </c>
      <c r="Q112" s="5">
        <v>1.8035714285714286</v>
      </c>
      <c r="R112" s="5">
        <v>1.6638655462184875</v>
      </c>
      <c r="S112" s="5">
        <v>1.5396825396825398</v>
      </c>
      <c r="T112" s="5">
        <v>1.4285714285714286</v>
      </c>
      <c r="U112" s="5">
        <v>1.3285714285714285</v>
      </c>
      <c r="V112" s="5">
        <v>1.2380952380952381</v>
      </c>
      <c r="W112" s="5">
        <v>1.155844155844156</v>
      </c>
      <c r="X112" s="5">
        <v>1.0807453416149069</v>
      </c>
      <c r="Y112" s="5">
        <v>1.0119047619047619</v>
      </c>
      <c r="Z112" s="24">
        <v>0.9485714285714286</v>
      </c>
      <c r="AA112" s="5">
        <v>0.8901098901098901</v>
      </c>
      <c r="AB112" s="5">
        <v>0.8359788359788359</v>
      </c>
      <c r="AC112" s="5">
        <v>0.7857142857142857</v>
      </c>
      <c r="AD112" s="5">
        <v>0.7389162561576355</v>
      </c>
      <c r="AE112" s="5">
        <v>0.6952380952380952</v>
      </c>
      <c r="AF112" s="5">
        <v>0.6543778801843319</v>
      </c>
      <c r="AG112" s="5">
        <v>0.6160714285714286</v>
      </c>
      <c r="AH112" s="5">
        <v>0.5800865800865801</v>
      </c>
      <c r="AI112" s="5">
        <v>0.5462184873949579</v>
      </c>
      <c r="AJ112" s="5">
        <v>0.5142857142857142</v>
      </c>
      <c r="AK112" s="5">
        <v>0.48412698412698413</v>
      </c>
      <c r="AL112" s="5">
        <v>0.4555984555984556</v>
      </c>
      <c r="AM112" s="5">
        <v>0.42857142857142855</v>
      </c>
    </row>
    <row r="113">
      <c r="A113" s="2">
        <v>15.0</v>
      </c>
      <c r="B113" s="5">
        <v>37.333333333333336</v>
      </c>
      <c r="C113" s="5">
        <v>18.333333333333332</v>
      </c>
      <c r="D113" s="5">
        <v>12.0</v>
      </c>
      <c r="E113" s="5">
        <v>8.833333333333334</v>
      </c>
      <c r="F113" s="5">
        <v>6.933333333333334</v>
      </c>
      <c r="G113" s="5">
        <v>5.666666666666667</v>
      </c>
      <c r="H113" s="5">
        <v>4.761904761904762</v>
      </c>
      <c r="I113" s="5">
        <v>4.083333333333333</v>
      </c>
      <c r="J113" s="5">
        <v>3.5555555555555554</v>
      </c>
      <c r="K113" s="5">
        <v>3.1333333333333333</v>
      </c>
      <c r="L113" s="5">
        <v>2.787878787878788</v>
      </c>
      <c r="M113" s="5">
        <v>2.5</v>
      </c>
      <c r="N113" s="5">
        <v>2.2564102564102564</v>
      </c>
      <c r="O113" s="5">
        <v>2.0476190476190474</v>
      </c>
      <c r="P113" s="5">
        <v>1.8666666666666667</v>
      </c>
      <c r="Q113" s="5">
        <v>1.7083333333333333</v>
      </c>
      <c r="R113" s="5">
        <v>1.5686274509803921</v>
      </c>
      <c r="S113" s="5">
        <v>1.4444444444444444</v>
      </c>
      <c r="T113" s="5">
        <v>1.3333333333333333</v>
      </c>
      <c r="U113" s="5">
        <v>1.2333333333333334</v>
      </c>
      <c r="V113" s="5">
        <v>1.1428571428571428</v>
      </c>
      <c r="W113" s="5">
        <v>1.0606060606060606</v>
      </c>
      <c r="X113" s="5">
        <v>0.9855072463768116</v>
      </c>
      <c r="Y113" s="24">
        <v>0.9166666666666666</v>
      </c>
      <c r="Z113" s="5">
        <v>0.8533333333333334</v>
      </c>
      <c r="AA113" s="5">
        <v>0.7948717948717948</v>
      </c>
      <c r="AB113" s="5">
        <v>0.7407407407407407</v>
      </c>
      <c r="AC113" s="5">
        <v>0.6904761904761905</v>
      </c>
      <c r="AD113" s="5">
        <v>0.6436781609195402</v>
      </c>
      <c r="AE113" s="5">
        <v>0.6</v>
      </c>
      <c r="AF113" s="5">
        <v>0.5591397849462365</v>
      </c>
      <c r="AG113" s="5">
        <v>0.5208333333333334</v>
      </c>
      <c r="AH113" s="5">
        <v>0.48484848484848486</v>
      </c>
      <c r="AI113" s="5">
        <v>0.45098039215686275</v>
      </c>
      <c r="AJ113" s="5">
        <v>0.41904761904761906</v>
      </c>
      <c r="AK113" s="5">
        <v>0.3888888888888889</v>
      </c>
      <c r="AL113" s="5">
        <v>0.36036036036036034</v>
      </c>
      <c r="AM113" s="5">
        <v>0.3333333333333333</v>
      </c>
    </row>
    <row r="114">
      <c r="A114" s="2">
        <v>16.0</v>
      </c>
      <c r="B114" s="5">
        <v>37.25</v>
      </c>
      <c r="C114" s="5">
        <v>18.25</v>
      </c>
      <c r="D114" s="5">
        <v>11.916666666666666</v>
      </c>
      <c r="E114" s="5">
        <v>8.75</v>
      </c>
      <c r="F114" s="5">
        <v>6.85</v>
      </c>
      <c r="G114" s="5">
        <v>5.583333333333333</v>
      </c>
      <c r="H114" s="5">
        <v>4.678571428571429</v>
      </c>
      <c r="I114" s="5">
        <v>4.0</v>
      </c>
      <c r="J114" s="5">
        <v>3.4722222222222223</v>
      </c>
      <c r="K114" s="5">
        <v>3.05</v>
      </c>
      <c r="L114" s="5">
        <v>2.7045454545454546</v>
      </c>
      <c r="M114" s="5">
        <v>2.4166666666666665</v>
      </c>
      <c r="N114" s="5">
        <v>2.173076923076923</v>
      </c>
      <c r="O114" s="5">
        <v>1.9642857142857142</v>
      </c>
      <c r="P114" s="5">
        <v>1.7833333333333334</v>
      </c>
      <c r="Q114" s="5">
        <v>1.625</v>
      </c>
      <c r="R114" s="5">
        <v>1.4852941176470589</v>
      </c>
      <c r="S114" s="5">
        <v>1.3611111111111112</v>
      </c>
      <c r="T114" s="5">
        <v>1.25</v>
      </c>
      <c r="U114" s="5">
        <v>1.15</v>
      </c>
      <c r="V114" s="5">
        <v>1.0595238095238095</v>
      </c>
      <c r="W114" s="5">
        <v>0.9772727272727273</v>
      </c>
      <c r="X114" s="5">
        <v>0.9021739130434783</v>
      </c>
      <c r="Y114" s="5">
        <v>0.8333333333333334</v>
      </c>
      <c r="Z114" s="5">
        <v>0.77</v>
      </c>
      <c r="AA114" s="5">
        <v>0.7115384615384616</v>
      </c>
      <c r="AB114" s="5">
        <v>0.6574074074074074</v>
      </c>
      <c r="AC114" s="5">
        <v>0.6071428571428571</v>
      </c>
      <c r="AD114" s="5">
        <v>0.5603448275862069</v>
      </c>
      <c r="AE114" s="5">
        <v>0.5166666666666667</v>
      </c>
      <c r="AF114" s="5">
        <v>0.47580645161290325</v>
      </c>
      <c r="AG114" s="5">
        <v>0.4375</v>
      </c>
      <c r="AH114" s="5">
        <v>0.4015151515151515</v>
      </c>
      <c r="AI114" s="5">
        <v>0.36764705882352944</v>
      </c>
      <c r="AJ114" s="5">
        <v>0.3357142857142857</v>
      </c>
      <c r="AK114" s="5">
        <v>0.3055555555555556</v>
      </c>
      <c r="AL114" s="5">
        <v>0.27702702702702703</v>
      </c>
      <c r="AM114" s="5">
        <v>0.25</v>
      </c>
    </row>
    <row r="115">
      <c r="A115" s="2">
        <v>17.0</v>
      </c>
      <c r="B115" s="5">
        <v>37.1764705882353</v>
      </c>
      <c r="C115" s="5">
        <v>18.176470588235293</v>
      </c>
      <c r="D115" s="5">
        <v>11.843137254901961</v>
      </c>
      <c r="E115" s="5">
        <v>8.676470588235293</v>
      </c>
      <c r="F115" s="5">
        <v>6.776470588235294</v>
      </c>
      <c r="G115" s="5">
        <v>5.509803921568627</v>
      </c>
      <c r="H115" s="5">
        <v>4.605042016806722</v>
      </c>
      <c r="I115" s="5">
        <v>3.926470588235294</v>
      </c>
      <c r="J115" s="5">
        <v>3.3986928104575163</v>
      </c>
      <c r="K115" s="5">
        <v>2.976470588235294</v>
      </c>
      <c r="L115" s="5">
        <v>2.6310160427807485</v>
      </c>
      <c r="M115" s="5">
        <v>2.343137254901961</v>
      </c>
      <c r="N115" s="5">
        <v>2.0995475113122173</v>
      </c>
      <c r="O115" s="5">
        <v>1.8907563025210083</v>
      </c>
      <c r="P115" s="5">
        <v>1.7098039215686274</v>
      </c>
      <c r="Q115" s="5">
        <v>1.5514705882352942</v>
      </c>
      <c r="R115" s="5">
        <v>1.411764705882353</v>
      </c>
      <c r="S115" s="5">
        <v>1.2875816993464053</v>
      </c>
      <c r="T115" s="5">
        <v>1.1764705882352942</v>
      </c>
      <c r="U115" s="5">
        <v>1.076470588235294</v>
      </c>
      <c r="V115" s="5">
        <v>0.9859943977591037</v>
      </c>
      <c r="W115" s="5">
        <v>0.9037433155080213</v>
      </c>
      <c r="X115" s="5">
        <v>0.8286445012787724</v>
      </c>
      <c r="Y115" s="5">
        <v>0.7598039215686274</v>
      </c>
      <c r="Z115" s="5">
        <v>0.6964705882352941</v>
      </c>
      <c r="AA115" s="5">
        <v>0.6380090497737556</v>
      </c>
      <c r="AB115" s="5">
        <v>0.5838779956427015</v>
      </c>
      <c r="AC115" s="5">
        <v>0.5336134453781513</v>
      </c>
      <c r="AD115" s="5">
        <v>0.486815415821501</v>
      </c>
      <c r="AE115" s="5">
        <v>0.44313725490196076</v>
      </c>
      <c r="AF115" s="5">
        <v>0.40227703984819735</v>
      </c>
      <c r="AG115" s="5">
        <v>0.3639705882352941</v>
      </c>
      <c r="AH115" s="5">
        <v>0.32798573975044565</v>
      </c>
      <c r="AI115" s="5">
        <v>0.29411764705882354</v>
      </c>
      <c r="AJ115" s="5">
        <v>0.26218487394957984</v>
      </c>
      <c r="AK115" s="5">
        <v>0.23202614379084968</v>
      </c>
      <c r="AL115" s="5">
        <v>0.20349761526232116</v>
      </c>
      <c r="AM115" s="5">
        <v>0.17647058823529413</v>
      </c>
    </row>
    <row r="116">
      <c r="A116" s="2">
        <v>18.0</v>
      </c>
      <c r="B116" s="5">
        <v>37.111111111111114</v>
      </c>
      <c r="C116" s="5">
        <v>18.11111111111111</v>
      </c>
      <c r="D116" s="5">
        <v>11.777777777777779</v>
      </c>
      <c r="E116" s="5">
        <v>8.61111111111111</v>
      </c>
      <c r="F116" s="5">
        <v>6.711111111111111</v>
      </c>
      <c r="G116" s="5">
        <v>5.444444444444445</v>
      </c>
      <c r="H116" s="5">
        <v>4.5396825396825395</v>
      </c>
      <c r="I116" s="5">
        <v>3.861111111111111</v>
      </c>
      <c r="J116" s="5">
        <v>3.3333333333333335</v>
      </c>
      <c r="K116" s="5">
        <v>2.911111111111111</v>
      </c>
      <c r="L116" s="5">
        <v>2.5656565656565657</v>
      </c>
      <c r="M116" s="5">
        <v>2.2777777777777777</v>
      </c>
      <c r="N116" s="5">
        <v>2.034188034188034</v>
      </c>
      <c r="O116" s="5">
        <v>1.8253968253968254</v>
      </c>
      <c r="P116" s="5">
        <v>1.6444444444444444</v>
      </c>
      <c r="Q116" s="5">
        <v>1.4861111111111112</v>
      </c>
      <c r="R116" s="5">
        <v>1.34640522875817</v>
      </c>
      <c r="S116" s="5">
        <v>1.2222222222222223</v>
      </c>
      <c r="T116" s="5">
        <v>1.1111111111111112</v>
      </c>
      <c r="U116" s="5">
        <v>1.011111111111111</v>
      </c>
      <c r="V116" s="5">
        <v>0.9206349206349206</v>
      </c>
      <c r="W116" s="5">
        <v>0.8383838383838383</v>
      </c>
      <c r="X116" s="5">
        <v>0.7632850241545893</v>
      </c>
      <c r="Y116" s="5">
        <v>0.6944444444444444</v>
      </c>
      <c r="Z116" s="5">
        <v>0.6311111111111111</v>
      </c>
      <c r="AA116" s="5">
        <v>0.5726495726495726</v>
      </c>
      <c r="AB116" s="5">
        <v>0.5185185185185185</v>
      </c>
      <c r="AC116" s="5">
        <v>0.46825396825396826</v>
      </c>
      <c r="AD116" s="5">
        <v>0.421455938697318</v>
      </c>
      <c r="AE116" s="5">
        <v>0.37777777777777777</v>
      </c>
      <c r="AF116" s="5">
        <v>0.33691756272401435</v>
      </c>
      <c r="AG116" s="5">
        <v>0.2986111111111111</v>
      </c>
      <c r="AH116" s="5">
        <v>0.26262626262626265</v>
      </c>
      <c r="AI116" s="5">
        <v>0.22875816993464052</v>
      </c>
      <c r="AJ116" s="5">
        <v>0.19682539682539682</v>
      </c>
      <c r="AK116" s="5">
        <v>0.16666666666666666</v>
      </c>
      <c r="AL116" s="5">
        <v>0.13813813813813813</v>
      </c>
      <c r="AM116" s="5">
        <v>0.1111111111111111</v>
      </c>
    </row>
    <row r="117">
      <c r="A117" s="2">
        <v>19.0</v>
      </c>
      <c r="B117" s="5">
        <v>37.05263157894737</v>
      </c>
      <c r="C117" s="5">
        <v>18.05263157894737</v>
      </c>
      <c r="D117" s="5">
        <v>11.719298245614034</v>
      </c>
      <c r="E117" s="5">
        <v>8.552631578947368</v>
      </c>
      <c r="F117" s="5">
        <v>6.652631578947369</v>
      </c>
      <c r="G117" s="5">
        <v>5.385964912280702</v>
      </c>
      <c r="H117" s="5">
        <v>4.481203007518797</v>
      </c>
      <c r="I117" s="5">
        <v>3.8026315789473686</v>
      </c>
      <c r="J117" s="5">
        <v>3.2748538011695905</v>
      </c>
      <c r="K117" s="5">
        <v>2.8526315789473684</v>
      </c>
      <c r="L117" s="5">
        <v>2.507177033492823</v>
      </c>
      <c r="M117" s="5">
        <v>2.219298245614035</v>
      </c>
      <c r="N117" s="5">
        <v>1.9757085020242915</v>
      </c>
      <c r="O117" s="5">
        <v>1.7669172932330828</v>
      </c>
      <c r="P117" s="5">
        <v>1.5859649122807018</v>
      </c>
      <c r="Q117" s="5">
        <v>1.4276315789473684</v>
      </c>
      <c r="R117" s="5">
        <v>1.2879256965944272</v>
      </c>
      <c r="S117" s="5">
        <v>1.1637426900584795</v>
      </c>
      <c r="T117" s="5">
        <v>1.0526315789473684</v>
      </c>
      <c r="U117" s="5">
        <v>0.9526315789473684</v>
      </c>
      <c r="V117" s="5">
        <v>0.8621553884711779</v>
      </c>
      <c r="W117" s="5">
        <v>0.7799043062200957</v>
      </c>
      <c r="X117" s="5">
        <v>0.7048054919908466</v>
      </c>
      <c r="Y117" s="5">
        <v>0.6359649122807017</v>
      </c>
      <c r="Z117" s="5">
        <v>0.5726315789473684</v>
      </c>
      <c r="AA117" s="5">
        <v>0.5141700404858299</v>
      </c>
      <c r="AB117" s="5">
        <v>0.4600389863547758</v>
      </c>
      <c r="AC117" s="5">
        <v>0.40977443609022557</v>
      </c>
      <c r="AD117" s="5">
        <v>0.3629764065335753</v>
      </c>
      <c r="AE117" s="5">
        <v>0.3192982456140351</v>
      </c>
      <c r="AF117" s="5">
        <v>0.27843803056027167</v>
      </c>
      <c r="AG117" s="5">
        <v>0.24013157894736842</v>
      </c>
      <c r="AH117" s="5">
        <v>0.20414673046251994</v>
      </c>
      <c r="AI117" s="5">
        <v>0.17027863777089783</v>
      </c>
      <c r="AJ117" s="5">
        <v>0.13834586466165413</v>
      </c>
      <c r="AK117" s="5">
        <v>0.10818713450292397</v>
      </c>
      <c r="AL117" s="5">
        <v>0.07965860597439545</v>
      </c>
      <c r="AM117" s="5">
        <v>0.05263157894736842</v>
      </c>
    </row>
    <row r="118">
      <c r="A118" s="2">
        <v>20.0</v>
      </c>
      <c r="B118" s="5">
        <v>37.0</v>
      </c>
      <c r="C118" s="5">
        <v>18.0</v>
      </c>
      <c r="D118" s="5">
        <v>11.666666666666666</v>
      </c>
      <c r="E118" s="5">
        <v>8.5</v>
      </c>
      <c r="F118" s="5">
        <v>6.6</v>
      </c>
      <c r="G118" s="5">
        <v>5.333333333333333</v>
      </c>
      <c r="H118" s="5">
        <v>4.428571428571429</v>
      </c>
      <c r="I118" s="5">
        <v>3.75</v>
      </c>
      <c r="J118" s="5">
        <v>3.2222222222222223</v>
      </c>
      <c r="K118" s="5">
        <v>2.8</v>
      </c>
      <c r="L118" s="5">
        <v>2.4545454545454546</v>
      </c>
      <c r="M118" s="5">
        <v>2.1666666666666665</v>
      </c>
      <c r="N118" s="5">
        <v>1.9230769230769231</v>
      </c>
      <c r="O118" s="5">
        <v>1.7142857142857142</v>
      </c>
      <c r="P118" s="5">
        <v>1.5333333333333334</v>
      </c>
      <c r="Q118" s="5">
        <v>1.375</v>
      </c>
      <c r="R118" s="5">
        <v>1.2352941176470589</v>
      </c>
      <c r="S118" s="5">
        <v>1.1111111111111112</v>
      </c>
      <c r="T118" s="5">
        <v>1.0</v>
      </c>
      <c r="U118" s="5">
        <v>0.9</v>
      </c>
      <c r="V118" s="5">
        <v>0.8095238095238095</v>
      </c>
      <c r="W118" s="5">
        <v>0.7272727272727273</v>
      </c>
      <c r="X118" s="5">
        <v>0.6521739130434783</v>
      </c>
      <c r="Y118" s="5">
        <v>0.5833333333333334</v>
      </c>
      <c r="Z118" s="5">
        <v>0.52</v>
      </c>
      <c r="AA118" s="5">
        <v>0.46153846153846156</v>
      </c>
      <c r="AB118" s="5">
        <v>0.4074074074074074</v>
      </c>
      <c r="AC118" s="5">
        <v>0.35714285714285715</v>
      </c>
      <c r="AD118" s="5">
        <v>0.3103448275862069</v>
      </c>
      <c r="AE118" s="5">
        <v>0.26666666666666666</v>
      </c>
      <c r="AF118" s="5">
        <v>0.22580645161290322</v>
      </c>
      <c r="AG118" s="5">
        <v>0.1875</v>
      </c>
      <c r="AH118" s="5">
        <v>0.15151515151515152</v>
      </c>
      <c r="AI118" s="5">
        <v>0.11764705882352941</v>
      </c>
      <c r="AJ118" s="5">
        <v>0.08571428571428572</v>
      </c>
      <c r="AK118" s="5">
        <v>0.05555555555555555</v>
      </c>
      <c r="AL118" s="5">
        <v>0.02702702702702703</v>
      </c>
      <c r="AM118" s="5">
        <v>0.0</v>
      </c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6" width="3.0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>
        <v>26.0</v>
      </c>
      <c r="AC1" s="2">
        <v>27.0</v>
      </c>
      <c r="AD1" s="2">
        <v>28.0</v>
      </c>
      <c r="AE1" s="2">
        <v>29.0</v>
      </c>
      <c r="AF1" s="2">
        <v>30.0</v>
      </c>
      <c r="AG1" s="2">
        <v>31.0</v>
      </c>
      <c r="AH1" s="2">
        <v>32.0</v>
      </c>
      <c r="AI1" s="2">
        <v>33.0</v>
      </c>
      <c r="AJ1" s="2">
        <v>34.0</v>
      </c>
      <c r="AK1" s="2">
        <v>35.0</v>
      </c>
      <c r="AL1" s="2">
        <v>36.0</v>
      </c>
      <c r="AM1" s="2">
        <v>37.0</v>
      </c>
      <c r="AN1" s="2">
        <v>38.0</v>
      </c>
      <c r="AO1" s="2">
        <v>39.0</v>
      </c>
      <c r="AP1" s="2">
        <v>40.0</v>
      </c>
      <c r="AQ1" s="2">
        <v>41.0</v>
      </c>
      <c r="AR1" s="2">
        <v>42.0</v>
      </c>
      <c r="AS1" s="2">
        <v>43.0</v>
      </c>
      <c r="AT1" s="2">
        <v>44.0</v>
      </c>
      <c r="AU1" s="2">
        <v>45.0</v>
      </c>
      <c r="AV1" s="2">
        <v>46.0</v>
      </c>
      <c r="AW1" s="2">
        <v>47.0</v>
      </c>
      <c r="AX1" s="2">
        <v>48.0</v>
      </c>
      <c r="AY1" s="2">
        <v>49.0</v>
      </c>
      <c r="AZ1" s="2">
        <v>50.0</v>
      </c>
      <c r="BA1" s="2">
        <v>51.0</v>
      </c>
      <c r="BB1" s="2">
        <v>52.0</v>
      </c>
      <c r="BC1" s="2">
        <v>53.0</v>
      </c>
      <c r="BD1" s="2">
        <v>54.0</v>
      </c>
      <c r="BE1" s="2">
        <v>55.0</v>
      </c>
      <c r="BF1" s="2">
        <v>56.0</v>
      </c>
      <c r="BG1" s="2">
        <v>57.0</v>
      </c>
      <c r="BH1" s="2">
        <v>58.0</v>
      </c>
      <c r="BI1" s="2">
        <v>59.0</v>
      </c>
      <c r="BJ1" s="2">
        <v>60.0</v>
      </c>
      <c r="BK1" s="2">
        <v>61.0</v>
      </c>
      <c r="BL1" s="2">
        <v>62.0</v>
      </c>
      <c r="BM1" s="2">
        <v>63.0</v>
      </c>
      <c r="BN1" s="2">
        <v>64.0</v>
      </c>
      <c r="BO1" s="2">
        <v>65.0</v>
      </c>
      <c r="BP1" s="2">
        <v>66.0</v>
      </c>
      <c r="BQ1" s="2">
        <v>67.0</v>
      </c>
      <c r="BR1" s="2">
        <v>68.0</v>
      </c>
      <c r="BS1" s="2">
        <v>69.0</v>
      </c>
      <c r="BT1" s="2">
        <v>70.0</v>
      </c>
      <c r="BU1" s="2">
        <v>71.0</v>
      </c>
      <c r="BV1" s="2">
        <v>72.0</v>
      </c>
      <c r="BW1" s="2">
        <v>73.0</v>
      </c>
      <c r="BX1" s="2">
        <v>74.0</v>
      </c>
      <c r="BY1" s="2">
        <v>75.0</v>
      </c>
      <c r="BZ1" s="2">
        <v>76.0</v>
      </c>
      <c r="CA1" s="2">
        <v>77.0</v>
      </c>
      <c r="CB1" s="2">
        <v>78.0</v>
      </c>
      <c r="CC1" s="2">
        <v>79.0</v>
      </c>
      <c r="CD1" s="2">
        <v>80.0</v>
      </c>
      <c r="CE1" s="2">
        <v>81.0</v>
      </c>
      <c r="CF1" s="2">
        <v>82.0</v>
      </c>
      <c r="CG1" s="2">
        <v>83.0</v>
      </c>
      <c r="CH1" s="2">
        <v>84.0</v>
      </c>
      <c r="CI1" s="2">
        <v>85.0</v>
      </c>
      <c r="CJ1" s="2">
        <v>86.0</v>
      </c>
      <c r="CK1" s="2">
        <v>87.0</v>
      </c>
      <c r="CL1" s="2">
        <v>88.0</v>
      </c>
      <c r="CM1" s="2">
        <v>89.0</v>
      </c>
      <c r="CN1" s="2">
        <v>90.0</v>
      </c>
      <c r="CO1" s="2">
        <v>91.0</v>
      </c>
      <c r="CP1" s="2">
        <v>92.0</v>
      </c>
      <c r="CQ1" s="2">
        <v>93.0</v>
      </c>
      <c r="CR1" s="2">
        <v>94.0</v>
      </c>
      <c r="CS1" s="2">
        <v>95.0</v>
      </c>
      <c r="CT1" s="2">
        <v>96.0</v>
      </c>
      <c r="CU1" s="2">
        <v>97.0</v>
      </c>
      <c r="CV1" s="2">
        <v>98.0</v>
      </c>
      <c r="CW1" s="2">
        <v>99.0</v>
      </c>
      <c r="CX1" s="2">
        <v>100.0</v>
      </c>
      <c r="CY1" s="2">
        <v>101.0</v>
      </c>
      <c r="CZ1" s="2">
        <v>102.0</v>
      </c>
      <c r="DA1" s="2">
        <v>103.0</v>
      </c>
      <c r="DB1" s="2">
        <v>104.0</v>
      </c>
      <c r="DC1" s="2">
        <v>105.0</v>
      </c>
      <c r="DD1" s="2">
        <v>106.0</v>
      </c>
      <c r="DE1" s="2">
        <v>107.0</v>
      </c>
      <c r="DF1" s="2">
        <v>108.0</v>
      </c>
      <c r="DG1" s="2">
        <v>109.0</v>
      </c>
      <c r="DH1" s="2">
        <v>110.0</v>
      </c>
      <c r="DI1" s="2">
        <v>111.0</v>
      </c>
      <c r="DJ1" s="2">
        <v>112.0</v>
      </c>
      <c r="DK1" s="2">
        <v>113.0</v>
      </c>
      <c r="DL1" s="2">
        <v>114.0</v>
      </c>
      <c r="DM1" s="2">
        <v>115.0</v>
      </c>
      <c r="DN1" s="2">
        <v>116.0</v>
      </c>
      <c r="DO1" s="2">
        <v>117.0</v>
      </c>
      <c r="DP1" s="2">
        <v>118.0</v>
      </c>
      <c r="DQ1" s="2">
        <v>119.0</v>
      </c>
      <c r="DR1" s="2">
        <v>120.0</v>
      </c>
      <c r="DS1" s="2">
        <v>121.0</v>
      </c>
      <c r="DT1" s="2">
        <v>122.0</v>
      </c>
      <c r="DU1" s="2">
        <v>123.0</v>
      </c>
      <c r="DV1" s="2">
        <v>124.0</v>
      </c>
      <c r="DW1" s="2">
        <v>125.0</v>
      </c>
      <c r="DX1" s="2">
        <v>126.0</v>
      </c>
      <c r="DY1" s="2">
        <v>127.0</v>
      </c>
      <c r="DZ1" s="2">
        <v>128.0</v>
      </c>
      <c r="EA1" s="2">
        <v>129.0</v>
      </c>
      <c r="EB1" s="2">
        <v>130.0</v>
      </c>
      <c r="EC1" s="2">
        <v>131.0</v>
      </c>
      <c r="ED1" s="2">
        <v>132.0</v>
      </c>
      <c r="EE1" s="2">
        <v>133.0</v>
      </c>
      <c r="EF1" s="2">
        <v>134.0</v>
      </c>
      <c r="EG1" s="2">
        <v>135.0</v>
      </c>
      <c r="EH1" s="2">
        <v>136.0</v>
      </c>
      <c r="EI1" s="2">
        <v>137.0</v>
      </c>
      <c r="EJ1" s="2">
        <v>138.0</v>
      </c>
      <c r="EK1" s="2">
        <v>139.0</v>
      </c>
      <c r="EL1" s="2">
        <v>140.0</v>
      </c>
      <c r="EM1" s="2">
        <v>141.0</v>
      </c>
      <c r="EN1" s="2">
        <v>142.0</v>
      </c>
      <c r="EO1" s="2">
        <v>143.0</v>
      </c>
      <c r="EP1" s="2">
        <v>144.0</v>
      </c>
      <c r="EQ1" s="2">
        <v>145.0</v>
      </c>
      <c r="ER1" s="2">
        <v>146.0</v>
      </c>
      <c r="ES1" s="2">
        <v>147.0</v>
      </c>
      <c r="ET1" s="2">
        <v>148.0</v>
      </c>
      <c r="EU1" s="2">
        <v>149.0</v>
      </c>
      <c r="EV1" s="2">
        <v>150.0</v>
      </c>
      <c r="EW1" s="2">
        <v>151.0</v>
      </c>
      <c r="EX1" s="2">
        <v>152.0</v>
      </c>
      <c r="EY1" s="2">
        <v>153.0</v>
      </c>
      <c r="EZ1" s="2">
        <v>154.0</v>
      </c>
      <c r="FA1" s="2">
        <v>155.0</v>
      </c>
      <c r="FB1" s="2">
        <v>156.0</v>
      </c>
      <c r="FC1" s="2">
        <v>157.0</v>
      </c>
      <c r="FD1" s="2">
        <v>158.0</v>
      </c>
      <c r="FE1" s="2">
        <v>159.0</v>
      </c>
      <c r="FF1" s="2">
        <v>160.0</v>
      </c>
      <c r="FG1" s="2">
        <v>161.0</v>
      </c>
      <c r="FH1" s="2">
        <v>162.0</v>
      </c>
      <c r="FI1" s="2">
        <v>163.0</v>
      </c>
      <c r="FJ1" s="2">
        <v>164.0</v>
      </c>
      <c r="FK1" s="2">
        <v>165.0</v>
      </c>
      <c r="FL1" s="2">
        <v>166.0</v>
      </c>
      <c r="FM1" s="2">
        <v>167.0</v>
      </c>
      <c r="FN1" s="2">
        <v>168.0</v>
      </c>
      <c r="FO1" s="2">
        <v>169.0</v>
      </c>
      <c r="FP1" s="2">
        <v>170.0</v>
      </c>
      <c r="FQ1" s="2">
        <v>171.0</v>
      </c>
      <c r="FR1" s="2">
        <v>172.0</v>
      </c>
      <c r="FS1" s="2">
        <v>173.0</v>
      </c>
      <c r="FT1" s="2">
        <v>174.0</v>
      </c>
      <c r="FU1" s="2">
        <v>175.0</v>
      </c>
      <c r="FV1" s="2">
        <v>176.0</v>
      </c>
      <c r="FW1" s="2">
        <v>177.0</v>
      </c>
      <c r="FX1" s="2">
        <v>178.0</v>
      </c>
      <c r="FY1" s="2">
        <v>179.0</v>
      </c>
      <c r="FZ1" s="2">
        <v>180.0</v>
      </c>
      <c r="GA1" s="2">
        <v>181.0</v>
      </c>
      <c r="GB1" s="2">
        <v>182.0</v>
      </c>
      <c r="GC1" s="2">
        <v>183.0</v>
      </c>
      <c r="GD1" s="2">
        <v>184.0</v>
      </c>
      <c r="GE1" s="2">
        <v>185.0</v>
      </c>
      <c r="GF1" s="2">
        <v>186.0</v>
      </c>
      <c r="GG1" s="2">
        <v>187.0</v>
      </c>
      <c r="GH1" s="2">
        <v>188.0</v>
      </c>
      <c r="GI1" s="2">
        <v>189.0</v>
      </c>
      <c r="GJ1" s="2">
        <v>190.0</v>
      </c>
      <c r="GK1" s="2">
        <v>191.0</v>
      </c>
      <c r="GL1" s="2">
        <v>192.0</v>
      </c>
      <c r="GM1" s="2">
        <v>193.0</v>
      </c>
      <c r="GN1" s="2">
        <v>194.0</v>
      </c>
      <c r="GO1" s="2">
        <v>195.0</v>
      </c>
      <c r="GP1" s="2">
        <v>196.0</v>
      </c>
      <c r="GQ1" s="2">
        <v>197.0</v>
      </c>
      <c r="GR1" s="2">
        <v>198.0</v>
      </c>
      <c r="GS1" s="17"/>
      <c r="GT1" s="17"/>
      <c r="GU1" s="17"/>
      <c r="GV1" s="2"/>
      <c r="GW1" s="2"/>
      <c r="GX1" s="2"/>
    </row>
    <row r="2">
      <c r="A2" s="2">
        <v>0.0</v>
      </c>
      <c r="B2" s="5">
        <f t="array" ref="B2:GR11">(B1:GR1*GS2:GS11+B12:GR12*A2:A11)</f>
        <v>0</v>
      </c>
      <c r="C2" s="5">
        <v>9.0</v>
      </c>
      <c r="D2" s="5">
        <v>18.0</v>
      </c>
      <c r="E2" s="5">
        <v>27.0</v>
      </c>
      <c r="F2" s="5">
        <v>36.0</v>
      </c>
      <c r="G2" s="5">
        <v>45.0</v>
      </c>
      <c r="H2" s="5">
        <v>54.0</v>
      </c>
      <c r="I2" s="5">
        <v>63.0</v>
      </c>
      <c r="J2" s="5">
        <v>72.0</v>
      </c>
      <c r="K2" s="5">
        <v>81.0</v>
      </c>
      <c r="L2" s="5">
        <v>90.0</v>
      </c>
      <c r="M2" s="5">
        <v>99.0</v>
      </c>
      <c r="N2" s="5">
        <v>108.0</v>
      </c>
      <c r="O2" s="5">
        <v>117.0</v>
      </c>
      <c r="P2" s="5">
        <v>126.0</v>
      </c>
      <c r="Q2" s="5">
        <v>135.0</v>
      </c>
      <c r="R2" s="5">
        <v>144.0</v>
      </c>
      <c r="S2" s="5">
        <v>153.0</v>
      </c>
      <c r="T2" s="5">
        <v>162.0</v>
      </c>
      <c r="U2" s="5">
        <v>171.0</v>
      </c>
      <c r="V2" s="5">
        <v>180.0</v>
      </c>
      <c r="W2" s="5">
        <v>189.0</v>
      </c>
      <c r="X2" s="5">
        <v>198.0</v>
      </c>
      <c r="Y2" s="5">
        <v>207.0</v>
      </c>
      <c r="Z2" s="5">
        <v>216.0</v>
      </c>
      <c r="AA2" s="5">
        <v>225.0</v>
      </c>
      <c r="AB2" s="5">
        <v>234.0</v>
      </c>
      <c r="AC2" s="5">
        <v>243.0</v>
      </c>
      <c r="AD2" s="5">
        <v>252.0</v>
      </c>
      <c r="AE2" s="5">
        <v>261.0</v>
      </c>
      <c r="AF2" s="5">
        <v>270.0</v>
      </c>
      <c r="AG2" s="5">
        <v>279.0</v>
      </c>
      <c r="AH2" s="5">
        <v>288.0</v>
      </c>
      <c r="AI2" s="5">
        <v>297.0</v>
      </c>
      <c r="AJ2" s="5">
        <v>306.0</v>
      </c>
      <c r="AK2" s="5">
        <v>315.0</v>
      </c>
      <c r="AL2" s="5">
        <v>324.0</v>
      </c>
      <c r="AM2" s="5">
        <v>333.0</v>
      </c>
      <c r="AN2" s="5">
        <v>342.0</v>
      </c>
      <c r="AO2" s="5">
        <v>351.0</v>
      </c>
      <c r="AP2" s="5">
        <v>360.0</v>
      </c>
      <c r="AQ2" s="5">
        <v>369.0</v>
      </c>
      <c r="AR2" s="5">
        <v>378.0</v>
      </c>
      <c r="AS2" s="5">
        <v>387.0</v>
      </c>
      <c r="AT2" s="5">
        <v>396.0</v>
      </c>
      <c r="AU2" s="5">
        <v>405.0</v>
      </c>
      <c r="AV2" s="5">
        <v>414.0</v>
      </c>
      <c r="AW2" s="5">
        <v>423.0</v>
      </c>
      <c r="AX2" s="5">
        <v>432.0</v>
      </c>
      <c r="AY2" s="5">
        <v>441.0</v>
      </c>
      <c r="AZ2" s="5">
        <v>450.0</v>
      </c>
      <c r="BA2" s="5">
        <v>459.0</v>
      </c>
      <c r="BB2" s="5">
        <v>468.0</v>
      </c>
      <c r="BC2" s="5">
        <v>477.0</v>
      </c>
      <c r="BD2" s="5">
        <v>486.0</v>
      </c>
      <c r="BE2" s="5">
        <v>495.0</v>
      </c>
      <c r="BF2" s="5">
        <v>504.0</v>
      </c>
      <c r="BG2" s="5">
        <v>513.0</v>
      </c>
      <c r="BH2" s="5">
        <v>522.0</v>
      </c>
      <c r="BI2" s="5">
        <v>531.0</v>
      </c>
      <c r="BJ2" s="5">
        <v>540.0</v>
      </c>
      <c r="BK2" s="5">
        <v>549.0</v>
      </c>
      <c r="BL2" s="5">
        <v>558.0</v>
      </c>
      <c r="BM2" s="5">
        <v>567.0</v>
      </c>
      <c r="BN2" s="5">
        <v>576.0</v>
      </c>
      <c r="BO2" s="5">
        <v>585.0</v>
      </c>
      <c r="BP2" s="5">
        <v>594.0</v>
      </c>
      <c r="BQ2" s="5">
        <v>603.0</v>
      </c>
      <c r="BR2" s="5">
        <v>612.0</v>
      </c>
      <c r="BS2" s="5">
        <v>621.0</v>
      </c>
      <c r="BT2" s="5">
        <v>630.0</v>
      </c>
      <c r="BU2" s="5">
        <v>639.0</v>
      </c>
      <c r="BV2" s="5">
        <v>648.0</v>
      </c>
      <c r="BW2" s="5">
        <v>657.0</v>
      </c>
      <c r="BX2" s="5">
        <v>666.0</v>
      </c>
      <c r="BY2" s="5">
        <v>675.0</v>
      </c>
      <c r="BZ2" s="5">
        <v>684.0</v>
      </c>
      <c r="CA2" s="5">
        <v>693.0</v>
      </c>
      <c r="CB2" s="5">
        <v>702.0</v>
      </c>
      <c r="CC2" s="5">
        <v>711.0</v>
      </c>
      <c r="CD2" s="5">
        <v>720.0</v>
      </c>
      <c r="CE2" s="5">
        <v>729.0</v>
      </c>
      <c r="CF2" s="5">
        <v>738.0</v>
      </c>
      <c r="CG2" s="5">
        <v>747.0</v>
      </c>
      <c r="CH2" s="5">
        <v>756.0</v>
      </c>
      <c r="CI2" s="5">
        <v>765.0</v>
      </c>
      <c r="CJ2" s="5">
        <v>774.0</v>
      </c>
      <c r="CK2" s="5">
        <v>783.0</v>
      </c>
      <c r="CL2" s="5">
        <v>792.0</v>
      </c>
      <c r="CM2" s="5">
        <v>801.0</v>
      </c>
      <c r="CN2" s="5">
        <v>810.0</v>
      </c>
      <c r="CO2" s="5">
        <v>819.0</v>
      </c>
      <c r="CP2" s="5">
        <v>828.0</v>
      </c>
      <c r="CQ2" s="5">
        <v>837.0</v>
      </c>
      <c r="CR2" s="5">
        <v>846.0</v>
      </c>
      <c r="CS2" s="5">
        <v>855.0</v>
      </c>
      <c r="CT2" s="5">
        <v>864.0</v>
      </c>
      <c r="CU2" s="5">
        <v>873.0</v>
      </c>
      <c r="CV2" s="5">
        <v>882.0</v>
      </c>
      <c r="CW2" s="5">
        <v>891.0</v>
      </c>
      <c r="CX2" s="5">
        <v>900.0</v>
      </c>
      <c r="CY2" s="5">
        <v>909.0</v>
      </c>
      <c r="CZ2" s="5">
        <v>918.0</v>
      </c>
      <c r="DA2" s="5">
        <v>927.0</v>
      </c>
      <c r="DB2" s="5">
        <v>936.0</v>
      </c>
      <c r="DC2" s="5">
        <v>945.0</v>
      </c>
      <c r="DD2" s="5">
        <v>954.0</v>
      </c>
      <c r="DE2" s="5">
        <v>963.0</v>
      </c>
      <c r="DF2" s="5">
        <v>972.0</v>
      </c>
      <c r="DG2" s="5">
        <v>981.0</v>
      </c>
      <c r="DH2" s="5">
        <v>990.0</v>
      </c>
      <c r="DI2" s="5">
        <v>999.0</v>
      </c>
      <c r="DJ2" s="5">
        <v>1008.0</v>
      </c>
      <c r="DK2" s="5">
        <v>1017.0</v>
      </c>
      <c r="DL2" s="5">
        <v>1026.0</v>
      </c>
      <c r="DM2" s="5">
        <v>1035.0</v>
      </c>
      <c r="DN2" s="5">
        <v>1044.0</v>
      </c>
      <c r="DO2" s="5">
        <v>1053.0</v>
      </c>
      <c r="DP2" s="5">
        <v>1062.0</v>
      </c>
      <c r="DQ2" s="5">
        <v>1071.0</v>
      </c>
      <c r="DR2" s="5">
        <v>1080.0</v>
      </c>
      <c r="DS2" s="5">
        <v>1089.0</v>
      </c>
      <c r="DT2" s="5">
        <v>1098.0</v>
      </c>
      <c r="DU2" s="5">
        <v>1107.0</v>
      </c>
      <c r="DV2" s="5">
        <v>1116.0</v>
      </c>
      <c r="DW2" s="5">
        <v>1125.0</v>
      </c>
      <c r="DX2" s="5">
        <v>1134.0</v>
      </c>
      <c r="DY2" s="5">
        <v>1143.0</v>
      </c>
      <c r="DZ2" s="5">
        <v>1152.0</v>
      </c>
      <c r="EA2" s="5">
        <v>1161.0</v>
      </c>
      <c r="EB2" s="5">
        <v>1170.0</v>
      </c>
      <c r="EC2" s="5">
        <v>1179.0</v>
      </c>
      <c r="ED2" s="5">
        <v>1188.0</v>
      </c>
      <c r="EE2" s="5">
        <v>1197.0</v>
      </c>
      <c r="EF2" s="5">
        <v>1206.0</v>
      </c>
      <c r="EG2" s="5">
        <v>1215.0</v>
      </c>
      <c r="EH2" s="5">
        <v>1224.0</v>
      </c>
      <c r="EI2" s="5">
        <v>1233.0</v>
      </c>
      <c r="EJ2" s="5">
        <v>1242.0</v>
      </c>
      <c r="EK2" s="5">
        <v>1251.0</v>
      </c>
      <c r="EL2" s="5">
        <v>1260.0</v>
      </c>
      <c r="EM2" s="5">
        <v>1269.0</v>
      </c>
      <c r="EN2" s="5">
        <v>1278.0</v>
      </c>
      <c r="EO2" s="5">
        <v>1287.0</v>
      </c>
      <c r="EP2" s="5">
        <v>1296.0</v>
      </c>
      <c r="EQ2" s="5">
        <v>1305.0</v>
      </c>
      <c r="ER2" s="5">
        <v>1314.0</v>
      </c>
      <c r="ES2" s="5">
        <v>1323.0</v>
      </c>
      <c r="ET2" s="5">
        <v>1332.0</v>
      </c>
      <c r="EU2" s="5">
        <v>1341.0</v>
      </c>
      <c r="EV2" s="5">
        <v>1350.0</v>
      </c>
      <c r="EW2" s="5">
        <v>1359.0</v>
      </c>
      <c r="EX2" s="5">
        <v>1368.0</v>
      </c>
      <c r="EY2" s="5">
        <v>1377.0</v>
      </c>
      <c r="EZ2" s="5">
        <v>1386.0</v>
      </c>
      <c r="FA2" s="5">
        <v>1395.0</v>
      </c>
      <c r="FB2" s="5">
        <v>1404.0</v>
      </c>
      <c r="FC2" s="5">
        <v>1413.0</v>
      </c>
      <c r="FD2" s="5">
        <v>1422.0</v>
      </c>
      <c r="FE2" s="5">
        <v>1431.0</v>
      </c>
      <c r="FF2" s="5">
        <v>1440.0</v>
      </c>
      <c r="FG2" s="5">
        <v>1449.0</v>
      </c>
      <c r="FH2" s="5">
        <v>1458.0</v>
      </c>
      <c r="FI2" s="5">
        <v>1467.0</v>
      </c>
      <c r="FJ2" s="5">
        <v>1476.0</v>
      </c>
      <c r="FK2" s="5">
        <v>1485.0</v>
      </c>
      <c r="FL2" s="5">
        <v>1494.0</v>
      </c>
      <c r="FM2" s="5">
        <v>1503.0</v>
      </c>
      <c r="FN2" s="5">
        <v>1512.0</v>
      </c>
      <c r="FO2" s="5">
        <v>1521.0</v>
      </c>
      <c r="FP2" s="5">
        <v>1530.0</v>
      </c>
      <c r="FQ2" s="5">
        <v>1539.0</v>
      </c>
      <c r="FR2" s="5">
        <v>1548.0</v>
      </c>
      <c r="FS2" s="5">
        <v>1557.0</v>
      </c>
      <c r="FT2" s="5">
        <v>1566.0</v>
      </c>
      <c r="FU2" s="5">
        <v>1575.0</v>
      </c>
      <c r="FV2" s="5">
        <v>1584.0</v>
      </c>
      <c r="FW2" s="5">
        <v>1593.0</v>
      </c>
      <c r="FX2" s="5">
        <v>1602.0</v>
      </c>
      <c r="FY2" s="5">
        <v>1611.0</v>
      </c>
      <c r="FZ2" s="5">
        <v>1620.0</v>
      </c>
      <c r="GA2" s="5">
        <v>1629.0</v>
      </c>
      <c r="GB2" s="5">
        <v>1638.0</v>
      </c>
      <c r="GC2" s="5">
        <v>1647.0</v>
      </c>
      <c r="GD2" s="5">
        <v>1656.0</v>
      </c>
      <c r="GE2" s="5">
        <v>1665.0</v>
      </c>
      <c r="GF2" s="5">
        <v>1674.0</v>
      </c>
      <c r="GG2" s="5">
        <v>1683.0</v>
      </c>
      <c r="GH2" s="5">
        <v>1692.0</v>
      </c>
      <c r="GI2" s="5">
        <v>1701.0</v>
      </c>
      <c r="GJ2" s="5">
        <v>1710.0</v>
      </c>
      <c r="GK2" s="5">
        <v>1719.0</v>
      </c>
      <c r="GL2" s="5">
        <v>1728.0</v>
      </c>
      <c r="GM2" s="5">
        <v>1737.0</v>
      </c>
      <c r="GN2" s="5">
        <v>1746.0</v>
      </c>
      <c r="GO2" s="5">
        <v>1755.0</v>
      </c>
      <c r="GP2" s="5">
        <v>1764.0</v>
      </c>
      <c r="GQ2" s="5">
        <v>1773.0</v>
      </c>
      <c r="GR2" s="5">
        <v>1782.0</v>
      </c>
      <c r="GS2" s="17">
        <f t="array" ref="GS2:GS11">9-A2:A11</f>
        <v>9</v>
      </c>
    </row>
    <row r="3">
      <c r="A3" s="2">
        <v>1.0</v>
      </c>
      <c r="B3" s="5">
        <v>198.0</v>
      </c>
      <c r="C3" s="5">
        <v>205.0</v>
      </c>
      <c r="D3" s="5">
        <v>212.0</v>
      </c>
      <c r="E3" s="5">
        <v>219.0</v>
      </c>
      <c r="F3" s="5">
        <v>226.0</v>
      </c>
      <c r="G3" s="5">
        <v>233.0</v>
      </c>
      <c r="H3" s="5">
        <v>240.0</v>
      </c>
      <c r="I3" s="5">
        <v>247.0</v>
      </c>
      <c r="J3" s="5">
        <v>254.0</v>
      </c>
      <c r="K3" s="5">
        <v>261.0</v>
      </c>
      <c r="L3" s="5">
        <v>268.0</v>
      </c>
      <c r="M3" s="5">
        <v>275.0</v>
      </c>
      <c r="N3" s="5">
        <v>282.0</v>
      </c>
      <c r="O3" s="5">
        <v>289.0</v>
      </c>
      <c r="P3" s="5">
        <v>296.0</v>
      </c>
      <c r="Q3" s="5">
        <v>303.0</v>
      </c>
      <c r="R3" s="5">
        <v>310.0</v>
      </c>
      <c r="S3" s="5">
        <v>317.0</v>
      </c>
      <c r="T3" s="5">
        <v>324.0</v>
      </c>
      <c r="U3" s="5">
        <v>331.0</v>
      </c>
      <c r="V3" s="5">
        <v>338.0</v>
      </c>
      <c r="W3" s="5">
        <v>345.0</v>
      </c>
      <c r="X3" s="5">
        <v>352.0</v>
      </c>
      <c r="Y3" s="5">
        <v>359.0</v>
      </c>
      <c r="Z3" s="5">
        <v>366.0</v>
      </c>
      <c r="AA3" s="5">
        <v>373.0</v>
      </c>
      <c r="AB3" s="5">
        <v>380.0</v>
      </c>
      <c r="AC3" s="5">
        <v>387.0</v>
      </c>
      <c r="AD3" s="5">
        <v>394.0</v>
      </c>
      <c r="AE3" s="5">
        <v>401.0</v>
      </c>
      <c r="AF3" s="5">
        <v>408.0</v>
      </c>
      <c r="AG3" s="5">
        <v>415.0</v>
      </c>
      <c r="AH3" s="5">
        <v>422.0</v>
      </c>
      <c r="AI3" s="5">
        <v>429.0</v>
      </c>
      <c r="AJ3" s="5">
        <v>436.0</v>
      </c>
      <c r="AK3" s="5">
        <v>443.0</v>
      </c>
      <c r="AL3" s="5">
        <v>450.0</v>
      </c>
      <c r="AM3" s="5">
        <v>457.0</v>
      </c>
      <c r="AN3" s="5">
        <v>464.0</v>
      </c>
      <c r="AO3" s="5">
        <v>471.0</v>
      </c>
      <c r="AP3" s="5">
        <v>478.0</v>
      </c>
      <c r="AQ3" s="5">
        <v>485.0</v>
      </c>
      <c r="AR3" s="5">
        <v>492.0</v>
      </c>
      <c r="AS3" s="5">
        <v>499.0</v>
      </c>
      <c r="AT3" s="5">
        <v>506.0</v>
      </c>
      <c r="AU3" s="5">
        <v>513.0</v>
      </c>
      <c r="AV3" s="5">
        <v>520.0</v>
      </c>
      <c r="AW3" s="5">
        <v>527.0</v>
      </c>
      <c r="AX3" s="5">
        <v>534.0</v>
      </c>
      <c r="AY3" s="5">
        <v>541.0</v>
      </c>
      <c r="AZ3" s="5">
        <v>548.0</v>
      </c>
      <c r="BA3" s="5">
        <v>555.0</v>
      </c>
      <c r="BB3" s="5">
        <v>562.0</v>
      </c>
      <c r="BC3" s="5">
        <v>569.0</v>
      </c>
      <c r="BD3" s="5">
        <v>576.0</v>
      </c>
      <c r="BE3" s="5">
        <v>583.0</v>
      </c>
      <c r="BF3" s="5">
        <v>590.0</v>
      </c>
      <c r="BG3" s="5">
        <v>597.0</v>
      </c>
      <c r="BH3" s="5">
        <v>604.0</v>
      </c>
      <c r="BI3" s="5">
        <v>611.0</v>
      </c>
      <c r="BJ3" s="5">
        <v>618.0</v>
      </c>
      <c r="BK3" s="5">
        <v>625.0</v>
      </c>
      <c r="BL3" s="5">
        <v>632.0</v>
      </c>
      <c r="BM3" s="5">
        <v>639.0</v>
      </c>
      <c r="BN3" s="5">
        <v>646.0</v>
      </c>
      <c r="BO3" s="5">
        <v>653.0</v>
      </c>
      <c r="BP3" s="5">
        <v>660.0</v>
      </c>
      <c r="BQ3" s="5">
        <v>667.0</v>
      </c>
      <c r="BR3" s="5">
        <v>674.0</v>
      </c>
      <c r="BS3" s="5">
        <v>681.0</v>
      </c>
      <c r="BT3" s="5">
        <v>688.0</v>
      </c>
      <c r="BU3" s="5">
        <v>695.0</v>
      </c>
      <c r="BV3" s="5">
        <v>702.0</v>
      </c>
      <c r="BW3" s="5">
        <v>709.0</v>
      </c>
      <c r="BX3" s="5">
        <v>716.0</v>
      </c>
      <c r="BY3" s="5">
        <v>723.0</v>
      </c>
      <c r="BZ3" s="5">
        <v>730.0</v>
      </c>
      <c r="CA3" s="5">
        <v>737.0</v>
      </c>
      <c r="CB3" s="5">
        <v>744.0</v>
      </c>
      <c r="CC3" s="5">
        <v>751.0</v>
      </c>
      <c r="CD3" s="5">
        <v>758.0</v>
      </c>
      <c r="CE3" s="5">
        <v>765.0</v>
      </c>
      <c r="CF3" s="5">
        <v>772.0</v>
      </c>
      <c r="CG3" s="5">
        <v>779.0</v>
      </c>
      <c r="CH3" s="5">
        <v>786.0</v>
      </c>
      <c r="CI3" s="5">
        <v>793.0</v>
      </c>
      <c r="CJ3" s="5">
        <v>800.0</v>
      </c>
      <c r="CK3" s="5">
        <v>807.0</v>
      </c>
      <c r="CL3" s="5">
        <v>814.0</v>
      </c>
      <c r="CM3" s="5">
        <v>821.0</v>
      </c>
      <c r="CN3" s="5">
        <v>828.0</v>
      </c>
      <c r="CO3" s="5">
        <v>835.0</v>
      </c>
      <c r="CP3" s="5">
        <v>842.0</v>
      </c>
      <c r="CQ3" s="5">
        <v>849.0</v>
      </c>
      <c r="CR3" s="5">
        <v>856.0</v>
      </c>
      <c r="CS3" s="5">
        <v>863.0</v>
      </c>
      <c r="CT3" s="5">
        <v>870.0</v>
      </c>
      <c r="CU3" s="5">
        <v>877.0</v>
      </c>
      <c r="CV3" s="5">
        <v>884.0</v>
      </c>
      <c r="CW3" s="5">
        <v>891.0</v>
      </c>
      <c r="CX3" s="5">
        <v>898.0</v>
      </c>
      <c r="CY3" s="5">
        <v>905.0</v>
      </c>
      <c r="CZ3" s="5">
        <v>912.0</v>
      </c>
      <c r="DA3" s="5">
        <v>919.0</v>
      </c>
      <c r="DB3" s="5">
        <v>926.0</v>
      </c>
      <c r="DC3" s="5">
        <v>933.0</v>
      </c>
      <c r="DD3" s="5">
        <v>940.0</v>
      </c>
      <c r="DE3" s="5">
        <v>947.0</v>
      </c>
      <c r="DF3" s="5">
        <v>954.0</v>
      </c>
      <c r="DG3" s="5">
        <v>961.0</v>
      </c>
      <c r="DH3" s="5">
        <v>968.0</v>
      </c>
      <c r="DI3" s="5">
        <v>975.0</v>
      </c>
      <c r="DJ3" s="5">
        <v>982.0</v>
      </c>
      <c r="DK3" s="5">
        <v>989.0</v>
      </c>
      <c r="DL3" s="5">
        <v>996.0</v>
      </c>
      <c r="DM3" s="5">
        <v>1003.0</v>
      </c>
      <c r="DN3" s="5">
        <v>1010.0</v>
      </c>
      <c r="DO3" s="5">
        <v>1017.0</v>
      </c>
      <c r="DP3" s="5">
        <v>1024.0</v>
      </c>
      <c r="DQ3" s="5">
        <v>1031.0</v>
      </c>
      <c r="DR3" s="5">
        <v>1038.0</v>
      </c>
      <c r="DS3" s="5">
        <v>1045.0</v>
      </c>
      <c r="DT3" s="5">
        <v>1052.0</v>
      </c>
      <c r="DU3" s="5">
        <v>1059.0</v>
      </c>
      <c r="DV3" s="5">
        <v>1066.0</v>
      </c>
      <c r="DW3" s="5">
        <v>1073.0</v>
      </c>
      <c r="DX3" s="5">
        <v>1080.0</v>
      </c>
      <c r="DY3" s="5">
        <v>1087.0</v>
      </c>
      <c r="DZ3" s="5">
        <v>1094.0</v>
      </c>
      <c r="EA3" s="5">
        <v>1101.0</v>
      </c>
      <c r="EB3" s="5">
        <v>1108.0</v>
      </c>
      <c r="EC3" s="5">
        <v>1115.0</v>
      </c>
      <c r="ED3" s="5">
        <v>1122.0</v>
      </c>
      <c r="EE3" s="5">
        <v>1129.0</v>
      </c>
      <c r="EF3" s="5">
        <v>1136.0</v>
      </c>
      <c r="EG3" s="5">
        <v>1143.0</v>
      </c>
      <c r="EH3" s="5">
        <v>1150.0</v>
      </c>
      <c r="EI3" s="5">
        <v>1157.0</v>
      </c>
      <c r="EJ3" s="5">
        <v>1164.0</v>
      </c>
      <c r="EK3" s="5">
        <v>1171.0</v>
      </c>
      <c r="EL3" s="5">
        <v>1178.0</v>
      </c>
      <c r="EM3" s="5">
        <v>1185.0</v>
      </c>
      <c r="EN3" s="5">
        <v>1192.0</v>
      </c>
      <c r="EO3" s="5">
        <v>1199.0</v>
      </c>
      <c r="EP3" s="5">
        <v>1206.0</v>
      </c>
      <c r="EQ3" s="5">
        <v>1213.0</v>
      </c>
      <c r="ER3" s="5">
        <v>1220.0</v>
      </c>
      <c r="ES3" s="5">
        <v>1227.0</v>
      </c>
      <c r="ET3" s="5">
        <v>1234.0</v>
      </c>
      <c r="EU3" s="5">
        <v>1241.0</v>
      </c>
      <c r="EV3" s="5">
        <v>1248.0</v>
      </c>
      <c r="EW3" s="5">
        <v>1255.0</v>
      </c>
      <c r="EX3" s="5">
        <v>1262.0</v>
      </c>
      <c r="EY3" s="5">
        <v>1269.0</v>
      </c>
      <c r="EZ3" s="5">
        <v>1276.0</v>
      </c>
      <c r="FA3" s="5">
        <v>1283.0</v>
      </c>
      <c r="FB3" s="5">
        <v>1290.0</v>
      </c>
      <c r="FC3" s="5">
        <v>1297.0</v>
      </c>
      <c r="FD3" s="5">
        <v>1304.0</v>
      </c>
      <c r="FE3" s="5">
        <v>1311.0</v>
      </c>
      <c r="FF3" s="5">
        <v>1318.0</v>
      </c>
      <c r="FG3" s="5">
        <v>1325.0</v>
      </c>
      <c r="FH3" s="5">
        <v>1332.0</v>
      </c>
      <c r="FI3" s="5">
        <v>1339.0</v>
      </c>
      <c r="FJ3" s="5">
        <v>1346.0</v>
      </c>
      <c r="FK3" s="5">
        <v>1353.0</v>
      </c>
      <c r="FL3" s="5">
        <v>1360.0</v>
      </c>
      <c r="FM3" s="5">
        <v>1367.0</v>
      </c>
      <c r="FN3" s="5">
        <v>1374.0</v>
      </c>
      <c r="FO3" s="5">
        <v>1381.0</v>
      </c>
      <c r="FP3" s="5">
        <v>1388.0</v>
      </c>
      <c r="FQ3" s="5">
        <v>1395.0</v>
      </c>
      <c r="FR3" s="5">
        <v>1402.0</v>
      </c>
      <c r="FS3" s="5">
        <v>1409.0</v>
      </c>
      <c r="FT3" s="5">
        <v>1416.0</v>
      </c>
      <c r="FU3" s="5">
        <v>1423.0</v>
      </c>
      <c r="FV3" s="5">
        <v>1430.0</v>
      </c>
      <c r="FW3" s="5">
        <v>1437.0</v>
      </c>
      <c r="FX3" s="5">
        <v>1444.0</v>
      </c>
      <c r="FY3" s="5">
        <v>1451.0</v>
      </c>
      <c r="FZ3" s="5">
        <v>1458.0</v>
      </c>
      <c r="GA3" s="5">
        <v>1465.0</v>
      </c>
      <c r="GB3" s="5">
        <v>1472.0</v>
      </c>
      <c r="GC3" s="5">
        <v>1479.0</v>
      </c>
      <c r="GD3" s="5">
        <v>1486.0</v>
      </c>
      <c r="GE3" s="5">
        <v>1493.0</v>
      </c>
      <c r="GF3" s="5">
        <v>1500.0</v>
      </c>
      <c r="GG3" s="5">
        <v>1507.0</v>
      </c>
      <c r="GH3" s="5">
        <v>1514.0</v>
      </c>
      <c r="GI3" s="5">
        <v>1521.0</v>
      </c>
      <c r="GJ3" s="5">
        <v>1528.0</v>
      </c>
      <c r="GK3" s="5">
        <v>1535.0</v>
      </c>
      <c r="GL3" s="5">
        <v>1542.0</v>
      </c>
      <c r="GM3" s="5">
        <v>1549.0</v>
      </c>
      <c r="GN3" s="5">
        <v>1556.0</v>
      </c>
      <c r="GO3" s="5">
        <v>1563.0</v>
      </c>
      <c r="GP3" s="5">
        <v>1570.0</v>
      </c>
      <c r="GQ3" s="5">
        <v>1577.0</v>
      </c>
      <c r="GR3" s="5">
        <v>1584.0</v>
      </c>
      <c r="GS3" s="17">
        <v>8.0</v>
      </c>
    </row>
    <row r="4">
      <c r="A4" s="2">
        <v>2.0</v>
      </c>
      <c r="B4" s="5">
        <v>396.0</v>
      </c>
      <c r="C4" s="5">
        <v>401.0</v>
      </c>
      <c r="D4" s="5">
        <v>406.0</v>
      </c>
      <c r="E4" s="5">
        <v>411.0</v>
      </c>
      <c r="F4" s="5">
        <v>416.0</v>
      </c>
      <c r="G4" s="5">
        <v>421.0</v>
      </c>
      <c r="H4" s="5">
        <v>426.0</v>
      </c>
      <c r="I4" s="5">
        <v>431.0</v>
      </c>
      <c r="J4" s="5">
        <v>436.0</v>
      </c>
      <c r="K4" s="5">
        <v>441.0</v>
      </c>
      <c r="L4" s="5">
        <v>446.0</v>
      </c>
      <c r="M4" s="5">
        <v>451.0</v>
      </c>
      <c r="N4" s="5">
        <v>456.0</v>
      </c>
      <c r="O4" s="5">
        <v>461.0</v>
      </c>
      <c r="P4" s="5">
        <v>466.0</v>
      </c>
      <c r="Q4" s="5">
        <v>471.0</v>
      </c>
      <c r="R4" s="5">
        <v>476.0</v>
      </c>
      <c r="S4" s="5">
        <v>481.0</v>
      </c>
      <c r="T4" s="5">
        <v>486.0</v>
      </c>
      <c r="U4" s="5">
        <v>491.0</v>
      </c>
      <c r="V4" s="5">
        <v>496.0</v>
      </c>
      <c r="W4" s="5">
        <v>501.0</v>
      </c>
      <c r="X4" s="5">
        <v>506.0</v>
      </c>
      <c r="Y4" s="5">
        <v>511.0</v>
      </c>
      <c r="Z4" s="5">
        <v>516.0</v>
      </c>
      <c r="AA4" s="5">
        <v>521.0</v>
      </c>
      <c r="AB4" s="5">
        <v>526.0</v>
      </c>
      <c r="AC4" s="5">
        <v>531.0</v>
      </c>
      <c r="AD4" s="5">
        <v>536.0</v>
      </c>
      <c r="AE4" s="5">
        <v>541.0</v>
      </c>
      <c r="AF4" s="5">
        <v>546.0</v>
      </c>
      <c r="AG4" s="5">
        <v>551.0</v>
      </c>
      <c r="AH4" s="5">
        <v>556.0</v>
      </c>
      <c r="AI4" s="5">
        <v>561.0</v>
      </c>
      <c r="AJ4" s="5">
        <v>566.0</v>
      </c>
      <c r="AK4" s="5">
        <v>571.0</v>
      </c>
      <c r="AL4" s="5">
        <v>576.0</v>
      </c>
      <c r="AM4" s="5">
        <v>581.0</v>
      </c>
      <c r="AN4" s="5">
        <v>586.0</v>
      </c>
      <c r="AO4" s="5">
        <v>591.0</v>
      </c>
      <c r="AP4" s="5">
        <v>596.0</v>
      </c>
      <c r="AQ4" s="5">
        <v>601.0</v>
      </c>
      <c r="AR4" s="5">
        <v>606.0</v>
      </c>
      <c r="AS4" s="5">
        <v>611.0</v>
      </c>
      <c r="AT4" s="5">
        <v>616.0</v>
      </c>
      <c r="AU4" s="5">
        <v>621.0</v>
      </c>
      <c r="AV4" s="5">
        <v>626.0</v>
      </c>
      <c r="AW4" s="5">
        <v>631.0</v>
      </c>
      <c r="AX4" s="5">
        <v>636.0</v>
      </c>
      <c r="AY4" s="5">
        <v>641.0</v>
      </c>
      <c r="AZ4" s="5">
        <v>646.0</v>
      </c>
      <c r="BA4" s="5">
        <v>651.0</v>
      </c>
      <c r="BB4" s="5">
        <v>656.0</v>
      </c>
      <c r="BC4" s="5">
        <v>661.0</v>
      </c>
      <c r="BD4" s="5">
        <v>666.0</v>
      </c>
      <c r="BE4" s="5">
        <v>671.0</v>
      </c>
      <c r="BF4" s="5">
        <v>676.0</v>
      </c>
      <c r="BG4" s="5">
        <v>681.0</v>
      </c>
      <c r="BH4" s="5">
        <v>686.0</v>
      </c>
      <c r="BI4" s="5">
        <v>691.0</v>
      </c>
      <c r="BJ4" s="5">
        <v>696.0</v>
      </c>
      <c r="BK4" s="5">
        <v>701.0</v>
      </c>
      <c r="BL4" s="5">
        <v>706.0</v>
      </c>
      <c r="BM4" s="5">
        <v>711.0</v>
      </c>
      <c r="BN4" s="5">
        <v>716.0</v>
      </c>
      <c r="BO4" s="5">
        <v>721.0</v>
      </c>
      <c r="BP4" s="5">
        <v>726.0</v>
      </c>
      <c r="BQ4" s="5">
        <v>731.0</v>
      </c>
      <c r="BR4" s="5">
        <v>736.0</v>
      </c>
      <c r="BS4" s="5">
        <v>741.0</v>
      </c>
      <c r="BT4" s="5">
        <v>746.0</v>
      </c>
      <c r="BU4" s="5">
        <v>751.0</v>
      </c>
      <c r="BV4" s="5">
        <v>756.0</v>
      </c>
      <c r="BW4" s="5">
        <v>761.0</v>
      </c>
      <c r="BX4" s="5">
        <v>766.0</v>
      </c>
      <c r="BY4" s="5">
        <v>771.0</v>
      </c>
      <c r="BZ4" s="5">
        <v>776.0</v>
      </c>
      <c r="CA4" s="5">
        <v>781.0</v>
      </c>
      <c r="CB4" s="5">
        <v>786.0</v>
      </c>
      <c r="CC4" s="5">
        <v>791.0</v>
      </c>
      <c r="CD4" s="5">
        <v>796.0</v>
      </c>
      <c r="CE4" s="5">
        <v>801.0</v>
      </c>
      <c r="CF4" s="5">
        <v>806.0</v>
      </c>
      <c r="CG4" s="5">
        <v>811.0</v>
      </c>
      <c r="CH4" s="5">
        <v>816.0</v>
      </c>
      <c r="CI4" s="5">
        <v>821.0</v>
      </c>
      <c r="CJ4" s="5">
        <v>826.0</v>
      </c>
      <c r="CK4" s="5">
        <v>831.0</v>
      </c>
      <c r="CL4" s="5">
        <v>836.0</v>
      </c>
      <c r="CM4" s="5">
        <v>841.0</v>
      </c>
      <c r="CN4" s="5">
        <v>846.0</v>
      </c>
      <c r="CO4" s="5">
        <v>851.0</v>
      </c>
      <c r="CP4" s="5">
        <v>856.0</v>
      </c>
      <c r="CQ4" s="5">
        <v>861.0</v>
      </c>
      <c r="CR4" s="5">
        <v>866.0</v>
      </c>
      <c r="CS4" s="5">
        <v>871.0</v>
      </c>
      <c r="CT4" s="5">
        <v>876.0</v>
      </c>
      <c r="CU4" s="5">
        <v>881.0</v>
      </c>
      <c r="CV4" s="5">
        <v>886.0</v>
      </c>
      <c r="CW4" s="5">
        <v>891.0</v>
      </c>
      <c r="CX4" s="5">
        <v>896.0</v>
      </c>
      <c r="CY4" s="5">
        <v>901.0</v>
      </c>
      <c r="CZ4" s="5">
        <v>906.0</v>
      </c>
      <c r="DA4" s="5">
        <v>911.0</v>
      </c>
      <c r="DB4" s="5">
        <v>916.0</v>
      </c>
      <c r="DC4" s="5">
        <v>921.0</v>
      </c>
      <c r="DD4" s="5">
        <v>926.0</v>
      </c>
      <c r="DE4" s="5">
        <v>931.0</v>
      </c>
      <c r="DF4" s="5">
        <v>936.0</v>
      </c>
      <c r="DG4" s="5">
        <v>941.0</v>
      </c>
      <c r="DH4" s="5">
        <v>946.0</v>
      </c>
      <c r="DI4" s="5">
        <v>951.0</v>
      </c>
      <c r="DJ4" s="5">
        <v>956.0</v>
      </c>
      <c r="DK4" s="5">
        <v>961.0</v>
      </c>
      <c r="DL4" s="5">
        <v>966.0</v>
      </c>
      <c r="DM4" s="5">
        <v>971.0</v>
      </c>
      <c r="DN4" s="5">
        <v>976.0</v>
      </c>
      <c r="DO4" s="5">
        <v>981.0</v>
      </c>
      <c r="DP4" s="5">
        <v>986.0</v>
      </c>
      <c r="DQ4" s="5">
        <v>991.0</v>
      </c>
      <c r="DR4" s="5">
        <v>996.0</v>
      </c>
      <c r="DS4" s="5">
        <v>1001.0</v>
      </c>
      <c r="DT4" s="5">
        <v>1006.0</v>
      </c>
      <c r="DU4" s="5">
        <v>1011.0</v>
      </c>
      <c r="DV4" s="5">
        <v>1016.0</v>
      </c>
      <c r="DW4" s="5">
        <v>1021.0</v>
      </c>
      <c r="DX4" s="5">
        <v>1026.0</v>
      </c>
      <c r="DY4" s="5">
        <v>1031.0</v>
      </c>
      <c r="DZ4" s="5">
        <v>1036.0</v>
      </c>
      <c r="EA4" s="5">
        <v>1041.0</v>
      </c>
      <c r="EB4" s="5">
        <v>1046.0</v>
      </c>
      <c r="EC4" s="5">
        <v>1051.0</v>
      </c>
      <c r="ED4" s="5">
        <v>1056.0</v>
      </c>
      <c r="EE4" s="5">
        <v>1061.0</v>
      </c>
      <c r="EF4" s="5">
        <v>1066.0</v>
      </c>
      <c r="EG4" s="5">
        <v>1071.0</v>
      </c>
      <c r="EH4" s="5">
        <v>1076.0</v>
      </c>
      <c r="EI4" s="5">
        <v>1081.0</v>
      </c>
      <c r="EJ4" s="5">
        <v>1086.0</v>
      </c>
      <c r="EK4" s="5">
        <v>1091.0</v>
      </c>
      <c r="EL4" s="5">
        <v>1096.0</v>
      </c>
      <c r="EM4" s="5">
        <v>1101.0</v>
      </c>
      <c r="EN4" s="5">
        <v>1106.0</v>
      </c>
      <c r="EO4" s="5">
        <v>1111.0</v>
      </c>
      <c r="EP4" s="5">
        <v>1116.0</v>
      </c>
      <c r="EQ4" s="5">
        <v>1121.0</v>
      </c>
      <c r="ER4" s="5">
        <v>1126.0</v>
      </c>
      <c r="ES4" s="5">
        <v>1131.0</v>
      </c>
      <c r="ET4" s="5">
        <v>1136.0</v>
      </c>
      <c r="EU4" s="5">
        <v>1141.0</v>
      </c>
      <c r="EV4" s="5">
        <v>1146.0</v>
      </c>
      <c r="EW4" s="5">
        <v>1151.0</v>
      </c>
      <c r="EX4" s="5">
        <v>1156.0</v>
      </c>
      <c r="EY4" s="5">
        <v>1161.0</v>
      </c>
      <c r="EZ4" s="5">
        <v>1166.0</v>
      </c>
      <c r="FA4" s="5">
        <v>1171.0</v>
      </c>
      <c r="FB4" s="5">
        <v>1176.0</v>
      </c>
      <c r="FC4" s="5">
        <v>1181.0</v>
      </c>
      <c r="FD4" s="5">
        <v>1186.0</v>
      </c>
      <c r="FE4" s="5">
        <v>1191.0</v>
      </c>
      <c r="FF4" s="5">
        <v>1196.0</v>
      </c>
      <c r="FG4" s="5">
        <v>1201.0</v>
      </c>
      <c r="FH4" s="5">
        <v>1206.0</v>
      </c>
      <c r="FI4" s="5">
        <v>1211.0</v>
      </c>
      <c r="FJ4" s="5">
        <v>1216.0</v>
      </c>
      <c r="FK4" s="5">
        <v>1221.0</v>
      </c>
      <c r="FL4" s="5">
        <v>1226.0</v>
      </c>
      <c r="FM4" s="5">
        <v>1231.0</v>
      </c>
      <c r="FN4" s="5">
        <v>1236.0</v>
      </c>
      <c r="FO4" s="5">
        <v>1241.0</v>
      </c>
      <c r="FP4" s="5">
        <v>1246.0</v>
      </c>
      <c r="FQ4" s="5">
        <v>1251.0</v>
      </c>
      <c r="FR4" s="5">
        <v>1256.0</v>
      </c>
      <c r="FS4" s="5">
        <v>1261.0</v>
      </c>
      <c r="FT4" s="5">
        <v>1266.0</v>
      </c>
      <c r="FU4" s="5">
        <v>1271.0</v>
      </c>
      <c r="FV4" s="5">
        <v>1276.0</v>
      </c>
      <c r="FW4" s="5">
        <v>1281.0</v>
      </c>
      <c r="FX4" s="5">
        <v>1286.0</v>
      </c>
      <c r="FY4" s="5">
        <v>1291.0</v>
      </c>
      <c r="FZ4" s="5">
        <v>1296.0</v>
      </c>
      <c r="GA4" s="5">
        <v>1301.0</v>
      </c>
      <c r="GB4" s="5">
        <v>1306.0</v>
      </c>
      <c r="GC4" s="5">
        <v>1311.0</v>
      </c>
      <c r="GD4" s="5">
        <v>1316.0</v>
      </c>
      <c r="GE4" s="5">
        <v>1321.0</v>
      </c>
      <c r="GF4" s="5">
        <v>1326.0</v>
      </c>
      <c r="GG4" s="5">
        <v>1331.0</v>
      </c>
      <c r="GH4" s="5">
        <v>1336.0</v>
      </c>
      <c r="GI4" s="5">
        <v>1341.0</v>
      </c>
      <c r="GJ4" s="5">
        <v>1346.0</v>
      </c>
      <c r="GK4" s="5">
        <v>1351.0</v>
      </c>
      <c r="GL4" s="5">
        <v>1356.0</v>
      </c>
      <c r="GM4" s="5">
        <v>1361.0</v>
      </c>
      <c r="GN4" s="5">
        <v>1366.0</v>
      </c>
      <c r="GO4" s="5">
        <v>1371.0</v>
      </c>
      <c r="GP4" s="5">
        <v>1376.0</v>
      </c>
      <c r="GQ4" s="5">
        <v>1381.0</v>
      </c>
      <c r="GR4" s="5">
        <v>1386.0</v>
      </c>
      <c r="GS4" s="17">
        <v>7.0</v>
      </c>
    </row>
    <row r="5">
      <c r="A5" s="2">
        <v>3.0</v>
      </c>
      <c r="B5" s="5">
        <v>594.0</v>
      </c>
      <c r="C5" s="5">
        <v>597.0</v>
      </c>
      <c r="D5" s="5">
        <v>600.0</v>
      </c>
      <c r="E5" s="5">
        <v>603.0</v>
      </c>
      <c r="F5" s="5">
        <v>606.0</v>
      </c>
      <c r="G5" s="5">
        <v>609.0</v>
      </c>
      <c r="H5" s="5">
        <v>612.0</v>
      </c>
      <c r="I5" s="5">
        <v>615.0</v>
      </c>
      <c r="J5" s="5">
        <v>618.0</v>
      </c>
      <c r="K5" s="5">
        <v>621.0</v>
      </c>
      <c r="L5" s="5">
        <v>624.0</v>
      </c>
      <c r="M5" s="5">
        <v>627.0</v>
      </c>
      <c r="N5" s="5">
        <v>630.0</v>
      </c>
      <c r="O5" s="5">
        <v>633.0</v>
      </c>
      <c r="P5" s="5">
        <v>636.0</v>
      </c>
      <c r="Q5" s="5">
        <v>639.0</v>
      </c>
      <c r="R5" s="5">
        <v>642.0</v>
      </c>
      <c r="S5" s="5">
        <v>645.0</v>
      </c>
      <c r="T5" s="5">
        <v>648.0</v>
      </c>
      <c r="U5" s="5">
        <v>651.0</v>
      </c>
      <c r="V5" s="5">
        <v>654.0</v>
      </c>
      <c r="W5" s="5">
        <v>657.0</v>
      </c>
      <c r="X5" s="5">
        <v>660.0</v>
      </c>
      <c r="Y5" s="5">
        <v>663.0</v>
      </c>
      <c r="Z5" s="5">
        <v>666.0</v>
      </c>
      <c r="AA5" s="5">
        <v>669.0</v>
      </c>
      <c r="AB5" s="5">
        <v>672.0</v>
      </c>
      <c r="AC5" s="5">
        <v>675.0</v>
      </c>
      <c r="AD5" s="5">
        <v>678.0</v>
      </c>
      <c r="AE5" s="5">
        <v>681.0</v>
      </c>
      <c r="AF5" s="5">
        <v>684.0</v>
      </c>
      <c r="AG5" s="5">
        <v>687.0</v>
      </c>
      <c r="AH5" s="5">
        <v>690.0</v>
      </c>
      <c r="AI5" s="5">
        <v>693.0</v>
      </c>
      <c r="AJ5" s="5">
        <v>696.0</v>
      </c>
      <c r="AK5" s="5">
        <v>699.0</v>
      </c>
      <c r="AL5" s="5">
        <v>702.0</v>
      </c>
      <c r="AM5" s="5">
        <v>705.0</v>
      </c>
      <c r="AN5" s="5">
        <v>708.0</v>
      </c>
      <c r="AO5" s="5">
        <v>711.0</v>
      </c>
      <c r="AP5" s="5">
        <v>714.0</v>
      </c>
      <c r="AQ5" s="5">
        <v>717.0</v>
      </c>
      <c r="AR5" s="5">
        <v>720.0</v>
      </c>
      <c r="AS5" s="5">
        <v>723.0</v>
      </c>
      <c r="AT5" s="5">
        <v>726.0</v>
      </c>
      <c r="AU5" s="5">
        <v>729.0</v>
      </c>
      <c r="AV5" s="5">
        <v>732.0</v>
      </c>
      <c r="AW5" s="5">
        <v>735.0</v>
      </c>
      <c r="AX5" s="5">
        <v>738.0</v>
      </c>
      <c r="AY5" s="5">
        <v>741.0</v>
      </c>
      <c r="AZ5" s="5">
        <v>744.0</v>
      </c>
      <c r="BA5" s="5">
        <v>747.0</v>
      </c>
      <c r="BB5" s="5">
        <v>750.0</v>
      </c>
      <c r="BC5" s="5">
        <v>753.0</v>
      </c>
      <c r="BD5" s="5">
        <v>756.0</v>
      </c>
      <c r="BE5" s="5">
        <v>759.0</v>
      </c>
      <c r="BF5" s="5">
        <v>762.0</v>
      </c>
      <c r="BG5" s="5">
        <v>765.0</v>
      </c>
      <c r="BH5" s="5">
        <v>768.0</v>
      </c>
      <c r="BI5" s="5">
        <v>771.0</v>
      </c>
      <c r="BJ5" s="5">
        <v>774.0</v>
      </c>
      <c r="BK5" s="5">
        <v>777.0</v>
      </c>
      <c r="BL5" s="5">
        <v>780.0</v>
      </c>
      <c r="BM5" s="5">
        <v>783.0</v>
      </c>
      <c r="BN5" s="5">
        <v>786.0</v>
      </c>
      <c r="BO5" s="5">
        <v>789.0</v>
      </c>
      <c r="BP5" s="5">
        <v>792.0</v>
      </c>
      <c r="BQ5" s="5">
        <v>795.0</v>
      </c>
      <c r="BR5" s="5">
        <v>798.0</v>
      </c>
      <c r="BS5" s="5">
        <v>801.0</v>
      </c>
      <c r="BT5" s="5">
        <v>804.0</v>
      </c>
      <c r="BU5" s="5">
        <v>807.0</v>
      </c>
      <c r="BV5" s="5">
        <v>810.0</v>
      </c>
      <c r="BW5" s="5">
        <v>813.0</v>
      </c>
      <c r="BX5" s="5">
        <v>816.0</v>
      </c>
      <c r="BY5" s="5">
        <v>819.0</v>
      </c>
      <c r="BZ5" s="5">
        <v>822.0</v>
      </c>
      <c r="CA5" s="5">
        <v>825.0</v>
      </c>
      <c r="CB5" s="5">
        <v>828.0</v>
      </c>
      <c r="CC5" s="5">
        <v>831.0</v>
      </c>
      <c r="CD5" s="5">
        <v>834.0</v>
      </c>
      <c r="CE5" s="5">
        <v>837.0</v>
      </c>
      <c r="CF5" s="5">
        <v>840.0</v>
      </c>
      <c r="CG5" s="5">
        <v>843.0</v>
      </c>
      <c r="CH5" s="5">
        <v>846.0</v>
      </c>
      <c r="CI5" s="5">
        <v>849.0</v>
      </c>
      <c r="CJ5" s="5">
        <v>852.0</v>
      </c>
      <c r="CK5" s="5">
        <v>855.0</v>
      </c>
      <c r="CL5" s="5">
        <v>858.0</v>
      </c>
      <c r="CM5" s="5">
        <v>861.0</v>
      </c>
      <c r="CN5" s="5">
        <v>864.0</v>
      </c>
      <c r="CO5" s="5">
        <v>867.0</v>
      </c>
      <c r="CP5" s="5">
        <v>870.0</v>
      </c>
      <c r="CQ5" s="5">
        <v>873.0</v>
      </c>
      <c r="CR5" s="5">
        <v>876.0</v>
      </c>
      <c r="CS5" s="5">
        <v>879.0</v>
      </c>
      <c r="CT5" s="15">
        <v>882.0</v>
      </c>
      <c r="CU5" s="15">
        <v>885.0</v>
      </c>
      <c r="CV5" s="15">
        <v>888.0</v>
      </c>
      <c r="CW5" s="15">
        <v>891.0</v>
      </c>
      <c r="CX5" s="5">
        <v>894.0</v>
      </c>
      <c r="CY5" s="5">
        <v>897.0</v>
      </c>
      <c r="CZ5" s="5">
        <v>900.0</v>
      </c>
      <c r="DA5" s="5">
        <v>903.0</v>
      </c>
      <c r="DB5" s="5">
        <v>906.0</v>
      </c>
      <c r="DC5" s="5">
        <v>909.0</v>
      </c>
      <c r="DD5" s="5">
        <v>912.0</v>
      </c>
      <c r="DE5" s="5">
        <v>915.0</v>
      </c>
      <c r="DF5" s="5">
        <v>918.0</v>
      </c>
      <c r="DG5" s="5">
        <v>921.0</v>
      </c>
      <c r="DH5" s="5">
        <v>924.0</v>
      </c>
      <c r="DI5" s="5">
        <v>927.0</v>
      </c>
      <c r="DJ5" s="5">
        <v>930.0</v>
      </c>
      <c r="DK5" s="5">
        <v>933.0</v>
      </c>
      <c r="DL5" s="5">
        <v>936.0</v>
      </c>
      <c r="DM5" s="5">
        <v>939.0</v>
      </c>
      <c r="DN5" s="5">
        <v>942.0</v>
      </c>
      <c r="DO5" s="5">
        <v>945.0</v>
      </c>
      <c r="DP5" s="5">
        <v>948.0</v>
      </c>
      <c r="DQ5" s="5">
        <v>951.0</v>
      </c>
      <c r="DR5" s="5">
        <v>954.0</v>
      </c>
      <c r="DS5" s="5">
        <v>957.0</v>
      </c>
      <c r="DT5" s="5">
        <v>960.0</v>
      </c>
      <c r="DU5" s="5">
        <v>963.0</v>
      </c>
      <c r="DV5" s="5">
        <v>966.0</v>
      </c>
      <c r="DW5" s="5">
        <v>969.0</v>
      </c>
      <c r="DX5" s="5">
        <v>972.0</v>
      </c>
      <c r="DY5" s="5">
        <v>975.0</v>
      </c>
      <c r="DZ5" s="5">
        <v>978.0</v>
      </c>
      <c r="EA5" s="5">
        <v>981.0</v>
      </c>
      <c r="EB5" s="5">
        <v>984.0</v>
      </c>
      <c r="EC5" s="5">
        <v>987.0</v>
      </c>
      <c r="ED5" s="5">
        <v>990.0</v>
      </c>
      <c r="EE5" s="5">
        <v>993.0</v>
      </c>
      <c r="EF5" s="5">
        <v>996.0</v>
      </c>
      <c r="EG5" s="5">
        <v>999.0</v>
      </c>
      <c r="EH5" s="5">
        <v>1002.0</v>
      </c>
      <c r="EI5" s="5">
        <v>1005.0</v>
      </c>
      <c r="EJ5" s="5">
        <v>1008.0</v>
      </c>
      <c r="EK5" s="5">
        <v>1011.0</v>
      </c>
      <c r="EL5" s="5">
        <v>1014.0</v>
      </c>
      <c r="EM5" s="5">
        <v>1017.0</v>
      </c>
      <c r="EN5" s="5">
        <v>1020.0</v>
      </c>
      <c r="EO5" s="5">
        <v>1023.0</v>
      </c>
      <c r="EP5" s="5">
        <v>1026.0</v>
      </c>
      <c r="EQ5" s="5">
        <v>1029.0</v>
      </c>
      <c r="ER5" s="5">
        <v>1032.0</v>
      </c>
      <c r="ES5" s="5">
        <v>1035.0</v>
      </c>
      <c r="ET5" s="5">
        <v>1038.0</v>
      </c>
      <c r="EU5" s="5">
        <v>1041.0</v>
      </c>
      <c r="EV5" s="5">
        <v>1044.0</v>
      </c>
      <c r="EW5" s="5">
        <v>1047.0</v>
      </c>
      <c r="EX5" s="5">
        <v>1050.0</v>
      </c>
      <c r="EY5" s="5">
        <v>1053.0</v>
      </c>
      <c r="EZ5" s="5">
        <v>1056.0</v>
      </c>
      <c r="FA5" s="5">
        <v>1059.0</v>
      </c>
      <c r="FB5" s="5">
        <v>1062.0</v>
      </c>
      <c r="FC5" s="5">
        <v>1065.0</v>
      </c>
      <c r="FD5" s="5">
        <v>1068.0</v>
      </c>
      <c r="FE5" s="5">
        <v>1071.0</v>
      </c>
      <c r="FF5" s="5">
        <v>1074.0</v>
      </c>
      <c r="FG5" s="5">
        <v>1077.0</v>
      </c>
      <c r="FH5" s="5">
        <v>1080.0</v>
      </c>
      <c r="FI5" s="5">
        <v>1083.0</v>
      </c>
      <c r="FJ5" s="5">
        <v>1086.0</v>
      </c>
      <c r="FK5" s="5">
        <v>1089.0</v>
      </c>
      <c r="FL5" s="5">
        <v>1092.0</v>
      </c>
      <c r="FM5" s="5">
        <v>1095.0</v>
      </c>
      <c r="FN5" s="5">
        <v>1098.0</v>
      </c>
      <c r="FO5" s="5">
        <v>1101.0</v>
      </c>
      <c r="FP5" s="5">
        <v>1104.0</v>
      </c>
      <c r="FQ5" s="5">
        <v>1107.0</v>
      </c>
      <c r="FR5" s="5">
        <v>1110.0</v>
      </c>
      <c r="FS5" s="5">
        <v>1113.0</v>
      </c>
      <c r="FT5" s="5">
        <v>1116.0</v>
      </c>
      <c r="FU5" s="5">
        <v>1119.0</v>
      </c>
      <c r="FV5" s="5">
        <v>1122.0</v>
      </c>
      <c r="FW5" s="5">
        <v>1125.0</v>
      </c>
      <c r="FX5" s="5">
        <v>1128.0</v>
      </c>
      <c r="FY5" s="5">
        <v>1131.0</v>
      </c>
      <c r="FZ5" s="5">
        <v>1134.0</v>
      </c>
      <c r="GA5" s="5">
        <v>1137.0</v>
      </c>
      <c r="GB5" s="5">
        <v>1140.0</v>
      </c>
      <c r="GC5" s="5">
        <v>1143.0</v>
      </c>
      <c r="GD5" s="5">
        <v>1146.0</v>
      </c>
      <c r="GE5" s="5">
        <v>1149.0</v>
      </c>
      <c r="GF5" s="5">
        <v>1152.0</v>
      </c>
      <c r="GG5" s="5">
        <v>1155.0</v>
      </c>
      <c r="GH5" s="5">
        <v>1158.0</v>
      </c>
      <c r="GI5" s="5">
        <v>1161.0</v>
      </c>
      <c r="GJ5" s="5">
        <v>1164.0</v>
      </c>
      <c r="GK5" s="5">
        <v>1167.0</v>
      </c>
      <c r="GL5" s="5">
        <v>1170.0</v>
      </c>
      <c r="GM5" s="5">
        <v>1173.0</v>
      </c>
      <c r="GN5" s="5">
        <v>1176.0</v>
      </c>
      <c r="GO5" s="5">
        <v>1179.0</v>
      </c>
      <c r="GP5" s="5">
        <v>1182.0</v>
      </c>
      <c r="GQ5" s="5">
        <v>1185.0</v>
      </c>
      <c r="GR5" s="5">
        <v>1188.0</v>
      </c>
      <c r="GS5" s="17">
        <v>6.0</v>
      </c>
    </row>
    <row r="6">
      <c r="A6" s="2">
        <v>4.0</v>
      </c>
      <c r="B6" s="5">
        <v>792.0</v>
      </c>
      <c r="C6" s="5">
        <v>793.0</v>
      </c>
      <c r="D6" s="5">
        <v>794.0</v>
      </c>
      <c r="E6" s="5">
        <v>795.0</v>
      </c>
      <c r="F6" s="5">
        <v>796.0</v>
      </c>
      <c r="G6" s="5">
        <v>797.0</v>
      </c>
      <c r="H6" s="5">
        <v>798.0</v>
      </c>
      <c r="I6" s="5">
        <v>799.0</v>
      </c>
      <c r="J6" s="5">
        <v>800.0</v>
      </c>
      <c r="K6" s="5">
        <v>801.0</v>
      </c>
      <c r="L6" s="5">
        <v>802.0</v>
      </c>
      <c r="M6" s="5">
        <v>803.0</v>
      </c>
      <c r="N6" s="5">
        <v>804.0</v>
      </c>
      <c r="O6" s="5">
        <v>805.0</v>
      </c>
      <c r="P6" s="5">
        <v>806.0</v>
      </c>
      <c r="Q6" s="5">
        <v>807.0</v>
      </c>
      <c r="R6" s="5">
        <v>808.0</v>
      </c>
      <c r="S6" s="5">
        <v>809.0</v>
      </c>
      <c r="T6" s="5">
        <v>810.0</v>
      </c>
      <c r="U6" s="5">
        <v>811.0</v>
      </c>
      <c r="V6" s="5">
        <v>812.0</v>
      </c>
      <c r="W6" s="5">
        <v>813.0</v>
      </c>
      <c r="X6" s="5">
        <v>814.0</v>
      </c>
      <c r="Y6" s="5">
        <v>815.0</v>
      </c>
      <c r="Z6" s="5">
        <v>816.0</v>
      </c>
      <c r="AA6" s="5">
        <v>817.0</v>
      </c>
      <c r="AB6" s="5">
        <v>818.0</v>
      </c>
      <c r="AC6" s="5">
        <v>819.0</v>
      </c>
      <c r="AD6" s="5">
        <v>820.0</v>
      </c>
      <c r="AE6" s="5">
        <v>821.0</v>
      </c>
      <c r="AF6" s="5">
        <v>822.0</v>
      </c>
      <c r="AG6" s="5">
        <v>823.0</v>
      </c>
      <c r="AH6" s="5">
        <v>824.0</v>
      </c>
      <c r="AI6" s="5">
        <v>825.0</v>
      </c>
      <c r="AJ6" s="5">
        <v>826.0</v>
      </c>
      <c r="AK6" s="5">
        <v>827.0</v>
      </c>
      <c r="AL6" s="5">
        <v>828.0</v>
      </c>
      <c r="AM6" s="5">
        <v>829.0</v>
      </c>
      <c r="AN6" s="5">
        <v>830.0</v>
      </c>
      <c r="AO6" s="5">
        <v>831.0</v>
      </c>
      <c r="AP6" s="5">
        <v>832.0</v>
      </c>
      <c r="AQ6" s="5">
        <v>833.0</v>
      </c>
      <c r="AR6" s="5">
        <v>834.0</v>
      </c>
      <c r="AS6" s="5">
        <v>835.0</v>
      </c>
      <c r="AT6" s="5">
        <v>836.0</v>
      </c>
      <c r="AU6" s="5">
        <v>837.0</v>
      </c>
      <c r="AV6" s="5">
        <v>838.0</v>
      </c>
      <c r="AW6" s="5">
        <v>839.0</v>
      </c>
      <c r="AX6" s="5">
        <v>840.0</v>
      </c>
      <c r="AY6" s="5">
        <v>841.0</v>
      </c>
      <c r="AZ6" s="5">
        <v>842.0</v>
      </c>
      <c r="BA6" s="5">
        <v>843.0</v>
      </c>
      <c r="BB6" s="5">
        <v>844.0</v>
      </c>
      <c r="BC6" s="5">
        <v>845.0</v>
      </c>
      <c r="BD6" s="5">
        <v>846.0</v>
      </c>
      <c r="BE6" s="5">
        <v>847.0</v>
      </c>
      <c r="BF6" s="5">
        <v>848.0</v>
      </c>
      <c r="BG6" s="5">
        <v>849.0</v>
      </c>
      <c r="BH6" s="5">
        <v>850.0</v>
      </c>
      <c r="BI6" s="5">
        <v>851.0</v>
      </c>
      <c r="BJ6" s="5">
        <v>852.0</v>
      </c>
      <c r="BK6" s="5">
        <v>853.0</v>
      </c>
      <c r="BL6" s="5">
        <v>854.0</v>
      </c>
      <c r="BM6" s="5">
        <v>855.0</v>
      </c>
      <c r="BN6" s="5">
        <v>856.0</v>
      </c>
      <c r="BO6" s="5">
        <v>857.0</v>
      </c>
      <c r="BP6" s="5">
        <v>858.0</v>
      </c>
      <c r="BQ6" s="5">
        <v>859.0</v>
      </c>
      <c r="BR6" s="5">
        <v>860.0</v>
      </c>
      <c r="BS6" s="5">
        <v>861.0</v>
      </c>
      <c r="BT6" s="5">
        <v>862.0</v>
      </c>
      <c r="BU6" s="5">
        <v>863.0</v>
      </c>
      <c r="BV6" s="5">
        <v>864.0</v>
      </c>
      <c r="BW6" s="5">
        <v>865.0</v>
      </c>
      <c r="BX6" s="5">
        <v>866.0</v>
      </c>
      <c r="BY6" s="5">
        <v>867.0</v>
      </c>
      <c r="BZ6" s="5">
        <v>868.0</v>
      </c>
      <c r="CA6" s="5">
        <v>869.0</v>
      </c>
      <c r="CB6" s="5">
        <v>870.0</v>
      </c>
      <c r="CC6" s="5">
        <v>871.0</v>
      </c>
      <c r="CD6" s="5">
        <v>872.0</v>
      </c>
      <c r="CE6" s="5">
        <v>873.0</v>
      </c>
      <c r="CF6" s="5">
        <v>874.0</v>
      </c>
      <c r="CG6" s="5">
        <v>875.0</v>
      </c>
      <c r="CH6" s="5">
        <v>876.0</v>
      </c>
      <c r="CI6" s="5">
        <v>877.0</v>
      </c>
      <c r="CJ6" s="5">
        <v>878.0</v>
      </c>
      <c r="CK6" s="5">
        <v>879.0</v>
      </c>
      <c r="CL6" s="5">
        <v>880.0</v>
      </c>
      <c r="CM6" s="5">
        <v>881.0</v>
      </c>
      <c r="CN6" s="5">
        <v>882.0</v>
      </c>
      <c r="CO6" s="5">
        <v>883.0</v>
      </c>
      <c r="CP6" s="5">
        <v>884.0</v>
      </c>
      <c r="CQ6" s="5">
        <v>885.0</v>
      </c>
      <c r="CR6" s="5">
        <v>886.0</v>
      </c>
      <c r="CS6" s="5">
        <v>887.0</v>
      </c>
      <c r="CT6" s="5">
        <v>888.0</v>
      </c>
      <c r="CU6" s="5">
        <v>889.0</v>
      </c>
      <c r="CV6" s="5">
        <v>890.0</v>
      </c>
      <c r="CW6" s="5">
        <v>891.0</v>
      </c>
      <c r="CX6" s="5">
        <v>892.0</v>
      </c>
      <c r="CY6" s="5">
        <v>893.0</v>
      </c>
      <c r="CZ6" s="5">
        <v>894.0</v>
      </c>
      <c r="DA6" s="5">
        <v>895.0</v>
      </c>
      <c r="DB6" s="5">
        <v>896.0</v>
      </c>
      <c r="DC6" s="5">
        <v>897.0</v>
      </c>
      <c r="DD6" s="5">
        <v>898.0</v>
      </c>
      <c r="DE6" s="5">
        <v>899.0</v>
      </c>
      <c r="DF6" s="5">
        <v>900.0</v>
      </c>
      <c r="DG6" s="5">
        <v>901.0</v>
      </c>
      <c r="DH6" s="5">
        <v>902.0</v>
      </c>
      <c r="DI6" s="5">
        <v>903.0</v>
      </c>
      <c r="DJ6" s="5">
        <v>904.0</v>
      </c>
      <c r="DK6" s="5">
        <v>905.0</v>
      </c>
      <c r="DL6" s="5">
        <v>906.0</v>
      </c>
      <c r="DM6" s="5">
        <v>907.0</v>
      </c>
      <c r="DN6" s="5">
        <v>908.0</v>
      </c>
      <c r="DO6" s="5">
        <v>909.0</v>
      </c>
      <c r="DP6" s="5">
        <v>910.0</v>
      </c>
      <c r="DQ6" s="5">
        <v>911.0</v>
      </c>
      <c r="DR6" s="5">
        <v>912.0</v>
      </c>
      <c r="DS6" s="5">
        <v>913.0</v>
      </c>
      <c r="DT6" s="5">
        <v>914.0</v>
      </c>
      <c r="DU6" s="5">
        <v>915.0</v>
      </c>
      <c r="DV6" s="5">
        <v>916.0</v>
      </c>
      <c r="DW6" s="5">
        <v>917.0</v>
      </c>
      <c r="DX6" s="5">
        <v>918.0</v>
      </c>
      <c r="DY6" s="5">
        <v>919.0</v>
      </c>
      <c r="DZ6" s="5">
        <v>920.0</v>
      </c>
      <c r="EA6" s="5">
        <v>921.0</v>
      </c>
      <c r="EB6" s="5">
        <v>922.0</v>
      </c>
      <c r="EC6" s="5">
        <v>923.0</v>
      </c>
      <c r="ED6" s="5">
        <v>924.0</v>
      </c>
      <c r="EE6" s="5">
        <v>925.0</v>
      </c>
      <c r="EF6" s="5">
        <v>926.0</v>
      </c>
      <c r="EG6" s="5">
        <v>927.0</v>
      </c>
      <c r="EH6" s="5">
        <v>928.0</v>
      </c>
      <c r="EI6" s="5">
        <v>929.0</v>
      </c>
      <c r="EJ6" s="5">
        <v>930.0</v>
      </c>
      <c r="EK6" s="5">
        <v>931.0</v>
      </c>
      <c r="EL6" s="5">
        <v>932.0</v>
      </c>
      <c r="EM6" s="5">
        <v>933.0</v>
      </c>
      <c r="EN6" s="5">
        <v>934.0</v>
      </c>
      <c r="EO6" s="5">
        <v>935.0</v>
      </c>
      <c r="EP6" s="5">
        <v>936.0</v>
      </c>
      <c r="EQ6" s="5">
        <v>937.0</v>
      </c>
      <c r="ER6" s="5">
        <v>938.0</v>
      </c>
      <c r="ES6" s="5">
        <v>939.0</v>
      </c>
      <c r="ET6" s="5">
        <v>940.0</v>
      </c>
      <c r="EU6" s="5">
        <v>941.0</v>
      </c>
      <c r="EV6" s="5">
        <v>942.0</v>
      </c>
      <c r="EW6" s="5">
        <v>943.0</v>
      </c>
      <c r="EX6" s="5">
        <v>944.0</v>
      </c>
      <c r="EY6" s="5">
        <v>945.0</v>
      </c>
      <c r="EZ6" s="5">
        <v>946.0</v>
      </c>
      <c r="FA6" s="5">
        <v>947.0</v>
      </c>
      <c r="FB6" s="5">
        <v>948.0</v>
      </c>
      <c r="FC6" s="5">
        <v>949.0</v>
      </c>
      <c r="FD6" s="5">
        <v>950.0</v>
      </c>
      <c r="FE6" s="5">
        <v>951.0</v>
      </c>
      <c r="FF6" s="5">
        <v>952.0</v>
      </c>
      <c r="FG6" s="5">
        <v>953.0</v>
      </c>
      <c r="FH6" s="5">
        <v>954.0</v>
      </c>
      <c r="FI6" s="5">
        <v>955.0</v>
      </c>
      <c r="FJ6" s="5">
        <v>956.0</v>
      </c>
      <c r="FK6" s="5">
        <v>957.0</v>
      </c>
      <c r="FL6" s="5">
        <v>958.0</v>
      </c>
      <c r="FM6" s="5">
        <v>959.0</v>
      </c>
      <c r="FN6" s="5">
        <v>960.0</v>
      </c>
      <c r="FO6" s="5">
        <v>961.0</v>
      </c>
      <c r="FP6" s="5">
        <v>962.0</v>
      </c>
      <c r="FQ6" s="5">
        <v>963.0</v>
      </c>
      <c r="FR6" s="5">
        <v>964.0</v>
      </c>
      <c r="FS6" s="5">
        <v>965.0</v>
      </c>
      <c r="FT6" s="5">
        <v>966.0</v>
      </c>
      <c r="FU6" s="5">
        <v>967.0</v>
      </c>
      <c r="FV6" s="5">
        <v>968.0</v>
      </c>
      <c r="FW6" s="5">
        <v>969.0</v>
      </c>
      <c r="FX6" s="5">
        <v>970.0</v>
      </c>
      <c r="FY6" s="5">
        <v>971.0</v>
      </c>
      <c r="FZ6" s="5">
        <v>972.0</v>
      </c>
      <c r="GA6" s="5">
        <v>973.0</v>
      </c>
      <c r="GB6" s="5">
        <v>974.0</v>
      </c>
      <c r="GC6" s="5">
        <v>975.0</v>
      </c>
      <c r="GD6" s="5">
        <v>976.0</v>
      </c>
      <c r="GE6" s="5">
        <v>977.0</v>
      </c>
      <c r="GF6" s="5">
        <v>978.0</v>
      </c>
      <c r="GG6" s="5">
        <v>979.0</v>
      </c>
      <c r="GH6" s="5">
        <v>980.0</v>
      </c>
      <c r="GI6" s="5">
        <v>981.0</v>
      </c>
      <c r="GJ6" s="5">
        <v>982.0</v>
      </c>
      <c r="GK6" s="5">
        <v>983.0</v>
      </c>
      <c r="GL6" s="5">
        <v>984.0</v>
      </c>
      <c r="GM6" s="5">
        <v>985.0</v>
      </c>
      <c r="GN6" s="5">
        <v>986.0</v>
      </c>
      <c r="GO6" s="5">
        <v>987.0</v>
      </c>
      <c r="GP6" s="5">
        <v>988.0</v>
      </c>
      <c r="GQ6" s="5">
        <v>989.0</v>
      </c>
      <c r="GR6" s="5">
        <v>990.0</v>
      </c>
      <c r="GS6" s="17">
        <v>5.0</v>
      </c>
    </row>
    <row r="7">
      <c r="A7" s="2">
        <v>5.0</v>
      </c>
      <c r="B7" s="5">
        <v>990.0</v>
      </c>
      <c r="C7" s="5">
        <v>989.0</v>
      </c>
      <c r="D7" s="5">
        <v>988.0</v>
      </c>
      <c r="E7" s="5">
        <v>987.0</v>
      </c>
      <c r="F7" s="5">
        <v>986.0</v>
      </c>
      <c r="G7" s="5">
        <v>985.0</v>
      </c>
      <c r="H7" s="5">
        <v>984.0</v>
      </c>
      <c r="I7" s="5">
        <v>983.0</v>
      </c>
      <c r="J7" s="5">
        <v>982.0</v>
      </c>
      <c r="K7" s="5">
        <v>981.0</v>
      </c>
      <c r="L7" s="5">
        <v>980.0</v>
      </c>
      <c r="M7" s="5">
        <v>979.0</v>
      </c>
      <c r="N7" s="5">
        <v>978.0</v>
      </c>
      <c r="O7" s="5">
        <v>977.0</v>
      </c>
      <c r="P7" s="5">
        <v>976.0</v>
      </c>
      <c r="Q7" s="5">
        <v>975.0</v>
      </c>
      <c r="R7" s="5">
        <v>974.0</v>
      </c>
      <c r="S7" s="5">
        <v>973.0</v>
      </c>
      <c r="T7" s="5">
        <v>972.0</v>
      </c>
      <c r="U7" s="5">
        <v>971.0</v>
      </c>
      <c r="V7" s="5">
        <v>970.0</v>
      </c>
      <c r="W7" s="5">
        <v>969.0</v>
      </c>
      <c r="X7" s="5">
        <v>968.0</v>
      </c>
      <c r="Y7" s="5">
        <v>967.0</v>
      </c>
      <c r="Z7" s="5">
        <v>966.0</v>
      </c>
      <c r="AA7" s="5">
        <v>965.0</v>
      </c>
      <c r="AB7" s="5">
        <v>964.0</v>
      </c>
      <c r="AC7" s="5">
        <v>963.0</v>
      </c>
      <c r="AD7" s="5">
        <v>962.0</v>
      </c>
      <c r="AE7" s="5">
        <v>961.0</v>
      </c>
      <c r="AF7" s="5">
        <v>960.0</v>
      </c>
      <c r="AG7" s="5">
        <v>959.0</v>
      </c>
      <c r="AH7" s="5">
        <v>958.0</v>
      </c>
      <c r="AI7" s="5">
        <v>957.0</v>
      </c>
      <c r="AJ7" s="5">
        <v>956.0</v>
      </c>
      <c r="AK7" s="5">
        <v>955.0</v>
      </c>
      <c r="AL7" s="5">
        <v>954.0</v>
      </c>
      <c r="AM7" s="5">
        <v>953.0</v>
      </c>
      <c r="AN7" s="5">
        <v>952.0</v>
      </c>
      <c r="AO7" s="5">
        <v>951.0</v>
      </c>
      <c r="AP7" s="5">
        <v>950.0</v>
      </c>
      <c r="AQ7" s="5">
        <v>949.0</v>
      </c>
      <c r="AR7" s="5">
        <v>948.0</v>
      </c>
      <c r="AS7" s="5">
        <v>947.0</v>
      </c>
      <c r="AT7" s="5">
        <v>946.0</v>
      </c>
      <c r="AU7" s="5">
        <v>945.0</v>
      </c>
      <c r="AV7" s="5">
        <v>944.0</v>
      </c>
      <c r="AW7" s="5">
        <v>943.0</v>
      </c>
      <c r="AX7" s="5">
        <v>942.0</v>
      </c>
      <c r="AY7" s="5">
        <v>941.0</v>
      </c>
      <c r="AZ7" s="5">
        <v>940.0</v>
      </c>
      <c r="BA7" s="5">
        <v>939.0</v>
      </c>
      <c r="BB7" s="5">
        <v>938.0</v>
      </c>
      <c r="BC7" s="5">
        <v>937.0</v>
      </c>
      <c r="BD7" s="5">
        <v>936.0</v>
      </c>
      <c r="BE7" s="5">
        <v>935.0</v>
      </c>
      <c r="BF7" s="5">
        <v>934.0</v>
      </c>
      <c r="BG7" s="5">
        <v>933.0</v>
      </c>
      <c r="BH7" s="5">
        <v>932.0</v>
      </c>
      <c r="BI7" s="5">
        <v>931.0</v>
      </c>
      <c r="BJ7" s="5">
        <v>930.0</v>
      </c>
      <c r="BK7" s="5">
        <v>929.0</v>
      </c>
      <c r="BL7" s="5">
        <v>928.0</v>
      </c>
      <c r="BM7" s="5">
        <v>927.0</v>
      </c>
      <c r="BN7" s="5">
        <v>926.0</v>
      </c>
      <c r="BO7" s="5">
        <v>925.0</v>
      </c>
      <c r="BP7" s="5">
        <v>924.0</v>
      </c>
      <c r="BQ7" s="5">
        <v>923.0</v>
      </c>
      <c r="BR7" s="5">
        <v>922.0</v>
      </c>
      <c r="BS7" s="5">
        <v>921.0</v>
      </c>
      <c r="BT7" s="5">
        <v>920.0</v>
      </c>
      <c r="BU7" s="5">
        <v>919.0</v>
      </c>
      <c r="BV7" s="5">
        <v>918.0</v>
      </c>
      <c r="BW7" s="5">
        <v>917.0</v>
      </c>
      <c r="BX7" s="5">
        <v>916.0</v>
      </c>
      <c r="BY7" s="5">
        <v>915.0</v>
      </c>
      <c r="BZ7" s="5">
        <v>914.0</v>
      </c>
      <c r="CA7" s="5">
        <v>913.0</v>
      </c>
      <c r="CB7" s="5">
        <v>912.0</v>
      </c>
      <c r="CC7" s="5">
        <v>911.0</v>
      </c>
      <c r="CD7" s="5">
        <v>910.0</v>
      </c>
      <c r="CE7" s="5">
        <v>909.0</v>
      </c>
      <c r="CF7" s="5">
        <v>908.0</v>
      </c>
      <c r="CG7" s="5">
        <v>907.0</v>
      </c>
      <c r="CH7" s="5">
        <v>906.0</v>
      </c>
      <c r="CI7" s="5">
        <v>905.0</v>
      </c>
      <c r="CJ7" s="5">
        <v>904.0</v>
      </c>
      <c r="CK7" s="5">
        <v>903.0</v>
      </c>
      <c r="CL7" s="5">
        <v>902.0</v>
      </c>
      <c r="CM7" s="5">
        <v>901.0</v>
      </c>
      <c r="CN7" s="5">
        <v>900.0</v>
      </c>
      <c r="CO7" s="5">
        <v>899.0</v>
      </c>
      <c r="CP7" s="5">
        <v>898.0</v>
      </c>
      <c r="CQ7" s="5">
        <v>897.0</v>
      </c>
      <c r="CR7" s="5">
        <v>896.0</v>
      </c>
      <c r="CS7" s="5">
        <v>895.0</v>
      </c>
      <c r="CT7" s="5">
        <v>894.0</v>
      </c>
      <c r="CU7" s="5">
        <v>893.0</v>
      </c>
      <c r="CV7" s="5">
        <v>892.0</v>
      </c>
      <c r="CW7" s="5">
        <v>891.0</v>
      </c>
      <c r="CX7" s="5">
        <v>890.0</v>
      </c>
      <c r="CY7" s="5">
        <v>889.0</v>
      </c>
      <c r="CZ7" s="5">
        <v>888.0</v>
      </c>
      <c r="DA7" s="5">
        <v>887.0</v>
      </c>
      <c r="DB7" s="5">
        <v>886.0</v>
      </c>
      <c r="DC7" s="5">
        <v>885.0</v>
      </c>
      <c r="DD7" s="5">
        <v>884.0</v>
      </c>
      <c r="DE7" s="5">
        <v>883.0</v>
      </c>
      <c r="DF7" s="5">
        <v>882.0</v>
      </c>
      <c r="DG7" s="5">
        <v>881.0</v>
      </c>
      <c r="DH7" s="5">
        <v>880.0</v>
      </c>
      <c r="DI7" s="5">
        <v>879.0</v>
      </c>
      <c r="DJ7" s="5">
        <v>878.0</v>
      </c>
      <c r="DK7" s="5">
        <v>877.0</v>
      </c>
      <c r="DL7" s="5">
        <v>876.0</v>
      </c>
      <c r="DM7" s="5">
        <v>875.0</v>
      </c>
      <c r="DN7" s="5">
        <v>874.0</v>
      </c>
      <c r="DO7" s="5">
        <v>873.0</v>
      </c>
      <c r="DP7" s="5">
        <v>872.0</v>
      </c>
      <c r="DQ7" s="5">
        <v>871.0</v>
      </c>
      <c r="DR7" s="5">
        <v>870.0</v>
      </c>
      <c r="DS7" s="5">
        <v>869.0</v>
      </c>
      <c r="DT7" s="5">
        <v>868.0</v>
      </c>
      <c r="DU7" s="5">
        <v>867.0</v>
      </c>
      <c r="DV7" s="5">
        <v>866.0</v>
      </c>
      <c r="DW7" s="5">
        <v>865.0</v>
      </c>
      <c r="DX7" s="5">
        <v>864.0</v>
      </c>
      <c r="DY7" s="5">
        <v>863.0</v>
      </c>
      <c r="DZ7" s="5">
        <v>862.0</v>
      </c>
      <c r="EA7" s="5">
        <v>861.0</v>
      </c>
      <c r="EB7" s="5">
        <v>860.0</v>
      </c>
      <c r="EC7" s="5">
        <v>859.0</v>
      </c>
      <c r="ED7" s="5">
        <v>858.0</v>
      </c>
      <c r="EE7" s="5">
        <v>857.0</v>
      </c>
      <c r="EF7" s="5">
        <v>856.0</v>
      </c>
      <c r="EG7" s="5">
        <v>855.0</v>
      </c>
      <c r="EH7" s="5">
        <v>854.0</v>
      </c>
      <c r="EI7" s="5">
        <v>853.0</v>
      </c>
      <c r="EJ7" s="5">
        <v>852.0</v>
      </c>
      <c r="EK7" s="5">
        <v>851.0</v>
      </c>
      <c r="EL7" s="5">
        <v>850.0</v>
      </c>
      <c r="EM7" s="5">
        <v>849.0</v>
      </c>
      <c r="EN7" s="5">
        <v>848.0</v>
      </c>
      <c r="EO7" s="5">
        <v>847.0</v>
      </c>
      <c r="EP7" s="5">
        <v>846.0</v>
      </c>
      <c r="EQ7" s="5">
        <v>845.0</v>
      </c>
      <c r="ER7" s="5">
        <v>844.0</v>
      </c>
      <c r="ES7" s="5">
        <v>843.0</v>
      </c>
      <c r="ET7" s="5">
        <v>842.0</v>
      </c>
      <c r="EU7" s="5">
        <v>841.0</v>
      </c>
      <c r="EV7" s="5">
        <v>840.0</v>
      </c>
      <c r="EW7" s="5">
        <v>839.0</v>
      </c>
      <c r="EX7" s="5">
        <v>838.0</v>
      </c>
      <c r="EY7" s="5">
        <v>837.0</v>
      </c>
      <c r="EZ7" s="5">
        <v>836.0</v>
      </c>
      <c r="FA7" s="5">
        <v>835.0</v>
      </c>
      <c r="FB7" s="5">
        <v>834.0</v>
      </c>
      <c r="FC7" s="5">
        <v>833.0</v>
      </c>
      <c r="FD7" s="5">
        <v>832.0</v>
      </c>
      <c r="FE7" s="5">
        <v>831.0</v>
      </c>
      <c r="FF7" s="5">
        <v>830.0</v>
      </c>
      <c r="FG7" s="5">
        <v>829.0</v>
      </c>
      <c r="FH7" s="5">
        <v>828.0</v>
      </c>
      <c r="FI7" s="5">
        <v>827.0</v>
      </c>
      <c r="FJ7" s="5">
        <v>826.0</v>
      </c>
      <c r="FK7" s="5">
        <v>825.0</v>
      </c>
      <c r="FL7" s="5">
        <v>824.0</v>
      </c>
      <c r="FM7" s="5">
        <v>823.0</v>
      </c>
      <c r="FN7" s="5">
        <v>822.0</v>
      </c>
      <c r="FO7" s="5">
        <v>821.0</v>
      </c>
      <c r="FP7" s="5">
        <v>820.0</v>
      </c>
      <c r="FQ7" s="5">
        <v>819.0</v>
      </c>
      <c r="FR7" s="5">
        <v>818.0</v>
      </c>
      <c r="FS7" s="5">
        <v>817.0</v>
      </c>
      <c r="FT7" s="5">
        <v>816.0</v>
      </c>
      <c r="FU7" s="5">
        <v>815.0</v>
      </c>
      <c r="FV7" s="5">
        <v>814.0</v>
      </c>
      <c r="FW7" s="5">
        <v>813.0</v>
      </c>
      <c r="FX7" s="5">
        <v>812.0</v>
      </c>
      <c r="FY7" s="5">
        <v>811.0</v>
      </c>
      <c r="FZ7" s="5">
        <v>810.0</v>
      </c>
      <c r="GA7" s="5">
        <v>809.0</v>
      </c>
      <c r="GB7" s="5">
        <v>808.0</v>
      </c>
      <c r="GC7" s="5">
        <v>807.0</v>
      </c>
      <c r="GD7" s="5">
        <v>806.0</v>
      </c>
      <c r="GE7" s="5">
        <v>805.0</v>
      </c>
      <c r="GF7" s="5">
        <v>804.0</v>
      </c>
      <c r="GG7" s="5">
        <v>803.0</v>
      </c>
      <c r="GH7" s="5">
        <v>802.0</v>
      </c>
      <c r="GI7" s="5">
        <v>801.0</v>
      </c>
      <c r="GJ7" s="5">
        <v>800.0</v>
      </c>
      <c r="GK7" s="5">
        <v>799.0</v>
      </c>
      <c r="GL7" s="5">
        <v>798.0</v>
      </c>
      <c r="GM7" s="5">
        <v>797.0</v>
      </c>
      <c r="GN7" s="5">
        <v>796.0</v>
      </c>
      <c r="GO7" s="5">
        <v>795.0</v>
      </c>
      <c r="GP7" s="5">
        <v>794.0</v>
      </c>
      <c r="GQ7" s="5">
        <v>793.0</v>
      </c>
      <c r="GR7" s="5">
        <v>792.0</v>
      </c>
      <c r="GS7" s="17">
        <v>4.0</v>
      </c>
    </row>
    <row r="8">
      <c r="A8" s="2">
        <v>6.0</v>
      </c>
      <c r="B8" s="5">
        <v>1188.0</v>
      </c>
      <c r="C8" s="5">
        <v>1185.0</v>
      </c>
      <c r="D8" s="5">
        <v>1182.0</v>
      </c>
      <c r="E8" s="5">
        <v>1179.0</v>
      </c>
      <c r="F8" s="5">
        <v>1176.0</v>
      </c>
      <c r="G8" s="5">
        <v>1173.0</v>
      </c>
      <c r="H8" s="5">
        <v>1170.0</v>
      </c>
      <c r="I8" s="5">
        <v>1167.0</v>
      </c>
      <c r="J8" s="5">
        <v>1164.0</v>
      </c>
      <c r="K8" s="5">
        <v>1161.0</v>
      </c>
      <c r="L8" s="5">
        <v>1158.0</v>
      </c>
      <c r="M8" s="5">
        <v>1155.0</v>
      </c>
      <c r="N8" s="5">
        <v>1152.0</v>
      </c>
      <c r="O8" s="5">
        <v>1149.0</v>
      </c>
      <c r="P8" s="5">
        <v>1146.0</v>
      </c>
      <c r="Q8" s="5">
        <v>1143.0</v>
      </c>
      <c r="R8" s="5">
        <v>1140.0</v>
      </c>
      <c r="S8" s="5">
        <v>1137.0</v>
      </c>
      <c r="T8" s="5">
        <v>1134.0</v>
      </c>
      <c r="U8" s="5">
        <v>1131.0</v>
      </c>
      <c r="V8" s="5">
        <v>1128.0</v>
      </c>
      <c r="W8" s="5">
        <v>1125.0</v>
      </c>
      <c r="X8" s="5">
        <v>1122.0</v>
      </c>
      <c r="Y8" s="5">
        <v>1119.0</v>
      </c>
      <c r="Z8" s="5">
        <v>1116.0</v>
      </c>
      <c r="AA8" s="5">
        <v>1113.0</v>
      </c>
      <c r="AB8" s="5">
        <v>1110.0</v>
      </c>
      <c r="AC8" s="5">
        <v>1107.0</v>
      </c>
      <c r="AD8" s="5">
        <v>1104.0</v>
      </c>
      <c r="AE8" s="5">
        <v>1101.0</v>
      </c>
      <c r="AF8" s="5">
        <v>1098.0</v>
      </c>
      <c r="AG8" s="5">
        <v>1095.0</v>
      </c>
      <c r="AH8" s="5">
        <v>1092.0</v>
      </c>
      <c r="AI8" s="5">
        <v>1089.0</v>
      </c>
      <c r="AJ8" s="5">
        <v>1086.0</v>
      </c>
      <c r="AK8" s="5">
        <v>1083.0</v>
      </c>
      <c r="AL8" s="5">
        <v>1080.0</v>
      </c>
      <c r="AM8" s="5">
        <v>1077.0</v>
      </c>
      <c r="AN8" s="5">
        <v>1074.0</v>
      </c>
      <c r="AO8" s="5">
        <v>1071.0</v>
      </c>
      <c r="AP8" s="5">
        <v>1068.0</v>
      </c>
      <c r="AQ8" s="5">
        <v>1065.0</v>
      </c>
      <c r="AR8" s="5">
        <v>1062.0</v>
      </c>
      <c r="AS8" s="5">
        <v>1059.0</v>
      </c>
      <c r="AT8" s="5">
        <v>1056.0</v>
      </c>
      <c r="AU8" s="5">
        <v>1053.0</v>
      </c>
      <c r="AV8" s="5">
        <v>1050.0</v>
      </c>
      <c r="AW8" s="5">
        <v>1047.0</v>
      </c>
      <c r="AX8" s="5">
        <v>1044.0</v>
      </c>
      <c r="AY8" s="5">
        <v>1041.0</v>
      </c>
      <c r="AZ8" s="5">
        <v>1038.0</v>
      </c>
      <c r="BA8" s="5">
        <v>1035.0</v>
      </c>
      <c r="BB8" s="5">
        <v>1032.0</v>
      </c>
      <c r="BC8" s="5">
        <v>1029.0</v>
      </c>
      <c r="BD8" s="5">
        <v>1026.0</v>
      </c>
      <c r="BE8" s="5">
        <v>1023.0</v>
      </c>
      <c r="BF8" s="5">
        <v>1020.0</v>
      </c>
      <c r="BG8" s="5">
        <v>1017.0</v>
      </c>
      <c r="BH8" s="5">
        <v>1014.0</v>
      </c>
      <c r="BI8" s="5">
        <v>1011.0</v>
      </c>
      <c r="BJ8" s="5">
        <v>1008.0</v>
      </c>
      <c r="BK8" s="5">
        <v>1005.0</v>
      </c>
      <c r="BL8" s="5">
        <v>1002.0</v>
      </c>
      <c r="BM8" s="5">
        <v>999.0</v>
      </c>
      <c r="BN8" s="5">
        <v>996.0</v>
      </c>
      <c r="BO8" s="5">
        <v>993.0</v>
      </c>
      <c r="BP8" s="5">
        <v>990.0</v>
      </c>
      <c r="BQ8" s="5">
        <v>987.0</v>
      </c>
      <c r="BR8" s="5">
        <v>984.0</v>
      </c>
      <c r="BS8" s="5">
        <v>981.0</v>
      </c>
      <c r="BT8" s="5">
        <v>978.0</v>
      </c>
      <c r="BU8" s="5">
        <v>975.0</v>
      </c>
      <c r="BV8" s="5">
        <v>972.0</v>
      </c>
      <c r="BW8" s="5">
        <v>969.0</v>
      </c>
      <c r="BX8" s="5">
        <v>966.0</v>
      </c>
      <c r="BY8" s="5">
        <v>963.0</v>
      </c>
      <c r="BZ8" s="5">
        <v>960.0</v>
      </c>
      <c r="CA8" s="5">
        <v>957.0</v>
      </c>
      <c r="CB8" s="5">
        <v>954.0</v>
      </c>
      <c r="CC8" s="5">
        <v>951.0</v>
      </c>
      <c r="CD8" s="5">
        <v>948.0</v>
      </c>
      <c r="CE8" s="5">
        <v>945.0</v>
      </c>
      <c r="CF8" s="5">
        <v>942.0</v>
      </c>
      <c r="CG8" s="5">
        <v>939.0</v>
      </c>
      <c r="CH8" s="5">
        <v>936.0</v>
      </c>
      <c r="CI8" s="5">
        <v>933.0</v>
      </c>
      <c r="CJ8" s="5">
        <v>930.0</v>
      </c>
      <c r="CK8" s="5">
        <v>927.0</v>
      </c>
      <c r="CL8" s="5">
        <v>924.0</v>
      </c>
      <c r="CM8" s="5">
        <v>921.0</v>
      </c>
      <c r="CN8" s="5">
        <v>918.0</v>
      </c>
      <c r="CO8" s="5">
        <v>915.0</v>
      </c>
      <c r="CP8" s="5">
        <v>912.0</v>
      </c>
      <c r="CQ8" s="5">
        <v>909.0</v>
      </c>
      <c r="CR8" s="5">
        <v>906.0</v>
      </c>
      <c r="CS8" s="5">
        <v>903.0</v>
      </c>
      <c r="CT8" s="5">
        <v>900.0</v>
      </c>
      <c r="CU8" s="5">
        <v>897.0</v>
      </c>
      <c r="CV8" s="5">
        <v>894.0</v>
      </c>
      <c r="CW8" s="15">
        <v>891.0</v>
      </c>
      <c r="CX8" s="15">
        <v>888.0</v>
      </c>
      <c r="CY8" s="15">
        <v>885.0</v>
      </c>
      <c r="CZ8" s="15">
        <v>882.0</v>
      </c>
      <c r="DA8" s="5">
        <v>879.0</v>
      </c>
      <c r="DB8" s="5">
        <v>876.0</v>
      </c>
      <c r="DC8" s="5">
        <v>873.0</v>
      </c>
      <c r="DD8" s="5">
        <v>870.0</v>
      </c>
      <c r="DE8" s="5">
        <v>867.0</v>
      </c>
      <c r="DF8" s="5">
        <v>864.0</v>
      </c>
      <c r="DG8" s="5">
        <v>861.0</v>
      </c>
      <c r="DH8" s="5">
        <v>858.0</v>
      </c>
      <c r="DI8" s="5">
        <v>855.0</v>
      </c>
      <c r="DJ8" s="5">
        <v>852.0</v>
      </c>
      <c r="DK8" s="5">
        <v>849.0</v>
      </c>
      <c r="DL8" s="5">
        <v>846.0</v>
      </c>
      <c r="DM8" s="5">
        <v>843.0</v>
      </c>
      <c r="DN8" s="5">
        <v>840.0</v>
      </c>
      <c r="DO8" s="5">
        <v>837.0</v>
      </c>
      <c r="DP8" s="5">
        <v>834.0</v>
      </c>
      <c r="DQ8" s="5">
        <v>831.0</v>
      </c>
      <c r="DR8" s="5">
        <v>828.0</v>
      </c>
      <c r="DS8" s="5">
        <v>825.0</v>
      </c>
      <c r="DT8" s="5">
        <v>822.0</v>
      </c>
      <c r="DU8" s="5">
        <v>819.0</v>
      </c>
      <c r="DV8" s="5">
        <v>816.0</v>
      </c>
      <c r="DW8" s="5">
        <v>813.0</v>
      </c>
      <c r="DX8" s="5">
        <v>810.0</v>
      </c>
      <c r="DY8" s="5">
        <v>807.0</v>
      </c>
      <c r="DZ8" s="5">
        <v>804.0</v>
      </c>
      <c r="EA8" s="5">
        <v>801.0</v>
      </c>
      <c r="EB8" s="5">
        <v>798.0</v>
      </c>
      <c r="EC8" s="5">
        <v>795.0</v>
      </c>
      <c r="ED8" s="5">
        <v>792.0</v>
      </c>
      <c r="EE8" s="5">
        <v>789.0</v>
      </c>
      <c r="EF8" s="5">
        <v>786.0</v>
      </c>
      <c r="EG8" s="5">
        <v>783.0</v>
      </c>
      <c r="EH8" s="5">
        <v>780.0</v>
      </c>
      <c r="EI8" s="5">
        <v>777.0</v>
      </c>
      <c r="EJ8" s="5">
        <v>774.0</v>
      </c>
      <c r="EK8" s="5">
        <v>771.0</v>
      </c>
      <c r="EL8" s="5">
        <v>768.0</v>
      </c>
      <c r="EM8" s="5">
        <v>765.0</v>
      </c>
      <c r="EN8" s="5">
        <v>762.0</v>
      </c>
      <c r="EO8" s="5">
        <v>759.0</v>
      </c>
      <c r="EP8" s="5">
        <v>756.0</v>
      </c>
      <c r="EQ8" s="5">
        <v>753.0</v>
      </c>
      <c r="ER8" s="5">
        <v>750.0</v>
      </c>
      <c r="ES8" s="5">
        <v>747.0</v>
      </c>
      <c r="ET8" s="5">
        <v>744.0</v>
      </c>
      <c r="EU8" s="5">
        <v>741.0</v>
      </c>
      <c r="EV8" s="5">
        <v>738.0</v>
      </c>
      <c r="EW8" s="5">
        <v>735.0</v>
      </c>
      <c r="EX8" s="5">
        <v>732.0</v>
      </c>
      <c r="EY8" s="5">
        <v>729.0</v>
      </c>
      <c r="EZ8" s="5">
        <v>726.0</v>
      </c>
      <c r="FA8" s="5">
        <v>723.0</v>
      </c>
      <c r="FB8" s="5">
        <v>720.0</v>
      </c>
      <c r="FC8" s="5">
        <v>717.0</v>
      </c>
      <c r="FD8" s="5">
        <v>714.0</v>
      </c>
      <c r="FE8" s="5">
        <v>711.0</v>
      </c>
      <c r="FF8" s="5">
        <v>708.0</v>
      </c>
      <c r="FG8" s="5">
        <v>705.0</v>
      </c>
      <c r="FH8" s="5">
        <v>702.0</v>
      </c>
      <c r="FI8" s="5">
        <v>699.0</v>
      </c>
      <c r="FJ8" s="5">
        <v>696.0</v>
      </c>
      <c r="FK8" s="5">
        <v>693.0</v>
      </c>
      <c r="FL8" s="5">
        <v>690.0</v>
      </c>
      <c r="FM8" s="5">
        <v>687.0</v>
      </c>
      <c r="FN8" s="5">
        <v>684.0</v>
      </c>
      <c r="FO8" s="5">
        <v>681.0</v>
      </c>
      <c r="FP8" s="5">
        <v>678.0</v>
      </c>
      <c r="FQ8" s="5">
        <v>675.0</v>
      </c>
      <c r="FR8" s="5">
        <v>672.0</v>
      </c>
      <c r="FS8" s="5">
        <v>669.0</v>
      </c>
      <c r="FT8" s="5">
        <v>666.0</v>
      </c>
      <c r="FU8" s="5">
        <v>663.0</v>
      </c>
      <c r="FV8" s="5">
        <v>660.0</v>
      </c>
      <c r="FW8" s="5">
        <v>657.0</v>
      </c>
      <c r="FX8" s="5">
        <v>654.0</v>
      </c>
      <c r="FY8" s="5">
        <v>651.0</v>
      </c>
      <c r="FZ8" s="5">
        <v>648.0</v>
      </c>
      <c r="GA8" s="5">
        <v>645.0</v>
      </c>
      <c r="GB8" s="5">
        <v>642.0</v>
      </c>
      <c r="GC8" s="5">
        <v>639.0</v>
      </c>
      <c r="GD8" s="5">
        <v>636.0</v>
      </c>
      <c r="GE8" s="5">
        <v>633.0</v>
      </c>
      <c r="GF8" s="5">
        <v>630.0</v>
      </c>
      <c r="GG8" s="5">
        <v>627.0</v>
      </c>
      <c r="GH8" s="5">
        <v>624.0</v>
      </c>
      <c r="GI8" s="5">
        <v>621.0</v>
      </c>
      <c r="GJ8" s="5">
        <v>618.0</v>
      </c>
      <c r="GK8" s="5">
        <v>615.0</v>
      </c>
      <c r="GL8" s="5">
        <v>612.0</v>
      </c>
      <c r="GM8" s="5">
        <v>609.0</v>
      </c>
      <c r="GN8" s="5">
        <v>606.0</v>
      </c>
      <c r="GO8" s="5">
        <v>603.0</v>
      </c>
      <c r="GP8" s="5">
        <v>600.0</v>
      </c>
      <c r="GQ8" s="5">
        <v>597.0</v>
      </c>
      <c r="GR8" s="5">
        <v>594.0</v>
      </c>
      <c r="GS8" s="17">
        <v>3.0</v>
      </c>
    </row>
    <row r="9">
      <c r="A9" s="2">
        <v>7.0</v>
      </c>
      <c r="B9" s="5">
        <v>1386.0</v>
      </c>
      <c r="C9" s="5">
        <v>1381.0</v>
      </c>
      <c r="D9" s="5">
        <v>1376.0</v>
      </c>
      <c r="E9" s="5">
        <v>1371.0</v>
      </c>
      <c r="F9" s="5">
        <v>1366.0</v>
      </c>
      <c r="G9" s="5">
        <v>1361.0</v>
      </c>
      <c r="H9" s="5">
        <v>1356.0</v>
      </c>
      <c r="I9" s="5">
        <v>1351.0</v>
      </c>
      <c r="J9" s="5">
        <v>1346.0</v>
      </c>
      <c r="K9" s="5">
        <v>1341.0</v>
      </c>
      <c r="L9" s="5">
        <v>1336.0</v>
      </c>
      <c r="M9" s="5">
        <v>1331.0</v>
      </c>
      <c r="N9" s="5">
        <v>1326.0</v>
      </c>
      <c r="O9" s="5">
        <v>1321.0</v>
      </c>
      <c r="P9" s="5">
        <v>1316.0</v>
      </c>
      <c r="Q9" s="5">
        <v>1311.0</v>
      </c>
      <c r="R9" s="5">
        <v>1306.0</v>
      </c>
      <c r="S9" s="5">
        <v>1301.0</v>
      </c>
      <c r="T9" s="5">
        <v>1296.0</v>
      </c>
      <c r="U9" s="5">
        <v>1291.0</v>
      </c>
      <c r="V9" s="5">
        <v>1286.0</v>
      </c>
      <c r="W9" s="5">
        <v>1281.0</v>
      </c>
      <c r="X9" s="5">
        <v>1276.0</v>
      </c>
      <c r="Y9" s="5">
        <v>1271.0</v>
      </c>
      <c r="Z9" s="5">
        <v>1266.0</v>
      </c>
      <c r="AA9" s="5">
        <v>1261.0</v>
      </c>
      <c r="AB9" s="5">
        <v>1256.0</v>
      </c>
      <c r="AC9" s="5">
        <v>1251.0</v>
      </c>
      <c r="AD9" s="5">
        <v>1246.0</v>
      </c>
      <c r="AE9" s="5">
        <v>1241.0</v>
      </c>
      <c r="AF9" s="5">
        <v>1236.0</v>
      </c>
      <c r="AG9" s="5">
        <v>1231.0</v>
      </c>
      <c r="AH9" s="5">
        <v>1226.0</v>
      </c>
      <c r="AI9" s="5">
        <v>1221.0</v>
      </c>
      <c r="AJ9" s="5">
        <v>1216.0</v>
      </c>
      <c r="AK9" s="5">
        <v>1211.0</v>
      </c>
      <c r="AL9" s="5">
        <v>1206.0</v>
      </c>
      <c r="AM9" s="5">
        <v>1201.0</v>
      </c>
      <c r="AN9" s="5">
        <v>1196.0</v>
      </c>
      <c r="AO9" s="5">
        <v>1191.0</v>
      </c>
      <c r="AP9" s="5">
        <v>1186.0</v>
      </c>
      <c r="AQ9" s="5">
        <v>1181.0</v>
      </c>
      <c r="AR9" s="5">
        <v>1176.0</v>
      </c>
      <c r="AS9" s="5">
        <v>1171.0</v>
      </c>
      <c r="AT9" s="5">
        <v>1166.0</v>
      </c>
      <c r="AU9" s="5">
        <v>1161.0</v>
      </c>
      <c r="AV9" s="5">
        <v>1156.0</v>
      </c>
      <c r="AW9" s="5">
        <v>1151.0</v>
      </c>
      <c r="AX9" s="5">
        <v>1146.0</v>
      </c>
      <c r="AY9" s="5">
        <v>1141.0</v>
      </c>
      <c r="AZ9" s="5">
        <v>1136.0</v>
      </c>
      <c r="BA9" s="5">
        <v>1131.0</v>
      </c>
      <c r="BB9" s="5">
        <v>1126.0</v>
      </c>
      <c r="BC9" s="5">
        <v>1121.0</v>
      </c>
      <c r="BD9" s="5">
        <v>1116.0</v>
      </c>
      <c r="BE9" s="5">
        <v>1111.0</v>
      </c>
      <c r="BF9" s="5">
        <v>1106.0</v>
      </c>
      <c r="BG9" s="5">
        <v>1101.0</v>
      </c>
      <c r="BH9" s="5">
        <v>1096.0</v>
      </c>
      <c r="BI9" s="5">
        <v>1091.0</v>
      </c>
      <c r="BJ9" s="5">
        <v>1086.0</v>
      </c>
      <c r="BK9" s="5">
        <v>1081.0</v>
      </c>
      <c r="BL9" s="5">
        <v>1076.0</v>
      </c>
      <c r="BM9" s="5">
        <v>1071.0</v>
      </c>
      <c r="BN9" s="5">
        <v>1066.0</v>
      </c>
      <c r="BO9" s="5">
        <v>1061.0</v>
      </c>
      <c r="BP9" s="5">
        <v>1056.0</v>
      </c>
      <c r="BQ9" s="5">
        <v>1051.0</v>
      </c>
      <c r="BR9" s="5">
        <v>1046.0</v>
      </c>
      <c r="BS9" s="5">
        <v>1041.0</v>
      </c>
      <c r="BT9" s="5">
        <v>1036.0</v>
      </c>
      <c r="BU9" s="5">
        <v>1031.0</v>
      </c>
      <c r="BV9" s="5">
        <v>1026.0</v>
      </c>
      <c r="BW9" s="5">
        <v>1021.0</v>
      </c>
      <c r="BX9" s="5">
        <v>1016.0</v>
      </c>
      <c r="BY9" s="5">
        <v>1011.0</v>
      </c>
      <c r="BZ9" s="5">
        <v>1006.0</v>
      </c>
      <c r="CA9" s="5">
        <v>1001.0</v>
      </c>
      <c r="CB9" s="5">
        <v>996.0</v>
      </c>
      <c r="CC9" s="5">
        <v>991.0</v>
      </c>
      <c r="CD9" s="5">
        <v>986.0</v>
      </c>
      <c r="CE9" s="5">
        <v>981.0</v>
      </c>
      <c r="CF9" s="5">
        <v>976.0</v>
      </c>
      <c r="CG9" s="5">
        <v>971.0</v>
      </c>
      <c r="CH9" s="5">
        <v>966.0</v>
      </c>
      <c r="CI9" s="5">
        <v>961.0</v>
      </c>
      <c r="CJ9" s="5">
        <v>956.0</v>
      </c>
      <c r="CK9" s="5">
        <v>951.0</v>
      </c>
      <c r="CL9" s="5">
        <v>946.0</v>
      </c>
      <c r="CM9" s="5">
        <v>941.0</v>
      </c>
      <c r="CN9" s="5">
        <v>936.0</v>
      </c>
      <c r="CO9" s="5">
        <v>931.0</v>
      </c>
      <c r="CP9" s="5">
        <v>926.0</v>
      </c>
      <c r="CQ9" s="5">
        <v>921.0</v>
      </c>
      <c r="CR9" s="5">
        <v>916.0</v>
      </c>
      <c r="CS9" s="5">
        <v>911.0</v>
      </c>
      <c r="CT9" s="5">
        <v>906.0</v>
      </c>
      <c r="CU9" s="5">
        <v>901.0</v>
      </c>
      <c r="CV9" s="5">
        <v>896.0</v>
      </c>
      <c r="CW9" s="5">
        <v>891.0</v>
      </c>
      <c r="CX9" s="5">
        <v>886.0</v>
      </c>
      <c r="CY9" s="5">
        <v>881.0</v>
      </c>
      <c r="CZ9" s="5">
        <v>876.0</v>
      </c>
      <c r="DA9" s="5">
        <v>871.0</v>
      </c>
      <c r="DB9" s="5">
        <v>866.0</v>
      </c>
      <c r="DC9" s="5">
        <v>861.0</v>
      </c>
      <c r="DD9" s="5">
        <v>856.0</v>
      </c>
      <c r="DE9" s="5">
        <v>851.0</v>
      </c>
      <c r="DF9" s="5">
        <v>846.0</v>
      </c>
      <c r="DG9" s="5">
        <v>841.0</v>
      </c>
      <c r="DH9" s="5">
        <v>836.0</v>
      </c>
      <c r="DI9" s="5">
        <v>831.0</v>
      </c>
      <c r="DJ9" s="5">
        <v>826.0</v>
      </c>
      <c r="DK9" s="5">
        <v>821.0</v>
      </c>
      <c r="DL9" s="5">
        <v>816.0</v>
      </c>
      <c r="DM9" s="5">
        <v>811.0</v>
      </c>
      <c r="DN9" s="5">
        <v>806.0</v>
      </c>
      <c r="DO9" s="5">
        <v>801.0</v>
      </c>
      <c r="DP9" s="5">
        <v>796.0</v>
      </c>
      <c r="DQ9" s="5">
        <v>791.0</v>
      </c>
      <c r="DR9" s="5">
        <v>786.0</v>
      </c>
      <c r="DS9" s="5">
        <v>781.0</v>
      </c>
      <c r="DT9" s="5">
        <v>776.0</v>
      </c>
      <c r="DU9" s="5">
        <v>771.0</v>
      </c>
      <c r="DV9" s="5">
        <v>766.0</v>
      </c>
      <c r="DW9" s="5">
        <v>761.0</v>
      </c>
      <c r="DX9" s="5">
        <v>756.0</v>
      </c>
      <c r="DY9" s="5">
        <v>751.0</v>
      </c>
      <c r="DZ9" s="5">
        <v>746.0</v>
      </c>
      <c r="EA9" s="5">
        <v>741.0</v>
      </c>
      <c r="EB9" s="5">
        <v>736.0</v>
      </c>
      <c r="EC9" s="5">
        <v>731.0</v>
      </c>
      <c r="ED9" s="5">
        <v>726.0</v>
      </c>
      <c r="EE9" s="5">
        <v>721.0</v>
      </c>
      <c r="EF9" s="5">
        <v>716.0</v>
      </c>
      <c r="EG9" s="5">
        <v>711.0</v>
      </c>
      <c r="EH9" s="5">
        <v>706.0</v>
      </c>
      <c r="EI9" s="5">
        <v>701.0</v>
      </c>
      <c r="EJ9" s="5">
        <v>696.0</v>
      </c>
      <c r="EK9" s="5">
        <v>691.0</v>
      </c>
      <c r="EL9" s="5">
        <v>686.0</v>
      </c>
      <c r="EM9" s="5">
        <v>681.0</v>
      </c>
      <c r="EN9" s="5">
        <v>676.0</v>
      </c>
      <c r="EO9" s="5">
        <v>671.0</v>
      </c>
      <c r="EP9" s="5">
        <v>666.0</v>
      </c>
      <c r="EQ9" s="5">
        <v>661.0</v>
      </c>
      <c r="ER9" s="5">
        <v>656.0</v>
      </c>
      <c r="ES9" s="5">
        <v>651.0</v>
      </c>
      <c r="ET9" s="5">
        <v>646.0</v>
      </c>
      <c r="EU9" s="5">
        <v>641.0</v>
      </c>
      <c r="EV9" s="5">
        <v>636.0</v>
      </c>
      <c r="EW9" s="5">
        <v>631.0</v>
      </c>
      <c r="EX9" s="5">
        <v>626.0</v>
      </c>
      <c r="EY9" s="5">
        <v>621.0</v>
      </c>
      <c r="EZ9" s="5">
        <v>616.0</v>
      </c>
      <c r="FA9" s="5">
        <v>611.0</v>
      </c>
      <c r="FB9" s="5">
        <v>606.0</v>
      </c>
      <c r="FC9" s="5">
        <v>601.0</v>
      </c>
      <c r="FD9" s="5">
        <v>596.0</v>
      </c>
      <c r="FE9" s="5">
        <v>591.0</v>
      </c>
      <c r="FF9" s="5">
        <v>586.0</v>
      </c>
      <c r="FG9" s="5">
        <v>581.0</v>
      </c>
      <c r="FH9" s="5">
        <v>576.0</v>
      </c>
      <c r="FI9" s="5">
        <v>571.0</v>
      </c>
      <c r="FJ9" s="5">
        <v>566.0</v>
      </c>
      <c r="FK9" s="5">
        <v>561.0</v>
      </c>
      <c r="FL9" s="5">
        <v>556.0</v>
      </c>
      <c r="FM9" s="5">
        <v>551.0</v>
      </c>
      <c r="FN9" s="5">
        <v>546.0</v>
      </c>
      <c r="FO9" s="5">
        <v>541.0</v>
      </c>
      <c r="FP9" s="5">
        <v>536.0</v>
      </c>
      <c r="FQ9" s="5">
        <v>531.0</v>
      </c>
      <c r="FR9" s="5">
        <v>526.0</v>
      </c>
      <c r="FS9" s="5">
        <v>521.0</v>
      </c>
      <c r="FT9" s="5">
        <v>516.0</v>
      </c>
      <c r="FU9" s="5">
        <v>511.0</v>
      </c>
      <c r="FV9" s="5">
        <v>506.0</v>
      </c>
      <c r="FW9" s="5">
        <v>501.0</v>
      </c>
      <c r="FX9" s="5">
        <v>496.0</v>
      </c>
      <c r="FY9" s="5">
        <v>491.0</v>
      </c>
      <c r="FZ9" s="5">
        <v>486.0</v>
      </c>
      <c r="GA9" s="5">
        <v>481.0</v>
      </c>
      <c r="GB9" s="5">
        <v>476.0</v>
      </c>
      <c r="GC9" s="5">
        <v>471.0</v>
      </c>
      <c r="GD9" s="5">
        <v>466.0</v>
      </c>
      <c r="GE9" s="5">
        <v>461.0</v>
      </c>
      <c r="GF9" s="5">
        <v>456.0</v>
      </c>
      <c r="GG9" s="5">
        <v>451.0</v>
      </c>
      <c r="GH9" s="5">
        <v>446.0</v>
      </c>
      <c r="GI9" s="5">
        <v>441.0</v>
      </c>
      <c r="GJ9" s="5">
        <v>436.0</v>
      </c>
      <c r="GK9" s="5">
        <v>431.0</v>
      </c>
      <c r="GL9" s="5">
        <v>426.0</v>
      </c>
      <c r="GM9" s="5">
        <v>421.0</v>
      </c>
      <c r="GN9" s="5">
        <v>416.0</v>
      </c>
      <c r="GO9" s="5">
        <v>411.0</v>
      </c>
      <c r="GP9" s="5">
        <v>406.0</v>
      </c>
      <c r="GQ9" s="5">
        <v>401.0</v>
      </c>
      <c r="GR9" s="5">
        <v>396.0</v>
      </c>
      <c r="GS9" s="17">
        <v>2.0</v>
      </c>
    </row>
    <row r="10">
      <c r="A10" s="2">
        <v>8.0</v>
      </c>
      <c r="B10" s="5">
        <v>1584.0</v>
      </c>
      <c r="C10" s="5">
        <v>1577.0</v>
      </c>
      <c r="D10" s="5">
        <v>1570.0</v>
      </c>
      <c r="E10" s="5">
        <v>1563.0</v>
      </c>
      <c r="F10" s="5">
        <v>1556.0</v>
      </c>
      <c r="G10" s="5">
        <v>1549.0</v>
      </c>
      <c r="H10" s="5">
        <v>1542.0</v>
      </c>
      <c r="I10" s="5">
        <v>1535.0</v>
      </c>
      <c r="J10" s="5">
        <v>1528.0</v>
      </c>
      <c r="K10" s="5">
        <v>1521.0</v>
      </c>
      <c r="L10" s="5">
        <v>1514.0</v>
      </c>
      <c r="M10" s="5">
        <v>1507.0</v>
      </c>
      <c r="N10" s="5">
        <v>1500.0</v>
      </c>
      <c r="O10" s="5">
        <v>1493.0</v>
      </c>
      <c r="P10" s="5">
        <v>1486.0</v>
      </c>
      <c r="Q10" s="5">
        <v>1479.0</v>
      </c>
      <c r="R10" s="5">
        <v>1472.0</v>
      </c>
      <c r="S10" s="5">
        <v>1465.0</v>
      </c>
      <c r="T10" s="5">
        <v>1458.0</v>
      </c>
      <c r="U10" s="5">
        <v>1451.0</v>
      </c>
      <c r="V10" s="5">
        <v>1444.0</v>
      </c>
      <c r="W10" s="5">
        <v>1437.0</v>
      </c>
      <c r="X10" s="5">
        <v>1430.0</v>
      </c>
      <c r="Y10" s="5">
        <v>1423.0</v>
      </c>
      <c r="Z10" s="5">
        <v>1416.0</v>
      </c>
      <c r="AA10" s="5">
        <v>1409.0</v>
      </c>
      <c r="AB10" s="5">
        <v>1402.0</v>
      </c>
      <c r="AC10" s="5">
        <v>1395.0</v>
      </c>
      <c r="AD10" s="5">
        <v>1388.0</v>
      </c>
      <c r="AE10" s="5">
        <v>1381.0</v>
      </c>
      <c r="AF10" s="5">
        <v>1374.0</v>
      </c>
      <c r="AG10" s="5">
        <v>1367.0</v>
      </c>
      <c r="AH10" s="5">
        <v>1360.0</v>
      </c>
      <c r="AI10" s="5">
        <v>1353.0</v>
      </c>
      <c r="AJ10" s="5">
        <v>1346.0</v>
      </c>
      <c r="AK10" s="5">
        <v>1339.0</v>
      </c>
      <c r="AL10" s="5">
        <v>1332.0</v>
      </c>
      <c r="AM10" s="5">
        <v>1325.0</v>
      </c>
      <c r="AN10" s="5">
        <v>1318.0</v>
      </c>
      <c r="AO10" s="5">
        <v>1311.0</v>
      </c>
      <c r="AP10" s="5">
        <v>1304.0</v>
      </c>
      <c r="AQ10" s="5">
        <v>1297.0</v>
      </c>
      <c r="AR10" s="5">
        <v>1290.0</v>
      </c>
      <c r="AS10" s="5">
        <v>1283.0</v>
      </c>
      <c r="AT10" s="5">
        <v>1276.0</v>
      </c>
      <c r="AU10" s="5">
        <v>1269.0</v>
      </c>
      <c r="AV10" s="5">
        <v>1262.0</v>
      </c>
      <c r="AW10" s="5">
        <v>1255.0</v>
      </c>
      <c r="AX10" s="5">
        <v>1248.0</v>
      </c>
      <c r="AY10" s="5">
        <v>1241.0</v>
      </c>
      <c r="AZ10" s="5">
        <v>1234.0</v>
      </c>
      <c r="BA10" s="5">
        <v>1227.0</v>
      </c>
      <c r="BB10" s="5">
        <v>1220.0</v>
      </c>
      <c r="BC10" s="5">
        <v>1213.0</v>
      </c>
      <c r="BD10" s="5">
        <v>1206.0</v>
      </c>
      <c r="BE10" s="5">
        <v>1199.0</v>
      </c>
      <c r="BF10" s="5">
        <v>1192.0</v>
      </c>
      <c r="BG10" s="5">
        <v>1185.0</v>
      </c>
      <c r="BH10" s="5">
        <v>1178.0</v>
      </c>
      <c r="BI10" s="5">
        <v>1171.0</v>
      </c>
      <c r="BJ10" s="5">
        <v>1164.0</v>
      </c>
      <c r="BK10" s="5">
        <v>1157.0</v>
      </c>
      <c r="BL10" s="5">
        <v>1150.0</v>
      </c>
      <c r="BM10" s="5">
        <v>1143.0</v>
      </c>
      <c r="BN10" s="5">
        <v>1136.0</v>
      </c>
      <c r="BO10" s="5">
        <v>1129.0</v>
      </c>
      <c r="BP10" s="5">
        <v>1122.0</v>
      </c>
      <c r="BQ10" s="5">
        <v>1115.0</v>
      </c>
      <c r="BR10" s="5">
        <v>1108.0</v>
      </c>
      <c r="BS10" s="5">
        <v>1101.0</v>
      </c>
      <c r="BT10" s="5">
        <v>1094.0</v>
      </c>
      <c r="BU10" s="5">
        <v>1087.0</v>
      </c>
      <c r="BV10" s="5">
        <v>1080.0</v>
      </c>
      <c r="BW10" s="5">
        <v>1073.0</v>
      </c>
      <c r="BX10" s="5">
        <v>1066.0</v>
      </c>
      <c r="BY10" s="5">
        <v>1059.0</v>
      </c>
      <c r="BZ10" s="5">
        <v>1052.0</v>
      </c>
      <c r="CA10" s="5">
        <v>1045.0</v>
      </c>
      <c r="CB10" s="5">
        <v>1038.0</v>
      </c>
      <c r="CC10" s="5">
        <v>1031.0</v>
      </c>
      <c r="CD10" s="5">
        <v>1024.0</v>
      </c>
      <c r="CE10" s="5">
        <v>1017.0</v>
      </c>
      <c r="CF10" s="5">
        <v>1010.0</v>
      </c>
      <c r="CG10" s="5">
        <v>1003.0</v>
      </c>
      <c r="CH10" s="5">
        <v>996.0</v>
      </c>
      <c r="CI10" s="5">
        <v>989.0</v>
      </c>
      <c r="CJ10" s="5">
        <v>982.0</v>
      </c>
      <c r="CK10" s="5">
        <v>975.0</v>
      </c>
      <c r="CL10" s="5">
        <v>968.0</v>
      </c>
      <c r="CM10" s="5">
        <v>961.0</v>
      </c>
      <c r="CN10" s="5">
        <v>954.0</v>
      </c>
      <c r="CO10" s="5">
        <v>947.0</v>
      </c>
      <c r="CP10" s="5">
        <v>940.0</v>
      </c>
      <c r="CQ10" s="5">
        <v>933.0</v>
      </c>
      <c r="CR10" s="5">
        <v>926.0</v>
      </c>
      <c r="CS10" s="5">
        <v>919.0</v>
      </c>
      <c r="CT10" s="5">
        <v>912.0</v>
      </c>
      <c r="CU10" s="5">
        <v>905.0</v>
      </c>
      <c r="CV10" s="5">
        <v>898.0</v>
      </c>
      <c r="CW10" s="5">
        <v>891.0</v>
      </c>
      <c r="CX10" s="5">
        <v>884.0</v>
      </c>
      <c r="CY10" s="5">
        <v>877.0</v>
      </c>
      <c r="CZ10" s="5">
        <v>870.0</v>
      </c>
      <c r="DA10" s="5">
        <v>863.0</v>
      </c>
      <c r="DB10" s="5">
        <v>856.0</v>
      </c>
      <c r="DC10" s="5">
        <v>849.0</v>
      </c>
      <c r="DD10" s="5">
        <v>842.0</v>
      </c>
      <c r="DE10" s="5">
        <v>835.0</v>
      </c>
      <c r="DF10" s="5">
        <v>828.0</v>
      </c>
      <c r="DG10" s="5">
        <v>821.0</v>
      </c>
      <c r="DH10" s="5">
        <v>814.0</v>
      </c>
      <c r="DI10" s="5">
        <v>807.0</v>
      </c>
      <c r="DJ10" s="5">
        <v>800.0</v>
      </c>
      <c r="DK10" s="5">
        <v>793.0</v>
      </c>
      <c r="DL10" s="5">
        <v>786.0</v>
      </c>
      <c r="DM10" s="5">
        <v>779.0</v>
      </c>
      <c r="DN10" s="5">
        <v>772.0</v>
      </c>
      <c r="DO10" s="5">
        <v>765.0</v>
      </c>
      <c r="DP10" s="5">
        <v>758.0</v>
      </c>
      <c r="DQ10" s="5">
        <v>751.0</v>
      </c>
      <c r="DR10" s="5">
        <v>744.0</v>
      </c>
      <c r="DS10" s="5">
        <v>737.0</v>
      </c>
      <c r="DT10" s="5">
        <v>730.0</v>
      </c>
      <c r="DU10" s="5">
        <v>723.0</v>
      </c>
      <c r="DV10" s="5">
        <v>716.0</v>
      </c>
      <c r="DW10" s="5">
        <v>709.0</v>
      </c>
      <c r="DX10" s="5">
        <v>702.0</v>
      </c>
      <c r="DY10" s="5">
        <v>695.0</v>
      </c>
      <c r="DZ10" s="5">
        <v>688.0</v>
      </c>
      <c r="EA10" s="5">
        <v>681.0</v>
      </c>
      <c r="EB10" s="5">
        <v>674.0</v>
      </c>
      <c r="EC10" s="5">
        <v>667.0</v>
      </c>
      <c r="ED10" s="5">
        <v>660.0</v>
      </c>
      <c r="EE10" s="5">
        <v>653.0</v>
      </c>
      <c r="EF10" s="5">
        <v>646.0</v>
      </c>
      <c r="EG10" s="5">
        <v>639.0</v>
      </c>
      <c r="EH10" s="5">
        <v>632.0</v>
      </c>
      <c r="EI10" s="5">
        <v>625.0</v>
      </c>
      <c r="EJ10" s="5">
        <v>618.0</v>
      </c>
      <c r="EK10" s="5">
        <v>611.0</v>
      </c>
      <c r="EL10" s="5">
        <v>604.0</v>
      </c>
      <c r="EM10" s="5">
        <v>597.0</v>
      </c>
      <c r="EN10" s="5">
        <v>590.0</v>
      </c>
      <c r="EO10" s="5">
        <v>583.0</v>
      </c>
      <c r="EP10" s="5">
        <v>576.0</v>
      </c>
      <c r="EQ10" s="5">
        <v>569.0</v>
      </c>
      <c r="ER10" s="5">
        <v>562.0</v>
      </c>
      <c r="ES10" s="5">
        <v>555.0</v>
      </c>
      <c r="ET10" s="5">
        <v>548.0</v>
      </c>
      <c r="EU10" s="5">
        <v>541.0</v>
      </c>
      <c r="EV10" s="5">
        <v>534.0</v>
      </c>
      <c r="EW10" s="5">
        <v>527.0</v>
      </c>
      <c r="EX10" s="5">
        <v>520.0</v>
      </c>
      <c r="EY10" s="5">
        <v>513.0</v>
      </c>
      <c r="EZ10" s="5">
        <v>506.0</v>
      </c>
      <c r="FA10" s="5">
        <v>499.0</v>
      </c>
      <c r="FB10" s="5">
        <v>492.0</v>
      </c>
      <c r="FC10" s="5">
        <v>485.0</v>
      </c>
      <c r="FD10" s="5">
        <v>478.0</v>
      </c>
      <c r="FE10" s="5">
        <v>471.0</v>
      </c>
      <c r="FF10" s="5">
        <v>464.0</v>
      </c>
      <c r="FG10" s="5">
        <v>457.0</v>
      </c>
      <c r="FH10" s="5">
        <v>450.0</v>
      </c>
      <c r="FI10" s="5">
        <v>443.0</v>
      </c>
      <c r="FJ10" s="5">
        <v>436.0</v>
      </c>
      <c r="FK10" s="5">
        <v>429.0</v>
      </c>
      <c r="FL10" s="5">
        <v>422.0</v>
      </c>
      <c r="FM10" s="5">
        <v>415.0</v>
      </c>
      <c r="FN10" s="5">
        <v>408.0</v>
      </c>
      <c r="FO10" s="5">
        <v>401.0</v>
      </c>
      <c r="FP10" s="5">
        <v>394.0</v>
      </c>
      <c r="FQ10" s="5">
        <v>387.0</v>
      </c>
      <c r="FR10" s="5">
        <v>380.0</v>
      </c>
      <c r="FS10" s="5">
        <v>373.0</v>
      </c>
      <c r="FT10" s="5">
        <v>366.0</v>
      </c>
      <c r="FU10" s="5">
        <v>359.0</v>
      </c>
      <c r="FV10" s="5">
        <v>352.0</v>
      </c>
      <c r="FW10" s="5">
        <v>345.0</v>
      </c>
      <c r="FX10" s="5">
        <v>338.0</v>
      </c>
      <c r="FY10" s="5">
        <v>331.0</v>
      </c>
      <c r="FZ10" s="5">
        <v>324.0</v>
      </c>
      <c r="GA10" s="5">
        <v>317.0</v>
      </c>
      <c r="GB10" s="5">
        <v>310.0</v>
      </c>
      <c r="GC10" s="5">
        <v>303.0</v>
      </c>
      <c r="GD10" s="5">
        <v>296.0</v>
      </c>
      <c r="GE10" s="5">
        <v>289.0</v>
      </c>
      <c r="GF10" s="5">
        <v>282.0</v>
      </c>
      <c r="GG10" s="5">
        <v>275.0</v>
      </c>
      <c r="GH10" s="5">
        <v>268.0</v>
      </c>
      <c r="GI10" s="5">
        <v>261.0</v>
      </c>
      <c r="GJ10" s="5">
        <v>254.0</v>
      </c>
      <c r="GK10" s="5">
        <v>247.0</v>
      </c>
      <c r="GL10" s="5">
        <v>240.0</v>
      </c>
      <c r="GM10" s="5">
        <v>233.0</v>
      </c>
      <c r="GN10" s="5">
        <v>226.0</v>
      </c>
      <c r="GO10" s="5">
        <v>219.0</v>
      </c>
      <c r="GP10" s="5">
        <v>212.0</v>
      </c>
      <c r="GQ10" s="5">
        <v>205.0</v>
      </c>
      <c r="GR10" s="5">
        <v>198.0</v>
      </c>
      <c r="GS10" s="17">
        <v>1.0</v>
      </c>
    </row>
    <row r="11">
      <c r="A11" s="2">
        <v>9.0</v>
      </c>
      <c r="B11" s="5">
        <v>1782.0</v>
      </c>
      <c r="C11" s="5">
        <v>1773.0</v>
      </c>
      <c r="D11" s="5">
        <v>1764.0</v>
      </c>
      <c r="E11" s="5">
        <v>1755.0</v>
      </c>
      <c r="F11" s="5">
        <v>1746.0</v>
      </c>
      <c r="G11" s="5">
        <v>1737.0</v>
      </c>
      <c r="H11" s="5">
        <v>1728.0</v>
      </c>
      <c r="I11" s="5">
        <v>1719.0</v>
      </c>
      <c r="J11" s="5">
        <v>1710.0</v>
      </c>
      <c r="K11" s="5">
        <v>1701.0</v>
      </c>
      <c r="L11" s="5">
        <v>1692.0</v>
      </c>
      <c r="M11" s="5">
        <v>1683.0</v>
      </c>
      <c r="N11" s="5">
        <v>1674.0</v>
      </c>
      <c r="O11" s="5">
        <v>1665.0</v>
      </c>
      <c r="P11" s="5">
        <v>1656.0</v>
      </c>
      <c r="Q11" s="5">
        <v>1647.0</v>
      </c>
      <c r="R11" s="5">
        <v>1638.0</v>
      </c>
      <c r="S11" s="5">
        <v>1629.0</v>
      </c>
      <c r="T11" s="5">
        <v>1620.0</v>
      </c>
      <c r="U11" s="5">
        <v>1611.0</v>
      </c>
      <c r="V11" s="5">
        <v>1602.0</v>
      </c>
      <c r="W11" s="5">
        <v>1593.0</v>
      </c>
      <c r="X11" s="5">
        <v>1584.0</v>
      </c>
      <c r="Y11" s="5">
        <v>1575.0</v>
      </c>
      <c r="Z11" s="5">
        <v>1566.0</v>
      </c>
      <c r="AA11" s="5">
        <v>1557.0</v>
      </c>
      <c r="AB11" s="5">
        <v>1548.0</v>
      </c>
      <c r="AC11" s="5">
        <v>1539.0</v>
      </c>
      <c r="AD11" s="5">
        <v>1530.0</v>
      </c>
      <c r="AE11" s="5">
        <v>1521.0</v>
      </c>
      <c r="AF11" s="5">
        <v>1512.0</v>
      </c>
      <c r="AG11" s="5">
        <v>1503.0</v>
      </c>
      <c r="AH11" s="5">
        <v>1494.0</v>
      </c>
      <c r="AI11" s="5">
        <v>1485.0</v>
      </c>
      <c r="AJ11" s="5">
        <v>1476.0</v>
      </c>
      <c r="AK11" s="5">
        <v>1467.0</v>
      </c>
      <c r="AL11" s="5">
        <v>1458.0</v>
      </c>
      <c r="AM11" s="5">
        <v>1449.0</v>
      </c>
      <c r="AN11" s="5">
        <v>1440.0</v>
      </c>
      <c r="AO11" s="5">
        <v>1431.0</v>
      </c>
      <c r="AP11" s="5">
        <v>1422.0</v>
      </c>
      <c r="AQ11" s="5">
        <v>1413.0</v>
      </c>
      <c r="AR11" s="5">
        <v>1404.0</v>
      </c>
      <c r="AS11" s="5">
        <v>1395.0</v>
      </c>
      <c r="AT11" s="5">
        <v>1386.0</v>
      </c>
      <c r="AU11" s="5">
        <v>1377.0</v>
      </c>
      <c r="AV11" s="5">
        <v>1368.0</v>
      </c>
      <c r="AW11" s="5">
        <v>1359.0</v>
      </c>
      <c r="AX11" s="5">
        <v>1350.0</v>
      </c>
      <c r="AY11" s="5">
        <v>1341.0</v>
      </c>
      <c r="AZ11" s="5">
        <v>1332.0</v>
      </c>
      <c r="BA11" s="5">
        <v>1323.0</v>
      </c>
      <c r="BB11" s="5">
        <v>1314.0</v>
      </c>
      <c r="BC11" s="5">
        <v>1305.0</v>
      </c>
      <c r="BD11" s="5">
        <v>1296.0</v>
      </c>
      <c r="BE11" s="5">
        <v>1287.0</v>
      </c>
      <c r="BF11" s="5">
        <v>1278.0</v>
      </c>
      <c r="BG11" s="5">
        <v>1269.0</v>
      </c>
      <c r="BH11" s="5">
        <v>1260.0</v>
      </c>
      <c r="BI11" s="5">
        <v>1251.0</v>
      </c>
      <c r="BJ11" s="5">
        <v>1242.0</v>
      </c>
      <c r="BK11" s="5">
        <v>1233.0</v>
      </c>
      <c r="BL11" s="5">
        <v>1224.0</v>
      </c>
      <c r="BM11" s="5">
        <v>1215.0</v>
      </c>
      <c r="BN11" s="5">
        <v>1206.0</v>
      </c>
      <c r="BO11" s="5">
        <v>1197.0</v>
      </c>
      <c r="BP11" s="5">
        <v>1188.0</v>
      </c>
      <c r="BQ11" s="5">
        <v>1179.0</v>
      </c>
      <c r="BR11" s="5">
        <v>1170.0</v>
      </c>
      <c r="BS11" s="5">
        <v>1161.0</v>
      </c>
      <c r="BT11" s="5">
        <v>1152.0</v>
      </c>
      <c r="BU11" s="5">
        <v>1143.0</v>
      </c>
      <c r="BV11" s="5">
        <v>1134.0</v>
      </c>
      <c r="BW11" s="5">
        <v>1125.0</v>
      </c>
      <c r="BX11" s="5">
        <v>1116.0</v>
      </c>
      <c r="BY11" s="5">
        <v>1107.0</v>
      </c>
      <c r="BZ11" s="5">
        <v>1098.0</v>
      </c>
      <c r="CA11" s="5">
        <v>1089.0</v>
      </c>
      <c r="CB11" s="5">
        <v>1080.0</v>
      </c>
      <c r="CC11" s="5">
        <v>1071.0</v>
      </c>
      <c r="CD11" s="5">
        <v>1062.0</v>
      </c>
      <c r="CE11" s="5">
        <v>1053.0</v>
      </c>
      <c r="CF11" s="5">
        <v>1044.0</v>
      </c>
      <c r="CG11" s="5">
        <v>1035.0</v>
      </c>
      <c r="CH11" s="5">
        <v>1026.0</v>
      </c>
      <c r="CI11" s="5">
        <v>1017.0</v>
      </c>
      <c r="CJ11" s="5">
        <v>1008.0</v>
      </c>
      <c r="CK11" s="5">
        <v>999.0</v>
      </c>
      <c r="CL11" s="5">
        <v>990.0</v>
      </c>
      <c r="CM11" s="5">
        <v>981.0</v>
      </c>
      <c r="CN11" s="5">
        <v>972.0</v>
      </c>
      <c r="CO11" s="5">
        <v>963.0</v>
      </c>
      <c r="CP11" s="5">
        <v>954.0</v>
      </c>
      <c r="CQ11" s="5">
        <v>945.0</v>
      </c>
      <c r="CR11" s="5">
        <v>936.0</v>
      </c>
      <c r="CS11" s="5">
        <v>927.0</v>
      </c>
      <c r="CT11" s="5">
        <v>918.0</v>
      </c>
      <c r="CU11" s="5">
        <v>909.0</v>
      </c>
      <c r="CV11" s="5">
        <v>900.0</v>
      </c>
      <c r="CW11" s="5">
        <v>891.0</v>
      </c>
      <c r="CX11" s="5">
        <v>882.0</v>
      </c>
      <c r="CY11" s="5">
        <v>873.0</v>
      </c>
      <c r="CZ11" s="5">
        <v>864.0</v>
      </c>
      <c r="DA11" s="5">
        <v>855.0</v>
      </c>
      <c r="DB11" s="5">
        <v>846.0</v>
      </c>
      <c r="DC11" s="5">
        <v>837.0</v>
      </c>
      <c r="DD11" s="5">
        <v>828.0</v>
      </c>
      <c r="DE11" s="5">
        <v>819.0</v>
      </c>
      <c r="DF11" s="5">
        <v>810.0</v>
      </c>
      <c r="DG11" s="5">
        <v>801.0</v>
      </c>
      <c r="DH11" s="5">
        <v>792.0</v>
      </c>
      <c r="DI11" s="5">
        <v>783.0</v>
      </c>
      <c r="DJ11" s="5">
        <v>774.0</v>
      </c>
      <c r="DK11" s="5">
        <v>765.0</v>
      </c>
      <c r="DL11" s="5">
        <v>756.0</v>
      </c>
      <c r="DM11" s="5">
        <v>747.0</v>
      </c>
      <c r="DN11" s="5">
        <v>738.0</v>
      </c>
      <c r="DO11" s="5">
        <v>729.0</v>
      </c>
      <c r="DP11" s="5">
        <v>720.0</v>
      </c>
      <c r="DQ11" s="5">
        <v>711.0</v>
      </c>
      <c r="DR11" s="5">
        <v>702.0</v>
      </c>
      <c r="DS11" s="5">
        <v>693.0</v>
      </c>
      <c r="DT11" s="5">
        <v>684.0</v>
      </c>
      <c r="DU11" s="5">
        <v>675.0</v>
      </c>
      <c r="DV11" s="5">
        <v>666.0</v>
      </c>
      <c r="DW11" s="5">
        <v>657.0</v>
      </c>
      <c r="DX11" s="5">
        <v>648.0</v>
      </c>
      <c r="DY11" s="5">
        <v>639.0</v>
      </c>
      <c r="DZ11" s="5">
        <v>630.0</v>
      </c>
      <c r="EA11" s="5">
        <v>621.0</v>
      </c>
      <c r="EB11" s="5">
        <v>612.0</v>
      </c>
      <c r="EC11" s="5">
        <v>603.0</v>
      </c>
      <c r="ED11" s="5">
        <v>594.0</v>
      </c>
      <c r="EE11" s="5">
        <v>585.0</v>
      </c>
      <c r="EF11" s="5">
        <v>576.0</v>
      </c>
      <c r="EG11" s="5">
        <v>567.0</v>
      </c>
      <c r="EH11" s="5">
        <v>558.0</v>
      </c>
      <c r="EI11" s="5">
        <v>549.0</v>
      </c>
      <c r="EJ11" s="5">
        <v>540.0</v>
      </c>
      <c r="EK11" s="5">
        <v>531.0</v>
      </c>
      <c r="EL11" s="5">
        <v>522.0</v>
      </c>
      <c r="EM11" s="5">
        <v>513.0</v>
      </c>
      <c r="EN11" s="5">
        <v>504.0</v>
      </c>
      <c r="EO11" s="5">
        <v>495.0</v>
      </c>
      <c r="EP11" s="5">
        <v>486.0</v>
      </c>
      <c r="EQ11" s="5">
        <v>477.0</v>
      </c>
      <c r="ER11" s="5">
        <v>468.0</v>
      </c>
      <c r="ES11" s="5">
        <v>459.0</v>
      </c>
      <c r="ET11" s="5">
        <v>450.0</v>
      </c>
      <c r="EU11" s="5">
        <v>441.0</v>
      </c>
      <c r="EV11" s="5">
        <v>432.0</v>
      </c>
      <c r="EW11" s="5">
        <v>423.0</v>
      </c>
      <c r="EX11" s="5">
        <v>414.0</v>
      </c>
      <c r="EY11" s="5">
        <v>405.0</v>
      </c>
      <c r="EZ11" s="5">
        <v>396.0</v>
      </c>
      <c r="FA11" s="5">
        <v>387.0</v>
      </c>
      <c r="FB11" s="5">
        <v>378.0</v>
      </c>
      <c r="FC11" s="5">
        <v>369.0</v>
      </c>
      <c r="FD11" s="5">
        <v>360.0</v>
      </c>
      <c r="FE11" s="5">
        <v>351.0</v>
      </c>
      <c r="FF11" s="5">
        <v>342.0</v>
      </c>
      <c r="FG11" s="5">
        <v>333.0</v>
      </c>
      <c r="FH11" s="5">
        <v>324.0</v>
      </c>
      <c r="FI11" s="5">
        <v>315.0</v>
      </c>
      <c r="FJ11" s="5">
        <v>306.0</v>
      </c>
      <c r="FK11" s="5">
        <v>297.0</v>
      </c>
      <c r="FL11" s="5">
        <v>288.0</v>
      </c>
      <c r="FM11" s="5">
        <v>279.0</v>
      </c>
      <c r="FN11" s="5">
        <v>270.0</v>
      </c>
      <c r="FO11" s="5">
        <v>261.0</v>
      </c>
      <c r="FP11" s="5">
        <v>252.0</v>
      </c>
      <c r="FQ11" s="5">
        <v>243.0</v>
      </c>
      <c r="FR11" s="5">
        <v>234.0</v>
      </c>
      <c r="FS11" s="5">
        <v>225.0</v>
      </c>
      <c r="FT11" s="5">
        <v>216.0</v>
      </c>
      <c r="FU11" s="5">
        <v>207.0</v>
      </c>
      <c r="FV11" s="5">
        <v>198.0</v>
      </c>
      <c r="FW11" s="5">
        <v>189.0</v>
      </c>
      <c r="FX11" s="5">
        <v>180.0</v>
      </c>
      <c r="FY11" s="5">
        <v>171.0</v>
      </c>
      <c r="FZ11" s="5">
        <v>162.0</v>
      </c>
      <c r="GA11" s="5">
        <v>153.0</v>
      </c>
      <c r="GB11" s="5">
        <v>144.0</v>
      </c>
      <c r="GC11" s="5">
        <v>135.0</v>
      </c>
      <c r="GD11" s="5">
        <v>126.0</v>
      </c>
      <c r="GE11" s="5">
        <v>117.0</v>
      </c>
      <c r="GF11" s="5">
        <v>108.0</v>
      </c>
      <c r="GG11" s="5">
        <v>99.0</v>
      </c>
      <c r="GH11" s="5">
        <v>90.0</v>
      </c>
      <c r="GI11" s="5">
        <v>81.0</v>
      </c>
      <c r="GJ11" s="5">
        <v>72.0</v>
      </c>
      <c r="GK11" s="5">
        <v>63.0</v>
      </c>
      <c r="GL11" s="5">
        <v>54.0</v>
      </c>
      <c r="GM11" s="5">
        <v>45.0</v>
      </c>
      <c r="GN11" s="5">
        <v>36.0</v>
      </c>
      <c r="GO11" s="5">
        <v>27.0</v>
      </c>
      <c r="GP11" s="5">
        <v>18.0</v>
      </c>
      <c r="GQ11" s="5">
        <v>9.0</v>
      </c>
      <c r="GR11" s="5">
        <v>0.0</v>
      </c>
      <c r="GS11" s="17">
        <v>0.0</v>
      </c>
    </row>
    <row r="12">
      <c r="A12" s="17"/>
      <c r="B12" s="17">
        <f t="array" ref="B12:GR12">198-B1:GR1</f>
        <v>198</v>
      </c>
      <c r="C12" s="17">
        <v>197.0</v>
      </c>
      <c r="D12" s="17">
        <v>196.0</v>
      </c>
      <c r="E12" s="17">
        <v>195.0</v>
      </c>
      <c r="F12" s="17">
        <v>194.0</v>
      </c>
      <c r="G12" s="17">
        <v>193.0</v>
      </c>
      <c r="H12" s="17">
        <v>192.0</v>
      </c>
      <c r="I12" s="17">
        <v>191.0</v>
      </c>
      <c r="J12" s="17">
        <v>190.0</v>
      </c>
      <c r="K12" s="17">
        <v>189.0</v>
      </c>
      <c r="L12" s="17">
        <v>188.0</v>
      </c>
      <c r="M12" s="17">
        <v>187.0</v>
      </c>
      <c r="N12" s="17">
        <v>186.0</v>
      </c>
      <c r="O12" s="17">
        <v>185.0</v>
      </c>
      <c r="P12" s="17">
        <v>184.0</v>
      </c>
      <c r="Q12" s="17">
        <v>183.0</v>
      </c>
      <c r="R12" s="17">
        <v>182.0</v>
      </c>
      <c r="S12" s="17">
        <v>181.0</v>
      </c>
      <c r="T12" s="17">
        <v>180.0</v>
      </c>
      <c r="U12" s="17">
        <v>179.0</v>
      </c>
      <c r="V12" s="17">
        <v>178.0</v>
      </c>
      <c r="W12" s="17">
        <v>177.0</v>
      </c>
      <c r="X12" s="17">
        <v>176.0</v>
      </c>
      <c r="Y12" s="17">
        <v>175.0</v>
      </c>
      <c r="Z12" s="17">
        <v>174.0</v>
      </c>
      <c r="AA12" s="17">
        <v>173.0</v>
      </c>
      <c r="AB12" s="17">
        <v>172.0</v>
      </c>
      <c r="AC12" s="17">
        <v>171.0</v>
      </c>
      <c r="AD12" s="17">
        <v>170.0</v>
      </c>
      <c r="AE12" s="17">
        <v>169.0</v>
      </c>
      <c r="AF12" s="17">
        <v>168.0</v>
      </c>
      <c r="AG12" s="17">
        <v>167.0</v>
      </c>
      <c r="AH12" s="17">
        <v>166.0</v>
      </c>
      <c r="AI12" s="17">
        <v>165.0</v>
      </c>
      <c r="AJ12" s="17">
        <v>164.0</v>
      </c>
      <c r="AK12" s="17">
        <v>163.0</v>
      </c>
      <c r="AL12" s="17">
        <v>162.0</v>
      </c>
      <c r="AM12" s="17">
        <v>161.0</v>
      </c>
      <c r="AN12" s="17">
        <v>160.0</v>
      </c>
      <c r="AO12" s="17">
        <v>159.0</v>
      </c>
      <c r="AP12" s="17">
        <v>158.0</v>
      </c>
      <c r="AQ12" s="17">
        <v>157.0</v>
      </c>
      <c r="AR12" s="17">
        <v>156.0</v>
      </c>
      <c r="AS12" s="17">
        <v>155.0</v>
      </c>
      <c r="AT12" s="17">
        <v>154.0</v>
      </c>
      <c r="AU12" s="17">
        <v>153.0</v>
      </c>
      <c r="AV12" s="17">
        <v>152.0</v>
      </c>
      <c r="AW12" s="17">
        <v>151.0</v>
      </c>
      <c r="AX12" s="17">
        <v>150.0</v>
      </c>
      <c r="AY12" s="17">
        <v>149.0</v>
      </c>
      <c r="AZ12" s="17">
        <v>148.0</v>
      </c>
      <c r="BA12" s="17">
        <v>147.0</v>
      </c>
      <c r="BB12" s="17">
        <v>146.0</v>
      </c>
      <c r="BC12" s="17">
        <v>145.0</v>
      </c>
      <c r="BD12" s="17">
        <v>144.0</v>
      </c>
      <c r="BE12" s="17">
        <v>143.0</v>
      </c>
      <c r="BF12" s="17">
        <v>142.0</v>
      </c>
      <c r="BG12" s="17">
        <v>141.0</v>
      </c>
      <c r="BH12" s="17">
        <v>140.0</v>
      </c>
      <c r="BI12" s="17">
        <v>139.0</v>
      </c>
      <c r="BJ12" s="17">
        <v>138.0</v>
      </c>
      <c r="BK12" s="17">
        <v>137.0</v>
      </c>
      <c r="BL12" s="17">
        <v>136.0</v>
      </c>
      <c r="BM12" s="17">
        <v>135.0</v>
      </c>
      <c r="BN12" s="17">
        <v>134.0</v>
      </c>
      <c r="BO12" s="17">
        <v>133.0</v>
      </c>
      <c r="BP12" s="17">
        <v>132.0</v>
      </c>
      <c r="BQ12" s="17">
        <v>131.0</v>
      </c>
      <c r="BR12" s="17">
        <v>130.0</v>
      </c>
      <c r="BS12" s="17">
        <v>129.0</v>
      </c>
      <c r="BT12" s="17">
        <v>128.0</v>
      </c>
      <c r="BU12" s="17">
        <v>127.0</v>
      </c>
      <c r="BV12" s="17">
        <v>126.0</v>
      </c>
      <c r="BW12" s="17">
        <v>125.0</v>
      </c>
      <c r="BX12" s="17">
        <v>124.0</v>
      </c>
      <c r="BY12" s="17">
        <v>123.0</v>
      </c>
      <c r="BZ12" s="17">
        <v>122.0</v>
      </c>
      <c r="CA12" s="17">
        <v>121.0</v>
      </c>
      <c r="CB12" s="17">
        <v>120.0</v>
      </c>
      <c r="CC12" s="17">
        <v>119.0</v>
      </c>
      <c r="CD12" s="17">
        <v>118.0</v>
      </c>
      <c r="CE12" s="17">
        <v>117.0</v>
      </c>
      <c r="CF12" s="17">
        <v>116.0</v>
      </c>
      <c r="CG12" s="17">
        <v>115.0</v>
      </c>
      <c r="CH12" s="17">
        <v>114.0</v>
      </c>
      <c r="CI12" s="17">
        <v>113.0</v>
      </c>
      <c r="CJ12" s="17">
        <v>112.0</v>
      </c>
      <c r="CK12" s="17">
        <v>111.0</v>
      </c>
      <c r="CL12" s="17">
        <v>110.0</v>
      </c>
      <c r="CM12" s="17">
        <v>109.0</v>
      </c>
      <c r="CN12" s="17">
        <v>108.0</v>
      </c>
      <c r="CO12" s="17">
        <v>107.0</v>
      </c>
      <c r="CP12" s="17">
        <v>106.0</v>
      </c>
      <c r="CQ12" s="17">
        <v>105.0</v>
      </c>
      <c r="CR12" s="17">
        <v>104.0</v>
      </c>
      <c r="CS12" s="17">
        <v>103.0</v>
      </c>
      <c r="CT12" s="17">
        <v>102.0</v>
      </c>
      <c r="CU12" s="17">
        <v>101.0</v>
      </c>
      <c r="CV12" s="17">
        <v>100.0</v>
      </c>
      <c r="CW12" s="17">
        <v>99.0</v>
      </c>
      <c r="CX12" s="17">
        <v>98.0</v>
      </c>
      <c r="CY12" s="17">
        <v>97.0</v>
      </c>
      <c r="CZ12" s="17">
        <v>96.0</v>
      </c>
      <c r="DA12" s="17">
        <v>95.0</v>
      </c>
      <c r="DB12" s="17">
        <v>94.0</v>
      </c>
      <c r="DC12" s="17">
        <v>93.0</v>
      </c>
      <c r="DD12" s="17">
        <v>92.0</v>
      </c>
      <c r="DE12" s="17">
        <v>91.0</v>
      </c>
      <c r="DF12" s="17">
        <v>90.0</v>
      </c>
      <c r="DG12" s="17">
        <v>89.0</v>
      </c>
      <c r="DH12" s="17">
        <v>88.0</v>
      </c>
      <c r="DI12" s="17">
        <v>87.0</v>
      </c>
      <c r="DJ12" s="17">
        <v>86.0</v>
      </c>
      <c r="DK12" s="17">
        <v>85.0</v>
      </c>
      <c r="DL12" s="17">
        <v>84.0</v>
      </c>
      <c r="DM12" s="17">
        <v>83.0</v>
      </c>
      <c r="DN12" s="17">
        <v>82.0</v>
      </c>
      <c r="DO12" s="17">
        <v>81.0</v>
      </c>
      <c r="DP12" s="17">
        <v>80.0</v>
      </c>
      <c r="DQ12" s="17">
        <v>79.0</v>
      </c>
      <c r="DR12" s="17">
        <v>78.0</v>
      </c>
      <c r="DS12" s="17">
        <v>77.0</v>
      </c>
      <c r="DT12" s="17">
        <v>76.0</v>
      </c>
      <c r="DU12" s="17">
        <v>75.0</v>
      </c>
      <c r="DV12" s="17">
        <v>74.0</v>
      </c>
      <c r="DW12" s="17">
        <v>73.0</v>
      </c>
      <c r="DX12" s="17">
        <v>72.0</v>
      </c>
      <c r="DY12" s="17">
        <v>71.0</v>
      </c>
      <c r="DZ12" s="17">
        <v>70.0</v>
      </c>
      <c r="EA12" s="17">
        <v>69.0</v>
      </c>
      <c r="EB12" s="17">
        <v>68.0</v>
      </c>
      <c r="EC12" s="17">
        <v>67.0</v>
      </c>
      <c r="ED12" s="17">
        <v>66.0</v>
      </c>
      <c r="EE12" s="17">
        <v>65.0</v>
      </c>
      <c r="EF12" s="17">
        <v>64.0</v>
      </c>
      <c r="EG12" s="17">
        <v>63.0</v>
      </c>
      <c r="EH12" s="17">
        <v>62.0</v>
      </c>
      <c r="EI12" s="17">
        <v>61.0</v>
      </c>
      <c r="EJ12" s="17">
        <v>60.0</v>
      </c>
      <c r="EK12" s="17">
        <v>59.0</v>
      </c>
      <c r="EL12" s="17">
        <v>58.0</v>
      </c>
      <c r="EM12" s="17">
        <v>57.0</v>
      </c>
      <c r="EN12" s="17">
        <v>56.0</v>
      </c>
      <c r="EO12" s="17">
        <v>55.0</v>
      </c>
      <c r="EP12" s="17">
        <v>54.0</v>
      </c>
      <c r="EQ12" s="17">
        <v>53.0</v>
      </c>
      <c r="ER12" s="17">
        <v>52.0</v>
      </c>
      <c r="ES12" s="17">
        <v>51.0</v>
      </c>
      <c r="ET12" s="17">
        <v>50.0</v>
      </c>
      <c r="EU12" s="17">
        <v>49.0</v>
      </c>
      <c r="EV12" s="17">
        <v>48.0</v>
      </c>
      <c r="EW12" s="17">
        <v>47.0</v>
      </c>
      <c r="EX12" s="17">
        <v>46.0</v>
      </c>
      <c r="EY12" s="17">
        <v>45.0</v>
      </c>
      <c r="EZ12" s="17">
        <v>44.0</v>
      </c>
      <c r="FA12" s="17">
        <v>43.0</v>
      </c>
      <c r="FB12" s="17">
        <v>42.0</v>
      </c>
      <c r="FC12" s="17">
        <v>41.0</v>
      </c>
      <c r="FD12" s="17">
        <v>40.0</v>
      </c>
      <c r="FE12" s="17">
        <v>39.0</v>
      </c>
      <c r="FF12" s="17">
        <v>38.0</v>
      </c>
      <c r="FG12" s="17">
        <v>37.0</v>
      </c>
      <c r="FH12" s="17">
        <v>36.0</v>
      </c>
      <c r="FI12" s="17">
        <v>35.0</v>
      </c>
      <c r="FJ12" s="17">
        <v>34.0</v>
      </c>
      <c r="FK12" s="17">
        <v>33.0</v>
      </c>
      <c r="FL12" s="17">
        <v>32.0</v>
      </c>
      <c r="FM12" s="17">
        <v>31.0</v>
      </c>
      <c r="FN12" s="17">
        <v>30.0</v>
      </c>
      <c r="FO12" s="17">
        <v>29.0</v>
      </c>
      <c r="FP12" s="17">
        <v>28.0</v>
      </c>
      <c r="FQ12" s="17">
        <v>27.0</v>
      </c>
      <c r="FR12" s="17">
        <v>26.0</v>
      </c>
      <c r="FS12" s="17">
        <v>25.0</v>
      </c>
      <c r="FT12" s="17">
        <v>24.0</v>
      </c>
      <c r="FU12" s="17">
        <v>23.0</v>
      </c>
      <c r="FV12" s="17">
        <v>22.0</v>
      </c>
      <c r="FW12" s="17">
        <v>21.0</v>
      </c>
      <c r="FX12" s="17">
        <v>20.0</v>
      </c>
      <c r="FY12" s="17">
        <v>19.0</v>
      </c>
      <c r="FZ12" s="17">
        <v>18.0</v>
      </c>
      <c r="GA12" s="17">
        <v>17.0</v>
      </c>
      <c r="GB12" s="17">
        <v>16.0</v>
      </c>
      <c r="GC12" s="17">
        <v>15.0</v>
      </c>
      <c r="GD12" s="17">
        <v>14.0</v>
      </c>
      <c r="GE12" s="17">
        <v>13.0</v>
      </c>
      <c r="GF12" s="17">
        <v>12.0</v>
      </c>
      <c r="GG12" s="17">
        <v>11.0</v>
      </c>
      <c r="GH12" s="17">
        <v>10.0</v>
      </c>
      <c r="GI12" s="17">
        <v>9.0</v>
      </c>
      <c r="GJ12" s="17">
        <v>8.0</v>
      </c>
      <c r="GK12" s="17">
        <v>7.0</v>
      </c>
      <c r="GL12" s="17">
        <v>6.0</v>
      </c>
      <c r="GM12" s="17">
        <v>5.0</v>
      </c>
      <c r="GN12" s="17">
        <v>4.0</v>
      </c>
      <c r="GO12" s="17">
        <v>3.0</v>
      </c>
      <c r="GP12" s="17">
        <v>2.0</v>
      </c>
      <c r="GQ12" s="17">
        <v>1.0</v>
      </c>
      <c r="GR12" s="17">
        <v>0.0</v>
      </c>
      <c r="GS12" s="17"/>
      <c r="GT12" s="17"/>
      <c r="GU12" s="17"/>
      <c r="GV12" s="17"/>
      <c r="GW12" s="17"/>
      <c r="GX12" s="17"/>
    </row>
    <row r="13">
      <c r="A13" s="17"/>
      <c r="GS13" s="17"/>
    </row>
    <row r="14">
      <c r="A14" s="17"/>
      <c r="GS14" s="17"/>
    </row>
    <row r="15">
      <c r="A15" s="17"/>
      <c r="GS15" s="17"/>
    </row>
    <row r="16">
      <c r="A16" s="17"/>
      <c r="GS16" s="17"/>
    </row>
    <row r="17">
      <c r="A17" s="17"/>
      <c r="GS17" s="17"/>
    </row>
    <row r="18">
      <c r="A18" s="17"/>
      <c r="GS18" s="17"/>
    </row>
    <row r="19">
      <c r="A19" s="17"/>
      <c r="GS19" s="17"/>
    </row>
    <row r="20">
      <c r="A20" s="17"/>
      <c r="GS20" s="17"/>
    </row>
    <row r="21">
      <c r="A21" s="17"/>
      <c r="GS21" s="17"/>
    </row>
    <row r="22">
      <c r="A22" s="17"/>
      <c r="GS22" s="17"/>
    </row>
    <row r="23">
      <c r="A23" s="17"/>
      <c r="GS23" s="17"/>
    </row>
    <row r="24">
      <c r="A24" s="17"/>
      <c r="GS24" s="17"/>
    </row>
    <row r="25">
      <c r="A25" s="17"/>
      <c r="GS25" s="17"/>
    </row>
    <row r="26">
      <c r="A26" s="17"/>
      <c r="GS26" s="17"/>
    </row>
    <row r="27">
      <c r="A27" s="17"/>
      <c r="GS27" s="17"/>
    </row>
    <row r="28">
      <c r="A28" s="17"/>
      <c r="GS28" s="17"/>
    </row>
    <row r="29">
      <c r="A29" s="17"/>
      <c r="GS29" s="17"/>
    </row>
    <row r="30">
      <c r="A30" s="17"/>
      <c r="GS30" s="17"/>
    </row>
    <row r="31">
      <c r="A31" s="17"/>
      <c r="GS31" s="17"/>
    </row>
    <row r="32">
      <c r="A32" s="17"/>
      <c r="GS32" s="17"/>
    </row>
    <row r="33">
      <c r="A33" s="17"/>
      <c r="GS33" s="17"/>
    </row>
    <row r="34">
      <c r="A34" s="17"/>
      <c r="GS34" s="17"/>
    </row>
    <row r="35">
      <c r="A35" s="17"/>
      <c r="GS35" s="17"/>
    </row>
    <row r="36">
      <c r="A36" s="17"/>
      <c r="GS36" s="17"/>
    </row>
    <row r="37">
      <c r="A37" s="17"/>
      <c r="GS37" s="17"/>
    </row>
    <row r="38">
      <c r="A38" s="17"/>
      <c r="GS38" s="17"/>
    </row>
    <row r="39">
      <c r="A39" s="17"/>
      <c r="GS39" s="17"/>
    </row>
    <row r="40">
      <c r="A40" s="17"/>
      <c r="GS40" s="17"/>
    </row>
    <row r="41">
      <c r="A41" s="17"/>
      <c r="GS41" s="17"/>
    </row>
    <row r="42">
      <c r="A42" s="17"/>
      <c r="GS42" s="17"/>
    </row>
    <row r="43">
      <c r="A43" s="17"/>
      <c r="GS43" s="17"/>
    </row>
    <row r="44">
      <c r="A44" s="17"/>
      <c r="GS44" s="17"/>
    </row>
    <row r="45">
      <c r="A45" s="17"/>
      <c r="GS45" s="17"/>
    </row>
    <row r="46">
      <c r="A46" s="17"/>
      <c r="GS46" s="17"/>
    </row>
    <row r="47">
      <c r="A47" s="17"/>
      <c r="GS47" s="17"/>
    </row>
    <row r="48">
      <c r="A48" s="17"/>
      <c r="GS48" s="17"/>
    </row>
    <row r="49">
      <c r="A49" s="17"/>
      <c r="GS49" s="17"/>
    </row>
    <row r="50">
      <c r="A50" s="17"/>
      <c r="GS50" s="17"/>
    </row>
    <row r="51">
      <c r="A51" s="17"/>
      <c r="GS51" s="17"/>
    </row>
    <row r="52">
      <c r="A52" s="17"/>
      <c r="GS52" s="17"/>
    </row>
    <row r="53">
      <c r="A53" s="17"/>
      <c r="GS53" s="17"/>
    </row>
    <row r="54">
      <c r="A54" s="17"/>
      <c r="GS54" s="17"/>
    </row>
    <row r="55">
      <c r="A55" s="17"/>
      <c r="GS55" s="17"/>
    </row>
    <row r="56">
      <c r="A56" s="17"/>
      <c r="GS56" s="17"/>
    </row>
    <row r="57">
      <c r="A57" s="17"/>
      <c r="GS57" s="17"/>
    </row>
    <row r="58">
      <c r="A58" s="17"/>
      <c r="GS58" s="17"/>
    </row>
    <row r="59">
      <c r="A59" s="17"/>
      <c r="GS59" s="17"/>
    </row>
    <row r="60">
      <c r="A60" s="17"/>
      <c r="GS60" s="17"/>
    </row>
    <row r="61">
      <c r="A61" s="17"/>
      <c r="GS61" s="17"/>
    </row>
    <row r="62">
      <c r="A62" s="17"/>
      <c r="GS62" s="17"/>
    </row>
    <row r="63">
      <c r="A63" s="17"/>
      <c r="GS63" s="17"/>
    </row>
    <row r="64">
      <c r="A64" s="17"/>
      <c r="GS64" s="17"/>
    </row>
    <row r="65">
      <c r="A65" s="17"/>
      <c r="GS65" s="17"/>
    </row>
    <row r="66">
      <c r="A66" s="17"/>
      <c r="GS66" s="17"/>
    </row>
    <row r="67">
      <c r="A67" s="17"/>
      <c r="GS67" s="17"/>
    </row>
    <row r="68">
      <c r="A68" s="17"/>
      <c r="GS68" s="17"/>
    </row>
    <row r="69">
      <c r="A69" s="17"/>
      <c r="GS69" s="17"/>
    </row>
    <row r="70">
      <c r="A70" s="17"/>
      <c r="GS70" s="17"/>
    </row>
    <row r="71">
      <c r="A71" s="17"/>
      <c r="GS71" s="17"/>
    </row>
    <row r="72">
      <c r="A72" s="17"/>
      <c r="GS72" s="17"/>
    </row>
    <row r="73">
      <c r="A73" s="17"/>
      <c r="GS73" s="17"/>
    </row>
    <row r="74">
      <c r="A74" s="17"/>
      <c r="GS74" s="17"/>
    </row>
    <row r="75">
      <c r="A75" s="17"/>
      <c r="GS75" s="17"/>
    </row>
    <row r="76">
      <c r="A76" s="17"/>
      <c r="GS76" s="17"/>
    </row>
    <row r="77">
      <c r="A77" s="17"/>
      <c r="GS77" s="17"/>
    </row>
    <row r="78">
      <c r="A78" s="17"/>
      <c r="GS78" s="17"/>
    </row>
    <row r="79">
      <c r="A79" s="17"/>
      <c r="GS79" s="17"/>
    </row>
    <row r="80">
      <c r="A80" s="17"/>
      <c r="GS80" s="17"/>
    </row>
    <row r="81">
      <c r="A81" s="17"/>
      <c r="GS81" s="17"/>
    </row>
    <row r="82">
      <c r="A82" s="17"/>
      <c r="GS82" s="17"/>
    </row>
    <row r="83">
      <c r="A83" s="17"/>
      <c r="GS83" s="17"/>
    </row>
    <row r="84">
      <c r="A84" s="17"/>
      <c r="GS84" s="17"/>
    </row>
    <row r="85">
      <c r="A85" s="17"/>
      <c r="GS85" s="17"/>
    </row>
    <row r="86">
      <c r="A86" s="17"/>
      <c r="GS86" s="17"/>
    </row>
    <row r="87">
      <c r="A87" s="17"/>
      <c r="GS87" s="17"/>
    </row>
    <row r="88">
      <c r="A88" s="17"/>
      <c r="GS88" s="17"/>
    </row>
    <row r="89">
      <c r="A89" s="17"/>
      <c r="GS89" s="17"/>
    </row>
    <row r="90">
      <c r="A90" s="17"/>
      <c r="GS90" s="17"/>
    </row>
    <row r="91">
      <c r="A91" s="17"/>
      <c r="GS91" s="17"/>
    </row>
    <row r="92">
      <c r="A92" s="17"/>
      <c r="GS92" s="17"/>
    </row>
    <row r="93">
      <c r="A93" s="17"/>
      <c r="GS93" s="17"/>
    </row>
    <row r="94">
      <c r="A94" s="17"/>
      <c r="GS94" s="17"/>
    </row>
    <row r="95">
      <c r="A95" s="17"/>
      <c r="GS95" s="17"/>
    </row>
    <row r="96">
      <c r="A96" s="17"/>
      <c r="GS96" s="17"/>
    </row>
    <row r="97">
      <c r="A97" s="17"/>
      <c r="GS97" s="17"/>
    </row>
    <row r="98">
      <c r="A98" s="17"/>
      <c r="GS98" s="17"/>
    </row>
    <row r="99">
      <c r="A99" s="17"/>
      <c r="GS99" s="17"/>
    </row>
    <row r="100">
      <c r="A100" s="17"/>
      <c r="GS100" s="17"/>
    </row>
    <row r="101">
      <c r="A101" s="17"/>
      <c r="GS101" s="17"/>
    </row>
    <row r="102">
      <c r="A102" s="17"/>
      <c r="GS102" s="17"/>
    </row>
    <row r="103">
      <c r="A103" s="17"/>
      <c r="GS103" s="17"/>
    </row>
    <row r="104">
      <c r="A104" s="17"/>
      <c r="GS104" s="17"/>
    </row>
    <row r="105">
      <c r="A105" s="17"/>
      <c r="GS105" s="17"/>
    </row>
    <row r="106">
      <c r="A106" s="17"/>
      <c r="GS106" s="17"/>
    </row>
    <row r="107">
      <c r="A107" s="17"/>
      <c r="GS107" s="17"/>
    </row>
    <row r="108">
      <c r="A108" s="17"/>
      <c r="GS108" s="17"/>
    </row>
    <row r="109">
      <c r="A109" s="17"/>
      <c r="GS109" s="17"/>
    </row>
    <row r="110">
      <c r="A110" s="17"/>
      <c r="GS110" s="17"/>
    </row>
    <row r="111">
      <c r="A111" s="17"/>
      <c r="GS111" s="17"/>
    </row>
    <row r="112">
      <c r="A112" s="17"/>
      <c r="GS112" s="17"/>
    </row>
    <row r="113">
      <c r="A113" s="17"/>
      <c r="GS113" s="17"/>
    </row>
    <row r="114">
      <c r="A114" s="17"/>
      <c r="GS114" s="17"/>
    </row>
    <row r="115">
      <c r="A115" s="17"/>
      <c r="GS115" s="17"/>
    </row>
    <row r="116">
      <c r="A116" s="17"/>
      <c r="GS116" s="17"/>
    </row>
    <row r="117">
      <c r="A117" s="17"/>
      <c r="GS117" s="17"/>
    </row>
    <row r="118">
      <c r="A118" s="17"/>
      <c r="GS118" s="17"/>
    </row>
    <row r="119">
      <c r="A119" s="17"/>
      <c r="GS119" s="17"/>
    </row>
    <row r="120">
      <c r="A120" s="17"/>
      <c r="GS120" s="17"/>
    </row>
    <row r="121">
      <c r="A121" s="17"/>
      <c r="GS121" s="17"/>
    </row>
    <row r="122">
      <c r="A122" s="17"/>
      <c r="GS122" s="17"/>
    </row>
    <row r="123">
      <c r="A123" s="17"/>
      <c r="GS123" s="17"/>
    </row>
    <row r="124">
      <c r="A124" s="17"/>
      <c r="GS124" s="17"/>
    </row>
    <row r="125">
      <c r="A125" s="17"/>
      <c r="GS125" s="17"/>
    </row>
    <row r="126">
      <c r="A126" s="17"/>
      <c r="GS126" s="17"/>
    </row>
    <row r="127">
      <c r="A127" s="17"/>
      <c r="GS127" s="17"/>
    </row>
    <row r="128">
      <c r="A128" s="17"/>
      <c r="GS128" s="17"/>
    </row>
    <row r="129">
      <c r="A129" s="17"/>
      <c r="GS129" s="17"/>
    </row>
    <row r="130">
      <c r="A130" s="17"/>
      <c r="GS130" s="17"/>
    </row>
    <row r="131">
      <c r="A131" s="17"/>
      <c r="GS131" s="17"/>
    </row>
    <row r="132">
      <c r="A132" s="17"/>
      <c r="GS132" s="17"/>
    </row>
    <row r="133">
      <c r="A133" s="17"/>
      <c r="GS133" s="17"/>
    </row>
    <row r="134">
      <c r="A134" s="17"/>
      <c r="GS134" s="17"/>
    </row>
    <row r="135">
      <c r="A135" s="17"/>
      <c r="GS135" s="17"/>
    </row>
    <row r="136">
      <c r="A136" s="17"/>
      <c r="GS136" s="17"/>
    </row>
    <row r="137">
      <c r="A137" s="17"/>
      <c r="GS137" s="17"/>
    </row>
    <row r="138">
      <c r="A138" s="17"/>
      <c r="GS138" s="17"/>
    </row>
    <row r="139">
      <c r="A139" s="17"/>
      <c r="GS139" s="17"/>
    </row>
    <row r="140">
      <c r="A140" s="17"/>
      <c r="GS140" s="17"/>
    </row>
    <row r="141">
      <c r="A141" s="17"/>
      <c r="GS141" s="17"/>
    </row>
    <row r="142">
      <c r="A142" s="17"/>
      <c r="GS142" s="17"/>
    </row>
    <row r="143">
      <c r="A143" s="17"/>
      <c r="GS143" s="17"/>
    </row>
    <row r="144">
      <c r="A144" s="17"/>
      <c r="GS144" s="17"/>
    </row>
    <row r="145">
      <c r="A145" s="17"/>
      <c r="GS145" s="17"/>
    </row>
    <row r="146">
      <c r="A146" s="17"/>
      <c r="GS146" s="17"/>
    </row>
    <row r="147">
      <c r="A147" s="17"/>
      <c r="GS147" s="17"/>
    </row>
    <row r="148">
      <c r="A148" s="17"/>
      <c r="GS148" s="17"/>
    </row>
    <row r="149">
      <c r="A149" s="17"/>
      <c r="GS149" s="17"/>
    </row>
    <row r="150">
      <c r="A150" s="17"/>
      <c r="GS150" s="17"/>
    </row>
    <row r="151">
      <c r="A151" s="17"/>
      <c r="GS151" s="17"/>
    </row>
    <row r="152">
      <c r="A152" s="17"/>
      <c r="GS152" s="17"/>
    </row>
    <row r="153">
      <c r="A153" s="17"/>
      <c r="GS153" s="17"/>
    </row>
    <row r="154">
      <c r="A154" s="17"/>
      <c r="GS154" s="17"/>
    </row>
    <row r="155">
      <c r="A155" s="17"/>
      <c r="GS155" s="17"/>
    </row>
    <row r="156">
      <c r="A156" s="17"/>
      <c r="GS156" s="17"/>
    </row>
    <row r="157">
      <c r="A157" s="17"/>
      <c r="GS157" s="17"/>
    </row>
    <row r="158">
      <c r="A158" s="17"/>
      <c r="GS158" s="17"/>
    </row>
    <row r="159">
      <c r="A159" s="17"/>
      <c r="GS159" s="17"/>
    </row>
    <row r="160">
      <c r="A160" s="17"/>
      <c r="GS160" s="17"/>
    </row>
    <row r="161">
      <c r="A161" s="17"/>
      <c r="GS161" s="17"/>
    </row>
    <row r="162">
      <c r="A162" s="17"/>
      <c r="GS162" s="17"/>
    </row>
    <row r="163">
      <c r="A163" s="17"/>
      <c r="GS163" s="17"/>
    </row>
    <row r="164">
      <c r="A164" s="17"/>
      <c r="GS164" s="17"/>
    </row>
    <row r="165">
      <c r="A165" s="17"/>
      <c r="GS165" s="17"/>
    </row>
    <row r="166">
      <c r="A166" s="17"/>
      <c r="GS166" s="17"/>
    </row>
    <row r="167">
      <c r="A167" s="17"/>
      <c r="GS167" s="17"/>
    </row>
    <row r="168">
      <c r="A168" s="17"/>
      <c r="GS168" s="17"/>
    </row>
    <row r="169">
      <c r="A169" s="17"/>
      <c r="GS169" s="17"/>
    </row>
    <row r="170">
      <c r="A170" s="17"/>
      <c r="GS170" s="17"/>
    </row>
    <row r="171">
      <c r="A171" s="17"/>
      <c r="GS171" s="17"/>
    </row>
    <row r="172">
      <c r="A172" s="17"/>
      <c r="GS172" s="17"/>
    </row>
    <row r="173">
      <c r="A173" s="17"/>
      <c r="GS173" s="17"/>
    </row>
    <row r="174">
      <c r="A174" s="17"/>
      <c r="GS174" s="17"/>
    </row>
    <row r="175">
      <c r="A175" s="17"/>
      <c r="GS175" s="17"/>
    </row>
    <row r="176">
      <c r="A176" s="17"/>
      <c r="GS176" s="17"/>
    </row>
    <row r="177">
      <c r="A177" s="17"/>
      <c r="GS177" s="17"/>
    </row>
    <row r="178">
      <c r="A178" s="17"/>
      <c r="GS178" s="17"/>
    </row>
    <row r="179">
      <c r="A179" s="17"/>
      <c r="GS179" s="17"/>
    </row>
    <row r="180">
      <c r="A180" s="17"/>
      <c r="GS180" s="17"/>
    </row>
    <row r="181">
      <c r="A181" s="17"/>
      <c r="GS181" s="17"/>
    </row>
    <row r="182">
      <c r="A182" s="17"/>
      <c r="GS182" s="17"/>
    </row>
    <row r="183">
      <c r="A183" s="17"/>
      <c r="GS183" s="17"/>
    </row>
    <row r="184">
      <c r="A184" s="17"/>
      <c r="GS184" s="17"/>
    </row>
    <row r="185">
      <c r="A185" s="17"/>
      <c r="GS185" s="17"/>
    </row>
    <row r="186">
      <c r="A186" s="17"/>
      <c r="GS186" s="17"/>
    </row>
    <row r="187">
      <c r="A187" s="17"/>
      <c r="GS187" s="17"/>
    </row>
    <row r="188">
      <c r="A188" s="17"/>
      <c r="GS188" s="17"/>
    </row>
    <row r="189">
      <c r="A189" s="17"/>
      <c r="GS189" s="17"/>
    </row>
    <row r="190">
      <c r="A190" s="17"/>
      <c r="GS190" s="17"/>
    </row>
    <row r="191">
      <c r="A191" s="17"/>
      <c r="GS191" s="17"/>
    </row>
    <row r="192">
      <c r="A192" s="17"/>
      <c r="GS192" s="17"/>
    </row>
    <row r="193">
      <c r="A193" s="17"/>
      <c r="GS193" s="17"/>
    </row>
    <row r="194">
      <c r="A194" s="17"/>
      <c r="GS194" s="17"/>
    </row>
    <row r="195">
      <c r="A195" s="17"/>
      <c r="GS195" s="17"/>
    </row>
    <row r="196">
      <c r="A196" s="17"/>
      <c r="GS196" s="17"/>
    </row>
    <row r="197">
      <c r="A197" s="17"/>
      <c r="GS197" s="17"/>
    </row>
    <row r="198">
      <c r="A198" s="17"/>
      <c r="GS198" s="17"/>
    </row>
    <row r="199">
      <c r="A199" s="17"/>
      <c r="GS199" s="17"/>
    </row>
    <row r="200">
      <c r="A200" s="17"/>
      <c r="GS200" s="17"/>
    </row>
    <row r="201">
      <c r="A201" s="17"/>
      <c r="GS201" s="17"/>
    </row>
    <row r="202">
      <c r="A202" s="17"/>
      <c r="GS202" s="17"/>
    </row>
    <row r="203">
      <c r="A203" s="17"/>
      <c r="GS203" s="17"/>
    </row>
    <row r="204">
      <c r="A204" s="17"/>
      <c r="GS204" s="17"/>
    </row>
    <row r="205">
      <c r="A205" s="17"/>
      <c r="GS205" s="17"/>
    </row>
    <row r="206">
      <c r="A206" s="17"/>
      <c r="GS206" s="17"/>
    </row>
    <row r="207">
      <c r="A207" s="17"/>
      <c r="GS207" s="17"/>
    </row>
    <row r="208">
      <c r="A208" s="17"/>
      <c r="GS208" s="17"/>
    </row>
    <row r="209">
      <c r="A209" s="17"/>
      <c r="GS209" s="17"/>
    </row>
    <row r="210">
      <c r="A210" s="17"/>
      <c r="GS210" s="17"/>
    </row>
    <row r="211">
      <c r="A211" s="17"/>
      <c r="GS211" s="17"/>
    </row>
    <row r="212">
      <c r="A212" s="17"/>
      <c r="GS212" s="17"/>
    </row>
    <row r="213">
      <c r="A213" s="17"/>
      <c r="GS213" s="17"/>
    </row>
    <row r="214">
      <c r="A214" s="17"/>
      <c r="GS214" s="17"/>
    </row>
    <row r="215">
      <c r="A215" s="17"/>
      <c r="GS215" s="17"/>
    </row>
    <row r="216">
      <c r="A216" s="17"/>
      <c r="GS216" s="17"/>
    </row>
    <row r="217">
      <c r="A217" s="17"/>
      <c r="GS217" s="17"/>
    </row>
    <row r="218">
      <c r="A218" s="17"/>
      <c r="GS218" s="17"/>
    </row>
    <row r="219">
      <c r="A219" s="17"/>
      <c r="GS219" s="17"/>
    </row>
    <row r="220">
      <c r="A220" s="17"/>
      <c r="GS220" s="17"/>
    </row>
    <row r="221">
      <c r="A221" s="17"/>
      <c r="GS221" s="17"/>
    </row>
    <row r="222">
      <c r="A222" s="17"/>
      <c r="GS222" s="17"/>
    </row>
    <row r="223">
      <c r="A223" s="17"/>
      <c r="GS223" s="17"/>
    </row>
    <row r="224">
      <c r="A224" s="17"/>
      <c r="GS224" s="17"/>
    </row>
    <row r="225">
      <c r="A225" s="17"/>
      <c r="GS225" s="17"/>
    </row>
    <row r="226">
      <c r="A226" s="17"/>
      <c r="GS226" s="17"/>
    </row>
    <row r="227">
      <c r="A227" s="17"/>
      <c r="GS227" s="17"/>
    </row>
    <row r="228">
      <c r="A228" s="17"/>
      <c r="GS228" s="17"/>
    </row>
    <row r="229">
      <c r="A229" s="17"/>
      <c r="GS229" s="17"/>
    </row>
    <row r="230">
      <c r="A230" s="17"/>
      <c r="GS230" s="17"/>
    </row>
    <row r="231">
      <c r="A231" s="17"/>
      <c r="GS231" s="17"/>
    </row>
    <row r="232">
      <c r="A232" s="17"/>
      <c r="GS232" s="17"/>
    </row>
    <row r="233">
      <c r="A233" s="17"/>
      <c r="GS233" s="17"/>
    </row>
    <row r="234">
      <c r="A234" s="17"/>
      <c r="GS234" s="17"/>
    </row>
    <row r="235">
      <c r="A235" s="17"/>
      <c r="GS235" s="17"/>
    </row>
    <row r="236">
      <c r="A236" s="17"/>
      <c r="GS236" s="17"/>
    </row>
    <row r="237">
      <c r="A237" s="17"/>
      <c r="GS237" s="17"/>
    </row>
    <row r="238">
      <c r="A238" s="17"/>
      <c r="GS238" s="17"/>
    </row>
    <row r="239">
      <c r="A239" s="17"/>
      <c r="GS239" s="17"/>
    </row>
    <row r="240">
      <c r="A240" s="17"/>
      <c r="GS240" s="17"/>
    </row>
    <row r="241">
      <c r="A241" s="17"/>
      <c r="GS241" s="17"/>
    </row>
    <row r="242">
      <c r="A242" s="17"/>
      <c r="GS242" s="17"/>
    </row>
    <row r="243">
      <c r="A243" s="17"/>
      <c r="GS243" s="17"/>
    </row>
    <row r="244">
      <c r="A244" s="17"/>
      <c r="GS244" s="17"/>
    </row>
    <row r="245">
      <c r="A245" s="17"/>
      <c r="GS245" s="17"/>
    </row>
    <row r="246">
      <c r="A246" s="17"/>
      <c r="GS246" s="17"/>
    </row>
    <row r="247">
      <c r="A247" s="17"/>
      <c r="GS247" s="17"/>
    </row>
    <row r="248">
      <c r="A248" s="17"/>
      <c r="GS248" s="17"/>
    </row>
    <row r="249">
      <c r="A249" s="17"/>
      <c r="GS249" s="17"/>
    </row>
    <row r="250">
      <c r="A250" s="17"/>
      <c r="GS250" s="17"/>
    </row>
    <row r="251">
      <c r="A251" s="17"/>
      <c r="GS251" s="17"/>
    </row>
    <row r="252">
      <c r="A252" s="17"/>
      <c r="GS252" s="17"/>
    </row>
    <row r="253">
      <c r="A253" s="17"/>
      <c r="GS253" s="17"/>
    </row>
    <row r="254">
      <c r="A254" s="17"/>
      <c r="GS254" s="17"/>
    </row>
    <row r="255">
      <c r="A255" s="17"/>
      <c r="GS255" s="17"/>
    </row>
    <row r="256">
      <c r="A256" s="17"/>
      <c r="GS256" s="17"/>
    </row>
    <row r="257">
      <c r="A257" s="17"/>
      <c r="GS257" s="17"/>
    </row>
    <row r="258">
      <c r="A258" s="17"/>
      <c r="GS258" s="17"/>
    </row>
    <row r="259">
      <c r="A259" s="17"/>
      <c r="GS259" s="17"/>
    </row>
    <row r="260">
      <c r="A260" s="17"/>
      <c r="GS260" s="17"/>
    </row>
    <row r="261">
      <c r="A261" s="17"/>
      <c r="GS261" s="17"/>
    </row>
    <row r="262">
      <c r="A262" s="17"/>
      <c r="GS262" s="17"/>
    </row>
    <row r="263">
      <c r="A263" s="17"/>
      <c r="GS263" s="17"/>
    </row>
    <row r="264">
      <c r="A264" s="17"/>
      <c r="GS264" s="17"/>
    </row>
    <row r="265">
      <c r="A265" s="17"/>
      <c r="GS265" s="17"/>
    </row>
    <row r="266">
      <c r="A266" s="17"/>
      <c r="GS266" s="17"/>
    </row>
    <row r="267">
      <c r="A267" s="17"/>
      <c r="GS267" s="17"/>
    </row>
    <row r="268">
      <c r="A268" s="17"/>
      <c r="GS268" s="17"/>
    </row>
    <row r="269">
      <c r="A269" s="17"/>
      <c r="GS269" s="17"/>
    </row>
    <row r="270">
      <c r="A270" s="17"/>
      <c r="GS270" s="17"/>
    </row>
    <row r="271">
      <c r="A271" s="17"/>
      <c r="GS271" s="17"/>
    </row>
    <row r="272">
      <c r="A272" s="17"/>
      <c r="GS272" s="17"/>
    </row>
    <row r="273">
      <c r="A273" s="17"/>
      <c r="GS273" s="17"/>
    </row>
    <row r="274">
      <c r="A274" s="17"/>
      <c r="GS274" s="17"/>
    </row>
    <row r="275">
      <c r="A275" s="17"/>
      <c r="GS275" s="17"/>
    </row>
    <row r="276">
      <c r="A276" s="17"/>
      <c r="GS276" s="17"/>
    </row>
    <row r="277">
      <c r="A277" s="17"/>
      <c r="GS277" s="17"/>
    </row>
    <row r="278">
      <c r="A278" s="17"/>
      <c r="GS278" s="17"/>
    </row>
    <row r="279">
      <c r="A279" s="17"/>
      <c r="GS279" s="17"/>
    </row>
    <row r="280">
      <c r="A280" s="17"/>
      <c r="GS280" s="17"/>
    </row>
    <row r="281">
      <c r="A281" s="17"/>
      <c r="GS281" s="17"/>
    </row>
    <row r="282">
      <c r="A282" s="17"/>
      <c r="GS282" s="17"/>
    </row>
    <row r="283">
      <c r="A283" s="17"/>
      <c r="GS283" s="17"/>
    </row>
    <row r="284">
      <c r="A284" s="17"/>
      <c r="GS284" s="17"/>
    </row>
    <row r="285">
      <c r="A285" s="17"/>
      <c r="GS285" s="17"/>
    </row>
    <row r="286">
      <c r="A286" s="17"/>
      <c r="GS286" s="17"/>
    </row>
    <row r="287">
      <c r="A287" s="17"/>
      <c r="GS287" s="17"/>
    </row>
    <row r="288">
      <c r="A288" s="17"/>
      <c r="GS288" s="17"/>
    </row>
    <row r="289">
      <c r="A289" s="17"/>
      <c r="GS289" s="17"/>
    </row>
    <row r="290">
      <c r="A290" s="17"/>
      <c r="GS290" s="17"/>
    </row>
    <row r="291">
      <c r="A291" s="17"/>
      <c r="GS291" s="17"/>
    </row>
    <row r="292">
      <c r="A292" s="17"/>
      <c r="GS292" s="17"/>
    </row>
    <row r="293">
      <c r="A293" s="17"/>
      <c r="GS293" s="17"/>
    </row>
    <row r="294">
      <c r="A294" s="17"/>
      <c r="GS294" s="17"/>
    </row>
    <row r="295">
      <c r="A295" s="17"/>
      <c r="GS295" s="17"/>
    </row>
    <row r="296">
      <c r="A296" s="17"/>
      <c r="GS296" s="17"/>
    </row>
    <row r="297">
      <c r="A297" s="17"/>
      <c r="GS297" s="17"/>
    </row>
    <row r="298">
      <c r="A298" s="17"/>
      <c r="GS298" s="17"/>
    </row>
    <row r="299">
      <c r="A299" s="17"/>
      <c r="GS299" s="17"/>
    </row>
    <row r="300">
      <c r="A300" s="17"/>
      <c r="GS300" s="17"/>
    </row>
    <row r="301">
      <c r="A301" s="17"/>
      <c r="GS301" s="17"/>
    </row>
    <row r="302">
      <c r="A302" s="17"/>
      <c r="GS302" s="17"/>
    </row>
    <row r="303">
      <c r="A303" s="17"/>
      <c r="GS303" s="17"/>
    </row>
    <row r="304">
      <c r="A304" s="17"/>
      <c r="GS304" s="17"/>
    </row>
    <row r="305">
      <c r="A305" s="17"/>
      <c r="GS305" s="17"/>
    </row>
    <row r="306">
      <c r="A306" s="17"/>
      <c r="GS306" s="17"/>
    </row>
    <row r="307">
      <c r="A307" s="17"/>
      <c r="GS307" s="17"/>
    </row>
    <row r="308">
      <c r="A308" s="17"/>
      <c r="GS308" s="17"/>
    </row>
    <row r="309">
      <c r="A309" s="17"/>
      <c r="GS309" s="17"/>
    </row>
    <row r="310">
      <c r="A310" s="17"/>
      <c r="GS310" s="17"/>
    </row>
    <row r="311">
      <c r="A311" s="17"/>
      <c r="GS311" s="17"/>
    </row>
    <row r="312">
      <c r="A312" s="17"/>
      <c r="GS312" s="17"/>
    </row>
    <row r="313">
      <c r="A313" s="17"/>
      <c r="GS313" s="17"/>
    </row>
    <row r="314">
      <c r="A314" s="17"/>
      <c r="GS314" s="17"/>
    </row>
    <row r="315">
      <c r="A315" s="17"/>
      <c r="GS315" s="17"/>
    </row>
    <row r="316">
      <c r="A316" s="17"/>
      <c r="GS316" s="17"/>
    </row>
    <row r="317">
      <c r="A317" s="17"/>
      <c r="GS317" s="17"/>
    </row>
    <row r="318">
      <c r="A318" s="17"/>
      <c r="GS318" s="17"/>
    </row>
    <row r="319">
      <c r="A319" s="17"/>
      <c r="GS319" s="17"/>
    </row>
    <row r="320">
      <c r="A320" s="17"/>
      <c r="GS320" s="17"/>
    </row>
    <row r="321">
      <c r="A321" s="17"/>
      <c r="GS321" s="17"/>
    </row>
    <row r="322">
      <c r="A322" s="17"/>
      <c r="GS322" s="17"/>
    </row>
    <row r="323">
      <c r="A323" s="17"/>
      <c r="GS323" s="17"/>
    </row>
    <row r="324">
      <c r="A324" s="17"/>
      <c r="GS324" s="17"/>
    </row>
    <row r="325">
      <c r="A325" s="17"/>
      <c r="GS325" s="17"/>
    </row>
    <row r="326">
      <c r="A326" s="17"/>
      <c r="GS326" s="17"/>
    </row>
    <row r="327">
      <c r="A327" s="17"/>
      <c r="GS327" s="17"/>
    </row>
    <row r="328">
      <c r="A328" s="17"/>
      <c r="GS328" s="17"/>
    </row>
    <row r="329">
      <c r="A329" s="17"/>
      <c r="GS329" s="17"/>
    </row>
    <row r="330">
      <c r="A330" s="17"/>
      <c r="GS330" s="17"/>
    </row>
    <row r="331">
      <c r="A331" s="17"/>
      <c r="GS331" s="17"/>
    </row>
    <row r="332">
      <c r="A332" s="17"/>
      <c r="GS332" s="17"/>
    </row>
    <row r="333">
      <c r="A333" s="17"/>
      <c r="GS333" s="17"/>
    </row>
    <row r="334">
      <c r="A334" s="17"/>
      <c r="GS334" s="17"/>
    </row>
    <row r="335">
      <c r="A335" s="17"/>
      <c r="GS335" s="17"/>
    </row>
    <row r="336">
      <c r="A336" s="17"/>
      <c r="GS336" s="17"/>
    </row>
    <row r="337">
      <c r="A337" s="17"/>
      <c r="GS337" s="17"/>
    </row>
    <row r="338">
      <c r="A338" s="17"/>
      <c r="GS338" s="17"/>
    </row>
    <row r="339">
      <c r="A339" s="17"/>
      <c r="GS339" s="17"/>
    </row>
    <row r="340">
      <c r="A340" s="17"/>
      <c r="GS340" s="17"/>
    </row>
    <row r="341">
      <c r="A341" s="17"/>
      <c r="GS341" s="17"/>
    </row>
    <row r="342">
      <c r="A342" s="17"/>
      <c r="GS342" s="17"/>
    </row>
    <row r="343">
      <c r="A343" s="17"/>
      <c r="GS343" s="17"/>
    </row>
    <row r="344">
      <c r="A344" s="17"/>
      <c r="GS344" s="17"/>
    </row>
    <row r="345">
      <c r="A345" s="17"/>
      <c r="GS345" s="17"/>
    </row>
    <row r="346">
      <c r="A346" s="17"/>
      <c r="GS346" s="17"/>
    </row>
    <row r="347">
      <c r="A347" s="17"/>
      <c r="GS347" s="17"/>
    </row>
    <row r="348">
      <c r="A348" s="17"/>
      <c r="GS348" s="17"/>
    </row>
    <row r="349">
      <c r="A349" s="17"/>
      <c r="GS349" s="17"/>
    </row>
    <row r="350">
      <c r="A350" s="17"/>
      <c r="GS350" s="17"/>
    </row>
    <row r="351">
      <c r="A351" s="17"/>
      <c r="GS351" s="17"/>
    </row>
    <row r="352">
      <c r="A352" s="17"/>
      <c r="GS352" s="17"/>
    </row>
    <row r="353">
      <c r="A353" s="17"/>
      <c r="GS353" s="17"/>
    </row>
    <row r="354">
      <c r="A354" s="17"/>
      <c r="GS354" s="17"/>
    </row>
    <row r="355">
      <c r="A355" s="17"/>
      <c r="GS355" s="17"/>
    </row>
    <row r="356">
      <c r="A356" s="17"/>
      <c r="GS356" s="17"/>
    </row>
    <row r="357">
      <c r="A357" s="17"/>
      <c r="GS357" s="17"/>
    </row>
    <row r="358">
      <c r="A358" s="17"/>
      <c r="GS358" s="17"/>
    </row>
    <row r="359">
      <c r="A359" s="17"/>
      <c r="GS359" s="17"/>
    </row>
    <row r="360">
      <c r="A360" s="17"/>
      <c r="GS360" s="17"/>
    </row>
    <row r="361">
      <c r="A361" s="17"/>
      <c r="GS361" s="17"/>
    </row>
    <row r="362">
      <c r="A362" s="17"/>
      <c r="GS362" s="17"/>
    </row>
    <row r="363">
      <c r="A363" s="17"/>
      <c r="GS363" s="17"/>
    </row>
    <row r="364">
      <c r="A364" s="17"/>
      <c r="GS364" s="17"/>
    </row>
    <row r="365">
      <c r="A365" s="17"/>
      <c r="GS365" s="17"/>
    </row>
    <row r="366">
      <c r="A366" s="17"/>
      <c r="GS366" s="17"/>
    </row>
    <row r="367">
      <c r="A367" s="17"/>
      <c r="GS367" s="17"/>
    </row>
    <row r="368">
      <c r="A368" s="17"/>
      <c r="GS368" s="17"/>
    </row>
    <row r="369">
      <c r="A369" s="17"/>
      <c r="GS369" s="17"/>
    </row>
    <row r="370">
      <c r="A370" s="17"/>
      <c r="GS370" s="17"/>
    </row>
    <row r="371">
      <c r="A371" s="17"/>
      <c r="GS371" s="17"/>
    </row>
    <row r="372">
      <c r="A372" s="17"/>
      <c r="GS372" s="17"/>
    </row>
    <row r="373">
      <c r="A373" s="17"/>
      <c r="GS373" s="17"/>
    </row>
    <row r="374">
      <c r="A374" s="17"/>
      <c r="GS374" s="17"/>
    </row>
    <row r="375">
      <c r="A375" s="17"/>
      <c r="GS375" s="17"/>
    </row>
    <row r="376">
      <c r="A376" s="17"/>
      <c r="GS376" s="17"/>
    </row>
    <row r="377">
      <c r="A377" s="17"/>
      <c r="GS377" s="17"/>
    </row>
    <row r="378">
      <c r="A378" s="17"/>
      <c r="GS378" s="17"/>
    </row>
    <row r="379">
      <c r="A379" s="17"/>
      <c r="GS379" s="17"/>
    </row>
    <row r="380">
      <c r="A380" s="17"/>
      <c r="GS380" s="17"/>
    </row>
    <row r="381">
      <c r="A381" s="17"/>
      <c r="GS381" s="17"/>
    </row>
    <row r="382">
      <c r="A382" s="17"/>
      <c r="GS382" s="17"/>
    </row>
    <row r="383">
      <c r="A383" s="17"/>
      <c r="GS383" s="17"/>
    </row>
    <row r="384">
      <c r="A384" s="17"/>
      <c r="GS384" s="17"/>
    </row>
    <row r="385">
      <c r="A385" s="17"/>
      <c r="GS385" s="17"/>
    </row>
    <row r="386">
      <c r="A386" s="17"/>
      <c r="GS386" s="17"/>
    </row>
    <row r="387">
      <c r="A387" s="17"/>
      <c r="GS387" s="17"/>
    </row>
    <row r="388">
      <c r="A388" s="17"/>
      <c r="GS388" s="17"/>
    </row>
    <row r="389">
      <c r="A389" s="17"/>
      <c r="GS389" s="17"/>
    </row>
    <row r="390">
      <c r="A390" s="17"/>
      <c r="GS390" s="17"/>
    </row>
    <row r="391">
      <c r="A391" s="17"/>
      <c r="GS391" s="17"/>
    </row>
    <row r="392">
      <c r="A392" s="17"/>
      <c r="GS392" s="17"/>
    </row>
    <row r="393">
      <c r="A393" s="17"/>
      <c r="GS393" s="17"/>
    </row>
    <row r="394">
      <c r="A394" s="17"/>
      <c r="GS394" s="17"/>
    </row>
    <row r="395">
      <c r="A395" s="17"/>
      <c r="GS395" s="17"/>
    </row>
    <row r="396">
      <c r="A396" s="17"/>
      <c r="GS396" s="17"/>
    </row>
    <row r="397">
      <c r="A397" s="17"/>
      <c r="GS397" s="17"/>
    </row>
    <row r="398">
      <c r="A398" s="17"/>
      <c r="GS398" s="17"/>
    </row>
    <row r="399">
      <c r="A399" s="17"/>
      <c r="GS399" s="17"/>
    </row>
    <row r="400">
      <c r="A400" s="17"/>
      <c r="GS400" s="17"/>
    </row>
    <row r="401">
      <c r="A401" s="17"/>
      <c r="GS401" s="17"/>
    </row>
    <row r="402">
      <c r="A402" s="17"/>
      <c r="GS402" s="17"/>
    </row>
    <row r="403">
      <c r="A403" s="17"/>
      <c r="GS403" s="17"/>
    </row>
    <row r="404">
      <c r="A404" s="17"/>
      <c r="GS404" s="17"/>
    </row>
    <row r="405">
      <c r="A405" s="17"/>
      <c r="GS405" s="17"/>
    </row>
    <row r="406">
      <c r="A406" s="17"/>
      <c r="GS406" s="17"/>
    </row>
    <row r="407">
      <c r="A407" s="17"/>
      <c r="GS407" s="17"/>
    </row>
    <row r="408">
      <c r="A408" s="17"/>
      <c r="GS408" s="17"/>
    </row>
    <row r="409">
      <c r="A409" s="17"/>
      <c r="GS409" s="17"/>
    </row>
    <row r="410">
      <c r="A410" s="17"/>
      <c r="GS410" s="17"/>
    </row>
    <row r="411">
      <c r="A411" s="17"/>
      <c r="GS411" s="17"/>
    </row>
    <row r="412">
      <c r="A412" s="17"/>
      <c r="GS412" s="17"/>
    </row>
    <row r="413">
      <c r="A413" s="17"/>
      <c r="GS413" s="17"/>
    </row>
    <row r="414">
      <c r="A414" s="17"/>
      <c r="GS414" s="17"/>
    </row>
    <row r="415">
      <c r="A415" s="17"/>
      <c r="GS415" s="17"/>
    </row>
    <row r="416">
      <c r="A416" s="17"/>
      <c r="GS416" s="17"/>
    </row>
    <row r="417">
      <c r="A417" s="17"/>
      <c r="GS417" s="17"/>
    </row>
    <row r="418">
      <c r="A418" s="17"/>
      <c r="GS418" s="17"/>
    </row>
    <row r="419">
      <c r="A419" s="17"/>
      <c r="GS419" s="17"/>
    </row>
    <row r="420">
      <c r="A420" s="17"/>
      <c r="GS420" s="17"/>
    </row>
    <row r="421">
      <c r="A421" s="17"/>
      <c r="GS421" s="17"/>
    </row>
    <row r="422">
      <c r="A422" s="17"/>
      <c r="GS422" s="17"/>
    </row>
    <row r="423">
      <c r="A423" s="17"/>
      <c r="GS423" s="17"/>
    </row>
    <row r="424">
      <c r="A424" s="17"/>
      <c r="GS424" s="17"/>
    </row>
    <row r="425">
      <c r="A425" s="17"/>
      <c r="GS425" s="17"/>
    </row>
    <row r="426">
      <c r="A426" s="17"/>
      <c r="GS426" s="17"/>
    </row>
    <row r="427">
      <c r="A427" s="17"/>
      <c r="GS427" s="17"/>
    </row>
    <row r="428">
      <c r="A428" s="17"/>
      <c r="GS428" s="17"/>
    </row>
    <row r="429">
      <c r="A429" s="17"/>
      <c r="GS429" s="17"/>
    </row>
    <row r="430">
      <c r="A430" s="17"/>
      <c r="GS430" s="17"/>
    </row>
    <row r="431">
      <c r="A431" s="17"/>
      <c r="GS431" s="17"/>
    </row>
    <row r="432">
      <c r="A432" s="17"/>
      <c r="GS432" s="17"/>
    </row>
    <row r="433">
      <c r="A433" s="17"/>
      <c r="GS433" s="17"/>
    </row>
    <row r="434">
      <c r="A434" s="17"/>
      <c r="GS434" s="17"/>
    </row>
    <row r="435">
      <c r="A435" s="17"/>
      <c r="GS435" s="17"/>
    </row>
    <row r="436">
      <c r="A436" s="17"/>
      <c r="GS436" s="17"/>
    </row>
    <row r="437">
      <c r="A437" s="17"/>
      <c r="GS437" s="17"/>
    </row>
    <row r="438">
      <c r="A438" s="17"/>
      <c r="GS438" s="17"/>
    </row>
    <row r="439">
      <c r="A439" s="17"/>
      <c r="GS439" s="17"/>
    </row>
    <row r="440">
      <c r="A440" s="17"/>
      <c r="GS440" s="17"/>
    </row>
    <row r="441">
      <c r="A441" s="17"/>
      <c r="GS441" s="17"/>
    </row>
    <row r="442">
      <c r="A442" s="17"/>
      <c r="GS442" s="17"/>
    </row>
    <row r="443">
      <c r="A443" s="17"/>
      <c r="GS443" s="17"/>
    </row>
    <row r="444">
      <c r="A444" s="17"/>
      <c r="GS444" s="17"/>
    </row>
    <row r="445">
      <c r="A445" s="17"/>
      <c r="GS445" s="17"/>
    </row>
    <row r="446">
      <c r="A446" s="17"/>
      <c r="GS446" s="17"/>
    </row>
    <row r="447">
      <c r="A447" s="17"/>
      <c r="GS447" s="17"/>
    </row>
    <row r="448">
      <c r="A448" s="17"/>
      <c r="GS448" s="17"/>
    </row>
    <row r="449">
      <c r="A449" s="17"/>
      <c r="GS449" s="17"/>
    </row>
    <row r="450">
      <c r="A450" s="17"/>
      <c r="GS450" s="17"/>
    </row>
    <row r="451">
      <c r="A451" s="17"/>
      <c r="GS451" s="17"/>
    </row>
    <row r="452">
      <c r="A452" s="17"/>
      <c r="GS452" s="17"/>
    </row>
    <row r="453">
      <c r="A453" s="17"/>
      <c r="GS453" s="17"/>
    </row>
    <row r="454">
      <c r="A454" s="17"/>
      <c r="GS454" s="17"/>
    </row>
    <row r="455">
      <c r="A455" s="17"/>
      <c r="GS455" s="17"/>
    </row>
    <row r="456">
      <c r="A456" s="17"/>
      <c r="GS456" s="17"/>
    </row>
    <row r="457">
      <c r="A457" s="17"/>
      <c r="GS457" s="17"/>
    </row>
    <row r="458">
      <c r="A458" s="17"/>
      <c r="GS458" s="17"/>
    </row>
    <row r="459">
      <c r="A459" s="17"/>
      <c r="GS459" s="17"/>
    </row>
    <row r="460">
      <c r="A460" s="17"/>
      <c r="GS460" s="17"/>
    </row>
    <row r="461">
      <c r="A461" s="17"/>
      <c r="GS461" s="17"/>
    </row>
    <row r="462">
      <c r="A462" s="17"/>
      <c r="GS462" s="17"/>
    </row>
    <row r="463">
      <c r="A463" s="17"/>
      <c r="GS463" s="17"/>
    </row>
    <row r="464">
      <c r="A464" s="17"/>
      <c r="GS464" s="17"/>
    </row>
    <row r="465">
      <c r="A465" s="17"/>
      <c r="GS465" s="17"/>
    </row>
    <row r="466">
      <c r="A466" s="17"/>
      <c r="GS466" s="17"/>
    </row>
    <row r="467">
      <c r="A467" s="17"/>
      <c r="GS467" s="17"/>
    </row>
    <row r="468">
      <c r="A468" s="17"/>
      <c r="GS468" s="17"/>
    </row>
    <row r="469">
      <c r="A469" s="17"/>
      <c r="GS469" s="17"/>
    </row>
    <row r="470">
      <c r="A470" s="17"/>
      <c r="GS470" s="17"/>
    </row>
    <row r="471">
      <c r="A471" s="17"/>
      <c r="GS471" s="17"/>
    </row>
    <row r="472">
      <c r="A472" s="17"/>
      <c r="GS472" s="17"/>
    </row>
    <row r="473">
      <c r="A473" s="17"/>
      <c r="GS473" s="17"/>
    </row>
    <row r="474">
      <c r="A474" s="17"/>
      <c r="GS474" s="17"/>
    </row>
    <row r="475">
      <c r="A475" s="17"/>
      <c r="GS475" s="17"/>
    </row>
    <row r="476">
      <c r="A476" s="17"/>
      <c r="GS476" s="17"/>
    </row>
    <row r="477">
      <c r="A477" s="17"/>
      <c r="GS477" s="17"/>
    </row>
    <row r="478">
      <c r="A478" s="17"/>
      <c r="GS478" s="17"/>
    </row>
    <row r="479">
      <c r="A479" s="17"/>
      <c r="GS479" s="17"/>
    </row>
    <row r="480">
      <c r="A480" s="17"/>
      <c r="GS480" s="17"/>
    </row>
    <row r="481">
      <c r="A481" s="17"/>
      <c r="GS481" s="17"/>
    </row>
    <row r="482">
      <c r="A482" s="17"/>
      <c r="GS482" s="17"/>
    </row>
    <row r="483">
      <c r="A483" s="17"/>
      <c r="GS483" s="17"/>
    </row>
    <row r="484">
      <c r="A484" s="17"/>
      <c r="GS484" s="17"/>
    </row>
    <row r="485">
      <c r="A485" s="17"/>
      <c r="GS485" s="17"/>
    </row>
    <row r="486">
      <c r="A486" s="17"/>
      <c r="GS486" s="17"/>
    </row>
    <row r="487">
      <c r="A487" s="17"/>
      <c r="GS487" s="17"/>
    </row>
    <row r="488">
      <c r="A488" s="17"/>
      <c r="GS488" s="17"/>
    </row>
    <row r="489">
      <c r="A489" s="17"/>
      <c r="GS489" s="17"/>
    </row>
    <row r="490">
      <c r="A490" s="17"/>
      <c r="GS490" s="17"/>
    </row>
    <row r="491">
      <c r="A491" s="17"/>
      <c r="GS491" s="17"/>
    </row>
    <row r="492">
      <c r="A492" s="17"/>
      <c r="GS492" s="17"/>
    </row>
    <row r="493">
      <c r="A493" s="17"/>
      <c r="GS493" s="17"/>
    </row>
    <row r="494">
      <c r="A494" s="17"/>
      <c r="GS494" s="17"/>
    </row>
    <row r="495">
      <c r="A495" s="17"/>
      <c r="GS495" s="17"/>
    </row>
    <row r="496">
      <c r="A496" s="17"/>
      <c r="GS496" s="17"/>
    </row>
    <row r="497">
      <c r="A497" s="17"/>
      <c r="GS497" s="17"/>
    </row>
    <row r="498">
      <c r="A498" s="17"/>
      <c r="GS498" s="17"/>
    </row>
    <row r="499">
      <c r="A499" s="17"/>
      <c r="GS499" s="17"/>
    </row>
    <row r="500">
      <c r="A500" s="17"/>
      <c r="GS500" s="17"/>
    </row>
    <row r="501">
      <c r="A501" s="17"/>
      <c r="GS501" s="17"/>
    </row>
    <row r="502">
      <c r="A502" s="17"/>
      <c r="GS502" s="17"/>
    </row>
    <row r="503">
      <c r="A503" s="17"/>
      <c r="GS503" s="17"/>
    </row>
    <row r="504">
      <c r="A504" s="17"/>
      <c r="GS504" s="17"/>
    </row>
    <row r="505">
      <c r="A505" s="17"/>
      <c r="GS505" s="17"/>
    </row>
    <row r="506">
      <c r="A506" s="17"/>
      <c r="GS506" s="17"/>
    </row>
    <row r="507">
      <c r="A507" s="17"/>
      <c r="GS507" s="17"/>
    </row>
    <row r="508">
      <c r="A508" s="17"/>
      <c r="GS508" s="17"/>
    </row>
    <row r="509">
      <c r="A509" s="17"/>
      <c r="GS509" s="17"/>
    </row>
    <row r="510">
      <c r="A510" s="17"/>
      <c r="GS510" s="17"/>
    </row>
    <row r="511">
      <c r="A511" s="17"/>
      <c r="GS511" s="17"/>
    </row>
    <row r="512">
      <c r="A512" s="17"/>
      <c r="GS512" s="17"/>
    </row>
    <row r="513">
      <c r="A513" s="17"/>
      <c r="GS513" s="17"/>
    </row>
    <row r="514">
      <c r="A514" s="17"/>
      <c r="GS514" s="17"/>
    </row>
    <row r="515">
      <c r="A515" s="17"/>
      <c r="GS515" s="17"/>
    </row>
    <row r="516">
      <c r="A516" s="17"/>
      <c r="GS516" s="17"/>
    </row>
    <row r="517">
      <c r="A517" s="17"/>
      <c r="GS517" s="17"/>
    </row>
    <row r="518">
      <c r="A518" s="17"/>
      <c r="GS518" s="17"/>
    </row>
    <row r="519">
      <c r="A519" s="17"/>
      <c r="GS519" s="17"/>
    </row>
    <row r="520">
      <c r="A520" s="17"/>
      <c r="GS520" s="17"/>
    </row>
    <row r="521">
      <c r="A521" s="17"/>
      <c r="GS521" s="17"/>
    </row>
    <row r="522">
      <c r="A522" s="17"/>
      <c r="GS522" s="17"/>
    </row>
    <row r="523">
      <c r="A523" s="17"/>
      <c r="GS523" s="17"/>
    </row>
    <row r="524">
      <c r="A524" s="17"/>
      <c r="GS524" s="17"/>
    </row>
    <row r="525">
      <c r="A525" s="17"/>
      <c r="GS525" s="17"/>
    </row>
    <row r="526">
      <c r="A526" s="17"/>
      <c r="GS526" s="17"/>
    </row>
    <row r="527">
      <c r="A527" s="17"/>
      <c r="GS527" s="17"/>
    </row>
    <row r="528">
      <c r="A528" s="17"/>
      <c r="GS528" s="17"/>
    </row>
    <row r="529">
      <c r="A529" s="17"/>
      <c r="GS529" s="17"/>
    </row>
    <row r="530">
      <c r="A530" s="17"/>
      <c r="GS530" s="17"/>
    </row>
    <row r="531">
      <c r="A531" s="17"/>
      <c r="GS531" s="17"/>
    </row>
    <row r="532">
      <c r="A532" s="17"/>
      <c r="GS532" s="17"/>
    </row>
    <row r="533">
      <c r="A533" s="17"/>
      <c r="GS533" s="17"/>
    </row>
    <row r="534">
      <c r="A534" s="17"/>
      <c r="GS534" s="17"/>
    </row>
    <row r="535">
      <c r="A535" s="17"/>
      <c r="GS535" s="17"/>
    </row>
    <row r="536">
      <c r="A536" s="17"/>
      <c r="GS536" s="17"/>
    </row>
    <row r="537">
      <c r="A537" s="17"/>
      <c r="GS537" s="17"/>
    </row>
    <row r="538">
      <c r="A538" s="17"/>
      <c r="GS538" s="17"/>
    </row>
    <row r="539">
      <c r="A539" s="17"/>
      <c r="GS539" s="17"/>
    </row>
    <row r="540">
      <c r="A540" s="17"/>
      <c r="GS540" s="17"/>
    </row>
    <row r="541">
      <c r="A541" s="17"/>
      <c r="GS541" s="17"/>
    </row>
    <row r="542">
      <c r="A542" s="17"/>
      <c r="GS542" s="17"/>
    </row>
    <row r="543">
      <c r="A543" s="17"/>
      <c r="GS543" s="17"/>
    </row>
    <row r="544">
      <c r="A544" s="17"/>
      <c r="GS544" s="17"/>
    </row>
    <row r="545">
      <c r="A545" s="17"/>
      <c r="GS545" s="17"/>
    </row>
    <row r="546">
      <c r="A546" s="17"/>
      <c r="GS546" s="17"/>
    </row>
    <row r="547">
      <c r="A547" s="17"/>
      <c r="GS547" s="17"/>
    </row>
    <row r="548">
      <c r="A548" s="17"/>
      <c r="GS548" s="17"/>
    </row>
    <row r="549">
      <c r="A549" s="17"/>
      <c r="GS549" s="17"/>
    </row>
    <row r="550">
      <c r="A550" s="17"/>
      <c r="GS550" s="17"/>
    </row>
    <row r="551">
      <c r="A551" s="17"/>
      <c r="GS551" s="17"/>
    </row>
    <row r="552">
      <c r="A552" s="17"/>
      <c r="GS552" s="17"/>
    </row>
    <row r="553">
      <c r="A553" s="17"/>
      <c r="GS553" s="17"/>
    </row>
    <row r="554">
      <c r="A554" s="17"/>
      <c r="GS554" s="17"/>
    </row>
    <row r="555">
      <c r="A555" s="17"/>
      <c r="GS555" s="17"/>
    </row>
    <row r="556">
      <c r="A556" s="17"/>
      <c r="GS556" s="17"/>
    </row>
    <row r="557">
      <c r="A557" s="17"/>
      <c r="GS557" s="17"/>
    </row>
    <row r="558">
      <c r="A558" s="17"/>
      <c r="GS558" s="17"/>
    </row>
    <row r="559">
      <c r="A559" s="17"/>
      <c r="GS559" s="17"/>
    </row>
    <row r="560">
      <c r="A560" s="17"/>
      <c r="GS560" s="17"/>
    </row>
    <row r="561">
      <c r="A561" s="17"/>
      <c r="GS561" s="17"/>
    </row>
    <row r="562">
      <c r="A562" s="17"/>
      <c r="GS562" s="17"/>
    </row>
    <row r="563">
      <c r="A563" s="17"/>
      <c r="GS563" s="17"/>
    </row>
    <row r="564">
      <c r="A564" s="17"/>
      <c r="GS564" s="17"/>
    </row>
    <row r="565">
      <c r="A565" s="17"/>
      <c r="GS565" s="17"/>
    </row>
    <row r="566">
      <c r="A566" s="17"/>
      <c r="GS566" s="17"/>
    </row>
    <row r="567">
      <c r="A567" s="17"/>
      <c r="GS567" s="17"/>
    </row>
    <row r="568">
      <c r="A568" s="17"/>
      <c r="GS568" s="17"/>
    </row>
    <row r="569">
      <c r="A569" s="17"/>
      <c r="GS569" s="17"/>
    </row>
    <row r="570">
      <c r="A570" s="17"/>
      <c r="GS570" s="17"/>
    </row>
    <row r="571">
      <c r="A571" s="17"/>
      <c r="GS571" s="17"/>
    </row>
    <row r="572">
      <c r="A572" s="17"/>
      <c r="GS572" s="17"/>
    </row>
    <row r="573">
      <c r="A573" s="17"/>
      <c r="GS573" s="17"/>
    </row>
    <row r="574">
      <c r="A574" s="17"/>
      <c r="GS574" s="17"/>
    </row>
    <row r="575">
      <c r="A575" s="17"/>
      <c r="GS575" s="17"/>
    </row>
    <row r="576">
      <c r="A576" s="17"/>
      <c r="GS576" s="17"/>
    </row>
    <row r="577">
      <c r="A577" s="17"/>
      <c r="GS577" s="17"/>
    </row>
    <row r="578">
      <c r="A578" s="17"/>
      <c r="GS578" s="17"/>
    </row>
    <row r="579">
      <c r="A579" s="17"/>
      <c r="GS579" s="17"/>
    </row>
    <row r="580">
      <c r="A580" s="17"/>
      <c r="GS580" s="17"/>
    </row>
    <row r="581">
      <c r="A581" s="17"/>
      <c r="GS581" s="17"/>
    </row>
    <row r="582">
      <c r="A582" s="17"/>
      <c r="GS582" s="17"/>
    </row>
    <row r="583">
      <c r="A583" s="17"/>
      <c r="GS583" s="17"/>
    </row>
    <row r="584">
      <c r="A584" s="17"/>
      <c r="GS584" s="17"/>
    </row>
    <row r="585">
      <c r="A585" s="17"/>
      <c r="GS585" s="17"/>
    </row>
    <row r="586">
      <c r="A586" s="17"/>
      <c r="GS586" s="17"/>
    </row>
    <row r="587">
      <c r="A587" s="17"/>
      <c r="GS587" s="17"/>
    </row>
    <row r="588">
      <c r="A588" s="17"/>
      <c r="GS588" s="17"/>
    </row>
    <row r="589">
      <c r="A589" s="17"/>
      <c r="GS589" s="17"/>
    </row>
    <row r="590">
      <c r="A590" s="17"/>
      <c r="GS590" s="17"/>
    </row>
    <row r="591">
      <c r="A591" s="17"/>
      <c r="GS591" s="17"/>
    </row>
    <row r="592">
      <c r="A592" s="17"/>
      <c r="GS592" s="17"/>
    </row>
    <row r="593">
      <c r="A593" s="17"/>
      <c r="GS593" s="17"/>
    </row>
    <row r="594">
      <c r="A594" s="17"/>
      <c r="GS594" s="17"/>
    </row>
    <row r="595">
      <c r="A595" s="17"/>
      <c r="GS595" s="17"/>
    </row>
    <row r="596">
      <c r="A596" s="17"/>
      <c r="GS596" s="17"/>
    </row>
    <row r="597">
      <c r="A597" s="17"/>
      <c r="GS597" s="17"/>
    </row>
    <row r="598">
      <c r="A598" s="17"/>
      <c r="GS598" s="17"/>
    </row>
    <row r="599">
      <c r="A599" s="17"/>
      <c r="GS599" s="17"/>
    </row>
    <row r="600">
      <c r="A600" s="17"/>
      <c r="GS600" s="17"/>
    </row>
    <row r="601">
      <c r="A601" s="17"/>
      <c r="GS601" s="17"/>
    </row>
    <row r="602">
      <c r="A602" s="17"/>
      <c r="GS602" s="17"/>
    </row>
    <row r="603">
      <c r="A603" s="17"/>
      <c r="GS603" s="17"/>
    </row>
    <row r="604">
      <c r="A604" s="17"/>
      <c r="GS604" s="17"/>
    </row>
    <row r="605">
      <c r="A605" s="17"/>
      <c r="GS605" s="17"/>
    </row>
    <row r="606">
      <c r="A606" s="17"/>
      <c r="GS606" s="17"/>
    </row>
    <row r="607">
      <c r="A607" s="17"/>
      <c r="GS607" s="17"/>
    </row>
    <row r="608">
      <c r="A608" s="17"/>
      <c r="GS608" s="17"/>
    </row>
    <row r="609">
      <c r="A609" s="17"/>
      <c r="GS609" s="17"/>
    </row>
    <row r="610">
      <c r="A610" s="17"/>
      <c r="GS610" s="17"/>
    </row>
    <row r="611">
      <c r="A611" s="17"/>
      <c r="GS611" s="17"/>
    </row>
    <row r="612">
      <c r="A612" s="17"/>
      <c r="GS612" s="17"/>
    </row>
    <row r="613">
      <c r="A613" s="17"/>
      <c r="GS613" s="17"/>
    </row>
    <row r="614">
      <c r="A614" s="17"/>
      <c r="GS614" s="17"/>
    </row>
    <row r="615">
      <c r="A615" s="17"/>
      <c r="GS615" s="17"/>
    </row>
    <row r="616">
      <c r="A616" s="17"/>
      <c r="GS616" s="17"/>
    </row>
    <row r="617">
      <c r="A617" s="17"/>
      <c r="GS617" s="17"/>
    </row>
    <row r="618">
      <c r="A618" s="17"/>
      <c r="GS618" s="17"/>
    </row>
    <row r="619">
      <c r="A619" s="17"/>
      <c r="GS619" s="17"/>
    </row>
    <row r="620">
      <c r="A620" s="17"/>
      <c r="GS620" s="17"/>
    </row>
    <row r="621">
      <c r="A621" s="17"/>
      <c r="GS621" s="17"/>
    </row>
    <row r="622">
      <c r="A622" s="17"/>
      <c r="GS622" s="17"/>
    </row>
    <row r="623">
      <c r="A623" s="17"/>
      <c r="GS623" s="17"/>
    </row>
    <row r="624">
      <c r="A624" s="17"/>
      <c r="GS624" s="17"/>
    </row>
    <row r="625">
      <c r="A625" s="17"/>
      <c r="GS625" s="17"/>
    </row>
    <row r="626">
      <c r="A626" s="17"/>
      <c r="GS626" s="17"/>
    </row>
    <row r="627">
      <c r="A627" s="17"/>
      <c r="GS627" s="17"/>
    </row>
    <row r="628">
      <c r="A628" s="17"/>
      <c r="GS628" s="17"/>
    </row>
    <row r="629">
      <c r="A629" s="17"/>
      <c r="GS629" s="17"/>
    </row>
    <row r="630">
      <c r="A630" s="17"/>
      <c r="GS630" s="17"/>
    </row>
    <row r="631">
      <c r="A631" s="17"/>
      <c r="GS631" s="17"/>
    </row>
    <row r="632">
      <c r="A632" s="17"/>
      <c r="GS632" s="17"/>
    </row>
    <row r="633">
      <c r="A633" s="17"/>
      <c r="GS633" s="17"/>
    </row>
    <row r="634">
      <c r="A634" s="17"/>
      <c r="GS634" s="17"/>
    </row>
    <row r="635">
      <c r="A635" s="17"/>
      <c r="GS635" s="17"/>
    </row>
    <row r="636">
      <c r="A636" s="17"/>
      <c r="GS636" s="17"/>
    </row>
    <row r="637">
      <c r="A637" s="17"/>
      <c r="GS637" s="17"/>
    </row>
    <row r="638">
      <c r="A638" s="17"/>
      <c r="GS638" s="17"/>
    </row>
    <row r="639">
      <c r="A639" s="17"/>
      <c r="GS639" s="17"/>
    </row>
    <row r="640">
      <c r="A640" s="17"/>
      <c r="GS640" s="17"/>
    </row>
    <row r="641">
      <c r="A641" s="17"/>
      <c r="GS641" s="17"/>
    </row>
    <row r="642">
      <c r="A642" s="17"/>
      <c r="GS642" s="17"/>
    </row>
    <row r="643">
      <c r="A643" s="17"/>
      <c r="GS643" s="17"/>
    </row>
    <row r="644">
      <c r="A644" s="17"/>
      <c r="GS644" s="17"/>
    </row>
    <row r="645">
      <c r="A645" s="17"/>
      <c r="GS645" s="17"/>
    </row>
    <row r="646">
      <c r="A646" s="17"/>
      <c r="GS646" s="17"/>
    </row>
    <row r="647">
      <c r="A647" s="17"/>
      <c r="GS647" s="17"/>
    </row>
    <row r="648">
      <c r="A648" s="17"/>
      <c r="GS648" s="17"/>
    </row>
    <row r="649">
      <c r="A649" s="17"/>
      <c r="GS649" s="17"/>
    </row>
    <row r="650">
      <c r="A650" s="17"/>
      <c r="GS650" s="17"/>
    </row>
    <row r="651">
      <c r="A651" s="17"/>
      <c r="GS651" s="17"/>
    </row>
    <row r="652">
      <c r="A652" s="17"/>
      <c r="GS652" s="17"/>
    </row>
    <row r="653">
      <c r="A653" s="17"/>
      <c r="GS653" s="17"/>
    </row>
    <row r="654">
      <c r="A654" s="17"/>
      <c r="GS654" s="17"/>
    </row>
    <row r="655">
      <c r="A655" s="17"/>
      <c r="GS655" s="17"/>
    </row>
    <row r="656">
      <c r="A656" s="17"/>
      <c r="GS656" s="17"/>
    </row>
    <row r="657">
      <c r="A657" s="17"/>
      <c r="GS657" s="17"/>
    </row>
    <row r="658">
      <c r="A658" s="17"/>
      <c r="GS658" s="17"/>
    </row>
    <row r="659">
      <c r="A659" s="17"/>
      <c r="GS659" s="17"/>
    </row>
    <row r="660">
      <c r="A660" s="17"/>
      <c r="GS660" s="17"/>
    </row>
    <row r="661">
      <c r="A661" s="17"/>
      <c r="GS661" s="17"/>
    </row>
    <row r="662">
      <c r="A662" s="17"/>
      <c r="GS662" s="17"/>
    </row>
    <row r="663">
      <c r="A663" s="17"/>
      <c r="GS663" s="17"/>
    </row>
    <row r="664">
      <c r="A664" s="17"/>
      <c r="GS664" s="17"/>
    </row>
    <row r="665">
      <c r="A665" s="17"/>
      <c r="GS665" s="17"/>
    </row>
    <row r="666">
      <c r="A666" s="17"/>
      <c r="GS666" s="17"/>
    </row>
    <row r="667">
      <c r="A667" s="17"/>
      <c r="GS667" s="17"/>
    </row>
    <row r="668">
      <c r="A668" s="17"/>
      <c r="GS668" s="17"/>
    </row>
    <row r="669">
      <c r="A669" s="17"/>
      <c r="GS669" s="17"/>
    </row>
    <row r="670">
      <c r="A670" s="17"/>
      <c r="GS670" s="17"/>
    </row>
    <row r="671">
      <c r="A671" s="17"/>
      <c r="GS671" s="17"/>
    </row>
    <row r="672">
      <c r="A672" s="17"/>
      <c r="GS672" s="17"/>
    </row>
    <row r="673">
      <c r="A673" s="17"/>
      <c r="GS673" s="17"/>
    </row>
    <row r="674">
      <c r="A674" s="17"/>
      <c r="GS674" s="17"/>
    </row>
    <row r="675">
      <c r="A675" s="17"/>
      <c r="GS675" s="17"/>
    </row>
    <row r="676">
      <c r="A676" s="17"/>
      <c r="GS676" s="17"/>
    </row>
    <row r="677">
      <c r="A677" s="17"/>
      <c r="GS677" s="17"/>
    </row>
    <row r="678">
      <c r="A678" s="17"/>
      <c r="GS678" s="17"/>
    </row>
    <row r="679">
      <c r="A679" s="17"/>
      <c r="GS679" s="17"/>
    </row>
    <row r="680">
      <c r="A680" s="17"/>
      <c r="GS680" s="17"/>
    </row>
    <row r="681">
      <c r="A681" s="17"/>
      <c r="GS681" s="17"/>
    </row>
    <row r="682">
      <c r="A682" s="17"/>
      <c r="GS682" s="17"/>
    </row>
    <row r="683">
      <c r="A683" s="17"/>
      <c r="GS683" s="17"/>
    </row>
    <row r="684">
      <c r="A684" s="17"/>
      <c r="GS684" s="17"/>
    </row>
    <row r="685">
      <c r="A685" s="17"/>
      <c r="GS685" s="17"/>
    </row>
    <row r="686">
      <c r="A686" s="17"/>
      <c r="GS686" s="17"/>
    </row>
    <row r="687">
      <c r="A687" s="17"/>
      <c r="GS687" s="17"/>
    </row>
    <row r="688">
      <c r="A688" s="17"/>
      <c r="GS688" s="17"/>
    </row>
    <row r="689">
      <c r="A689" s="17"/>
      <c r="GS689" s="17"/>
    </row>
    <row r="690">
      <c r="A690" s="17"/>
      <c r="GS690" s="17"/>
    </row>
    <row r="691">
      <c r="A691" s="17"/>
      <c r="GS691" s="17"/>
    </row>
    <row r="692">
      <c r="A692" s="17"/>
      <c r="GS692" s="17"/>
    </row>
    <row r="693">
      <c r="A693" s="17"/>
      <c r="GS693" s="17"/>
    </row>
    <row r="694">
      <c r="A694" s="17"/>
      <c r="GS694" s="17"/>
    </row>
    <row r="695">
      <c r="A695" s="17"/>
      <c r="GS695" s="17"/>
    </row>
    <row r="696">
      <c r="A696" s="17"/>
      <c r="GS696" s="17"/>
    </row>
    <row r="697">
      <c r="A697" s="17"/>
      <c r="GS697" s="17"/>
    </row>
    <row r="698">
      <c r="A698" s="17"/>
      <c r="GS698" s="17"/>
    </row>
    <row r="699">
      <c r="A699" s="17"/>
      <c r="GS699" s="17"/>
    </row>
    <row r="700">
      <c r="A700" s="17"/>
      <c r="GS700" s="17"/>
    </row>
    <row r="701">
      <c r="A701" s="17"/>
      <c r="GS701" s="17"/>
    </row>
    <row r="702">
      <c r="A702" s="17"/>
      <c r="GS702" s="17"/>
    </row>
    <row r="703">
      <c r="A703" s="17"/>
      <c r="GS703" s="17"/>
    </row>
    <row r="704">
      <c r="A704" s="17"/>
      <c r="GS704" s="17"/>
    </row>
    <row r="705">
      <c r="A705" s="17"/>
      <c r="GS705" s="17"/>
    </row>
    <row r="706">
      <c r="A706" s="17"/>
      <c r="GS706" s="17"/>
    </row>
    <row r="707">
      <c r="A707" s="17"/>
      <c r="GS707" s="17"/>
    </row>
    <row r="708">
      <c r="A708" s="17"/>
      <c r="GS708" s="17"/>
    </row>
    <row r="709">
      <c r="A709" s="17"/>
      <c r="GS709" s="17"/>
    </row>
    <row r="710">
      <c r="A710" s="17"/>
      <c r="GS710" s="17"/>
    </row>
    <row r="711">
      <c r="A711" s="17"/>
      <c r="GS711" s="17"/>
    </row>
    <row r="712">
      <c r="A712" s="17"/>
      <c r="GS712" s="17"/>
    </row>
    <row r="713">
      <c r="A713" s="17"/>
      <c r="GS713" s="17"/>
    </row>
    <row r="714">
      <c r="A714" s="17"/>
      <c r="GS714" s="17"/>
    </row>
    <row r="715">
      <c r="A715" s="17"/>
      <c r="GS715" s="17"/>
    </row>
    <row r="716">
      <c r="A716" s="17"/>
      <c r="GS716" s="17"/>
    </row>
    <row r="717">
      <c r="A717" s="17"/>
      <c r="GS717" s="17"/>
    </row>
    <row r="718">
      <c r="A718" s="17"/>
      <c r="GS718" s="17"/>
    </row>
    <row r="719">
      <c r="A719" s="17"/>
      <c r="GS719" s="17"/>
    </row>
    <row r="720">
      <c r="A720" s="17"/>
      <c r="GS720" s="17"/>
    </row>
    <row r="721">
      <c r="A721" s="17"/>
      <c r="GS721" s="17"/>
    </row>
    <row r="722">
      <c r="A722" s="17"/>
      <c r="GS722" s="17"/>
    </row>
    <row r="723">
      <c r="A723" s="17"/>
      <c r="GS723" s="17"/>
    </row>
    <row r="724">
      <c r="A724" s="17"/>
      <c r="GS724" s="17"/>
    </row>
    <row r="725">
      <c r="A725" s="17"/>
      <c r="GS725" s="17"/>
    </row>
    <row r="726">
      <c r="A726" s="17"/>
      <c r="GS726" s="17"/>
    </row>
    <row r="727">
      <c r="A727" s="17"/>
      <c r="GS727" s="17"/>
    </row>
    <row r="728">
      <c r="A728" s="17"/>
      <c r="GS728" s="17"/>
    </row>
    <row r="729">
      <c r="A729" s="17"/>
      <c r="GS729" s="17"/>
    </row>
    <row r="730">
      <c r="A730" s="17"/>
      <c r="GS730" s="17"/>
    </row>
    <row r="731">
      <c r="A731" s="17"/>
      <c r="GS731" s="17"/>
    </row>
    <row r="732">
      <c r="A732" s="17"/>
      <c r="GS732" s="17"/>
    </row>
    <row r="733">
      <c r="A733" s="17"/>
      <c r="GS733" s="17"/>
    </row>
    <row r="734">
      <c r="A734" s="17"/>
      <c r="GS734" s="17"/>
    </row>
    <row r="735">
      <c r="A735" s="17"/>
      <c r="GS735" s="17"/>
    </row>
    <row r="736">
      <c r="A736" s="17"/>
      <c r="GS736" s="17"/>
    </row>
    <row r="737">
      <c r="A737" s="17"/>
      <c r="GS737" s="17"/>
    </row>
    <row r="738">
      <c r="A738" s="17"/>
      <c r="GS738" s="17"/>
    </row>
    <row r="739">
      <c r="A739" s="17"/>
      <c r="GS739" s="17"/>
    </row>
    <row r="740">
      <c r="A740" s="17"/>
      <c r="GS740" s="17"/>
    </row>
    <row r="741">
      <c r="A741" s="17"/>
      <c r="GS741" s="17"/>
    </row>
    <row r="742">
      <c r="A742" s="17"/>
      <c r="GS742" s="17"/>
    </row>
    <row r="743">
      <c r="A743" s="17"/>
      <c r="GS743" s="17"/>
    </row>
    <row r="744">
      <c r="A744" s="17"/>
      <c r="GS744" s="17"/>
    </row>
    <row r="745">
      <c r="A745" s="17"/>
      <c r="GS745" s="17"/>
    </row>
    <row r="746">
      <c r="A746" s="17"/>
      <c r="GS746" s="17"/>
    </row>
    <row r="747">
      <c r="A747" s="17"/>
      <c r="GS747" s="17"/>
    </row>
    <row r="748">
      <c r="A748" s="17"/>
      <c r="GS748" s="17"/>
    </row>
    <row r="749">
      <c r="A749" s="17"/>
      <c r="GS749" s="17"/>
    </row>
    <row r="750">
      <c r="A750" s="17"/>
      <c r="GS750" s="17"/>
    </row>
    <row r="751">
      <c r="A751" s="17"/>
      <c r="GS751" s="17"/>
    </row>
    <row r="752">
      <c r="A752" s="17"/>
      <c r="GS752" s="17"/>
    </row>
    <row r="753">
      <c r="A753" s="17"/>
      <c r="GS753" s="17"/>
    </row>
    <row r="754">
      <c r="A754" s="17"/>
      <c r="GS754" s="17"/>
    </row>
    <row r="755">
      <c r="A755" s="17"/>
      <c r="GS755" s="17"/>
    </row>
    <row r="756">
      <c r="A756" s="17"/>
      <c r="GS756" s="17"/>
    </row>
    <row r="757">
      <c r="A757" s="17"/>
      <c r="GS757" s="17"/>
    </row>
    <row r="758">
      <c r="A758" s="17"/>
      <c r="GS758" s="17"/>
    </row>
    <row r="759">
      <c r="A759" s="17"/>
      <c r="GS759" s="17"/>
    </row>
    <row r="760">
      <c r="A760" s="17"/>
      <c r="GS760" s="17"/>
    </row>
    <row r="761">
      <c r="A761" s="17"/>
      <c r="GS761" s="17"/>
    </row>
    <row r="762">
      <c r="A762" s="17"/>
      <c r="GS762" s="17"/>
    </row>
    <row r="763">
      <c r="A763" s="17"/>
      <c r="GS763" s="17"/>
    </row>
    <row r="764">
      <c r="A764" s="17"/>
      <c r="GS764" s="17"/>
    </row>
    <row r="765">
      <c r="A765" s="17"/>
      <c r="GS765" s="17"/>
    </row>
    <row r="766">
      <c r="A766" s="17"/>
      <c r="GS766" s="17"/>
    </row>
    <row r="767">
      <c r="A767" s="17"/>
      <c r="GS767" s="17"/>
    </row>
    <row r="768">
      <c r="A768" s="17"/>
      <c r="GS768" s="17"/>
    </row>
    <row r="769">
      <c r="A769" s="17"/>
      <c r="GS769" s="17"/>
    </row>
    <row r="770">
      <c r="A770" s="17"/>
      <c r="GS770" s="17"/>
    </row>
    <row r="771">
      <c r="A771" s="17"/>
      <c r="GS771" s="17"/>
    </row>
    <row r="772">
      <c r="A772" s="17"/>
      <c r="GS772" s="17"/>
    </row>
    <row r="773">
      <c r="A773" s="17"/>
      <c r="GS773" s="17"/>
    </row>
    <row r="774">
      <c r="A774" s="17"/>
      <c r="GS774" s="17"/>
    </row>
    <row r="775">
      <c r="A775" s="17"/>
      <c r="GS775" s="17"/>
    </row>
    <row r="776">
      <c r="A776" s="17"/>
      <c r="GS776" s="17"/>
    </row>
    <row r="777">
      <c r="A777" s="17"/>
      <c r="GS777" s="17"/>
    </row>
    <row r="778">
      <c r="A778" s="17"/>
      <c r="GS778" s="17"/>
    </row>
    <row r="779">
      <c r="A779" s="17"/>
      <c r="GS779" s="17"/>
    </row>
    <row r="780">
      <c r="A780" s="17"/>
      <c r="GS780" s="17"/>
    </row>
    <row r="781">
      <c r="A781" s="17"/>
      <c r="GS781" s="17"/>
    </row>
    <row r="782">
      <c r="A782" s="17"/>
      <c r="GS782" s="17"/>
    </row>
    <row r="783">
      <c r="A783" s="17"/>
      <c r="GS783" s="17"/>
    </row>
    <row r="784">
      <c r="A784" s="17"/>
      <c r="GS784" s="17"/>
    </row>
    <row r="785">
      <c r="A785" s="17"/>
      <c r="GS785" s="17"/>
    </row>
    <row r="786">
      <c r="A786" s="17"/>
      <c r="GS786" s="17"/>
    </row>
    <row r="787">
      <c r="A787" s="17"/>
      <c r="GS787" s="17"/>
    </row>
    <row r="788">
      <c r="A788" s="17"/>
      <c r="GS788" s="17"/>
    </row>
    <row r="789">
      <c r="A789" s="17"/>
      <c r="GS789" s="17"/>
    </row>
    <row r="790">
      <c r="A790" s="17"/>
      <c r="GS790" s="17"/>
    </row>
    <row r="791">
      <c r="A791" s="17"/>
      <c r="GS791" s="17"/>
    </row>
    <row r="792">
      <c r="A792" s="17"/>
      <c r="GS792" s="17"/>
    </row>
    <row r="793">
      <c r="A793" s="17"/>
      <c r="GS793" s="17"/>
    </row>
    <row r="794">
      <c r="A794" s="17"/>
      <c r="GS794" s="17"/>
    </row>
    <row r="795">
      <c r="A795" s="17"/>
      <c r="GS795" s="17"/>
    </row>
    <row r="796">
      <c r="A796" s="17"/>
      <c r="GS796" s="17"/>
    </row>
    <row r="797">
      <c r="A797" s="17"/>
      <c r="GS797" s="17"/>
    </row>
    <row r="798">
      <c r="A798" s="17"/>
      <c r="GS798" s="17"/>
    </row>
    <row r="799">
      <c r="A799" s="17"/>
      <c r="GS799" s="17"/>
    </row>
    <row r="800">
      <c r="A800" s="17"/>
      <c r="GS800" s="17"/>
    </row>
    <row r="801">
      <c r="A801" s="17"/>
      <c r="GS801" s="17"/>
    </row>
    <row r="802">
      <c r="A802" s="17"/>
      <c r="GS802" s="17"/>
    </row>
    <row r="803">
      <c r="A803" s="17"/>
      <c r="GS803" s="17"/>
    </row>
    <row r="804">
      <c r="A804" s="17"/>
      <c r="GS804" s="17"/>
    </row>
    <row r="805">
      <c r="A805" s="17"/>
      <c r="GS805" s="17"/>
    </row>
    <row r="806">
      <c r="A806" s="17"/>
      <c r="GS806" s="17"/>
    </row>
    <row r="807">
      <c r="A807" s="17"/>
      <c r="GS807" s="17"/>
    </row>
    <row r="808">
      <c r="A808" s="17"/>
      <c r="GS808" s="17"/>
    </row>
    <row r="809">
      <c r="A809" s="17"/>
      <c r="GS809" s="17"/>
    </row>
    <row r="810">
      <c r="A810" s="17"/>
      <c r="GS810" s="17"/>
    </row>
    <row r="811">
      <c r="A811" s="17"/>
      <c r="GS811" s="17"/>
    </row>
    <row r="812">
      <c r="A812" s="17"/>
      <c r="GS812" s="17"/>
    </row>
    <row r="813">
      <c r="A813" s="17"/>
      <c r="GS813" s="17"/>
    </row>
    <row r="814">
      <c r="A814" s="17"/>
      <c r="GS814" s="17"/>
    </row>
    <row r="815">
      <c r="A815" s="17"/>
      <c r="GS815" s="17"/>
    </row>
    <row r="816">
      <c r="A816" s="17"/>
      <c r="GS816" s="17"/>
    </row>
    <row r="817">
      <c r="A817" s="17"/>
      <c r="GS817" s="17"/>
    </row>
    <row r="818">
      <c r="A818" s="17"/>
      <c r="GS818" s="17"/>
    </row>
    <row r="819">
      <c r="A819" s="17"/>
      <c r="GS819" s="17"/>
    </row>
    <row r="820">
      <c r="A820" s="17"/>
      <c r="GS820" s="17"/>
    </row>
    <row r="821">
      <c r="A821" s="17"/>
      <c r="GS821" s="17"/>
    </row>
    <row r="822">
      <c r="A822" s="17"/>
      <c r="GS822" s="17"/>
    </row>
    <row r="823">
      <c r="A823" s="17"/>
      <c r="GS823" s="17"/>
    </row>
    <row r="824">
      <c r="A824" s="17"/>
      <c r="GS824" s="17"/>
    </row>
    <row r="825">
      <c r="A825" s="17"/>
      <c r="GS825" s="17"/>
    </row>
    <row r="826">
      <c r="A826" s="17"/>
      <c r="GS826" s="17"/>
    </row>
    <row r="827">
      <c r="A827" s="17"/>
      <c r="GS827" s="17"/>
    </row>
    <row r="828">
      <c r="A828" s="17"/>
      <c r="GS828" s="17"/>
    </row>
    <row r="829">
      <c r="A829" s="17"/>
      <c r="GS829" s="17"/>
    </row>
    <row r="830">
      <c r="A830" s="17"/>
      <c r="GS830" s="17"/>
    </row>
    <row r="831">
      <c r="A831" s="17"/>
      <c r="GS831" s="17"/>
    </row>
    <row r="832">
      <c r="A832" s="17"/>
      <c r="GS832" s="17"/>
    </row>
    <row r="833">
      <c r="A833" s="17"/>
      <c r="GS833" s="17"/>
    </row>
    <row r="834">
      <c r="A834" s="17"/>
      <c r="GS834" s="17"/>
    </row>
    <row r="835">
      <c r="A835" s="17"/>
      <c r="GS835" s="17"/>
    </row>
    <row r="836">
      <c r="A836" s="17"/>
      <c r="GS836" s="17"/>
    </row>
    <row r="837">
      <c r="A837" s="17"/>
      <c r="GS837" s="17"/>
    </row>
    <row r="838">
      <c r="A838" s="17"/>
      <c r="GS838" s="17"/>
    </row>
    <row r="839">
      <c r="A839" s="17"/>
      <c r="GS839" s="17"/>
    </row>
    <row r="840">
      <c r="A840" s="17"/>
      <c r="GS840" s="17"/>
    </row>
    <row r="841">
      <c r="A841" s="17"/>
      <c r="GS841" s="17"/>
    </row>
    <row r="842">
      <c r="A842" s="17"/>
      <c r="GS842" s="17"/>
    </row>
    <row r="843">
      <c r="A843" s="17"/>
      <c r="GS843" s="17"/>
    </row>
    <row r="844">
      <c r="A844" s="17"/>
      <c r="GS844" s="17"/>
    </row>
    <row r="845">
      <c r="A845" s="17"/>
      <c r="GS845" s="17"/>
    </row>
    <row r="846">
      <c r="A846" s="17"/>
      <c r="GS846" s="17"/>
    </row>
    <row r="847">
      <c r="A847" s="17"/>
      <c r="GS847" s="17"/>
    </row>
    <row r="848">
      <c r="A848" s="17"/>
      <c r="GS848" s="17"/>
    </row>
    <row r="849">
      <c r="A849" s="17"/>
      <c r="GS849" s="17"/>
    </row>
    <row r="850">
      <c r="A850" s="17"/>
      <c r="GS850" s="17"/>
    </row>
    <row r="851">
      <c r="A851" s="17"/>
      <c r="GS851" s="17"/>
    </row>
    <row r="852">
      <c r="A852" s="17"/>
      <c r="GS852" s="17"/>
    </row>
    <row r="853">
      <c r="A853" s="17"/>
      <c r="GS853" s="17"/>
    </row>
    <row r="854">
      <c r="A854" s="17"/>
      <c r="GS854" s="17"/>
    </row>
    <row r="855">
      <c r="A855" s="17"/>
      <c r="GS855" s="17"/>
    </row>
    <row r="856">
      <c r="A856" s="17"/>
      <c r="GS856" s="17"/>
    </row>
    <row r="857">
      <c r="A857" s="17"/>
      <c r="GS857" s="17"/>
    </row>
    <row r="858">
      <c r="A858" s="17"/>
      <c r="GS858" s="17"/>
    </row>
    <row r="859">
      <c r="A859" s="17"/>
      <c r="GS859" s="17"/>
    </row>
    <row r="860">
      <c r="A860" s="17"/>
      <c r="GS860" s="17"/>
    </row>
    <row r="861">
      <c r="A861" s="17"/>
      <c r="GS861" s="17"/>
    </row>
    <row r="862">
      <c r="A862" s="17"/>
      <c r="GS862" s="17"/>
    </row>
    <row r="863">
      <c r="A863" s="17"/>
      <c r="GS863" s="17"/>
    </row>
    <row r="864">
      <c r="A864" s="17"/>
      <c r="GS864" s="17"/>
    </row>
    <row r="865">
      <c r="A865" s="17"/>
      <c r="GS865" s="17"/>
    </row>
    <row r="866">
      <c r="A866" s="17"/>
      <c r="GS866" s="17"/>
    </row>
    <row r="867">
      <c r="A867" s="17"/>
      <c r="GS867" s="17"/>
    </row>
    <row r="868">
      <c r="A868" s="17"/>
      <c r="GS868" s="17"/>
    </row>
    <row r="869">
      <c r="A869" s="17"/>
      <c r="GS869" s="17"/>
    </row>
    <row r="870">
      <c r="A870" s="17"/>
      <c r="GS870" s="17"/>
    </row>
    <row r="871">
      <c r="A871" s="17"/>
      <c r="GS871" s="17"/>
    </row>
    <row r="872">
      <c r="A872" s="17"/>
      <c r="GS872" s="17"/>
    </row>
    <row r="873">
      <c r="A873" s="17"/>
      <c r="GS873" s="17"/>
    </row>
    <row r="874">
      <c r="A874" s="17"/>
      <c r="GS874" s="17"/>
    </row>
    <row r="875">
      <c r="A875" s="17"/>
      <c r="GS875" s="17"/>
    </row>
    <row r="876">
      <c r="A876" s="17"/>
      <c r="GS876" s="17"/>
    </row>
    <row r="877">
      <c r="A877" s="17"/>
      <c r="GS877" s="17"/>
    </row>
    <row r="878">
      <c r="A878" s="17"/>
      <c r="GS878" s="17"/>
    </row>
    <row r="879">
      <c r="A879" s="17"/>
      <c r="GS879" s="17"/>
    </row>
    <row r="880">
      <c r="A880" s="17"/>
      <c r="GS880" s="17"/>
    </row>
    <row r="881">
      <c r="A881" s="17"/>
      <c r="GS881" s="17"/>
    </row>
    <row r="882">
      <c r="A882" s="17"/>
      <c r="GS882" s="17"/>
    </row>
    <row r="883">
      <c r="A883" s="17"/>
      <c r="GS883" s="17"/>
    </row>
    <row r="884">
      <c r="A884" s="17"/>
      <c r="GS884" s="17"/>
    </row>
    <row r="885">
      <c r="A885" s="17"/>
      <c r="GS885" s="17"/>
    </row>
    <row r="886">
      <c r="A886" s="17"/>
      <c r="GS886" s="17"/>
    </row>
    <row r="887">
      <c r="A887" s="17"/>
      <c r="GS887" s="17"/>
    </row>
    <row r="888">
      <c r="A888" s="17"/>
      <c r="GS888" s="17"/>
    </row>
    <row r="889">
      <c r="A889" s="17"/>
      <c r="GS889" s="17"/>
    </row>
    <row r="890">
      <c r="A890" s="17"/>
      <c r="GS890" s="17"/>
    </row>
    <row r="891">
      <c r="A891" s="17"/>
      <c r="GS891" s="17"/>
    </row>
    <row r="892">
      <c r="A892" s="17"/>
      <c r="GS892" s="17"/>
    </row>
    <row r="893">
      <c r="A893" s="17"/>
      <c r="GS893" s="17"/>
    </row>
    <row r="894">
      <c r="A894" s="17"/>
      <c r="GS894" s="17"/>
    </row>
    <row r="895">
      <c r="A895" s="17"/>
      <c r="GS895" s="17"/>
    </row>
    <row r="896">
      <c r="A896" s="17"/>
      <c r="GS896" s="17"/>
    </row>
    <row r="897">
      <c r="A897" s="17"/>
      <c r="GS897" s="17"/>
    </row>
    <row r="898">
      <c r="A898" s="17"/>
      <c r="GS898" s="17"/>
    </row>
    <row r="899">
      <c r="A899" s="17"/>
      <c r="GS899" s="17"/>
    </row>
    <row r="900">
      <c r="A900" s="17"/>
      <c r="GS900" s="17"/>
    </row>
    <row r="901">
      <c r="A901" s="17"/>
      <c r="GS901" s="17"/>
    </row>
    <row r="902">
      <c r="A902" s="17"/>
      <c r="GS902" s="17"/>
    </row>
    <row r="903">
      <c r="A903" s="17"/>
      <c r="GS903" s="17"/>
    </row>
    <row r="904">
      <c r="A904" s="17"/>
      <c r="GS904" s="17"/>
    </row>
    <row r="905">
      <c r="A905" s="17"/>
      <c r="GS905" s="17"/>
    </row>
    <row r="906">
      <c r="A906" s="17"/>
      <c r="GS906" s="17"/>
    </row>
    <row r="907">
      <c r="A907" s="17"/>
      <c r="GS907" s="17"/>
    </row>
    <row r="908">
      <c r="A908" s="17"/>
      <c r="GS908" s="17"/>
    </row>
    <row r="909">
      <c r="A909" s="17"/>
      <c r="GS909" s="17"/>
    </row>
    <row r="910">
      <c r="A910" s="17"/>
      <c r="GS910" s="17"/>
    </row>
    <row r="911">
      <c r="A911" s="17"/>
      <c r="GS911" s="17"/>
    </row>
    <row r="912">
      <c r="A912" s="17"/>
      <c r="GS912" s="17"/>
    </row>
    <row r="913">
      <c r="A913" s="17"/>
      <c r="GS913" s="17"/>
    </row>
    <row r="914">
      <c r="A914" s="17"/>
      <c r="GS914" s="17"/>
    </row>
    <row r="915">
      <c r="A915" s="17"/>
      <c r="GS915" s="17"/>
    </row>
    <row r="916">
      <c r="A916" s="17"/>
      <c r="GS916" s="17"/>
    </row>
    <row r="917">
      <c r="A917" s="17"/>
      <c r="GS917" s="17"/>
    </row>
    <row r="918">
      <c r="A918" s="17"/>
      <c r="GS918" s="17"/>
    </row>
    <row r="919">
      <c r="A919" s="17"/>
      <c r="GS919" s="17"/>
    </row>
    <row r="920">
      <c r="A920" s="17"/>
      <c r="GS920" s="17"/>
    </row>
    <row r="921">
      <c r="A921" s="17"/>
      <c r="GS921" s="17"/>
    </row>
    <row r="922">
      <c r="A922" s="17"/>
      <c r="GS922" s="17"/>
    </row>
    <row r="923">
      <c r="A923" s="17"/>
      <c r="GS923" s="17"/>
    </row>
    <row r="924">
      <c r="A924" s="17"/>
      <c r="GS924" s="17"/>
    </row>
    <row r="925">
      <c r="A925" s="17"/>
      <c r="GS925" s="17"/>
    </row>
    <row r="926">
      <c r="A926" s="17"/>
      <c r="GS926" s="17"/>
    </row>
    <row r="927">
      <c r="A927" s="17"/>
      <c r="GS927" s="17"/>
    </row>
    <row r="928">
      <c r="A928" s="17"/>
      <c r="GS928" s="17"/>
    </row>
    <row r="929">
      <c r="A929" s="17"/>
      <c r="GS929" s="17"/>
    </row>
    <row r="930">
      <c r="A930" s="17"/>
      <c r="GS930" s="17"/>
    </row>
    <row r="931">
      <c r="A931" s="17"/>
      <c r="GS931" s="17"/>
    </row>
    <row r="932">
      <c r="A932" s="17"/>
      <c r="GS932" s="17"/>
    </row>
    <row r="933">
      <c r="A933" s="17"/>
      <c r="GS933" s="17"/>
    </row>
    <row r="934">
      <c r="A934" s="17"/>
      <c r="GS934" s="17"/>
    </row>
    <row r="935">
      <c r="A935" s="17"/>
      <c r="GS935" s="17"/>
    </row>
    <row r="936">
      <c r="A936" s="17"/>
      <c r="GS936" s="17"/>
    </row>
    <row r="937">
      <c r="A937" s="17"/>
      <c r="GS937" s="17"/>
    </row>
    <row r="938">
      <c r="A938" s="17"/>
      <c r="GS938" s="17"/>
    </row>
    <row r="939">
      <c r="A939" s="17"/>
      <c r="GS939" s="17"/>
    </row>
    <row r="940">
      <c r="A940" s="17"/>
      <c r="GS940" s="17"/>
    </row>
    <row r="941">
      <c r="A941" s="17"/>
      <c r="GS941" s="17"/>
    </row>
    <row r="942">
      <c r="A942" s="17"/>
      <c r="GS942" s="17"/>
    </row>
    <row r="943">
      <c r="A943" s="17"/>
      <c r="GS943" s="17"/>
    </row>
    <row r="944">
      <c r="A944" s="17"/>
      <c r="GS944" s="17"/>
    </row>
    <row r="945">
      <c r="A945" s="17"/>
      <c r="GS945" s="17"/>
    </row>
    <row r="946">
      <c r="A946" s="17"/>
      <c r="GS946" s="17"/>
    </row>
    <row r="947">
      <c r="A947" s="17"/>
      <c r="GS947" s="17"/>
    </row>
    <row r="948">
      <c r="A948" s="17"/>
      <c r="GS948" s="17"/>
    </row>
    <row r="949">
      <c r="A949" s="17"/>
      <c r="GS949" s="17"/>
    </row>
    <row r="950">
      <c r="A950" s="17"/>
      <c r="GS950" s="17"/>
    </row>
    <row r="951">
      <c r="A951" s="17"/>
      <c r="GS951" s="17"/>
    </row>
    <row r="952">
      <c r="A952" s="17"/>
      <c r="GS952" s="17"/>
    </row>
    <row r="953">
      <c r="A953" s="17"/>
      <c r="GS953" s="17"/>
    </row>
    <row r="954">
      <c r="A954" s="17"/>
      <c r="GS954" s="17"/>
    </row>
    <row r="955">
      <c r="A955" s="17"/>
      <c r="GS955" s="17"/>
    </row>
    <row r="956">
      <c r="A956" s="17"/>
      <c r="GS956" s="17"/>
    </row>
    <row r="957">
      <c r="A957" s="17"/>
      <c r="GS957" s="17"/>
    </row>
    <row r="958">
      <c r="A958" s="17"/>
      <c r="GS958" s="17"/>
    </row>
    <row r="959">
      <c r="A959" s="17"/>
      <c r="GS959" s="17"/>
    </row>
    <row r="960">
      <c r="A960" s="17"/>
      <c r="GS960" s="17"/>
    </row>
    <row r="961">
      <c r="A961" s="17"/>
      <c r="GS961" s="17"/>
    </row>
    <row r="962">
      <c r="A962" s="17"/>
      <c r="GS962" s="17"/>
    </row>
    <row r="963">
      <c r="A963" s="17"/>
      <c r="GS963" s="17"/>
    </row>
    <row r="964">
      <c r="A964" s="17"/>
      <c r="GS964" s="17"/>
    </row>
    <row r="965">
      <c r="A965" s="17"/>
      <c r="GS965" s="17"/>
    </row>
    <row r="966">
      <c r="A966" s="17"/>
      <c r="GS966" s="17"/>
    </row>
    <row r="967">
      <c r="A967" s="17"/>
      <c r="GS967" s="17"/>
    </row>
    <row r="968">
      <c r="A968" s="17"/>
      <c r="GS968" s="17"/>
    </row>
    <row r="969">
      <c r="A969" s="17"/>
      <c r="GS969" s="17"/>
    </row>
    <row r="970">
      <c r="A970" s="17"/>
      <c r="GS970" s="17"/>
    </row>
    <row r="971">
      <c r="A971" s="17"/>
      <c r="GS971" s="17"/>
    </row>
    <row r="972">
      <c r="A972" s="17"/>
      <c r="GS972" s="17"/>
    </row>
    <row r="973">
      <c r="A973" s="17"/>
      <c r="GS973" s="17"/>
    </row>
    <row r="974">
      <c r="A974" s="17"/>
      <c r="GS974" s="17"/>
    </row>
    <row r="975">
      <c r="A975" s="17"/>
      <c r="GS975" s="17"/>
    </row>
    <row r="976">
      <c r="A976" s="17"/>
      <c r="GS976" s="17"/>
    </row>
    <row r="977">
      <c r="A977" s="17"/>
      <c r="GS977" s="17"/>
    </row>
    <row r="978">
      <c r="A978" s="17"/>
      <c r="GS978" s="17"/>
    </row>
    <row r="979">
      <c r="A979" s="17"/>
      <c r="GS979" s="17"/>
    </row>
    <row r="980">
      <c r="A980" s="17"/>
      <c r="GS980" s="17"/>
    </row>
    <row r="981">
      <c r="A981" s="17"/>
      <c r="GS981" s="17"/>
    </row>
    <row r="982">
      <c r="A982" s="17"/>
      <c r="GS982" s="17"/>
    </row>
    <row r="983">
      <c r="A983" s="17"/>
      <c r="GS983" s="17"/>
    </row>
    <row r="984">
      <c r="A984" s="17"/>
      <c r="GS984" s="17"/>
    </row>
    <row r="985">
      <c r="A985" s="17"/>
      <c r="GS985" s="17"/>
    </row>
    <row r="986">
      <c r="A986" s="17"/>
      <c r="GS986" s="17"/>
    </row>
    <row r="987">
      <c r="A987" s="17"/>
      <c r="GS987" s="17"/>
    </row>
    <row r="988">
      <c r="A988" s="17"/>
      <c r="GS988" s="17"/>
    </row>
    <row r="989">
      <c r="A989" s="17"/>
      <c r="GS989" s="17"/>
    </row>
    <row r="990">
      <c r="A990" s="17"/>
      <c r="GS990" s="17"/>
    </row>
    <row r="991">
      <c r="A991" s="17"/>
      <c r="GS991" s="17"/>
    </row>
    <row r="992">
      <c r="A992" s="17"/>
      <c r="GS992" s="17"/>
    </row>
    <row r="993">
      <c r="A993" s="17"/>
      <c r="GS993" s="17"/>
    </row>
    <row r="994">
      <c r="A994" s="17"/>
      <c r="GS994" s="17"/>
    </row>
    <row r="995">
      <c r="A995" s="17"/>
      <c r="GS995" s="17"/>
    </row>
    <row r="996">
      <c r="A996" s="17"/>
      <c r="GS996" s="17"/>
    </row>
    <row r="997">
      <c r="A997" s="17"/>
      <c r="GS997" s="17"/>
    </row>
    <row r="998">
      <c r="A998" s="17"/>
      <c r="GS998" s="17"/>
    </row>
    <row r="999">
      <c r="A999" s="17"/>
      <c r="GS999" s="17"/>
    </row>
    <row r="1000">
      <c r="A1000" s="17"/>
      <c r="GS1000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3" width="5.5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>
        <v>26.0</v>
      </c>
      <c r="AC1" s="2">
        <v>27.0</v>
      </c>
      <c r="AD1" s="2"/>
      <c r="AE1" s="2"/>
      <c r="AF1" s="2"/>
      <c r="AG1" s="2"/>
    </row>
    <row r="2">
      <c r="A2" s="2">
        <v>0.0</v>
      </c>
      <c r="B2" s="5">
        <f t="shared" ref="B2:AC2" si="1">B$1*$A2</f>
        <v>0</v>
      </c>
      <c r="C2" s="5">
        <f t="shared" si="1"/>
        <v>0</v>
      </c>
      <c r="D2" s="5">
        <f t="shared" si="1"/>
        <v>0</v>
      </c>
      <c r="E2" s="5">
        <f t="shared" si="1"/>
        <v>0</v>
      </c>
      <c r="F2" s="5">
        <f t="shared" si="1"/>
        <v>0</v>
      </c>
      <c r="G2" s="5">
        <f t="shared" si="1"/>
        <v>0</v>
      </c>
      <c r="H2" s="5">
        <f t="shared" si="1"/>
        <v>0</v>
      </c>
      <c r="I2" s="5">
        <f t="shared" si="1"/>
        <v>0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>
        <f t="shared" si="1"/>
        <v>0</v>
      </c>
      <c r="Q2" s="5">
        <f t="shared" si="1"/>
        <v>0</v>
      </c>
      <c r="R2" s="5">
        <f t="shared" si="1"/>
        <v>0</v>
      </c>
      <c r="S2" s="5">
        <f t="shared" si="1"/>
        <v>0</v>
      </c>
      <c r="T2" s="5">
        <f t="shared" si="1"/>
        <v>0</v>
      </c>
      <c r="U2" s="5">
        <f t="shared" si="1"/>
        <v>0</v>
      </c>
      <c r="V2" s="5">
        <f t="shared" si="1"/>
        <v>0</v>
      </c>
      <c r="W2" s="5">
        <f t="shared" si="1"/>
        <v>0</v>
      </c>
      <c r="X2" s="5">
        <f t="shared" si="1"/>
        <v>0</v>
      </c>
      <c r="Y2" s="5">
        <f t="shared" si="1"/>
        <v>0</v>
      </c>
      <c r="Z2" s="5">
        <f t="shared" si="1"/>
        <v>0</v>
      </c>
      <c r="AA2" s="5">
        <f t="shared" si="1"/>
        <v>0</v>
      </c>
      <c r="AB2" s="5">
        <f t="shared" si="1"/>
        <v>0</v>
      </c>
      <c r="AC2" s="5">
        <f t="shared" si="1"/>
        <v>0</v>
      </c>
    </row>
    <row r="3">
      <c r="A3" s="2">
        <v>1.0</v>
      </c>
      <c r="B3" s="5">
        <f t="shared" ref="B3:AC3" si="2">B$1*$A3</f>
        <v>0</v>
      </c>
      <c r="C3" s="5">
        <f t="shared" si="2"/>
        <v>1</v>
      </c>
      <c r="D3" s="5">
        <f t="shared" si="2"/>
        <v>2</v>
      </c>
      <c r="E3" s="5">
        <f t="shared" si="2"/>
        <v>3</v>
      </c>
      <c r="F3" s="5">
        <f t="shared" si="2"/>
        <v>4</v>
      </c>
      <c r="G3" s="5">
        <f t="shared" si="2"/>
        <v>5</v>
      </c>
      <c r="H3" s="5">
        <f t="shared" si="2"/>
        <v>6</v>
      </c>
      <c r="I3" s="5">
        <f t="shared" si="2"/>
        <v>7</v>
      </c>
      <c r="J3" s="5">
        <f t="shared" si="2"/>
        <v>8</v>
      </c>
      <c r="K3" s="5">
        <f t="shared" si="2"/>
        <v>9</v>
      </c>
      <c r="L3" s="5">
        <f t="shared" si="2"/>
        <v>10</v>
      </c>
      <c r="M3" s="5">
        <f t="shared" si="2"/>
        <v>11</v>
      </c>
      <c r="N3" s="5">
        <f t="shared" si="2"/>
        <v>12</v>
      </c>
      <c r="O3" s="5">
        <f t="shared" si="2"/>
        <v>13</v>
      </c>
      <c r="P3" s="5">
        <f t="shared" si="2"/>
        <v>14</v>
      </c>
      <c r="Q3" s="5">
        <f t="shared" si="2"/>
        <v>15</v>
      </c>
      <c r="R3" s="5">
        <f t="shared" si="2"/>
        <v>16</v>
      </c>
      <c r="S3" s="5">
        <f t="shared" si="2"/>
        <v>17</v>
      </c>
      <c r="T3" s="5">
        <f t="shared" si="2"/>
        <v>18</v>
      </c>
      <c r="U3" s="5">
        <f t="shared" si="2"/>
        <v>19</v>
      </c>
      <c r="V3" s="5">
        <f t="shared" si="2"/>
        <v>20</v>
      </c>
      <c r="W3" s="5">
        <f t="shared" si="2"/>
        <v>21</v>
      </c>
      <c r="X3" s="5">
        <f t="shared" si="2"/>
        <v>22</v>
      </c>
      <c r="Y3" s="5">
        <f t="shared" si="2"/>
        <v>23</v>
      </c>
      <c r="Z3" s="5">
        <f t="shared" si="2"/>
        <v>24</v>
      </c>
      <c r="AA3" s="5">
        <f t="shared" si="2"/>
        <v>25</v>
      </c>
      <c r="AB3" s="5">
        <f t="shared" si="2"/>
        <v>26</v>
      </c>
      <c r="AC3" s="5">
        <f t="shared" si="2"/>
        <v>27</v>
      </c>
    </row>
    <row r="4">
      <c r="A4" s="2">
        <v>2.0</v>
      </c>
      <c r="B4" s="5">
        <f t="shared" ref="B4:AC4" si="3">B$1*$A4</f>
        <v>0</v>
      </c>
      <c r="C4" s="5">
        <f t="shared" si="3"/>
        <v>2</v>
      </c>
      <c r="D4" s="5">
        <f t="shared" si="3"/>
        <v>4</v>
      </c>
      <c r="E4" s="5">
        <f t="shared" si="3"/>
        <v>6</v>
      </c>
      <c r="F4" s="5">
        <f t="shared" si="3"/>
        <v>8</v>
      </c>
      <c r="G4" s="5">
        <f t="shared" si="3"/>
        <v>10</v>
      </c>
      <c r="H4" s="5">
        <f t="shared" si="3"/>
        <v>12</v>
      </c>
      <c r="I4" s="5">
        <f t="shared" si="3"/>
        <v>14</v>
      </c>
      <c r="J4" s="5">
        <f t="shared" si="3"/>
        <v>16</v>
      </c>
      <c r="K4" s="5">
        <f t="shared" si="3"/>
        <v>18</v>
      </c>
      <c r="L4" s="5">
        <f t="shared" si="3"/>
        <v>20</v>
      </c>
      <c r="M4" s="5">
        <f t="shared" si="3"/>
        <v>22</v>
      </c>
      <c r="N4" s="5">
        <f t="shared" si="3"/>
        <v>24</v>
      </c>
      <c r="O4" s="5">
        <f t="shared" si="3"/>
        <v>26</v>
      </c>
      <c r="P4" s="5">
        <f t="shared" si="3"/>
        <v>28</v>
      </c>
      <c r="Q4" s="5">
        <f t="shared" si="3"/>
        <v>30</v>
      </c>
      <c r="R4" s="5">
        <f t="shared" si="3"/>
        <v>32</v>
      </c>
      <c r="S4" s="5">
        <f t="shared" si="3"/>
        <v>34</v>
      </c>
      <c r="T4" s="5">
        <f t="shared" si="3"/>
        <v>36</v>
      </c>
      <c r="U4" s="5">
        <f t="shared" si="3"/>
        <v>38</v>
      </c>
      <c r="V4" s="5">
        <f t="shared" si="3"/>
        <v>40</v>
      </c>
      <c r="W4" s="5">
        <f t="shared" si="3"/>
        <v>42</v>
      </c>
      <c r="X4" s="5">
        <f t="shared" si="3"/>
        <v>44</v>
      </c>
      <c r="Y4" s="5">
        <f t="shared" si="3"/>
        <v>46</v>
      </c>
      <c r="Z4" s="5">
        <f t="shared" si="3"/>
        <v>48</v>
      </c>
      <c r="AA4" s="5">
        <f t="shared" si="3"/>
        <v>50</v>
      </c>
      <c r="AB4" s="5">
        <f t="shared" si="3"/>
        <v>52</v>
      </c>
      <c r="AC4" s="5">
        <f t="shared" si="3"/>
        <v>54</v>
      </c>
    </row>
    <row r="5">
      <c r="A5" s="2">
        <v>3.0</v>
      </c>
      <c r="B5" s="5">
        <f t="shared" ref="B5:AC5" si="4">B$1*$A5</f>
        <v>0</v>
      </c>
      <c r="C5" s="5">
        <f t="shared" si="4"/>
        <v>3</v>
      </c>
      <c r="D5" s="5">
        <f t="shared" si="4"/>
        <v>6</v>
      </c>
      <c r="E5" s="5">
        <f t="shared" si="4"/>
        <v>9</v>
      </c>
      <c r="F5" s="5">
        <f t="shared" si="4"/>
        <v>12</v>
      </c>
      <c r="G5" s="5">
        <f t="shared" si="4"/>
        <v>15</v>
      </c>
      <c r="H5" s="5">
        <f t="shared" si="4"/>
        <v>18</v>
      </c>
      <c r="I5" s="5">
        <f t="shared" si="4"/>
        <v>21</v>
      </c>
      <c r="J5" s="5">
        <f t="shared" si="4"/>
        <v>24</v>
      </c>
      <c r="K5" s="5">
        <f t="shared" si="4"/>
        <v>27</v>
      </c>
      <c r="L5" s="5">
        <f t="shared" si="4"/>
        <v>30</v>
      </c>
      <c r="M5" s="5">
        <f t="shared" si="4"/>
        <v>33</v>
      </c>
      <c r="N5" s="5">
        <f t="shared" si="4"/>
        <v>36</v>
      </c>
      <c r="O5" s="5">
        <f t="shared" si="4"/>
        <v>39</v>
      </c>
      <c r="P5" s="5">
        <f t="shared" si="4"/>
        <v>42</v>
      </c>
      <c r="Q5" s="5">
        <f t="shared" si="4"/>
        <v>45</v>
      </c>
      <c r="R5" s="5">
        <f t="shared" si="4"/>
        <v>48</v>
      </c>
      <c r="S5" s="5">
        <f t="shared" si="4"/>
        <v>51</v>
      </c>
      <c r="T5" s="5">
        <f t="shared" si="4"/>
        <v>54</v>
      </c>
      <c r="U5" s="5">
        <f t="shared" si="4"/>
        <v>57</v>
      </c>
      <c r="V5" s="5">
        <f t="shared" si="4"/>
        <v>60</v>
      </c>
      <c r="W5" s="5">
        <f t="shared" si="4"/>
        <v>63</v>
      </c>
      <c r="X5" s="5">
        <f t="shared" si="4"/>
        <v>66</v>
      </c>
      <c r="Y5" s="5">
        <f t="shared" si="4"/>
        <v>69</v>
      </c>
      <c r="Z5" s="5">
        <f t="shared" si="4"/>
        <v>72</v>
      </c>
      <c r="AA5" s="5">
        <f t="shared" si="4"/>
        <v>75</v>
      </c>
      <c r="AB5" s="5">
        <f t="shared" si="4"/>
        <v>78</v>
      </c>
      <c r="AC5" s="5">
        <f t="shared" si="4"/>
        <v>81</v>
      </c>
    </row>
    <row r="6">
      <c r="A6" s="2">
        <v>4.0</v>
      </c>
      <c r="B6" s="5">
        <f t="shared" ref="B6:AC6" si="5">B$1*$A6</f>
        <v>0</v>
      </c>
      <c r="C6" s="5">
        <f t="shared" si="5"/>
        <v>4</v>
      </c>
      <c r="D6" s="5">
        <f t="shared" si="5"/>
        <v>8</v>
      </c>
      <c r="E6" s="5">
        <f t="shared" si="5"/>
        <v>12</v>
      </c>
      <c r="F6" s="5">
        <f t="shared" si="5"/>
        <v>16</v>
      </c>
      <c r="G6" s="5">
        <f t="shared" si="5"/>
        <v>20</v>
      </c>
      <c r="H6" s="5">
        <f t="shared" si="5"/>
        <v>24</v>
      </c>
      <c r="I6" s="5">
        <f t="shared" si="5"/>
        <v>28</v>
      </c>
      <c r="J6" s="5">
        <f t="shared" si="5"/>
        <v>32</v>
      </c>
      <c r="K6" s="5">
        <f t="shared" si="5"/>
        <v>36</v>
      </c>
      <c r="L6" s="5">
        <f t="shared" si="5"/>
        <v>40</v>
      </c>
      <c r="M6" s="5">
        <f t="shared" si="5"/>
        <v>44</v>
      </c>
      <c r="N6" s="5">
        <f t="shared" si="5"/>
        <v>48</v>
      </c>
      <c r="O6" s="5">
        <f t="shared" si="5"/>
        <v>52</v>
      </c>
      <c r="P6" s="5">
        <f t="shared" si="5"/>
        <v>56</v>
      </c>
      <c r="Q6" s="5">
        <f t="shared" si="5"/>
        <v>60</v>
      </c>
      <c r="R6" s="5">
        <f t="shared" si="5"/>
        <v>64</v>
      </c>
      <c r="S6" s="5">
        <f t="shared" si="5"/>
        <v>68</v>
      </c>
      <c r="T6" s="5">
        <f t="shared" si="5"/>
        <v>72</v>
      </c>
      <c r="U6" s="5">
        <f t="shared" si="5"/>
        <v>76</v>
      </c>
      <c r="V6" s="5">
        <f t="shared" si="5"/>
        <v>80</v>
      </c>
      <c r="W6" s="5">
        <f t="shared" si="5"/>
        <v>84</v>
      </c>
      <c r="X6" s="5">
        <f t="shared" si="5"/>
        <v>88</v>
      </c>
      <c r="Y6" s="5">
        <f t="shared" si="5"/>
        <v>92</v>
      </c>
      <c r="Z6" s="5">
        <f t="shared" si="5"/>
        <v>96</v>
      </c>
      <c r="AA6" s="5">
        <f t="shared" si="5"/>
        <v>100</v>
      </c>
      <c r="AB6" s="5">
        <f t="shared" si="5"/>
        <v>104</v>
      </c>
      <c r="AC6" s="5">
        <f t="shared" si="5"/>
        <v>108</v>
      </c>
    </row>
    <row r="7">
      <c r="A7" s="2">
        <v>5.0</v>
      </c>
      <c r="B7" s="5">
        <f t="shared" ref="B7:AC7" si="6">B$1*$A7</f>
        <v>0</v>
      </c>
      <c r="C7" s="5">
        <f t="shared" si="6"/>
        <v>5</v>
      </c>
      <c r="D7" s="5">
        <f t="shared" si="6"/>
        <v>10</v>
      </c>
      <c r="E7" s="5">
        <f t="shared" si="6"/>
        <v>15</v>
      </c>
      <c r="F7" s="5">
        <f t="shared" si="6"/>
        <v>20</v>
      </c>
      <c r="G7" s="5">
        <f t="shared" si="6"/>
        <v>25</v>
      </c>
      <c r="H7" s="5">
        <f t="shared" si="6"/>
        <v>30</v>
      </c>
      <c r="I7" s="5">
        <f t="shared" si="6"/>
        <v>35</v>
      </c>
      <c r="J7" s="5">
        <f t="shared" si="6"/>
        <v>40</v>
      </c>
      <c r="K7" s="5">
        <f t="shared" si="6"/>
        <v>45</v>
      </c>
      <c r="L7" s="5">
        <f t="shared" si="6"/>
        <v>50</v>
      </c>
      <c r="M7" s="5">
        <f t="shared" si="6"/>
        <v>55</v>
      </c>
      <c r="N7" s="5">
        <f t="shared" si="6"/>
        <v>60</v>
      </c>
      <c r="O7" s="5">
        <f t="shared" si="6"/>
        <v>65</v>
      </c>
      <c r="P7" s="5">
        <f t="shared" si="6"/>
        <v>70</v>
      </c>
      <c r="Q7" s="5">
        <f t="shared" si="6"/>
        <v>75</v>
      </c>
      <c r="R7" s="5">
        <f t="shared" si="6"/>
        <v>80</v>
      </c>
      <c r="S7" s="5">
        <f t="shared" si="6"/>
        <v>85</v>
      </c>
      <c r="T7" s="5">
        <f t="shared" si="6"/>
        <v>90</v>
      </c>
      <c r="U7" s="5">
        <f t="shared" si="6"/>
        <v>95</v>
      </c>
      <c r="V7" s="5">
        <f t="shared" si="6"/>
        <v>100</v>
      </c>
      <c r="W7" s="5">
        <f t="shared" si="6"/>
        <v>105</v>
      </c>
      <c r="X7" s="5">
        <f t="shared" si="6"/>
        <v>110</v>
      </c>
      <c r="Y7" s="5">
        <f t="shared" si="6"/>
        <v>115</v>
      </c>
      <c r="Z7" s="5">
        <f t="shared" si="6"/>
        <v>120</v>
      </c>
      <c r="AA7" s="5">
        <f t="shared" si="6"/>
        <v>125</v>
      </c>
      <c r="AB7" s="5">
        <f t="shared" si="6"/>
        <v>130</v>
      </c>
      <c r="AC7" s="5">
        <f t="shared" si="6"/>
        <v>135</v>
      </c>
    </row>
    <row r="8">
      <c r="A8" s="2">
        <v>6.0</v>
      </c>
      <c r="B8" s="5">
        <f t="shared" ref="B8:AC8" si="7">B$1*$A8</f>
        <v>0</v>
      </c>
      <c r="C8" s="5">
        <f t="shared" si="7"/>
        <v>6</v>
      </c>
      <c r="D8" s="5">
        <f t="shared" si="7"/>
        <v>12</v>
      </c>
      <c r="E8" s="5">
        <f t="shared" si="7"/>
        <v>18</v>
      </c>
      <c r="F8" s="5">
        <f t="shared" si="7"/>
        <v>24</v>
      </c>
      <c r="G8" s="5">
        <f t="shared" si="7"/>
        <v>30</v>
      </c>
      <c r="H8" s="5">
        <f t="shared" si="7"/>
        <v>36</v>
      </c>
      <c r="I8" s="5">
        <f t="shared" si="7"/>
        <v>42</v>
      </c>
      <c r="J8" s="5">
        <f t="shared" si="7"/>
        <v>48</v>
      </c>
      <c r="K8" s="5">
        <f t="shared" si="7"/>
        <v>54</v>
      </c>
      <c r="L8" s="5">
        <f t="shared" si="7"/>
        <v>60</v>
      </c>
      <c r="M8" s="5">
        <f t="shared" si="7"/>
        <v>66</v>
      </c>
      <c r="N8" s="5">
        <f t="shared" si="7"/>
        <v>72</v>
      </c>
      <c r="O8" s="5">
        <f t="shared" si="7"/>
        <v>78</v>
      </c>
      <c r="P8" s="5">
        <f t="shared" si="7"/>
        <v>84</v>
      </c>
      <c r="Q8" s="5">
        <f t="shared" si="7"/>
        <v>90</v>
      </c>
      <c r="R8" s="5">
        <f t="shared" si="7"/>
        <v>96</v>
      </c>
      <c r="S8" s="5">
        <f t="shared" si="7"/>
        <v>102</v>
      </c>
      <c r="T8" s="5">
        <f t="shared" si="7"/>
        <v>108</v>
      </c>
      <c r="U8" s="5">
        <f t="shared" si="7"/>
        <v>114</v>
      </c>
      <c r="V8" s="5">
        <f t="shared" si="7"/>
        <v>120</v>
      </c>
      <c r="W8" s="5">
        <f t="shared" si="7"/>
        <v>126</v>
      </c>
      <c r="X8" s="5">
        <f t="shared" si="7"/>
        <v>132</v>
      </c>
      <c r="Y8" s="5">
        <f t="shared" si="7"/>
        <v>138</v>
      </c>
      <c r="Z8" s="5">
        <f t="shared" si="7"/>
        <v>144</v>
      </c>
      <c r="AA8" s="5">
        <f t="shared" si="7"/>
        <v>150</v>
      </c>
      <c r="AB8" s="5">
        <f t="shared" si="7"/>
        <v>156</v>
      </c>
      <c r="AC8" s="5">
        <f t="shared" si="7"/>
        <v>162</v>
      </c>
    </row>
    <row r="9">
      <c r="A9" s="2">
        <v>7.0</v>
      </c>
      <c r="B9" s="5">
        <f t="shared" ref="B9:AC9" si="8">B$1*$A9</f>
        <v>0</v>
      </c>
      <c r="C9" s="5">
        <f t="shared" si="8"/>
        <v>7</v>
      </c>
      <c r="D9" s="5">
        <f t="shared" si="8"/>
        <v>14</v>
      </c>
      <c r="E9" s="5">
        <f t="shared" si="8"/>
        <v>21</v>
      </c>
      <c r="F9" s="5">
        <f t="shared" si="8"/>
        <v>28</v>
      </c>
      <c r="G9" s="5">
        <f t="shared" si="8"/>
        <v>35</v>
      </c>
      <c r="H9" s="5">
        <f t="shared" si="8"/>
        <v>42</v>
      </c>
      <c r="I9" s="5">
        <f t="shared" si="8"/>
        <v>49</v>
      </c>
      <c r="J9" s="5">
        <f t="shared" si="8"/>
        <v>56</v>
      </c>
      <c r="K9" s="24">
        <f t="shared" si="8"/>
        <v>63</v>
      </c>
      <c r="L9" s="5">
        <f t="shared" si="8"/>
        <v>70</v>
      </c>
      <c r="M9" s="5">
        <f t="shared" si="8"/>
        <v>77</v>
      </c>
      <c r="N9" s="5">
        <f t="shared" si="8"/>
        <v>84</v>
      </c>
      <c r="O9" s="5">
        <f t="shared" si="8"/>
        <v>91</v>
      </c>
      <c r="P9" s="5">
        <f t="shared" si="8"/>
        <v>98</v>
      </c>
      <c r="Q9" s="5">
        <f t="shared" si="8"/>
        <v>105</v>
      </c>
      <c r="R9" s="5">
        <f t="shared" si="8"/>
        <v>112</v>
      </c>
      <c r="S9" s="5">
        <f t="shared" si="8"/>
        <v>119</v>
      </c>
      <c r="T9" s="5">
        <f t="shared" si="8"/>
        <v>126</v>
      </c>
      <c r="U9" s="5">
        <f t="shared" si="8"/>
        <v>133</v>
      </c>
      <c r="V9" s="5">
        <f t="shared" si="8"/>
        <v>140</v>
      </c>
      <c r="W9" s="5">
        <f t="shared" si="8"/>
        <v>147</v>
      </c>
      <c r="X9" s="5">
        <f t="shared" si="8"/>
        <v>154</v>
      </c>
      <c r="Y9" s="5">
        <f t="shared" si="8"/>
        <v>161</v>
      </c>
      <c r="Z9" s="5">
        <f t="shared" si="8"/>
        <v>168</v>
      </c>
      <c r="AA9" s="5">
        <f t="shared" si="8"/>
        <v>175</v>
      </c>
      <c r="AB9" s="5">
        <f t="shared" si="8"/>
        <v>182</v>
      </c>
      <c r="AC9" s="5">
        <f t="shared" si="8"/>
        <v>189</v>
      </c>
    </row>
    <row r="10">
      <c r="A10" s="2">
        <v>8.0</v>
      </c>
      <c r="B10" s="5">
        <f t="shared" ref="B10:AC10" si="9">B$1*$A10</f>
        <v>0</v>
      </c>
      <c r="C10" s="5">
        <f t="shared" si="9"/>
        <v>8</v>
      </c>
      <c r="D10" s="5">
        <f t="shared" si="9"/>
        <v>16</v>
      </c>
      <c r="E10" s="5">
        <f t="shared" si="9"/>
        <v>24</v>
      </c>
      <c r="F10" s="5">
        <f t="shared" si="9"/>
        <v>32</v>
      </c>
      <c r="G10" s="5">
        <f t="shared" si="9"/>
        <v>40</v>
      </c>
      <c r="H10" s="5">
        <f t="shared" si="9"/>
        <v>48</v>
      </c>
      <c r="I10" s="5">
        <f t="shared" si="9"/>
        <v>56</v>
      </c>
      <c r="J10" s="24">
        <f t="shared" si="9"/>
        <v>64</v>
      </c>
      <c r="K10" s="5">
        <f t="shared" si="9"/>
        <v>72</v>
      </c>
      <c r="L10" s="5">
        <f t="shared" si="9"/>
        <v>80</v>
      </c>
      <c r="M10" s="5">
        <f t="shared" si="9"/>
        <v>88</v>
      </c>
      <c r="N10" s="5">
        <f t="shared" si="9"/>
        <v>96</v>
      </c>
      <c r="O10" s="5">
        <f t="shared" si="9"/>
        <v>104</v>
      </c>
      <c r="P10" s="5">
        <f t="shared" si="9"/>
        <v>112</v>
      </c>
      <c r="Q10" s="5">
        <f t="shared" si="9"/>
        <v>120</v>
      </c>
      <c r="R10" s="5">
        <f t="shared" si="9"/>
        <v>128</v>
      </c>
      <c r="S10" s="5">
        <f t="shared" si="9"/>
        <v>136</v>
      </c>
      <c r="T10" s="5">
        <f t="shared" si="9"/>
        <v>144</v>
      </c>
      <c r="U10" s="5">
        <f t="shared" si="9"/>
        <v>152</v>
      </c>
      <c r="V10" s="5">
        <f t="shared" si="9"/>
        <v>160</v>
      </c>
      <c r="W10" s="5">
        <f t="shared" si="9"/>
        <v>168</v>
      </c>
      <c r="X10" s="5">
        <f t="shared" si="9"/>
        <v>176</v>
      </c>
      <c r="Y10" s="5">
        <f t="shared" si="9"/>
        <v>184</v>
      </c>
      <c r="Z10" s="5">
        <f t="shared" si="9"/>
        <v>192</v>
      </c>
      <c r="AA10" s="5">
        <f t="shared" si="9"/>
        <v>200</v>
      </c>
      <c r="AB10" s="5">
        <f t="shared" si="9"/>
        <v>208</v>
      </c>
      <c r="AC10" s="5">
        <f t="shared" si="9"/>
        <v>216</v>
      </c>
    </row>
    <row r="11">
      <c r="A11" s="2">
        <v>9.0</v>
      </c>
      <c r="B11" s="5">
        <f t="shared" ref="B11:AC11" si="10">B$1*$A11</f>
        <v>0</v>
      </c>
      <c r="C11" s="5">
        <f t="shared" si="10"/>
        <v>9</v>
      </c>
      <c r="D11" s="5">
        <f t="shared" si="10"/>
        <v>18</v>
      </c>
      <c r="E11" s="5">
        <f t="shared" si="10"/>
        <v>27</v>
      </c>
      <c r="F11" s="5">
        <f t="shared" si="10"/>
        <v>36</v>
      </c>
      <c r="G11" s="5">
        <f t="shared" si="10"/>
        <v>45</v>
      </c>
      <c r="H11" s="5">
        <f t="shared" si="10"/>
        <v>54</v>
      </c>
      <c r="I11" s="24">
        <f t="shared" si="10"/>
        <v>63</v>
      </c>
      <c r="J11" s="5">
        <f t="shared" si="10"/>
        <v>72</v>
      </c>
      <c r="K11" s="5">
        <f t="shared" si="10"/>
        <v>81</v>
      </c>
      <c r="L11" s="5">
        <f t="shared" si="10"/>
        <v>90</v>
      </c>
      <c r="M11" s="5">
        <f t="shared" si="10"/>
        <v>99</v>
      </c>
      <c r="N11" s="5">
        <f t="shared" si="10"/>
        <v>108</v>
      </c>
      <c r="O11" s="5">
        <f t="shared" si="10"/>
        <v>117</v>
      </c>
      <c r="P11" s="5">
        <f t="shared" si="10"/>
        <v>126</v>
      </c>
      <c r="Q11" s="5">
        <f t="shared" si="10"/>
        <v>135</v>
      </c>
      <c r="R11" s="5">
        <f t="shared" si="10"/>
        <v>144</v>
      </c>
      <c r="S11" s="5">
        <f t="shared" si="10"/>
        <v>153</v>
      </c>
      <c r="T11" s="5">
        <f t="shared" si="10"/>
        <v>162</v>
      </c>
      <c r="U11" s="5">
        <f t="shared" si="10"/>
        <v>171</v>
      </c>
      <c r="V11" s="5">
        <f t="shared" si="10"/>
        <v>180</v>
      </c>
      <c r="W11" s="5">
        <f t="shared" si="10"/>
        <v>189</v>
      </c>
      <c r="X11" s="5">
        <f t="shared" si="10"/>
        <v>198</v>
      </c>
      <c r="Y11" s="5">
        <f t="shared" si="10"/>
        <v>207</v>
      </c>
      <c r="Z11" s="5">
        <f t="shared" si="10"/>
        <v>216</v>
      </c>
      <c r="AA11" s="5">
        <f t="shared" si="10"/>
        <v>225</v>
      </c>
      <c r="AB11" s="5">
        <f t="shared" si="10"/>
        <v>234</v>
      </c>
      <c r="AC11" s="5">
        <f t="shared" si="10"/>
        <v>243</v>
      </c>
    </row>
    <row r="12">
      <c r="A12" s="2">
        <v>10.0</v>
      </c>
      <c r="B12" s="5">
        <f t="shared" ref="B12:AC12" si="11">B$1*$A12</f>
        <v>0</v>
      </c>
      <c r="C12" s="5">
        <f t="shared" si="11"/>
        <v>10</v>
      </c>
      <c r="D12" s="5">
        <f t="shared" si="11"/>
        <v>20</v>
      </c>
      <c r="E12" s="5">
        <f t="shared" si="11"/>
        <v>30</v>
      </c>
      <c r="F12" s="5">
        <f t="shared" si="11"/>
        <v>40</v>
      </c>
      <c r="G12" s="5">
        <f t="shared" si="11"/>
        <v>50</v>
      </c>
      <c r="H12" s="5">
        <f t="shared" si="11"/>
        <v>60</v>
      </c>
      <c r="I12" s="5">
        <f t="shared" si="11"/>
        <v>70</v>
      </c>
      <c r="J12" s="5">
        <f t="shared" si="11"/>
        <v>80</v>
      </c>
      <c r="K12" s="5">
        <f t="shared" si="11"/>
        <v>90</v>
      </c>
      <c r="L12" s="5">
        <f t="shared" si="11"/>
        <v>100</v>
      </c>
      <c r="M12" s="5">
        <f t="shared" si="11"/>
        <v>110</v>
      </c>
      <c r="N12" s="5">
        <f t="shared" si="11"/>
        <v>120</v>
      </c>
      <c r="O12" s="5">
        <f t="shared" si="11"/>
        <v>130</v>
      </c>
      <c r="P12" s="5">
        <f t="shared" si="11"/>
        <v>140</v>
      </c>
      <c r="Q12" s="5">
        <f t="shared" si="11"/>
        <v>150</v>
      </c>
      <c r="R12" s="5">
        <f t="shared" si="11"/>
        <v>160</v>
      </c>
      <c r="S12" s="5">
        <f t="shared" si="11"/>
        <v>170</v>
      </c>
      <c r="T12" s="5">
        <f t="shared" si="11"/>
        <v>180</v>
      </c>
      <c r="U12" s="5">
        <f t="shared" si="11"/>
        <v>190</v>
      </c>
      <c r="V12" s="5">
        <f t="shared" si="11"/>
        <v>200</v>
      </c>
      <c r="W12" s="5">
        <f t="shared" si="11"/>
        <v>210</v>
      </c>
      <c r="X12" s="5">
        <f t="shared" si="11"/>
        <v>220</v>
      </c>
      <c r="Y12" s="5">
        <f t="shared" si="11"/>
        <v>230</v>
      </c>
      <c r="Z12" s="5">
        <f t="shared" si="11"/>
        <v>240</v>
      </c>
      <c r="AA12" s="5">
        <f t="shared" si="11"/>
        <v>250</v>
      </c>
      <c r="AB12" s="5">
        <f t="shared" si="11"/>
        <v>260</v>
      </c>
      <c r="AC12" s="5">
        <f t="shared" si="11"/>
        <v>270</v>
      </c>
    </row>
    <row r="13">
      <c r="A13" s="2">
        <v>11.0</v>
      </c>
      <c r="B13" s="5">
        <f t="shared" ref="B13:AC13" si="12">B$1*$A13</f>
        <v>0</v>
      </c>
      <c r="C13" s="5">
        <f t="shared" si="12"/>
        <v>11</v>
      </c>
      <c r="D13" s="5">
        <f t="shared" si="12"/>
        <v>22</v>
      </c>
      <c r="E13" s="5">
        <f t="shared" si="12"/>
        <v>33</v>
      </c>
      <c r="F13" s="5">
        <f t="shared" si="12"/>
        <v>44</v>
      </c>
      <c r="G13" s="5">
        <f t="shared" si="12"/>
        <v>55</v>
      </c>
      <c r="H13" s="5">
        <f t="shared" si="12"/>
        <v>66</v>
      </c>
      <c r="I13" s="5">
        <f t="shared" si="12"/>
        <v>77</v>
      </c>
      <c r="J13" s="5">
        <f t="shared" si="12"/>
        <v>88</v>
      </c>
      <c r="K13" s="5">
        <f t="shared" si="12"/>
        <v>99</v>
      </c>
      <c r="L13" s="5">
        <f t="shared" si="12"/>
        <v>110</v>
      </c>
      <c r="M13" s="5">
        <f t="shared" si="12"/>
        <v>121</v>
      </c>
      <c r="N13" s="5">
        <f t="shared" si="12"/>
        <v>132</v>
      </c>
      <c r="O13" s="5">
        <f t="shared" si="12"/>
        <v>143</v>
      </c>
      <c r="P13" s="5">
        <f t="shared" si="12"/>
        <v>154</v>
      </c>
      <c r="Q13" s="5">
        <f t="shared" si="12"/>
        <v>165</v>
      </c>
      <c r="R13" s="5">
        <f t="shared" si="12"/>
        <v>176</v>
      </c>
      <c r="S13" s="5">
        <f t="shared" si="12"/>
        <v>187</v>
      </c>
      <c r="T13" s="5">
        <f t="shared" si="12"/>
        <v>198</v>
      </c>
      <c r="U13" s="5">
        <f t="shared" si="12"/>
        <v>209</v>
      </c>
      <c r="V13" s="5">
        <f t="shared" si="12"/>
        <v>220</v>
      </c>
      <c r="W13" s="5">
        <f t="shared" si="12"/>
        <v>231</v>
      </c>
      <c r="X13" s="5">
        <f t="shared" si="12"/>
        <v>242</v>
      </c>
      <c r="Y13" s="5">
        <f t="shared" si="12"/>
        <v>253</v>
      </c>
      <c r="Z13" s="5">
        <f t="shared" si="12"/>
        <v>264</v>
      </c>
      <c r="AA13" s="5">
        <f t="shared" si="12"/>
        <v>275</v>
      </c>
      <c r="AB13" s="5">
        <f t="shared" si="12"/>
        <v>286</v>
      </c>
      <c r="AC13" s="5">
        <f t="shared" si="12"/>
        <v>297</v>
      </c>
    </row>
    <row r="14">
      <c r="A14" s="2">
        <v>12.0</v>
      </c>
      <c r="B14" s="5">
        <f t="shared" ref="B14:AC14" si="13">B$1*$A14</f>
        <v>0</v>
      </c>
      <c r="C14" s="5">
        <f t="shared" si="13"/>
        <v>12</v>
      </c>
      <c r="D14" s="5">
        <f t="shared" si="13"/>
        <v>24</v>
      </c>
      <c r="E14" s="5">
        <f t="shared" si="13"/>
        <v>36</v>
      </c>
      <c r="F14" s="5">
        <f t="shared" si="13"/>
        <v>48</v>
      </c>
      <c r="G14" s="5">
        <f t="shared" si="13"/>
        <v>60</v>
      </c>
      <c r="H14" s="5">
        <f t="shared" si="13"/>
        <v>72</v>
      </c>
      <c r="I14" s="5">
        <f t="shared" si="13"/>
        <v>84</v>
      </c>
      <c r="J14" s="5">
        <f t="shared" si="13"/>
        <v>96</v>
      </c>
      <c r="K14" s="5">
        <f t="shared" si="13"/>
        <v>108</v>
      </c>
      <c r="L14" s="5">
        <f t="shared" si="13"/>
        <v>120</v>
      </c>
      <c r="M14" s="5">
        <f t="shared" si="13"/>
        <v>132</v>
      </c>
      <c r="N14" s="5">
        <f t="shared" si="13"/>
        <v>144</v>
      </c>
      <c r="O14" s="5">
        <f t="shared" si="13"/>
        <v>156</v>
      </c>
      <c r="P14" s="5">
        <f t="shared" si="13"/>
        <v>168</v>
      </c>
      <c r="Q14" s="5">
        <f t="shared" si="13"/>
        <v>180</v>
      </c>
      <c r="R14" s="5">
        <f t="shared" si="13"/>
        <v>192</v>
      </c>
      <c r="S14" s="5">
        <f t="shared" si="13"/>
        <v>204</v>
      </c>
      <c r="T14" s="5">
        <f t="shared" si="13"/>
        <v>216</v>
      </c>
      <c r="U14" s="5">
        <f t="shared" si="13"/>
        <v>228</v>
      </c>
      <c r="V14" s="5">
        <f t="shared" si="13"/>
        <v>240</v>
      </c>
      <c r="W14" s="5">
        <f t="shared" si="13"/>
        <v>252</v>
      </c>
      <c r="X14" s="5">
        <f t="shared" si="13"/>
        <v>264</v>
      </c>
      <c r="Y14" s="5">
        <f t="shared" si="13"/>
        <v>276</v>
      </c>
      <c r="Z14" s="5">
        <f t="shared" si="13"/>
        <v>288</v>
      </c>
      <c r="AA14" s="5">
        <f t="shared" si="13"/>
        <v>300</v>
      </c>
      <c r="AB14" s="5">
        <f t="shared" si="13"/>
        <v>312</v>
      </c>
      <c r="AC14" s="5">
        <f t="shared" si="13"/>
        <v>324</v>
      </c>
    </row>
    <row r="15">
      <c r="A15" s="2">
        <v>13.0</v>
      </c>
      <c r="B15" s="5">
        <f t="shared" ref="B15:AC15" si="14">B$1*$A15</f>
        <v>0</v>
      </c>
      <c r="C15" s="5">
        <f t="shared" si="14"/>
        <v>13</v>
      </c>
      <c r="D15" s="5">
        <f t="shared" si="14"/>
        <v>26</v>
      </c>
      <c r="E15" s="5">
        <f t="shared" si="14"/>
        <v>39</v>
      </c>
      <c r="F15" s="5">
        <f t="shared" si="14"/>
        <v>52</v>
      </c>
      <c r="G15" s="5">
        <f t="shared" si="14"/>
        <v>65</v>
      </c>
      <c r="H15" s="5">
        <f t="shared" si="14"/>
        <v>78</v>
      </c>
      <c r="I15" s="5">
        <f t="shared" si="14"/>
        <v>91</v>
      </c>
      <c r="J15" s="5">
        <f t="shared" si="14"/>
        <v>104</v>
      </c>
      <c r="K15" s="5">
        <f t="shared" si="14"/>
        <v>117</v>
      </c>
      <c r="L15" s="5">
        <f t="shared" si="14"/>
        <v>130</v>
      </c>
      <c r="M15" s="5">
        <f t="shared" si="14"/>
        <v>143</v>
      </c>
      <c r="N15" s="5">
        <f t="shared" si="14"/>
        <v>156</v>
      </c>
      <c r="O15" s="5">
        <f t="shared" si="14"/>
        <v>169</v>
      </c>
      <c r="P15" s="5">
        <f t="shared" si="14"/>
        <v>182</v>
      </c>
      <c r="Q15" s="5">
        <f t="shared" si="14"/>
        <v>195</v>
      </c>
      <c r="R15" s="5">
        <f t="shared" si="14"/>
        <v>208</v>
      </c>
      <c r="S15" s="5">
        <f t="shared" si="14"/>
        <v>221</v>
      </c>
      <c r="T15" s="5">
        <f t="shared" si="14"/>
        <v>234</v>
      </c>
      <c r="U15" s="5">
        <f t="shared" si="14"/>
        <v>247</v>
      </c>
      <c r="V15" s="5">
        <f t="shared" si="14"/>
        <v>260</v>
      </c>
      <c r="W15" s="5">
        <f t="shared" si="14"/>
        <v>273</v>
      </c>
      <c r="X15" s="5">
        <f t="shared" si="14"/>
        <v>286</v>
      </c>
      <c r="Y15" s="5">
        <f t="shared" si="14"/>
        <v>299</v>
      </c>
      <c r="Z15" s="5">
        <f t="shared" si="14"/>
        <v>312</v>
      </c>
      <c r="AA15" s="5">
        <f t="shared" si="14"/>
        <v>325</v>
      </c>
      <c r="AB15" s="5">
        <f t="shared" si="14"/>
        <v>338</v>
      </c>
      <c r="AC15" s="5">
        <f t="shared" si="14"/>
        <v>351</v>
      </c>
    </row>
    <row r="16">
      <c r="A16" s="2">
        <v>14.0</v>
      </c>
      <c r="B16" s="5">
        <f t="shared" ref="B16:AC16" si="15">B$1*$A16</f>
        <v>0</v>
      </c>
      <c r="C16" s="5">
        <f t="shared" si="15"/>
        <v>14</v>
      </c>
      <c r="D16" s="5">
        <f t="shared" si="15"/>
        <v>28</v>
      </c>
      <c r="E16" s="5">
        <f t="shared" si="15"/>
        <v>42</v>
      </c>
      <c r="F16" s="5">
        <f t="shared" si="15"/>
        <v>56</v>
      </c>
      <c r="G16" s="5">
        <f t="shared" si="15"/>
        <v>70</v>
      </c>
      <c r="H16" s="5">
        <f t="shared" si="15"/>
        <v>84</v>
      </c>
      <c r="I16" s="5">
        <f t="shared" si="15"/>
        <v>98</v>
      </c>
      <c r="J16" s="5">
        <f t="shared" si="15"/>
        <v>112</v>
      </c>
      <c r="K16" s="5">
        <f t="shared" si="15"/>
        <v>126</v>
      </c>
      <c r="L16" s="5">
        <f t="shared" si="15"/>
        <v>140</v>
      </c>
      <c r="M16" s="5">
        <f t="shared" si="15"/>
        <v>154</v>
      </c>
      <c r="N16" s="5">
        <f t="shared" si="15"/>
        <v>168</v>
      </c>
      <c r="O16" s="5">
        <f t="shared" si="15"/>
        <v>182</v>
      </c>
      <c r="P16" s="5">
        <f t="shared" si="15"/>
        <v>196</v>
      </c>
      <c r="Q16" s="5">
        <f t="shared" si="15"/>
        <v>210</v>
      </c>
      <c r="R16" s="5">
        <f t="shared" si="15"/>
        <v>224</v>
      </c>
      <c r="S16" s="5">
        <f t="shared" si="15"/>
        <v>238</v>
      </c>
      <c r="T16" s="5">
        <f t="shared" si="15"/>
        <v>252</v>
      </c>
      <c r="U16" s="5">
        <f t="shared" si="15"/>
        <v>266</v>
      </c>
      <c r="V16" s="5">
        <f t="shared" si="15"/>
        <v>280</v>
      </c>
      <c r="W16" s="5">
        <f t="shared" si="15"/>
        <v>294</v>
      </c>
      <c r="X16" s="5">
        <f t="shared" si="15"/>
        <v>308</v>
      </c>
      <c r="Y16" s="5">
        <f t="shared" si="15"/>
        <v>322</v>
      </c>
      <c r="Z16" s="5">
        <f t="shared" si="15"/>
        <v>336</v>
      </c>
      <c r="AA16" s="5">
        <f t="shared" si="15"/>
        <v>350</v>
      </c>
      <c r="AB16" s="5">
        <f t="shared" si="15"/>
        <v>364</v>
      </c>
      <c r="AC16" s="5">
        <f t="shared" si="15"/>
        <v>378</v>
      </c>
    </row>
    <row r="17">
      <c r="A17" s="2">
        <v>15.0</v>
      </c>
      <c r="B17" s="5">
        <f t="shared" ref="B17:AC17" si="16">B$1*$A17</f>
        <v>0</v>
      </c>
      <c r="C17" s="5">
        <f t="shared" si="16"/>
        <v>15</v>
      </c>
      <c r="D17" s="5">
        <f t="shared" si="16"/>
        <v>30</v>
      </c>
      <c r="E17" s="5">
        <f t="shared" si="16"/>
        <v>45</v>
      </c>
      <c r="F17" s="5">
        <f t="shared" si="16"/>
        <v>60</v>
      </c>
      <c r="G17" s="5">
        <f t="shared" si="16"/>
        <v>75</v>
      </c>
      <c r="H17" s="5">
        <f t="shared" si="16"/>
        <v>90</v>
      </c>
      <c r="I17" s="5">
        <f t="shared" si="16"/>
        <v>105</v>
      </c>
      <c r="J17" s="5">
        <f t="shared" si="16"/>
        <v>120</v>
      </c>
      <c r="K17" s="5">
        <f t="shared" si="16"/>
        <v>135</v>
      </c>
      <c r="L17" s="5">
        <f t="shared" si="16"/>
        <v>150</v>
      </c>
      <c r="M17" s="5">
        <f t="shared" si="16"/>
        <v>165</v>
      </c>
      <c r="N17" s="5">
        <f t="shared" si="16"/>
        <v>180</v>
      </c>
      <c r="O17" s="5">
        <f t="shared" si="16"/>
        <v>195</v>
      </c>
      <c r="P17" s="5">
        <f t="shared" si="16"/>
        <v>210</v>
      </c>
      <c r="Q17" s="5">
        <f t="shared" si="16"/>
        <v>225</v>
      </c>
      <c r="R17" s="5">
        <f t="shared" si="16"/>
        <v>240</v>
      </c>
      <c r="S17" s="5">
        <f t="shared" si="16"/>
        <v>255</v>
      </c>
      <c r="T17" s="5">
        <f t="shared" si="16"/>
        <v>270</v>
      </c>
      <c r="U17" s="5">
        <f t="shared" si="16"/>
        <v>285</v>
      </c>
      <c r="V17" s="5">
        <f t="shared" si="16"/>
        <v>300</v>
      </c>
      <c r="W17" s="5">
        <f t="shared" si="16"/>
        <v>315</v>
      </c>
      <c r="X17" s="5">
        <f t="shared" si="16"/>
        <v>330</v>
      </c>
      <c r="Y17" s="5">
        <f t="shared" si="16"/>
        <v>345</v>
      </c>
      <c r="Z17" s="5">
        <f t="shared" si="16"/>
        <v>360</v>
      </c>
      <c r="AA17" s="5">
        <f t="shared" si="16"/>
        <v>375</v>
      </c>
      <c r="AB17" s="5">
        <f t="shared" si="16"/>
        <v>390</v>
      </c>
      <c r="AC17" s="5">
        <f t="shared" si="16"/>
        <v>405</v>
      </c>
    </row>
    <row r="18">
      <c r="A18" s="2">
        <v>16.0</v>
      </c>
      <c r="B18" s="5">
        <f t="shared" ref="B18:AC18" si="17">B$1*$A18</f>
        <v>0</v>
      </c>
      <c r="C18" s="5">
        <f t="shared" si="17"/>
        <v>16</v>
      </c>
      <c r="D18" s="5">
        <f t="shared" si="17"/>
        <v>32</v>
      </c>
      <c r="E18" s="5">
        <f t="shared" si="17"/>
        <v>48</v>
      </c>
      <c r="F18" s="5">
        <f t="shared" si="17"/>
        <v>64</v>
      </c>
      <c r="G18" s="5">
        <f t="shared" si="17"/>
        <v>80</v>
      </c>
      <c r="H18" s="5">
        <f t="shared" si="17"/>
        <v>96</v>
      </c>
      <c r="I18" s="5">
        <f t="shared" si="17"/>
        <v>112</v>
      </c>
      <c r="J18" s="5">
        <f t="shared" si="17"/>
        <v>128</v>
      </c>
      <c r="K18" s="5">
        <f t="shared" si="17"/>
        <v>144</v>
      </c>
      <c r="L18" s="5">
        <f t="shared" si="17"/>
        <v>160</v>
      </c>
      <c r="M18" s="5">
        <f t="shared" si="17"/>
        <v>176</v>
      </c>
      <c r="N18" s="5">
        <f t="shared" si="17"/>
        <v>192</v>
      </c>
      <c r="O18" s="5">
        <f t="shared" si="17"/>
        <v>208</v>
      </c>
      <c r="P18" s="5">
        <f t="shared" si="17"/>
        <v>224</v>
      </c>
      <c r="Q18" s="5">
        <f t="shared" si="17"/>
        <v>240</v>
      </c>
      <c r="R18" s="5">
        <f t="shared" si="17"/>
        <v>256</v>
      </c>
      <c r="S18" s="5">
        <f t="shared" si="17"/>
        <v>272</v>
      </c>
      <c r="T18" s="5">
        <f t="shared" si="17"/>
        <v>288</v>
      </c>
      <c r="U18" s="5">
        <f t="shared" si="17"/>
        <v>304</v>
      </c>
      <c r="V18" s="5">
        <f t="shared" si="17"/>
        <v>320</v>
      </c>
      <c r="W18" s="5">
        <f t="shared" si="17"/>
        <v>336</v>
      </c>
      <c r="X18" s="5">
        <f t="shared" si="17"/>
        <v>352</v>
      </c>
      <c r="Y18" s="5">
        <f t="shared" si="17"/>
        <v>368</v>
      </c>
      <c r="Z18" s="5">
        <f t="shared" si="17"/>
        <v>384</v>
      </c>
      <c r="AA18" s="5">
        <f t="shared" si="17"/>
        <v>400</v>
      </c>
      <c r="AB18" s="5">
        <f t="shared" si="17"/>
        <v>416</v>
      </c>
      <c r="AC18" s="5">
        <f t="shared" si="17"/>
        <v>432</v>
      </c>
    </row>
    <row r="19">
      <c r="A19" s="2">
        <v>17.0</v>
      </c>
      <c r="B19" s="5">
        <f t="shared" ref="B19:AC19" si="18">B$1*$A19</f>
        <v>0</v>
      </c>
      <c r="C19" s="5">
        <f t="shared" si="18"/>
        <v>17</v>
      </c>
      <c r="D19" s="5">
        <f t="shared" si="18"/>
        <v>34</v>
      </c>
      <c r="E19" s="5">
        <f t="shared" si="18"/>
        <v>51</v>
      </c>
      <c r="F19" s="5">
        <f t="shared" si="18"/>
        <v>68</v>
      </c>
      <c r="G19" s="5">
        <f t="shared" si="18"/>
        <v>85</v>
      </c>
      <c r="H19" s="5">
        <f t="shared" si="18"/>
        <v>102</v>
      </c>
      <c r="I19" s="5">
        <f t="shared" si="18"/>
        <v>119</v>
      </c>
      <c r="J19" s="5">
        <f t="shared" si="18"/>
        <v>136</v>
      </c>
      <c r="K19" s="5">
        <f t="shared" si="18"/>
        <v>153</v>
      </c>
      <c r="L19" s="5">
        <f t="shared" si="18"/>
        <v>170</v>
      </c>
      <c r="M19" s="5">
        <f t="shared" si="18"/>
        <v>187</v>
      </c>
      <c r="N19" s="5">
        <f t="shared" si="18"/>
        <v>204</v>
      </c>
      <c r="O19" s="5">
        <f t="shared" si="18"/>
        <v>221</v>
      </c>
      <c r="P19" s="5">
        <f t="shared" si="18"/>
        <v>238</v>
      </c>
      <c r="Q19" s="5">
        <f t="shared" si="18"/>
        <v>255</v>
      </c>
      <c r="R19" s="5">
        <f t="shared" si="18"/>
        <v>272</v>
      </c>
      <c r="S19" s="5">
        <f t="shared" si="18"/>
        <v>289</v>
      </c>
      <c r="T19" s="5">
        <f t="shared" si="18"/>
        <v>306</v>
      </c>
      <c r="U19" s="5">
        <f t="shared" si="18"/>
        <v>323</v>
      </c>
      <c r="V19" s="5">
        <f t="shared" si="18"/>
        <v>340</v>
      </c>
      <c r="W19" s="5">
        <f t="shared" si="18"/>
        <v>357</v>
      </c>
      <c r="X19" s="5">
        <f t="shared" si="18"/>
        <v>374</v>
      </c>
      <c r="Y19" s="5">
        <f t="shared" si="18"/>
        <v>391</v>
      </c>
      <c r="Z19" s="5">
        <f t="shared" si="18"/>
        <v>408</v>
      </c>
      <c r="AA19" s="5">
        <f t="shared" si="18"/>
        <v>425</v>
      </c>
      <c r="AB19" s="5">
        <f t="shared" si="18"/>
        <v>442</v>
      </c>
      <c r="AC19" s="5">
        <f t="shared" si="18"/>
        <v>459</v>
      </c>
    </row>
    <row r="20">
      <c r="A20" s="2">
        <v>18.0</v>
      </c>
      <c r="B20" s="5">
        <f t="shared" ref="B20:AC20" si="19">B$1*$A20</f>
        <v>0</v>
      </c>
      <c r="C20" s="5">
        <f t="shared" si="19"/>
        <v>18</v>
      </c>
      <c r="D20" s="5">
        <f t="shared" si="19"/>
        <v>36</v>
      </c>
      <c r="E20" s="5">
        <f t="shared" si="19"/>
        <v>54</v>
      </c>
      <c r="F20" s="5">
        <f t="shared" si="19"/>
        <v>72</v>
      </c>
      <c r="G20" s="5">
        <f t="shared" si="19"/>
        <v>90</v>
      </c>
      <c r="H20" s="5">
        <f t="shared" si="19"/>
        <v>108</v>
      </c>
      <c r="I20" s="5">
        <f t="shared" si="19"/>
        <v>126</v>
      </c>
      <c r="J20" s="5">
        <f t="shared" si="19"/>
        <v>144</v>
      </c>
      <c r="K20" s="5">
        <f t="shared" si="19"/>
        <v>162</v>
      </c>
      <c r="L20" s="5">
        <f t="shared" si="19"/>
        <v>180</v>
      </c>
      <c r="M20" s="5">
        <f t="shared" si="19"/>
        <v>198</v>
      </c>
      <c r="N20" s="5">
        <f t="shared" si="19"/>
        <v>216</v>
      </c>
      <c r="O20" s="5">
        <f t="shared" si="19"/>
        <v>234</v>
      </c>
      <c r="P20" s="5">
        <f t="shared" si="19"/>
        <v>252</v>
      </c>
      <c r="Q20" s="5">
        <f t="shared" si="19"/>
        <v>270</v>
      </c>
      <c r="R20" s="5">
        <f t="shared" si="19"/>
        <v>288</v>
      </c>
      <c r="S20" s="5">
        <f t="shared" si="19"/>
        <v>306</v>
      </c>
      <c r="T20" s="5">
        <f t="shared" si="19"/>
        <v>324</v>
      </c>
      <c r="U20" s="5">
        <f t="shared" si="19"/>
        <v>342</v>
      </c>
      <c r="V20" s="24">
        <f t="shared" si="19"/>
        <v>360</v>
      </c>
      <c r="W20" s="5">
        <f t="shared" si="19"/>
        <v>378</v>
      </c>
      <c r="X20" s="5">
        <f t="shared" si="19"/>
        <v>396</v>
      </c>
      <c r="Y20" s="5">
        <f t="shared" si="19"/>
        <v>414</v>
      </c>
      <c r="Z20" s="5">
        <f t="shared" si="19"/>
        <v>432</v>
      </c>
      <c r="AA20" s="5">
        <f t="shared" si="19"/>
        <v>450</v>
      </c>
      <c r="AB20" s="5">
        <f t="shared" si="19"/>
        <v>468</v>
      </c>
      <c r="AC20" s="5">
        <f t="shared" si="19"/>
        <v>486</v>
      </c>
    </row>
    <row r="21">
      <c r="A21" s="2">
        <v>19.0</v>
      </c>
      <c r="B21" s="5">
        <f t="shared" ref="B21:AC21" si="20">B$1*$A21</f>
        <v>0</v>
      </c>
      <c r="C21" s="5">
        <f t="shared" si="20"/>
        <v>19</v>
      </c>
      <c r="D21" s="5">
        <f t="shared" si="20"/>
        <v>38</v>
      </c>
      <c r="E21" s="5">
        <f t="shared" si="20"/>
        <v>57</v>
      </c>
      <c r="F21" s="5">
        <f t="shared" si="20"/>
        <v>76</v>
      </c>
      <c r="G21" s="5">
        <f t="shared" si="20"/>
        <v>95</v>
      </c>
      <c r="H21" s="5">
        <f t="shared" si="20"/>
        <v>114</v>
      </c>
      <c r="I21" s="5">
        <f t="shared" si="20"/>
        <v>133</v>
      </c>
      <c r="J21" s="5">
        <f t="shared" si="20"/>
        <v>152</v>
      </c>
      <c r="K21" s="5">
        <f t="shared" si="20"/>
        <v>171</v>
      </c>
      <c r="L21" s="5">
        <f t="shared" si="20"/>
        <v>190</v>
      </c>
      <c r="M21" s="5">
        <f t="shared" si="20"/>
        <v>209</v>
      </c>
      <c r="N21" s="5">
        <f t="shared" si="20"/>
        <v>228</v>
      </c>
      <c r="O21" s="5">
        <f t="shared" si="20"/>
        <v>247</v>
      </c>
      <c r="P21" s="5">
        <f t="shared" si="20"/>
        <v>266</v>
      </c>
      <c r="Q21" s="5">
        <f t="shared" si="20"/>
        <v>285</v>
      </c>
      <c r="R21" s="5">
        <f t="shared" si="20"/>
        <v>304</v>
      </c>
      <c r="S21" s="5">
        <f t="shared" si="20"/>
        <v>323</v>
      </c>
      <c r="T21" s="5">
        <f t="shared" si="20"/>
        <v>342</v>
      </c>
      <c r="U21" s="24">
        <f t="shared" si="20"/>
        <v>361</v>
      </c>
      <c r="V21" s="5">
        <f t="shared" si="20"/>
        <v>380</v>
      </c>
      <c r="W21" s="5">
        <f t="shared" si="20"/>
        <v>399</v>
      </c>
      <c r="X21" s="5">
        <f t="shared" si="20"/>
        <v>418</v>
      </c>
      <c r="Y21" s="5">
        <f t="shared" si="20"/>
        <v>437</v>
      </c>
      <c r="Z21" s="5">
        <f t="shared" si="20"/>
        <v>456</v>
      </c>
      <c r="AA21" s="5">
        <f t="shared" si="20"/>
        <v>475</v>
      </c>
      <c r="AB21" s="5">
        <f t="shared" si="20"/>
        <v>494</v>
      </c>
      <c r="AC21" s="5">
        <f t="shared" si="20"/>
        <v>513</v>
      </c>
    </row>
    <row r="22">
      <c r="A22" s="2">
        <v>20.0</v>
      </c>
      <c r="B22" s="5">
        <f t="shared" ref="B22:AC22" si="21">B$1*$A22</f>
        <v>0</v>
      </c>
      <c r="C22" s="5">
        <f t="shared" si="21"/>
        <v>20</v>
      </c>
      <c r="D22" s="5">
        <f t="shared" si="21"/>
        <v>40</v>
      </c>
      <c r="E22" s="5">
        <f t="shared" si="21"/>
        <v>60</v>
      </c>
      <c r="F22" s="5">
        <f t="shared" si="21"/>
        <v>80</v>
      </c>
      <c r="G22" s="5">
        <f t="shared" si="21"/>
        <v>100</v>
      </c>
      <c r="H22" s="5">
        <f t="shared" si="21"/>
        <v>120</v>
      </c>
      <c r="I22" s="5">
        <f t="shared" si="21"/>
        <v>140</v>
      </c>
      <c r="J22" s="5">
        <f t="shared" si="21"/>
        <v>160</v>
      </c>
      <c r="K22" s="5">
        <f t="shared" si="21"/>
        <v>180</v>
      </c>
      <c r="L22" s="5">
        <f t="shared" si="21"/>
        <v>200</v>
      </c>
      <c r="M22" s="5">
        <f t="shared" si="21"/>
        <v>220</v>
      </c>
      <c r="N22" s="5">
        <f t="shared" si="21"/>
        <v>240</v>
      </c>
      <c r="O22" s="5">
        <f t="shared" si="21"/>
        <v>260</v>
      </c>
      <c r="P22" s="5">
        <f t="shared" si="21"/>
        <v>280</v>
      </c>
      <c r="Q22" s="5">
        <f t="shared" si="21"/>
        <v>300</v>
      </c>
      <c r="R22" s="5">
        <f t="shared" si="21"/>
        <v>320</v>
      </c>
      <c r="S22" s="5">
        <f t="shared" si="21"/>
        <v>340</v>
      </c>
      <c r="T22" s="24">
        <f t="shared" si="21"/>
        <v>360</v>
      </c>
      <c r="U22" s="5">
        <f t="shared" si="21"/>
        <v>380</v>
      </c>
      <c r="V22" s="5">
        <f t="shared" si="21"/>
        <v>400</v>
      </c>
      <c r="W22" s="5">
        <f t="shared" si="21"/>
        <v>420</v>
      </c>
      <c r="X22" s="5">
        <f t="shared" si="21"/>
        <v>440</v>
      </c>
      <c r="Y22" s="5">
        <f t="shared" si="21"/>
        <v>460</v>
      </c>
      <c r="Z22" s="5">
        <f t="shared" si="21"/>
        <v>480</v>
      </c>
      <c r="AA22" s="5">
        <f t="shared" si="21"/>
        <v>500</v>
      </c>
      <c r="AB22" s="5">
        <f t="shared" si="21"/>
        <v>520</v>
      </c>
      <c r="AC22" s="5">
        <f t="shared" si="21"/>
        <v>540</v>
      </c>
    </row>
    <row r="23">
      <c r="A23" s="2">
        <v>21.0</v>
      </c>
      <c r="B23" s="5">
        <f t="shared" ref="B23:AC23" si="22">B$1*$A23</f>
        <v>0</v>
      </c>
      <c r="C23" s="5">
        <f t="shared" si="22"/>
        <v>21</v>
      </c>
      <c r="D23" s="5">
        <f t="shared" si="22"/>
        <v>42</v>
      </c>
      <c r="E23" s="5">
        <f t="shared" si="22"/>
        <v>63</v>
      </c>
      <c r="F23" s="5">
        <f t="shared" si="22"/>
        <v>84</v>
      </c>
      <c r="G23" s="5">
        <f t="shared" si="22"/>
        <v>105</v>
      </c>
      <c r="H23" s="5">
        <f t="shared" si="22"/>
        <v>126</v>
      </c>
      <c r="I23" s="5">
        <f t="shared" si="22"/>
        <v>147</v>
      </c>
      <c r="J23" s="5">
        <f t="shared" si="22"/>
        <v>168</v>
      </c>
      <c r="K23" s="5">
        <f t="shared" si="22"/>
        <v>189</v>
      </c>
      <c r="L23" s="5">
        <f t="shared" si="22"/>
        <v>210</v>
      </c>
      <c r="M23" s="5">
        <f t="shared" si="22"/>
        <v>231</v>
      </c>
      <c r="N23" s="5">
        <f t="shared" si="22"/>
        <v>252</v>
      </c>
      <c r="O23" s="5">
        <f t="shared" si="22"/>
        <v>273</v>
      </c>
      <c r="P23" s="5">
        <f t="shared" si="22"/>
        <v>294</v>
      </c>
      <c r="Q23" s="5">
        <f t="shared" si="22"/>
        <v>315</v>
      </c>
      <c r="R23" s="5">
        <f t="shared" si="22"/>
        <v>336</v>
      </c>
      <c r="S23" s="5">
        <f t="shared" si="22"/>
        <v>357</v>
      </c>
      <c r="T23" s="5">
        <f t="shared" si="22"/>
        <v>378</v>
      </c>
      <c r="U23" s="5">
        <f t="shared" si="22"/>
        <v>399</v>
      </c>
      <c r="V23" s="5">
        <f t="shared" si="22"/>
        <v>420</v>
      </c>
      <c r="W23" s="5">
        <f t="shared" si="22"/>
        <v>441</v>
      </c>
      <c r="X23" s="5">
        <f t="shared" si="22"/>
        <v>462</v>
      </c>
      <c r="Y23" s="5">
        <f t="shared" si="22"/>
        <v>483</v>
      </c>
      <c r="Z23" s="5">
        <f t="shared" si="22"/>
        <v>504</v>
      </c>
      <c r="AA23" s="5">
        <f t="shared" si="22"/>
        <v>525</v>
      </c>
      <c r="AB23" s="5">
        <f t="shared" si="22"/>
        <v>546</v>
      </c>
      <c r="AC23" s="5">
        <f t="shared" si="22"/>
        <v>567</v>
      </c>
    </row>
    <row r="24">
      <c r="A24" s="2">
        <v>22.0</v>
      </c>
      <c r="B24" s="5">
        <f t="shared" ref="B24:AC24" si="23">B$1*$A24</f>
        <v>0</v>
      </c>
      <c r="C24" s="5">
        <f t="shared" si="23"/>
        <v>22</v>
      </c>
      <c r="D24" s="5">
        <f t="shared" si="23"/>
        <v>44</v>
      </c>
      <c r="E24" s="5">
        <f t="shared" si="23"/>
        <v>66</v>
      </c>
      <c r="F24" s="5">
        <f t="shared" si="23"/>
        <v>88</v>
      </c>
      <c r="G24" s="5">
        <f t="shared" si="23"/>
        <v>110</v>
      </c>
      <c r="H24" s="5">
        <f t="shared" si="23"/>
        <v>132</v>
      </c>
      <c r="I24" s="5">
        <f t="shared" si="23"/>
        <v>154</v>
      </c>
      <c r="J24" s="5">
        <f t="shared" si="23"/>
        <v>176</v>
      </c>
      <c r="K24" s="5">
        <f t="shared" si="23"/>
        <v>198</v>
      </c>
      <c r="L24" s="5">
        <f t="shared" si="23"/>
        <v>220</v>
      </c>
      <c r="M24" s="5">
        <f t="shared" si="23"/>
        <v>242</v>
      </c>
      <c r="N24" s="5">
        <f t="shared" si="23"/>
        <v>264</v>
      </c>
      <c r="O24" s="5">
        <f t="shared" si="23"/>
        <v>286</v>
      </c>
      <c r="P24" s="5">
        <f t="shared" si="23"/>
        <v>308</v>
      </c>
      <c r="Q24" s="5">
        <f t="shared" si="23"/>
        <v>330</v>
      </c>
      <c r="R24" s="5">
        <f t="shared" si="23"/>
        <v>352</v>
      </c>
      <c r="S24" s="5">
        <f t="shared" si="23"/>
        <v>374</v>
      </c>
      <c r="T24" s="5">
        <f t="shared" si="23"/>
        <v>396</v>
      </c>
      <c r="U24" s="5">
        <f t="shared" si="23"/>
        <v>418</v>
      </c>
      <c r="V24" s="5">
        <f t="shared" si="23"/>
        <v>440</v>
      </c>
      <c r="W24" s="5">
        <f t="shared" si="23"/>
        <v>462</v>
      </c>
      <c r="X24" s="5">
        <f t="shared" si="23"/>
        <v>484</v>
      </c>
      <c r="Y24" s="5">
        <f t="shared" si="23"/>
        <v>506</v>
      </c>
      <c r="Z24" s="5">
        <f t="shared" si="23"/>
        <v>528</v>
      </c>
      <c r="AA24" s="5">
        <f t="shared" si="23"/>
        <v>550</v>
      </c>
      <c r="AB24" s="5">
        <f t="shared" si="23"/>
        <v>572</v>
      </c>
      <c r="AC24" s="5">
        <f t="shared" si="23"/>
        <v>594</v>
      </c>
    </row>
    <row r="25">
      <c r="A25" s="2">
        <v>23.0</v>
      </c>
      <c r="B25" s="5">
        <f t="shared" ref="B25:AC25" si="24">B$1*$A25</f>
        <v>0</v>
      </c>
      <c r="C25" s="5">
        <f t="shared" si="24"/>
        <v>23</v>
      </c>
      <c r="D25" s="5">
        <f t="shared" si="24"/>
        <v>46</v>
      </c>
      <c r="E25" s="5">
        <f t="shared" si="24"/>
        <v>69</v>
      </c>
      <c r="F25" s="5">
        <f t="shared" si="24"/>
        <v>92</v>
      </c>
      <c r="G25" s="5">
        <f t="shared" si="24"/>
        <v>115</v>
      </c>
      <c r="H25" s="5">
        <f t="shared" si="24"/>
        <v>138</v>
      </c>
      <c r="I25" s="5">
        <f t="shared" si="24"/>
        <v>161</v>
      </c>
      <c r="J25" s="5">
        <f t="shared" si="24"/>
        <v>184</v>
      </c>
      <c r="K25" s="5">
        <f t="shared" si="24"/>
        <v>207</v>
      </c>
      <c r="L25" s="5">
        <f t="shared" si="24"/>
        <v>230</v>
      </c>
      <c r="M25" s="5">
        <f t="shared" si="24"/>
        <v>253</v>
      </c>
      <c r="N25" s="5">
        <f t="shared" si="24"/>
        <v>276</v>
      </c>
      <c r="O25" s="5">
        <f t="shared" si="24"/>
        <v>299</v>
      </c>
      <c r="P25" s="5">
        <f t="shared" si="24"/>
        <v>322</v>
      </c>
      <c r="Q25" s="5">
        <f t="shared" si="24"/>
        <v>345</v>
      </c>
      <c r="R25" s="5">
        <f t="shared" si="24"/>
        <v>368</v>
      </c>
      <c r="S25" s="5">
        <f t="shared" si="24"/>
        <v>391</v>
      </c>
      <c r="T25" s="5">
        <f t="shared" si="24"/>
        <v>414</v>
      </c>
      <c r="U25" s="5">
        <f t="shared" si="24"/>
        <v>437</v>
      </c>
      <c r="V25" s="5">
        <f t="shared" si="24"/>
        <v>460</v>
      </c>
      <c r="W25" s="5">
        <f t="shared" si="24"/>
        <v>483</v>
      </c>
      <c r="X25" s="5">
        <f t="shared" si="24"/>
        <v>506</v>
      </c>
      <c r="Y25" s="5">
        <f t="shared" si="24"/>
        <v>529</v>
      </c>
      <c r="Z25" s="5">
        <f t="shared" si="24"/>
        <v>552</v>
      </c>
      <c r="AA25" s="5">
        <f t="shared" si="24"/>
        <v>575</v>
      </c>
      <c r="AB25" s="5">
        <f t="shared" si="24"/>
        <v>598</v>
      </c>
      <c r="AC25" s="5">
        <f t="shared" si="24"/>
        <v>621</v>
      </c>
    </row>
    <row r="26">
      <c r="A26" s="2">
        <v>24.0</v>
      </c>
      <c r="B26" s="5">
        <f t="shared" ref="B26:AC26" si="25">B$1*$A26</f>
        <v>0</v>
      </c>
      <c r="C26" s="5">
        <f t="shared" si="25"/>
        <v>24</v>
      </c>
      <c r="D26" s="5">
        <f t="shared" si="25"/>
        <v>48</v>
      </c>
      <c r="E26" s="5">
        <f t="shared" si="25"/>
        <v>72</v>
      </c>
      <c r="F26" s="5">
        <f t="shared" si="25"/>
        <v>96</v>
      </c>
      <c r="G26" s="5">
        <f t="shared" si="25"/>
        <v>120</v>
      </c>
      <c r="H26" s="5">
        <f t="shared" si="25"/>
        <v>144</v>
      </c>
      <c r="I26" s="5">
        <f t="shared" si="25"/>
        <v>168</v>
      </c>
      <c r="J26" s="5">
        <f t="shared" si="25"/>
        <v>192</v>
      </c>
      <c r="K26" s="5">
        <f t="shared" si="25"/>
        <v>216</v>
      </c>
      <c r="L26" s="5">
        <f t="shared" si="25"/>
        <v>240</v>
      </c>
      <c r="M26" s="5">
        <f t="shared" si="25"/>
        <v>264</v>
      </c>
      <c r="N26" s="5">
        <f t="shared" si="25"/>
        <v>288</v>
      </c>
      <c r="O26" s="5">
        <f t="shared" si="25"/>
        <v>312</v>
      </c>
      <c r="P26" s="5">
        <f t="shared" si="25"/>
        <v>336</v>
      </c>
      <c r="Q26" s="5">
        <f t="shared" si="25"/>
        <v>360</v>
      </c>
      <c r="R26" s="5">
        <f t="shared" si="25"/>
        <v>384</v>
      </c>
      <c r="S26" s="5">
        <f t="shared" si="25"/>
        <v>408</v>
      </c>
      <c r="T26" s="5">
        <f t="shared" si="25"/>
        <v>432</v>
      </c>
      <c r="U26" s="5">
        <f t="shared" si="25"/>
        <v>456</v>
      </c>
      <c r="V26" s="5">
        <f t="shared" si="25"/>
        <v>480</v>
      </c>
      <c r="W26" s="5">
        <f t="shared" si="25"/>
        <v>504</v>
      </c>
      <c r="X26" s="5">
        <f t="shared" si="25"/>
        <v>528</v>
      </c>
      <c r="Y26" s="5">
        <f t="shared" si="25"/>
        <v>552</v>
      </c>
      <c r="Z26" s="5">
        <f t="shared" si="25"/>
        <v>576</v>
      </c>
      <c r="AA26" s="5">
        <f t="shared" si="25"/>
        <v>600</v>
      </c>
      <c r="AB26" s="5">
        <f t="shared" si="25"/>
        <v>624</v>
      </c>
      <c r="AC26" s="5">
        <f t="shared" si="25"/>
        <v>648</v>
      </c>
    </row>
    <row r="27">
      <c r="A27" s="2">
        <v>25.0</v>
      </c>
      <c r="B27" s="5">
        <f t="shared" ref="B27:AC27" si="26">B$1*$A27</f>
        <v>0</v>
      </c>
      <c r="C27" s="5">
        <f t="shared" si="26"/>
        <v>25</v>
      </c>
      <c r="D27" s="5">
        <f t="shared" si="26"/>
        <v>50</v>
      </c>
      <c r="E27" s="5">
        <f t="shared" si="26"/>
        <v>75</v>
      </c>
      <c r="F27" s="5">
        <f t="shared" si="26"/>
        <v>100</v>
      </c>
      <c r="G27" s="5">
        <f t="shared" si="26"/>
        <v>125</v>
      </c>
      <c r="H27" s="5">
        <f t="shared" si="26"/>
        <v>150</v>
      </c>
      <c r="I27" s="5">
        <f t="shared" si="26"/>
        <v>175</v>
      </c>
      <c r="J27" s="5">
        <f t="shared" si="26"/>
        <v>200</v>
      </c>
      <c r="K27" s="5">
        <f t="shared" si="26"/>
        <v>225</v>
      </c>
      <c r="L27" s="5">
        <f t="shared" si="26"/>
        <v>250</v>
      </c>
      <c r="M27" s="5">
        <f t="shared" si="26"/>
        <v>275</v>
      </c>
      <c r="N27" s="5">
        <f t="shared" si="26"/>
        <v>300</v>
      </c>
      <c r="O27" s="5">
        <f t="shared" si="26"/>
        <v>325</v>
      </c>
      <c r="P27" s="5">
        <f t="shared" si="26"/>
        <v>350</v>
      </c>
      <c r="Q27" s="5">
        <f t="shared" si="26"/>
        <v>375</v>
      </c>
      <c r="R27" s="5">
        <f t="shared" si="26"/>
        <v>400</v>
      </c>
      <c r="S27" s="5">
        <f t="shared" si="26"/>
        <v>425</v>
      </c>
      <c r="T27" s="5">
        <f t="shared" si="26"/>
        <v>450</v>
      </c>
      <c r="U27" s="5">
        <f t="shared" si="26"/>
        <v>475</v>
      </c>
      <c r="V27" s="5">
        <f t="shared" si="26"/>
        <v>500</v>
      </c>
      <c r="W27" s="5">
        <f t="shared" si="26"/>
        <v>525</v>
      </c>
      <c r="X27" s="5">
        <f t="shared" si="26"/>
        <v>550</v>
      </c>
      <c r="Y27" s="5">
        <f t="shared" si="26"/>
        <v>575</v>
      </c>
      <c r="Z27" s="5">
        <f t="shared" si="26"/>
        <v>600</v>
      </c>
      <c r="AA27" s="5">
        <f t="shared" si="26"/>
        <v>625</v>
      </c>
      <c r="AB27" s="5">
        <f t="shared" si="26"/>
        <v>650</v>
      </c>
      <c r="AC27" s="5">
        <f t="shared" si="26"/>
        <v>675</v>
      </c>
    </row>
    <row r="28">
      <c r="A28" s="2">
        <v>26.0</v>
      </c>
      <c r="B28" s="5">
        <f t="shared" ref="B28:AC28" si="27">B$1*$A28</f>
        <v>0</v>
      </c>
      <c r="C28" s="5">
        <f t="shared" si="27"/>
        <v>26</v>
      </c>
      <c r="D28" s="5">
        <f t="shared" si="27"/>
        <v>52</v>
      </c>
      <c r="E28" s="5">
        <f t="shared" si="27"/>
        <v>78</v>
      </c>
      <c r="F28" s="5">
        <f t="shared" si="27"/>
        <v>104</v>
      </c>
      <c r="G28" s="5">
        <f t="shared" si="27"/>
        <v>130</v>
      </c>
      <c r="H28" s="5">
        <f t="shared" si="27"/>
        <v>156</v>
      </c>
      <c r="I28" s="5">
        <f t="shared" si="27"/>
        <v>182</v>
      </c>
      <c r="J28" s="5">
        <f t="shared" si="27"/>
        <v>208</v>
      </c>
      <c r="K28" s="5">
        <f t="shared" si="27"/>
        <v>234</v>
      </c>
      <c r="L28" s="5">
        <f t="shared" si="27"/>
        <v>260</v>
      </c>
      <c r="M28" s="5">
        <f t="shared" si="27"/>
        <v>286</v>
      </c>
      <c r="N28" s="5">
        <f t="shared" si="27"/>
        <v>312</v>
      </c>
      <c r="O28" s="5">
        <f t="shared" si="27"/>
        <v>338</v>
      </c>
      <c r="P28" s="5">
        <f t="shared" si="27"/>
        <v>364</v>
      </c>
      <c r="Q28" s="5">
        <f t="shared" si="27"/>
        <v>390</v>
      </c>
      <c r="R28" s="5">
        <f t="shared" si="27"/>
        <v>416</v>
      </c>
      <c r="S28" s="5">
        <f t="shared" si="27"/>
        <v>442</v>
      </c>
      <c r="T28" s="5">
        <f t="shared" si="27"/>
        <v>468</v>
      </c>
      <c r="U28" s="5">
        <f t="shared" si="27"/>
        <v>494</v>
      </c>
      <c r="V28" s="5">
        <f t="shared" si="27"/>
        <v>520</v>
      </c>
      <c r="W28" s="5">
        <f t="shared" si="27"/>
        <v>546</v>
      </c>
      <c r="X28" s="5">
        <f t="shared" si="27"/>
        <v>572</v>
      </c>
      <c r="Y28" s="5">
        <f t="shared" si="27"/>
        <v>598</v>
      </c>
      <c r="Z28" s="5">
        <f t="shared" si="27"/>
        <v>624</v>
      </c>
      <c r="AA28" s="5">
        <f t="shared" si="27"/>
        <v>650</v>
      </c>
      <c r="AB28" s="5">
        <f t="shared" si="27"/>
        <v>676</v>
      </c>
      <c r="AC28" s="5">
        <f t="shared" si="27"/>
        <v>702</v>
      </c>
    </row>
    <row r="29">
      <c r="A29" s="2">
        <v>27.0</v>
      </c>
      <c r="B29" s="5">
        <f t="shared" ref="B29:AC29" si="28">B$1*$A29</f>
        <v>0</v>
      </c>
      <c r="C29" s="5">
        <f t="shared" si="28"/>
        <v>27</v>
      </c>
      <c r="D29" s="5">
        <f t="shared" si="28"/>
        <v>54</v>
      </c>
      <c r="E29" s="5">
        <f t="shared" si="28"/>
        <v>81</v>
      </c>
      <c r="F29" s="5">
        <f t="shared" si="28"/>
        <v>108</v>
      </c>
      <c r="G29" s="5">
        <f t="shared" si="28"/>
        <v>135</v>
      </c>
      <c r="H29" s="5">
        <f t="shared" si="28"/>
        <v>162</v>
      </c>
      <c r="I29" s="5">
        <f t="shared" si="28"/>
        <v>189</v>
      </c>
      <c r="J29" s="5">
        <f t="shared" si="28"/>
        <v>216</v>
      </c>
      <c r="K29" s="5">
        <f t="shared" si="28"/>
        <v>243</v>
      </c>
      <c r="L29" s="5">
        <f t="shared" si="28"/>
        <v>270</v>
      </c>
      <c r="M29" s="5">
        <f t="shared" si="28"/>
        <v>297</v>
      </c>
      <c r="N29" s="5">
        <f t="shared" si="28"/>
        <v>324</v>
      </c>
      <c r="O29" s="5">
        <f t="shared" si="28"/>
        <v>351</v>
      </c>
      <c r="P29" s="5">
        <f t="shared" si="28"/>
        <v>378</v>
      </c>
      <c r="Q29" s="5">
        <f t="shared" si="28"/>
        <v>405</v>
      </c>
      <c r="R29" s="5">
        <f t="shared" si="28"/>
        <v>432</v>
      </c>
      <c r="S29" s="5">
        <f t="shared" si="28"/>
        <v>459</v>
      </c>
      <c r="T29" s="5">
        <f t="shared" si="28"/>
        <v>486</v>
      </c>
      <c r="U29" s="5">
        <f t="shared" si="28"/>
        <v>513</v>
      </c>
      <c r="V29" s="5">
        <f t="shared" si="28"/>
        <v>540</v>
      </c>
      <c r="W29" s="5">
        <f t="shared" si="28"/>
        <v>567</v>
      </c>
      <c r="X29" s="5">
        <f t="shared" si="28"/>
        <v>594</v>
      </c>
      <c r="Y29" s="5">
        <f t="shared" si="28"/>
        <v>621</v>
      </c>
      <c r="Z29" s="5">
        <f t="shared" si="28"/>
        <v>648</v>
      </c>
      <c r="AA29" s="5">
        <f t="shared" si="28"/>
        <v>675</v>
      </c>
      <c r="AB29" s="5">
        <f t="shared" si="28"/>
        <v>702</v>
      </c>
      <c r="AC29" s="5">
        <f t="shared" si="28"/>
        <v>729</v>
      </c>
    </row>
    <row r="30">
      <c r="A30" s="17"/>
    </row>
    <row r="31">
      <c r="A31" s="17"/>
    </row>
    <row r="32">
      <c r="A32" s="17"/>
      <c r="B32" s="2">
        <v>0.0</v>
      </c>
      <c r="C32" s="2">
        <v>1.0</v>
      </c>
      <c r="D32" s="2">
        <v>2.0</v>
      </c>
      <c r="E32" s="2">
        <v>3.0</v>
      </c>
      <c r="F32" s="2">
        <v>4.0</v>
      </c>
      <c r="G32" s="2">
        <v>5.0</v>
      </c>
      <c r="H32" s="2">
        <v>6.0</v>
      </c>
      <c r="I32" s="2">
        <v>7.0</v>
      </c>
      <c r="J32" s="2">
        <v>8.0</v>
      </c>
      <c r="K32" s="2">
        <v>9.0</v>
      </c>
      <c r="L32" s="2">
        <v>10.0</v>
      </c>
      <c r="M32" s="2">
        <v>11.0</v>
      </c>
      <c r="N32" s="2">
        <v>12.0</v>
      </c>
      <c r="O32" s="2">
        <v>13.0</v>
      </c>
      <c r="P32" s="2">
        <v>14.0</v>
      </c>
      <c r="Q32" s="2">
        <v>15.0</v>
      </c>
      <c r="R32" s="2">
        <v>16.0</v>
      </c>
      <c r="S32" s="2">
        <v>17.0</v>
      </c>
      <c r="T32" s="2">
        <v>18.0</v>
      </c>
      <c r="U32" s="2">
        <v>19.0</v>
      </c>
      <c r="V32" s="2">
        <v>20.0</v>
      </c>
      <c r="W32" s="2">
        <v>21.0</v>
      </c>
      <c r="X32" s="2">
        <v>22.0</v>
      </c>
      <c r="Y32" s="2">
        <v>23.0</v>
      </c>
      <c r="Z32" s="2">
        <v>24.0</v>
      </c>
      <c r="AA32" s="2">
        <v>25.0</v>
      </c>
      <c r="AB32" s="2">
        <v>26.0</v>
      </c>
      <c r="AC32" s="2">
        <v>27.0</v>
      </c>
    </row>
    <row r="33">
      <c r="A33" s="2">
        <v>0.0</v>
      </c>
      <c r="B33" s="5">
        <f t="shared" ref="B33:AC33" si="29">(27-B$1)*$A33+B$1*(27-$A33)</f>
        <v>0</v>
      </c>
      <c r="C33" s="5">
        <f t="shared" si="29"/>
        <v>27</v>
      </c>
      <c r="D33" s="5">
        <f t="shared" si="29"/>
        <v>54</v>
      </c>
      <c r="E33" s="5">
        <f t="shared" si="29"/>
        <v>81</v>
      </c>
      <c r="F33" s="5">
        <f t="shared" si="29"/>
        <v>108</v>
      </c>
      <c r="G33" s="5">
        <f t="shared" si="29"/>
        <v>135</v>
      </c>
      <c r="H33" s="5">
        <f t="shared" si="29"/>
        <v>162</v>
      </c>
      <c r="I33" s="5">
        <f t="shared" si="29"/>
        <v>189</v>
      </c>
      <c r="J33" s="5">
        <f t="shared" si="29"/>
        <v>216</v>
      </c>
      <c r="K33" s="5">
        <f t="shared" si="29"/>
        <v>243</v>
      </c>
      <c r="L33" s="5">
        <f t="shared" si="29"/>
        <v>270</v>
      </c>
      <c r="M33" s="5">
        <f t="shared" si="29"/>
        <v>297</v>
      </c>
      <c r="N33" s="5">
        <f t="shared" si="29"/>
        <v>324</v>
      </c>
      <c r="O33" s="5">
        <f t="shared" si="29"/>
        <v>351</v>
      </c>
      <c r="P33" s="5">
        <f t="shared" si="29"/>
        <v>378</v>
      </c>
      <c r="Q33" s="5">
        <f t="shared" si="29"/>
        <v>405</v>
      </c>
      <c r="R33" s="5">
        <f t="shared" si="29"/>
        <v>432</v>
      </c>
      <c r="S33" s="5">
        <f t="shared" si="29"/>
        <v>459</v>
      </c>
      <c r="T33" s="5">
        <f t="shared" si="29"/>
        <v>486</v>
      </c>
      <c r="U33" s="5">
        <f t="shared" si="29"/>
        <v>513</v>
      </c>
      <c r="V33" s="5">
        <f t="shared" si="29"/>
        <v>540</v>
      </c>
      <c r="W33" s="5">
        <f t="shared" si="29"/>
        <v>567</v>
      </c>
      <c r="X33" s="5">
        <f t="shared" si="29"/>
        <v>594</v>
      </c>
      <c r="Y33" s="5">
        <f t="shared" si="29"/>
        <v>621</v>
      </c>
      <c r="Z33" s="5">
        <f t="shared" si="29"/>
        <v>648</v>
      </c>
      <c r="AA33" s="5">
        <f t="shared" si="29"/>
        <v>675</v>
      </c>
      <c r="AB33" s="5">
        <f t="shared" si="29"/>
        <v>702</v>
      </c>
      <c r="AC33" s="5">
        <f t="shared" si="29"/>
        <v>729</v>
      </c>
    </row>
    <row r="34">
      <c r="A34" s="2">
        <v>1.0</v>
      </c>
      <c r="B34" s="5">
        <f t="shared" ref="B34:AC34" si="30">(27-B$1)*$A34+B$1*(27-$A34)</f>
        <v>27</v>
      </c>
      <c r="C34" s="5">
        <f t="shared" si="30"/>
        <v>52</v>
      </c>
      <c r="D34" s="5">
        <f t="shared" si="30"/>
        <v>77</v>
      </c>
      <c r="E34" s="5">
        <f t="shared" si="30"/>
        <v>102</v>
      </c>
      <c r="F34" s="5">
        <f t="shared" si="30"/>
        <v>127</v>
      </c>
      <c r="G34" s="5">
        <f t="shared" si="30"/>
        <v>152</v>
      </c>
      <c r="H34" s="5">
        <f t="shared" si="30"/>
        <v>177</v>
      </c>
      <c r="I34" s="5">
        <f t="shared" si="30"/>
        <v>202</v>
      </c>
      <c r="J34" s="5">
        <f t="shared" si="30"/>
        <v>227</v>
      </c>
      <c r="K34" s="5">
        <f t="shared" si="30"/>
        <v>252</v>
      </c>
      <c r="L34" s="5">
        <f t="shared" si="30"/>
        <v>277</v>
      </c>
      <c r="M34" s="5">
        <f t="shared" si="30"/>
        <v>302</v>
      </c>
      <c r="N34" s="5">
        <f t="shared" si="30"/>
        <v>327</v>
      </c>
      <c r="O34" s="5">
        <f t="shared" si="30"/>
        <v>352</v>
      </c>
      <c r="P34" s="5">
        <f t="shared" si="30"/>
        <v>377</v>
      </c>
      <c r="Q34" s="5">
        <f t="shared" si="30"/>
        <v>402</v>
      </c>
      <c r="R34" s="5">
        <f t="shared" si="30"/>
        <v>427</v>
      </c>
      <c r="S34" s="5">
        <f t="shared" si="30"/>
        <v>452</v>
      </c>
      <c r="T34" s="5">
        <f t="shared" si="30"/>
        <v>477</v>
      </c>
      <c r="U34" s="5">
        <f t="shared" si="30"/>
        <v>502</v>
      </c>
      <c r="V34" s="5">
        <f t="shared" si="30"/>
        <v>527</v>
      </c>
      <c r="W34" s="5">
        <f t="shared" si="30"/>
        <v>552</v>
      </c>
      <c r="X34" s="5">
        <f t="shared" si="30"/>
        <v>577</v>
      </c>
      <c r="Y34" s="5">
        <f t="shared" si="30"/>
        <v>602</v>
      </c>
      <c r="Z34" s="5">
        <f t="shared" si="30"/>
        <v>627</v>
      </c>
      <c r="AA34" s="5">
        <f t="shared" si="30"/>
        <v>652</v>
      </c>
      <c r="AB34" s="5">
        <f t="shared" si="30"/>
        <v>677</v>
      </c>
      <c r="AC34" s="5">
        <f t="shared" si="30"/>
        <v>702</v>
      </c>
    </row>
    <row r="35">
      <c r="A35" s="2">
        <v>2.0</v>
      </c>
      <c r="B35" s="5">
        <f t="shared" ref="B35:AC35" si="31">(27-B$1)*$A35+B$1*(27-$A35)</f>
        <v>54</v>
      </c>
      <c r="C35" s="5">
        <f t="shared" si="31"/>
        <v>77</v>
      </c>
      <c r="D35" s="5">
        <f t="shared" si="31"/>
        <v>100</v>
      </c>
      <c r="E35" s="5">
        <f t="shared" si="31"/>
        <v>123</v>
      </c>
      <c r="F35" s="5">
        <f t="shared" si="31"/>
        <v>146</v>
      </c>
      <c r="G35" s="5">
        <f t="shared" si="31"/>
        <v>169</v>
      </c>
      <c r="H35" s="5">
        <f t="shared" si="31"/>
        <v>192</v>
      </c>
      <c r="I35" s="5">
        <f t="shared" si="31"/>
        <v>215</v>
      </c>
      <c r="J35" s="5">
        <f t="shared" si="31"/>
        <v>238</v>
      </c>
      <c r="K35" s="5">
        <f t="shared" si="31"/>
        <v>261</v>
      </c>
      <c r="L35" s="5">
        <f t="shared" si="31"/>
        <v>284</v>
      </c>
      <c r="M35" s="5">
        <f t="shared" si="31"/>
        <v>307</v>
      </c>
      <c r="N35" s="5">
        <f t="shared" si="31"/>
        <v>330</v>
      </c>
      <c r="O35" s="5">
        <f t="shared" si="31"/>
        <v>353</v>
      </c>
      <c r="P35" s="5">
        <f t="shared" si="31"/>
        <v>376</v>
      </c>
      <c r="Q35" s="5">
        <f t="shared" si="31"/>
        <v>399</v>
      </c>
      <c r="R35" s="5">
        <f t="shared" si="31"/>
        <v>422</v>
      </c>
      <c r="S35" s="5">
        <f t="shared" si="31"/>
        <v>445</v>
      </c>
      <c r="T35" s="5">
        <f t="shared" si="31"/>
        <v>468</v>
      </c>
      <c r="U35" s="5">
        <f t="shared" si="31"/>
        <v>491</v>
      </c>
      <c r="V35" s="5">
        <f t="shared" si="31"/>
        <v>514</v>
      </c>
      <c r="W35" s="5">
        <f t="shared" si="31"/>
        <v>537</v>
      </c>
      <c r="X35" s="5">
        <f t="shared" si="31"/>
        <v>560</v>
      </c>
      <c r="Y35" s="5">
        <f t="shared" si="31"/>
        <v>583</v>
      </c>
      <c r="Z35" s="5">
        <f t="shared" si="31"/>
        <v>606</v>
      </c>
      <c r="AA35" s="5">
        <f t="shared" si="31"/>
        <v>629</v>
      </c>
      <c r="AB35" s="5">
        <f t="shared" si="31"/>
        <v>652</v>
      </c>
      <c r="AC35" s="5">
        <f t="shared" si="31"/>
        <v>675</v>
      </c>
    </row>
    <row r="36">
      <c r="A36" s="2">
        <v>3.0</v>
      </c>
      <c r="B36" s="5">
        <f t="shared" ref="B36:AC36" si="32">(27-B$1)*$A36+B$1*(27-$A36)</f>
        <v>81</v>
      </c>
      <c r="C36" s="5">
        <f t="shared" si="32"/>
        <v>102</v>
      </c>
      <c r="D36" s="5">
        <f t="shared" si="32"/>
        <v>123</v>
      </c>
      <c r="E36" s="5">
        <f t="shared" si="32"/>
        <v>144</v>
      </c>
      <c r="F36" s="5">
        <f t="shared" si="32"/>
        <v>165</v>
      </c>
      <c r="G36" s="5">
        <f t="shared" si="32"/>
        <v>186</v>
      </c>
      <c r="H36" s="5">
        <f t="shared" si="32"/>
        <v>207</v>
      </c>
      <c r="I36" s="5">
        <f t="shared" si="32"/>
        <v>228</v>
      </c>
      <c r="J36" s="5">
        <f t="shared" si="32"/>
        <v>249</v>
      </c>
      <c r="K36" s="5">
        <f t="shared" si="32"/>
        <v>270</v>
      </c>
      <c r="L36" s="5">
        <f t="shared" si="32"/>
        <v>291</v>
      </c>
      <c r="M36" s="5">
        <f t="shared" si="32"/>
        <v>312</v>
      </c>
      <c r="N36" s="5">
        <f t="shared" si="32"/>
        <v>333</v>
      </c>
      <c r="O36" s="5">
        <f t="shared" si="32"/>
        <v>354</v>
      </c>
      <c r="P36" s="5">
        <f t="shared" si="32"/>
        <v>375</v>
      </c>
      <c r="Q36" s="5">
        <f t="shared" si="32"/>
        <v>396</v>
      </c>
      <c r="R36" s="5">
        <f t="shared" si="32"/>
        <v>417</v>
      </c>
      <c r="S36" s="5">
        <f t="shared" si="32"/>
        <v>438</v>
      </c>
      <c r="T36" s="5">
        <f t="shared" si="32"/>
        <v>459</v>
      </c>
      <c r="U36" s="5">
        <f t="shared" si="32"/>
        <v>480</v>
      </c>
      <c r="V36" s="5">
        <f t="shared" si="32"/>
        <v>501</v>
      </c>
      <c r="W36" s="5">
        <f t="shared" si="32"/>
        <v>522</v>
      </c>
      <c r="X36" s="5">
        <f t="shared" si="32"/>
        <v>543</v>
      </c>
      <c r="Y36" s="5">
        <f t="shared" si="32"/>
        <v>564</v>
      </c>
      <c r="Z36" s="5">
        <f t="shared" si="32"/>
        <v>585</v>
      </c>
      <c r="AA36" s="5">
        <f t="shared" si="32"/>
        <v>606</v>
      </c>
      <c r="AB36" s="5">
        <f t="shared" si="32"/>
        <v>627</v>
      </c>
      <c r="AC36" s="5">
        <f t="shared" si="32"/>
        <v>648</v>
      </c>
    </row>
    <row r="37">
      <c r="A37" s="2">
        <v>4.0</v>
      </c>
      <c r="B37" s="5">
        <f t="shared" ref="B37:AC37" si="33">(27-B$1)*$A37+B$1*(27-$A37)</f>
        <v>108</v>
      </c>
      <c r="C37" s="5">
        <f t="shared" si="33"/>
        <v>127</v>
      </c>
      <c r="D37" s="5">
        <f t="shared" si="33"/>
        <v>146</v>
      </c>
      <c r="E37" s="5">
        <f t="shared" si="33"/>
        <v>165</v>
      </c>
      <c r="F37" s="5">
        <f t="shared" si="33"/>
        <v>184</v>
      </c>
      <c r="G37" s="5">
        <f t="shared" si="33"/>
        <v>203</v>
      </c>
      <c r="H37" s="5">
        <f t="shared" si="33"/>
        <v>222</v>
      </c>
      <c r="I37" s="5">
        <f t="shared" si="33"/>
        <v>241</v>
      </c>
      <c r="J37" s="5">
        <f t="shared" si="33"/>
        <v>260</v>
      </c>
      <c r="K37" s="5">
        <f t="shared" si="33"/>
        <v>279</v>
      </c>
      <c r="L37" s="5">
        <f t="shared" si="33"/>
        <v>298</v>
      </c>
      <c r="M37" s="5">
        <f t="shared" si="33"/>
        <v>317</v>
      </c>
      <c r="N37" s="5">
        <f t="shared" si="33"/>
        <v>336</v>
      </c>
      <c r="O37" s="5">
        <f t="shared" si="33"/>
        <v>355</v>
      </c>
      <c r="P37" s="5">
        <f t="shared" si="33"/>
        <v>374</v>
      </c>
      <c r="Q37" s="5">
        <f t="shared" si="33"/>
        <v>393</v>
      </c>
      <c r="R37" s="5">
        <f t="shared" si="33"/>
        <v>412</v>
      </c>
      <c r="S37" s="5">
        <f t="shared" si="33"/>
        <v>431</v>
      </c>
      <c r="T37" s="5">
        <f t="shared" si="33"/>
        <v>450</v>
      </c>
      <c r="U37" s="5">
        <f t="shared" si="33"/>
        <v>469</v>
      </c>
      <c r="V37" s="5">
        <f t="shared" si="33"/>
        <v>488</v>
      </c>
      <c r="W37" s="5">
        <f t="shared" si="33"/>
        <v>507</v>
      </c>
      <c r="X37" s="5">
        <f t="shared" si="33"/>
        <v>526</v>
      </c>
      <c r="Y37" s="5">
        <f t="shared" si="33"/>
        <v>545</v>
      </c>
      <c r="Z37" s="5">
        <f t="shared" si="33"/>
        <v>564</v>
      </c>
      <c r="AA37" s="5">
        <f t="shared" si="33"/>
        <v>583</v>
      </c>
      <c r="AB37" s="5">
        <f t="shared" si="33"/>
        <v>602</v>
      </c>
      <c r="AC37" s="5">
        <f t="shared" si="33"/>
        <v>621</v>
      </c>
    </row>
    <row r="38">
      <c r="A38" s="2">
        <v>5.0</v>
      </c>
      <c r="B38" s="5">
        <f t="shared" ref="B38:AC38" si="34">(27-B$1)*$A38+B$1*(27-$A38)</f>
        <v>135</v>
      </c>
      <c r="C38" s="5">
        <f t="shared" si="34"/>
        <v>152</v>
      </c>
      <c r="D38" s="5">
        <f t="shared" si="34"/>
        <v>169</v>
      </c>
      <c r="E38" s="5">
        <f t="shared" si="34"/>
        <v>186</v>
      </c>
      <c r="F38" s="5">
        <f t="shared" si="34"/>
        <v>203</v>
      </c>
      <c r="G38" s="5">
        <f t="shared" si="34"/>
        <v>220</v>
      </c>
      <c r="H38" s="5">
        <f t="shared" si="34"/>
        <v>237</v>
      </c>
      <c r="I38" s="5">
        <f t="shared" si="34"/>
        <v>254</v>
      </c>
      <c r="J38" s="5">
        <f t="shared" si="34"/>
        <v>271</v>
      </c>
      <c r="K38" s="5">
        <f t="shared" si="34"/>
        <v>288</v>
      </c>
      <c r="L38" s="5">
        <f t="shared" si="34"/>
        <v>305</v>
      </c>
      <c r="M38" s="5">
        <f t="shared" si="34"/>
        <v>322</v>
      </c>
      <c r="N38" s="5">
        <f t="shared" si="34"/>
        <v>339</v>
      </c>
      <c r="O38" s="5">
        <f t="shared" si="34"/>
        <v>356</v>
      </c>
      <c r="P38" s="5">
        <f t="shared" si="34"/>
        <v>373</v>
      </c>
      <c r="Q38" s="5">
        <f t="shared" si="34"/>
        <v>390</v>
      </c>
      <c r="R38" s="5">
        <f t="shared" si="34"/>
        <v>407</v>
      </c>
      <c r="S38" s="5">
        <f t="shared" si="34"/>
        <v>424</v>
      </c>
      <c r="T38" s="5">
        <f t="shared" si="34"/>
        <v>441</v>
      </c>
      <c r="U38" s="5">
        <f t="shared" si="34"/>
        <v>458</v>
      </c>
      <c r="V38" s="5">
        <f t="shared" si="34"/>
        <v>475</v>
      </c>
      <c r="W38" s="5">
        <f t="shared" si="34"/>
        <v>492</v>
      </c>
      <c r="X38" s="5">
        <f t="shared" si="34"/>
        <v>509</v>
      </c>
      <c r="Y38" s="5">
        <f t="shared" si="34"/>
        <v>526</v>
      </c>
      <c r="Z38" s="5">
        <f t="shared" si="34"/>
        <v>543</v>
      </c>
      <c r="AA38" s="5">
        <f t="shared" si="34"/>
        <v>560</v>
      </c>
      <c r="AB38" s="5">
        <f t="shared" si="34"/>
        <v>577</v>
      </c>
      <c r="AC38" s="5">
        <f t="shared" si="34"/>
        <v>594</v>
      </c>
    </row>
    <row r="39">
      <c r="A39" s="2">
        <v>6.0</v>
      </c>
      <c r="B39" s="5">
        <f t="shared" ref="B39:AC39" si="35">(27-B$1)*$A39+B$1*(27-$A39)</f>
        <v>162</v>
      </c>
      <c r="C39" s="5">
        <f t="shared" si="35"/>
        <v>177</v>
      </c>
      <c r="D39" s="5">
        <f t="shared" si="35"/>
        <v>192</v>
      </c>
      <c r="E39" s="5">
        <f t="shared" si="35"/>
        <v>207</v>
      </c>
      <c r="F39" s="5">
        <f t="shared" si="35"/>
        <v>222</v>
      </c>
      <c r="G39" s="5">
        <f t="shared" si="35"/>
        <v>237</v>
      </c>
      <c r="H39" s="5">
        <f t="shared" si="35"/>
        <v>252</v>
      </c>
      <c r="I39" s="5">
        <f t="shared" si="35"/>
        <v>267</v>
      </c>
      <c r="J39" s="5">
        <f t="shared" si="35"/>
        <v>282</v>
      </c>
      <c r="K39" s="5">
        <f t="shared" si="35"/>
        <v>297</v>
      </c>
      <c r="L39" s="5">
        <f t="shared" si="35"/>
        <v>312</v>
      </c>
      <c r="M39" s="5">
        <f t="shared" si="35"/>
        <v>327</v>
      </c>
      <c r="N39" s="5">
        <f t="shared" si="35"/>
        <v>342</v>
      </c>
      <c r="O39" s="5">
        <f t="shared" si="35"/>
        <v>357</v>
      </c>
      <c r="P39" s="5">
        <f t="shared" si="35"/>
        <v>372</v>
      </c>
      <c r="Q39" s="5">
        <f t="shared" si="35"/>
        <v>387</v>
      </c>
      <c r="R39" s="5">
        <f t="shared" si="35"/>
        <v>402</v>
      </c>
      <c r="S39" s="5">
        <f t="shared" si="35"/>
        <v>417</v>
      </c>
      <c r="T39" s="5">
        <f t="shared" si="35"/>
        <v>432</v>
      </c>
      <c r="U39" s="5">
        <f t="shared" si="35"/>
        <v>447</v>
      </c>
      <c r="V39" s="5">
        <f t="shared" si="35"/>
        <v>462</v>
      </c>
      <c r="W39" s="5">
        <f t="shared" si="35"/>
        <v>477</v>
      </c>
      <c r="X39" s="5">
        <f t="shared" si="35"/>
        <v>492</v>
      </c>
      <c r="Y39" s="5">
        <f t="shared" si="35"/>
        <v>507</v>
      </c>
      <c r="Z39" s="5">
        <f t="shared" si="35"/>
        <v>522</v>
      </c>
      <c r="AA39" s="5">
        <f t="shared" si="35"/>
        <v>537</v>
      </c>
      <c r="AB39" s="5">
        <f t="shared" si="35"/>
        <v>552</v>
      </c>
      <c r="AC39" s="5">
        <f t="shared" si="35"/>
        <v>567</v>
      </c>
    </row>
    <row r="40">
      <c r="A40" s="2">
        <v>7.0</v>
      </c>
      <c r="B40" s="5">
        <f t="shared" ref="B40:AC40" si="36">(27-B$1)*$A40+B$1*(27-$A40)</f>
        <v>189</v>
      </c>
      <c r="C40" s="5">
        <f t="shared" si="36"/>
        <v>202</v>
      </c>
      <c r="D40" s="5">
        <f t="shared" si="36"/>
        <v>215</v>
      </c>
      <c r="E40" s="5">
        <f t="shared" si="36"/>
        <v>228</v>
      </c>
      <c r="F40" s="5">
        <f t="shared" si="36"/>
        <v>241</v>
      </c>
      <c r="G40" s="5">
        <f t="shared" si="36"/>
        <v>254</v>
      </c>
      <c r="H40" s="5">
        <f t="shared" si="36"/>
        <v>267</v>
      </c>
      <c r="I40" s="5">
        <f t="shared" si="36"/>
        <v>280</v>
      </c>
      <c r="J40" s="5">
        <f t="shared" si="36"/>
        <v>293</v>
      </c>
      <c r="K40" s="24">
        <f t="shared" si="36"/>
        <v>306</v>
      </c>
      <c r="L40" s="5">
        <f t="shared" si="36"/>
        <v>319</v>
      </c>
      <c r="M40" s="5">
        <f t="shared" si="36"/>
        <v>332</v>
      </c>
      <c r="N40" s="5">
        <f t="shared" si="36"/>
        <v>345</v>
      </c>
      <c r="O40" s="5">
        <f t="shared" si="36"/>
        <v>358</v>
      </c>
      <c r="P40" s="5">
        <f t="shared" si="36"/>
        <v>371</v>
      </c>
      <c r="Q40" s="5">
        <f t="shared" si="36"/>
        <v>384</v>
      </c>
      <c r="R40" s="5">
        <f t="shared" si="36"/>
        <v>397</v>
      </c>
      <c r="S40" s="5">
        <f t="shared" si="36"/>
        <v>410</v>
      </c>
      <c r="T40" s="5">
        <f t="shared" si="36"/>
        <v>423</v>
      </c>
      <c r="U40" s="5">
        <f t="shared" si="36"/>
        <v>436</v>
      </c>
      <c r="V40" s="5">
        <f t="shared" si="36"/>
        <v>449</v>
      </c>
      <c r="W40" s="5">
        <f t="shared" si="36"/>
        <v>462</v>
      </c>
      <c r="X40" s="5">
        <f t="shared" si="36"/>
        <v>475</v>
      </c>
      <c r="Y40" s="5">
        <f t="shared" si="36"/>
        <v>488</v>
      </c>
      <c r="Z40" s="5">
        <f t="shared" si="36"/>
        <v>501</v>
      </c>
      <c r="AA40" s="5">
        <f t="shared" si="36"/>
        <v>514</v>
      </c>
      <c r="AB40" s="5">
        <f t="shared" si="36"/>
        <v>527</v>
      </c>
      <c r="AC40" s="5">
        <f t="shared" si="36"/>
        <v>540</v>
      </c>
    </row>
    <row r="41">
      <c r="A41" s="2">
        <v>8.0</v>
      </c>
      <c r="B41" s="5">
        <f t="shared" ref="B41:AC41" si="37">(27-B$1)*$A41+B$1*(27-$A41)</f>
        <v>216</v>
      </c>
      <c r="C41" s="5">
        <f t="shared" si="37"/>
        <v>227</v>
      </c>
      <c r="D41" s="5">
        <f t="shared" si="37"/>
        <v>238</v>
      </c>
      <c r="E41" s="5">
        <f t="shared" si="37"/>
        <v>249</v>
      </c>
      <c r="F41" s="5">
        <f t="shared" si="37"/>
        <v>260</v>
      </c>
      <c r="G41" s="5">
        <f t="shared" si="37"/>
        <v>271</v>
      </c>
      <c r="H41" s="5">
        <f t="shared" si="37"/>
        <v>282</v>
      </c>
      <c r="I41" s="5">
        <f t="shared" si="37"/>
        <v>293</v>
      </c>
      <c r="J41" s="24">
        <f t="shared" si="37"/>
        <v>304</v>
      </c>
      <c r="K41" s="5">
        <f t="shared" si="37"/>
        <v>315</v>
      </c>
      <c r="L41" s="5">
        <f t="shared" si="37"/>
        <v>326</v>
      </c>
      <c r="M41" s="5">
        <f t="shared" si="37"/>
        <v>337</v>
      </c>
      <c r="N41" s="5">
        <f t="shared" si="37"/>
        <v>348</v>
      </c>
      <c r="O41" s="5">
        <f t="shared" si="37"/>
        <v>359</v>
      </c>
      <c r="P41" s="5">
        <f t="shared" si="37"/>
        <v>370</v>
      </c>
      <c r="Q41" s="5">
        <f t="shared" si="37"/>
        <v>381</v>
      </c>
      <c r="R41" s="5">
        <f t="shared" si="37"/>
        <v>392</v>
      </c>
      <c r="S41" s="5">
        <f t="shared" si="37"/>
        <v>403</v>
      </c>
      <c r="T41" s="5">
        <f t="shared" si="37"/>
        <v>414</v>
      </c>
      <c r="U41" s="5">
        <f t="shared" si="37"/>
        <v>425</v>
      </c>
      <c r="V41" s="5">
        <f t="shared" si="37"/>
        <v>436</v>
      </c>
      <c r="W41" s="5">
        <f t="shared" si="37"/>
        <v>447</v>
      </c>
      <c r="X41" s="5">
        <f t="shared" si="37"/>
        <v>458</v>
      </c>
      <c r="Y41" s="5">
        <f t="shared" si="37"/>
        <v>469</v>
      </c>
      <c r="Z41" s="5">
        <f t="shared" si="37"/>
        <v>480</v>
      </c>
      <c r="AA41" s="5">
        <f t="shared" si="37"/>
        <v>491</v>
      </c>
      <c r="AB41" s="5">
        <f t="shared" si="37"/>
        <v>502</v>
      </c>
      <c r="AC41" s="5">
        <f t="shared" si="37"/>
        <v>513</v>
      </c>
    </row>
    <row r="42">
      <c r="A42" s="2">
        <v>9.0</v>
      </c>
      <c r="B42" s="5">
        <f t="shared" ref="B42:AC42" si="38">(27-B$1)*$A42+B$1*(27-$A42)</f>
        <v>243</v>
      </c>
      <c r="C42" s="5">
        <f t="shared" si="38"/>
        <v>252</v>
      </c>
      <c r="D42" s="5">
        <f t="shared" si="38"/>
        <v>261</v>
      </c>
      <c r="E42" s="5">
        <f t="shared" si="38"/>
        <v>270</v>
      </c>
      <c r="F42" s="5">
        <f t="shared" si="38"/>
        <v>279</v>
      </c>
      <c r="G42" s="5">
        <f t="shared" si="38"/>
        <v>288</v>
      </c>
      <c r="H42" s="5">
        <f t="shared" si="38"/>
        <v>297</v>
      </c>
      <c r="I42" s="24">
        <f t="shared" si="38"/>
        <v>306</v>
      </c>
      <c r="J42" s="5">
        <f t="shared" si="38"/>
        <v>315</v>
      </c>
      <c r="K42" s="5">
        <f t="shared" si="38"/>
        <v>324</v>
      </c>
      <c r="L42" s="5">
        <f t="shared" si="38"/>
        <v>333</v>
      </c>
      <c r="M42" s="5">
        <f t="shared" si="38"/>
        <v>342</v>
      </c>
      <c r="N42" s="5">
        <f t="shared" si="38"/>
        <v>351</v>
      </c>
      <c r="O42" s="5">
        <f t="shared" si="38"/>
        <v>360</v>
      </c>
      <c r="P42" s="5">
        <f t="shared" si="38"/>
        <v>369</v>
      </c>
      <c r="Q42" s="5">
        <f t="shared" si="38"/>
        <v>378</v>
      </c>
      <c r="R42" s="5">
        <f t="shared" si="38"/>
        <v>387</v>
      </c>
      <c r="S42" s="5">
        <f t="shared" si="38"/>
        <v>396</v>
      </c>
      <c r="T42" s="5">
        <f t="shared" si="38"/>
        <v>405</v>
      </c>
      <c r="U42" s="5">
        <f t="shared" si="38"/>
        <v>414</v>
      </c>
      <c r="V42" s="5">
        <f t="shared" si="38"/>
        <v>423</v>
      </c>
      <c r="W42" s="5">
        <f t="shared" si="38"/>
        <v>432</v>
      </c>
      <c r="X42" s="5">
        <f t="shared" si="38"/>
        <v>441</v>
      </c>
      <c r="Y42" s="5">
        <f t="shared" si="38"/>
        <v>450</v>
      </c>
      <c r="Z42" s="5">
        <f t="shared" si="38"/>
        <v>459</v>
      </c>
      <c r="AA42" s="5">
        <f t="shared" si="38"/>
        <v>468</v>
      </c>
      <c r="AB42" s="5">
        <f t="shared" si="38"/>
        <v>477</v>
      </c>
      <c r="AC42" s="5">
        <f t="shared" si="38"/>
        <v>486</v>
      </c>
    </row>
    <row r="43">
      <c r="A43" s="2">
        <v>10.0</v>
      </c>
      <c r="B43" s="5">
        <f t="shared" ref="B43:AC43" si="39">(27-B$1)*$A43+B$1*(27-$A43)</f>
        <v>270</v>
      </c>
      <c r="C43" s="5">
        <f t="shared" si="39"/>
        <v>277</v>
      </c>
      <c r="D43" s="5">
        <f t="shared" si="39"/>
        <v>284</v>
      </c>
      <c r="E43" s="5">
        <f t="shared" si="39"/>
        <v>291</v>
      </c>
      <c r="F43" s="5">
        <f t="shared" si="39"/>
        <v>298</v>
      </c>
      <c r="G43" s="5">
        <f t="shared" si="39"/>
        <v>305</v>
      </c>
      <c r="H43" s="5">
        <f t="shared" si="39"/>
        <v>312</v>
      </c>
      <c r="I43" s="5">
        <f t="shared" si="39"/>
        <v>319</v>
      </c>
      <c r="J43" s="5">
        <f t="shared" si="39"/>
        <v>326</v>
      </c>
      <c r="K43" s="5">
        <f t="shared" si="39"/>
        <v>333</v>
      </c>
      <c r="L43" s="5">
        <f t="shared" si="39"/>
        <v>340</v>
      </c>
      <c r="M43" s="5">
        <f t="shared" si="39"/>
        <v>347</v>
      </c>
      <c r="N43" s="5">
        <f t="shared" si="39"/>
        <v>354</v>
      </c>
      <c r="O43" s="5">
        <f t="shared" si="39"/>
        <v>361</v>
      </c>
      <c r="P43" s="5">
        <f t="shared" si="39"/>
        <v>368</v>
      </c>
      <c r="Q43" s="5">
        <f t="shared" si="39"/>
        <v>375</v>
      </c>
      <c r="R43" s="5">
        <f t="shared" si="39"/>
        <v>382</v>
      </c>
      <c r="S43" s="5">
        <f t="shared" si="39"/>
        <v>389</v>
      </c>
      <c r="T43" s="5">
        <f t="shared" si="39"/>
        <v>396</v>
      </c>
      <c r="U43" s="5">
        <f t="shared" si="39"/>
        <v>403</v>
      </c>
      <c r="V43" s="5">
        <f t="shared" si="39"/>
        <v>410</v>
      </c>
      <c r="W43" s="5">
        <f t="shared" si="39"/>
        <v>417</v>
      </c>
      <c r="X43" s="5">
        <f t="shared" si="39"/>
        <v>424</v>
      </c>
      <c r="Y43" s="5">
        <f t="shared" si="39"/>
        <v>431</v>
      </c>
      <c r="Z43" s="5">
        <f t="shared" si="39"/>
        <v>438</v>
      </c>
      <c r="AA43" s="5">
        <f t="shared" si="39"/>
        <v>445</v>
      </c>
      <c r="AB43" s="5">
        <f t="shared" si="39"/>
        <v>452</v>
      </c>
      <c r="AC43" s="5">
        <f t="shared" si="39"/>
        <v>459</v>
      </c>
    </row>
    <row r="44">
      <c r="A44" s="2">
        <v>11.0</v>
      </c>
      <c r="B44" s="5">
        <f t="shared" ref="B44:AC44" si="40">(27-B$1)*$A44+B$1*(27-$A44)</f>
        <v>297</v>
      </c>
      <c r="C44" s="5">
        <f t="shared" si="40"/>
        <v>302</v>
      </c>
      <c r="D44" s="5">
        <f t="shared" si="40"/>
        <v>307</v>
      </c>
      <c r="E44" s="5">
        <f t="shared" si="40"/>
        <v>312</v>
      </c>
      <c r="F44" s="5">
        <f t="shared" si="40"/>
        <v>317</v>
      </c>
      <c r="G44" s="5">
        <f t="shared" si="40"/>
        <v>322</v>
      </c>
      <c r="H44" s="5">
        <f t="shared" si="40"/>
        <v>327</v>
      </c>
      <c r="I44" s="5">
        <f t="shared" si="40"/>
        <v>332</v>
      </c>
      <c r="J44" s="5">
        <f t="shared" si="40"/>
        <v>337</v>
      </c>
      <c r="K44" s="5">
        <f t="shared" si="40"/>
        <v>342</v>
      </c>
      <c r="L44" s="5">
        <f t="shared" si="40"/>
        <v>347</v>
      </c>
      <c r="M44" s="5">
        <f t="shared" si="40"/>
        <v>352</v>
      </c>
      <c r="N44" s="5">
        <f t="shared" si="40"/>
        <v>357</v>
      </c>
      <c r="O44" s="5">
        <f t="shared" si="40"/>
        <v>362</v>
      </c>
      <c r="P44" s="5">
        <f t="shared" si="40"/>
        <v>367</v>
      </c>
      <c r="Q44" s="5">
        <f t="shared" si="40"/>
        <v>372</v>
      </c>
      <c r="R44" s="5">
        <f t="shared" si="40"/>
        <v>377</v>
      </c>
      <c r="S44" s="5">
        <f t="shared" si="40"/>
        <v>382</v>
      </c>
      <c r="T44" s="5">
        <f t="shared" si="40"/>
        <v>387</v>
      </c>
      <c r="U44" s="5">
        <f t="shared" si="40"/>
        <v>392</v>
      </c>
      <c r="V44" s="5">
        <f t="shared" si="40"/>
        <v>397</v>
      </c>
      <c r="W44" s="5">
        <f t="shared" si="40"/>
        <v>402</v>
      </c>
      <c r="X44" s="5">
        <f t="shared" si="40"/>
        <v>407</v>
      </c>
      <c r="Y44" s="5">
        <f t="shared" si="40"/>
        <v>412</v>
      </c>
      <c r="Z44" s="5">
        <f t="shared" si="40"/>
        <v>417</v>
      </c>
      <c r="AA44" s="5">
        <f t="shared" si="40"/>
        <v>422</v>
      </c>
      <c r="AB44" s="5">
        <f t="shared" si="40"/>
        <v>427</v>
      </c>
      <c r="AC44" s="5">
        <f t="shared" si="40"/>
        <v>432</v>
      </c>
    </row>
    <row r="45">
      <c r="A45" s="2">
        <v>12.0</v>
      </c>
      <c r="B45" s="5">
        <f t="shared" ref="B45:AC45" si="41">(27-B$1)*$A45+B$1*(27-$A45)</f>
        <v>324</v>
      </c>
      <c r="C45" s="5">
        <f t="shared" si="41"/>
        <v>327</v>
      </c>
      <c r="D45" s="5">
        <f t="shared" si="41"/>
        <v>330</v>
      </c>
      <c r="E45" s="5">
        <f t="shared" si="41"/>
        <v>333</v>
      </c>
      <c r="F45" s="5">
        <f t="shared" si="41"/>
        <v>336</v>
      </c>
      <c r="G45" s="5">
        <f t="shared" si="41"/>
        <v>339</v>
      </c>
      <c r="H45" s="5">
        <f t="shared" si="41"/>
        <v>342</v>
      </c>
      <c r="I45" s="5">
        <f t="shared" si="41"/>
        <v>345</v>
      </c>
      <c r="J45" s="5">
        <f t="shared" si="41"/>
        <v>348</v>
      </c>
      <c r="K45" s="5">
        <f t="shared" si="41"/>
        <v>351</v>
      </c>
      <c r="L45" s="5">
        <f t="shared" si="41"/>
        <v>354</v>
      </c>
      <c r="M45" s="5">
        <f t="shared" si="41"/>
        <v>357</v>
      </c>
      <c r="N45" s="5">
        <f t="shared" si="41"/>
        <v>360</v>
      </c>
      <c r="O45" s="5">
        <f t="shared" si="41"/>
        <v>363</v>
      </c>
      <c r="P45" s="5">
        <f t="shared" si="41"/>
        <v>366</v>
      </c>
      <c r="Q45" s="5">
        <f t="shared" si="41"/>
        <v>369</v>
      </c>
      <c r="R45" s="5">
        <f t="shared" si="41"/>
        <v>372</v>
      </c>
      <c r="S45" s="5">
        <f t="shared" si="41"/>
        <v>375</v>
      </c>
      <c r="T45" s="5">
        <f t="shared" si="41"/>
        <v>378</v>
      </c>
      <c r="U45" s="5">
        <f t="shared" si="41"/>
        <v>381</v>
      </c>
      <c r="V45" s="5">
        <f t="shared" si="41"/>
        <v>384</v>
      </c>
      <c r="W45" s="5">
        <f t="shared" si="41"/>
        <v>387</v>
      </c>
      <c r="X45" s="5">
        <f t="shared" si="41"/>
        <v>390</v>
      </c>
      <c r="Y45" s="5">
        <f t="shared" si="41"/>
        <v>393</v>
      </c>
      <c r="Z45" s="5">
        <f t="shared" si="41"/>
        <v>396</v>
      </c>
      <c r="AA45" s="5">
        <f t="shared" si="41"/>
        <v>399</v>
      </c>
      <c r="AB45" s="5">
        <f t="shared" si="41"/>
        <v>402</v>
      </c>
      <c r="AC45" s="5">
        <f t="shared" si="41"/>
        <v>405</v>
      </c>
    </row>
    <row r="46">
      <c r="A46" s="2">
        <v>13.0</v>
      </c>
      <c r="B46" s="5">
        <f t="shared" ref="B46:AC46" si="42">(27-B$1)*$A46+B$1*(27-$A46)</f>
        <v>351</v>
      </c>
      <c r="C46" s="5">
        <f t="shared" si="42"/>
        <v>352</v>
      </c>
      <c r="D46" s="5">
        <f t="shared" si="42"/>
        <v>353</v>
      </c>
      <c r="E46" s="5">
        <f t="shared" si="42"/>
        <v>354</v>
      </c>
      <c r="F46" s="5">
        <f t="shared" si="42"/>
        <v>355</v>
      </c>
      <c r="G46" s="5">
        <f t="shared" si="42"/>
        <v>356</v>
      </c>
      <c r="H46" s="5">
        <f t="shared" si="42"/>
        <v>357</v>
      </c>
      <c r="I46" s="5">
        <f t="shared" si="42"/>
        <v>358</v>
      </c>
      <c r="J46" s="5">
        <f t="shared" si="42"/>
        <v>359</v>
      </c>
      <c r="K46" s="5">
        <f t="shared" si="42"/>
        <v>360</v>
      </c>
      <c r="L46" s="5">
        <f t="shared" si="42"/>
        <v>361</v>
      </c>
      <c r="M46" s="5">
        <f t="shared" si="42"/>
        <v>362</v>
      </c>
      <c r="N46" s="5">
        <f t="shared" si="42"/>
        <v>363</v>
      </c>
      <c r="O46" s="5">
        <f t="shared" si="42"/>
        <v>364</v>
      </c>
      <c r="P46" s="5">
        <f t="shared" si="42"/>
        <v>365</v>
      </c>
      <c r="Q46" s="5">
        <f t="shared" si="42"/>
        <v>366</v>
      </c>
      <c r="R46" s="5">
        <f t="shared" si="42"/>
        <v>367</v>
      </c>
      <c r="S46" s="5">
        <f t="shared" si="42"/>
        <v>368</v>
      </c>
      <c r="T46" s="5">
        <f t="shared" si="42"/>
        <v>369</v>
      </c>
      <c r="U46" s="5">
        <f t="shared" si="42"/>
        <v>370</v>
      </c>
      <c r="V46" s="5">
        <f t="shared" si="42"/>
        <v>371</v>
      </c>
      <c r="W46" s="5">
        <f t="shared" si="42"/>
        <v>372</v>
      </c>
      <c r="X46" s="5">
        <f t="shared" si="42"/>
        <v>373</v>
      </c>
      <c r="Y46" s="5">
        <f t="shared" si="42"/>
        <v>374</v>
      </c>
      <c r="Z46" s="5">
        <f t="shared" si="42"/>
        <v>375</v>
      </c>
      <c r="AA46" s="5">
        <f t="shared" si="42"/>
        <v>376</v>
      </c>
      <c r="AB46" s="5">
        <f t="shared" si="42"/>
        <v>377</v>
      </c>
      <c r="AC46" s="5">
        <f t="shared" si="42"/>
        <v>378</v>
      </c>
    </row>
    <row r="47">
      <c r="A47" s="2">
        <v>14.0</v>
      </c>
      <c r="B47" s="5">
        <f t="shared" ref="B47:AC47" si="43">(27-B$1)*$A47+B$1*(27-$A47)</f>
        <v>378</v>
      </c>
      <c r="C47" s="5">
        <f t="shared" si="43"/>
        <v>377</v>
      </c>
      <c r="D47" s="5">
        <f t="shared" si="43"/>
        <v>376</v>
      </c>
      <c r="E47" s="5">
        <f t="shared" si="43"/>
        <v>375</v>
      </c>
      <c r="F47" s="5">
        <f t="shared" si="43"/>
        <v>374</v>
      </c>
      <c r="G47" s="5">
        <f t="shared" si="43"/>
        <v>373</v>
      </c>
      <c r="H47" s="5">
        <f t="shared" si="43"/>
        <v>372</v>
      </c>
      <c r="I47" s="5">
        <f t="shared" si="43"/>
        <v>371</v>
      </c>
      <c r="J47" s="5">
        <f t="shared" si="43"/>
        <v>370</v>
      </c>
      <c r="K47" s="5">
        <f t="shared" si="43"/>
        <v>369</v>
      </c>
      <c r="L47" s="5">
        <f t="shared" si="43"/>
        <v>368</v>
      </c>
      <c r="M47" s="5">
        <f t="shared" si="43"/>
        <v>367</v>
      </c>
      <c r="N47" s="5">
        <f t="shared" si="43"/>
        <v>366</v>
      </c>
      <c r="O47" s="5">
        <f t="shared" si="43"/>
        <v>365</v>
      </c>
      <c r="P47" s="5">
        <f t="shared" si="43"/>
        <v>364</v>
      </c>
      <c r="Q47" s="5">
        <f t="shared" si="43"/>
        <v>363</v>
      </c>
      <c r="R47" s="5">
        <f t="shared" si="43"/>
        <v>362</v>
      </c>
      <c r="S47" s="5">
        <f t="shared" si="43"/>
        <v>361</v>
      </c>
      <c r="T47" s="5">
        <f t="shared" si="43"/>
        <v>360</v>
      </c>
      <c r="U47" s="5">
        <f t="shared" si="43"/>
        <v>359</v>
      </c>
      <c r="V47" s="5">
        <f t="shared" si="43"/>
        <v>358</v>
      </c>
      <c r="W47" s="5">
        <f t="shared" si="43"/>
        <v>357</v>
      </c>
      <c r="X47" s="5">
        <f t="shared" si="43"/>
        <v>356</v>
      </c>
      <c r="Y47" s="5">
        <f t="shared" si="43"/>
        <v>355</v>
      </c>
      <c r="Z47" s="5">
        <f t="shared" si="43"/>
        <v>354</v>
      </c>
      <c r="AA47" s="5">
        <f t="shared" si="43"/>
        <v>353</v>
      </c>
      <c r="AB47" s="5">
        <f t="shared" si="43"/>
        <v>352</v>
      </c>
      <c r="AC47" s="5">
        <f t="shared" si="43"/>
        <v>351</v>
      </c>
    </row>
    <row r="48">
      <c r="A48" s="2">
        <v>15.0</v>
      </c>
      <c r="B48" s="5">
        <f t="shared" ref="B48:AC48" si="44">(27-B$1)*$A48+B$1*(27-$A48)</f>
        <v>405</v>
      </c>
      <c r="C48" s="5">
        <f t="shared" si="44"/>
        <v>402</v>
      </c>
      <c r="D48" s="5">
        <f t="shared" si="44"/>
        <v>399</v>
      </c>
      <c r="E48" s="5">
        <f t="shared" si="44"/>
        <v>396</v>
      </c>
      <c r="F48" s="5">
        <f t="shared" si="44"/>
        <v>393</v>
      </c>
      <c r="G48" s="5">
        <f t="shared" si="44"/>
        <v>390</v>
      </c>
      <c r="H48" s="5">
        <f t="shared" si="44"/>
        <v>387</v>
      </c>
      <c r="I48" s="5">
        <f t="shared" si="44"/>
        <v>384</v>
      </c>
      <c r="J48" s="5">
        <f t="shared" si="44"/>
        <v>381</v>
      </c>
      <c r="K48" s="5">
        <f t="shared" si="44"/>
        <v>378</v>
      </c>
      <c r="L48" s="5">
        <f t="shared" si="44"/>
        <v>375</v>
      </c>
      <c r="M48" s="5">
        <f t="shared" si="44"/>
        <v>372</v>
      </c>
      <c r="N48" s="5">
        <f t="shared" si="44"/>
        <v>369</v>
      </c>
      <c r="O48" s="5">
        <f t="shared" si="44"/>
        <v>366</v>
      </c>
      <c r="P48" s="5">
        <f t="shared" si="44"/>
        <v>363</v>
      </c>
      <c r="Q48" s="5">
        <f t="shared" si="44"/>
        <v>360</v>
      </c>
      <c r="R48" s="5">
        <f t="shared" si="44"/>
        <v>357</v>
      </c>
      <c r="S48" s="5">
        <f t="shared" si="44"/>
        <v>354</v>
      </c>
      <c r="T48" s="5">
        <f t="shared" si="44"/>
        <v>351</v>
      </c>
      <c r="U48" s="5">
        <f t="shared" si="44"/>
        <v>348</v>
      </c>
      <c r="V48" s="5">
        <f t="shared" si="44"/>
        <v>345</v>
      </c>
      <c r="W48" s="5">
        <f t="shared" si="44"/>
        <v>342</v>
      </c>
      <c r="X48" s="5">
        <f t="shared" si="44"/>
        <v>339</v>
      </c>
      <c r="Y48" s="5">
        <f t="shared" si="44"/>
        <v>336</v>
      </c>
      <c r="Z48" s="5">
        <f t="shared" si="44"/>
        <v>333</v>
      </c>
      <c r="AA48" s="5">
        <f t="shared" si="44"/>
        <v>330</v>
      </c>
      <c r="AB48" s="5">
        <f t="shared" si="44"/>
        <v>327</v>
      </c>
      <c r="AC48" s="5">
        <f t="shared" si="44"/>
        <v>324</v>
      </c>
    </row>
    <row r="49">
      <c r="A49" s="2">
        <v>16.0</v>
      </c>
      <c r="B49" s="5">
        <f t="shared" ref="B49:AC49" si="45">(27-B$1)*$A49+B$1*(27-$A49)</f>
        <v>432</v>
      </c>
      <c r="C49" s="5">
        <f t="shared" si="45"/>
        <v>427</v>
      </c>
      <c r="D49" s="5">
        <f t="shared" si="45"/>
        <v>422</v>
      </c>
      <c r="E49" s="5">
        <f t="shared" si="45"/>
        <v>417</v>
      </c>
      <c r="F49" s="5">
        <f t="shared" si="45"/>
        <v>412</v>
      </c>
      <c r="G49" s="5">
        <f t="shared" si="45"/>
        <v>407</v>
      </c>
      <c r="H49" s="5">
        <f t="shared" si="45"/>
        <v>402</v>
      </c>
      <c r="I49" s="5">
        <f t="shared" si="45"/>
        <v>397</v>
      </c>
      <c r="J49" s="5">
        <f t="shared" si="45"/>
        <v>392</v>
      </c>
      <c r="K49" s="5">
        <f t="shared" si="45"/>
        <v>387</v>
      </c>
      <c r="L49" s="5">
        <f t="shared" si="45"/>
        <v>382</v>
      </c>
      <c r="M49" s="5">
        <f t="shared" si="45"/>
        <v>377</v>
      </c>
      <c r="N49" s="5">
        <f t="shared" si="45"/>
        <v>372</v>
      </c>
      <c r="O49" s="5">
        <f t="shared" si="45"/>
        <v>367</v>
      </c>
      <c r="P49" s="5">
        <f t="shared" si="45"/>
        <v>362</v>
      </c>
      <c r="Q49" s="5">
        <f t="shared" si="45"/>
        <v>357</v>
      </c>
      <c r="R49" s="5">
        <f t="shared" si="45"/>
        <v>352</v>
      </c>
      <c r="S49" s="5">
        <f t="shared" si="45"/>
        <v>347</v>
      </c>
      <c r="T49" s="5">
        <f t="shared" si="45"/>
        <v>342</v>
      </c>
      <c r="U49" s="5">
        <f t="shared" si="45"/>
        <v>337</v>
      </c>
      <c r="V49" s="5">
        <f t="shared" si="45"/>
        <v>332</v>
      </c>
      <c r="W49" s="5">
        <f t="shared" si="45"/>
        <v>327</v>
      </c>
      <c r="X49" s="5">
        <f t="shared" si="45"/>
        <v>322</v>
      </c>
      <c r="Y49" s="5">
        <f t="shared" si="45"/>
        <v>317</v>
      </c>
      <c r="Z49" s="5">
        <f t="shared" si="45"/>
        <v>312</v>
      </c>
      <c r="AA49" s="5">
        <f t="shared" si="45"/>
        <v>307</v>
      </c>
      <c r="AB49" s="5">
        <f t="shared" si="45"/>
        <v>302</v>
      </c>
      <c r="AC49" s="5">
        <f t="shared" si="45"/>
        <v>297</v>
      </c>
    </row>
    <row r="50">
      <c r="A50" s="2">
        <v>17.0</v>
      </c>
      <c r="B50" s="5">
        <f t="shared" ref="B50:AC50" si="46">(27-B$1)*$A50+B$1*(27-$A50)</f>
        <v>459</v>
      </c>
      <c r="C50" s="5">
        <f t="shared" si="46"/>
        <v>452</v>
      </c>
      <c r="D50" s="5">
        <f t="shared" si="46"/>
        <v>445</v>
      </c>
      <c r="E50" s="5">
        <f t="shared" si="46"/>
        <v>438</v>
      </c>
      <c r="F50" s="5">
        <f t="shared" si="46"/>
        <v>431</v>
      </c>
      <c r="G50" s="5">
        <f t="shared" si="46"/>
        <v>424</v>
      </c>
      <c r="H50" s="5">
        <f t="shared" si="46"/>
        <v>417</v>
      </c>
      <c r="I50" s="5">
        <f t="shared" si="46"/>
        <v>410</v>
      </c>
      <c r="J50" s="5">
        <f t="shared" si="46"/>
        <v>403</v>
      </c>
      <c r="K50" s="5">
        <f t="shared" si="46"/>
        <v>396</v>
      </c>
      <c r="L50" s="5">
        <f t="shared" si="46"/>
        <v>389</v>
      </c>
      <c r="M50" s="5">
        <f t="shared" si="46"/>
        <v>382</v>
      </c>
      <c r="N50" s="5">
        <f t="shared" si="46"/>
        <v>375</v>
      </c>
      <c r="O50" s="5">
        <f t="shared" si="46"/>
        <v>368</v>
      </c>
      <c r="P50" s="5">
        <f t="shared" si="46"/>
        <v>361</v>
      </c>
      <c r="Q50" s="5">
        <f t="shared" si="46"/>
        <v>354</v>
      </c>
      <c r="R50" s="5">
        <f t="shared" si="46"/>
        <v>347</v>
      </c>
      <c r="S50" s="5">
        <f t="shared" si="46"/>
        <v>340</v>
      </c>
      <c r="T50" s="5">
        <f t="shared" si="46"/>
        <v>333</v>
      </c>
      <c r="U50" s="5">
        <f t="shared" si="46"/>
        <v>326</v>
      </c>
      <c r="V50" s="5">
        <f t="shared" si="46"/>
        <v>319</v>
      </c>
      <c r="W50" s="5">
        <f t="shared" si="46"/>
        <v>312</v>
      </c>
      <c r="X50" s="5">
        <f t="shared" si="46"/>
        <v>305</v>
      </c>
      <c r="Y50" s="5">
        <f t="shared" si="46"/>
        <v>298</v>
      </c>
      <c r="Z50" s="5">
        <f t="shared" si="46"/>
        <v>291</v>
      </c>
      <c r="AA50" s="5">
        <f t="shared" si="46"/>
        <v>284</v>
      </c>
      <c r="AB50" s="5">
        <f t="shared" si="46"/>
        <v>277</v>
      </c>
      <c r="AC50" s="5">
        <f t="shared" si="46"/>
        <v>270</v>
      </c>
    </row>
    <row r="51">
      <c r="A51" s="2">
        <v>18.0</v>
      </c>
      <c r="B51" s="5">
        <f t="shared" ref="B51:AC51" si="47">(27-B$1)*$A51+B$1*(27-$A51)</f>
        <v>486</v>
      </c>
      <c r="C51" s="5">
        <f t="shared" si="47"/>
        <v>477</v>
      </c>
      <c r="D51" s="5">
        <f t="shared" si="47"/>
        <v>468</v>
      </c>
      <c r="E51" s="5">
        <f t="shared" si="47"/>
        <v>459</v>
      </c>
      <c r="F51" s="5">
        <f t="shared" si="47"/>
        <v>450</v>
      </c>
      <c r="G51" s="5">
        <f t="shared" si="47"/>
        <v>441</v>
      </c>
      <c r="H51" s="5">
        <f t="shared" si="47"/>
        <v>432</v>
      </c>
      <c r="I51" s="5">
        <f t="shared" si="47"/>
        <v>423</v>
      </c>
      <c r="J51" s="5">
        <f t="shared" si="47"/>
        <v>414</v>
      </c>
      <c r="K51" s="5">
        <f t="shared" si="47"/>
        <v>405</v>
      </c>
      <c r="L51" s="5">
        <f t="shared" si="47"/>
        <v>396</v>
      </c>
      <c r="M51" s="5">
        <f t="shared" si="47"/>
        <v>387</v>
      </c>
      <c r="N51" s="5">
        <f t="shared" si="47"/>
        <v>378</v>
      </c>
      <c r="O51" s="5">
        <f t="shared" si="47"/>
        <v>369</v>
      </c>
      <c r="P51" s="5">
        <f t="shared" si="47"/>
        <v>360</v>
      </c>
      <c r="Q51" s="5">
        <f t="shared" si="47"/>
        <v>351</v>
      </c>
      <c r="R51" s="5">
        <f t="shared" si="47"/>
        <v>342</v>
      </c>
      <c r="S51" s="5">
        <f t="shared" si="47"/>
        <v>333</v>
      </c>
      <c r="T51" s="5">
        <f t="shared" si="47"/>
        <v>324</v>
      </c>
      <c r="U51" s="5">
        <f t="shared" si="47"/>
        <v>315</v>
      </c>
      <c r="V51" s="24">
        <f t="shared" si="47"/>
        <v>306</v>
      </c>
      <c r="W51" s="5">
        <f t="shared" si="47"/>
        <v>297</v>
      </c>
      <c r="X51" s="5">
        <f t="shared" si="47"/>
        <v>288</v>
      </c>
      <c r="Y51" s="5">
        <f t="shared" si="47"/>
        <v>279</v>
      </c>
      <c r="Z51" s="5">
        <f t="shared" si="47"/>
        <v>270</v>
      </c>
      <c r="AA51" s="5">
        <f t="shared" si="47"/>
        <v>261</v>
      </c>
      <c r="AB51" s="5">
        <f t="shared" si="47"/>
        <v>252</v>
      </c>
      <c r="AC51" s="5">
        <f t="shared" si="47"/>
        <v>243</v>
      </c>
    </row>
    <row r="52">
      <c r="A52" s="2">
        <v>19.0</v>
      </c>
      <c r="B52" s="5">
        <f t="shared" ref="B52:AC52" si="48">(27-B$1)*$A52+B$1*(27-$A52)</f>
        <v>513</v>
      </c>
      <c r="C52" s="5">
        <f t="shared" si="48"/>
        <v>502</v>
      </c>
      <c r="D52" s="5">
        <f t="shared" si="48"/>
        <v>491</v>
      </c>
      <c r="E52" s="5">
        <f t="shared" si="48"/>
        <v>480</v>
      </c>
      <c r="F52" s="5">
        <f t="shared" si="48"/>
        <v>469</v>
      </c>
      <c r="G52" s="5">
        <f t="shared" si="48"/>
        <v>458</v>
      </c>
      <c r="H52" s="5">
        <f t="shared" si="48"/>
        <v>447</v>
      </c>
      <c r="I52" s="5">
        <f t="shared" si="48"/>
        <v>436</v>
      </c>
      <c r="J52" s="5">
        <f t="shared" si="48"/>
        <v>425</v>
      </c>
      <c r="K52" s="5">
        <f t="shared" si="48"/>
        <v>414</v>
      </c>
      <c r="L52" s="5">
        <f t="shared" si="48"/>
        <v>403</v>
      </c>
      <c r="M52" s="5">
        <f t="shared" si="48"/>
        <v>392</v>
      </c>
      <c r="N52" s="5">
        <f t="shared" si="48"/>
        <v>381</v>
      </c>
      <c r="O52" s="5">
        <f t="shared" si="48"/>
        <v>370</v>
      </c>
      <c r="P52" s="5">
        <f t="shared" si="48"/>
        <v>359</v>
      </c>
      <c r="Q52" s="5">
        <f t="shared" si="48"/>
        <v>348</v>
      </c>
      <c r="R52" s="5">
        <f t="shared" si="48"/>
        <v>337</v>
      </c>
      <c r="S52" s="5">
        <f t="shared" si="48"/>
        <v>326</v>
      </c>
      <c r="T52" s="5">
        <f t="shared" si="48"/>
        <v>315</v>
      </c>
      <c r="U52" s="24">
        <f t="shared" si="48"/>
        <v>304</v>
      </c>
      <c r="V52" s="5">
        <f t="shared" si="48"/>
        <v>293</v>
      </c>
      <c r="W52" s="5">
        <f t="shared" si="48"/>
        <v>282</v>
      </c>
      <c r="X52" s="5">
        <f t="shared" si="48"/>
        <v>271</v>
      </c>
      <c r="Y52" s="5">
        <f t="shared" si="48"/>
        <v>260</v>
      </c>
      <c r="Z52" s="5">
        <f t="shared" si="48"/>
        <v>249</v>
      </c>
      <c r="AA52" s="5">
        <f t="shared" si="48"/>
        <v>238</v>
      </c>
      <c r="AB52" s="5">
        <f t="shared" si="48"/>
        <v>227</v>
      </c>
      <c r="AC52" s="5">
        <f t="shared" si="48"/>
        <v>216</v>
      </c>
    </row>
    <row r="53">
      <c r="A53" s="2">
        <v>20.0</v>
      </c>
      <c r="B53" s="5">
        <f t="shared" ref="B53:AC53" si="49">(27-B$1)*$A53+B$1*(27-$A53)</f>
        <v>540</v>
      </c>
      <c r="C53" s="5">
        <f t="shared" si="49"/>
        <v>527</v>
      </c>
      <c r="D53" s="5">
        <f t="shared" si="49"/>
        <v>514</v>
      </c>
      <c r="E53" s="5">
        <f t="shared" si="49"/>
        <v>501</v>
      </c>
      <c r="F53" s="5">
        <f t="shared" si="49"/>
        <v>488</v>
      </c>
      <c r="G53" s="5">
        <f t="shared" si="49"/>
        <v>475</v>
      </c>
      <c r="H53" s="5">
        <f t="shared" si="49"/>
        <v>462</v>
      </c>
      <c r="I53" s="5">
        <f t="shared" si="49"/>
        <v>449</v>
      </c>
      <c r="J53" s="5">
        <f t="shared" si="49"/>
        <v>436</v>
      </c>
      <c r="K53" s="5">
        <f t="shared" si="49"/>
        <v>423</v>
      </c>
      <c r="L53" s="5">
        <f t="shared" si="49"/>
        <v>410</v>
      </c>
      <c r="M53" s="5">
        <f t="shared" si="49"/>
        <v>397</v>
      </c>
      <c r="N53" s="5">
        <f t="shared" si="49"/>
        <v>384</v>
      </c>
      <c r="O53" s="5">
        <f t="shared" si="49"/>
        <v>371</v>
      </c>
      <c r="P53" s="5">
        <f t="shared" si="49"/>
        <v>358</v>
      </c>
      <c r="Q53" s="5">
        <f t="shared" si="49"/>
        <v>345</v>
      </c>
      <c r="R53" s="5">
        <f t="shared" si="49"/>
        <v>332</v>
      </c>
      <c r="S53" s="5">
        <f t="shared" si="49"/>
        <v>319</v>
      </c>
      <c r="T53" s="24">
        <f t="shared" si="49"/>
        <v>306</v>
      </c>
      <c r="U53" s="5">
        <f t="shared" si="49"/>
        <v>293</v>
      </c>
      <c r="V53" s="5">
        <f t="shared" si="49"/>
        <v>280</v>
      </c>
      <c r="W53" s="5">
        <f t="shared" si="49"/>
        <v>267</v>
      </c>
      <c r="X53" s="5">
        <f t="shared" si="49"/>
        <v>254</v>
      </c>
      <c r="Y53" s="5">
        <f t="shared" si="49"/>
        <v>241</v>
      </c>
      <c r="Z53" s="5">
        <f t="shared" si="49"/>
        <v>228</v>
      </c>
      <c r="AA53" s="5">
        <f t="shared" si="49"/>
        <v>215</v>
      </c>
      <c r="AB53" s="5">
        <f t="shared" si="49"/>
        <v>202</v>
      </c>
      <c r="AC53" s="5">
        <f t="shared" si="49"/>
        <v>189</v>
      </c>
    </row>
    <row r="54">
      <c r="A54" s="2">
        <v>21.0</v>
      </c>
      <c r="B54" s="5">
        <f t="shared" ref="B54:AC54" si="50">(27-B$1)*$A54+B$1*(27-$A54)</f>
        <v>567</v>
      </c>
      <c r="C54" s="5">
        <f t="shared" si="50"/>
        <v>552</v>
      </c>
      <c r="D54" s="5">
        <f t="shared" si="50"/>
        <v>537</v>
      </c>
      <c r="E54" s="5">
        <f t="shared" si="50"/>
        <v>522</v>
      </c>
      <c r="F54" s="5">
        <f t="shared" si="50"/>
        <v>507</v>
      </c>
      <c r="G54" s="5">
        <f t="shared" si="50"/>
        <v>492</v>
      </c>
      <c r="H54" s="5">
        <f t="shared" si="50"/>
        <v>477</v>
      </c>
      <c r="I54" s="5">
        <f t="shared" si="50"/>
        <v>462</v>
      </c>
      <c r="J54" s="5">
        <f t="shared" si="50"/>
        <v>447</v>
      </c>
      <c r="K54" s="5">
        <f t="shared" si="50"/>
        <v>432</v>
      </c>
      <c r="L54" s="5">
        <f t="shared" si="50"/>
        <v>417</v>
      </c>
      <c r="M54" s="5">
        <f t="shared" si="50"/>
        <v>402</v>
      </c>
      <c r="N54" s="5">
        <f t="shared" si="50"/>
        <v>387</v>
      </c>
      <c r="O54" s="5">
        <f t="shared" si="50"/>
        <v>372</v>
      </c>
      <c r="P54" s="5">
        <f t="shared" si="50"/>
        <v>357</v>
      </c>
      <c r="Q54" s="5">
        <f t="shared" si="50"/>
        <v>342</v>
      </c>
      <c r="R54" s="5">
        <f t="shared" si="50"/>
        <v>327</v>
      </c>
      <c r="S54" s="5">
        <f t="shared" si="50"/>
        <v>312</v>
      </c>
      <c r="T54" s="5">
        <f t="shared" si="50"/>
        <v>297</v>
      </c>
      <c r="U54" s="5">
        <f t="shared" si="50"/>
        <v>282</v>
      </c>
      <c r="V54" s="5">
        <f t="shared" si="50"/>
        <v>267</v>
      </c>
      <c r="W54" s="5">
        <f t="shared" si="50"/>
        <v>252</v>
      </c>
      <c r="X54" s="5">
        <f t="shared" si="50"/>
        <v>237</v>
      </c>
      <c r="Y54" s="5">
        <f t="shared" si="50"/>
        <v>222</v>
      </c>
      <c r="Z54" s="5">
        <f t="shared" si="50"/>
        <v>207</v>
      </c>
      <c r="AA54" s="5">
        <f t="shared" si="50"/>
        <v>192</v>
      </c>
      <c r="AB54" s="5">
        <f t="shared" si="50"/>
        <v>177</v>
      </c>
      <c r="AC54" s="5">
        <f t="shared" si="50"/>
        <v>162</v>
      </c>
    </row>
    <row r="55">
      <c r="A55" s="2">
        <v>22.0</v>
      </c>
      <c r="B55" s="5">
        <f t="shared" ref="B55:AC55" si="51">(27-B$1)*$A55+B$1*(27-$A55)</f>
        <v>594</v>
      </c>
      <c r="C55" s="5">
        <f t="shared" si="51"/>
        <v>577</v>
      </c>
      <c r="D55" s="5">
        <f t="shared" si="51"/>
        <v>560</v>
      </c>
      <c r="E55" s="5">
        <f t="shared" si="51"/>
        <v>543</v>
      </c>
      <c r="F55" s="5">
        <f t="shared" si="51"/>
        <v>526</v>
      </c>
      <c r="G55" s="5">
        <f t="shared" si="51"/>
        <v>509</v>
      </c>
      <c r="H55" s="5">
        <f t="shared" si="51"/>
        <v>492</v>
      </c>
      <c r="I55" s="5">
        <f t="shared" si="51"/>
        <v>475</v>
      </c>
      <c r="J55" s="5">
        <f t="shared" si="51"/>
        <v>458</v>
      </c>
      <c r="K55" s="5">
        <f t="shared" si="51"/>
        <v>441</v>
      </c>
      <c r="L55" s="5">
        <f t="shared" si="51"/>
        <v>424</v>
      </c>
      <c r="M55" s="5">
        <f t="shared" si="51"/>
        <v>407</v>
      </c>
      <c r="N55" s="5">
        <f t="shared" si="51"/>
        <v>390</v>
      </c>
      <c r="O55" s="5">
        <f t="shared" si="51"/>
        <v>373</v>
      </c>
      <c r="P55" s="5">
        <f t="shared" si="51"/>
        <v>356</v>
      </c>
      <c r="Q55" s="5">
        <f t="shared" si="51"/>
        <v>339</v>
      </c>
      <c r="R55" s="5">
        <f t="shared" si="51"/>
        <v>322</v>
      </c>
      <c r="S55" s="5">
        <f t="shared" si="51"/>
        <v>305</v>
      </c>
      <c r="T55" s="5">
        <f t="shared" si="51"/>
        <v>288</v>
      </c>
      <c r="U55" s="5">
        <f t="shared" si="51"/>
        <v>271</v>
      </c>
      <c r="V55" s="5">
        <f t="shared" si="51"/>
        <v>254</v>
      </c>
      <c r="W55" s="5">
        <f t="shared" si="51"/>
        <v>237</v>
      </c>
      <c r="X55" s="5">
        <f t="shared" si="51"/>
        <v>220</v>
      </c>
      <c r="Y55" s="5">
        <f t="shared" si="51"/>
        <v>203</v>
      </c>
      <c r="Z55" s="5">
        <f t="shared" si="51"/>
        <v>186</v>
      </c>
      <c r="AA55" s="5">
        <f t="shared" si="51"/>
        <v>169</v>
      </c>
      <c r="AB55" s="5">
        <f t="shared" si="51"/>
        <v>152</v>
      </c>
      <c r="AC55" s="5">
        <f t="shared" si="51"/>
        <v>135</v>
      </c>
    </row>
    <row r="56">
      <c r="A56" s="2">
        <v>23.0</v>
      </c>
      <c r="B56" s="5">
        <f t="shared" ref="B56:AC56" si="52">(27-B$1)*$A56+B$1*(27-$A56)</f>
        <v>621</v>
      </c>
      <c r="C56" s="5">
        <f t="shared" si="52"/>
        <v>602</v>
      </c>
      <c r="D56" s="5">
        <f t="shared" si="52"/>
        <v>583</v>
      </c>
      <c r="E56" s="5">
        <f t="shared" si="52"/>
        <v>564</v>
      </c>
      <c r="F56" s="5">
        <f t="shared" si="52"/>
        <v>545</v>
      </c>
      <c r="G56" s="5">
        <f t="shared" si="52"/>
        <v>526</v>
      </c>
      <c r="H56" s="5">
        <f t="shared" si="52"/>
        <v>507</v>
      </c>
      <c r="I56" s="5">
        <f t="shared" si="52"/>
        <v>488</v>
      </c>
      <c r="J56" s="5">
        <f t="shared" si="52"/>
        <v>469</v>
      </c>
      <c r="K56" s="5">
        <f t="shared" si="52"/>
        <v>450</v>
      </c>
      <c r="L56" s="5">
        <f t="shared" si="52"/>
        <v>431</v>
      </c>
      <c r="M56" s="5">
        <f t="shared" si="52"/>
        <v>412</v>
      </c>
      <c r="N56" s="5">
        <f t="shared" si="52"/>
        <v>393</v>
      </c>
      <c r="O56" s="5">
        <f t="shared" si="52"/>
        <v>374</v>
      </c>
      <c r="P56" s="5">
        <f t="shared" si="52"/>
        <v>355</v>
      </c>
      <c r="Q56" s="5">
        <f t="shared" si="52"/>
        <v>336</v>
      </c>
      <c r="R56" s="5">
        <f t="shared" si="52"/>
        <v>317</v>
      </c>
      <c r="S56" s="5">
        <f t="shared" si="52"/>
        <v>298</v>
      </c>
      <c r="T56" s="5">
        <f t="shared" si="52"/>
        <v>279</v>
      </c>
      <c r="U56" s="5">
        <f t="shared" si="52"/>
        <v>260</v>
      </c>
      <c r="V56" s="5">
        <f t="shared" si="52"/>
        <v>241</v>
      </c>
      <c r="W56" s="5">
        <f t="shared" si="52"/>
        <v>222</v>
      </c>
      <c r="X56" s="5">
        <f t="shared" si="52"/>
        <v>203</v>
      </c>
      <c r="Y56" s="5">
        <f t="shared" si="52"/>
        <v>184</v>
      </c>
      <c r="Z56" s="5">
        <f t="shared" si="52"/>
        <v>165</v>
      </c>
      <c r="AA56" s="5">
        <f t="shared" si="52"/>
        <v>146</v>
      </c>
      <c r="AB56" s="5">
        <f t="shared" si="52"/>
        <v>127</v>
      </c>
      <c r="AC56" s="5">
        <f t="shared" si="52"/>
        <v>108</v>
      </c>
    </row>
    <row r="57">
      <c r="A57" s="2">
        <v>24.0</v>
      </c>
      <c r="B57" s="5">
        <f t="shared" ref="B57:AC57" si="53">(27-B$1)*$A57+B$1*(27-$A57)</f>
        <v>648</v>
      </c>
      <c r="C57" s="5">
        <f t="shared" si="53"/>
        <v>627</v>
      </c>
      <c r="D57" s="5">
        <f t="shared" si="53"/>
        <v>606</v>
      </c>
      <c r="E57" s="5">
        <f t="shared" si="53"/>
        <v>585</v>
      </c>
      <c r="F57" s="5">
        <f t="shared" si="53"/>
        <v>564</v>
      </c>
      <c r="G57" s="5">
        <f t="shared" si="53"/>
        <v>543</v>
      </c>
      <c r="H57" s="5">
        <f t="shared" si="53"/>
        <v>522</v>
      </c>
      <c r="I57" s="5">
        <f t="shared" si="53"/>
        <v>501</v>
      </c>
      <c r="J57" s="5">
        <f t="shared" si="53"/>
        <v>480</v>
      </c>
      <c r="K57" s="5">
        <f t="shared" si="53"/>
        <v>459</v>
      </c>
      <c r="L57" s="5">
        <f t="shared" si="53"/>
        <v>438</v>
      </c>
      <c r="M57" s="5">
        <f t="shared" si="53"/>
        <v>417</v>
      </c>
      <c r="N57" s="5">
        <f t="shared" si="53"/>
        <v>396</v>
      </c>
      <c r="O57" s="5">
        <f t="shared" si="53"/>
        <v>375</v>
      </c>
      <c r="P57" s="5">
        <f t="shared" si="53"/>
        <v>354</v>
      </c>
      <c r="Q57" s="5">
        <f t="shared" si="53"/>
        <v>333</v>
      </c>
      <c r="R57" s="5">
        <f t="shared" si="53"/>
        <v>312</v>
      </c>
      <c r="S57" s="5">
        <f t="shared" si="53"/>
        <v>291</v>
      </c>
      <c r="T57" s="5">
        <f t="shared" si="53"/>
        <v>270</v>
      </c>
      <c r="U57" s="5">
        <f t="shared" si="53"/>
        <v>249</v>
      </c>
      <c r="V57" s="5">
        <f t="shared" si="53"/>
        <v>228</v>
      </c>
      <c r="W57" s="5">
        <f t="shared" si="53"/>
        <v>207</v>
      </c>
      <c r="X57" s="5">
        <f t="shared" si="53"/>
        <v>186</v>
      </c>
      <c r="Y57" s="5">
        <f t="shared" si="53"/>
        <v>165</v>
      </c>
      <c r="Z57" s="5">
        <f t="shared" si="53"/>
        <v>144</v>
      </c>
      <c r="AA57" s="5">
        <f t="shared" si="53"/>
        <v>123</v>
      </c>
      <c r="AB57" s="5">
        <f t="shared" si="53"/>
        <v>102</v>
      </c>
      <c r="AC57" s="5">
        <f t="shared" si="53"/>
        <v>81</v>
      </c>
    </row>
    <row r="58">
      <c r="A58" s="2">
        <v>25.0</v>
      </c>
      <c r="B58" s="5">
        <f t="shared" ref="B58:AC58" si="54">(27-B$1)*$A58+B$1*(27-$A58)</f>
        <v>675</v>
      </c>
      <c r="C58" s="5">
        <f t="shared" si="54"/>
        <v>652</v>
      </c>
      <c r="D58" s="5">
        <f t="shared" si="54"/>
        <v>629</v>
      </c>
      <c r="E58" s="5">
        <f t="shared" si="54"/>
        <v>606</v>
      </c>
      <c r="F58" s="5">
        <f t="shared" si="54"/>
        <v>583</v>
      </c>
      <c r="G58" s="5">
        <f t="shared" si="54"/>
        <v>560</v>
      </c>
      <c r="H58" s="5">
        <f t="shared" si="54"/>
        <v>537</v>
      </c>
      <c r="I58" s="5">
        <f t="shared" si="54"/>
        <v>514</v>
      </c>
      <c r="J58" s="5">
        <f t="shared" si="54"/>
        <v>491</v>
      </c>
      <c r="K58" s="5">
        <f t="shared" si="54"/>
        <v>468</v>
      </c>
      <c r="L58" s="5">
        <f t="shared" si="54"/>
        <v>445</v>
      </c>
      <c r="M58" s="5">
        <f t="shared" si="54"/>
        <v>422</v>
      </c>
      <c r="N58" s="5">
        <f t="shared" si="54"/>
        <v>399</v>
      </c>
      <c r="O58" s="5">
        <f t="shared" si="54"/>
        <v>376</v>
      </c>
      <c r="P58" s="5">
        <f t="shared" si="54"/>
        <v>353</v>
      </c>
      <c r="Q58" s="5">
        <f t="shared" si="54"/>
        <v>330</v>
      </c>
      <c r="R58" s="5">
        <f t="shared" si="54"/>
        <v>307</v>
      </c>
      <c r="S58" s="5">
        <f t="shared" si="54"/>
        <v>284</v>
      </c>
      <c r="T58" s="5">
        <f t="shared" si="54"/>
        <v>261</v>
      </c>
      <c r="U58" s="5">
        <f t="shared" si="54"/>
        <v>238</v>
      </c>
      <c r="V58" s="5">
        <f t="shared" si="54"/>
        <v>215</v>
      </c>
      <c r="W58" s="5">
        <f t="shared" si="54"/>
        <v>192</v>
      </c>
      <c r="X58" s="5">
        <f t="shared" si="54"/>
        <v>169</v>
      </c>
      <c r="Y58" s="5">
        <f t="shared" si="54"/>
        <v>146</v>
      </c>
      <c r="Z58" s="5">
        <f t="shared" si="54"/>
        <v>123</v>
      </c>
      <c r="AA58" s="5">
        <f t="shared" si="54"/>
        <v>100</v>
      </c>
      <c r="AB58" s="5">
        <f t="shared" si="54"/>
        <v>77</v>
      </c>
      <c r="AC58" s="5">
        <f t="shared" si="54"/>
        <v>54</v>
      </c>
    </row>
    <row r="59">
      <c r="A59" s="2">
        <v>26.0</v>
      </c>
      <c r="B59" s="5">
        <f t="shared" ref="B59:AC59" si="55">(27-B$1)*$A59+B$1*(27-$A59)</f>
        <v>702</v>
      </c>
      <c r="C59" s="5">
        <f t="shared" si="55"/>
        <v>677</v>
      </c>
      <c r="D59" s="5">
        <f t="shared" si="55"/>
        <v>652</v>
      </c>
      <c r="E59" s="5">
        <f t="shared" si="55"/>
        <v>627</v>
      </c>
      <c r="F59" s="5">
        <f t="shared" si="55"/>
        <v>602</v>
      </c>
      <c r="G59" s="5">
        <f t="shared" si="55"/>
        <v>577</v>
      </c>
      <c r="H59" s="5">
        <f t="shared" si="55"/>
        <v>552</v>
      </c>
      <c r="I59" s="5">
        <f t="shared" si="55"/>
        <v>527</v>
      </c>
      <c r="J59" s="5">
        <f t="shared" si="55"/>
        <v>502</v>
      </c>
      <c r="K59" s="5">
        <f t="shared" si="55"/>
        <v>477</v>
      </c>
      <c r="L59" s="5">
        <f t="shared" si="55"/>
        <v>452</v>
      </c>
      <c r="M59" s="5">
        <f t="shared" si="55"/>
        <v>427</v>
      </c>
      <c r="N59" s="5">
        <f t="shared" si="55"/>
        <v>402</v>
      </c>
      <c r="O59" s="5">
        <f t="shared" si="55"/>
        <v>377</v>
      </c>
      <c r="P59" s="5">
        <f t="shared" si="55"/>
        <v>352</v>
      </c>
      <c r="Q59" s="5">
        <f t="shared" si="55"/>
        <v>327</v>
      </c>
      <c r="R59" s="5">
        <f t="shared" si="55"/>
        <v>302</v>
      </c>
      <c r="S59" s="5">
        <f t="shared" si="55"/>
        <v>277</v>
      </c>
      <c r="T59" s="5">
        <f t="shared" si="55"/>
        <v>252</v>
      </c>
      <c r="U59" s="5">
        <f t="shared" si="55"/>
        <v>227</v>
      </c>
      <c r="V59" s="5">
        <f t="shared" si="55"/>
        <v>202</v>
      </c>
      <c r="W59" s="5">
        <f t="shared" si="55"/>
        <v>177</v>
      </c>
      <c r="X59" s="5">
        <f t="shared" si="55"/>
        <v>152</v>
      </c>
      <c r="Y59" s="5">
        <f t="shared" si="55"/>
        <v>127</v>
      </c>
      <c r="Z59" s="5">
        <f t="shared" si="55"/>
        <v>102</v>
      </c>
      <c r="AA59" s="5">
        <f t="shared" si="55"/>
        <v>77</v>
      </c>
      <c r="AB59" s="5">
        <f t="shared" si="55"/>
        <v>52</v>
      </c>
      <c r="AC59" s="5">
        <f t="shared" si="55"/>
        <v>27</v>
      </c>
    </row>
    <row r="60">
      <c r="A60" s="2">
        <v>27.0</v>
      </c>
      <c r="B60" s="5">
        <f t="shared" ref="B60:AC60" si="56">(27-B$1)*$A60+B$1*(27-$A60)</f>
        <v>729</v>
      </c>
      <c r="C60" s="5">
        <f t="shared" si="56"/>
        <v>702</v>
      </c>
      <c r="D60" s="5">
        <f t="shared" si="56"/>
        <v>675</v>
      </c>
      <c r="E60" s="5">
        <f t="shared" si="56"/>
        <v>648</v>
      </c>
      <c r="F60" s="5">
        <f t="shared" si="56"/>
        <v>621</v>
      </c>
      <c r="G60" s="5">
        <f t="shared" si="56"/>
        <v>594</v>
      </c>
      <c r="H60" s="5">
        <f t="shared" si="56"/>
        <v>567</v>
      </c>
      <c r="I60" s="5">
        <f t="shared" si="56"/>
        <v>540</v>
      </c>
      <c r="J60" s="5">
        <f t="shared" si="56"/>
        <v>513</v>
      </c>
      <c r="K60" s="5">
        <f t="shared" si="56"/>
        <v>486</v>
      </c>
      <c r="L60" s="5">
        <f t="shared" si="56"/>
        <v>459</v>
      </c>
      <c r="M60" s="5">
        <f t="shared" si="56"/>
        <v>432</v>
      </c>
      <c r="N60" s="5">
        <f t="shared" si="56"/>
        <v>405</v>
      </c>
      <c r="O60" s="5">
        <f t="shared" si="56"/>
        <v>378</v>
      </c>
      <c r="P60" s="5">
        <f t="shared" si="56"/>
        <v>351</v>
      </c>
      <c r="Q60" s="5">
        <f t="shared" si="56"/>
        <v>324</v>
      </c>
      <c r="R60" s="5">
        <f t="shared" si="56"/>
        <v>297</v>
      </c>
      <c r="S60" s="5">
        <f t="shared" si="56"/>
        <v>270</v>
      </c>
      <c r="T60" s="5">
        <f t="shared" si="56"/>
        <v>243</v>
      </c>
      <c r="U60" s="5">
        <f t="shared" si="56"/>
        <v>216</v>
      </c>
      <c r="V60" s="5">
        <f t="shared" si="56"/>
        <v>189</v>
      </c>
      <c r="W60" s="5">
        <f t="shared" si="56"/>
        <v>162</v>
      </c>
      <c r="X60" s="5">
        <f t="shared" si="56"/>
        <v>135</v>
      </c>
      <c r="Y60" s="5">
        <f t="shared" si="56"/>
        <v>108</v>
      </c>
      <c r="Z60" s="5">
        <f t="shared" si="56"/>
        <v>81</v>
      </c>
      <c r="AA60" s="5">
        <f t="shared" si="56"/>
        <v>54</v>
      </c>
      <c r="AB60" s="5">
        <f t="shared" si="56"/>
        <v>27</v>
      </c>
      <c r="AC60" s="5">
        <f t="shared" si="56"/>
        <v>0</v>
      </c>
    </row>
    <row r="61">
      <c r="A61" s="17"/>
    </row>
    <row r="62">
      <c r="A62" s="17"/>
      <c r="N62" s="5">
        <f>361/304</f>
        <v>1.1875</v>
      </c>
      <c r="P62" s="5">
        <f t="shared" ref="P62:P63" si="57">1/N62</f>
        <v>0.8421052632</v>
      </c>
    </row>
    <row r="63">
      <c r="A63" s="17"/>
      <c r="N63" s="5">
        <f>360/306</f>
        <v>1.176470588</v>
      </c>
      <c r="P63" s="5">
        <f t="shared" si="57"/>
        <v>0.85</v>
      </c>
    </row>
    <row r="64">
      <c r="A64" s="17"/>
    </row>
    <row r="65">
      <c r="A65" s="17"/>
      <c r="B65" s="2">
        <v>0.0</v>
      </c>
      <c r="C65" s="2">
        <v>1.0</v>
      </c>
      <c r="D65" s="2">
        <v>2.0</v>
      </c>
      <c r="E65" s="2">
        <v>3.0</v>
      </c>
      <c r="F65" s="2">
        <v>4.0</v>
      </c>
      <c r="G65" s="2">
        <v>5.0</v>
      </c>
      <c r="H65" s="2">
        <v>6.0</v>
      </c>
      <c r="I65" s="2">
        <v>7.0</v>
      </c>
      <c r="J65" s="2">
        <v>8.0</v>
      </c>
      <c r="K65" s="2">
        <v>9.0</v>
      </c>
      <c r="L65" s="2">
        <v>10.0</v>
      </c>
      <c r="M65" s="2">
        <v>11.0</v>
      </c>
      <c r="N65" s="2">
        <v>12.0</v>
      </c>
      <c r="O65" s="2">
        <v>13.0</v>
      </c>
      <c r="P65" s="2">
        <v>14.0</v>
      </c>
      <c r="Q65" s="2">
        <v>15.0</v>
      </c>
      <c r="R65" s="2">
        <v>16.0</v>
      </c>
      <c r="S65" s="2">
        <v>17.0</v>
      </c>
      <c r="T65" s="2">
        <v>18.0</v>
      </c>
      <c r="U65" s="2">
        <v>19.0</v>
      </c>
      <c r="V65" s="2">
        <v>20.0</v>
      </c>
      <c r="W65" s="2">
        <v>21.0</v>
      </c>
      <c r="X65" s="2">
        <v>22.0</v>
      </c>
      <c r="Y65" s="2">
        <v>23.0</v>
      </c>
      <c r="Z65" s="2">
        <v>24.0</v>
      </c>
      <c r="AA65" s="2">
        <v>25.0</v>
      </c>
      <c r="AB65" s="2">
        <v>26.0</v>
      </c>
      <c r="AC65" s="2">
        <v>27.0</v>
      </c>
    </row>
    <row r="66">
      <c r="A66" s="2">
        <v>0.0</v>
      </c>
      <c r="B66" s="16" t="str">
        <f t="array" ref="B66:AC93">B33:AC60/B2:AC29</f>
        <v>#DIV/0!</v>
      </c>
      <c r="C66" s="5" t="e">
        <v>#DIV/0!</v>
      </c>
      <c r="D66" s="5" t="e">
        <v>#DIV/0!</v>
      </c>
      <c r="E66" s="5" t="e">
        <v>#DIV/0!</v>
      </c>
      <c r="F66" s="5" t="e">
        <v>#DIV/0!</v>
      </c>
      <c r="G66" s="5" t="e">
        <v>#DIV/0!</v>
      </c>
      <c r="H66" s="5" t="e">
        <v>#DIV/0!</v>
      </c>
      <c r="I66" s="5" t="e">
        <v>#DIV/0!</v>
      </c>
      <c r="J66" s="5" t="e">
        <v>#DIV/0!</v>
      </c>
      <c r="K66" s="5" t="e">
        <v>#DIV/0!</v>
      </c>
      <c r="L66" s="5" t="e">
        <v>#DIV/0!</v>
      </c>
      <c r="M66" s="5" t="e">
        <v>#DIV/0!</v>
      </c>
      <c r="N66" s="5" t="e">
        <v>#DIV/0!</v>
      </c>
      <c r="O66" s="5" t="e">
        <v>#DIV/0!</v>
      </c>
      <c r="P66" s="5" t="e">
        <v>#DIV/0!</v>
      </c>
      <c r="Q66" s="5" t="e">
        <v>#DIV/0!</v>
      </c>
      <c r="R66" s="5" t="e">
        <v>#DIV/0!</v>
      </c>
      <c r="S66" s="5" t="e">
        <v>#DIV/0!</v>
      </c>
      <c r="T66" s="5" t="e">
        <v>#DIV/0!</v>
      </c>
      <c r="U66" s="5" t="e">
        <v>#DIV/0!</v>
      </c>
      <c r="V66" s="5" t="e">
        <v>#DIV/0!</v>
      </c>
      <c r="W66" s="5" t="e">
        <v>#DIV/0!</v>
      </c>
      <c r="X66" s="5" t="e">
        <v>#DIV/0!</v>
      </c>
      <c r="Y66" s="5" t="e">
        <v>#DIV/0!</v>
      </c>
      <c r="Z66" s="5" t="e">
        <v>#DIV/0!</v>
      </c>
      <c r="AA66" s="5" t="e">
        <v>#DIV/0!</v>
      </c>
      <c r="AB66" s="5" t="e">
        <v>#DIV/0!</v>
      </c>
      <c r="AC66" s="5" t="e">
        <v>#DIV/0!</v>
      </c>
    </row>
    <row r="67">
      <c r="A67" s="2">
        <v>1.0</v>
      </c>
      <c r="B67" s="5" t="e">
        <v>#DIV/0!</v>
      </c>
      <c r="C67" s="5">
        <v>52.0</v>
      </c>
      <c r="D67" s="5">
        <v>38.5</v>
      </c>
      <c r="E67" s="5">
        <v>34.0</v>
      </c>
      <c r="F67" s="5">
        <v>31.75</v>
      </c>
      <c r="G67" s="5">
        <v>30.4</v>
      </c>
      <c r="H67" s="5">
        <v>29.5</v>
      </c>
      <c r="I67" s="5">
        <v>28.857142857142858</v>
      </c>
      <c r="J67" s="5">
        <v>28.375</v>
      </c>
      <c r="K67" s="5">
        <v>28.0</v>
      </c>
      <c r="L67" s="5">
        <v>27.7</v>
      </c>
      <c r="M67" s="5">
        <v>27.454545454545453</v>
      </c>
      <c r="N67" s="5">
        <v>27.25</v>
      </c>
      <c r="O67" s="5">
        <v>27.076923076923077</v>
      </c>
      <c r="P67" s="5">
        <v>26.928571428571427</v>
      </c>
      <c r="Q67" s="5">
        <v>26.8</v>
      </c>
      <c r="R67" s="5">
        <v>26.6875</v>
      </c>
      <c r="S67" s="5">
        <v>26.58823529411765</v>
      </c>
      <c r="T67" s="5">
        <v>26.5</v>
      </c>
      <c r="U67" s="5">
        <v>26.42105263157895</v>
      </c>
      <c r="V67" s="5">
        <v>26.35</v>
      </c>
      <c r="W67" s="5">
        <v>26.285714285714285</v>
      </c>
      <c r="X67" s="5">
        <v>26.227272727272727</v>
      </c>
      <c r="Y67" s="5">
        <v>26.17391304347826</v>
      </c>
      <c r="Z67" s="5">
        <v>26.125</v>
      </c>
      <c r="AA67" s="5">
        <v>26.08</v>
      </c>
      <c r="AB67" s="5">
        <v>26.03846153846154</v>
      </c>
      <c r="AC67" s="5">
        <v>26.0</v>
      </c>
    </row>
    <row r="68">
      <c r="A68" s="2">
        <v>2.0</v>
      </c>
      <c r="B68" s="5" t="e">
        <v>#DIV/0!</v>
      </c>
      <c r="C68" s="5">
        <v>38.5</v>
      </c>
      <c r="D68" s="5">
        <v>25.0</v>
      </c>
      <c r="E68" s="5">
        <v>20.5</v>
      </c>
      <c r="F68" s="5">
        <v>18.25</v>
      </c>
      <c r="G68" s="5">
        <v>16.9</v>
      </c>
      <c r="H68" s="5">
        <v>16.0</v>
      </c>
      <c r="I68" s="5">
        <v>15.357142857142858</v>
      </c>
      <c r="J68" s="5">
        <v>14.875</v>
      </c>
      <c r="K68" s="5">
        <v>14.5</v>
      </c>
      <c r="L68" s="5">
        <v>14.2</v>
      </c>
      <c r="M68" s="5">
        <v>13.954545454545455</v>
      </c>
      <c r="N68" s="5">
        <v>13.75</v>
      </c>
      <c r="O68" s="5">
        <v>13.576923076923077</v>
      </c>
      <c r="P68" s="5">
        <v>13.428571428571429</v>
      </c>
      <c r="Q68" s="5">
        <v>13.3</v>
      </c>
      <c r="R68" s="5">
        <v>13.1875</v>
      </c>
      <c r="S68" s="5">
        <v>13.088235294117647</v>
      </c>
      <c r="T68" s="5">
        <v>13.0</v>
      </c>
      <c r="U68" s="5">
        <v>12.921052631578947</v>
      </c>
      <c r="V68" s="5">
        <v>12.85</v>
      </c>
      <c r="W68" s="5">
        <v>12.785714285714286</v>
      </c>
      <c r="X68" s="5">
        <v>12.727272727272727</v>
      </c>
      <c r="Y68" s="5">
        <v>12.673913043478262</v>
      </c>
      <c r="Z68" s="5">
        <v>12.625</v>
      </c>
      <c r="AA68" s="5">
        <v>12.58</v>
      </c>
      <c r="AB68" s="5">
        <v>12.538461538461538</v>
      </c>
      <c r="AC68" s="5">
        <v>12.5</v>
      </c>
    </row>
    <row r="69">
      <c r="A69" s="2">
        <v>3.0</v>
      </c>
      <c r="B69" s="5" t="e">
        <v>#DIV/0!</v>
      </c>
      <c r="C69" s="5">
        <v>34.0</v>
      </c>
      <c r="D69" s="5">
        <v>20.5</v>
      </c>
      <c r="E69" s="5">
        <v>16.0</v>
      </c>
      <c r="F69" s="5">
        <v>13.75</v>
      </c>
      <c r="G69" s="5">
        <v>12.4</v>
      </c>
      <c r="H69" s="5">
        <v>11.5</v>
      </c>
      <c r="I69" s="5">
        <v>10.857142857142858</v>
      </c>
      <c r="J69" s="5">
        <v>10.375</v>
      </c>
      <c r="K69" s="5">
        <v>10.0</v>
      </c>
      <c r="L69" s="5">
        <v>9.7</v>
      </c>
      <c r="M69" s="5">
        <v>9.454545454545455</v>
      </c>
      <c r="N69" s="5">
        <v>9.25</v>
      </c>
      <c r="O69" s="5">
        <v>9.076923076923077</v>
      </c>
      <c r="P69" s="5">
        <v>8.928571428571429</v>
      </c>
      <c r="Q69" s="5">
        <v>8.8</v>
      </c>
      <c r="R69" s="5">
        <v>8.6875</v>
      </c>
      <c r="S69" s="5">
        <v>8.588235294117647</v>
      </c>
      <c r="T69" s="5">
        <v>8.5</v>
      </c>
      <c r="U69" s="5">
        <v>8.421052631578947</v>
      </c>
      <c r="V69" s="5">
        <v>8.35</v>
      </c>
      <c r="W69" s="5">
        <v>8.285714285714286</v>
      </c>
      <c r="X69" s="5">
        <v>8.227272727272727</v>
      </c>
      <c r="Y69" s="5">
        <v>8.173913043478262</v>
      </c>
      <c r="Z69" s="5">
        <v>8.125</v>
      </c>
      <c r="AA69" s="5">
        <v>8.08</v>
      </c>
      <c r="AB69" s="5">
        <v>8.038461538461538</v>
      </c>
      <c r="AC69" s="5">
        <v>8.0</v>
      </c>
    </row>
    <row r="70">
      <c r="A70" s="2">
        <v>4.0</v>
      </c>
      <c r="B70" s="5" t="e">
        <v>#DIV/0!</v>
      </c>
      <c r="C70" s="5">
        <v>31.75</v>
      </c>
      <c r="D70" s="5">
        <v>18.25</v>
      </c>
      <c r="E70" s="5">
        <v>13.75</v>
      </c>
      <c r="F70" s="5">
        <v>11.5</v>
      </c>
      <c r="G70" s="5">
        <v>10.15</v>
      </c>
      <c r="H70" s="5">
        <v>9.25</v>
      </c>
      <c r="I70" s="5">
        <v>8.607142857142858</v>
      </c>
      <c r="J70" s="5">
        <v>8.125</v>
      </c>
      <c r="K70" s="5">
        <v>7.75</v>
      </c>
      <c r="L70" s="5">
        <v>7.45</v>
      </c>
      <c r="M70" s="5">
        <v>7.204545454545454</v>
      </c>
      <c r="N70" s="5">
        <v>7.0</v>
      </c>
      <c r="O70" s="5">
        <v>6.826923076923077</v>
      </c>
      <c r="P70" s="5">
        <v>6.678571428571429</v>
      </c>
      <c r="Q70" s="5">
        <v>6.55</v>
      </c>
      <c r="R70" s="5">
        <v>6.4375</v>
      </c>
      <c r="S70" s="5">
        <v>6.338235294117647</v>
      </c>
      <c r="T70" s="5">
        <v>6.25</v>
      </c>
      <c r="U70" s="5">
        <v>6.171052631578948</v>
      </c>
      <c r="V70" s="5">
        <v>6.1</v>
      </c>
      <c r="W70" s="5">
        <v>6.035714285714286</v>
      </c>
      <c r="X70" s="5">
        <v>5.9772727272727275</v>
      </c>
      <c r="Y70" s="5">
        <v>5.923913043478261</v>
      </c>
      <c r="Z70" s="5">
        <v>5.875</v>
      </c>
      <c r="AA70" s="5">
        <v>5.83</v>
      </c>
      <c r="AB70" s="5">
        <v>5.788461538461538</v>
      </c>
      <c r="AC70" s="5">
        <v>5.75</v>
      </c>
    </row>
    <row r="71">
      <c r="A71" s="2">
        <v>5.0</v>
      </c>
      <c r="B71" s="5" t="e">
        <v>#DIV/0!</v>
      </c>
      <c r="C71" s="5">
        <v>30.4</v>
      </c>
      <c r="D71" s="5">
        <v>16.9</v>
      </c>
      <c r="E71" s="5">
        <v>12.4</v>
      </c>
      <c r="F71" s="5">
        <v>10.15</v>
      </c>
      <c r="G71" s="5">
        <v>8.8</v>
      </c>
      <c r="H71" s="5">
        <v>7.9</v>
      </c>
      <c r="I71" s="5">
        <v>7.257142857142857</v>
      </c>
      <c r="J71" s="5">
        <v>6.775</v>
      </c>
      <c r="K71" s="5">
        <v>6.4</v>
      </c>
      <c r="L71" s="5">
        <v>6.1</v>
      </c>
      <c r="M71" s="5">
        <v>5.8545454545454545</v>
      </c>
      <c r="N71" s="5">
        <v>5.65</v>
      </c>
      <c r="O71" s="5">
        <v>5.476923076923077</v>
      </c>
      <c r="P71" s="5">
        <v>5.328571428571428</v>
      </c>
      <c r="Q71" s="5">
        <v>5.2</v>
      </c>
      <c r="R71" s="5">
        <v>5.0875</v>
      </c>
      <c r="S71" s="5">
        <v>4.988235294117647</v>
      </c>
      <c r="T71" s="5">
        <v>4.9</v>
      </c>
      <c r="U71" s="5">
        <v>4.821052631578947</v>
      </c>
      <c r="V71" s="5">
        <v>4.75</v>
      </c>
      <c r="W71" s="5">
        <v>4.685714285714286</v>
      </c>
      <c r="X71" s="5">
        <v>4.627272727272727</v>
      </c>
      <c r="Y71" s="5">
        <v>4.573913043478261</v>
      </c>
      <c r="Z71" s="5">
        <v>4.525</v>
      </c>
      <c r="AA71" s="5">
        <v>4.48</v>
      </c>
      <c r="AB71" s="5">
        <v>4.438461538461539</v>
      </c>
      <c r="AC71" s="5">
        <v>4.4</v>
      </c>
    </row>
    <row r="72">
      <c r="A72" s="2">
        <v>6.0</v>
      </c>
      <c r="B72" s="5" t="e">
        <v>#DIV/0!</v>
      </c>
      <c r="C72" s="5">
        <v>29.5</v>
      </c>
      <c r="D72" s="5">
        <v>16.0</v>
      </c>
      <c r="E72" s="5">
        <v>11.5</v>
      </c>
      <c r="F72" s="5">
        <v>9.25</v>
      </c>
      <c r="G72" s="5">
        <v>7.9</v>
      </c>
      <c r="H72" s="5">
        <v>7.0</v>
      </c>
      <c r="I72" s="5">
        <v>6.357142857142857</v>
      </c>
      <c r="J72" s="5">
        <v>5.875</v>
      </c>
      <c r="K72" s="5">
        <v>5.5</v>
      </c>
      <c r="L72" s="5">
        <v>5.2</v>
      </c>
      <c r="M72" s="5">
        <v>4.954545454545454</v>
      </c>
      <c r="N72" s="5">
        <v>4.75</v>
      </c>
      <c r="O72" s="5">
        <v>4.576923076923077</v>
      </c>
      <c r="P72" s="5">
        <v>4.428571428571429</v>
      </c>
      <c r="Q72" s="5">
        <v>4.3</v>
      </c>
      <c r="R72" s="5">
        <v>4.1875</v>
      </c>
      <c r="S72" s="5">
        <v>4.088235294117647</v>
      </c>
      <c r="T72" s="5">
        <v>4.0</v>
      </c>
      <c r="U72" s="5">
        <v>3.9210526315789473</v>
      </c>
      <c r="V72" s="5">
        <v>3.85</v>
      </c>
      <c r="W72" s="5">
        <v>3.7857142857142856</v>
      </c>
      <c r="X72" s="5">
        <v>3.727272727272727</v>
      </c>
      <c r="Y72" s="5">
        <v>3.6739130434782608</v>
      </c>
      <c r="Z72" s="5">
        <v>3.625</v>
      </c>
      <c r="AA72" s="5">
        <v>3.58</v>
      </c>
      <c r="AB72" s="5">
        <v>3.5384615384615383</v>
      </c>
      <c r="AC72" s="5">
        <v>3.5</v>
      </c>
    </row>
    <row r="73">
      <c r="A73" s="2">
        <v>7.0</v>
      </c>
      <c r="B73" s="5" t="e">
        <v>#DIV/0!</v>
      </c>
      <c r="C73" s="5">
        <v>28.857142857142858</v>
      </c>
      <c r="D73" s="5">
        <v>15.357142857142858</v>
      </c>
      <c r="E73" s="5">
        <v>10.857142857142858</v>
      </c>
      <c r="F73" s="5">
        <v>8.607142857142858</v>
      </c>
      <c r="G73" s="5">
        <v>7.257142857142857</v>
      </c>
      <c r="H73" s="5">
        <v>6.357142857142857</v>
      </c>
      <c r="I73" s="5">
        <v>5.714285714285714</v>
      </c>
      <c r="J73" s="5">
        <v>5.232142857142857</v>
      </c>
      <c r="K73" s="24">
        <v>4.857142857142857</v>
      </c>
      <c r="L73" s="5">
        <v>4.557142857142857</v>
      </c>
      <c r="M73" s="5">
        <v>4.311688311688312</v>
      </c>
      <c r="N73" s="5">
        <v>4.107142857142857</v>
      </c>
      <c r="O73" s="5">
        <v>3.934065934065934</v>
      </c>
      <c r="P73" s="5">
        <v>3.7857142857142856</v>
      </c>
      <c r="Q73" s="5">
        <v>3.657142857142857</v>
      </c>
      <c r="R73" s="5">
        <v>3.544642857142857</v>
      </c>
      <c r="S73" s="5">
        <v>3.4453781512605044</v>
      </c>
      <c r="T73" s="5">
        <v>3.357142857142857</v>
      </c>
      <c r="U73" s="5">
        <v>3.2781954887218046</v>
      </c>
      <c r="V73" s="5">
        <v>3.2071428571428573</v>
      </c>
      <c r="W73" s="5">
        <v>3.142857142857143</v>
      </c>
      <c r="X73" s="5">
        <v>3.0844155844155843</v>
      </c>
      <c r="Y73" s="5">
        <v>3.031055900621118</v>
      </c>
      <c r="Z73" s="5">
        <v>2.982142857142857</v>
      </c>
      <c r="AA73" s="5">
        <v>2.9371428571428573</v>
      </c>
      <c r="AB73" s="5">
        <v>2.8956043956043955</v>
      </c>
      <c r="AC73" s="5">
        <v>2.857142857142857</v>
      </c>
    </row>
    <row r="74">
      <c r="A74" s="2">
        <v>8.0</v>
      </c>
      <c r="B74" s="5" t="e">
        <v>#DIV/0!</v>
      </c>
      <c r="C74" s="5">
        <v>28.375</v>
      </c>
      <c r="D74" s="5">
        <v>14.875</v>
      </c>
      <c r="E74" s="5">
        <v>10.375</v>
      </c>
      <c r="F74" s="5">
        <v>8.125</v>
      </c>
      <c r="G74" s="5">
        <v>6.775</v>
      </c>
      <c r="H74" s="5">
        <v>5.875</v>
      </c>
      <c r="I74" s="5">
        <v>5.232142857142857</v>
      </c>
      <c r="J74" s="24">
        <v>4.75</v>
      </c>
      <c r="K74" s="5">
        <v>4.375</v>
      </c>
      <c r="L74" s="5">
        <v>4.075</v>
      </c>
      <c r="M74" s="5">
        <v>3.8295454545454546</v>
      </c>
      <c r="N74" s="5">
        <v>3.625</v>
      </c>
      <c r="O74" s="5">
        <v>3.451923076923077</v>
      </c>
      <c r="P74" s="5">
        <v>3.3035714285714284</v>
      </c>
      <c r="Q74" s="5">
        <v>3.175</v>
      </c>
      <c r="R74" s="5">
        <v>3.0625</v>
      </c>
      <c r="S74" s="5">
        <v>2.963235294117647</v>
      </c>
      <c r="T74" s="5">
        <v>2.875</v>
      </c>
      <c r="U74" s="5">
        <v>2.7960526315789473</v>
      </c>
      <c r="V74" s="5">
        <v>2.725</v>
      </c>
      <c r="W74" s="5">
        <v>2.6607142857142856</v>
      </c>
      <c r="X74" s="5">
        <v>2.602272727272727</v>
      </c>
      <c r="Y74" s="5">
        <v>2.5489130434782608</v>
      </c>
      <c r="Z74" s="5">
        <v>2.5</v>
      </c>
      <c r="AA74" s="5">
        <v>2.455</v>
      </c>
      <c r="AB74" s="5">
        <v>2.4134615384615383</v>
      </c>
      <c r="AC74" s="5">
        <v>2.375</v>
      </c>
    </row>
    <row r="75">
      <c r="A75" s="2">
        <v>9.0</v>
      </c>
      <c r="B75" s="5" t="e">
        <v>#DIV/0!</v>
      </c>
      <c r="C75" s="5">
        <v>28.0</v>
      </c>
      <c r="D75" s="5">
        <v>14.5</v>
      </c>
      <c r="E75" s="5">
        <v>10.0</v>
      </c>
      <c r="F75" s="5">
        <v>7.75</v>
      </c>
      <c r="G75" s="5">
        <v>6.4</v>
      </c>
      <c r="H75" s="5">
        <v>5.5</v>
      </c>
      <c r="I75" s="24">
        <v>4.857142857142857</v>
      </c>
      <c r="J75" s="5">
        <v>4.375</v>
      </c>
      <c r="K75" s="5">
        <v>4.0</v>
      </c>
      <c r="L75" s="5">
        <v>3.7</v>
      </c>
      <c r="M75" s="5">
        <v>3.4545454545454546</v>
      </c>
      <c r="N75" s="5">
        <v>3.25</v>
      </c>
      <c r="O75" s="5">
        <v>3.076923076923077</v>
      </c>
      <c r="P75" s="5">
        <v>2.9285714285714284</v>
      </c>
      <c r="Q75" s="5">
        <v>2.8</v>
      </c>
      <c r="R75" s="5">
        <v>2.6875</v>
      </c>
      <c r="S75" s="5">
        <v>2.588235294117647</v>
      </c>
      <c r="T75" s="5">
        <v>2.5</v>
      </c>
      <c r="U75" s="5">
        <v>2.4210526315789473</v>
      </c>
      <c r="V75" s="5">
        <v>2.35</v>
      </c>
      <c r="W75" s="5">
        <v>2.2857142857142856</v>
      </c>
      <c r="X75" s="5">
        <v>2.227272727272727</v>
      </c>
      <c r="Y75" s="5">
        <v>2.1739130434782608</v>
      </c>
      <c r="Z75" s="5">
        <v>2.125</v>
      </c>
      <c r="AA75" s="5">
        <v>2.08</v>
      </c>
      <c r="AB75" s="5">
        <v>2.0384615384615383</v>
      </c>
      <c r="AC75" s="5">
        <v>2.0</v>
      </c>
    </row>
    <row r="76">
      <c r="A76" s="2">
        <v>10.0</v>
      </c>
      <c r="B76" s="5" t="e">
        <v>#DIV/0!</v>
      </c>
      <c r="C76" s="5">
        <v>27.7</v>
      </c>
      <c r="D76" s="5">
        <v>14.2</v>
      </c>
      <c r="E76" s="5">
        <v>9.7</v>
      </c>
      <c r="F76" s="5">
        <v>7.45</v>
      </c>
      <c r="G76" s="5">
        <v>6.1</v>
      </c>
      <c r="H76" s="5">
        <v>5.2</v>
      </c>
      <c r="I76" s="5">
        <v>4.557142857142857</v>
      </c>
      <c r="J76" s="5">
        <v>4.075</v>
      </c>
      <c r="K76" s="5">
        <v>3.7</v>
      </c>
      <c r="L76" s="5">
        <v>3.4</v>
      </c>
      <c r="M76" s="5">
        <v>3.1545454545454548</v>
      </c>
      <c r="N76" s="5">
        <v>2.95</v>
      </c>
      <c r="O76" s="5">
        <v>2.776923076923077</v>
      </c>
      <c r="P76" s="5">
        <v>2.6285714285714286</v>
      </c>
      <c r="Q76" s="5">
        <v>2.5</v>
      </c>
      <c r="R76" s="5">
        <v>2.3875</v>
      </c>
      <c r="S76" s="5">
        <v>2.288235294117647</v>
      </c>
      <c r="T76" s="5">
        <v>2.2</v>
      </c>
      <c r="U76" s="5">
        <v>2.1210526315789475</v>
      </c>
      <c r="V76" s="5">
        <v>2.05</v>
      </c>
      <c r="W76" s="5">
        <v>1.9857142857142858</v>
      </c>
      <c r="X76" s="5">
        <v>1.9272727272727272</v>
      </c>
      <c r="Y76" s="5">
        <v>1.873913043478261</v>
      </c>
      <c r="Z76" s="5">
        <v>1.825</v>
      </c>
      <c r="AA76" s="5">
        <v>1.78</v>
      </c>
      <c r="AB76" s="5">
        <v>1.7384615384615385</v>
      </c>
      <c r="AC76" s="5">
        <v>1.7</v>
      </c>
    </row>
    <row r="77">
      <c r="A77" s="2">
        <v>11.0</v>
      </c>
      <c r="B77" s="5" t="e">
        <v>#DIV/0!</v>
      </c>
      <c r="C77" s="5">
        <v>27.454545454545453</v>
      </c>
      <c r="D77" s="5">
        <v>13.954545454545455</v>
      </c>
      <c r="E77" s="5">
        <v>9.454545454545455</v>
      </c>
      <c r="F77" s="5">
        <v>7.204545454545454</v>
      </c>
      <c r="G77" s="5">
        <v>5.8545454545454545</v>
      </c>
      <c r="H77" s="5">
        <v>4.954545454545454</v>
      </c>
      <c r="I77" s="5">
        <v>4.311688311688312</v>
      </c>
      <c r="J77" s="5">
        <v>3.8295454545454546</v>
      </c>
      <c r="K77" s="5">
        <v>3.4545454545454546</v>
      </c>
      <c r="L77" s="5">
        <v>3.1545454545454548</v>
      </c>
      <c r="M77" s="5">
        <v>2.909090909090909</v>
      </c>
      <c r="N77" s="5">
        <v>2.7045454545454546</v>
      </c>
      <c r="O77" s="5">
        <v>2.5314685314685317</v>
      </c>
      <c r="P77" s="5">
        <v>2.383116883116883</v>
      </c>
      <c r="Q77" s="5">
        <v>2.2545454545454544</v>
      </c>
      <c r="R77" s="5">
        <v>2.1420454545454546</v>
      </c>
      <c r="S77" s="5">
        <v>2.0427807486631018</v>
      </c>
      <c r="T77" s="5">
        <v>1.9545454545454546</v>
      </c>
      <c r="U77" s="5">
        <v>1.875598086124402</v>
      </c>
      <c r="V77" s="5">
        <v>1.8045454545454545</v>
      </c>
      <c r="W77" s="5">
        <v>1.7402597402597402</v>
      </c>
      <c r="X77" s="5">
        <v>1.6818181818181819</v>
      </c>
      <c r="Y77" s="5">
        <v>1.6284584980237153</v>
      </c>
      <c r="Z77" s="5">
        <v>1.5795454545454546</v>
      </c>
      <c r="AA77" s="5">
        <v>1.5345454545454544</v>
      </c>
      <c r="AB77" s="5">
        <v>1.493006993006993</v>
      </c>
      <c r="AC77" s="5">
        <v>1.4545454545454546</v>
      </c>
    </row>
    <row r="78">
      <c r="A78" s="2">
        <v>12.0</v>
      </c>
      <c r="B78" s="5" t="e">
        <v>#DIV/0!</v>
      </c>
      <c r="C78" s="5">
        <v>27.25</v>
      </c>
      <c r="D78" s="5">
        <v>13.75</v>
      </c>
      <c r="E78" s="5">
        <v>9.25</v>
      </c>
      <c r="F78" s="5">
        <v>7.0</v>
      </c>
      <c r="G78" s="5">
        <v>5.65</v>
      </c>
      <c r="H78" s="5">
        <v>4.75</v>
      </c>
      <c r="I78" s="5">
        <v>4.107142857142857</v>
      </c>
      <c r="J78" s="5">
        <v>3.625</v>
      </c>
      <c r="K78" s="5">
        <v>3.25</v>
      </c>
      <c r="L78" s="5">
        <v>2.95</v>
      </c>
      <c r="M78" s="5">
        <v>2.7045454545454546</v>
      </c>
      <c r="N78" s="5">
        <v>2.5</v>
      </c>
      <c r="O78" s="5">
        <v>2.326923076923077</v>
      </c>
      <c r="P78" s="5">
        <v>2.1785714285714284</v>
      </c>
      <c r="Q78" s="5">
        <v>2.05</v>
      </c>
      <c r="R78" s="5">
        <v>1.9375</v>
      </c>
      <c r="S78" s="5">
        <v>1.838235294117647</v>
      </c>
      <c r="T78" s="5">
        <v>1.75</v>
      </c>
      <c r="U78" s="5">
        <v>1.6710526315789473</v>
      </c>
      <c r="V78" s="5">
        <v>1.6</v>
      </c>
      <c r="W78" s="5">
        <v>1.5357142857142858</v>
      </c>
      <c r="X78" s="5">
        <v>1.4772727272727273</v>
      </c>
      <c r="Y78" s="5">
        <v>1.423913043478261</v>
      </c>
      <c r="Z78" s="5">
        <v>1.375</v>
      </c>
      <c r="AA78" s="5">
        <v>1.33</v>
      </c>
      <c r="AB78" s="5">
        <v>1.2884615384615385</v>
      </c>
      <c r="AC78" s="5">
        <v>1.25</v>
      </c>
    </row>
    <row r="79">
      <c r="A79" s="2">
        <v>13.0</v>
      </c>
      <c r="B79" s="5" t="e">
        <v>#DIV/0!</v>
      </c>
      <c r="C79" s="5">
        <v>27.076923076923077</v>
      </c>
      <c r="D79" s="5">
        <v>13.576923076923077</v>
      </c>
      <c r="E79" s="5">
        <v>9.076923076923077</v>
      </c>
      <c r="F79" s="5">
        <v>6.826923076923077</v>
      </c>
      <c r="G79" s="5">
        <v>5.476923076923077</v>
      </c>
      <c r="H79" s="5">
        <v>4.576923076923077</v>
      </c>
      <c r="I79" s="5">
        <v>3.934065934065934</v>
      </c>
      <c r="J79" s="5">
        <v>3.451923076923077</v>
      </c>
      <c r="K79" s="5">
        <v>3.076923076923077</v>
      </c>
      <c r="L79" s="5">
        <v>2.776923076923077</v>
      </c>
      <c r="M79" s="5">
        <v>2.5314685314685317</v>
      </c>
      <c r="N79" s="5">
        <v>2.326923076923077</v>
      </c>
      <c r="O79" s="5">
        <v>2.1538461538461537</v>
      </c>
      <c r="P79" s="5">
        <v>2.0054945054945055</v>
      </c>
      <c r="Q79" s="5">
        <v>1.876923076923077</v>
      </c>
      <c r="R79" s="5">
        <v>1.7644230769230769</v>
      </c>
      <c r="S79" s="5">
        <v>1.665158371040724</v>
      </c>
      <c r="T79" s="5">
        <v>1.5769230769230769</v>
      </c>
      <c r="U79" s="5">
        <v>1.4979757085020242</v>
      </c>
      <c r="V79" s="5">
        <v>1.426923076923077</v>
      </c>
      <c r="W79" s="5">
        <v>1.3626373626373627</v>
      </c>
      <c r="X79" s="5">
        <v>1.3041958041958042</v>
      </c>
      <c r="Y79" s="5">
        <v>1.2508361204013378</v>
      </c>
      <c r="Z79" s="5">
        <v>1.2019230769230769</v>
      </c>
      <c r="AA79" s="5">
        <v>1.156923076923077</v>
      </c>
      <c r="AB79" s="5">
        <v>1.1153846153846154</v>
      </c>
      <c r="AC79" s="5">
        <v>1.0769230769230769</v>
      </c>
    </row>
    <row r="80">
      <c r="A80" s="2">
        <v>14.0</v>
      </c>
      <c r="B80" s="5" t="e">
        <v>#DIV/0!</v>
      </c>
      <c r="C80" s="5">
        <v>26.928571428571427</v>
      </c>
      <c r="D80" s="5">
        <v>13.428571428571429</v>
      </c>
      <c r="E80" s="5">
        <v>8.928571428571429</v>
      </c>
      <c r="F80" s="5">
        <v>6.678571428571429</v>
      </c>
      <c r="G80" s="5">
        <v>5.328571428571428</v>
      </c>
      <c r="H80" s="5">
        <v>4.428571428571429</v>
      </c>
      <c r="I80" s="5">
        <v>3.7857142857142856</v>
      </c>
      <c r="J80" s="5">
        <v>3.3035714285714284</v>
      </c>
      <c r="K80" s="5">
        <v>2.9285714285714284</v>
      </c>
      <c r="L80" s="5">
        <v>2.6285714285714286</v>
      </c>
      <c r="M80" s="5">
        <v>2.383116883116883</v>
      </c>
      <c r="N80" s="5">
        <v>2.1785714285714284</v>
      </c>
      <c r="O80" s="5">
        <v>2.0054945054945055</v>
      </c>
      <c r="P80" s="5">
        <v>1.8571428571428572</v>
      </c>
      <c r="Q80" s="5">
        <v>1.7285714285714286</v>
      </c>
      <c r="R80" s="5">
        <v>1.6160714285714286</v>
      </c>
      <c r="S80" s="5">
        <v>1.5168067226890756</v>
      </c>
      <c r="T80" s="5">
        <v>1.4285714285714286</v>
      </c>
      <c r="U80" s="5">
        <v>1.349624060150376</v>
      </c>
      <c r="V80" s="5">
        <v>1.2785714285714285</v>
      </c>
      <c r="W80" s="5">
        <v>1.2142857142857142</v>
      </c>
      <c r="X80" s="5">
        <v>1.155844155844156</v>
      </c>
      <c r="Y80" s="5">
        <v>1.1024844720496894</v>
      </c>
      <c r="Z80" s="5">
        <v>1.0535714285714286</v>
      </c>
      <c r="AA80" s="5">
        <v>1.0085714285714287</v>
      </c>
      <c r="AB80" s="5">
        <v>0.967032967032967</v>
      </c>
      <c r="AC80" s="5">
        <v>0.9285714285714286</v>
      </c>
    </row>
    <row r="81">
      <c r="A81" s="2">
        <v>15.0</v>
      </c>
      <c r="B81" s="5" t="e">
        <v>#DIV/0!</v>
      </c>
      <c r="C81" s="5">
        <v>26.8</v>
      </c>
      <c r="D81" s="5">
        <v>13.3</v>
      </c>
      <c r="E81" s="5">
        <v>8.8</v>
      </c>
      <c r="F81" s="5">
        <v>6.55</v>
      </c>
      <c r="G81" s="5">
        <v>5.2</v>
      </c>
      <c r="H81" s="5">
        <v>4.3</v>
      </c>
      <c r="I81" s="5">
        <v>3.657142857142857</v>
      </c>
      <c r="J81" s="5">
        <v>3.175</v>
      </c>
      <c r="K81" s="5">
        <v>2.8</v>
      </c>
      <c r="L81" s="5">
        <v>2.5</v>
      </c>
      <c r="M81" s="5">
        <v>2.2545454545454544</v>
      </c>
      <c r="N81" s="5">
        <v>2.05</v>
      </c>
      <c r="O81" s="5">
        <v>1.876923076923077</v>
      </c>
      <c r="P81" s="5">
        <v>1.7285714285714286</v>
      </c>
      <c r="Q81" s="5">
        <v>1.6</v>
      </c>
      <c r="R81" s="5">
        <v>1.4875</v>
      </c>
      <c r="S81" s="5">
        <v>1.388235294117647</v>
      </c>
      <c r="T81" s="5">
        <v>1.3</v>
      </c>
      <c r="U81" s="5">
        <v>1.2210526315789474</v>
      </c>
      <c r="V81" s="5">
        <v>1.15</v>
      </c>
      <c r="W81" s="5">
        <v>1.0857142857142856</v>
      </c>
      <c r="X81" s="5">
        <v>1.0272727272727273</v>
      </c>
      <c r="Y81" s="5">
        <v>0.9739130434782609</v>
      </c>
      <c r="Z81" s="5">
        <v>0.925</v>
      </c>
      <c r="AA81" s="5">
        <v>0.88</v>
      </c>
      <c r="AB81" s="5">
        <v>0.8384615384615385</v>
      </c>
      <c r="AC81" s="5">
        <v>0.8</v>
      </c>
    </row>
    <row r="82">
      <c r="A82" s="2">
        <v>16.0</v>
      </c>
      <c r="B82" s="5" t="e">
        <v>#DIV/0!</v>
      </c>
      <c r="C82" s="5">
        <v>26.6875</v>
      </c>
      <c r="D82" s="5">
        <v>13.1875</v>
      </c>
      <c r="E82" s="5">
        <v>8.6875</v>
      </c>
      <c r="F82" s="5">
        <v>6.4375</v>
      </c>
      <c r="G82" s="5">
        <v>5.0875</v>
      </c>
      <c r="H82" s="5">
        <v>4.1875</v>
      </c>
      <c r="I82" s="5">
        <v>3.544642857142857</v>
      </c>
      <c r="J82" s="5">
        <v>3.0625</v>
      </c>
      <c r="K82" s="5">
        <v>2.6875</v>
      </c>
      <c r="L82" s="5">
        <v>2.3875</v>
      </c>
      <c r="M82" s="5">
        <v>2.1420454545454546</v>
      </c>
      <c r="N82" s="5">
        <v>1.9375</v>
      </c>
      <c r="O82" s="5">
        <v>1.7644230769230769</v>
      </c>
      <c r="P82" s="5">
        <v>1.6160714285714286</v>
      </c>
      <c r="Q82" s="5">
        <v>1.4875</v>
      </c>
      <c r="R82" s="5">
        <v>1.375</v>
      </c>
      <c r="S82" s="5">
        <v>1.275735294117647</v>
      </c>
      <c r="T82" s="5">
        <v>1.1875</v>
      </c>
      <c r="U82" s="5">
        <v>1.1085526315789473</v>
      </c>
      <c r="V82" s="5">
        <v>1.0375</v>
      </c>
      <c r="W82" s="5">
        <v>0.9732142857142857</v>
      </c>
      <c r="X82" s="5">
        <v>0.9147727272727273</v>
      </c>
      <c r="Y82" s="5">
        <v>0.8614130434782609</v>
      </c>
      <c r="Z82" s="5">
        <v>0.8125</v>
      </c>
      <c r="AA82" s="5">
        <v>0.7675</v>
      </c>
      <c r="AB82" s="5">
        <v>0.7259615384615384</v>
      </c>
      <c r="AC82" s="5">
        <v>0.6875</v>
      </c>
    </row>
    <row r="83">
      <c r="A83" s="2">
        <v>17.0</v>
      </c>
      <c r="B83" s="5" t="e">
        <v>#DIV/0!</v>
      </c>
      <c r="C83" s="5">
        <v>26.58823529411765</v>
      </c>
      <c r="D83" s="5">
        <v>13.088235294117647</v>
      </c>
      <c r="E83" s="5">
        <v>8.588235294117647</v>
      </c>
      <c r="F83" s="5">
        <v>6.338235294117647</v>
      </c>
      <c r="G83" s="5">
        <v>4.988235294117647</v>
      </c>
      <c r="H83" s="5">
        <v>4.088235294117647</v>
      </c>
      <c r="I83" s="5">
        <v>3.4453781512605044</v>
      </c>
      <c r="J83" s="5">
        <v>2.963235294117647</v>
      </c>
      <c r="K83" s="5">
        <v>2.588235294117647</v>
      </c>
      <c r="L83" s="5">
        <v>2.288235294117647</v>
      </c>
      <c r="M83" s="5">
        <v>2.0427807486631018</v>
      </c>
      <c r="N83" s="5">
        <v>1.838235294117647</v>
      </c>
      <c r="O83" s="5">
        <v>1.665158371040724</v>
      </c>
      <c r="P83" s="5">
        <v>1.5168067226890756</v>
      </c>
      <c r="Q83" s="5">
        <v>1.388235294117647</v>
      </c>
      <c r="R83" s="5">
        <v>1.275735294117647</v>
      </c>
      <c r="S83" s="5">
        <v>1.1764705882352942</v>
      </c>
      <c r="T83" s="5">
        <v>1.088235294117647</v>
      </c>
      <c r="U83" s="5">
        <v>1.0092879256965945</v>
      </c>
      <c r="V83" s="5">
        <v>0.9382352941176471</v>
      </c>
      <c r="W83" s="5">
        <v>0.8739495798319328</v>
      </c>
      <c r="X83" s="5">
        <v>0.8155080213903744</v>
      </c>
      <c r="Y83" s="5">
        <v>0.7621483375959079</v>
      </c>
      <c r="Z83" s="5">
        <v>0.7132352941176471</v>
      </c>
      <c r="AA83" s="5">
        <v>0.668235294117647</v>
      </c>
      <c r="AB83" s="5">
        <v>0.6266968325791855</v>
      </c>
      <c r="AC83" s="5">
        <v>0.5882352941176471</v>
      </c>
    </row>
    <row r="84">
      <c r="A84" s="2">
        <v>18.0</v>
      </c>
      <c r="B84" s="5" t="e">
        <v>#DIV/0!</v>
      </c>
      <c r="C84" s="5">
        <v>26.5</v>
      </c>
      <c r="D84" s="5">
        <v>13.0</v>
      </c>
      <c r="E84" s="5">
        <v>8.5</v>
      </c>
      <c r="F84" s="5">
        <v>6.25</v>
      </c>
      <c r="G84" s="5">
        <v>4.9</v>
      </c>
      <c r="H84" s="5">
        <v>4.0</v>
      </c>
      <c r="I84" s="5">
        <v>3.357142857142857</v>
      </c>
      <c r="J84" s="5">
        <v>2.875</v>
      </c>
      <c r="K84" s="5">
        <v>2.5</v>
      </c>
      <c r="L84" s="5">
        <v>2.2</v>
      </c>
      <c r="M84" s="5">
        <v>1.9545454545454546</v>
      </c>
      <c r="N84" s="5">
        <v>1.75</v>
      </c>
      <c r="O84" s="5">
        <v>1.5769230769230769</v>
      </c>
      <c r="P84" s="5">
        <v>1.4285714285714286</v>
      </c>
      <c r="Q84" s="5">
        <v>1.3</v>
      </c>
      <c r="R84" s="5">
        <v>1.1875</v>
      </c>
      <c r="S84" s="5">
        <v>1.088235294117647</v>
      </c>
      <c r="T84" s="5">
        <v>1.0</v>
      </c>
      <c r="U84" s="5">
        <v>0.9210526315789473</v>
      </c>
      <c r="V84" s="24">
        <v>0.85</v>
      </c>
      <c r="W84" s="5">
        <v>0.7857142857142857</v>
      </c>
      <c r="X84" s="5">
        <v>0.7272727272727273</v>
      </c>
      <c r="Y84" s="5">
        <v>0.6739130434782609</v>
      </c>
      <c r="Z84" s="5">
        <v>0.625</v>
      </c>
      <c r="AA84" s="5">
        <v>0.58</v>
      </c>
      <c r="AB84" s="5">
        <v>0.5384615384615384</v>
      </c>
      <c r="AC84" s="5">
        <v>0.5</v>
      </c>
    </row>
    <row r="85">
      <c r="A85" s="2">
        <v>19.0</v>
      </c>
      <c r="B85" s="5" t="e">
        <v>#DIV/0!</v>
      </c>
      <c r="C85" s="5">
        <v>26.42105263157895</v>
      </c>
      <c r="D85" s="5">
        <v>12.921052631578947</v>
      </c>
      <c r="E85" s="5">
        <v>8.421052631578947</v>
      </c>
      <c r="F85" s="5">
        <v>6.171052631578948</v>
      </c>
      <c r="G85" s="5">
        <v>4.821052631578947</v>
      </c>
      <c r="H85" s="5">
        <v>3.9210526315789473</v>
      </c>
      <c r="I85" s="5">
        <v>3.2781954887218046</v>
      </c>
      <c r="J85" s="5">
        <v>2.7960526315789473</v>
      </c>
      <c r="K85" s="5">
        <v>2.4210526315789473</v>
      </c>
      <c r="L85" s="5">
        <v>2.1210526315789475</v>
      </c>
      <c r="M85" s="5">
        <v>1.875598086124402</v>
      </c>
      <c r="N85" s="5">
        <v>1.6710526315789473</v>
      </c>
      <c r="O85" s="5">
        <v>1.4979757085020242</v>
      </c>
      <c r="P85" s="5">
        <v>1.349624060150376</v>
      </c>
      <c r="Q85" s="5">
        <v>1.2210526315789474</v>
      </c>
      <c r="R85" s="5">
        <v>1.1085526315789473</v>
      </c>
      <c r="S85" s="5">
        <v>1.0092879256965945</v>
      </c>
      <c r="T85" s="5">
        <v>0.9210526315789473</v>
      </c>
      <c r="U85" s="24">
        <v>0.8421052631578947</v>
      </c>
      <c r="V85" s="5">
        <v>0.7710526315789473</v>
      </c>
      <c r="W85" s="5">
        <v>0.706766917293233</v>
      </c>
      <c r="X85" s="5">
        <v>0.6483253588516746</v>
      </c>
      <c r="Y85" s="5">
        <v>0.5949656750572082</v>
      </c>
      <c r="Z85" s="5">
        <v>0.5460526315789473</v>
      </c>
      <c r="AA85" s="5">
        <v>0.5010526315789474</v>
      </c>
      <c r="AB85" s="5">
        <v>0.45951417004048584</v>
      </c>
      <c r="AC85" s="5">
        <v>0.42105263157894735</v>
      </c>
    </row>
    <row r="86">
      <c r="A86" s="2">
        <v>20.0</v>
      </c>
      <c r="B86" s="5" t="e">
        <v>#DIV/0!</v>
      </c>
      <c r="C86" s="5">
        <v>26.35</v>
      </c>
      <c r="D86" s="5">
        <v>12.85</v>
      </c>
      <c r="E86" s="5">
        <v>8.35</v>
      </c>
      <c r="F86" s="5">
        <v>6.1</v>
      </c>
      <c r="G86" s="5">
        <v>4.75</v>
      </c>
      <c r="H86" s="5">
        <v>3.85</v>
      </c>
      <c r="I86" s="5">
        <v>3.2071428571428573</v>
      </c>
      <c r="J86" s="5">
        <v>2.725</v>
      </c>
      <c r="K86" s="5">
        <v>2.35</v>
      </c>
      <c r="L86" s="5">
        <v>2.05</v>
      </c>
      <c r="M86" s="5">
        <v>1.8045454545454545</v>
      </c>
      <c r="N86" s="5">
        <v>1.6</v>
      </c>
      <c r="O86" s="5">
        <v>1.426923076923077</v>
      </c>
      <c r="P86" s="5">
        <v>1.2785714285714285</v>
      </c>
      <c r="Q86" s="5">
        <v>1.15</v>
      </c>
      <c r="R86" s="5">
        <v>1.0375</v>
      </c>
      <c r="S86" s="5">
        <v>0.9382352941176471</v>
      </c>
      <c r="T86" s="24">
        <v>0.85</v>
      </c>
      <c r="U86" s="5">
        <v>0.7710526315789473</v>
      </c>
      <c r="V86" s="5">
        <v>0.7</v>
      </c>
      <c r="W86" s="5">
        <v>0.6357142857142857</v>
      </c>
      <c r="X86" s="5">
        <v>0.5772727272727273</v>
      </c>
      <c r="Y86" s="5">
        <v>0.5239130434782608</v>
      </c>
      <c r="Z86" s="5">
        <v>0.475</v>
      </c>
      <c r="AA86" s="5">
        <v>0.43</v>
      </c>
      <c r="AB86" s="5">
        <v>0.38846153846153847</v>
      </c>
      <c r="AC86" s="5">
        <v>0.35</v>
      </c>
    </row>
    <row r="87">
      <c r="A87" s="2">
        <v>21.0</v>
      </c>
      <c r="B87" s="5" t="e">
        <v>#DIV/0!</v>
      </c>
      <c r="C87" s="5">
        <v>26.285714285714285</v>
      </c>
      <c r="D87" s="5">
        <v>12.785714285714286</v>
      </c>
      <c r="E87" s="5">
        <v>8.285714285714286</v>
      </c>
      <c r="F87" s="5">
        <v>6.035714285714286</v>
      </c>
      <c r="G87" s="5">
        <v>4.685714285714286</v>
      </c>
      <c r="H87" s="5">
        <v>3.7857142857142856</v>
      </c>
      <c r="I87" s="5">
        <v>3.142857142857143</v>
      </c>
      <c r="J87" s="5">
        <v>2.6607142857142856</v>
      </c>
      <c r="K87" s="5">
        <v>2.2857142857142856</v>
      </c>
      <c r="L87" s="5">
        <v>1.9857142857142858</v>
      </c>
      <c r="M87" s="5">
        <v>1.7402597402597402</v>
      </c>
      <c r="N87" s="5">
        <v>1.5357142857142858</v>
      </c>
      <c r="O87" s="5">
        <v>1.3626373626373627</v>
      </c>
      <c r="P87" s="5">
        <v>1.2142857142857142</v>
      </c>
      <c r="Q87" s="5">
        <v>1.0857142857142856</v>
      </c>
      <c r="R87" s="5">
        <v>0.9732142857142857</v>
      </c>
      <c r="S87" s="5">
        <v>0.8739495798319328</v>
      </c>
      <c r="T87" s="5">
        <v>0.7857142857142857</v>
      </c>
      <c r="U87" s="5">
        <v>0.706766917293233</v>
      </c>
      <c r="V87" s="5">
        <v>0.6357142857142857</v>
      </c>
      <c r="W87" s="5">
        <v>0.5714285714285714</v>
      </c>
      <c r="X87" s="5">
        <v>0.512987012987013</v>
      </c>
      <c r="Y87" s="5">
        <v>0.45962732919254656</v>
      </c>
      <c r="Z87" s="5">
        <v>0.4107142857142857</v>
      </c>
      <c r="AA87" s="5">
        <v>0.3657142857142857</v>
      </c>
      <c r="AB87" s="5">
        <v>0.3241758241758242</v>
      </c>
      <c r="AC87" s="5">
        <v>0.2857142857142857</v>
      </c>
    </row>
    <row r="88">
      <c r="A88" s="2">
        <v>22.0</v>
      </c>
      <c r="B88" s="5" t="e">
        <v>#DIV/0!</v>
      </c>
      <c r="C88" s="5">
        <v>26.227272727272727</v>
      </c>
      <c r="D88" s="5">
        <v>12.727272727272727</v>
      </c>
      <c r="E88" s="5">
        <v>8.227272727272727</v>
      </c>
      <c r="F88" s="5">
        <v>5.9772727272727275</v>
      </c>
      <c r="G88" s="5">
        <v>4.627272727272727</v>
      </c>
      <c r="H88" s="5">
        <v>3.727272727272727</v>
      </c>
      <c r="I88" s="5">
        <v>3.0844155844155843</v>
      </c>
      <c r="J88" s="5">
        <v>2.602272727272727</v>
      </c>
      <c r="K88" s="5">
        <v>2.227272727272727</v>
      </c>
      <c r="L88" s="5">
        <v>1.9272727272727272</v>
      </c>
      <c r="M88" s="5">
        <v>1.6818181818181819</v>
      </c>
      <c r="N88" s="5">
        <v>1.4772727272727273</v>
      </c>
      <c r="O88" s="5">
        <v>1.3041958041958042</v>
      </c>
      <c r="P88" s="5">
        <v>1.155844155844156</v>
      </c>
      <c r="Q88" s="5">
        <v>1.0272727272727273</v>
      </c>
      <c r="R88" s="5">
        <v>0.9147727272727273</v>
      </c>
      <c r="S88" s="5">
        <v>0.8155080213903744</v>
      </c>
      <c r="T88" s="5">
        <v>0.7272727272727273</v>
      </c>
      <c r="U88" s="5">
        <v>0.6483253588516746</v>
      </c>
      <c r="V88" s="5">
        <v>0.5772727272727273</v>
      </c>
      <c r="W88" s="5">
        <v>0.512987012987013</v>
      </c>
      <c r="X88" s="5">
        <v>0.45454545454545453</v>
      </c>
      <c r="Y88" s="5">
        <v>0.40118577075098816</v>
      </c>
      <c r="Z88" s="5">
        <v>0.3522727272727273</v>
      </c>
      <c r="AA88" s="5">
        <v>0.30727272727272725</v>
      </c>
      <c r="AB88" s="5">
        <v>0.26573426573426573</v>
      </c>
      <c r="AC88" s="5">
        <v>0.22727272727272727</v>
      </c>
    </row>
    <row r="89">
      <c r="A89" s="2">
        <v>23.0</v>
      </c>
      <c r="B89" s="5" t="e">
        <v>#DIV/0!</v>
      </c>
      <c r="C89" s="5">
        <v>26.17391304347826</v>
      </c>
      <c r="D89" s="5">
        <v>12.673913043478262</v>
      </c>
      <c r="E89" s="5">
        <v>8.173913043478262</v>
      </c>
      <c r="F89" s="5">
        <v>5.923913043478261</v>
      </c>
      <c r="G89" s="5">
        <v>4.573913043478261</v>
      </c>
      <c r="H89" s="5">
        <v>3.6739130434782608</v>
      </c>
      <c r="I89" s="5">
        <v>3.031055900621118</v>
      </c>
      <c r="J89" s="5">
        <v>2.5489130434782608</v>
      </c>
      <c r="K89" s="5">
        <v>2.1739130434782608</v>
      </c>
      <c r="L89" s="5">
        <v>1.873913043478261</v>
      </c>
      <c r="M89" s="5">
        <v>1.6284584980237153</v>
      </c>
      <c r="N89" s="5">
        <v>1.423913043478261</v>
      </c>
      <c r="O89" s="5">
        <v>1.2508361204013378</v>
      </c>
      <c r="P89" s="5">
        <v>1.1024844720496894</v>
      </c>
      <c r="Q89" s="5">
        <v>0.9739130434782609</v>
      </c>
      <c r="R89" s="5">
        <v>0.8614130434782609</v>
      </c>
      <c r="S89" s="5">
        <v>0.7621483375959079</v>
      </c>
      <c r="T89" s="5">
        <v>0.6739130434782609</v>
      </c>
      <c r="U89" s="5">
        <v>0.5949656750572082</v>
      </c>
      <c r="V89" s="5">
        <v>0.5239130434782608</v>
      </c>
      <c r="W89" s="5">
        <v>0.45962732919254656</v>
      </c>
      <c r="X89" s="5">
        <v>0.40118577075098816</v>
      </c>
      <c r="Y89" s="5">
        <v>0.34782608695652173</v>
      </c>
      <c r="Z89" s="5">
        <v>0.29891304347826086</v>
      </c>
      <c r="AA89" s="5">
        <v>0.2539130434782609</v>
      </c>
      <c r="AB89" s="5">
        <v>0.21237458193979933</v>
      </c>
      <c r="AC89" s="5">
        <v>0.17391304347826086</v>
      </c>
    </row>
    <row r="90">
      <c r="A90" s="2">
        <v>24.0</v>
      </c>
      <c r="B90" s="5" t="e">
        <v>#DIV/0!</v>
      </c>
      <c r="C90" s="5">
        <v>26.125</v>
      </c>
      <c r="D90" s="5">
        <v>12.625</v>
      </c>
      <c r="E90" s="5">
        <v>8.125</v>
      </c>
      <c r="F90" s="5">
        <v>5.875</v>
      </c>
      <c r="G90" s="5">
        <v>4.525</v>
      </c>
      <c r="H90" s="5">
        <v>3.625</v>
      </c>
      <c r="I90" s="5">
        <v>2.982142857142857</v>
      </c>
      <c r="J90" s="5">
        <v>2.5</v>
      </c>
      <c r="K90" s="5">
        <v>2.125</v>
      </c>
      <c r="L90" s="5">
        <v>1.825</v>
      </c>
      <c r="M90" s="5">
        <v>1.5795454545454546</v>
      </c>
      <c r="N90" s="5">
        <v>1.375</v>
      </c>
      <c r="O90" s="5">
        <v>1.2019230769230769</v>
      </c>
      <c r="P90" s="5">
        <v>1.0535714285714286</v>
      </c>
      <c r="Q90" s="5">
        <v>0.925</v>
      </c>
      <c r="R90" s="5">
        <v>0.8125</v>
      </c>
      <c r="S90" s="5">
        <v>0.7132352941176471</v>
      </c>
      <c r="T90" s="5">
        <v>0.625</v>
      </c>
      <c r="U90" s="5">
        <v>0.5460526315789473</v>
      </c>
      <c r="V90" s="5">
        <v>0.475</v>
      </c>
      <c r="W90" s="5">
        <v>0.4107142857142857</v>
      </c>
      <c r="X90" s="5">
        <v>0.3522727272727273</v>
      </c>
      <c r="Y90" s="5">
        <v>0.29891304347826086</v>
      </c>
      <c r="Z90" s="5">
        <v>0.25</v>
      </c>
      <c r="AA90" s="5">
        <v>0.205</v>
      </c>
      <c r="AB90" s="5">
        <v>0.16346153846153846</v>
      </c>
      <c r="AC90" s="5">
        <v>0.125</v>
      </c>
    </row>
    <row r="91">
      <c r="A91" s="2">
        <v>25.0</v>
      </c>
      <c r="B91" s="5" t="e">
        <v>#DIV/0!</v>
      </c>
      <c r="C91" s="5">
        <v>26.08</v>
      </c>
      <c r="D91" s="5">
        <v>12.58</v>
      </c>
      <c r="E91" s="5">
        <v>8.08</v>
      </c>
      <c r="F91" s="5">
        <v>5.83</v>
      </c>
      <c r="G91" s="5">
        <v>4.48</v>
      </c>
      <c r="H91" s="5">
        <v>3.58</v>
      </c>
      <c r="I91" s="5">
        <v>2.9371428571428573</v>
      </c>
      <c r="J91" s="5">
        <v>2.455</v>
      </c>
      <c r="K91" s="5">
        <v>2.08</v>
      </c>
      <c r="L91" s="5">
        <v>1.78</v>
      </c>
      <c r="M91" s="5">
        <v>1.5345454545454544</v>
      </c>
      <c r="N91" s="5">
        <v>1.33</v>
      </c>
      <c r="O91" s="5">
        <v>1.156923076923077</v>
      </c>
      <c r="P91" s="5">
        <v>1.0085714285714287</v>
      </c>
      <c r="Q91" s="5">
        <v>0.88</v>
      </c>
      <c r="R91" s="5">
        <v>0.7675</v>
      </c>
      <c r="S91" s="5">
        <v>0.668235294117647</v>
      </c>
      <c r="T91" s="5">
        <v>0.58</v>
      </c>
      <c r="U91" s="5">
        <v>0.5010526315789474</v>
      </c>
      <c r="V91" s="5">
        <v>0.43</v>
      </c>
      <c r="W91" s="5">
        <v>0.3657142857142857</v>
      </c>
      <c r="X91" s="5">
        <v>0.30727272727272725</v>
      </c>
      <c r="Y91" s="5">
        <v>0.2539130434782609</v>
      </c>
      <c r="Z91" s="5">
        <v>0.205</v>
      </c>
      <c r="AA91" s="5">
        <v>0.16</v>
      </c>
      <c r="AB91" s="5">
        <v>0.11846153846153847</v>
      </c>
      <c r="AC91" s="5">
        <v>0.08</v>
      </c>
    </row>
    <row r="92">
      <c r="A92" s="2">
        <v>26.0</v>
      </c>
      <c r="B92" s="5" t="e">
        <v>#DIV/0!</v>
      </c>
      <c r="C92" s="5">
        <v>26.03846153846154</v>
      </c>
      <c r="D92" s="5">
        <v>12.538461538461538</v>
      </c>
      <c r="E92" s="5">
        <v>8.038461538461538</v>
      </c>
      <c r="F92" s="5">
        <v>5.788461538461538</v>
      </c>
      <c r="G92" s="5">
        <v>4.438461538461539</v>
      </c>
      <c r="H92" s="5">
        <v>3.5384615384615383</v>
      </c>
      <c r="I92" s="5">
        <v>2.8956043956043955</v>
      </c>
      <c r="J92" s="5">
        <v>2.4134615384615383</v>
      </c>
      <c r="K92" s="5">
        <v>2.0384615384615383</v>
      </c>
      <c r="L92" s="5">
        <v>1.7384615384615385</v>
      </c>
      <c r="M92" s="5">
        <v>1.493006993006993</v>
      </c>
      <c r="N92" s="5">
        <v>1.2884615384615385</v>
      </c>
      <c r="O92" s="5">
        <v>1.1153846153846154</v>
      </c>
      <c r="P92" s="5">
        <v>0.967032967032967</v>
      </c>
      <c r="Q92" s="5">
        <v>0.8384615384615385</v>
      </c>
      <c r="R92" s="5">
        <v>0.7259615384615384</v>
      </c>
      <c r="S92" s="5">
        <v>0.6266968325791855</v>
      </c>
      <c r="T92" s="5">
        <v>0.5384615384615384</v>
      </c>
      <c r="U92" s="5">
        <v>0.45951417004048584</v>
      </c>
      <c r="V92" s="5">
        <v>0.38846153846153847</v>
      </c>
      <c r="W92" s="5">
        <v>0.3241758241758242</v>
      </c>
      <c r="X92" s="5">
        <v>0.26573426573426573</v>
      </c>
      <c r="Y92" s="5">
        <v>0.21237458193979933</v>
      </c>
      <c r="Z92" s="5">
        <v>0.16346153846153846</v>
      </c>
      <c r="AA92" s="5">
        <v>0.11846153846153847</v>
      </c>
      <c r="AB92" s="5">
        <v>0.07692307692307693</v>
      </c>
      <c r="AC92" s="5">
        <v>0.038461538461538464</v>
      </c>
    </row>
    <row r="93">
      <c r="A93" s="2">
        <v>27.0</v>
      </c>
      <c r="B93" s="5" t="e">
        <v>#DIV/0!</v>
      </c>
      <c r="C93" s="5">
        <v>26.0</v>
      </c>
      <c r="D93" s="5">
        <v>12.5</v>
      </c>
      <c r="E93" s="5">
        <v>8.0</v>
      </c>
      <c r="F93" s="5">
        <v>5.75</v>
      </c>
      <c r="G93" s="5">
        <v>4.4</v>
      </c>
      <c r="H93" s="5">
        <v>3.5</v>
      </c>
      <c r="I93" s="5">
        <v>2.857142857142857</v>
      </c>
      <c r="J93" s="5">
        <v>2.375</v>
      </c>
      <c r="K93" s="5">
        <v>2.0</v>
      </c>
      <c r="L93" s="5">
        <v>1.7</v>
      </c>
      <c r="M93" s="5">
        <v>1.4545454545454546</v>
      </c>
      <c r="N93" s="5">
        <v>1.25</v>
      </c>
      <c r="O93" s="5">
        <v>1.0769230769230769</v>
      </c>
      <c r="P93" s="5">
        <v>0.9285714285714286</v>
      </c>
      <c r="Q93" s="5">
        <v>0.8</v>
      </c>
      <c r="R93" s="5">
        <v>0.6875</v>
      </c>
      <c r="S93" s="5">
        <v>0.5882352941176471</v>
      </c>
      <c r="T93" s="5">
        <v>0.5</v>
      </c>
      <c r="U93" s="5">
        <v>0.42105263157894735</v>
      </c>
      <c r="V93" s="5">
        <v>0.35</v>
      </c>
      <c r="W93" s="5">
        <v>0.2857142857142857</v>
      </c>
      <c r="X93" s="5">
        <v>0.22727272727272727</v>
      </c>
      <c r="Y93" s="5">
        <v>0.17391304347826086</v>
      </c>
      <c r="Z93" s="5">
        <v>0.125</v>
      </c>
      <c r="AA93" s="5">
        <v>0.08</v>
      </c>
      <c r="AB93" s="5">
        <v>0.038461538461538464</v>
      </c>
      <c r="AC93" s="5">
        <v>0.0</v>
      </c>
    </row>
    <row r="94">
      <c r="A94" s="17"/>
    </row>
    <row r="95">
      <c r="A95" s="17"/>
    </row>
    <row r="96">
      <c r="A96" s="17"/>
    </row>
    <row r="97">
      <c r="A97" s="17"/>
      <c r="O97" s="5">
        <f>sqrt(3)/2</f>
        <v>0.8660254038</v>
      </c>
    </row>
    <row r="98">
      <c r="A98" s="17"/>
      <c r="O98" s="5">
        <f>sqrt(4/3)</f>
        <v>1.154700538</v>
      </c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6" width="6.0"/>
  </cols>
  <sheetData>
    <row r="1">
      <c r="A1" s="26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/>
      <c r="AC1" s="2"/>
      <c r="AD1" s="2">
        <v>0.0</v>
      </c>
      <c r="AE1" s="2">
        <v>1.0</v>
      </c>
      <c r="AF1" s="2">
        <v>2.0</v>
      </c>
      <c r="AG1" s="2">
        <v>3.0</v>
      </c>
      <c r="AH1" s="2">
        <v>4.0</v>
      </c>
      <c r="AI1" s="2">
        <v>5.0</v>
      </c>
      <c r="AJ1" s="2">
        <v>6.0</v>
      </c>
      <c r="AK1" s="2">
        <v>7.0</v>
      </c>
      <c r="AL1" s="2">
        <v>8.0</v>
      </c>
      <c r="AM1" s="2">
        <v>9.0</v>
      </c>
      <c r="AN1" s="2">
        <v>10.0</v>
      </c>
      <c r="AO1" s="2">
        <v>11.0</v>
      </c>
      <c r="AP1" s="2">
        <v>12.0</v>
      </c>
      <c r="AQ1" s="2">
        <v>13.0</v>
      </c>
      <c r="AR1" s="2">
        <v>14.0</v>
      </c>
      <c r="AS1" s="2"/>
      <c r="AT1" s="2"/>
    </row>
    <row r="2">
      <c r="A2" s="2">
        <v>0.0</v>
      </c>
      <c r="B2" s="5">
        <f t="shared" ref="B2:AA2" si="1">B$1*$A2</f>
        <v>0</v>
      </c>
      <c r="C2" s="5">
        <f t="shared" si="1"/>
        <v>0</v>
      </c>
      <c r="D2" s="5">
        <f t="shared" si="1"/>
        <v>0</v>
      </c>
      <c r="E2" s="5">
        <f t="shared" si="1"/>
        <v>0</v>
      </c>
      <c r="F2" s="5">
        <f t="shared" si="1"/>
        <v>0</v>
      </c>
      <c r="G2" s="5">
        <f t="shared" si="1"/>
        <v>0</v>
      </c>
      <c r="H2" s="5">
        <f t="shared" si="1"/>
        <v>0</v>
      </c>
      <c r="I2" s="5">
        <f t="shared" si="1"/>
        <v>0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>
        <f t="shared" si="1"/>
        <v>0</v>
      </c>
      <c r="Q2" s="5">
        <f t="shared" si="1"/>
        <v>0</v>
      </c>
      <c r="R2" s="5">
        <f t="shared" si="1"/>
        <v>0</v>
      </c>
      <c r="S2" s="5">
        <f t="shared" si="1"/>
        <v>0</v>
      </c>
      <c r="T2" s="5">
        <f t="shared" si="1"/>
        <v>0</v>
      </c>
      <c r="U2" s="5">
        <f t="shared" si="1"/>
        <v>0</v>
      </c>
      <c r="V2" s="5">
        <f t="shared" si="1"/>
        <v>0</v>
      </c>
      <c r="W2" s="5">
        <f t="shared" si="1"/>
        <v>0</v>
      </c>
      <c r="X2" s="5">
        <f t="shared" si="1"/>
        <v>0</v>
      </c>
      <c r="Y2" s="5">
        <f t="shared" si="1"/>
        <v>0</v>
      </c>
      <c r="Z2" s="5">
        <f t="shared" si="1"/>
        <v>0</v>
      </c>
      <c r="AA2" s="5">
        <f t="shared" si="1"/>
        <v>0</v>
      </c>
      <c r="AC2" s="2">
        <v>0.0</v>
      </c>
      <c r="AD2" s="5">
        <f t="shared" ref="AD2:AR2" si="2">AD$1*$AC2</f>
        <v>0</v>
      </c>
      <c r="AE2" s="5">
        <f t="shared" si="2"/>
        <v>0</v>
      </c>
      <c r="AF2" s="5">
        <f t="shared" si="2"/>
        <v>0</v>
      </c>
      <c r="AG2" s="5">
        <f t="shared" si="2"/>
        <v>0</v>
      </c>
      <c r="AH2" s="5">
        <f t="shared" si="2"/>
        <v>0</v>
      </c>
      <c r="AI2" s="5">
        <f t="shared" si="2"/>
        <v>0</v>
      </c>
      <c r="AJ2" s="5">
        <f t="shared" si="2"/>
        <v>0</v>
      </c>
      <c r="AK2" s="5">
        <f t="shared" si="2"/>
        <v>0</v>
      </c>
      <c r="AL2" s="5">
        <f t="shared" si="2"/>
        <v>0</v>
      </c>
      <c r="AM2" s="5">
        <f t="shared" si="2"/>
        <v>0</v>
      </c>
      <c r="AN2" s="5">
        <f t="shared" si="2"/>
        <v>0</v>
      </c>
      <c r="AO2" s="5">
        <f t="shared" si="2"/>
        <v>0</v>
      </c>
      <c r="AP2" s="5">
        <f t="shared" si="2"/>
        <v>0</v>
      </c>
      <c r="AQ2" s="5">
        <f t="shared" si="2"/>
        <v>0</v>
      </c>
      <c r="AR2" s="5">
        <f t="shared" si="2"/>
        <v>0</v>
      </c>
    </row>
    <row r="3">
      <c r="A3" s="2">
        <v>1.0</v>
      </c>
      <c r="B3" s="5">
        <f t="shared" ref="B3:AA3" si="3">B$1*$A3</f>
        <v>0</v>
      </c>
      <c r="C3" s="5">
        <f t="shared" si="3"/>
        <v>1</v>
      </c>
      <c r="D3" s="5">
        <f t="shared" si="3"/>
        <v>2</v>
      </c>
      <c r="E3" s="5">
        <f t="shared" si="3"/>
        <v>3</v>
      </c>
      <c r="F3" s="5">
        <f t="shared" si="3"/>
        <v>4</v>
      </c>
      <c r="G3" s="5">
        <f t="shared" si="3"/>
        <v>5</v>
      </c>
      <c r="H3" s="5">
        <f t="shared" si="3"/>
        <v>6</v>
      </c>
      <c r="I3" s="5">
        <f t="shared" si="3"/>
        <v>7</v>
      </c>
      <c r="J3" s="5">
        <f t="shared" si="3"/>
        <v>8</v>
      </c>
      <c r="K3" s="5">
        <f t="shared" si="3"/>
        <v>9</v>
      </c>
      <c r="L3" s="5">
        <f t="shared" si="3"/>
        <v>10</v>
      </c>
      <c r="M3" s="5">
        <f t="shared" si="3"/>
        <v>11</v>
      </c>
      <c r="N3" s="5">
        <f t="shared" si="3"/>
        <v>12</v>
      </c>
      <c r="O3" s="5">
        <f t="shared" si="3"/>
        <v>13</v>
      </c>
      <c r="P3" s="5">
        <f t="shared" si="3"/>
        <v>14</v>
      </c>
      <c r="Q3" s="5">
        <f t="shared" si="3"/>
        <v>15</v>
      </c>
      <c r="R3" s="5">
        <f t="shared" si="3"/>
        <v>16</v>
      </c>
      <c r="S3" s="5">
        <f t="shared" si="3"/>
        <v>17</v>
      </c>
      <c r="T3" s="5">
        <f t="shared" si="3"/>
        <v>18</v>
      </c>
      <c r="U3" s="5">
        <f t="shared" si="3"/>
        <v>19</v>
      </c>
      <c r="V3" s="5">
        <f t="shared" si="3"/>
        <v>20</v>
      </c>
      <c r="W3" s="5">
        <f t="shared" si="3"/>
        <v>21</v>
      </c>
      <c r="X3" s="5">
        <f t="shared" si="3"/>
        <v>22</v>
      </c>
      <c r="Y3" s="5">
        <f t="shared" si="3"/>
        <v>23</v>
      </c>
      <c r="Z3" s="5">
        <f t="shared" si="3"/>
        <v>24</v>
      </c>
      <c r="AA3" s="5">
        <f t="shared" si="3"/>
        <v>25</v>
      </c>
      <c r="AC3" s="2">
        <v>1.0</v>
      </c>
      <c r="AD3" s="5">
        <f t="shared" ref="AD3:AR3" si="4">AD$1*$AC3</f>
        <v>0</v>
      </c>
      <c r="AE3" s="5">
        <f t="shared" si="4"/>
        <v>1</v>
      </c>
      <c r="AF3" s="5">
        <f t="shared" si="4"/>
        <v>2</v>
      </c>
      <c r="AG3" s="5">
        <f t="shared" si="4"/>
        <v>3</v>
      </c>
      <c r="AH3" s="5">
        <f t="shared" si="4"/>
        <v>4</v>
      </c>
      <c r="AI3" s="5">
        <f t="shared" si="4"/>
        <v>5</v>
      </c>
      <c r="AJ3" s="5">
        <f t="shared" si="4"/>
        <v>6</v>
      </c>
      <c r="AK3" s="5">
        <f t="shared" si="4"/>
        <v>7</v>
      </c>
      <c r="AL3" s="5">
        <f t="shared" si="4"/>
        <v>8</v>
      </c>
      <c r="AM3" s="5">
        <f t="shared" si="4"/>
        <v>9</v>
      </c>
      <c r="AN3" s="5">
        <f t="shared" si="4"/>
        <v>10</v>
      </c>
      <c r="AO3" s="5">
        <f t="shared" si="4"/>
        <v>11</v>
      </c>
      <c r="AP3" s="5">
        <f t="shared" si="4"/>
        <v>12</v>
      </c>
      <c r="AQ3" s="5">
        <f t="shared" si="4"/>
        <v>13</v>
      </c>
      <c r="AR3" s="5">
        <f t="shared" si="4"/>
        <v>14</v>
      </c>
    </row>
    <row r="4">
      <c r="A4" s="2">
        <v>2.0</v>
      </c>
      <c r="B4" s="5">
        <f t="shared" ref="B4:AA4" si="5">B$1*$A4</f>
        <v>0</v>
      </c>
      <c r="C4" s="5">
        <f t="shared" si="5"/>
        <v>2</v>
      </c>
      <c r="D4" s="5">
        <f t="shared" si="5"/>
        <v>4</v>
      </c>
      <c r="E4" s="5">
        <f t="shared" si="5"/>
        <v>6</v>
      </c>
      <c r="F4" s="5">
        <f t="shared" si="5"/>
        <v>8</v>
      </c>
      <c r="G4" s="5">
        <f t="shared" si="5"/>
        <v>10</v>
      </c>
      <c r="H4" s="5">
        <f t="shared" si="5"/>
        <v>12</v>
      </c>
      <c r="I4" s="5">
        <f t="shared" si="5"/>
        <v>14</v>
      </c>
      <c r="J4" s="5">
        <f t="shared" si="5"/>
        <v>16</v>
      </c>
      <c r="K4" s="5">
        <f t="shared" si="5"/>
        <v>18</v>
      </c>
      <c r="L4" s="5">
        <f t="shared" si="5"/>
        <v>20</v>
      </c>
      <c r="M4" s="5">
        <f t="shared" si="5"/>
        <v>22</v>
      </c>
      <c r="N4" s="5">
        <f t="shared" si="5"/>
        <v>24</v>
      </c>
      <c r="O4" s="5">
        <f t="shared" si="5"/>
        <v>26</v>
      </c>
      <c r="P4" s="5">
        <f t="shared" si="5"/>
        <v>28</v>
      </c>
      <c r="Q4" s="5">
        <f t="shared" si="5"/>
        <v>30</v>
      </c>
      <c r="R4" s="5">
        <f t="shared" si="5"/>
        <v>32</v>
      </c>
      <c r="S4" s="5">
        <f t="shared" si="5"/>
        <v>34</v>
      </c>
      <c r="T4" s="5">
        <f t="shared" si="5"/>
        <v>36</v>
      </c>
      <c r="U4" s="5">
        <f t="shared" si="5"/>
        <v>38</v>
      </c>
      <c r="V4" s="5">
        <f t="shared" si="5"/>
        <v>40</v>
      </c>
      <c r="W4" s="5">
        <f t="shared" si="5"/>
        <v>42</v>
      </c>
      <c r="X4" s="5">
        <f t="shared" si="5"/>
        <v>44</v>
      </c>
      <c r="Y4" s="5">
        <f t="shared" si="5"/>
        <v>46</v>
      </c>
      <c r="Z4" s="5">
        <f t="shared" si="5"/>
        <v>48</v>
      </c>
      <c r="AA4" s="5">
        <f t="shared" si="5"/>
        <v>50</v>
      </c>
      <c r="AC4" s="2">
        <v>2.0</v>
      </c>
      <c r="AD4" s="5">
        <f t="shared" ref="AD4:AR4" si="6">AD$1*$AC4</f>
        <v>0</v>
      </c>
      <c r="AE4" s="5">
        <f t="shared" si="6"/>
        <v>2</v>
      </c>
      <c r="AF4" s="5">
        <f t="shared" si="6"/>
        <v>4</v>
      </c>
      <c r="AG4" s="15">
        <f t="shared" si="6"/>
        <v>6</v>
      </c>
      <c r="AH4" s="5">
        <f t="shared" si="6"/>
        <v>8</v>
      </c>
      <c r="AI4" s="5">
        <f t="shared" si="6"/>
        <v>10</v>
      </c>
      <c r="AJ4" s="5">
        <f t="shared" si="6"/>
        <v>12</v>
      </c>
      <c r="AK4" s="5">
        <f t="shared" si="6"/>
        <v>14</v>
      </c>
      <c r="AL4" s="5">
        <f t="shared" si="6"/>
        <v>16</v>
      </c>
      <c r="AM4" s="5">
        <f t="shared" si="6"/>
        <v>18</v>
      </c>
      <c r="AN4" s="5">
        <f t="shared" si="6"/>
        <v>20</v>
      </c>
      <c r="AO4" s="5">
        <f t="shared" si="6"/>
        <v>22</v>
      </c>
      <c r="AP4" s="5">
        <f t="shared" si="6"/>
        <v>24</v>
      </c>
      <c r="AQ4" s="5">
        <f t="shared" si="6"/>
        <v>26</v>
      </c>
      <c r="AR4" s="5">
        <f t="shared" si="6"/>
        <v>28</v>
      </c>
    </row>
    <row r="5">
      <c r="A5" s="2">
        <v>3.0</v>
      </c>
      <c r="B5" s="5">
        <f t="shared" ref="B5:AA5" si="7">B$1*$A5</f>
        <v>0</v>
      </c>
      <c r="C5" s="5">
        <f t="shared" si="7"/>
        <v>3</v>
      </c>
      <c r="D5" s="5">
        <f t="shared" si="7"/>
        <v>6</v>
      </c>
      <c r="E5" s="5">
        <f t="shared" si="7"/>
        <v>9</v>
      </c>
      <c r="F5" s="5">
        <f t="shared" si="7"/>
        <v>12</v>
      </c>
      <c r="G5" s="5">
        <f t="shared" si="7"/>
        <v>15</v>
      </c>
      <c r="H5" s="5">
        <f t="shared" si="7"/>
        <v>18</v>
      </c>
      <c r="I5" s="5">
        <f t="shared" si="7"/>
        <v>21</v>
      </c>
      <c r="J5" s="5">
        <f t="shared" si="7"/>
        <v>24</v>
      </c>
      <c r="K5" s="5">
        <f t="shared" si="7"/>
        <v>27</v>
      </c>
      <c r="L5" s="5">
        <f t="shared" si="7"/>
        <v>30</v>
      </c>
      <c r="M5" s="5">
        <f t="shared" si="7"/>
        <v>33</v>
      </c>
      <c r="N5" s="5">
        <f t="shared" si="7"/>
        <v>36</v>
      </c>
      <c r="O5" s="5">
        <f t="shared" si="7"/>
        <v>39</v>
      </c>
      <c r="P5" s="5">
        <f t="shared" si="7"/>
        <v>42</v>
      </c>
      <c r="Q5" s="5">
        <f t="shared" si="7"/>
        <v>45</v>
      </c>
      <c r="R5" s="5">
        <f t="shared" si="7"/>
        <v>48</v>
      </c>
      <c r="S5" s="5">
        <f t="shared" si="7"/>
        <v>51</v>
      </c>
      <c r="T5" s="5">
        <f t="shared" si="7"/>
        <v>54</v>
      </c>
      <c r="U5" s="5">
        <f t="shared" si="7"/>
        <v>57</v>
      </c>
      <c r="V5" s="5">
        <f t="shared" si="7"/>
        <v>60</v>
      </c>
      <c r="W5" s="5">
        <f t="shared" si="7"/>
        <v>63</v>
      </c>
      <c r="X5" s="5">
        <f t="shared" si="7"/>
        <v>66</v>
      </c>
      <c r="Y5" s="5">
        <f t="shared" si="7"/>
        <v>69</v>
      </c>
      <c r="Z5" s="5">
        <f t="shared" si="7"/>
        <v>72</v>
      </c>
      <c r="AA5" s="5">
        <f t="shared" si="7"/>
        <v>75</v>
      </c>
      <c r="AC5" s="2">
        <v>3.0</v>
      </c>
      <c r="AD5" s="5">
        <f t="shared" ref="AD5:AR5" si="8">AD$1*$AC5</f>
        <v>0</v>
      </c>
      <c r="AE5" s="5">
        <f t="shared" si="8"/>
        <v>3</v>
      </c>
      <c r="AF5" s="15">
        <f t="shared" si="8"/>
        <v>6</v>
      </c>
      <c r="AG5" s="5">
        <f t="shared" si="8"/>
        <v>9</v>
      </c>
      <c r="AH5" s="5">
        <f t="shared" si="8"/>
        <v>12</v>
      </c>
      <c r="AI5" s="5">
        <f t="shared" si="8"/>
        <v>15</v>
      </c>
      <c r="AJ5" s="5">
        <f t="shared" si="8"/>
        <v>18</v>
      </c>
      <c r="AK5" s="5">
        <f t="shared" si="8"/>
        <v>21</v>
      </c>
      <c r="AL5" s="5">
        <f t="shared" si="8"/>
        <v>24</v>
      </c>
      <c r="AM5" s="5">
        <f t="shared" si="8"/>
        <v>27</v>
      </c>
      <c r="AN5" s="5">
        <f t="shared" si="8"/>
        <v>30</v>
      </c>
      <c r="AO5" s="5">
        <f t="shared" si="8"/>
        <v>33</v>
      </c>
      <c r="AP5" s="5">
        <f t="shared" si="8"/>
        <v>36</v>
      </c>
      <c r="AQ5" s="5">
        <f t="shared" si="8"/>
        <v>39</v>
      </c>
      <c r="AR5" s="5">
        <f t="shared" si="8"/>
        <v>42</v>
      </c>
    </row>
    <row r="6">
      <c r="A6" s="2">
        <v>4.0</v>
      </c>
      <c r="B6" s="5">
        <f t="shared" ref="B6:AA6" si="9">B$1*$A6</f>
        <v>0</v>
      </c>
      <c r="C6" s="5">
        <f t="shared" si="9"/>
        <v>4</v>
      </c>
      <c r="D6" s="5">
        <f t="shared" si="9"/>
        <v>8</v>
      </c>
      <c r="E6" s="5">
        <f t="shared" si="9"/>
        <v>12</v>
      </c>
      <c r="F6" s="5">
        <f t="shared" si="9"/>
        <v>16</v>
      </c>
      <c r="G6" s="5">
        <f t="shared" si="9"/>
        <v>20</v>
      </c>
      <c r="H6" s="5">
        <f t="shared" si="9"/>
        <v>24</v>
      </c>
      <c r="I6" s="5">
        <f t="shared" si="9"/>
        <v>28</v>
      </c>
      <c r="J6" s="5">
        <f t="shared" si="9"/>
        <v>32</v>
      </c>
      <c r="K6" s="5">
        <f t="shared" si="9"/>
        <v>36</v>
      </c>
      <c r="L6" s="5">
        <f t="shared" si="9"/>
        <v>40</v>
      </c>
      <c r="M6" s="15">
        <f t="shared" si="9"/>
        <v>44</v>
      </c>
      <c r="N6" s="5">
        <f t="shared" si="9"/>
        <v>48</v>
      </c>
      <c r="O6" s="5">
        <f t="shared" si="9"/>
        <v>52</v>
      </c>
      <c r="P6" s="5">
        <f t="shared" si="9"/>
        <v>56</v>
      </c>
      <c r="Q6" s="5">
        <f t="shared" si="9"/>
        <v>60</v>
      </c>
      <c r="R6" s="5">
        <f t="shared" si="9"/>
        <v>64</v>
      </c>
      <c r="S6" s="5">
        <f t="shared" si="9"/>
        <v>68</v>
      </c>
      <c r="T6" s="5">
        <f t="shared" si="9"/>
        <v>72</v>
      </c>
      <c r="U6" s="5">
        <f t="shared" si="9"/>
        <v>76</v>
      </c>
      <c r="V6" s="5">
        <f t="shared" si="9"/>
        <v>80</v>
      </c>
      <c r="W6" s="5">
        <f t="shared" si="9"/>
        <v>84</v>
      </c>
      <c r="X6" s="5">
        <f t="shared" si="9"/>
        <v>88</v>
      </c>
      <c r="Y6" s="5">
        <f t="shared" si="9"/>
        <v>92</v>
      </c>
      <c r="Z6" s="5">
        <f t="shared" si="9"/>
        <v>96</v>
      </c>
      <c r="AA6" s="5">
        <f t="shared" si="9"/>
        <v>100</v>
      </c>
      <c r="AC6" s="2">
        <v>4.0</v>
      </c>
      <c r="AD6" s="5">
        <f t="shared" ref="AD6:AR6" si="10">AD$1*$AC6</f>
        <v>0</v>
      </c>
      <c r="AE6" s="5">
        <f t="shared" si="10"/>
        <v>4</v>
      </c>
      <c r="AF6" s="5">
        <f t="shared" si="10"/>
        <v>8</v>
      </c>
      <c r="AG6" s="5">
        <f t="shared" si="10"/>
        <v>12</v>
      </c>
      <c r="AH6" s="5">
        <f t="shared" si="10"/>
        <v>16</v>
      </c>
      <c r="AI6" s="5">
        <f t="shared" si="10"/>
        <v>20</v>
      </c>
      <c r="AJ6" s="5">
        <f t="shared" si="10"/>
        <v>24</v>
      </c>
      <c r="AK6" s="5">
        <f t="shared" si="10"/>
        <v>28</v>
      </c>
      <c r="AL6" s="5">
        <f t="shared" si="10"/>
        <v>32</v>
      </c>
      <c r="AM6" s="5">
        <f t="shared" si="10"/>
        <v>36</v>
      </c>
      <c r="AN6" s="5">
        <f t="shared" si="10"/>
        <v>40</v>
      </c>
      <c r="AO6" s="5">
        <f t="shared" si="10"/>
        <v>44</v>
      </c>
      <c r="AP6" s="5">
        <f t="shared" si="10"/>
        <v>48</v>
      </c>
      <c r="AQ6" s="5">
        <f t="shared" si="10"/>
        <v>52</v>
      </c>
      <c r="AR6" s="5">
        <f t="shared" si="10"/>
        <v>56</v>
      </c>
    </row>
    <row r="7">
      <c r="A7" s="2">
        <v>5.0</v>
      </c>
      <c r="B7" s="5">
        <f t="shared" ref="B7:AA7" si="11">B$1*$A7</f>
        <v>0</v>
      </c>
      <c r="C7" s="5">
        <f t="shared" si="11"/>
        <v>5</v>
      </c>
      <c r="D7" s="5">
        <f t="shared" si="11"/>
        <v>10</v>
      </c>
      <c r="E7" s="5">
        <f t="shared" si="11"/>
        <v>15</v>
      </c>
      <c r="F7" s="5">
        <f t="shared" si="11"/>
        <v>20</v>
      </c>
      <c r="G7" s="5">
        <f t="shared" si="11"/>
        <v>25</v>
      </c>
      <c r="H7" s="5">
        <f t="shared" si="11"/>
        <v>30</v>
      </c>
      <c r="I7" s="5">
        <f t="shared" si="11"/>
        <v>35</v>
      </c>
      <c r="J7" s="5">
        <f t="shared" si="11"/>
        <v>40</v>
      </c>
      <c r="K7" s="5">
        <f t="shared" si="11"/>
        <v>45</v>
      </c>
      <c r="L7" s="24">
        <f t="shared" si="11"/>
        <v>50</v>
      </c>
      <c r="M7" s="24">
        <f t="shared" si="11"/>
        <v>55</v>
      </c>
      <c r="N7" s="5">
        <f t="shared" si="11"/>
        <v>60</v>
      </c>
      <c r="O7" s="5">
        <f t="shared" si="11"/>
        <v>65</v>
      </c>
      <c r="P7" s="5">
        <f t="shared" si="11"/>
        <v>70</v>
      </c>
      <c r="Q7" s="5">
        <f t="shared" si="11"/>
        <v>75</v>
      </c>
      <c r="R7" s="5">
        <f t="shared" si="11"/>
        <v>80</v>
      </c>
      <c r="S7" s="5">
        <f t="shared" si="11"/>
        <v>85</v>
      </c>
      <c r="T7" s="5">
        <f t="shared" si="11"/>
        <v>90</v>
      </c>
      <c r="U7" s="5">
        <f t="shared" si="11"/>
        <v>95</v>
      </c>
      <c r="V7" s="5">
        <f t="shared" si="11"/>
        <v>100</v>
      </c>
      <c r="W7" s="5">
        <f t="shared" si="11"/>
        <v>105</v>
      </c>
      <c r="X7" s="5">
        <f t="shared" si="11"/>
        <v>110</v>
      </c>
      <c r="Y7" s="5">
        <f t="shared" si="11"/>
        <v>115</v>
      </c>
      <c r="Z7" s="5">
        <f t="shared" si="11"/>
        <v>120</v>
      </c>
      <c r="AA7" s="5">
        <f t="shared" si="11"/>
        <v>125</v>
      </c>
      <c r="AC7" s="2">
        <v>5.0</v>
      </c>
      <c r="AD7" s="5">
        <f t="shared" ref="AD7:AR7" si="12">AD$1*$AC7</f>
        <v>0</v>
      </c>
      <c r="AE7" s="5">
        <f t="shared" si="12"/>
        <v>5</v>
      </c>
      <c r="AF7" s="5">
        <f t="shared" si="12"/>
        <v>10</v>
      </c>
      <c r="AG7" s="5">
        <f t="shared" si="12"/>
        <v>15</v>
      </c>
      <c r="AH7" s="5">
        <f t="shared" si="12"/>
        <v>20</v>
      </c>
      <c r="AI7" s="5">
        <f t="shared" si="12"/>
        <v>25</v>
      </c>
      <c r="AJ7" s="5">
        <f t="shared" si="12"/>
        <v>30</v>
      </c>
      <c r="AK7" s="5">
        <f t="shared" si="12"/>
        <v>35</v>
      </c>
      <c r="AL7" s="5">
        <f t="shared" si="12"/>
        <v>40</v>
      </c>
      <c r="AM7" s="5">
        <f t="shared" si="12"/>
        <v>45</v>
      </c>
      <c r="AN7" s="5">
        <f t="shared" si="12"/>
        <v>50</v>
      </c>
      <c r="AO7" s="5">
        <f t="shared" si="12"/>
        <v>55</v>
      </c>
      <c r="AP7" s="5">
        <f t="shared" si="12"/>
        <v>60</v>
      </c>
      <c r="AQ7" s="5">
        <f t="shared" si="12"/>
        <v>65</v>
      </c>
      <c r="AR7" s="5">
        <f t="shared" si="12"/>
        <v>70</v>
      </c>
    </row>
    <row r="8">
      <c r="A8" s="2">
        <v>6.0</v>
      </c>
      <c r="B8" s="5">
        <f t="shared" ref="B8:AA8" si="13">B$1*$A8</f>
        <v>0</v>
      </c>
      <c r="C8" s="5">
        <f t="shared" si="13"/>
        <v>6</v>
      </c>
      <c r="D8" s="5">
        <f t="shared" si="13"/>
        <v>12</v>
      </c>
      <c r="E8" s="5">
        <f t="shared" si="13"/>
        <v>18</v>
      </c>
      <c r="F8" s="5">
        <f t="shared" si="13"/>
        <v>24</v>
      </c>
      <c r="G8" s="5">
        <f t="shared" si="13"/>
        <v>30</v>
      </c>
      <c r="H8" s="5">
        <f t="shared" si="13"/>
        <v>36</v>
      </c>
      <c r="I8" s="5">
        <f t="shared" si="13"/>
        <v>42</v>
      </c>
      <c r="J8" s="5">
        <f t="shared" si="13"/>
        <v>48</v>
      </c>
      <c r="K8" s="5">
        <f t="shared" si="13"/>
        <v>54</v>
      </c>
      <c r="L8" s="5">
        <f t="shared" si="13"/>
        <v>60</v>
      </c>
      <c r="M8" s="5">
        <f t="shared" si="13"/>
        <v>66</v>
      </c>
      <c r="N8" s="5">
        <f t="shared" si="13"/>
        <v>72</v>
      </c>
      <c r="O8" s="5">
        <f t="shared" si="13"/>
        <v>78</v>
      </c>
      <c r="P8" s="5">
        <f t="shared" si="13"/>
        <v>84</v>
      </c>
      <c r="Q8" s="5">
        <f t="shared" si="13"/>
        <v>90</v>
      </c>
      <c r="R8" s="5">
        <f t="shared" si="13"/>
        <v>96</v>
      </c>
      <c r="S8" s="5">
        <f t="shared" si="13"/>
        <v>102</v>
      </c>
      <c r="T8" s="5">
        <f t="shared" si="13"/>
        <v>108</v>
      </c>
      <c r="U8" s="27">
        <f t="shared" si="13"/>
        <v>114</v>
      </c>
      <c r="V8" s="5">
        <f t="shared" si="13"/>
        <v>120</v>
      </c>
      <c r="W8" s="5">
        <f t="shared" si="13"/>
        <v>126</v>
      </c>
      <c r="X8" s="5">
        <f t="shared" si="13"/>
        <v>132</v>
      </c>
      <c r="Y8" s="5">
        <f t="shared" si="13"/>
        <v>138</v>
      </c>
      <c r="Z8" s="5">
        <f t="shared" si="13"/>
        <v>144</v>
      </c>
      <c r="AA8" s="5">
        <f t="shared" si="13"/>
        <v>150</v>
      </c>
      <c r="AC8" s="2">
        <v>6.0</v>
      </c>
      <c r="AD8" s="5">
        <f t="shared" ref="AD8:AR8" si="14">AD$1*$AC8</f>
        <v>0</v>
      </c>
      <c r="AE8" s="5">
        <f t="shared" si="14"/>
        <v>6</v>
      </c>
      <c r="AF8" s="5">
        <f t="shared" si="14"/>
        <v>12</v>
      </c>
      <c r="AG8" s="5">
        <f t="shared" si="14"/>
        <v>18</v>
      </c>
      <c r="AH8" s="5">
        <f t="shared" si="14"/>
        <v>24</v>
      </c>
      <c r="AI8" s="5">
        <f t="shared" si="14"/>
        <v>30</v>
      </c>
      <c r="AJ8" s="5">
        <f t="shared" si="14"/>
        <v>36</v>
      </c>
      <c r="AK8" s="5">
        <f t="shared" si="14"/>
        <v>42</v>
      </c>
      <c r="AL8" s="5">
        <f t="shared" si="14"/>
        <v>48</v>
      </c>
      <c r="AM8" s="5">
        <f t="shared" si="14"/>
        <v>54</v>
      </c>
      <c r="AN8" s="5">
        <f t="shared" si="14"/>
        <v>60</v>
      </c>
      <c r="AO8" s="5">
        <f t="shared" si="14"/>
        <v>66</v>
      </c>
      <c r="AP8" s="5">
        <f t="shared" si="14"/>
        <v>72</v>
      </c>
      <c r="AQ8" s="5">
        <f t="shared" si="14"/>
        <v>78</v>
      </c>
      <c r="AR8" s="5">
        <f t="shared" si="14"/>
        <v>84</v>
      </c>
    </row>
    <row r="9">
      <c r="A9" s="2">
        <v>7.0</v>
      </c>
      <c r="B9" s="5">
        <f t="shared" ref="B9:AA9" si="15">B$1*$A9</f>
        <v>0</v>
      </c>
      <c r="C9" s="5">
        <f t="shared" si="15"/>
        <v>7</v>
      </c>
      <c r="D9" s="5">
        <f t="shared" si="15"/>
        <v>14</v>
      </c>
      <c r="E9" s="5">
        <f t="shared" si="15"/>
        <v>21</v>
      </c>
      <c r="F9" s="5">
        <f t="shared" si="15"/>
        <v>28</v>
      </c>
      <c r="G9" s="5">
        <f t="shared" si="15"/>
        <v>35</v>
      </c>
      <c r="H9" s="5">
        <f t="shared" si="15"/>
        <v>42</v>
      </c>
      <c r="I9" s="5">
        <f t="shared" si="15"/>
        <v>49</v>
      </c>
      <c r="J9" s="5">
        <f t="shared" si="15"/>
        <v>56</v>
      </c>
      <c r="K9" s="5">
        <f t="shared" si="15"/>
        <v>63</v>
      </c>
      <c r="L9" s="5">
        <f t="shared" si="15"/>
        <v>70</v>
      </c>
      <c r="M9" s="5">
        <f t="shared" si="15"/>
        <v>77</v>
      </c>
      <c r="N9" s="5">
        <f t="shared" si="15"/>
        <v>84</v>
      </c>
      <c r="O9" s="5">
        <f t="shared" si="15"/>
        <v>91</v>
      </c>
      <c r="P9" s="5">
        <f t="shared" si="15"/>
        <v>98</v>
      </c>
      <c r="Q9" s="5">
        <f t="shared" si="15"/>
        <v>105</v>
      </c>
      <c r="R9" s="5">
        <f t="shared" si="15"/>
        <v>112</v>
      </c>
      <c r="S9" s="27">
        <f t="shared" si="15"/>
        <v>119</v>
      </c>
      <c r="T9" s="5">
        <f t="shared" si="15"/>
        <v>126</v>
      </c>
      <c r="U9" s="5">
        <f t="shared" si="15"/>
        <v>133</v>
      </c>
      <c r="V9" s="5">
        <f t="shared" si="15"/>
        <v>140</v>
      </c>
      <c r="W9" s="5">
        <f t="shared" si="15"/>
        <v>147</v>
      </c>
      <c r="X9" s="5">
        <f t="shared" si="15"/>
        <v>154</v>
      </c>
      <c r="Y9" s="5">
        <f t="shared" si="15"/>
        <v>161</v>
      </c>
      <c r="Z9" s="5">
        <f t="shared" si="15"/>
        <v>168</v>
      </c>
      <c r="AA9" s="5">
        <f t="shared" si="15"/>
        <v>175</v>
      </c>
      <c r="AC9" s="2">
        <v>7.0</v>
      </c>
      <c r="AD9" s="5">
        <f t="shared" ref="AD9:AR9" si="16">AD$1*$AC9</f>
        <v>0</v>
      </c>
      <c r="AE9" s="5">
        <f t="shared" si="16"/>
        <v>7</v>
      </c>
      <c r="AF9" s="5">
        <f t="shared" si="16"/>
        <v>14</v>
      </c>
      <c r="AG9" s="5">
        <f t="shared" si="16"/>
        <v>21</v>
      </c>
      <c r="AH9" s="5">
        <f t="shared" si="16"/>
        <v>28</v>
      </c>
      <c r="AI9" s="5">
        <f t="shared" si="16"/>
        <v>35</v>
      </c>
      <c r="AJ9" s="5">
        <f t="shared" si="16"/>
        <v>42</v>
      </c>
      <c r="AK9" s="5">
        <f t="shared" si="16"/>
        <v>49</v>
      </c>
      <c r="AL9" s="5">
        <f t="shared" si="16"/>
        <v>56</v>
      </c>
      <c r="AM9" s="5">
        <f t="shared" si="16"/>
        <v>63</v>
      </c>
      <c r="AN9" s="5">
        <f t="shared" si="16"/>
        <v>70</v>
      </c>
      <c r="AO9" s="5">
        <f t="shared" si="16"/>
        <v>77</v>
      </c>
      <c r="AP9" s="5">
        <f t="shared" si="16"/>
        <v>84</v>
      </c>
      <c r="AQ9" s="5">
        <f t="shared" si="16"/>
        <v>91</v>
      </c>
      <c r="AR9" s="5">
        <f t="shared" si="16"/>
        <v>98</v>
      </c>
    </row>
    <row r="10">
      <c r="A10" s="2">
        <v>8.0</v>
      </c>
      <c r="B10" s="5">
        <f t="shared" ref="B10:AA10" si="17">B$1*$A10</f>
        <v>0</v>
      </c>
      <c r="C10" s="5">
        <f t="shared" si="17"/>
        <v>8</v>
      </c>
      <c r="D10" s="5">
        <f t="shared" si="17"/>
        <v>16</v>
      </c>
      <c r="E10" s="5">
        <f t="shared" si="17"/>
        <v>24</v>
      </c>
      <c r="F10" s="5">
        <f t="shared" si="17"/>
        <v>32</v>
      </c>
      <c r="G10" s="5">
        <f t="shared" si="17"/>
        <v>40</v>
      </c>
      <c r="H10" s="5">
        <f t="shared" si="17"/>
        <v>48</v>
      </c>
      <c r="I10" s="5">
        <f t="shared" si="17"/>
        <v>56</v>
      </c>
      <c r="J10" s="5">
        <f t="shared" si="17"/>
        <v>64</v>
      </c>
      <c r="K10" s="5">
        <f t="shared" si="17"/>
        <v>72</v>
      </c>
      <c r="L10" s="5">
        <f t="shared" si="17"/>
        <v>80</v>
      </c>
      <c r="M10" s="5">
        <f t="shared" si="17"/>
        <v>88</v>
      </c>
      <c r="N10" s="5">
        <f t="shared" si="17"/>
        <v>96</v>
      </c>
      <c r="O10" s="5">
        <f t="shared" si="17"/>
        <v>104</v>
      </c>
      <c r="P10" s="24">
        <f t="shared" si="17"/>
        <v>112</v>
      </c>
      <c r="Q10" s="24">
        <f t="shared" si="17"/>
        <v>120</v>
      </c>
      <c r="R10" s="5">
        <f t="shared" si="17"/>
        <v>128</v>
      </c>
      <c r="S10" s="5">
        <f t="shared" si="17"/>
        <v>136</v>
      </c>
      <c r="T10" s="5">
        <f t="shared" si="17"/>
        <v>144</v>
      </c>
      <c r="U10" s="5">
        <f t="shared" si="17"/>
        <v>152</v>
      </c>
      <c r="V10" s="5">
        <f t="shared" si="17"/>
        <v>160</v>
      </c>
      <c r="W10" s="5">
        <f t="shared" si="17"/>
        <v>168</v>
      </c>
      <c r="X10" s="5">
        <f t="shared" si="17"/>
        <v>176</v>
      </c>
      <c r="Y10" s="5">
        <f t="shared" si="17"/>
        <v>184</v>
      </c>
      <c r="Z10" s="5">
        <f t="shared" si="17"/>
        <v>192</v>
      </c>
      <c r="AA10" s="5">
        <f t="shared" si="17"/>
        <v>200</v>
      </c>
      <c r="AC10" s="2">
        <v>8.0</v>
      </c>
      <c r="AD10" s="5">
        <f t="shared" ref="AD10:AR10" si="18">AD$1*$AC10</f>
        <v>0</v>
      </c>
      <c r="AE10" s="5">
        <f t="shared" si="18"/>
        <v>8</v>
      </c>
      <c r="AF10" s="5">
        <f t="shared" si="18"/>
        <v>16</v>
      </c>
      <c r="AG10" s="5">
        <f t="shared" si="18"/>
        <v>24</v>
      </c>
      <c r="AH10" s="5">
        <f t="shared" si="18"/>
        <v>32</v>
      </c>
      <c r="AI10" s="5">
        <f t="shared" si="18"/>
        <v>40</v>
      </c>
      <c r="AJ10" s="5">
        <f t="shared" si="18"/>
        <v>48</v>
      </c>
      <c r="AK10" s="5">
        <f t="shared" si="18"/>
        <v>56</v>
      </c>
      <c r="AL10" s="5">
        <f t="shared" si="18"/>
        <v>64</v>
      </c>
      <c r="AM10" s="5">
        <f t="shared" si="18"/>
        <v>72</v>
      </c>
      <c r="AN10" s="5">
        <f t="shared" si="18"/>
        <v>80</v>
      </c>
      <c r="AO10" s="5">
        <f t="shared" si="18"/>
        <v>88</v>
      </c>
      <c r="AP10" s="5">
        <f t="shared" si="18"/>
        <v>96</v>
      </c>
      <c r="AQ10" s="5">
        <f t="shared" si="18"/>
        <v>104</v>
      </c>
      <c r="AR10" s="5">
        <f t="shared" si="18"/>
        <v>112</v>
      </c>
    </row>
    <row r="11">
      <c r="A11" s="2">
        <v>9.0</v>
      </c>
      <c r="B11" s="5">
        <f t="shared" ref="B11:AA11" si="19">B$1*$A11</f>
        <v>0</v>
      </c>
      <c r="C11" s="5">
        <f t="shared" si="19"/>
        <v>9</v>
      </c>
      <c r="D11" s="5">
        <f t="shared" si="19"/>
        <v>18</v>
      </c>
      <c r="E11" s="5">
        <f t="shared" si="19"/>
        <v>27</v>
      </c>
      <c r="F11" s="5">
        <f t="shared" si="19"/>
        <v>36</v>
      </c>
      <c r="G11" s="5">
        <f t="shared" si="19"/>
        <v>45</v>
      </c>
      <c r="H11" s="5">
        <f t="shared" si="19"/>
        <v>54</v>
      </c>
      <c r="I11" s="5">
        <f t="shared" si="19"/>
        <v>63</v>
      </c>
      <c r="J11" s="5">
        <f t="shared" si="19"/>
        <v>72</v>
      </c>
      <c r="K11" s="5">
        <f t="shared" si="19"/>
        <v>81</v>
      </c>
      <c r="L11" s="5">
        <f t="shared" si="19"/>
        <v>90</v>
      </c>
      <c r="M11" s="5">
        <f t="shared" si="19"/>
        <v>99</v>
      </c>
      <c r="N11" s="5">
        <f t="shared" si="19"/>
        <v>108</v>
      </c>
      <c r="O11" s="5">
        <f t="shared" si="19"/>
        <v>117</v>
      </c>
      <c r="P11" s="15">
        <f t="shared" si="19"/>
        <v>126</v>
      </c>
      <c r="Q11" s="5">
        <f t="shared" si="19"/>
        <v>135</v>
      </c>
      <c r="R11" s="5">
        <f t="shared" si="19"/>
        <v>144</v>
      </c>
      <c r="S11" s="5">
        <f t="shared" si="19"/>
        <v>153</v>
      </c>
      <c r="T11" s="5">
        <f t="shared" si="19"/>
        <v>162</v>
      </c>
      <c r="U11" s="5">
        <f t="shared" si="19"/>
        <v>171</v>
      </c>
      <c r="V11" s="5">
        <f t="shared" si="19"/>
        <v>180</v>
      </c>
      <c r="W11" s="5">
        <f t="shared" si="19"/>
        <v>189</v>
      </c>
      <c r="X11" s="5">
        <f t="shared" si="19"/>
        <v>198</v>
      </c>
      <c r="Y11" s="5">
        <f t="shared" si="19"/>
        <v>207</v>
      </c>
      <c r="Z11" s="5">
        <f t="shared" si="19"/>
        <v>216</v>
      </c>
      <c r="AA11" s="5">
        <f t="shared" si="19"/>
        <v>225</v>
      </c>
      <c r="AC11" s="2">
        <v>9.0</v>
      </c>
      <c r="AD11" s="5">
        <f t="shared" ref="AD11:AR11" si="20">AD$1*$AC11</f>
        <v>0</v>
      </c>
      <c r="AE11" s="5">
        <f t="shared" si="20"/>
        <v>9</v>
      </c>
      <c r="AF11" s="5">
        <f t="shared" si="20"/>
        <v>18</v>
      </c>
      <c r="AG11" s="5">
        <f t="shared" si="20"/>
        <v>27</v>
      </c>
      <c r="AH11" s="5">
        <f t="shared" si="20"/>
        <v>36</v>
      </c>
      <c r="AI11" s="5">
        <f t="shared" si="20"/>
        <v>45</v>
      </c>
      <c r="AJ11" s="5">
        <f t="shared" si="20"/>
        <v>54</v>
      </c>
      <c r="AK11" s="5">
        <f t="shared" si="20"/>
        <v>63</v>
      </c>
      <c r="AL11" s="5">
        <f t="shared" si="20"/>
        <v>72</v>
      </c>
      <c r="AM11" s="5">
        <f t="shared" si="20"/>
        <v>81</v>
      </c>
      <c r="AN11" s="5">
        <f t="shared" si="20"/>
        <v>90</v>
      </c>
      <c r="AO11" s="5">
        <f t="shared" si="20"/>
        <v>99</v>
      </c>
      <c r="AP11" s="5">
        <f t="shared" si="20"/>
        <v>108</v>
      </c>
      <c r="AQ11" s="5">
        <f t="shared" si="20"/>
        <v>117</v>
      </c>
      <c r="AR11" s="5">
        <f t="shared" si="20"/>
        <v>126</v>
      </c>
    </row>
    <row r="12">
      <c r="A12" s="2">
        <v>10.0</v>
      </c>
      <c r="B12" s="5">
        <f t="shared" ref="B12:AA12" si="21">B$1*$A12</f>
        <v>0</v>
      </c>
      <c r="C12" s="5">
        <f t="shared" si="21"/>
        <v>10</v>
      </c>
      <c r="D12" s="5">
        <f t="shared" si="21"/>
        <v>20</v>
      </c>
      <c r="E12" s="5">
        <f t="shared" si="21"/>
        <v>30</v>
      </c>
      <c r="F12" s="5">
        <f t="shared" si="21"/>
        <v>40</v>
      </c>
      <c r="G12" s="5">
        <f t="shared" si="21"/>
        <v>50</v>
      </c>
      <c r="H12" s="5">
        <f t="shared" si="21"/>
        <v>60</v>
      </c>
      <c r="I12" s="5">
        <f t="shared" si="21"/>
        <v>70</v>
      </c>
      <c r="J12" s="5">
        <f t="shared" si="21"/>
        <v>80</v>
      </c>
      <c r="K12" s="5">
        <f t="shared" si="21"/>
        <v>90</v>
      </c>
      <c r="L12" s="5">
        <f t="shared" si="21"/>
        <v>100</v>
      </c>
      <c r="M12" s="5">
        <f t="shared" si="21"/>
        <v>110</v>
      </c>
      <c r="N12" s="27">
        <f t="shared" si="21"/>
        <v>120</v>
      </c>
      <c r="O12" s="5">
        <f t="shared" si="21"/>
        <v>130</v>
      </c>
      <c r="P12" s="5">
        <f t="shared" si="21"/>
        <v>140</v>
      </c>
      <c r="Q12" s="5">
        <f t="shared" si="21"/>
        <v>150</v>
      </c>
      <c r="R12" s="5">
        <f t="shared" si="21"/>
        <v>160</v>
      </c>
      <c r="S12" s="5">
        <f t="shared" si="21"/>
        <v>170</v>
      </c>
      <c r="T12" s="5">
        <f t="shared" si="21"/>
        <v>180</v>
      </c>
      <c r="U12" s="5">
        <f t="shared" si="21"/>
        <v>190</v>
      </c>
      <c r="V12" s="5">
        <f t="shared" si="21"/>
        <v>200</v>
      </c>
      <c r="W12" s="5">
        <f t="shared" si="21"/>
        <v>210</v>
      </c>
      <c r="X12" s="5">
        <f t="shared" si="21"/>
        <v>220</v>
      </c>
      <c r="Y12" s="5">
        <f t="shared" si="21"/>
        <v>230</v>
      </c>
      <c r="Z12" s="5">
        <f t="shared" si="21"/>
        <v>240</v>
      </c>
      <c r="AA12" s="5">
        <f t="shared" si="21"/>
        <v>250</v>
      </c>
      <c r="AC12" s="2">
        <v>10.0</v>
      </c>
      <c r="AD12" s="5">
        <f t="shared" ref="AD12:AR12" si="22">AD$1*$AC12</f>
        <v>0</v>
      </c>
      <c r="AE12" s="5">
        <f t="shared" si="22"/>
        <v>10</v>
      </c>
      <c r="AF12" s="5">
        <f t="shared" si="22"/>
        <v>20</v>
      </c>
      <c r="AG12" s="5">
        <f t="shared" si="22"/>
        <v>30</v>
      </c>
      <c r="AH12" s="5">
        <f t="shared" si="22"/>
        <v>40</v>
      </c>
      <c r="AI12" s="5">
        <f t="shared" si="22"/>
        <v>50</v>
      </c>
      <c r="AJ12" s="5">
        <f t="shared" si="22"/>
        <v>60</v>
      </c>
      <c r="AK12" s="5">
        <f t="shared" si="22"/>
        <v>70</v>
      </c>
      <c r="AL12" s="5">
        <f t="shared" si="22"/>
        <v>80</v>
      </c>
      <c r="AM12" s="5">
        <f t="shared" si="22"/>
        <v>90</v>
      </c>
      <c r="AN12" s="5">
        <f t="shared" si="22"/>
        <v>100</v>
      </c>
      <c r="AO12" s="5">
        <f t="shared" si="22"/>
        <v>110</v>
      </c>
      <c r="AP12" s="15">
        <f t="shared" si="22"/>
        <v>120</v>
      </c>
      <c r="AQ12" s="5">
        <f t="shared" si="22"/>
        <v>130</v>
      </c>
      <c r="AR12" s="5">
        <f t="shared" si="22"/>
        <v>140</v>
      </c>
    </row>
    <row r="13">
      <c r="A13" s="2">
        <v>11.0</v>
      </c>
      <c r="B13" s="5">
        <f t="shared" ref="B13:AA13" si="23">B$1*$A13</f>
        <v>0</v>
      </c>
      <c r="C13" s="5">
        <f t="shared" si="23"/>
        <v>11</v>
      </c>
      <c r="D13" s="5">
        <f t="shared" si="23"/>
        <v>22</v>
      </c>
      <c r="E13" s="5">
        <f t="shared" si="23"/>
        <v>33</v>
      </c>
      <c r="F13" s="5">
        <f t="shared" si="23"/>
        <v>44</v>
      </c>
      <c r="G13" s="5">
        <f t="shared" si="23"/>
        <v>55</v>
      </c>
      <c r="H13" s="5">
        <f t="shared" si="23"/>
        <v>66</v>
      </c>
      <c r="I13" s="5">
        <f t="shared" si="23"/>
        <v>77</v>
      </c>
      <c r="J13" s="5">
        <f t="shared" si="23"/>
        <v>88</v>
      </c>
      <c r="K13" s="5">
        <f t="shared" si="23"/>
        <v>99</v>
      </c>
      <c r="L13" s="5">
        <f t="shared" si="23"/>
        <v>110</v>
      </c>
      <c r="M13" s="27">
        <f t="shared" si="23"/>
        <v>121</v>
      </c>
      <c r="N13" s="5">
        <f t="shared" si="23"/>
        <v>132</v>
      </c>
      <c r="O13" s="5">
        <f t="shared" si="23"/>
        <v>143</v>
      </c>
      <c r="P13" s="5">
        <f t="shared" si="23"/>
        <v>154</v>
      </c>
      <c r="Q13" s="5">
        <f t="shared" si="23"/>
        <v>165</v>
      </c>
      <c r="R13" s="5">
        <f t="shared" si="23"/>
        <v>176</v>
      </c>
      <c r="S13" s="5">
        <f t="shared" si="23"/>
        <v>187</v>
      </c>
      <c r="T13" s="5">
        <f t="shared" si="23"/>
        <v>198</v>
      </c>
      <c r="U13" s="5">
        <f t="shared" si="23"/>
        <v>209</v>
      </c>
      <c r="V13" s="5">
        <f t="shared" si="23"/>
        <v>220</v>
      </c>
      <c r="W13" s="5">
        <f t="shared" si="23"/>
        <v>231</v>
      </c>
      <c r="X13" s="5">
        <f t="shared" si="23"/>
        <v>242</v>
      </c>
      <c r="Y13" s="5">
        <f t="shared" si="23"/>
        <v>253</v>
      </c>
      <c r="Z13" s="5">
        <f t="shared" si="23"/>
        <v>264</v>
      </c>
      <c r="AA13" s="5">
        <f t="shared" si="23"/>
        <v>275</v>
      </c>
      <c r="AC13" s="2">
        <v>11.0</v>
      </c>
      <c r="AD13" s="5">
        <f t="shared" ref="AD13:AR13" si="24">AD$1*$AC13</f>
        <v>0</v>
      </c>
      <c r="AE13" s="5">
        <f t="shared" si="24"/>
        <v>11</v>
      </c>
      <c r="AF13" s="5">
        <f t="shared" si="24"/>
        <v>22</v>
      </c>
      <c r="AG13" s="5">
        <f t="shared" si="24"/>
        <v>33</v>
      </c>
      <c r="AH13" s="5">
        <f t="shared" si="24"/>
        <v>44</v>
      </c>
      <c r="AI13" s="5">
        <f t="shared" si="24"/>
        <v>55</v>
      </c>
      <c r="AJ13" s="5">
        <f t="shared" si="24"/>
        <v>66</v>
      </c>
      <c r="AK13" s="5">
        <f t="shared" si="24"/>
        <v>77</v>
      </c>
      <c r="AL13" s="5">
        <f t="shared" si="24"/>
        <v>88</v>
      </c>
      <c r="AM13" s="5">
        <f t="shared" si="24"/>
        <v>99</v>
      </c>
      <c r="AN13" s="5">
        <f t="shared" si="24"/>
        <v>110</v>
      </c>
      <c r="AO13" s="15">
        <f t="shared" si="24"/>
        <v>121</v>
      </c>
      <c r="AP13" s="5">
        <f t="shared" si="24"/>
        <v>132</v>
      </c>
      <c r="AQ13" s="5">
        <f t="shared" si="24"/>
        <v>143</v>
      </c>
      <c r="AR13" s="5">
        <f t="shared" si="24"/>
        <v>154</v>
      </c>
    </row>
    <row r="14">
      <c r="A14" s="2">
        <v>12.0</v>
      </c>
      <c r="B14" s="5">
        <f t="shared" ref="B14:AA14" si="25">B$1*$A14</f>
        <v>0</v>
      </c>
      <c r="C14" s="5">
        <f t="shared" si="25"/>
        <v>12</v>
      </c>
      <c r="D14" s="5">
        <f t="shared" si="25"/>
        <v>24</v>
      </c>
      <c r="E14" s="5">
        <f t="shared" si="25"/>
        <v>36</v>
      </c>
      <c r="F14" s="5">
        <f t="shared" si="25"/>
        <v>48</v>
      </c>
      <c r="G14" s="5">
        <f t="shared" si="25"/>
        <v>60</v>
      </c>
      <c r="H14" s="5">
        <f t="shared" si="25"/>
        <v>72</v>
      </c>
      <c r="I14" s="5">
        <f t="shared" si="25"/>
        <v>84</v>
      </c>
      <c r="J14" s="5">
        <f t="shared" si="25"/>
        <v>96</v>
      </c>
      <c r="K14" s="5">
        <f t="shared" si="25"/>
        <v>108</v>
      </c>
      <c r="L14" s="27">
        <f t="shared" si="25"/>
        <v>120</v>
      </c>
      <c r="M14" s="5">
        <f t="shared" si="25"/>
        <v>132</v>
      </c>
      <c r="N14" s="5">
        <f t="shared" si="25"/>
        <v>144</v>
      </c>
      <c r="O14" s="5">
        <f t="shared" si="25"/>
        <v>156</v>
      </c>
      <c r="P14" s="5">
        <f t="shared" si="25"/>
        <v>168</v>
      </c>
      <c r="Q14" s="5">
        <f t="shared" si="25"/>
        <v>180</v>
      </c>
      <c r="R14" s="5">
        <f t="shared" si="25"/>
        <v>192</v>
      </c>
      <c r="S14" s="5">
        <f t="shared" si="25"/>
        <v>204</v>
      </c>
      <c r="T14" s="5">
        <f t="shared" si="25"/>
        <v>216</v>
      </c>
      <c r="U14" s="5">
        <f t="shared" si="25"/>
        <v>228</v>
      </c>
      <c r="V14" s="5">
        <f t="shared" si="25"/>
        <v>240</v>
      </c>
      <c r="W14" s="5">
        <f t="shared" si="25"/>
        <v>252</v>
      </c>
      <c r="X14" s="5">
        <f t="shared" si="25"/>
        <v>264</v>
      </c>
      <c r="Y14" s="5">
        <f t="shared" si="25"/>
        <v>276</v>
      </c>
      <c r="Z14" s="5">
        <f t="shared" si="25"/>
        <v>288</v>
      </c>
      <c r="AA14" s="5">
        <f t="shared" si="25"/>
        <v>300</v>
      </c>
      <c r="AC14" s="2">
        <v>12.0</v>
      </c>
      <c r="AD14" s="5">
        <f t="shared" ref="AD14:AR14" si="26">AD$1*$AC14</f>
        <v>0</v>
      </c>
      <c r="AE14" s="5">
        <f t="shared" si="26"/>
        <v>12</v>
      </c>
      <c r="AF14" s="5">
        <f t="shared" si="26"/>
        <v>24</v>
      </c>
      <c r="AG14" s="5">
        <f t="shared" si="26"/>
        <v>36</v>
      </c>
      <c r="AH14" s="5">
        <f t="shared" si="26"/>
        <v>48</v>
      </c>
      <c r="AI14" s="5">
        <f t="shared" si="26"/>
        <v>60</v>
      </c>
      <c r="AJ14" s="5">
        <f t="shared" si="26"/>
        <v>72</v>
      </c>
      <c r="AK14" s="5">
        <f t="shared" si="26"/>
        <v>84</v>
      </c>
      <c r="AL14" s="5">
        <f t="shared" si="26"/>
        <v>96</v>
      </c>
      <c r="AM14" s="5">
        <f t="shared" si="26"/>
        <v>108</v>
      </c>
      <c r="AN14" s="5">
        <f t="shared" si="26"/>
        <v>120</v>
      </c>
      <c r="AO14" s="5">
        <f t="shared" si="26"/>
        <v>132</v>
      </c>
      <c r="AP14" s="5">
        <f t="shared" si="26"/>
        <v>144</v>
      </c>
      <c r="AQ14" s="5">
        <f t="shared" si="26"/>
        <v>156</v>
      </c>
      <c r="AR14" s="5">
        <f t="shared" si="26"/>
        <v>168</v>
      </c>
    </row>
    <row r="15">
      <c r="A15" s="2">
        <v>13.0</v>
      </c>
      <c r="B15" s="5">
        <f t="shared" ref="B15:AA15" si="27">B$1*$A15</f>
        <v>0</v>
      </c>
      <c r="C15" s="5">
        <f t="shared" si="27"/>
        <v>13</v>
      </c>
      <c r="D15" s="5">
        <f t="shared" si="27"/>
        <v>26</v>
      </c>
      <c r="E15" s="5">
        <f t="shared" si="27"/>
        <v>39</v>
      </c>
      <c r="F15" s="5">
        <f t="shared" si="27"/>
        <v>52</v>
      </c>
      <c r="G15" s="5">
        <f t="shared" si="27"/>
        <v>65</v>
      </c>
      <c r="H15" s="5">
        <f t="shared" si="27"/>
        <v>78</v>
      </c>
      <c r="I15" s="5">
        <f t="shared" si="27"/>
        <v>91</v>
      </c>
      <c r="J15" s="5">
        <f t="shared" si="27"/>
        <v>104</v>
      </c>
      <c r="K15" s="5">
        <f t="shared" si="27"/>
        <v>117</v>
      </c>
      <c r="L15" s="5">
        <f t="shared" si="27"/>
        <v>130</v>
      </c>
      <c r="M15" s="5">
        <f t="shared" si="27"/>
        <v>143</v>
      </c>
      <c r="N15" s="5">
        <f t="shared" si="27"/>
        <v>156</v>
      </c>
      <c r="O15" s="5">
        <f t="shared" si="27"/>
        <v>169</v>
      </c>
      <c r="P15" s="5">
        <f t="shared" si="27"/>
        <v>182</v>
      </c>
      <c r="Q15" s="5">
        <f t="shared" si="27"/>
        <v>195</v>
      </c>
      <c r="R15" s="5">
        <f t="shared" si="27"/>
        <v>208</v>
      </c>
      <c r="S15" s="5">
        <f t="shared" si="27"/>
        <v>221</v>
      </c>
      <c r="T15" s="5">
        <f t="shared" si="27"/>
        <v>234</v>
      </c>
      <c r="U15" s="5">
        <f t="shared" si="27"/>
        <v>247</v>
      </c>
      <c r="V15" s="5">
        <f t="shared" si="27"/>
        <v>260</v>
      </c>
      <c r="W15" s="5">
        <f t="shared" si="27"/>
        <v>273</v>
      </c>
      <c r="X15" s="5">
        <f t="shared" si="27"/>
        <v>286</v>
      </c>
      <c r="Y15" s="5">
        <f t="shared" si="27"/>
        <v>299</v>
      </c>
      <c r="Z15" s="5">
        <f t="shared" si="27"/>
        <v>312</v>
      </c>
      <c r="AA15" s="5">
        <f t="shared" si="27"/>
        <v>325</v>
      </c>
      <c r="AC15" s="2">
        <v>13.0</v>
      </c>
      <c r="AD15" s="5">
        <f t="shared" ref="AD15:AR15" si="28">AD$1*$AC15</f>
        <v>0</v>
      </c>
      <c r="AE15" s="5">
        <f t="shared" si="28"/>
        <v>13</v>
      </c>
      <c r="AF15" s="5">
        <f t="shared" si="28"/>
        <v>26</v>
      </c>
      <c r="AG15" s="5">
        <f t="shared" si="28"/>
        <v>39</v>
      </c>
      <c r="AH15" s="5">
        <f t="shared" si="28"/>
        <v>52</v>
      </c>
      <c r="AI15" s="5">
        <f t="shared" si="28"/>
        <v>65</v>
      </c>
      <c r="AJ15" s="5">
        <f t="shared" si="28"/>
        <v>78</v>
      </c>
      <c r="AK15" s="5">
        <f t="shared" si="28"/>
        <v>91</v>
      </c>
      <c r="AL15" s="5">
        <f t="shared" si="28"/>
        <v>104</v>
      </c>
      <c r="AM15" s="5">
        <f t="shared" si="28"/>
        <v>117</v>
      </c>
      <c r="AN15" s="5">
        <f t="shared" si="28"/>
        <v>130</v>
      </c>
      <c r="AO15" s="5">
        <f t="shared" si="28"/>
        <v>143</v>
      </c>
      <c r="AP15" s="5">
        <f t="shared" si="28"/>
        <v>156</v>
      </c>
      <c r="AQ15" s="5">
        <f t="shared" si="28"/>
        <v>169</v>
      </c>
      <c r="AR15" s="5">
        <f t="shared" si="28"/>
        <v>182</v>
      </c>
    </row>
    <row r="16">
      <c r="A16" s="17"/>
      <c r="AC16" s="17"/>
    </row>
    <row r="17">
      <c r="A17" s="17"/>
      <c r="B17" s="2">
        <v>0.0</v>
      </c>
      <c r="C17" s="2">
        <v>1.0</v>
      </c>
      <c r="D17" s="2">
        <v>2.0</v>
      </c>
      <c r="E17" s="2">
        <v>3.0</v>
      </c>
      <c r="F17" s="2">
        <v>4.0</v>
      </c>
      <c r="G17" s="2">
        <v>5.0</v>
      </c>
      <c r="H17" s="2">
        <v>6.0</v>
      </c>
      <c r="I17" s="2">
        <v>7.0</v>
      </c>
      <c r="J17" s="2">
        <v>8.0</v>
      </c>
      <c r="K17" s="2">
        <v>9.0</v>
      </c>
      <c r="L17" s="2">
        <v>10.0</v>
      </c>
      <c r="M17" s="2">
        <v>11.0</v>
      </c>
      <c r="N17" s="2">
        <v>12.0</v>
      </c>
      <c r="O17" s="2">
        <v>13.0</v>
      </c>
      <c r="P17" s="2">
        <v>14.0</v>
      </c>
      <c r="Q17" s="2">
        <v>15.0</v>
      </c>
      <c r="R17" s="2">
        <v>16.0</v>
      </c>
      <c r="S17" s="2">
        <v>17.0</v>
      </c>
      <c r="T17" s="2">
        <v>18.0</v>
      </c>
      <c r="U17" s="2">
        <v>19.0</v>
      </c>
      <c r="V17" s="2">
        <v>20.0</v>
      </c>
      <c r="W17" s="2">
        <v>21.0</v>
      </c>
      <c r="X17" s="2">
        <v>22.0</v>
      </c>
      <c r="Y17" s="2">
        <v>23.0</v>
      </c>
      <c r="Z17" s="2">
        <v>24.0</v>
      </c>
      <c r="AA17" s="2">
        <v>25.0</v>
      </c>
      <c r="AC17" s="2"/>
      <c r="AD17" s="2">
        <v>0.0</v>
      </c>
      <c r="AE17" s="2">
        <v>1.0</v>
      </c>
      <c r="AF17" s="2">
        <v>2.0</v>
      </c>
      <c r="AG17" s="2">
        <v>3.0</v>
      </c>
      <c r="AH17" s="2">
        <v>4.0</v>
      </c>
      <c r="AI17" s="2">
        <v>5.0</v>
      </c>
      <c r="AJ17" s="2">
        <v>6.0</v>
      </c>
      <c r="AK17" s="2">
        <v>7.0</v>
      </c>
      <c r="AL17" s="2">
        <v>8.0</v>
      </c>
      <c r="AM17" s="2">
        <v>9.0</v>
      </c>
      <c r="AN17" s="2">
        <v>10.0</v>
      </c>
      <c r="AO17" s="2">
        <v>11.0</v>
      </c>
      <c r="AP17" s="2">
        <v>12.0</v>
      </c>
      <c r="AQ17" s="2">
        <v>13.0</v>
      </c>
      <c r="AR17" s="2">
        <v>14.0</v>
      </c>
    </row>
    <row r="18">
      <c r="A18" s="2">
        <v>0.0</v>
      </c>
      <c r="B18" s="5">
        <f t="shared" ref="B18:AA18" si="29">(25-B$1)*$A18 + B$1*(13-$A18)</f>
        <v>0</v>
      </c>
      <c r="C18" s="5">
        <f t="shared" si="29"/>
        <v>13</v>
      </c>
      <c r="D18" s="5">
        <f t="shared" si="29"/>
        <v>26</v>
      </c>
      <c r="E18" s="5">
        <f t="shared" si="29"/>
        <v>39</v>
      </c>
      <c r="F18" s="5">
        <f t="shared" si="29"/>
        <v>52</v>
      </c>
      <c r="G18" s="5">
        <f t="shared" si="29"/>
        <v>65</v>
      </c>
      <c r="H18" s="5">
        <f t="shared" si="29"/>
        <v>78</v>
      </c>
      <c r="I18" s="5">
        <f t="shared" si="29"/>
        <v>91</v>
      </c>
      <c r="J18" s="5">
        <f t="shared" si="29"/>
        <v>104</v>
      </c>
      <c r="K18" s="5">
        <f t="shared" si="29"/>
        <v>117</v>
      </c>
      <c r="L18" s="5">
        <f t="shared" si="29"/>
        <v>130</v>
      </c>
      <c r="M18" s="5">
        <f t="shared" si="29"/>
        <v>143</v>
      </c>
      <c r="N18" s="5">
        <f t="shared" si="29"/>
        <v>156</v>
      </c>
      <c r="O18" s="5">
        <f t="shared" si="29"/>
        <v>169</v>
      </c>
      <c r="P18" s="5">
        <f t="shared" si="29"/>
        <v>182</v>
      </c>
      <c r="Q18" s="5">
        <f t="shared" si="29"/>
        <v>195</v>
      </c>
      <c r="R18" s="5">
        <f t="shared" si="29"/>
        <v>208</v>
      </c>
      <c r="S18" s="5">
        <f t="shared" si="29"/>
        <v>221</v>
      </c>
      <c r="T18" s="5">
        <f t="shared" si="29"/>
        <v>234</v>
      </c>
      <c r="U18" s="5">
        <f t="shared" si="29"/>
        <v>247</v>
      </c>
      <c r="V18" s="5">
        <f t="shared" si="29"/>
        <v>260</v>
      </c>
      <c r="W18" s="5">
        <f t="shared" si="29"/>
        <v>273</v>
      </c>
      <c r="X18" s="5">
        <f t="shared" si="29"/>
        <v>286</v>
      </c>
      <c r="Y18" s="5">
        <f t="shared" si="29"/>
        <v>299</v>
      </c>
      <c r="Z18" s="5">
        <f t="shared" si="29"/>
        <v>312</v>
      </c>
      <c r="AA18" s="5">
        <f t="shared" si="29"/>
        <v>325</v>
      </c>
      <c r="AC18" s="2">
        <v>0.0</v>
      </c>
      <c r="AD18" s="5">
        <f t="shared" ref="AD18:AR18" si="30">(25-AD$1)*$A18 + AD$1*(13-$A18)</f>
        <v>0</v>
      </c>
      <c r="AE18" s="5">
        <f t="shared" si="30"/>
        <v>13</v>
      </c>
      <c r="AF18" s="5">
        <f t="shared" si="30"/>
        <v>26</v>
      </c>
      <c r="AG18" s="5">
        <f t="shared" si="30"/>
        <v>39</v>
      </c>
      <c r="AH18" s="5">
        <f t="shared" si="30"/>
        <v>52</v>
      </c>
      <c r="AI18" s="5">
        <f t="shared" si="30"/>
        <v>65</v>
      </c>
      <c r="AJ18" s="5">
        <f t="shared" si="30"/>
        <v>78</v>
      </c>
      <c r="AK18" s="5">
        <f t="shared" si="30"/>
        <v>91</v>
      </c>
      <c r="AL18" s="5">
        <f t="shared" si="30"/>
        <v>104</v>
      </c>
      <c r="AM18" s="5">
        <f t="shared" si="30"/>
        <v>117</v>
      </c>
      <c r="AN18" s="5">
        <f t="shared" si="30"/>
        <v>130</v>
      </c>
      <c r="AO18" s="5">
        <f t="shared" si="30"/>
        <v>143</v>
      </c>
      <c r="AP18" s="5">
        <f t="shared" si="30"/>
        <v>156</v>
      </c>
      <c r="AQ18" s="5">
        <f t="shared" si="30"/>
        <v>169</v>
      </c>
      <c r="AR18" s="5">
        <f t="shared" si="30"/>
        <v>182</v>
      </c>
    </row>
    <row r="19">
      <c r="A19" s="2">
        <v>1.0</v>
      </c>
      <c r="B19" s="5">
        <f t="shared" ref="B19:AA19" si="31">(25-B$1)*$A19 + B$1*(13-$A19)</f>
        <v>25</v>
      </c>
      <c r="C19" s="5">
        <f t="shared" si="31"/>
        <v>36</v>
      </c>
      <c r="D19" s="5">
        <f t="shared" si="31"/>
        <v>47</v>
      </c>
      <c r="E19" s="5">
        <f t="shared" si="31"/>
        <v>58</v>
      </c>
      <c r="F19" s="5">
        <f t="shared" si="31"/>
        <v>69</v>
      </c>
      <c r="G19" s="5">
        <f t="shared" si="31"/>
        <v>80</v>
      </c>
      <c r="H19" s="5">
        <f t="shared" si="31"/>
        <v>91</v>
      </c>
      <c r="I19" s="5">
        <f t="shared" si="31"/>
        <v>102</v>
      </c>
      <c r="J19" s="5">
        <f t="shared" si="31"/>
        <v>113</v>
      </c>
      <c r="K19" s="5">
        <f t="shared" si="31"/>
        <v>124</v>
      </c>
      <c r="L19" s="5">
        <f t="shared" si="31"/>
        <v>135</v>
      </c>
      <c r="M19" s="5">
        <f t="shared" si="31"/>
        <v>146</v>
      </c>
      <c r="N19" s="5">
        <f t="shared" si="31"/>
        <v>157</v>
      </c>
      <c r="O19" s="5">
        <f t="shared" si="31"/>
        <v>168</v>
      </c>
      <c r="P19" s="5">
        <f t="shared" si="31"/>
        <v>179</v>
      </c>
      <c r="Q19" s="5">
        <f t="shared" si="31"/>
        <v>190</v>
      </c>
      <c r="R19" s="5">
        <f t="shared" si="31"/>
        <v>201</v>
      </c>
      <c r="S19" s="5">
        <f t="shared" si="31"/>
        <v>212</v>
      </c>
      <c r="T19" s="5">
        <f t="shared" si="31"/>
        <v>223</v>
      </c>
      <c r="U19" s="5">
        <f t="shared" si="31"/>
        <v>234</v>
      </c>
      <c r="V19" s="5">
        <f t="shared" si="31"/>
        <v>245</v>
      </c>
      <c r="W19" s="5">
        <f t="shared" si="31"/>
        <v>256</v>
      </c>
      <c r="X19" s="5">
        <f t="shared" si="31"/>
        <v>267</v>
      </c>
      <c r="Y19" s="5">
        <f t="shared" si="31"/>
        <v>278</v>
      </c>
      <c r="Z19" s="5">
        <f t="shared" si="31"/>
        <v>289</v>
      </c>
      <c r="AA19" s="5">
        <f t="shared" si="31"/>
        <v>300</v>
      </c>
      <c r="AC19" s="2">
        <v>1.0</v>
      </c>
      <c r="AD19" s="5">
        <f t="shared" ref="AD19:AR19" si="32">(25-AD$1)*$A19 + AD$1*(13-$A19)</f>
        <v>25</v>
      </c>
      <c r="AE19" s="5">
        <f t="shared" si="32"/>
        <v>36</v>
      </c>
      <c r="AF19" s="5">
        <f t="shared" si="32"/>
        <v>47</v>
      </c>
      <c r="AG19" s="5">
        <f t="shared" si="32"/>
        <v>58</v>
      </c>
      <c r="AH19" s="5">
        <f t="shared" si="32"/>
        <v>69</v>
      </c>
      <c r="AI19" s="5">
        <f t="shared" si="32"/>
        <v>80</v>
      </c>
      <c r="AJ19" s="5">
        <f t="shared" si="32"/>
        <v>91</v>
      </c>
      <c r="AK19" s="5">
        <f t="shared" si="32"/>
        <v>102</v>
      </c>
      <c r="AL19" s="5">
        <f t="shared" si="32"/>
        <v>113</v>
      </c>
      <c r="AM19" s="5">
        <f t="shared" si="32"/>
        <v>124</v>
      </c>
      <c r="AN19" s="5">
        <f t="shared" si="32"/>
        <v>135</v>
      </c>
      <c r="AO19" s="5">
        <f t="shared" si="32"/>
        <v>146</v>
      </c>
      <c r="AP19" s="5">
        <f t="shared" si="32"/>
        <v>157</v>
      </c>
      <c r="AQ19" s="5">
        <f t="shared" si="32"/>
        <v>168</v>
      </c>
      <c r="AR19" s="5">
        <f t="shared" si="32"/>
        <v>179</v>
      </c>
    </row>
    <row r="20">
      <c r="A20" s="2">
        <v>2.0</v>
      </c>
      <c r="B20" s="5">
        <f t="shared" ref="B20:AA20" si="33">(25-B$1)*$A20 + B$1*(13-$A20)</f>
        <v>50</v>
      </c>
      <c r="C20" s="5">
        <f t="shared" si="33"/>
        <v>59</v>
      </c>
      <c r="D20" s="5">
        <f t="shared" si="33"/>
        <v>68</v>
      </c>
      <c r="E20" s="5">
        <f t="shared" si="33"/>
        <v>77</v>
      </c>
      <c r="F20" s="5">
        <f t="shared" si="33"/>
        <v>86</v>
      </c>
      <c r="G20" s="5">
        <f t="shared" si="33"/>
        <v>95</v>
      </c>
      <c r="H20" s="5">
        <f t="shared" si="33"/>
        <v>104</v>
      </c>
      <c r="I20" s="5">
        <f t="shared" si="33"/>
        <v>113</v>
      </c>
      <c r="J20" s="5">
        <f t="shared" si="33"/>
        <v>122</v>
      </c>
      <c r="K20" s="5">
        <f t="shared" si="33"/>
        <v>131</v>
      </c>
      <c r="L20" s="5">
        <f t="shared" si="33"/>
        <v>140</v>
      </c>
      <c r="M20" s="5">
        <f t="shared" si="33"/>
        <v>149</v>
      </c>
      <c r="N20" s="5">
        <f t="shared" si="33"/>
        <v>158</v>
      </c>
      <c r="O20" s="5">
        <f t="shared" si="33"/>
        <v>167</v>
      </c>
      <c r="P20" s="5">
        <f t="shared" si="33"/>
        <v>176</v>
      </c>
      <c r="Q20" s="5">
        <f t="shared" si="33"/>
        <v>185</v>
      </c>
      <c r="R20" s="5">
        <f t="shared" si="33"/>
        <v>194</v>
      </c>
      <c r="S20" s="5">
        <f t="shared" si="33"/>
        <v>203</v>
      </c>
      <c r="T20" s="5">
        <f t="shared" si="33"/>
        <v>212</v>
      </c>
      <c r="U20" s="5">
        <f t="shared" si="33"/>
        <v>221</v>
      </c>
      <c r="V20" s="5">
        <f t="shared" si="33"/>
        <v>230</v>
      </c>
      <c r="W20" s="5">
        <f t="shared" si="33"/>
        <v>239</v>
      </c>
      <c r="X20" s="5">
        <f t="shared" si="33"/>
        <v>248</v>
      </c>
      <c r="Y20" s="5">
        <f t="shared" si="33"/>
        <v>257</v>
      </c>
      <c r="Z20" s="5">
        <f t="shared" si="33"/>
        <v>266</v>
      </c>
      <c r="AA20" s="5">
        <f t="shared" si="33"/>
        <v>275</v>
      </c>
      <c r="AC20" s="2">
        <v>2.0</v>
      </c>
      <c r="AD20" s="5">
        <f t="shared" ref="AD20:AR20" si="34">(25-AD$1)*$A20 + AD$1*(13-$A20)</f>
        <v>50</v>
      </c>
      <c r="AE20" s="5">
        <f t="shared" si="34"/>
        <v>59</v>
      </c>
      <c r="AF20" s="5">
        <f t="shared" si="34"/>
        <v>68</v>
      </c>
      <c r="AG20" s="15">
        <f t="shared" si="34"/>
        <v>77</v>
      </c>
      <c r="AH20" s="5">
        <f t="shared" si="34"/>
        <v>86</v>
      </c>
      <c r="AI20" s="5">
        <f t="shared" si="34"/>
        <v>95</v>
      </c>
      <c r="AJ20" s="5">
        <f t="shared" si="34"/>
        <v>104</v>
      </c>
      <c r="AK20" s="5">
        <f t="shared" si="34"/>
        <v>113</v>
      </c>
      <c r="AL20" s="5">
        <f t="shared" si="34"/>
        <v>122</v>
      </c>
      <c r="AM20" s="5">
        <f t="shared" si="34"/>
        <v>131</v>
      </c>
      <c r="AN20" s="5">
        <f t="shared" si="34"/>
        <v>140</v>
      </c>
      <c r="AO20" s="5">
        <f t="shared" si="34"/>
        <v>149</v>
      </c>
      <c r="AP20" s="5">
        <f t="shared" si="34"/>
        <v>158</v>
      </c>
      <c r="AQ20" s="5">
        <f t="shared" si="34"/>
        <v>167</v>
      </c>
      <c r="AR20" s="5">
        <f t="shared" si="34"/>
        <v>176</v>
      </c>
    </row>
    <row r="21">
      <c r="A21" s="2">
        <v>3.0</v>
      </c>
      <c r="B21" s="5">
        <f t="shared" ref="B21:AA21" si="35">(25-B$1)*$A21 + B$1*(13-$A21)</f>
        <v>75</v>
      </c>
      <c r="C21" s="5">
        <f t="shared" si="35"/>
        <v>82</v>
      </c>
      <c r="D21" s="5">
        <f t="shared" si="35"/>
        <v>89</v>
      </c>
      <c r="E21" s="5">
        <f t="shared" si="35"/>
        <v>96</v>
      </c>
      <c r="F21" s="5">
        <f t="shared" si="35"/>
        <v>103</v>
      </c>
      <c r="G21" s="5">
        <f t="shared" si="35"/>
        <v>110</v>
      </c>
      <c r="H21" s="5">
        <f t="shared" si="35"/>
        <v>117</v>
      </c>
      <c r="I21" s="5">
        <f t="shared" si="35"/>
        <v>124</v>
      </c>
      <c r="J21" s="5">
        <f t="shared" si="35"/>
        <v>131</v>
      </c>
      <c r="K21" s="5">
        <f t="shared" si="35"/>
        <v>138</v>
      </c>
      <c r="L21" s="5">
        <f t="shared" si="35"/>
        <v>145</v>
      </c>
      <c r="M21" s="5">
        <f t="shared" si="35"/>
        <v>152</v>
      </c>
      <c r="N21" s="5">
        <f t="shared" si="35"/>
        <v>159</v>
      </c>
      <c r="O21" s="5">
        <f t="shared" si="35"/>
        <v>166</v>
      </c>
      <c r="P21" s="5">
        <f t="shared" si="35"/>
        <v>173</v>
      </c>
      <c r="Q21" s="5">
        <f t="shared" si="35"/>
        <v>180</v>
      </c>
      <c r="R21" s="5">
        <f t="shared" si="35"/>
        <v>187</v>
      </c>
      <c r="S21" s="5">
        <f t="shared" si="35"/>
        <v>194</v>
      </c>
      <c r="T21" s="5">
        <f t="shared" si="35"/>
        <v>201</v>
      </c>
      <c r="U21" s="5">
        <f t="shared" si="35"/>
        <v>208</v>
      </c>
      <c r="V21" s="5">
        <f t="shared" si="35"/>
        <v>215</v>
      </c>
      <c r="W21" s="5">
        <f t="shared" si="35"/>
        <v>222</v>
      </c>
      <c r="X21" s="5">
        <f t="shared" si="35"/>
        <v>229</v>
      </c>
      <c r="Y21" s="5">
        <f t="shared" si="35"/>
        <v>236</v>
      </c>
      <c r="Z21" s="5">
        <f t="shared" si="35"/>
        <v>243</v>
      </c>
      <c r="AA21" s="5">
        <f t="shared" si="35"/>
        <v>250</v>
      </c>
      <c r="AC21" s="2">
        <v>3.0</v>
      </c>
      <c r="AD21" s="5">
        <f t="shared" ref="AD21:AR21" si="36">(25-AD$1)*$A21 + AD$1*(13-$A21)</f>
        <v>75</v>
      </c>
      <c r="AE21" s="5">
        <f t="shared" si="36"/>
        <v>82</v>
      </c>
      <c r="AF21" s="15">
        <f t="shared" si="36"/>
        <v>89</v>
      </c>
      <c r="AG21" s="5">
        <f t="shared" si="36"/>
        <v>96</v>
      </c>
      <c r="AH21" s="5">
        <f t="shared" si="36"/>
        <v>103</v>
      </c>
      <c r="AI21" s="5">
        <f t="shared" si="36"/>
        <v>110</v>
      </c>
      <c r="AJ21" s="5">
        <f t="shared" si="36"/>
        <v>117</v>
      </c>
      <c r="AK21" s="5">
        <f t="shared" si="36"/>
        <v>124</v>
      </c>
      <c r="AL21" s="5">
        <f t="shared" si="36"/>
        <v>131</v>
      </c>
      <c r="AM21" s="5">
        <f t="shared" si="36"/>
        <v>138</v>
      </c>
      <c r="AN21" s="5">
        <f t="shared" si="36"/>
        <v>145</v>
      </c>
      <c r="AO21" s="5">
        <f t="shared" si="36"/>
        <v>152</v>
      </c>
      <c r="AP21" s="5">
        <f t="shared" si="36"/>
        <v>159</v>
      </c>
      <c r="AQ21" s="5">
        <f t="shared" si="36"/>
        <v>166</v>
      </c>
      <c r="AR21" s="5">
        <f t="shared" si="36"/>
        <v>173</v>
      </c>
    </row>
    <row r="22">
      <c r="A22" s="2">
        <v>4.0</v>
      </c>
      <c r="B22" s="5">
        <f t="shared" ref="B22:AA22" si="37">(25-B$1)*$A22 + B$1*(13-$A22)</f>
        <v>100</v>
      </c>
      <c r="C22" s="5">
        <f t="shared" si="37"/>
        <v>105</v>
      </c>
      <c r="D22" s="5">
        <f t="shared" si="37"/>
        <v>110</v>
      </c>
      <c r="E22" s="5">
        <f t="shared" si="37"/>
        <v>115</v>
      </c>
      <c r="F22" s="5">
        <f t="shared" si="37"/>
        <v>120</v>
      </c>
      <c r="G22" s="5">
        <f t="shared" si="37"/>
        <v>125</v>
      </c>
      <c r="H22" s="5">
        <f t="shared" si="37"/>
        <v>130</v>
      </c>
      <c r="I22" s="5">
        <f t="shared" si="37"/>
        <v>135</v>
      </c>
      <c r="J22" s="5">
        <f t="shared" si="37"/>
        <v>140</v>
      </c>
      <c r="K22" s="5">
        <f t="shared" si="37"/>
        <v>145</v>
      </c>
      <c r="L22" s="5">
        <f t="shared" si="37"/>
        <v>150</v>
      </c>
      <c r="M22" s="15">
        <f t="shared" si="37"/>
        <v>155</v>
      </c>
      <c r="N22" s="5">
        <f t="shared" si="37"/>
        <v>160</v>
      </c>
      <c r="O22" s="5">
        <f t="shared" si="37"/>
        <v>165</v>
      </c>
      <c r="P22" s="5">
        <f t="shared" si="37"/>
        <v>170</v>
      </c>
      <c r="Q22" s="5">
        <f t="shared" si="37"/>
        <v>175</v>
      </c>
      <c r="R22" s="5">
        <f t="shared" si="37"/>
        <v>180</v>
      </c>
      <c r="S22" s="5">
        <f t="shared" si="37"/>
        <v>185</v>
      </c>
      <c r="T22" s="5">
        <f t="shared" si="37"/>
        <v>190</v>
      </c>
      <c r="U22" s="5">
        <f t="shared" si="37"/>
        <v>195</v>
      </c>
      <c r="V22" s="5">
        <f t="shared" si="37"/>
        <v>200</v>
      </c>
      <c r="W22" s="5">
        <f t="shared" si="37"/>
        <v>205</v>
      </c>
      <c r="X22" s="5">
        <f t="shared" si="37"/>
        <v>210</v>
      </c>
      <c r="Y22" s="5">
        <f t="shared" si="37"/>
        <v>215</v>
      </c>
      <c r="Z22" s="5">
        <f t="shared" si="37"/>
        <v>220</v>
      </c>
      <c r="AA22" s="5">
        <f t="shared" si="37"/>
        <v>225</v>
      </c>
      <c r="AC22" s="2">
        <v>4.0</v>
      </c>
      <c r="AD22" s="5">
        <f t="shared" ref="AD22:AR22" si="38">(25-AD$1)*$A22 + AD$1*(13-$A22)</f>
        <v>100</v>
      </c>
      <c r="AE22" s="5">
        <f t="shared" si="38"/>
        <v>105</v>
      </c>
      <c r="AF22" s="5">
        <f t="shared" si="38"/>
        <v>110</v>
      </c>
      <c r="AG22" s="5">
        <f t="shared" si="38"/>
        <v>115</v>
      </c>
      <c r="AH22" s="5">
        <f t="shared" si="38"/>
        <v>120</v>
      </c>
      <c r="AI22" s="5">
        <f t="shared" si="38"/>
        <v>125</v>
      </c>
      <c r="AJ22" s="5">
        <f t="shared" si="38"/>
        <v>130</v>
      </c>
      <c r="AK22" s="5">
        <f t="shared" si="38"/>
        <v>135</v>
      </c>
      <c r="AL22" s="5">
        <f t="shared" si="38"/>
        <v>140</v>
      </c>
      <c r="AM22" s="5">
        <f t="shared" si="38"/>
        <v>145</v>
      </c>
      <c r="AN22" s="5">
        <f t="shared" si="38"/>
        <v>150</v>
      </c>
      <c r="AO22" s="5">
        <f t="shared" si="38"/>
        <v>155</v>
      </c>
      <c r="AP22" s="5">
        <f t="shared" si="38"/>
        <v>160</v>
      </c>
      <c r="AQ22" s="5">
        <f t="shared" si="38"/>
        <v>165</v>
      </c>
      <c r="AR22" s="5">
        <f t="shared" si="38"/>
        <v>170</v>
      </c>
    </row>
    <row r="23">
      <c r="A23" s="2">
        <v>5.0</v>
      </c>
      <c r="B23" s="5">
        <f t="shared" ref="B23:AA23" si="39">(25-B$1)*$A23 + B$1*(13-$A23)</f>
        <v>125</v>
      </c>
      <c r="C23" s="5">
        <f t="shared" si="39"/>
        <v>128</v>
      </c>
      <c r="D23" s="5">
        <f t="shared" si="39"/>
        <v>131</v>
      </c>
      <c r="E23" s="5">
        <f t="shared" si="39"/>
        <v>134</v>
      </c>
      <c r="F23" s="5">
        <f t="shared" si="39"/>
        <v>137</v>
      </c>
      <c r="G23" s="5">
        <f t="shared" si="39"/>
        <v>140</v>
      </c>
      <c r="H23" s="5">
        <f t="shared" si="39"/>
        <v>143</v>
      </c>
      <c r="I23" s="5">
        <f t="shared" si="39"/>
        <v>146</v>
      </c>
      <c r="J23" s="5">
        <f t="shared" si="39"/>
        <v>149</v>
      </c>
      <c r="K23" s="5">
        <f t="shared" si="39"/>
        <v>152</v>
      </c>
      <c r="L23" s="24">
        <f t="shared" si="39"/>
        <v>155</v>
      </c>
      <c r="M23" s="24">
        <f t="shared" si="39"/>
        <v>158</v>
      </c>
      <c r="N23" s="5">
        <f t="shared" si="39"/>
        <v>161</v>
      </c>
      <c r="O23" s="5">
        <f t="shared" si="39"/>
        <v>164</v>
      </c>
      <c r="P23" s="5">
        <f t="shared" si="39"/>
        <v>167</v>
      </c>
      <c r="Q23" s="5">
        <f t="shared" si="39"/>
        <v>170</v>
      </c>
      <c r="R23" s="5">
        <f t="shared" si="39"/>
        <v>173</v>
      </c>
      <c r="S23" s="5">
        <f t="shared" si="39"/>
        <v>176</v>
      </c>
      <c r="T23" s="5">
        <f t="shared" si="39"/>
        <v>179</v>
      </c>
      <c r="U23" s="5">
        <f t="shared" si="39"/>
        <v>182</v>
      </c>
      <c r="V23" s="5">
        <f t="shared" si="39"/>
        <v>185</v>
      </c>
      <c r="W23" s="5">
        <f t="shared" si="39"/>
        <v>188</v>
      </c>
      <c r="X23" s="5">
        <f t="shared" si="39"/>
        <v>191</v>
      </c>
      <c r="Y23" s="5">
        <f t="shared" si="39"/>
        <v>194</v>
      </c>
      <c r="Z23" s="5">
        <f t="shared" si="39"/>
        <v>197</v>
      </c>
      <c r="AA23" s="5">
        <f t="shared" si="39"/>
        <v>200</v>
      </c>
      <c r="AC23" s="2">
        <v>5.0</v>
      </c>
      <c r="AD23" s="5">
        <f t="shared" ref="AD23:AR23" si="40">(25-AD$1)*$A23 + AD$1*(13-$A23)</f>
        <v>125</v>
      </c>
      <c r="AE23" s="5">
        <f t="shared" si="40"/>
        <v>128</v>
      </c>
      <c r="AF23" s="5">
        <f t="shared" si="40"/>
        <v>131</v>
      </c>
      <c r="AG23" s="5">
        <f t="shared" si="40"/>
        <v>134</v>
      </c>
      <c r="AH23" s="5">
        <f t="shared" si="40"/>
        <v>137</v>
      </c>
      <c r="AI23" s="5">
        <f t="shared" si="40"/>
        <v>140</v>
      </c>
      <c r="AJ23" s="5">
        <f t="shared" si="40"/>
        <v>143</v>
      </c>
      <c r="AK23" s="5">
        <f t="shared" si="40"/>
        <v>146</v>
      </c>
      <c r="AL23" s="5">
        <f t="shared" si="40"/>
        <v>149</v>
      </c>
      <c r="AM23" s="5">
        <f t="shared" si="40"/>
        <v>152</v>
      </c>
      <c r="AN23" s="5">
        <f t="shared" si="40"/>
        <v>155</v>
      </c>
      <c r="AO23" s="5">
        <f t="shared" si="40"/>
        <v>158</v>
      </c>
      <c r="AP23" s="5">
        <f t="shared" si="40"/>
        <v>161</v>
      </c>
      <c r="AQ23" s="5">
        <f t="shared" si="40"/>
        <v>164</v>
      </c>
      <c r="AR23" s="5">
        <f t="shared" si="40"/>
        <v>167</v>
      </c>
    </row>
    <row r="24">
      <c r="A24" s="2">
        <v>6.0</v>
      </c>
      <c r="B24" s="5">
        <f t="shared" ref="B24:AA24" si="41">(25-B$1)*$A24 + B$1*(13-$A24)</f>
        <v>150</v>
      </c>
      <c r="C24" s="5">
        <f t="shared" si="41"/>
        <v>151</v>
      </c>
      <c r="D24" s="5">
        <f t="shared" si="41"/>
        <v>152</v>
      </c>
      <c r="E24" s="5">
        <f t="shared" si="41"/>
        <v>153</v>
      </c>
      <c r="F24" s="5">
        <f t="shared" si="41"/>
        <v>154</v>
      </c>
      <c r="G24" s="5">
        <f t="shared" si="41"/>
        <v>155</v>
      </c>
      <c r="H24" s="5">
        <f t="shared" si="41"/>
        <v>156</v>
      </c>
      <c r="I24" s="5">
        <f t="shared" si="41"/>
        <v>157</v>
      </c>
      <c r="J24" s="5">
        <f t="shared" si="41"/>
        <v>158</v>
      </c>
      <c r="K24" s="5">
        <f t="shared" si="41"/>
        <v>159</v>
      </c>
      <c r="L24" s="5">
        <f t="shared" si="41"/>
        <v>160</v>
      </c>
      <c r="M24" s="5">
        <f t="shared" si="41"/>
        <v>161</v>
      </c>
      <c r="N24" s="5">
        <f t="shared" si="41"/>
        <v>162</v>
      </c>
      <c r="O24" s="5">
        <f t="shared" si="41"/>
        <v>163</v>
      </c>
      <c r="P24" s="5">
        <f t="shared" si="41"/>
        <v>164</v>
      </c>
      <c r="Q24" s="5">
        <f t="shared" si="41"/>
        <v>165</v>
      </c>
      <c r="R24" s="5">
        <f t="shared" si="41"/>
        <v>166</v>
      </c>
      <c r="S24" s="5">
        <f t="shared" si="41"/>
        <v>167</v>
      </c>
      <c r="T24" s="5">
        <f t="shared" si="41"/>
        <v>168</v>
      </c>
      <c r="U24" s="27">
        <f t="shared" si="41"/>
        <v>169</v>
      </c>
      <c r="V24" s="5">
        <f t="shared" si="41"/>
        <v>170</v>
      </c>
      <c r="W24" s="5">
        <f t="shared" si="41"/>
        <v>171</v>
      </c>
      <c r="X24" s="5">
        <f t="shared" si="41"/>
        <v>172</v>
      </c>
      <c r="Y24" s="5">
        <f t="shared" si="41"/>
        <v>173</v>
      </c>
      <c r="Z24" s="5">
        <f t="shared" si="41"/>
        <v>174</v>
      </c>
      <c r="AA24" s="5">
        <f t="shared" si="41"/>
        <v>175</v>
      </c>
      <c r="AC24" s="2">
        <v>6.0</v>
      </c>
      <c r="AD24" s="5">
        <f t="shared" ref="AD24:AR24" si="42">(25-AD$1)*$A24 + AD$1*(13-$A24)</f>
        <v>150</v>
      </c>
      <c r="AE24" s="5">
        <f t="shared" si="42"/>
        <v>151</v>
      </c>
      <c r="AF24" s="5">
        <f t="shared" si="42"/>
        <v>152</v>
      </c>
      <c r="AG24" s="5">
        <f t="shared" si="42"/>
        <v>153</v>
      </c>
      <c r="AH24" s="5">
        <f t="shared" si="42"/>
        <v>154</v>
      </c>
      <c r="AI24" s="5">
        <f t="shared" si="42"/>
        <v>155</v>
      </c>
      <c r="AJ24" s="5">
        <f t="shared" si="42"/>
        <v>156</v>
      </c>
      <c r="AK24" s="5">
        <f t="shared" si="42"/>
        <v>157</v>
      </c>
      <c r="AL24" s="5">
        <f t="shared" si="42"/>
        <v>158</v>
      </c>
      <c r="AM24" s="5">
        <f t="shared" si="42"/>
        <v>159</v>
      </c>
      <c r="AN24" s="5">
        <f t="shared" si="42"/>
        <v>160</v>
      </c>
      <c r="AO24" s="5">
        <f t="shared" si="42"/>
        <v>161</v>
      </c>
      <c r="AP24" s="5">
        <f t="shared" si="42"/>
        <v>162</v>
      </c>
      <c r="AQ24" s="5">
        <f t="shared" si="42"/>
        <v>163</v>
      </c>
      <c r="AR24" s="5">
        <f t="shared" si="42"/>
        <v>164</v>
      </c>
    </row>
    <row r="25">
      <c r="A25" s="2">
        <v>7.0</v>
      </c>
      <c r="B25" s="5">
        <f t="shared" ref="B25:AA25" si="43">(25-B$1)*$A25 + B$1*(13-$A25)</f>
        <v>175</v>
      </c>
      <c r="C25" s="5">
        <f t="shared" si="43"/>
        <v>174</v>
      </c>
      <c r="D25" s="5">
        <f t="shared" si="43"/>
        <v>173</v>
      </c>
      <c r="E25" s="5">
        <f t="shared" si="43"/>
        <v>172</v>
      </c>
      <c r="F25" s="5">
        <f t="shared" si="43"/>
        <v>171</v>
      </c>
      <c r="G25" s="5">
        <f t="shared" si="43"/>
        <v>170</v>
      </c>
      <c r="H25" s="5">
        <f t="shared" si="43"/>
        <v>169</v>
      </c>
      <c r="I25" s="5">
        <f t="shared" si="43"/>
        <v>168</v>
      </c>
      <c r="J25" s="5">
        <f t="shared" si="43"/>
        <v>167</v>
      </c>
      <c r="K25" s="5">
        <f t="shared" si="43"/>
        <v>166</v>
      </c>
      <c r="L25" s="5">
        <f t="shared" si="43"/>
        <v>165</v>
      </c>
      <c r="M25" s="5">
        <f t="shared" si="43"/>
        <v>164</v>
      </c>
      <c r="N25" s="5">
        <f t="shared" si="43"/>
        <v>163</v>
      </c>
      <c r="O25" s="5">
        <f t="shared" si="43"/>
        <v>162</v>
      </c>
      <c r="P25" s="5">
        <f t="shared" si="43"/>
        <v>161</v>
      </c>
      <c r="Q25" s="5">
        <f t="shared" si="43"/>
        <v>160</v>
      </c>
      <c r="R25" s="5">
        <f t="shared" si="43"/>
        <v>159</v>
      </c>
      <c r="S25" s="27">
        <f t="shared" si="43"/>
        <v>158</v>
      </c>
      <c r="T25" s="5">
        <f t="shared" si="43"/>
        <v>157</v>
      </c>
      <c r="U25" s="5">
        <f t="shared" si="43"/>
        <v>156</v>
      </c>
      <c r="V25" s="5">
        <f t="shared" si="43"/>
        <v>155</v>
      </c>
      <c r="W25" s="5">
        <f t="shared" si="43"/>
        <v>154</v>
      </c>
      <c r="X25" s="5">
        <f t="shared" si="43"/>
        <v>153</v>
      </c>
      <c r="Y25" s="5">
        <f t="shared" si="43"/>
        <v>152</v>
      </c>
      <c r="Z25" s="5">
        <f t="shared" si="43"/>
        <v>151</v>
      </c>
      <c r="AA25" s="5">
        <f t="shared" si="43"/>
        <v>150</v>
      </c>
      <c r="AC25" s="2">
        <v>7.0</v>
      </c>
      <c r="AD25" s="5">
        <f t="shared" ref="AD25:AR25" si="44">(25-AD$1)*$A25 + AD$1*(13-$A25)</f>
        <v>175</v>
      </c>
      <c r="AE25" s="5">
        <f t="shared" si="44"/>
        <v>174</v>
      </c>
      <c r="AF25" s="5">
        <f t="shared" si="44"/>
        <v>173</v>
      </c>
      <c r="AG25" s="5">
        <f t="shared" si="44"/>
        <v>172</v>
      </c>
      <c r="AH25" s="5">
        <f t="shared" si="44"/>
        <v>171</v>
      </c>
      <c r="AI25" s="5">
        <f t="shared" si="44"/>
        <v>170</v>
      </c>
      <c r="AJ25" s="5">
        <f t="shared" si="44"/>
        <v>169</v>
      </c>
      <c r="AK25" s="5">
        <f t="shared" si="44"/>
        <v>168</v>
      </c>
      <c r="AL25" s="5">
        <f t="shared" si="44"/>
        <v>167</v>
      </c>
      <c r="AM25" s="5">
        <f t="shared" si="44"/>
        <v>166</v>
      </c>
      <c r="AN25" s="5">
        <f t="shared" si="44"/>
        <v>165</v>
      </c>
      <c r="AO25" s="5">
        <f t="shared" si="44"/>
        <v>164</v>
      </c>
      <c r="AP25" s="5">
        <f t="shared" si="44"/>
        <v>163</v>
      </c>
      <c r="AQ25" s="5">
        <f t="shared" si="44"/>
        <v>162</v>
      </c>
      <c r="AR25" s="5">
        <f t="shared" si="44"/>
        <v>161</v>
      </c>
    </row>
    <row r="26">
      <c r="A26" s="2">
        <v>8.0</v>
      </c>
      <c r="B26" s="5">
        <f t="shared" ref="B26:AA26" si="45">(25-B$1)*$A26 + B$1*(13-$A26)</f>
        <v>200</v>
      </c>
      <c r="C26" s="5">
        <f t="shared" si="45"/>
        <v>197</v>
      </c>
      <c r="D26" s="5">
        <f t="shared" si="45"/>
        <v>194</v>
      </c>
      <c r="E26" s="5">
        <f t="shared" si="45"/>
        <v>191</v>
      </c>
      <c r="F26" s="5">
        <f t="shared" si="45"/>
        <v>188</v>
      </c>
      <c r="G26" s="5">
        <f t="shared" si="45"/>
        <v>185</v>
      </c>
      <c r="H26" s="5">
        <f t="shared" si="45"/>
        <v>182</v>
      </c>
      <c r="I26" s="5">
        <f t="shared" si="45"/>
        <v>179</v>
      </c>
      <c r="J26" s="5">
        <f t="shared" si="45"/>
        <v>176</v>
      </c>
      <c r="K26" s="5">
        <f t="shared" si="45"/>
        <v>173</v>
      </c>
      <c r="L26" s="5">
        <f t="shared" si="45"/>
        <v>170</v>
      </c>
      <c r="M26" s="5">
        <f t="shared" si="45"/>
        <v>167</v>
      </c>
      <c r="N26" s="5">
        <f t="shared" si="45"/>
        <v>164</v>
      </c>
      <c r="O26" s="5">
        <f t="shared" si="45"/>
        <v>161</v>
      </c>
      <c r="P26" s="24">
        <f t="shared" si="45"/>
        <v>158</v>
      </c>
      <c r="Q26" s="24">
        <f t="shared" si="45"/>
        <v>155</v>
      </c>
      <c r="R26" s="5">
        <f t="shared" si="45"/>
        <v>152</v>
      </c>
      <c r="S26" s="5">
        <f t="shared" si="45"/>
        <v>149</v>
      </c>
      <c r="T26" s="5">
        <f t="shared" si="45"/>
        <v>146</v>
      </c>
      <c r="U26" s="5">
        <f t="shared" si="45"/>
        <v>143</v>
      </c>
      <c r="V26" s="5">
        <f t="shared" si="45"/>
        <v>140</v>
      </c>
      <c r="W26" s="5">
        <f t="shared" si="45"/>
        <v>137</v>
      </c>
      <c r="X26" s="5">
        <f t="shared" si="45"/>
        <v>134</v>
      </c>
      <c r="Y26" s="5">
        <f t="shared" si="45"/>
        <v>131</v>
      </c>
      <c r="Z26" s="5">
        <f t="shared" si="45"/>
        <v>128</v>
      </c>
      <c r="AA26" s="5">
        <f t="shared" si="45"/>
        <v>125</v>
      </c>
      <c r="AC26" s="2">
        <v>8.0</v>
      </c>
      <c r="AD26" s="5">
        <f t="shared" ref="AD26:AR26" si="46">(25-AD$1)*$A26 + AD$1*(13-$A26)</f>
        <v>200</v>
      </c>
      <c r="AE26" s="5">
        <f t="shared" si="46"/>
        <v>197</v>
      </c>
      <c r="AF26" s="5">
        <f t="shared" si="46"/>
        <v>194</v>
      </c>
      <c r="AG26" s="5">
        <f t="shared" si="46"/>
        <v>191</v>
      </c>
      <c r="AH26" s="5">
        <f t="shared" si="46"/>
        <v>188</v>
      </c>
      <c r="AI26" s="5">
        <f t="shared" si="46"/>
        <v>185</v>
      </c>
      <c r="AJ26" s="5">
        <f t="shared" si="46"/>
        <v>182</v>
      </c>
      <c r="AK26" s="5">
        <f t="shared" si="46"/>
        <v>179</v>
      </c>
      <c r="AL26" s="5">
        <f t="shared" si="46"/>
        <v>176</v>
      </c>
      <c r="AM26" s="5">
        <f t="shared" si="46"/>
        <v>173</v>
      </c>
      <c r="AN26" s="5">
        <f t="shared" si="46"/>
        <v>170</v>
      </c>
      <c r="AO26" s="5">
        <f t="shared" si="46"/>
        <v>167</v>
      </c>
      <c r="AP26" s="5">
        <f t="shared" si="46"/>
        <v>164</v>
      </c>
      <c r="AQ26" s="5">
        <f t="shared" si="46"/>
        <v>161</v>
      </c>
      <c r="AR26" s="5">
        <f t="shared" si="46"/>
        <v>158</v>
      </c>
    </row>
    <row r="27">
      <c r="A27" s="2">
        <v>9.0</v>
      </c>
      <c r="B27" s="5">
        <f t="shared" ref="B27:AA27" si="47">(25-B$1)*$A27 + B$1*(13-$A27)</f>
        <v>225</v>
      </c>
      <c r="C27" s="5">
        <f t="shared" si="47"/>
        <v>220</v>
      </c>
      <c r="D27" s="5">
        <f t="shared" si="47"/>
        <v>215</v>
      </c>
      <c r="E27" s="5">
        <f t="shared" si="47"/>
        <v>210</v>
      </c>
      <c r="F27" s="5">
        <f t="shared" si="47"/>
        <v>205</v>
      </c>
      <c r="G27" s="5">
        <f t="shared" si="47"/>
        <v>200</v>
      </c>
      <c r="H27" s="5">
        <f t="shared" si="47"/>
        <v>195</v>
      </c>
      <c r="I27" s="5">
        <f t="shared" si="47"/>
        <v>190</v>
      </c>
      <c r="J27" s="5">
        <f t="shared" si="47"/>
        <v>185</v>
      </c>
      <c r="K27" s="5">
        <f t="shared" si="47"/>
        <v>180</v>
      </c>
      <c r="L27" s="5">
        <f t="shared" si="47"/>
        <v>175</v>
      </c>
      <c r="M27" s="5">
        <f t="shared" si="47"/>
        <v>170</v>
      </c>
      <c r="N27" s="5">
        <f t="shared" si="47"/>
        <v>165</v>
      </c>
      <c r="O27" s="5">
        <f t="shared" si="47"/>
        <v>160</v>
      </c>
      <c r="P27" s="15">
        <f t="shared" si="47"/>
        <v>155</v>
      </c>
      <c r="Q27" s="5">
        <f t="shared" si="47"/>
        <v>150</v>
      </c>
      <c r="R27" s="5">
        <f t="shared" si="47"/>
        <v>145</v>
      </c>
      <c r="S27" s="5">
        <f t="shared" si="47"/>
        <v>140</v>
      </c>
      <c r="T27" s="5">
        <f t="shared" si="47"/>
        <v>135</v>
      </c>
      <c r="U27" s="5">
        <f t="shared" si="47"/>
        <v>130</v>
      </c>
      <c r="V27" s="5">
        <f t="shared" si="47"/>
        <v>125</v>
      </c>
      <c r="W27" s="5">
        <f t="shared" si="47"/>
        <v>120</v>
      </c>
      <c r="X27" s="5">
        <f t="shared" si="47"/>
        <v>115</v>
      </c>
      <c r="Y27" s="5">
        <f t="shared" si="47"/>
        <v>110</v>
      </c>
      <c r="Z27" s="5">
        <f t="shared" si="47"/>
        <v>105</v>
      </c>
      <c r="AA27" s="5">
        <f t="shared" si="47"/>
        <v>100</v>
      </c>
      <c r="AC27" s="2">
        <v>9.0</v>
      </c>
      <c r="AD27" s="5">
        <f t="shared" ref="AD27:AR27" si="48">(25-AD$1)*$A27 + AD$1*(13-$A27)</f>
        <v>225</v>
      </c>
      <c r="AE27" s="5">
        <f t="shared" si="48"/>
        <v>220</v>
      </c>
      <c r="AF27" s="5">
        <f t="shared" si="48"/>
        <v>215</v>
      </c>
      <c r="AG27" s="5">
        <f t="shared" si="48"/>
        <v>210</v>
      </c>
      <c r="AH27" s="5">
        <f t="shared" si="48"/>
        <v>205</v>
      </c>
      <c r="AI27" s="5">
        <f t="shared" si="48"/>
        <v>200</v>
      </c>
      <c r="AJ27" s="5">
        <f t="shared" si="48"/>
        <v>195</v>
      </c>
      <c r="AK27" s="5">
        <f t="shared" si="48"/>
        <v>190</v>
      </c>
      <c r="AL27" s="5">
        <f t="shared" si="48"/>
        <v>185</v>
      </c>
      <c r="AM27" s="5">
        <f t="shared" si="48"/>
        <v>180</v>
      </c>
      <c r="AN27" s="5">
        <f t="shared" si="48"/>
        <v>175</v>
      </c>
      <c r="AO27" s="5">
        <f t="shared" si="48"/>
        <v>170</v>
      </c>
      <c r="AP27" s="5">
        <f t="shared" si="48"/>
        <v>165</v>
      </c>
      <c r="AQ27" s="5">
        <f t="shared" si="48"/>
        <v>160</v>
      </c>
      <c r="AR27" s="5">
        <f t="shared" si="48"/>
        <v>155</v>
      </c>
    </row>
    <row r="28">
      <c r="A28" s="2">
        <v>10.0</v>
      </c>
      <c r="B28" s="5">
        <f t="shared" ref="B28:AA28" si="49">(25-B$1)*$A28 + B$1*(13-$A28)</f>
        <v>250</v>
      </c>
      <c r="C28" s="5">
        <f t="shared" si="49"/>
        <v>243</v>
      </c>
      <c r="D28" s="5">
        <f t="shared" si="49"/>
        <v>236</v>
      </c>
      <c r="E28" s="5">
        <f t="shared" si="49"/>
        <v>229</v>
      </c>
      <c r="F28" s="5">
        <f t="shared" si="49"/>
        <v>222</v>
      </c>
      <c r="G28" s="5">
        <f t="shared" si="49"/>
        <v>215</v>
      </c>
      <c r="H28" s="5">
        <f t="shared" si="49"/>
        <v>208</v>
      </c>
      <c r="I28" s="5">
        <f t="shared" si="49"/>
        <v>201</v>
      </c>
      <c r="J28" s="5">
        <f t="shared" si="49"/>
        <v>194</v>
      </c>
      <c r="K28" s="5">
        <f t="shared" si="49"/>
        <v>187</v>
      </c>
      <c r="L28" s="5">
        <f t="shared" si="49"/>
        <v>180</v>
      </c>
      <c r="M28" s="5">
        <f t="shared" si="49"/>
        <v>173</v>
      </c>
      <c r="N28" s="27">
        <f t="shared" si="49"/>
        <v>166</v>
      </c>
      <c r="O28" s="5">
        <f t="shared" si="49"/>
        <v>159</v>
      </c>
      <c r="P28" s="5">
        <f t="shared" si="49"/>
        <v>152</v>
      </c>
      <c r="Q28" s="5">
        <f t="shared" si="49"/>
        <v>145</v>
      </c>
      <c r="R28" s="5">
        <f t="shared" si="49"/>
        <v>138</v>
      </c>
      <c r="S28" s="5">
        <f t="shared" si="49"/>
        <v>131</v>
      </c>
      <c r="T28" s="5">
        <f t="shared" si="49"/>
        <v>124</v>
      </c>
      <c r="U28" s="5">
        <f t="shared" si="49"/>
        <v>117</v>
      </c>
      <c r="V28" s="5">
        <f t="shared" si="49"/>
        <v>110</v>
      </c>
      <c r="W28" s="5">
        <f t="shared" si="49"/>
        <v>103</v>
      </c>
      <c r="X28" s="5">
        <f t="shared" si="49"/>
        <v>96</v>
      </c>
      <c r="Y28" s="5">
        <f t="shared" si="49"/>
        <v>89</v>
      </c>
      <c r="Z28" s="5">
        <f t="shared" si="49"/>
        <v>82</v>
      </c>
      <c r="AA28" s="5">
        <f t="shared" si="49"/>
        <v>75</v>
      </c>
      <c r="AC28" s="2">
        <v>10.0</v>
      </c>
      <c r="AD28" s="5">
        <f t="shared" ref="AD28:AR28" si="50">(25-AD$1)*$A28 + AD$1*(13-$A28)</f>
        <v>250</v>
      </c>
      <c r="AE28" s="5">
        <f t="shared" si="50"/>
        <v>243</v>
      </c>
      <c r="AF28" s="5">
        <f t="shared" si="50"/>
        <v>236</v>
      </c>
      <c r="AG28" s="5">
        <f t="shared" si="50"/>
        <v>229</v>
      </c>
      <c r="AH28" s="5">
        <f t="shared" si="50"/>
        <v>222</v>
      </c>
      <c r="AI28" s="5">
        <f t="shared" si="50"/>
        <v>215</v>
      </c>
      <c r="AJ28" s="5">
        <f t="shared" si="50"/>
        <v>208</v>
      </c>
      <c r="AK28" s="5">
        <f t="shared" si="50"/>
        <v>201</v>
      </c>
      <c r="AL28" s="5">
        <f t="shared" si="50"/>
        <v>194</v>
      </c>
      <c r="AM28" s="5">
        <f t="shared" si="50"/>
        <v>187</v>
      </c>
      <c r="AN28" s="5">
        <f t="shared" si="50"/>
        <v>180</v>
      </c>
      <c r="AO28" s="5">
        <f t="shared" si="50"/>
        <v>173</v>
      </c>
      <c r="AP28" s="15">
        <f t="shared" si="50"/>
        <v>166</v>
      </c>
      <c r="AQ28" s="5">
        <f t="shared" si="50"/>
        <v>159</v>
      </c>
      <c r="AR28" s="5">
        <f t="shared" si="50"/>
        <v>152</v>
      </c>
    </row>
    <row r="29">
      <c r="A29" s="2">
        <v>11.0</v>
      </c>
      <c r="B29" s="5">
        <f t="shared" ref="B29:AA29" si="51">(25-B$1)*$A29 + B$1*(13-$A29)</f>
        <v>275</v>
      </c>
      <c r="C29" s="5">
        <f t="shared" si="51"/>
        <v>266</v>
      </c>
      <c r="D29" s="5">
        <f t="shared" si="51"/>
        <v>257</v>
      </c>
      <c r="E29" s="5">
        <f t="shared" si="51"/>
        <v>248</v>
      </c>
      <c r="F29" s="5">
        <f t="shared" si="51"/>
        <v>239</v>
      </c>
      <c r="G29" s="5">
        <f t="shared" si="51"/>
        <v>230</v>
      </c>
      <c r="H29" s="5">
        <f t="shared" si="51"/>
        <v>221</v>
      </c>
      <c r="I29" s="5">
        <f t="shared" si="51"/>
        <v>212</v>
      </c>
      <c r="J29" s="5">
        <f t="shared" si="51"/>
        <v>203</v>
      </c>
      <c r="K29" s="5">
        <f t="shared" si="51"/>
        <v>194</v>
      </c>
      <c r="L29" s="5">
        <f t="shared" si="51"/>
        <v>185</v>
      </c>
      <c r="M29" s="27">
        <f t="shared" si="51"/>
        <v>176</v>
      </c>
      <c r="N29" s="5">
        <f t="shared" si="51"/>
        <v>167</v>
      </c>
      <c r="O29" s="5">
        <f t="shared" si="51"/>
        <v>158</v>
      </c>
      <c r="P29" s="5">
        <f t="shared" si="51"/>
        <v>149</v>
      </c>
      <c r="Q29" s="5">
        <f t="shared" si="51"/>
        <v>140</v>
      </c>
      <c r="R29" s="5">
        <f t="shared" si="51"/>
        <v>131</v>
      </c>
      <c r="S29" s="5">
        <f t="shared" si="51"/>
        <v>122</v>
      </c>
      <c r="T29" s="5">
        <f t="shared" si="51"/>
        <v>113</v>
      </c>
      <c r="U29" s="5">
        <f t="shared" si="51"/>
        <v>104</v>
      </c>
      <c r="V29" s="5">
        <f t="shared" si="51"/>
        <v>95</v>
      </c>
      <c r="W29" s="5">
        <f t="shared" si="51"/>
        <v>86</v>
      </c>
      <c r="X29" s="5">
        <f t="shared" si="51"/>
        <v>77</v>
      </c>
      <c r="Y29" s="5">
        <f t="shared" si="51"/>
        <v>68</v>
      </c>
      <c r="Z29" s="5">
        <f t="shared" si="51"/>
        <v>59</v>
      </c>
      <c r="AA29" s="5">
        <f t="shared" si="51"/>
        <v>50</v>
      </c>
      <c r="AC29" s="2">
        <v>11.0</v>
      </c>
      <c r="AD29" s="5">
        <f t="shared" ref="AD29:AR29" si="52">(25-AD$1)*$A29 + AD$1*(13-$A29)</f>
        <v>275</v>
      </c>
      <c r="AE29" s="5">
        <f t="shared" si="52"/>
        <v>266</v>
      </c>
      <c r="AF29" s="5">
        <f t="shared" si="52"/>
        <v>257</v>
      </c>
      <c r="AG29" s="5">
        <f t="shared" si="52"/>
        <v>248</v>
      </c>
      <c r="AH29" s="5">
        <f t="shared" si="52"/>
        <v>239</v>
      </c>
      <c r="AI29" s="5">
        <f t="shared" si="52"/>
        <v>230</v>
      </c>
      <c r="AJ29" s="5">
        <f t="shared" si="52"/>
        <v>221</v>
      </c>
      <c r="AK29" s="5">
        <f t="shared" si="52"/>
        <v>212</v>
      </c>
      <c r="AL29" s="5">
        <f t="shared" si="52"/>
        <v>203</v>
      </c>
      <c r="AM29" s="5">
        <f t="shared" si="52"/>
        <v>194</v>
      </c>
      <c r="AN29" s="5">
        <f t="shared" si="52"/>
        <v>185</v>
      </c>
      <c r="AO29" s="15">
        <f t="shared" si="52"/>
        <v>176</v>
      </c>
      <c r="AP29" s="5">
        <f t="shared" si="52"/>
        <v>167</v>
      </c>
      <c r="AQ29" s="5">
        <f t="shared" si="52"/>
        <v>158</v>
      </c>
      <c r="AR29" s="5">
        <f t="shared" si="52"/>
        <v>149</v>
      </c>
    </row>
    <row r="30">
      <c r="A30" s="2">
        <v>12.0</v>
      </c>
      <c r="B30" s="5">
        <f t="shared" ref="B30:AA30" si="53">(25-B$1)*$A30 + B$1*(13-$A30)</f>
        <v>300</v>
      </c>
      <c r="C30" s="5">
        <f t="shared" si="53"/>
        <v>289</v>
      </c>
      <c r="D30" s="5">
        <f t="shared" si="53"/>
        <v>278</v>
      </c>
      <c r="E30" s="5">
        <f t="shared" si="53"/>
        <v>267</v>
      </c>
      <c r="F30" s="5">
        <f t="shared" si="53"/>
        <v>256</v>
      </c>
      <c r="G30" s="5">
        <f t="shared" si="53"/>
        <v>245</v>
      </c>
      <c r="H30" s="5">
        <f t="shared" si="53"/>
        <v>234</v>
      </c>
      <c r="I30" s="5">
        <f t="shared" si="53"/>
        <v>223</v>
      </c>
      <c r="J30" s="5">
        <f t="shared" si="53"/>
        <v>212</v>
      </c>
      <c r="K30" s="5">
        <f t="shared" si="53"/>
        <v>201</v>
      </c>
      <c r="L30" s="27">
        <f t="shared" si="53"/>
        <v>190</v>
      </c>
      <c r="M30" s="5">
        <f t="shared" si="53"/>
        <v>179</v>
      </c>
      <c r="N30" s="5">
        <f t="shared" si="53"/>
        <v>168</v>
      </c>
      <c r="O30" s="5">
        <f t="shared" si="53"/>
        <v>157</v>
      </c>
      <c r="P30" s="5">
        <f t="shared" si="53"/>
        <v>146</v>
      </c>
      <c r="Q30" s="5">
        <f t="shared" si="53"/>
        <v>135</v>
      </c>
      <c r="R30" s="5">
        <f t="shared" si="53"/>
        <v>124</v>
      </c>
      <c r="S30" s="5">
        <f t="shared" si="53"/>
        <v>113</v>
      </c>
      <c r="T30" s="5">
        <f t="shared" si="53"/>
        <v>102</v>
      </c>
      <c r="U30" s="5">
        <f t="shared" si="53"/>
        <v>91</v>
      </c>
      <c r="V30" s="5">
        <f t="shared" si="53"/>
        <v>80</v>
      </c>
      <c r="W30" s="5">
        <f t="shared" si="53"/>
        <v>69</v>
      </c>
      <c r="X30" s="5">
        <f t="shared" si="53"/>
        <v>58</v>
      </c>
      <c r="Y30" s="5">
        <f t="shared" si="53"/>
        <v>47</v>
      </c>
      <c r="Z30" s="5">
        <f t="shared" si="53"/>
        <v>36</v>
      </c>
      <c r="AA30" s="5">
        <f t="shared" si="53"/>
        <v>25</v>
      </c>
      <c r="AC30" s="2">
        <v>12.0</v>
      </c>
      <c r="AD30" s="5">
        <f t="shared" ref="AD30:AR30" si="54">(25-AD$1)*$A30 + AD$1*(13-$A30)</f>
        <v>300</v>
      </c>
      <c r="AE30" s="5">
        <f t="shared" si="54"/>
        <v>289</v>
      </c>
      <c r="AF30" s="5">
        <f t="shared" si="54"/>
        <v>278</v>
      </c>
      <c r="AG30" s="5">
        <f t="shared" si="54"/>
        <v>267</v>
      </c>
      <c r="AH30" s="5">
        <f t="shared" si="54"/>
        <v>256</v>
      </c>
      <c r="AI30" s="5">
        <f t="shared" si="54"/>
        <v>245</v>
      </c>
      <c r="AJ30" s="5">
        <f t="shared" si="54"/>
        <v>234</v>
      </c>
      <c r="AK30" s="5">
        <f t="shared" si="54"/>
        <v>223</v>
      </c>
      <c r="AL30" s="5">
        <f t="shared" si="54"/>
        <v>212</v>
      </c>
      <c r="AM30" s="5">
        <f t="shared" si="54"/>
        <v>201</v>
      </c>
      <c r="AN30" s="5">
        <f t="shared" si="54"/>
        <v>190</v>
      </c>
      <c r="AO30" s="5">
        <f t="shared" si="54"/>
        <v>179</v>
      </c>
      <c r="AP30" s="5">
        <f t="shared" si="54"/>
        <v>168</v>
      </c>
      <c r="AQ30" s="5">
        <f t="shared" si="54"/>
        <v>157</v>
      </c>
      <c r="AR30" s="5">
        <f t="shared" si="54"/>
        <v>146</v>
      </c>
    </row>
    <row r="31">
      <c r="A31" s="2">
        <v>13.0</v>
      </c>
      <c r="B31" s="5">
        <f t="shared" ref="B31:AA31" si="55">(25-B$1)*$A31 + B$1*(13-$A31)</f>
        <v>325</v>
      </c>
      <c r="C31" s="5">
        <f t="shared" si="55"/>
        <v>312</v>
      </c>
      <c r="D31" s="5">
        <f t="shared" si="55"/>
        <v>299</v>
      </c>
      <c r="E31" s="5">
        <f t="shared" si="55"/>
        <v>286</v>
      </c>
      <c r="F31" s="5">
        <f t="shared" si="55"/>
        <v>273</v>
      </c>
      <c r="G31" s="5">
        <f t="shared" si="55"/>
        <v>260</v>
      </c>
      <c r="H31" s="5">
        <f t="shared" si="55"/>
        <v>247</v>
      </c>
      <c r="I31" s="5">
        <f t="shared" si="55"/>
        <v>234</v>
      </c>
      <c r="J31" s="5">
        <f t="shared" si="55"/>
        <v>221</v>
      </c>
      <c r="K31" s="5">
        <f t="shared" si="55"/>
        <v>208</v>
      </c>
      <c r="L31" s="5">
        <f t="shared" si="55"/>
        <v>195</v>
      </c>
      <c r="M31" s="5">
        <f t="shared" si="55"/>
        <v>182</v>
      </c>
      <c r="N31" s="5">
        <f t="shared" si="55"/>
        <v>169</v>
      </c>
      <c r="O31" s="5">
        <f t="shared" si="55"/>
        <v>156</v>
      </c>
      <c r="P31" s="5">
        <f t="shared" si="55"/>
        <v>143</v>
      </c>
      <c r="Q31" s="5">
        <f t="shared" si="55"/>
        <v>130</v>
      </c>
      <c r="R31" s="5">
        <f t="shared" si="55"/>
        <v>117</v>
      </c>
      <c r="S31" s="5">
        <f t="shared" si="55"/>
        <v>104</v>
      </c>
      <c r="T31" s="5">
        <f t="shared" si="55"/>
        <v>91</v>
      </c>
      <c r="U31" s="5">
        <f t="shared" si="55"/>
        <v>78</v>
      </c>
      <c r="V31" s="5">
        <f t="shared" si="55"/>
        <v>65</v>
      </c>
      <c r="W31" s="5">
        <f t="shared" si="55"/>
        <v>52</v>
      </c>
      <c r="X31" s="5">
        <f t="shared" si="55"/>
        <v>39</v>
      </c>
      <c r="Y31" s="5">
        <f t="shared" si="55"/>
        <v>26</v>
      </c>
      <c r="Z31" s="5">
        <f t="shared" si="55"/>
        <v>13</v>
      </c>
      <c r="AA31" s="5">
        <f t="shared" si="55"/>
        <v>0</v>
      </c>
      <c r="AC31" s="2">
        <v>13.0</v>
      </c>
      <c r="AD31" s="5">
        <f t="shared" ref="AD31:AR31" si="56">(25-AD$1)*$A31 + AD$1*(13-$A31)</f>
        <v>325</v>
      </c>
      <c r="AE31" s="5">
        <f t="shared" si="56"/>
        <v>312</v>
      </c>
      <c r="AF31" s="5">
        <f t="shared" si="56"/>
        <v>299</v>
      </c>
      <c r="AG31" s="5">
        <f t="shared" si="56"/>
        <v>286</v>
      </c>
      <c r="AH31" s="5">
        <f t="shared" si="56"/>
        <v>273</v>
      </c>
      <c r="AI31" s="5">
        <f t="shared" si="56"/>
        <v>260</v>
      </c>
      <c r="AJ31" s="5">
        <f t="shared" si="56"/>
        <v>247</v>
      </c>
      <c r="AK31" s="5">
        <f t="shared" si="56"/>
        <v>234</v>
      </c>
      <c r="AL31" s="5">
        <f t="shared" si="56"/>
        <v>221</v>
      </c>
      <c r="AM31" s="5">
        <f t="shared" si="56"/>
        <v>208</v>
      </c>
      <c r="AN31" s="5">
        <f t="shared" si="56"/>
        <v>195</v>
      </c>
      <c r="AO31" s="5">
        <f t="shared" si="56"/>
        <v>182</v>
      </c>
      <c r="AP31" s="5">
        <f t="shared" si="56"/>
        <v>169</v>
      </c>
      <c r="AQ31" s="5">
        <f t="shared" si="56"/>
        <v>156</v>
      </c>
      <c r="AR31" s="5">
        <f t="shared" si="56"/>
        <v>143</v>
      </c>
    </row>
    <row r="32">
      <c r="A32" s="17"/>
      <c r="AC32" s="17"/>
    </row>
    <row r="33">
      <c r="A33" s="17"/>
      <c r="AC33" s="17"/>
    </row>
    <row r="34">
      <c r="A34" s="17"/>
      <c r="P34" s="5">
        <f>126/155</f>
        <v>0.8129032258</v>
      </c>
      <c r="AC34" s="17"/>
    </row>
    <row r="35">
      <c r="A35" s="17"/>
      <c r="P35" s="5">
        <f>155/126</f>
        <v>1.23015873</v>
      </c>
      <c r="AC35" s="17"/>
    </row>
    <row r="36">
      <c r="A36" s="17"/>
      <c r="AC36" s="17"/>
    </row>
    <row r="37">
      <c r="A37" s="17"/>
      <c r="AC37" s="17"/>
    </row>
    <row r="38">
      <c r="A38" s="17"/>
      <c r="AC38" s="17"/>
    </row>
    <row r="39">
      <c r="A39" s="17"/>
      <c r="AC39" s="17"/>
    </row>
    <row r="40">
      <c r="A40" s="17"/>
      <c r="AC40" s="17"/>
    </row>
    <row r="41">
      <c r="A41" s="17"/>
      <c r="AC41" s="17"/>
    </row>
    <row r="42">
      <c r="A42" s="17"/>
      <c r="AC42" s="17"/>
    </row>
    <row r="43">
      <c r="A43" s="17"/>
      <c r="AC43" s="17"/>
    </row>
    <row r="44">
      <c r="A44" s="17"/>
      <c r="AC44" s="17"/>
    </row>
    <row r="45">
      <c r="A45" s="17"/>
      <c r="AC45" s="17"/>
    </row>
    <row r="46">
      <c r="A46" s="17"/>
      <c r="AC46" s="17"/>
    </row>
    <row r="47">
      <c r="A47" s="17"/>
      <c r="AC47" s="17"/>
    </row>
    <row r="48">
      <c r="A48" s="17"/>
      <c r="AC48" s="17"/>
    </row>
    <row r="49">
      <c r="A49" s="17"/>
      <c r="AC49" s="17"/>
    </row>
    <row r="50">
      <c r="A50" s="17"/>
      <c r="AC50" s="17"/>
    </row>
    <row r="51">
      <c r="A51" s="17"/>
      <c r="AC51" s="17"/>
    </row>
    <row r="52">
      <c r="A52" s="17"/>
      <c r="AC52" s="17"/>
    </row>
    <row r="53">
      <c r="A53" s="17"/>
      <c r="AC53" s="17"/>
    </row>
    <row r="54">
      <c r="A54" s="17"/>
      <c r="AC54" s="17"/>
    </row>
    <row r="55">
      <c r="A55" s="17"/>
      <c r="AC55" s="17"/>
    </row>
    <row r="56">
      <c r="A56" s="17"/>
      <c r="AC56" s="17"/>
    </row>
    <row r="57">
      <c r="A57" s="17"/>
      <c r="AC57" s="17"/>
    </row>
    <row r="58">
      <c r="A58" s="17"/>
      <c r="AC58" s="17"/>
    </row>
    <row r="59">
      <c r="A59" s="17"/>
      <c r="AC59" s="17"/>
    </row>
    <row r="60">
      <c r="A60" s="17"/>
      <c r="AC60" s="17"/>
    </row>
    <row r="61">
      <c r="A61" s="17"/>
      <c r="AC61" s="17"/>
    </row>
    <row r="62">
      <c r="A62" s="17"/>
      <c r="AC62" s="17"/>
    </row>
    <row r="63">
      <c r="A63" s="17"/>
      <c r="AC63" s="17"/>
    </row>
    <row r="64">
      <c r="A64" s="17"/>
      <c r="AC64" s="17"/>
    </row>
    <row r="65">
      <c r="A65" s="17"/>
      <c r="AC65" s="17"/>
    </row>
    <row r="66">
      <c r="A66" s="17"/>
      <c r="AC66" s="17"/>
    </row>
    <row r="67">
      <c r="A67" s="17"/>
      <c r="AC67" s="17"/>
    </row>
    <row r="68">
      <c r="A68" s="17"/>
      <c r="AC68" s="17"/>
    </row>
    <row r="69">
      <c r="A69" s="17"/>
      <c r="AC69" s="17"/>
    </row>
    <row r="70">
      <c r="A70" s="17"/>
      <c r="AC70" s="17"/>
    </row>
    <row r="71">
      <c r="A71" s="17"/>
      <c r="AC71" s="17"/>
    </row>
    <row r="72">
      <c r="A72" s="17"/>
      <c r="AC72" s="17"/>
    </row>
    <row r="73">
      <c r="A73" s="17"/>
      <c r="AC73" s="17"/>
    </row>
    <row r="74">
      <c r="A74" s="17"/>
      <c r="AC74" s="17"/>
    </row>
    <row r="75">
      <c r="A75" s="17"/>
      <c r="AC75" s="17"/>
    </row>
    <row r="76">
      <c r="A76" s="17"/>
      <c r="AC76" s="17"/>
    </row>
    <row r="77">
      <c r="A77" s="17"/>
      <c r="AC77" s="17"/>
    </row>
    <row r="78">
      <c r="A78" s="17"/>
      <c r="AC78" s="17"/>
    </row>
    <row r="79">
      <c r="A79" s="17"/>
      <c r="AC79" s="17"/>
    </row>
    <row r="80">
      <c r="A80" s="17"/>
      <c r="AC80" s="17"/>
    </row>
    <row r="81">
      <c r="A81" s="17"/>
      <c r="AC81" s="17"/>
    </row>
    <row r="82">
      <c r="A82" s="17"/>
      <c r="AC82" s="17"/>
    </row>
    <row r="83">
      <c r="A83" s="17"/>
      <c r="AC83" s="17"/>
    </row>
    <row r="84">
      <c r="A84" s="17"/>
      <c r="AC84" s="17"/>
    </row>
    <row r="85">
      <c r="A85" s="17"/>
      <c r="AC85" s="17"/>
    </row>
    <row r="86">
      <c r="A86" s="17"/>
      <c r="AC86" s="17"/>
    </row>
    <row r="87">
      <c r="A87" s="17"/>
      <c r="AC87" s="17"/>
    </row>
    <row r="88">
      <c r="A88" s="17"/>
      <c r="AC88" s="17"/>
    </row>
    <row r="89">
      <c r="A89" s="17"/>
      <c r="AC89" s="17"/>
    </row>
    <row r="90">
      <c r="A90" s="17"/>
      <c r="AC90" s="17"/>
    </row>
    <row r="91">
      <c r="A91" s="17"/>
      <c r="AC91" s="17"/>
    </row>
    <row r="92">
      <c r="A92" s="17"/>
      <c r="AC92" s="17"/>
    </row>
    <row r="93">
      <c r="A93" s="17"/>
      <c r="AC93" s="17"/>
    </row>
    <row r="94">
      <c r="A94" s="17"/>
      <c r="AC94" s="17"/>
    </row>
    <row r="95">
      <c r="A95" s="17"/>
      <c r="AC95" s="17"/>
    </row>
    <row r="96">
      <c r="A96" s="17"/>
      <c r="AC96" s="17"/>
    </row>
    <row r="97">
      <c r="A97" s="17"/>
      <c r="AC97" s="17"/>
    </row>
    <row r="98">
      <c r="A98" s="17"/>
      <c r="AC98" s="17"/>
    </row>
    <row r="99">
      <c r="A99" s="17"/>
      <c r="AC99" s="17"/>
    </row>
    <row r="100">
      <c r="A100" s="17"/>
      <c r="AC100" s="17"/>
    </row>
    <row r="101">
      <c r="A101" s="17"/>
      <c r="AC101" s="17"/>
    </row>
    <row r="102">
      <c r="A102" s="17"/>
      <c r="AC102" s="17"/>
    </row>
    <row r="103">
      <c r="A103" s="17"/>
      <c r="AC103" s="17"/>
    </row>
    <row r="104">
      <c r="A104" s="17"/>
      <c r="AC104" s="17"/>
    </row>
    <row r="105">
      <c r="A105" s="17"/>
      <c r="AC105" s="17"/>
    </row>
    <row r="106">
      <c r="A106" s="17"/>
      <c r="AC106" s="17"/>
    </row>
    <row r="107">
      <c r="A107" s="17"/>
      <c r="AC107" s="17"/>
    </row>
    <row r="108">
      <c r="A108" s="17"/>
      <c r="AC108" s="17"/>
    </row>
    <row r="109">
      <c r="A109" s="17"/>
      <c r="AC109" s="17"/>
    </row>
    <row r="110">
      <c r="A110" s="17"/>
      <c r="AC110" s="17"/>
    </row>
    <row r="111">
      <c r="A111" s="17"/>
      <c r="AC111" s="17"/>
    </row>
    <row r="112">
      <c r="A112" s="17"/>
      <c r="AC112" s="17"/>
    </row>
    <row r="113">
      <c r="A113" s="17"/>
      <c r="AC113" s="17"/>
    </row>
    <row r="114">
      <c r="A114" s="17"/>
      <c r="AC114" s="17"/>
    </row>
    <row r="115">
      <c r="A115" s="17"/>
      <c r="AC115" s="17"/>
    </row>
    <row r="116">
      <c r="A116" s="17"/>
      <c r="AC116" s="17"/>
    </row>
    <row r="117">
      <c r="A117" s="17"/>
      <c r="AC117" s="17"/>
    </row>
    <row r="118">
      <c r="A118" s="17"/>
      <c r="AC118" s="17"/>
    </row>
    <row r="119">
      <c r="A119" s="17"/>
      <c r="AC119" s="17"/>
    </row>
    <row r="120">
      <c r="A120" s="17"/>
      <c r="AC120" s="17"/>
    </row>
    <row r="121">
      <c r="A121" s="17"/>
      <c r="AC121" s="17"/>
    </row>
    <row r="122">
      <c r="A122" s="17"/>
      <c r="AC122" s="17"/>
    </row>
    <row r="123">
      <c r="A123" s="17"/>
      <c r="AC123" s="17"/>
    </row>
    <row r="124">
      <c r="A124" s="17"/>
      <c r="AC124" s="17"/>
    </row>
    <row r="125">
      <c r="A125" s="17"/>
      <c r="AC125" s="17"/>
    </row>
    <row r="126">
      <c r="A126" s="17"/>
      <c r="AC126" s="17"/>
    </row>
    <row r="127">
      <c r="A127" s="17"/>
      <c r="AC127" s="17"/>
    </row>
    <row r="128">
      <c r="A128" s="17"/>
      <c r="AC128" s="17"/>
    </row>
    <row r="129">
      <c r="A129" s="17"/>
      <c r="AC129" s="17"/>
    </row>
    <row r="130">
      <c r="A130" s="17"/>
      <c r="AC130" s="17"/>
    </row>
    <row r="131">
      <c r="A131" s="17"/>
      <c r="AC131" s="17"/>
    </row>
    <row r="132">
      <c r="A132" s="17"/>
      <c r="AC132" s="17"/>
    </row>
    <row r="133">
      <c r="A133" s="17"/>
      <c r="AC133" s="17"/>
    </row>
    <row r="134">
      <c r="A134" s="17"/>
      <c r="AC134" s="17"/>
    </row>
    <row r="135">
      <c r="A135" s="17"/>
      <c r="AC135" s="17"/>
    </row>
    <row r="136">
      <c r="A136" s="17"/>
      <c r="AC136" s="17"/>
    </row>
    <row r="137">
      <c r="A137" s="17"/>
      <c r="AC137" s="17"/>
    </row>
    <row r="138">
      <c r="A138" s="17"/>
      <c r="AC138" s="17"/>
    </row>
    <row r="139">
      <c r="A139" s="17"/>
      <c r="AC139" s="17"/>
    </row>
    <row r="140">
      <c r="A140" s="17"/>
      <c r="AC140" s="17"/>
    </row>
    <row r="141">
      <c r="A141" s="17"/>
      <c r="AC141" s="17"/>
    </row>
    <row r="142">
      <c r="A142" s="17"/>
      <c r="AC142" s="17"/>
    </row>
    <row r="143">
      <c r="A143" s="17"/>
      <c r="AC143" s="17"/>
    </row>
    <row r="144">
      <c r="A144" s="17"/>
      <c r="AC144" s="17"/>
    </row>
    <row r="145">
      <c r="A145" s="17"/>
      <c r="AC145" s="17"/>
    </row>
    <row r="146">
      <c r="A146" s="17"/>
      <c r="AC146" s="17"/>
    </row>
    <row r="147">
      <c r="A147" s="17"/>
      <c r="AC147" s="17"/>
    </row>
    <row r="148">
      <c r="A148" s="17"/>
      <c r="AC148" s="17"/>
    </row>
    <row r="149">
      <c r="A149" s="17"/>
      <c r="AC149" s="17"/>
    </row>
    <row r="150">
      <c r="A150" s="17"/>
      <c r="AC150" s="17"/>
    </row>
    <row r="151">
      <c r="A151" s="17"/>
      <c r="AC151" s="17"/>
    </row>
    <row r="152">
      <c r="A152" s="17"/>
      <c r="AC152" s="17"/>
    </row>
    <row r="153">
      <c r="A153" s="17"/>
      <c r="AC153" s="17"/>
    </row>
    <row r="154">
      <c r="A154" s="17"/>
      <c r="AC154" s="17"/>
    </row>
    <row r="155">
      <c r="A155" s="17"/>
      <c r="AC155" s="17"/>
    </row>
    <row r="156">
      <c r="A156" s="17"/>
      <c r="AC156" s="17"/>
    </row>
    <row r="157">
      <c r="A157" s="17"/>
      <c r="AC157" s="17"/>
    </row>
    <row r="158">
      <c r="A158" s="17"/>
      <c r="AC158" s="17"/>
    </row>
    <row r="159">
      <c r="A159" s="17"/>
      <c r="AC159" s="17"/>
    </row>
    <row r="160">
      <c r="A160" s="17"/>
      <c r="AC160" s="17"/>
    </row>
    <row r="161">
      <c r="A161" s="17"/>
      <c r="AC161" s="17"/>
    </row>
    <row r="162">
      <c r="A162" s="17"/>
      <c r="AC162" s="17"/>
    </row>
    <row r="163">
      <c r="A163" s="17"/>
      <c r="AC163" s="17"/>
    </row>
    <row r="164">
      <c r="A164" s="17"/>
      <c r="AC164" s="17"/>
    </row>
    <row r="165">
      <c r="A165" s="17"/>
      <c r="AC165" s="17"/>
    </row>
    <row r="166">
      <c r="A166" s="17"/>
      <c r="AC166" s="17"/>
    </row>
    <row r="167">
      <c r="A167" s="17"/>
      <c r="AC167" s="17"/>
    </row>
    <row r="168">
      <c r="A168" s="17"/>
      <c r="AC168" s="17"/>
    </row>
    <row r="169">
      <c r="A169" s="17"/>
      <c r="AC169" s="17"/>
    </row>
    <row r="170">
      <c r="A170" s="17"/>
      <c r="AC170" s="17"/>
    </row>
    <row r="171">
      <c r="A171" s="17"/>
      <c r="AC171" s="17"/>
    </row>
    <row r="172">
      <c r="A172" s="17"/>
      <c r="AC172" s="17"/>
    </row>
    <row r="173">
      <c r="A173" s="17"/>
      <c r="AC173" s="17"/>
    </row>
    <row r="174">
      <c r="A174" s="17"/>
      <c r="AC174" s="17"/>
    </row>
    <row r="175">
      <c r="A175" s="17"/>
      <c r="AC175" s="17"/>
    </row>
    <row r="176">
      <c r="A176" s="17"/>
      <c r="AC176" s="17"/>
    </row>
    <row r="177">
      <c r="A177" s="17"/>
      <c r="AC177" s="17"/>
    </row>
    <row r="178">
      <c r="A178" s="17"/>
      <c r="AC178" s="17"/>
    </row>
    <row r="179">
      <c r="A179" s="17"/>
      <c r="AC179" s="17"/>
    </row>
    <row r="180">
      <c r="A180" s="17"/>
      <c r="AC180" s="17"/>
    </row>
    <row r="181">
      <c r="A181" s="17"/>
      <c r="AC181" s="17"/>
    </row>
    <row r="182">
      <c r="A182" s="17"/>
      <c r="AC182" s="17"/>
    </row>
    <row r="183">
      <c r="A183" s="17"/>
      <c r="AC183" s="17"/>
    </row>
    <row r="184">
      <c r="A184" s="17"/>
      <c r="AC184" s="17"/>
    </row>
    <row r="185">
      <c r="A185" s="17"/>
      <c r="AC185" s="17"/>
    </row>
    <row r="186">
      <c r="A186" s="17"/>
      <c r="AC186" s="17"/>
    </row>
    <row r="187">
      <c r="A187" s="17"/>
      <c r="AC187" s="17"/>
    </row>
    <row r="188">
      <c r="A188" s="17"/>
      <c r="AC188" s="17"/>
    </row>
    <row r="189">
      <c r="A189" s="17"/>
      <c r="AC189" s="17"/>
    </row>
    <row r="190">
      <c r="A190" s="17"/>
      <c r="AC190" s="17"/>
    </row>
    <row r="191">
      <c r="A191" s="17"/>
      <c r="AC191" s="17"/>
    </row>
    <row r="192">
      <c r="A192" s="17"/>
      <c r="AC192" s="17"/>
    </row>
    <row r="193">
      <c r="A193" s="17"/>
      <c r="AC193" s="17"/>
    </row>
    <row r="194">
      <c r="A194" s="17"/>
      <c r="AC194" s="17"/>
    </row>
    <row r="195">
      <c r="A195" s="17"/>
      <c r="AC195" s="17"/>
    </row>
    <row r="196">
      <c r="A196" s="17"/>
      <c r="AC196" s="17"/>
    </row>
    <row r="197">
      <c r="A197" s="17"/>
      <c r="AC197" s="17"/>
    </row>
    <row r="198">
      <c r="A198" s="17"/>
      <c r="AC198" s="17"/>
    </row>
    <row r="199">
      <c r="A199" s="17"/>
      <c r="AC199" s="17"/>
    </row>
    <row r="200">
      <c r="A200" s="17"/>
      <c r="AC200" s="17"/>
    </row>
    <row r="201">
      <c r="A201" s="17"/>
      <c r="AC201" s="17"/>
    </row>
    <row r="202">
      <c r="A202" s="17"/>
      <c r="AC202" s="17"/>
    </row>
    <row r="203">
      <c r="A203" s="17"/>
      <c r="AC203" s="17"/>
    </row>
    <row r="204">
      <c r="A204" s="17"/>
      <c r="AC204" s="17"/>
    </row>
    <row r="205">
      <c r="A205" s="17"/>
      <c r="AC205" s="17"/>
    </row>
    <row r="206">
      <c r="A206" s="17"/>
      <c r="AC206" s="17"/>
    </row>
    <row r="207">
      <c r="A207" s="17"/>
      <c r="AC207" s="17"/>
    </row>
    <row r="208">
      <c r="A208" s="17"/>
      <c r="AC208" s="17"/>
    </row>
    <row r="209">
      <c r="A209" s="17"/>
      <c r="AC209" s="17"/>
    </row>
    <row r="210">
      <c r="A210" s="17"/>
      <c r="AC210" s="17"/>
    </row>
    <row r="211">
      <c r="A211" s="17"/>
      <c r="AC211" s="17"/>
    </row>
    <row r="212">
      <c r="A212" s="17"/>
      <c r="AC212" s="17"/>
    </row>
    <row r="213">
      <c r="A213" s="17"/>
      <c r="AC213" s="17"/>
    </row>
    <row r="214">
      <c r="A214" s="17"/>
      <c r="AC214" s="17"/>
    </row>
    <row r="215">
      <c r="A215" s="17"/>
      <c r="AC215" s="17"/>
    </row>
    <row r="216">
      <c r="A216" s="17"/>
      <c r="AC216" s="17"/>
    </row>
    <row r="217">
      <c r="A217" s="17"/>
      <c r="AC217" s="17"/>
    </row>
    <row r="218">
      <c r="A218" s="17"/>
      <c r="AC218" s="17"/>
    </row>
    <row r="219">
      <c r="A219" s="17"/>
      <c r="AC219" s="17"/>
    </row>
    <row r="220">
      <c r="A220" s="17"/>
      <c r="AC220" s="17"/>
    </row>
    <row r="221">
      <c r="A221" s="17"/>
      <c r="AC221" s="17"/>
    </row>
    <row r="222">
      <c r="A222" s="17"/>
      <c r="AC222" s="17"/>
    </row>
    <row r="223">
      <c r="A223" s="17"/>
      <c r="AC223" s="17"/>
    </row>
    <row r="224">
      <c r="A224" s="17"/>
      <c r="AC224" s="17"/>
    </row>
    <row r="225">
      <c r="A225" s="17"/>
      <c r="AC225" s="17"/>
    </row>
    <row r="226">
      <c r="A226" s="17"/>
      <c r="AC226" s="17"/>
    </row>
    <row r="227">
      <c r="A227" s="17"/>
      <c r="AC227" s="17"/>
    </row>
    <row r="228">
      <c r="A228" s="17"/>
      <c r="AC228" s="17"/>
    </row>
    <row r="229">
      <c r="A229" s="17"/>
      <c r="AC229" s="17"/>
    </row>
    <row r="230">
      <c r="A230" s="17"/>
      <c r="AC230" s="17"/>
    </row>
    <row r="231">
      <c r="A231" s="17"/>
      <c r="AC231" s="17"/>
    </row>
    <row r="232">
      <c r="A232" s="17"/>
      <c r="AC232" s="17"/>
    </row>
    <row r="233">
      <c r="A233" s="17"/>
      <c r="AC233" s="17"/>
    </row>
    <row r="234">
      <c r="A234" s="17"/>
      <c r="AC234" s="17"/>
    </row>
    <row r="235">
      <c r="A235" s="17"/>
      <c r="AC235" s="17"/>
    </row>
    <row r="236">
      <c r="A236" s="17"/>
      <c r="AC236" s="17"/>
    </row>
    <row r="237">
      <c r="A237" s="17"/>
      <c r="AC237" s="17"/>
    </row>
    <row r="238">
      <c r="A238" s="17"/>
      <c r="AC238" s="17"/>
    </row>
    <row r="239">
      <c r="A239" s="17"/>
      <c r="AC239" s="17"/>
    </row>
    <row r="240">
      <c r="A240" s="17"/>
      <c r="AC240" s="17"/>
    </row>
    <row r="241">
      <c r="A241" s="17"/>
      <c r="AC241" s="17"/>
    </row>
    <row r="242">
      <c r="A242" s="17"/>
      <c r="AC242" s="17"/>
    </row>
    <row r="243">
      <c r="A243" s="17"/>
      <c r="AC243" s="17"/>
    </row>
    <row r="244">
      <c r="A244" s="17"/>
      <c r="AC244" s="17"/>
    </row>
    <row r="245">
      <c r="A245" s="17"/>
      <c r="AC245" s="17"/>
    </row>
    <row r="246">
      <c r="A246" s="17"/>
      <c r="AC246" s="17"/>
    </row>
    <row r="247">
      <c r="A247" s="17"/>
      <c r="AC247" s="17"/>
    </row>
    <row r="248">
      <c r="A248" s="17"/>
      <c r="AC248" s="17"/>
    </row>
    <row r="249">
      <c r="A249" s="17"/>
      <c r="AC249" s="17"/>
    </row>
    <row r="250">
      <c r="A250" s="17"/>
      <c r="AC250" s="17"/>
    </row>
    <row r="251">
      <c r="A251" s="17"/>
      <c r="AC251" s="17"/>
    </row>
    <row r="252">
      <c r="A252" s="17"/>
      <c r="AC252" s="17"/>
    </row>
    <row r="253">
      <c r="A253" s="17"/>
      <c r="AC253" s="17"/>
    </row>
    <row r="254">
      <c r="A254" s="17"/>
      <c r="AC254" s="17"/>
    </row>
    <row r="255">
      <c r="A255" s="17"/>
      <c r="AC255" s="17"/>
    </row>
    <row r="256">
      <c r="A256" s="17"/>
      <c r="AC256" s="17"/>
    </row>
    <row r="257">
      <c r="A257" s="17"/>
      <c r="AC257" s="17"/>
    </row>
    <row r="258">
      <c r="A258" s="17"/>
      <c r="AC258" s="17"/>
    </row>
    <row r="259">
      <c r="A259" s="17"/>
      <c r="AC259" s="17"/>
    </row>
    <row r="260">
      <c r="A260" s="17"/>
      <c r="AC260" s="17"/>
    </row>
    <row r="261">
      <c r="A261" s="17"/>
      <c r="AC261" s="17"/>
    </row>
    <row r="262">
      <c r="A262" s="17"/>
      <c r="AC262" s="17"/>
    </row>
    <row r="263">
      <c r="A263" s="17"/>
      <c r="AC263" s="17"/>
    </row>
    <row r="264">
      <c r="A264" s="17"/>
      <c r="AC264" s="17"/>
    </row>
    <row r="265">
      <c r="A265" s="17"/>
      <c r="AC265" s="17"/>
    </row>
    <row r="266">
      <c r="A266" s="17"/>
      <c r="AC266" s="17"/>
    </row>
    <row r="267">
      <c r="A267" s="17"/>
      <c r="AC267" s="17"/>
    </row>
    <row r="268">
      <c r="A268" s="17"/>
      <c r="AC268" s="17"/>
    </row>
    <row r="269">
      <c r="A269" s="17"/>
      <c r="AC269" s="17"/>
    </row>
    <row r="270">
      <c r="A270" s="17"/>
      <c r="AC270" s="17"/>
    </row>
    <row r="271">
      <c r="A271" s="17"/>
      <c r="AC271" s="17"/>
    </row>
    <row r="272">
      <c r="A272" s="17"/>
      <c r="AC272" s="17"/>
    </row>
    <row r="273">
      <c r="A273" s="17"/>
      <c r="AC273" s="17"/>
    </row>
    <row r="274">
      <c r="A274" s="17"/>
      <c r="AC274" s="17"/>
    </row>
    <row r="275">
      <c r="A275" s="17"/>
      <c r="AC275" s="17"/>
    </row>
    <row r="276">
      <c r="A276" s="17"/>
      <c r="AC276" s="17"/>
    </row>
    <row r="277">
      <c r="A277" s="17"/>
      <c r="AC277" s="17"/>
    </row>
    <row r="278">
      <c r="A278" s="17"/>
      <c r="AC278" s="17"/>
    </row>
    <row r="279">
      <c r="A279" s="17"/>
      <c r="AC279" s="17"/>
    </row>
    <row r="280">
      <c r="A280" s="17"/>
      <c r="AC280" s="17"/>
    </row>
    <row r="281">
      <c r="A281" s="17"/>
      <c r="AC281" s="17"/>
    </row>
    <row r="282">
      <c r="A282" s="17"/>
      <c r="AC282" s="17"/>
    </row>
    <row r="283">
      <c r="A283" s="17"/>
      <c r="AC283" s="17"/>
    </row>
    <row r="284">
      <c r="A284" s="17"/>
      <c r="AC284" s="17"/>
    </row>
    <row r="285">
      <c r="A285" s="17"/>
      <c r="AC285" s="17"/>
    </row>
    <row r="286">
      <c r="A286" s="17"/>
      <c r="AC286" s="17"/>
    </row>
    <row r="287">
      <c r="A287" s="17"/>
      <c r="AC287" s="17"/>
    </row>
    <row r="288">
      <c r="A288" s="17"/>
      <c r="AC288" s="17"/>
    </row>
    <row r="289">
      <c r="A289" s="17"/>
      <c r="AC289" s="17"/>
    </row>
    <row r="290">
      <c r="A290" s="17"/>
      <c r="AC290" s="17"/>
    </row>
    <row r="291">
      <c r="A291" s="17"/>
      <c r="AC291" s="17"/>
    </row>
    <row r="292">
      <c r="A292" s="17"/>
      <c r="AC292" s="17"/>
    </row>
    <row r="293">
      <c r="A293" s="17"/>
      <c r="AC293" s="17"/>
    </row>
    <row r="294">
      <c r="A294" s="17"/>
      <c r="AC294" s="17"/>
    </row>
    <row r="295">
      <c r="A295" s="17"/>
      <c r="AC295" s="17"/>
    </row>
    <row r="296">
      <c r="A296" s="17"/>
      <c r="AC296" s="17"/>
    </row>
    <row r="297">
      <c r="A297" s="17"/>
      <c r="AC297" s="17"/>
    </row>
    <row r="298">
      <c r="A298" s="17"/>
      <c r="AC298" s="17"/>
    </row>
    <row r="299">
      <c r="A299" s="17"/>
      <c r="AC299" s="17"/>
    </row>
    <row r="300">
      <c r="A300" s="17"/>
      <c r="AC300" s="17"/>
    </row>
    <row r="301">
      <c r="A301" s="17"/>
      <c r="AC301" s="17"/>
    </row>
    <row r="302">
      <c r="A302" s="17"/>
      <c r="AC302" s="17"/>
    </row>
    <row r="303">
      <c r="A303" s="17"/>
      <c r="AC303" s="17"/>
    </row>
    <row r="304">
      <c r="A304" s="17"/>
      <c r="AC304" s="17"/>
    </row>
    <row r="305">
      <c r="A305" s="17"/>
      <c r="AC305" s="17"/>
    </row>
    <row r="306">
      <c r="A306" s="17"/>
      <c r="AC306" s="17"/>
    </row>
    <row r="307">
      <c r="A307" s="17"/>
      <c r="AC307" s="17"/>
    </row>
    <row r="308">
      <c r="A308" s="17"/>
      <c r="AC308" s="17"/>
    </row>
    <row r="309">
      <c r="A309" s="17"/>
      <c r="AC309" s="17"/>
    </row>
    <row r="310">
      <c r="A310" s="17"/>
      <c r="AC310" s="17"/>
    </row>
    <row r="311">
      <c r="A311" s="17"/>
      <c r="AC311" s="17"/>
    </row>
    <row r="312">
      <c r="A312" s="17"/>
      <c r="AC312" s="17"/>
    </row>
    <row r="313">
      <c r="A313" s="17"/>
      <c r="AC313" s="17"/>
    </row>
    <row r="314">
      <c r="A314" s="17"/>
      <c r="AC314" s="17"/>
    </row>
    <row r="315">
      <c r="A315" s="17"/>
      <c r="AC315" s="17"/>
    </row>
    <row r="316">
      <c r="A316" s="17"/>
      <c r="AC316" s="17"/>
    </row>
    <row r="317">
      <c r="A317" s="17"/>
      <c r="AC317" s="17"/>
    </row>
    <row r="318">
      <c r="A318" s="17"/>
      <c r="AC318" s="17"/>
    </row>
    <row r="319">
      <c r="A319" s="17"/>
      <c r="AC319" s="17"/>
    </row>
    <row r="320">
      <c r="A320" s="17"/>
      <c r="AC320" s="17"/>
    </row>
    <row r="321">
      <c r="A321" s="17"/>
      <c r="AC321" s="17"/>
    </row>
    <row r="322">
      <c r="A322" s="17"/>
      <c r="AC322" s="17"/>
    </row>
    <row r="323">
      <c r="A323" s="17"/>
      <c r="AC323" s="17"/>
    </row>
    <row r="324">
      <c r="A324" s="17"/>
      <c r="AC324" s="17"/>
    </row>
    <row r="325">
      <c r="A325" s="17"/>
      <c r="AC325" s="17"/>
    </row>
    <row r="326">
      <c r="A326" s="17"/>
      <c r="AC326" s="17"/>
    </row>
    <row r="327">
      <c r="A327" s="17"/>
      <c r="AC327" s="17"/>
    </row>
    <row r="328">
      <c r="A328" s="17"/>
      <c r="AC328" s="17"/>
    </row>
    <row r="329">
      <c r="A329" s="17"/>
      <c r="AC329" s="17"/>
    </row>
    <row r="330">
      <c r="A330" s="17"/>
      <c r="AC330" s="17"/>
    </row>
    <row r="331">
      <c r="A331" s="17"/>
      <c r="AC331" s="17"/>
    </row>
    <row r="332">
      <c r="A332" s="17"/>
      <c r="AC332" s="17"/>
    </row>
    <row r="333">
      <c r="A333" s="17"/>
      <c r="AC333" s="17"/>
    </row>
    <row r="334">
      <c r="A334" s="17"/>
      <c r="AC334" s="17"/>
    </row>
    <row r="335">
      <c r="A335" s="17"/>
      <c r="AC335" s="17"/>
    </row>
    <row r="336">
      <c r="A336" s="17"/>
      <c r="AC336" s="17"/>
    </row>
    <row r="337">
      <c r="A337" s="17"/>
      <c r="AC337" s="17"/>
    </row>
    <row r="338">
      <c r="A338" s="17"/>
      <c r="AC338" s="17"/>
    </row>
    <row r="339">
      <c r="A339" s="17"/>
      <c r="AC339" s="17"/>
    </row>
    <row r="340">
      <c r="A340" s="17"/>
      <c r="AC340" s="17"/>
    </row>
    <row r="341">
      <c r="A341" s="17"/>
      <c r="AC341" s="17"/>
    </row>
    <row r="342">
      <c r="A342" s="17"/>
      <c r="AC342" s="17"/>
    </row>
    <row r="343">
      <c r="A343" s="17"/>
      <c r="AC343" s="17"/>
    </row>
    <row r="344">
      <c r="A344" s="17"/>
      <c r="AC344" s="17"/>
    </row>
    <row r="345">
      <c r="A345" s="17"/>
      <c r="AC345" s="17"/>
    </row>
    <row r="346">
      <c r="A346" s="17"/>
      <c r="AC346" s="17"/>
    </row>
    <row r="347">
      <c r="A347" s="17"/>
      <c r="AC347" s="17"/>
    </row>
    <row r="348">
      <c r="A348" s="17"/>
      <c r="AC348" s="17"/>
    </row>
    <row r="349">
      <c r="A349" s="17"/>
      <c r="AC349" s="17"/>
    </row>
    <row r="350">
      <c r="A350" s="17"/>
      <c r="AC350" s="17"/>
    </row>
    <row r="351">
      <c r="A351" s="17"/>
      <c r="AC351" s="17"/>
    </row>
    <row r="352">
      <c r="A352" s="17"/>
      <c r="AC352" s="17"/>
    </row>
    <row r="353">
      <c r="A353" s="17"/>
      <c r="AC353" s="17"/>
    </row>
    <row r="354">
      <c r="A354" s="17"/>
      <c r="AC354" s="17"/>
    </row>
    <row r="355">
      <c r="A355" s="17"/>
      <c r="AC355" s="17"/>
    </row>
    <row r="356">
      <c r="A356" s="17"/>
      <c r="AC356" s="17"/>
    </row>
    <row r="357">
      <c r="A357" s="17"/>
      <c r="AC357" s="17"/>
    </row>
    <row r="358">
      <c r="A358" s="17"/>
      <c r="AC358" s="17"/>
    </row>
    <row r="359">
      <c r="A359" s="17"/>
      <c r="AC359" s="17"/>
    </row>
    <row r="360">
      <c r="A360" s="17"/>
      <c r="AC360" s="17"/>
    </row>
    <row r="361">
      <c r="A361" s="17"/>
      <c r="AC361" s="17"/>
    </row>
    <row r="362">
      <c r="A362" s="17"/>
      <c r="AC362" s="17"/>
    </row>
    <row r="363">
      <c r="A363" s="17"/>
      <c r="AC363" s="17"/>
    </row>
    <row r="364">
      <c r="A364" s="17"/>
      <c r="AC364" s="17"/>
    </row>
    <row r="365">
      <c r="A365" s="17"/>
      <c r="AC365" s="17"/>
    </row>
    <row r="366">
      <c r="A366" s="17"/>
      <c r="AC366" s="17"/>
    </row>
    <row r="367">
      <c r="A367" s="17"/>
      <c r="AC367" s="17"/>
    </row>
    <row r="368">
      <c r="A368" s="17"/>
      <c r="AC368" s="17"/>
    </row>
    <row r="369">
      <c r="A369" s="17"/>
      <c r="AC369" s="17"/>
    </row>
    <row r="370">
      <c r="A370" s="17"/>
      <c r="AC370" s="17"/>
    </row>
    <row r="371">
      <c r="A371" s="17"/>
      <c r="AC371" s="17"/>
    </row>
    <row r="372">
      <c r="A372" s="17"/>
      <c r="AC372" s="17"/>
    </row>
    <row r="373">
      <c r="A373" s="17"/>
      <c r="AC373" s="17"/>
    </row>
    <row r="374">
      <c r="A374" s="17"/>
      <c r="AC374" s="17"/>
    </row>
    <row r="375">
      <c r="A375" s="17"/>
      <c r="AC375" s="17"/>
    </row>
    <row r="376">
      <c r="A376" s="17"/>
      <c r="AC376" s="17"/>
    </row>
    <row r="377">
      <c r="A377" s="17"/>
      <c r="AC377" s="17"/>
    </row>
    <row r="378">
      <c r="A378" s="17"/>
      <c r="AC378" s="17"/>
    </row>
    <row r="379">
      <c r="A379" s="17"/>
      <c r="AC379" s="17"/>
    </row>
    <row r="380">
      <c r="A380" s="17"/>
      <c r="AC380" s="17"/>
    </row>
    <row r="381">
      <c r="A381" s="17"/>
      <c r="AC381" s="17"/>
    </row>
    <row r="382">
      <c r="A382" s="17"/>
      <c r="AC382" s="17"/>
    </row>
    <row r="383">
      <c r="A383" s="17"/>
      <c r="AC383" s="17"/>
    </row>
    <row r="384">
      <c r="A384" s="17"/>
      <c r="AC384" s="17"/>
    </row>
    <row r="385">
      <c r="A385" s="17"/>
      <c r="AC385" s="17"/>
    </row>
    <row r="386">
      <c r="A386" s="17"/>
      <c r="AC386" s="17"/>
    </row>
    <row r="387">
      <c r="A387" s="17"/>
      <c r="AC387" s="17"/>
    </row>
    <row r="388">
      <c r="A388" s="17"/>
      <c r="AC388" s="17"/>
    </row>
    <row r="389">
      <c r="A389" s="17"/>
      <c r="AC389" s="17"/>
    </row>
    <row r="390">
      <c r="A390" s="17"/>
      <c r="AC390" s="17"/>
    </row>
    <row r="391">
      <c r="A391" s="17"/>
      <c r="AC391" s="17"/>
    </row>
    <row r="392">
      <c r="A392" s="17"/>
      <c r="AC392" s="17"/>
    </row>
    <row r="393">
      <c r="A393" s="17"/>
      <c r="AC393" s="17"/>
    </row>
    <row r="394">
      <c r="A394" s="17"/>
      <c r="AC394" s="17"/>
    </row>
    <row r="395">
      <c r="A395" s="17"/>
      <c r="AC395" s="17"/>
    </row>
    <row r="396">
      <c r="A396" s="17"/>
      <c r="AC396" s="17"/>
    </row>
    <row r="397">
      <c r="A397" s="17"/>
      <c r="AC397" s="17"/>
    </row>
    <row r="398">
      <c r="A398" s="17"/>
      <c r="AC398" s="17"/>
    </row>
    <row r="399">
      <c r="A399" s="17"/>
      <c r="AC399" s="17"/>
    </row>
    <row r="400">
      <c r="A400" s="17"/>
      <c r="AC400" s="17"/>
    </row>
    <row r="401">
      <c r="A401" s="17"/>
      <c r="AC401" s="17"/>
    </row>
    <row r="402">
      <c r="A402" s="17"/>
      <c r="AC402" s="17"/>
    </row>
    <row r="403">
      <c r="A403" s="17"/>
      <c r="AC403" s="17"/>
    </row>
    <row r="404">
      <c r="A404" s="17"/>
      <c r="AC404" s="17"/>
    </row>
    <row r="405">
      <c r="A405" s="17"/>
      <c r="AC405" s="17"/>
    </row>
    <row r="406">
      <c r="A406" s="17"/>
      <c r="AC406" s="17"/>
    </row>
    <row r="407">
      <c r="A407" s="17"/>
      <c r="AC407" s="17"/>
    </row>
    <row r="408">
      <c r="A408" s="17"/>
      <c r="AC408" s="17"/>
    </row>
    <row r="409">
      <c r="A409" s="17"/>
      <c r="AC409" s="17"/>
    </row>
    <row r="410">
      <c r="A410" s="17"/>
      <c r="AC410" s="17"/>
    </row>
    <row r="411">
      <c r="A411" s="17"/>
      <c r="AC411" s="17"/>
    </row>
    <row r="412">
      <c r="A412" s="17"/>
      <c r="AC412" s="17"/>
    </row>
    <row r="413">
      <c r="A413" s="17"/>
      <c r="AC413" s="17"/>
    </row>
    <row r="414">
      <c r="A414" s="17"/>
      <c r="AC414" s="17"/>
    </row>
    <row r="415">
      <c r="A415" s="17"/>
      <c r="AC415" s="17"/>
    </row>
    <row r="416">
      <c r="A416" s="17"/>
      <c r="AC416" s="17"/>
    </row>
    <row r="417">
      <c r="A417" s="17"/>
      <c r="AC417" s="17"/>
    </row>
    <row r="418">
      <c r="A418" s="17"/>
      <c r="AC418" s="17"/>
    </row>
    <row r="419">
      <c r="A419" s="17"/>
      <c r="AC419" s="17"/>
    </row>
    <row r="420">
      <c r="A420" s="17"/>
      <c r="AC420" s="17"/>
    </row>
    <row r="421">
      <c r="A421" s="17"/>
      <c r="AC421" s="17"/>
    </row>
    <row r="422">
      <c r="A422" s="17"/>
      <c r="AC422" s="17"/>
    </row>
    <row r="423">
      <c r="A423" s="17"/>
      <c r="AC423" s="17"/>
    </row>
    <row r="424">
      <c r="A424" s="17"/>
      <c r="AC424" s="17"/>
    </row>
    <row r="425">
      <c r="A425" s="17"/>
      <c r="AC425" s="17"/>
    </row>
    <row r="426">
      <c r="A426" s="17"/>
      <c r="AC426" s="17"/>
    </row>
    <row r="427">
      <c r="A427" s="17"/>
      <c r="AC427" s="17"/>
    </row>
    <row r="428">
      <c r="A428" s="17"/>
      <c r="AC428" s="17"/>
    </row>
    <row r="429">
      <c r="A429" s="17"/>
      <c r="AC429" s="17"/>
    </row>
    <row r="430">
      <c r="A430" s="17"/>
      <c r="AC430" s="17"/>
    </row>
    <row r="431">
      <c r="A431" s="17"/>
      <c r="AC431" s="17"/>
    </row>
    <row r="432">
      <c r="A432" s="17"/>
      <c r="AC432" s="17"/>
    </row>
    <row r="433">
      <c r="A433" s="17"/>
      <c r="AC433" s="17"/>
    </row>
    <row r="434">
      <c r="A434" s="17"/>
      <c r="AC434" s="17"/>
    </row>
    <row r="435">
      <c r="A435" s="17"/>
      <c r="AC435" s="17"/>
    </row>
    <row r="436">
      <c r="A436" s="17"/>
      <c r="AC436" s="17"/>
    </row>
    <row r="437">
      <c r="A437" s="17"/>
      <c r="AC437" s="17"/>
    </row>
    <row r="438">
      <c r="A438" s="17"/>
      <c r="AC438" s="17"/>
    </row>
    <row r="439">
      <c r="A439" s="17"/>
      <c r="AC439" s="17"/>
    </row>
    <row r="440">
      <c r="A440" s="17"/>
      <c r="AC440" s="17"/>
    </row>
    <row r="441">
      <c r="A441" s="17"/>
      <c r="AC441" s="17"/>
    </row>
    <row r="442">
      <c r="A442" s="17"/>
      <c r="AC442" s="17"/>
    </row>
    <row r="443">
      <c r="A443" s="17"/>
      <c r="AC443" s="17"/>
    </row>
    <row r="444">
      <c r="A444" s="17"/>
      <c r="AC444" s="17"/>
    </row>
    <row r="445">
      <c r="A445" s="17"/>
      <c r="AC445" s="17"/>
    </row>
    <row r="446">
      <c r="A446" s="17"/>
      <c r="AC446" s="17"/>
    </row>
    <row r="447">
      <c r="A447" s="17"/>
      <c r="AC447" s="17"/>
    </row>
    <row r="448">
      <c r="A448" s="17"/>
      <c r="AC448" s="17"/>
    </row>
    <row r="449">
      <c r="A449" s="17"/>
      <c r="AC449" s="17"/>
    </row>
    <row r="450">
      <c r="A450" s="17"/>
      <c r="AC450" s="17"/>
    </row>
    <row r="451">
      <c r="A451" s="17"/>
      <c r="AC451" s="17"/>
    </row>
    <row r="452">
      <c r="A452" s="17"/>
      <c r="AC452" s="17"/>
    </row>
    <row r="453">
      <c r="A453" s="17"/>
      <c r="AC453" s="17"/>
    </row>
    <row r="454">
      <c r="A454" s="17"/>
      <c r="AC454" s="17"/>
    </row>
    <row r="455">
      <c r="A455" s="17"/>
      <c r="AC455" s="17"/>
    </row>
    <row r="456">
      <c r="A456" s="17"/>
      <c r="AC456" s="17"/>
    </row>
    <row r="457">
      <c r="A457" s="17"/>
      <c r="AC457" s="17"/>
    </row>
    <row r="458">
      <c r="A458" s="17"/>
      <c r="AC458" s="17"/>
    </row>
    <row r="459">
      <c r="A459" s="17"/>
      <c r="AC459" s="17"/>
    </row>
    <row r="460">
      <c r="A460" s="17"/>
      <c r="AC460" s="17"/>
    </row>
    <row r="461">
      <c r="A461" s="17"/>
      <c r="AC461" s="17"/>
    </row>
    <row r="462">
      <c r="A462" s="17"/>
      <c r="AC462" s="17"/>
    </row>
    <row r="463">
      <c r="A463" s="17"/>
      <c r="AC463" s="17"/>
    </row>
    <row r="464">
      <c r="A464" s="17"/>
      <c r="AC464" s="17"/>
    </row>
    <row r="465">
      <c r="A465" s="17"/>
      <c r="AC465" s="17"/>
    </row>
    <row r="466">
      <c r="A466" s="17"/>
      <c r="AC466" s="17"/>
    </row>
    <row r="467">
      <c r="A467" s="17"/>
      <c r="AC467" s="17"/>
    </row>
    <row r="468">
      <c r="A468" s="17"/>
      <c r="AC468" s="17"/>
    </row>
    <row r="469">
      <c r="A469" s="17"/>
      <c r="AC469" s="17"/>
    </row>
    <row r="470">
      <c r="A470" s="17"/>
      <c r="AC470" s="17"/>
    </row>
    <row r="471">
      <c r="A471" s="17"/>
      <c r="AC471" s="17"/>
    </row>
    <row r="472">
      <c r="A472" s="17"/>
      <c r="AC472" s="17"/>
    </row>
    <row r="473">
      <c r="A473" s="17"/>
      <c r="AC473" s="17"/>
    </row>
    <row r="474">
      <c r="A474" s="17"/>
      <c r="AC474" s="17"/>
    </row>
    <row r="475">
      <c r="A475" s="17"/>
      <c r="AC475" s="17"/>
    </row>
    <row r="476">
      <c r="A476" s="17"/>
      <c r="AC476" s="17"/>
    </row>
    <row r="477">
      <c r="A477" s="17"/>
      <c r="AC477" s="17"/>
    </row>
    <row r="478">
      <c r="A478" s="17"/>
      <c r="AC478" s="17"/>
    </row>
    <row r="479">
      <c r="A479" s="17"/>
      <c r="AC479" s="17"/>
    </row>
    <row r="480">
      <c r="A480" s="17"/>
      <c r="AC480" s="17"/>
    </row>
    <row r="481">
      <c r="A481" s="17"/>
      <c r="AC481" s="17"/>
    </row>
    <row r="482">
      <c r="A482" s="17"/>
      <c r="AC482" s="17"/>
    </row>
    <row r="483">
      <c r="A483" s="17"/>
      <c r="AC483" s="17"/>
    </row>
    <row r="484">
      <c r="A484" s="17"/>
      <c r="AC484" s="17"/>
    </row>
    <row r="485">
      <c r="A485" s="17"/>
      <c r="AC485" s="17"/>
    </row>
    <row r="486">
      <c r="A486" s="17"/>
      <c r="AC486" s="17"/>
    </row>
    <row r="487">
      <c r="A487" s="17"/>
      <c r="AC487" s="17"/>
    </row>
    <row r="488">
      <c r="A488" s="17"/>
      <c r="AC488" s="17"/>
    </row>
    <row r="489">
      <c r="A489" s="17"/>
      <c r="AC489" s="17"/>
    </row>
    <row r="490">
      <c r="A490" s="17"/>
      <c r="AC490" s="17"/>
    </row>
    <row r="491">
      <c r="A491" s="17"/>
      <c r="AC491" s="17"/>
    </row>
    <row r="492">
      <c r="A492" s="17"/>
      <c r="AC492" s="17"/>
    </row>
    <row r="493">
      <c r="A493" s="17"/>
      <c r="AC493" s="17"/>
    </row>
    <row r="494">
      <c r="A494" s="17"/>
      <c r="AC494" s="17"/>
    </row>
    <row r="495">
      <c r="A495" s="17"/>
      <c r="AC495" s="17"/>
    </row>
    <row r="496">
      <c r="A496" s="17"/>
      <c r="AC496" s="17"/>
    </row>
    <row r="497">
      <c r="A497" s="17"/>
      <c r="AC497" s="17"/>
    </row>
    <row r="498">
      <c r="A498" s="17"/>
      <c r="AC498" s="17"/>
    </row>
    <row r="499">
      <c r="A499" s="17"/>
      <c r="AC499" s="17"/>
    </row>
    <row r="500">
      <c r="A500" s="17"/>
      <c r="AC500" s="17"/>
    </row>
    <row r="501">
      <c r="A501" s="17"/>
      <c r="AC501" s="17"/>
    </row>
    <row r="502">
      <c r="A502" s="17"/>
      <c r="AC502" s="17"/>
    </row>
    <row r="503">
      <c r="A503" s="17"/>
      <c r="AC503" s="17"/>
    </row>
    <row r="504">
      <c r="A504" s="17"/>
      <c r="AC504" s="17"/>
    </row>
    <row r="505">
      <c r="A505" s="17"/>
      <c r="AC505" s="17"/>
    </row>
    <row r="506">
      <c r="A506" s="17"/>
      <c r="AC506" s="17"/>
    </row>
    <row r="507">
      <c r="A507" s="17"/>
      <c r="AC507" s="17"/>
    </row>
    <row r="508">
      <c r="A508" s="17"/>
      <c r="AC508" s="17"/>
    </row>
    <row r="509">
      <c r="A509" s="17"/>
      <c r="AC509" s="17"/>
    </row>
    <row r="510">
      <c r="A510" s="17"/>
      <c r="AC510" s="17"/>
    </row>
    <row r="511">
      <c r="A511" s="17"/>
      <c r="AC511" s="17"/>
    </row>
    <row r="512">
      <c r="A512" s="17"/>
      <c r="AC512" s="17"/>
    </row>
    <row r="513">
      <c r="A513" s="17"/>
      <c r="AC513" s="17"/>
    </row>
    <row r="514">
      <c r="A514" s="17"/>
      <c r="AC514" s="17"/>
    </row>
    <row r="515">
      <c r="A515" s="17"/>
      <c r="AC515" s="17"/>
    </row>
    <row r="516">
      <c r="A516" s="17"/>
      <c r="AC516" s="17"/>
    </row>
    <row r="517">
      <c r="A517" s="17"/>
      <c r="AC517" s="17"/>
    </row>
    <row r="518">
      <c r="A518" s="17"/>
      <c r="AC518" s="17"/>
    </row>
    <row r="519">
      <c r="A519" s="17"/>
      <c r="AC519" s="17"/>
    </row>
    <row r="520">
      <c r="A520" s="17"/>
      <c r="AC520" s="17"/>
    </row>
    <row r="521">
      <c r="A521" s="17"/>
      <c r="AC521" s="17"/>
    </row>
    <row r="522">
      <c r="A522" s="17"/>
      <c r="AC522" s="17"/>
    </row>
    <row r="523">
      <c r="A523" s="17"/>
      <c r="AC523" s="17"/>
    </row>
    <row r="524">
      <c r="A524" s="17"/>
      <c r="AC524" s="17"/>
    </row>
    <row r="525">
      <c r="A525" s="17"/>
      <c r="AC525" s="17"/>
    </row>
    <row r="526">
      <c r="A526" s="17"/>
      <c r="AC526" s="17"/>
    </row>
    <row r="527">
      <c r="A527" s="17"/>
      <c r="AC527" s="17"/>
    </row>
    <row r="528">
      <c r="A528" s="17"/>
      <c r="AC528" s="17"/>
    </row>
    <row r="529">
      <c r="A529" s="17"/>
      <c r="AC529" s="17"/>
    </row>
    <row r="530">
      <c r="A530" s="17"/>
      <c r="AC530" s="17"/>
    </row>
    <row r="531">
      <c r="A531" s="17"/>
      <c r="AC531" s="17"/>
    </row>
    <row r="532">
      <c r="A532" s="17"/>
      <c r="AC532" s="17"/>
    </row>
    <row r="533">
      <c r="A533" s="17"/>
      <c r="AC533" s="17"/>
    </row>
    <row r="534">
      <c r="A534" s="17"/>
      <c r="AC534" s="17"/>
    </row>
    <row r="535">
      <c r="A535" s="17"/>
      <c r="AC535" s="17"/>
    </row>
    <row r="536">
      <c r="A536" s="17"/>
      <c r="AC536" s="17"/>
    </row>
    <row r="537">
      <c r="A537" s="17"/>
      <c r="AC537" s="17"/>
    </row>
    <row r="538">
      <c r="A538" s="17"/>
      <c r="AC538" s="17"/>
    </row>
    <row r="539">
      <c r="A539" s="17"/>
      <c r="AC539" s="17"/>
    </row>
    <row r="540">
      <c r="A540" s="17"/>
      <c r="AC540" s="17"/>
    </row>
    <row r="541">
      <c r="A541" s="17"/>
      <c r="AC541" s="17"/>
    </row>
    <row r="542">
      <c r="A542" s="17"/>
      <c r="AC542" s="17"/>
    </row>
    <row r="543">
      <c r="A543" s="17"/>
      <c r="AC543" s="17"/>
    </row>
    <row r="544">
      <c r="A544" s="17"/>
      <c r="AC544" s="17"/>
    </row>
    <row r="545">
      <c r="A545" s="17"/>
      <c r="AC545" s="17"/>
    </row>
    <row r="546">
      <c r="A546" s="17"/>
      <c r="AC546" s="17"/>
    </row>
    <row r="547">
      <c r="A547" s="17"/>
      <c r="AC547" s="17"/>
    </row>
    <row r="548">
      <c r="A548" s="17"/>
      <c r="AC548" s="17"/>
    </row>
    <row r="549">
      <c r="A549" s="17"/>
      <c r="AC549" s="17"/>
    </row>
    <row r="550">
      <c r="A550" s="17"/>
      <c r="AC550" s="17"/>
    </row>
    <row r="551">
      <c r="A551" s="17"/>
      <c r="AC551" s="17"/>
    </row>
    <row r="552">
      <c r="A552" s="17"/>
      <c r="AC552" s="17"/>
    </row>
    <row r="553">
      <c r="A553" s="17"/>
      <c r="AC553" s="17"/>
    </row>
    <row r="554">
      <c r="A554" s="17"/>
      <c r="AC554" s="17"/>
    </row>
    <row r="555">
      <c r="A555" s="17"/>
      <c r="AC555" s="17"/>
    </row>
    <row r="556">
      <c r="A556" s="17"/>
      <c r="AC556" s="17"/>
    </row>
    <row r="557">
      <c r="A557" s="17"/>
      <c r="AC557" s="17"/>
    </row>
    <row r="558">
      <c r="A558" s="17"/>
      <c r="AC558" s="17"/>
    </row>
    <row r="559">
      <c r="A559" s="17"/>
      <c r="AC559" s="17"/>
    </row>
    <row r="560">
      <c r="A560" s="17"/>
      <c r="AC560" s="17"/>
    </row>
    <row r="561">
      <c r="A561" s="17"/>
      <c r="AC561" s="17"/>
    </row>
    <row r="562">
      <c r="A562" s="17"/>
      <c r="AC562" s="17"/>
    </row>
    <row r="563">
      <c r="A563" s="17"/>
      <c r="AC563" s="17"/>
    </row>
    <row r="564">
      <c r="A564" s="17"/>
      <c r="AC564" s="17"/>
    </row>
    <row r="565">
      <c r="A565" s="17"/>
      <c r="AC565" s="17"/>
    </row>
    <row r="566">
      <c r="A566" s="17"/>
      <c r="AC566" s="17"/>
    </row>
    <row r="567">
      <c r="A567" s="17"/>
      <c r="AC567" s="17"/>
    </row>
    <row r="568">
      <c r="A568" s="17"/>
      <c r="AC568" s="17"/>
    </row>
    <row r="569">
      <c r="A569" s="17"/>
      <c r="AC569" s="17"/>
    </row>
    <row r="570">
      <c r="A570" s="17"/>
      <c r="AC570" s="17"/>
    </row>
    <row r="571">
      <c r="A571" s="17"/>
      <c r="AC571" s="17"/>
    </row>
    <row r="572">
      <c r="A572" s="17"/>
      <c r="AC572" s="17"/>
    </row>
    <row r="573">
      <c r="A573" s="17"/>
      <c r="AC573" s="17"/>
    </row>
    <row r="574">
      <c r="A574" s="17"/>
      <c r="AC574" s="17"/>
    </row>
    <row r="575">
      <c r="A575" s="17"/>
      <c r="AC575" s="17"/>
    </row>
    <row r="576">
      <c r="A576" s="17"/>
      <c r="AC576" s="17"/>
    </row>
    <row r="577">
      <c r="A577" s="17"/>
      <c r="AC577" s="17"/>
    </row>
    <row r="578">
      <c r="A578" s="17"/>
      <c r="AC578" s="17"/>
    </row>
    <row r="579">
      <c r="A579" s="17"/>
      <c r="AC579" s="17"/>
    </row>
    <row r="580">
      <c r="A580" s="17"/>
      <c r="AC580" s="17"/>
    </row>
    <row r="581">
      <c r="A581" s="17"/>
      <c r="AC581" s="17"/>
    </row>
    <row r="582">
      <c r="A582" s="17"/>
      <c r="AC582" s="17"/>
    </row>
    <row r="583">
      <c r="A583" s="17"/>
      <c r="AC583" s="17"/>
    </row>
    <row r="584">
      <c r="A584" s="17"/>
      <c r="AC584" s="17"/>
    </row>
    <row r="585">
      <c r="A585" s="17"/>
      <c r="AC585" s="17"/>
    </row>
    <row r="586">
      <c r="A586" s="17"/>
      <c r="AC586" s="17"/>
    </row>
    <row r="587">
      <c r="A587" s="17"/>
      <c r="AC587" s="17"/>
    </row>
    <row r="588">
      <c r="A588" s="17"/>
      <c r="AC588" s="17"/>
    </row>
    <row r="589">
      <c r="A589" s="17"/>
      <c r="AC589" s="17"/>
    </row>
    <row r="590">
      <c r="A590" s="17"/>
      <c r="AC590" s="17"/>
    </row>
    <row r="591">
      <c r="A591" s="17"/>
      <c r="AC591" s="17"/>
    </row>
    <row r="592">
      <c r="A592" s="17"/>
      <c r="AC592" s="17"/>
    </row>
    <row r="593">
      <c r="A593" s="17"/>
      <c r="AC593" s="17"/>
    </row>
    <row r="594">
      <c r="A594" s="17"/>
      <c r="AC594" s="17"/>
    </row>
    <row r="595">
      <c r="A595" s="17"/>
      <c r="AC595" s="17"/>
    </row>
    <row r="596">
      <c r="A596" s="17"/>
      <c r="AC596" s="17"/>
    </row>
    <row r="597">
      <c r="A597" s="17"/>
      <c r="AC597" s="17"/>
    </row>
    <row r="598">
      <c r="A598" s="17"/>
      <c r="AC598" s="17"/>
    </row>
    <row r="599">
      <c r="A599" s="17"/>
      <c r="AC599" s="17"/>
    </row>
    <row r="600">
      <c r="A600" s="17"/>
      <c r="AC600" s="17"/>
    </row>
    <row r="601">
      <c r="A601" s="17"/>
      <c r="AC601" s="17"/>
    </row>
    <row r="602">
      <c r="A602" s="17"/>
      <c r="AC602" s="17"/>
    </row>
    <row r="603">
      <c r="A603" s="17"/>
      <c r="AC603" s="17"/>
    </row>
    <row r="604">
      <c r="A604" s="17"/>
      <c r="AC604" s="17"/>
    </row>
    <row r="605">
      <c r="A605" s="17"/>
      <c r="AC605" s="17"/>
    </row>
    <row r="606">
      <c r="A606" s="17"/>
      <c r="AC606" s="17"/>
    </row>
    <row r="607">
      <c r="A607" s="17"/>
      <c r="AC607" s="17"/>
    </row>
    <row r="608">
      <c r="A608" s="17"/>
      <c r="AC608" s="17"/>
    </row>
    <row r="609">
      <c r="A609" s="17"/>
      <c r="AC609" s="17"/>
    </row>
    <row r="610">
      <c r="A610" s="17"/>
      <c r="AC610" s="17"/>
    </row>
    <row r="611">
      <c r="A611" s="17"/>
      <c r="AC611" s="17"/>
    </row>
    <row r="612">
      <c r="A612" s="17"/>
      <c r="AC612" s="17"/>
    </row>
    <row r="613">
      <c r="A613" s="17"/>
      <c r="AC613" s="17"/>
    </row>
    <row r="614">
      <c r="A614" s="17"/>
      <c r="AC614" s="17"/>
    </row>
    <row r="615">
      <c r="A615" s="17"/>
      <c r="AC615" s="17"/>
    </row>
    <row r="616">
      <c r="A616" s="17"/>
      <c r="AC616" s="17"/>
    </row>
    <row r="617">
      <c r="A617" s="17"/>
      <c r="AC617" s="17"/>
    </row>
    <row r="618">
      <c r="A618" s="17"/>
      <c r="AC618" s="17"/>
    </row>
    <row r="619">
      <c r="A619" s="17"/>
      <c r="AC619" s="17"/>
    </row>
    <row r="620">
      <c r="A620" s="17"/>
      <c r="AC620" s="17"/>
    </row>
    <row r="621">
      <c r="A621" s="17"/>
      <c r="AC621" s="17"/>
    </row>
    <row r="622">
      <c r="A622" s="17"/>
      <c r="AC622" s="17"/>
    </row>
    <row r="623">
      <c r="A623" s="17"/>
      <c r="AC623" s="17"/>
    </row>
    <row r="624">
      <c r="A624" s="17"/>
      <c r="AC624" s="17"/>
    </row>
    <row r="625">
      <c r="A625" s="17"/>
      <c r="AC625" s="17"/>
    </row>
    <row r="626">
      <c r="A626" s="17"/>
      <c r="AC626" s="17"/>
    </row>
    <row r="627">
      <c r="A627" s="17"/>
      <c r="AC627" s="17"/>
    </row>
    <row r="628">
      <c r="A628" s="17"/>
      <c r="AC628" s="17"/>
    </row>
    <row r="629">
      <c r="A629" s="17"/>
      <c r="AC629" s="17"/>
    </row>
    <row r="630">
      <c r="A630" s="17"/>
      <c r="AC630" s="17"/>
    </row>
    <row r="631">
      <c r="A631" s="17"/>
      <c r="AC631" s="17"/>
    </row>
    <row r="632">
      <c r="A632" s="17"/>
      <c r="AC632" s="17"/>
    </row>
    <row r="633">
      <c r="A633" s="17"/>
      <c r="AC633" s="17"/>
    </row>
    <row r="634">
      <c r="A634" s="17"/>
      <c r="AC634" s="17"/>
    </row>
    <row r="635">
      <c r="A635" s="17"/>
      <c r="AC635" s="17"/>
    </row>
    <row r="636">
      <c r="A636" s="17"/>
      <c r="AC636" s="17"/>
    </row>
    <row r="637">
      <c r="A637" s="17"/>
      <c r="AC637" s="17"/>
    </row>
    <row r="638">
      <c r="A638" s="17"/>
      <c r="AC638" s="17"/>
    </row>
    <row r="639">
      <c r="A639" s="17"/>
      <c r="AC639" s="17"/>
    </row>
    <row r="640">
      <c r="A640" s="17"/>
      <c r="AC640" s="17"/>
    </row>
    <row r="641">
      <c r="A641" s="17"/>
      <c r="AC641" s="17"/>
    </row>
    <row r="642">
      <c r="A642" s="17"/>
      <c r="AC642" s="17"/>
    </row>
    <row r="643">
      <c r="A643" s="17"/>
      <c r="AC643" s="17"/>
    </row>
    <row r="644">
      <c r="A644" s="17"/>
      <c r="AC644" s="17"/>
    </row>
    <row r="645">
      <c r="A645" s="17"/>
      <c r="AC645" s="17"/>
    </row>
    <row r="646">
      <c r="A646" s="17"/>
      <c r="AC646" s="17"/>
    </row>
    <row r="647">
      <c r="A647" s="17"/>
      <c r="AC647" s="17"/>
    </row>
    <row r="648">
      <c r="A648" s="17"/>
      <c r="AC648" s="17"/>
    </row>
    <row r="649">
      <c r="A649" s="17"/>
      <c r="AC649" s="17"/>
    </row>
    <row r="650">
      <c r="A650" s="17"/>
      <c r="AC650" s="17"/>
    </row>
    <row r="651">
      <c r="A651" s="17"/>
      <c r="AC651" s="17"/>
    </row>
    <row r="652">
      <c r="A652" s="17"/>
      <c r="AC652" s="17"/>
    </row>
    <row r="653">
      <c r="A653" s="17"/>
      <c r="AC653" s="17"/>
    </row>
    <row r="654">
      <c r="A654" s="17"/>
      <c r="AC654" s="17"/>
    </row>
    <row r="655">
      <c r="A655" s="17"/>
      <c r="AC655" s="17"/>
    </row>
    <row r="656">
      <c r="A656" s="17"/>
      <c r="AC656" s="17"/>
    </row>
    <row r="657">
      <c r="A657" s="17"/>
      <c r="AC657" s="17"/>
    </row>
    <row r="658">
      <c r="A658" s="17"/>
      <c r="AC658" s="17"/>
    </row>
    <row r="659">
      <c r="A659" s="17"/>
      <c r="AC659" s="17"/>
    </row>
    <row r="660">
      <c r="A660" s="17"/>
      <c r="AC660" s="17"/>
    </row>
    <row r="661">
      <c r="A661" s="17"/>
      <c r="AC661" s="17"/>
    </row>
    <row r="662">
      <c r="A662" s="17"/>
      <c r="AC662" s="17"/>
    </row>
    <row r="663">
      <c r="A663" s="17"/>
      <c r="AC663" s="17"/>
    </row>
    <row r="664">
      <c r="A664" s="17"/>
      <c r="AC664" s="17"/>
    </row>
    <row r="665">
      <c r="A665" s="17"/>
      <c r="AC665" s="17"/>
    </row>
    <row r="666">
      <c r="A666" s="17"/>
      <c r="AC666" s="17"/>
    </row>
    <row r="667">
      <c r="A667" s="17"/>
      <c r="AC667" s="17"/>
    </row>
    <row r="668">
      <c r="A668" s="17"/>
      <c r="AC668" s="17"/>
    </row>
    <row r="669">
      <c r="A669" s="17"/>
      <c r="AC669" s="17"/>
    </row>
    <row r="670">
      <c r="A670" s="17"/>
      <c r="AC670" s="17"/>
    </row>
    <row r="671">
      <c r="A671" s="17"/>
      <c r="AC671" s="17"/>
    </row>
    <row r="672">
      <c r="A672" s="17"/>
      <c r="AC672" s="17"/>
    </row>
    <row r="673">
      <c r="A673" s="17"/>
      <c r="AC673" s="17"/>
    </row>
    <row r="674">
      <c r="A674" s="17"/>
      <c r="AC674" s="17"/>
    </row>
    <row r="675">
      <c r="A675" s="17"/>
      <c r="AC675" s="17"/>
    </row>
    <row r="676">
      <c r="A676" s="17"/>
      <c r="AC676" s="17"/>
    </row>
    <row r="677">
      <c r="A677" s="17"/>
      <c r="AC677" s="17"/>
    </row>
    <row r="678">
      <c r="A678" s="17"/>
      <c r="AC678" s="17"/>
    </row>
    <row r="679">
      <c r="A679" s="17"/>
      <c r="AC679" s="17"/>
    </row>
    <row r="680">
      <c r="A680" s="17"/>
      <c r="AC680" s="17"/>
    </row>
    <row r="681">
      <c r="A681" s="17"/>
      <c r="AC681" s="17"/>
    </row>
    <row r="682">
      <c r="A682" s="17"/>
      <c r="AC682" s="17"/>
    </row>
    <row r="683">
      <c r="A683" s="17"/>
      <c r="AC683" s="17"/>
    </row>
    <row r="684">
      <c r="A684" s="17"/>
      <c r="AC684" s="17"/>
    </row>
    <row r="685">
      <c r="A685" s="17"/>
      <c r="AC685" s="17"/>
    </row>
    <row r="686">
      <c r="A686" s="17"/>
      <c r="AC686" s="17"/>
    </row>
    <row r="687">
      <c r="A687" s="17"/>
      <c r="AC687" s="17"/>
    </row>
    <row r="688">
      <c r="A688" s="17"/>
      <c r="AC688" s="17"/>
    </row>
    <row r="689">
      <c r="A689" s="17"/>
      <c r="AC689" s="17"/>
    </row>
    <row r="690">
      <c r="A690" s="17"/>
      <c r="AC690" s="17"/>
    </row>
    <row r="691">
      <c r="A691" s="17"/>
      <c r="AC691" s="17"/>
    </row>
    <row r="692">
      <c r="A692" s="17"/>
      <c r="AC692" s="17"/>
    </row>
    <row r="693">
      <c r="A693" s="17"/>
      <c r="AC693" s="17"/>
    </row>
    <row r="694">
      <c r="A694" s="17"/>
      <c r="AC694" s="17"/>
    </row>
    <row r="695">
      <c r="A695" s="17"/>
      <c r="AC695" s="17"/>
    </row>
    <row r="696">
      <c r="A696" s="17"/>
      <c r="AC696" s="17"/>
    </row>
    <row r="697">
      <c r="A697" s="17"/>
      <c r="AC697" s="17"/>
    </row>
    <row r="698">
      <c r="A698" s="17"/>
      <c r="AC698" s="17"/>
    </row>
    <row r="699">
      <c r="A699" s="17"/>
      <c r="AC699" s="17"/>
    </row>
    <row r="700">
      <c r="A700" s="17"/>
      <c r="AC700" s="17"/>
    </row>
    <row r="701">
      <c r="A701" s="17"/>
      <c r="AC701" s="17"/>
    </row>
    <row r="702">
      <c r="A702" s="17"/>
      <c r="AC702" s="17"/>
    </row>
    <row r="703">
      <c r="A703" s="17"/>
      <c r="AC703" s="17"/>
    </row>
    <row r="704">
      <c r="A704" s="17"/>
      <c r="AC704" s="17"/>
    </row>
    <row r="705">
      <c r="A705" s="17"/>
      <c r="AC705" s="17"/>
    </row>
    <row r="706">
      <c r="A706" s="17"/>
      <c r="AC706" s="17"/>
    </row>
    <row r="707">
      <c r="A707" s="17"/>
      <c r="AC707" s="17"/>
    </row>
    <row r="708">
      <c r="A708" s="17"/>
      <c r="AC708" s="17"/>
    </row>
    <row r="709">
      <c r="A709" s="17"/>
      <c r="AC709" s="17"/>
    </row>
    <row r="710">
      <c r="A710" s="17"/>
      <c r="AC710" s="17"/>
    </row>
    <row r="711">
      <c r="A711" s="17"/>
      <c r="AC711" s="17"/>
    </row>
    <row r="712">
      <c r="A712" s="17"/>
      <c r="AC712" s="17"/>
    </row>
    <row r="713">
      <c r="A713" s="17"/>
      <c r="AC713" s="17"/>
    </row>
    <row r="714">
      <c r="A714" s="17"/>
      <c r="AC714" s="17"/>
    </row>
    <row r="715">
      <c r="A715" s="17"/>
      <c r="AC715" s="17"/>
    </row>
    <row r="716">
      <c r="A716" s="17"/>
      <c r="AC716" s="17"/>
    </row>
    <row r="717">
      <c r="A717" s="17"/>
      <c r="AC717" s="17"/>
    </row>
    <row r="718">
      <c r="A718" s="17"/>
      <c r="AC718" s="17"/>
    </row>
    <row r="719">
      <c r="A719" s="17"/>
      <c r="AC719" s="17"/>
    </row>
    <row r="720">
      <c r="A720" s="17"/>
      <c r="AC720" s="17"/>
    </row>
    <row r="721">
      <c r="A721" s="17"/>
      <c r="AC721" s="17"/>
    </row>
    <row r="722">
      <c r="A722" s="17"/>
      <c r="AC722" s="17"/>
    </row>
    <row r="723">
      <c r="A723" s="17"/>
      <c r="AC723" s="17"/>
    </row>
    <row r="724">
      <c r="A724" s="17"/>
      <c r="AC724" s="17"/>
    </row>
    <row r="725">
      <c r="A725" s="17"/>
      <c r="AC725" s="17"/>
    </row>
    <row r="726">
      <c r="A726" s="17"/>
      <c r="AC726" s="17"/>
    </row>
    <row r="727">
      <c r="A727" s="17"/>
      <c r="AC727" s="17"/>
    </row>
    <row r="728">
      <c r="A728" s="17"/>
      <c r="AC728" s="17"/>
    </row>
    <row r="729">
      <c r="A729" s="17"/>
      <c r="AC729" s="17"/>
    </row>
    <row r="730">
      <c r="A730" s="17"/>
      <c r="AC730" s="17"/>
    </row>
    <row r="731">
      <c r="A731" s="17"/>
      <c r="AC731" s="17"/>
    </row>
    <row r="732">
      <c r="A732" s="17"/>
      <c r="AC732" s="17"/>
    </row>
    <row r="733">
      <c r="A733" s="17"/>
      <c r="AC733" s="17"/>
    </row>
    <row r="734">
      <c r="A734" s="17"/>
      <c r="AC734" s="17"/>
    </row>
    <row r="735">
      <c r="A735" s="17"/>
      <c r="AC735" s="17"/>
    </row>
    <row r="736">
      <c r="A736" s="17"/>
      <c r="AC736" s="17"/>
    </row>
    <row r="737">
      <c r="A737" s="17"/>
      <c r="AC737" s="17"/>
    </row>
    <row r="738">
      <c r="A738" s="17"/>
      <c r="AC738" s="17"/>
    </row>
    <row r="739">
      <c r="A739" s="17"/>
      <c r="AC739" s="17"/>
    </row>
    <row r="740">
      <c r="A740" s="17"/>
      <c r="AC740" s="17"/>
    </row>
    <row r="741">
      <c r="A741" s="17"/>
      <c r="AC741" s="17"/>
    </row>
    <row r="742">
      <c r="A742" s="17"/>
      <c r="AC742" s="17"/>
    </row>
    <row r="743">
      <c r="A743" s="17"/>
      <c r="AC743" s="17"/>
    </row>
    <row r="744">
      <c r="A744" s="17"/>
      <c r="AC744" s="17"/>
    </row>
    <row r="745">
      <c r="A745" s="17"/>
      <c r="AC745" s="17"/>
    </row>
    <row r="746">
      <c r="A746" s="17"/>
      <c r="AC746" s="17"/>
    </row>
    <row r="747">
      <c r="A747" s="17"/>
      <c r="AC747" s="17"/>
    </row>
    <row r="748">
      <c r="A748" s="17"/>
      <c r="AC748" s="17"/>
    </row>
    <row r="749">
      <c r="A749" s="17"/>
      <c r="AC749" s="17"/>
    </row>
    <row r="750">
      <c r="A750" s="17"/>
      <c r="AC750" s="17"/>
    </row>
    <row r="751">
      <c r="A751" s="17"/>
      <c r="AC751" s="17"/>
    </row>
    <row r="752">
      <c r="A752" s="17"/>
      <c r="AC752" s="17"/>
    </row>
    <row r="753">
      <c r="A753" s="17"/>
      <c r="AC753" s="17"/>
    </row>
    <row r="754">
      <c r="A754" s="17"/>
      <c r="AC754" s="17"/>
    </row>
    <row r="755">
      <c r="A755" s="17"/>
      <c r="AC755" s="17"/>
    </row>
    <row r="756">
      <c r="A756" s="17"/>
      <c r="AC756" s="17"/>
    </row>
    <row r="757">
      <c r="A757" s="17"/>
      <c r="AC757" s="17"/>
    </row>
    <row r="758">
      <c r="A758" s="17"/>
      <c r="AC758" s="17"/>
    </row>
    <row r="759">
      <c r="A759" s="17"/>
      <c r="AC759" s="17"/>
    </row>
    <row r="760">
      <c r="A760" s="17"/>
      <c r="AC760" s="17"/>
    </row>
    <row r="761">
      <c r="A761" s="17"/>
      <c r="AC761" s="17"/>
    </row>
    <row r="762">
      <c r="A762" s="17"/>
      <c r="AC762" s="17"/>
    </row>
    <row r="763">
      <c r="A763" s="17"/>
      <c r="AC763" s="17"/>
    </row>
    <row r="764">
      <c r="A764" s="17"/>
      <c r="AC764" s="17"/>
    </row>
    <row r="765">
      <c r="A765" s="17"/>
      <c r="AC765" s="17"/>
    </row>
    <row r="766">
      <c r="A766" s="17"/>
      <c r="AC766" s="17"/>
    </row>
    <row r="767">
      <c r="A767" s="17"/>
      <c r="AC767" s="17"/>
    </row>
    <row r="768">
      <c r="A768" s="17"/>
      <c r="AC768" s="17"/>
    </row>
    <row r="769">
      <c r="A769" s="17"/>
      <c r="AC769" s="17"/>
    </row>
    <row r="770">
      <c r="A770" s="17"/>
      <c r="AC770" s="17"/>
    </row>
    <row r="771">
      <c r="A771" s="17"/>
      <c r="AC771" s="17"/>
    </row>
    <row r="772">
      <c r="A772" s="17"/>
      <c r="AC772" s="17"/>
    </row>
    <row r="773">
      <c r="A773" s="17"/>
      <c r="AC773" s="17"/>
    </row>
    <row r="774">
      <c r="A774" s="17"/>
      <c r="AC774" s="17"/>
    </row>
    <row r="775">
      <c r="A775" s="17"/>
      <c r="AC775" s="17"/>
    </row>
    <row r="776">
      <c r="A776" s="17"/>
      <c r="AC776" s="17"/>
    </row>
    <row r="777">
      <c r="A777" s="17"/>
      <c r="AC777" s="17"/>
    </row>
    <row r="778">
      <c r="A778" s="17"/>
      <c r="AC778" s="17"/>
    </row>
    <row r="779">
      <c r="A779" s="17"/>
      <c r="AC779" s="17"/>
    </row>
    <row r="780">
      <c r="A780" s="17"/>
      <c r="AC780" s="17"/>
    </row>
    <row r="781">
      <c r="A781" s="17"/>
      <c r="AC781" s="17"/>
    </row>
    <row r="782">
      <c r="A782" s="17"/>
      <c r="AC782" s="17"/>
    </row>
    <row r="783">
      <c r="A783" s="17"/>
      <c r="AC783" s="17"/>
    </row>
    <row r="784">
      <c r="A784" s="17"/>
      <c r="AC784" s="17"/>
    </row>
    <row r="785">
      <c r="A785" s="17"/>
      <c r="AC785" s="17"/>
    </row>
    <row r="786">
      <c r="A786" s="17"/>
      <c r="AC786" s="17"/>
    </row>
    <row r="787">
      <c r="A787" s="17"/>
      <c r="AC787" s="17"/>
    </row>
    <row r="788">
      <c r="A788" s="17"/>
      <c r="AC788" s="17"/>
    </row>
    <row r="789">
      <c r="A789" s="17"/>
      <c r="AC789" s="17"/>
    </row>
    <row r="790">
      <c r="A790" s="17"/>
      <c r="AC790" s="17"/>
    </row>
    <row r="791">
      <c r="A791" s="17"/>
      <c r="AC791" s="17"/>
    </row>
    <row r="792">
      <c r="A792" s="17"/>
      <c r="AC792" s="17"/>
    </row>
    <row r="793">
      <c r="A793" s="17"/>
      <c r="AC793" s="17"/>
    </row>
    <row r="794">
      <c r="A794" s="17"/>
      <c r="AC794" s="17"/>
    </row>
    <row r="795">
      <c r="A795" s="17"/>
      <c r="AC795" s="17"/>
    </row>
    <row r="796">
      <c r="A796" s="17"/>
      <c r="AC796" s="17"/>
    </row>
    <row r="797">
      <c r="A797" s="17"/>
      <c r="AC797" s="17"/>
    </row>
    <row r="798">
      <c r="A798" s="17"/>
      <c r="AC798" s="17"/>
    </row>
    <row r="799">
      <c r="A799" s="17"/>
      <c r="AC799" s="17"/>
    </row>
    <row r="800">
      <c r="A800" s="17"/>
      <c r="AC800" s="17"/>
    </row>
    <row r="801">
      <c r="A801" s="17"/>
      <c r="AC801" s="17"/>
    </row>
    <row r="802">
      <c r="A802" s="17"/>
      <c r="AC802" s="17"/>
    </row>
    <row r="803">
      <c r="A803" s="17"/>
      <c r="AC803" s="17"/>
    </row>
    <row r="804">
      <c r="A804" s="17"/>
      <c r="AC804" s="17"/>
    </row>
    <row r="805">
      <c r="A805" s="17"/>
      <c r="AC805" s="17"/>
    </row>
    <row r="806">
      <c r="A806" s="17"/>
      <c r="AC806" s="17"/>
    </row>
    <row r="807">
      <c r="A807" s="17"/>
      <c r="AC807" s="17"/>
    </row>
    <row r="808">
      <c r="A808" s="17"/>
      <c r="AC808" s="17"/>
    </row>
    <row r="809">
      <c r="A809" s="17"/>
      <c r="AC809" s="17"/>
    </row>
    <row r="810">
      <c r="A810" s="17"/>
      <c r="AC810" s="17"/>
    </row>
    <row r="811">
      <c r="A811" s="17"/>
      <c r="AC811" s="17"/>
    </row>
    <row r="812">
      <c r="A812" s="17"/>
      <c r="AC812" s="17"/>
    </row>
    <row r="813">
      <c r="A813" s="17"/>
      <c r="AC813" s="17"/>
    </row>
    <row r="814">
      <c r="A814" s="17"/>
      <c r="AC814" s="17"/>
    </row>
    <row r="815">
      <c r="A815" s="17"/>
      <c r="AC815" s="17"/>
    </row>
    <row r="816">
      <c r="A816" s="17"/>
      <c r="AC816" s="17"/>
    </row>
    <row r="817">
      <c r="A817" s="17"/>
      <c r="AC817" s="17"/>
    </row>
    <row r="818">
      <c r="A818" s="17"/>
      <c r="AC818" s="17"/>
    </row>
    <row r="819">
      <c r="A819" s="17"/>
      <c r="AC819" s="17"/>
    </row>
    <row r="820">
      <c r="A820" s="17"/>
      <c r="AC820" s="17"/>
    </row>
    <row r="821">
      <c r="A821" s="17"/>
      <c r="AC821" s="17"/>
    </row>
    <row r="822">
      <c r="A822" s="17"/>
      <c r="AC822" s="17"/>
    </row>
    <row r="823">
      <c r="A823" s="17"/>
      <c r="AC823" s="17"/>
    </row>
    <row r="824">
      <c r="A824" s="17"/>
      <c r="AC824" s="17"/>
    </row>
    <row r="825">
      <c r="A825" s="17"/>
      <c r="AC825" s="17"/>
    </row>
    <row r="826">
      <c r="A826" s="17"/>
      <c r="AC826" s="17"/>
    </row>
    <row r="827">
      <c r="A827" s="17"/>
      <c r="AC827" s="17"/>
    </row>
    <row r="828">
      <c r="A828" s="17"/>
      <c r="AC828" s="17"/>
    </row>
    <row r="829">
      <c r="A829" s="17"/>
      <c r="AC829" s="17"/>
    </row>
    <row r="830">
      <c r="A830" s="17"/>
      <c r="AC830" s="17"/>
    </row>
    <row r="831">
      <c r="A831" s="17"/>
      <c r="AC831" s="17"/>
    </row>
    <row r="832">
      <c r="A832" s="17"/>
      <c r="AC832" s="17"/>
    </row>
    <row r="833">
      <c r="A833" s="17"/>
      <c r="AC833" s="17"/>
    </row>
    <row r="834">
      <c r="A834" s="17"/>
      <c r="AC834" s="17"/>
    </row>
    <row r="835">
      <c r="A835" s="17"/>
      <c r="AC835" s="17"/>
    </row>
    <row r="836">
      <c r="A836" s="17"/>
      <c r="AC836" s="17"/>
    </row>
    <row r="837">
      <c r="A837" s="17"/>
      <c r="AC837" s="17"/>
    </row>
    <row r="838">
      <c r="A838" s="17"/>
      <c r="AC838" s="17"/>
    </row>
    <row r="839">
      <c r="A839" s="17"/>
      <c r="AC839" s="17"/>
    </row>
    <row r="840">
      <c r="A840" s="17"/>
      <c r="AC840" s="17"/>
    </row>
    <row r="841">
      <c r="A841" s="17"/>
      <c r="AC841" s="17"/>
    </row>
    <row r="842">
      <c r="A842" s="17"/>
      <c r="AC842" s="17"/>
    </row>
    <row r="843">
      <c r="A843" s="17"/>
      <c r="AC843" s="17"/>
    </row>
    <row r="844">
      <c r="A844" s="17"/>
      <c r="AC844" s="17"/>
    </row>
    <row r="845">
      <c r="A845" s="17"/>
      <c r="AC845" s="17"/>
    </row>
    <row r="846">
      <c r="A846" s="17"/>
      <c r="AC846" s="17"/>
    </row>
    <row r="847">
      <c r="A847" s="17"/>
      <c r="AC847" s="17"/>
    </row>
    <row r="848">
      <c r="A848" s="17"/>
      <c r="AC848" s="17"/>
    </row>
    <row r="849">
      <c r="A849" s="17"/>
      <c r="AC849" s="17"/>
    </row>
    <row r="850">
      <c r="A850" s="17"/>
      <c r="AC850" s="17"/>
    </row>
    <row r="851">
      <c r="A851" s="17"/>
      <c r="AC851" s="17"/>
    </row>
    <row r="852">
      <c r="A852" s="17"/>
      <c r="AC852" s="17"/>
    </row>
    <row r="853">
      <c r="A853" s="17"/>
      <c r="AC853" s="17"/>
    </row>
    <row r="854">
      <c r="A854" s="17"/>
      <c r="AC854" s="17"/>
    </row>
    <row r="855">
      <c r="A855" s="17"/>
      <c r="AC855" s="17"/>
    </row>
    <row r="856">
      <c r="A856" s="17"/>
      <c r="AC856" s="17"/>
    </row>
    <row r="857">
      <c r="A857" s="17"/>
      <c r="AC857" s="17"/>
    </row>
    <row r="858">
      <c r="A858" s="17"/>
      <c r="AC858" s="17"/>
    </row>
    <row r="859">
      <c r="A859" s="17"/>
      <c r="AC859" s="17"/>
    </row>
    <row r="860">
      <c r="A860" s="17"/>
      <c r="AC860" s="17"/>
    </row>
    <row r="861">
      <c r="A861" s="17"/>
      <c r="AC861" s="17"/>
    </row>
    <row r="862">
      <c r="A862" s="17"/>
      <c r="AC862" s="17"/>
    </row>
    <row r="863">
      <c r="A863" s="17"/>
      <c r="AC863" s="17"/>
    </row>
    <row r="864">
      <c r="A864" s="17"/>
      <c r="AC864" s="17"/>
    </row>
    <row r="865">
      <c r="A865" s="17"/>
      <c r="AC865" s="17"/>
    </row>
    <row r="866">
      <c r="A866" s="17"/>
      <c r="AC866" s="17"/>
    </row>
    <row r="867">
      <c r="A867" s="17"/>
      <c r="AC867" s="17"/>
    </row>
    <row r="868">
      <c r="A868" s="17"/>
      <c r="AC868" s="17"/>
    </row>
    <row r="869">
      <c r="A869" s="17"/>
      <c r="AC869" s="17"/>
    </row>
    <row r="870">
      <c r="A870" s="17"/>
      <c r="AC870" s="17"/>
    </row>
    <row r="871">
      <c r="A871" s="17"/>
      <c r="AC871" s="17"/>
    </row>
    <row r="872">
      <c r="A872" s="17"/>
      <c r="AC872" s="17"/>
    </row>
    <row r="873">
      <c r="A873" s="17"/>
      <c r="AC873" s="17"/>
    </row>
    <row r="874">
      <c r="A874" s="17"/>
      <c r="AC874" s="17"/>
    </row>
    <row r="875">
      <c r="A875" s="17"/>
      <c r="AC875" s="17"/>
    </row>
    <row r="876">
      <c r="A876" s="17"/>
      <c r="AC876" s="17"/>
    </row>
    <row r="877">
      <c r="A877" s="17"/>
      <c r="AC877" s="17"/>
    </row>
    <row r="878">
      <c r="A878" s="17"/>
      <c r="AC878" s="17"/>
    </row>
    <row r="879">
      <c r="A879" s="17"/>
      <c r="AC879" s="17"/>
    </row>
    <row r="880">
      <c r="A880" s="17"/>
      <c r="AC880" s="17"/>
    </row>
    <row r="881">
      <c r="A881" s="17"/>
      <c r="AC881" s="17"/>
    </row>
    <row r="882">
      <c r="A882" s="17"/>
      <c r="AC882" s="17"/>
    </row>
    <row r="883">
      <c r="A883" s="17"/>
      <c r="AC883" s="17"/>
    </row>
    <row r="884">
      <c r="A884" s="17"/>
      <c r="AC884" s="17"/>
    </row>
    <row r="885">
      <c r="A885" s="17"/>
      <c r="AC885" s="17"/>
    </row>
    <row r="886">
      <c r="A886" s="17"/>
      <c r="AC886" s="17"/>
    </row>
    <row r="887">
      <c r="A887" s="17"/>
      <c r="AC887" s="17"/>
    </row>
    <row r="888">
      <c r="A888" s="17"/>
      <c r="AC888" s="17"/>
    </row>
    <row r="889">
      <c r="A889" s="17"/>
      <c r="AC889" s="17"/>
    </row>
    <row r="890">
      <c r="A890" s="17"/>
      <c r="AC890" s="17"/>
    </row>
    <row r="891">
      <c r="A891" s="17"/>
      <c r="AC891" s="17"/>
    </row>
    <row r="892">
      <c r="A892" s="17"/>
      <c r="AC892" s="17"/>
    </row>
    <row r="893">
      <c r="A893" s="17"/>
      <c r="AC893" s="17"/>
    </row>
    <row r="894">
      <c r="A894" s="17"/>
      <c r="AC894" s="17"/>
    </row>
    <row r="895">
      <c r="A895" s="17"/>
      <c r="AC895" s="17"/>
    </row>
    <row r="896">
      <c r="A896" s="17"/>
      <c r="AC896" s="17"/>
    </row>
    <row r="897">
      <c r="A897" s="17"/>
      <c r="AC897" s="17"/>
    </row>
    <row r="898">
      <c r="A898" s="17"/>
      <c r="AC898" s="17"/>
    </row>
    <row r="899">
      <c r="A899" s="17"/>
      <c r="AC899" s="17"/>
    </row>
    <row r="900">
      <c r="A900" s="17"/>
      <c r="AC900" s="17"/>
    </row>
    <row r="901">
      <c r="A901" s="17"/>
      <c r="AC901" s="17"/>
    </row>
    <row r="902">
      <c r="A902" s="17"/>
      <c r="AC902" s="17"/>
    </row>
    <row r="903">
      <c r="A903" s="17"/>
      <c r="AC903" s="17"/>
    </row>
    <row r="904">
      <c r="A904" s="17"/>
      <c r="AC904" s="17"/>
    </row>
    <row r="905">
      <c r="A905" s="17"/>
      <c r="AC905" s="17"/>
    </row>
    <row r="906">
      <c r="A906" s="17"/>
      <c r="AC906" s="17"/>
    </row>
    <row r="907">
      <c r="A907" s="17"/>
      <c r="AC907" s="17"/>
    </row>
    <row r="908">
      <c r="A908" s="17"/>
      <c r="AC908" s="17"/>
    </row>
    <row r="909">
      <c r="A909" s="17"/>
      <c r="AC909" s="17"/>
    </row>
    <row r="910">
      <c r="A910" s="17"/>
      <c r="AC910" s="17"/>
    </row>
    <row r="911">
      <c r="A911" s="17"/>
      <c r="AC911" s="17"/>
    </row>
    <row r="912">
      <c r="A912" s="17"/>
      <c r="AC912" s="17"/>
    </row>
    <row r="913">
      <c r="A913" s="17"/>
      <c r="AC913" s="17"/>
    </row>
    <row r="914">
      <c r="A914" s="17"/>
      <c r="AC914" s="17"/>
    </row>
    <row r="915">
      <c r="A915" s="17"/>
      <c r="AC915" s="17"/>
    </row>
    <row r="916">
      <c r="A916" s="17"/>
      <c r="AC916" s="17"/>
    </row>
    <row r="917">
      <c r="A917" s="17"/>
      <c r="AC917" s="17"/>
    </row>
    <row r="918">
      <c r="A918" s="17"/>
      <c r="AC918" s="17"/>
    </row>
    <row r="919">
      <c r="A919" s="17"/>
      <c r="AC919" s="17"/>
    </row>
    <row r="920">
      <c r="A920" s="17"/>
      <c r="AC920" s="17"/>
    </row>
    <row r="921">
      <c r="A921" s="17"/>
      <c r="AC921" s="17"/>
    </row>
    <row r="922">
      <c r="A922" s="17"/>
      <c r="AC922" s="17"/>
    </row>
    <row r="923">
      <c r="A923" s="17"/>
      <c r="AC923" s="17"/>
    </row>
    <row r="924">
      <c r="A924" s="17"/>
      <c r="AC924" s="17"/>
    </row>
    <row r="925">
      <c r="A925" s="17"/>
      <c r="AC925" s="17"/>
    </row>
    <row r="926">
      <c r="A926" s="17"/>
      <c r="AC926" s="17"/>
    </row>
    <row r="927">
      <c r="A927" s="17"/>
      <c r="AC927" s="17"/>
    </row>
    <row r="928">
      <c r="A928" s="17"/>
      <c r="AC928" s="17"/>
    </row>
    <row r="929">
      <c r="A929" s="17"/>
      <c r="AC929" s="17"/>
    </row>
    <row r="930">
      <c r="A930" s="17"/>
      <c r="AC930" s="17"/>
    </row>
    <row r="931">
      <c r="A931" s="17"/>
      <c r="AC931" s="17"/>
    </row>
    <row r="932">
      <c r="A932" s="17"/>
      <c r="AC932" s="17"/>
    </row>
    <row r="933">
      <c r="A933" s="17"/>
      <c r="AC933" s="17"/>
    </row>
    <row r="934">
      <c r="A934" s="17"/>
      <c r="AC934" s="17"/>
    </row>
    <row r="935">
      <c r="A935" s="17"/>
      <c r="AC935" s="17"/>
    </row>
    <row r="936">
      <c r="A936" s="17"/>
      <c r="AC936" s="17"/>
    </row>
    <row r="937">
      <c r="A937" s="17"/>
      <c r="AC937" s="17"/>
    </row>
    <row r="938">
      <c r="A938" s="17"/>
      <c r="AC938" s="17"/>
    </row>
    <row r="939">
      <c r="A939" s="17"/>
      <c r="AC939" s="17"/>
    </row>
    <row r="940">
      <c r="A940" s="17"/>
      <c r="AC940" s="17"/>
    </row>
    <row r="941">
      <c r="A941" s="17"/>
      <c r="AC941" s="17"/>
    </row>
    <row r="942">
      <c r="A942" s="17"/>
      <c r="AC942" s="17"/>
    </row>
    <row r="943">
      <c r="A943" s="17"/>
      <c r="AC943" s="17"/>
    </row>
    <row r="944">
      <c r="A944" s="17"/>
      <c r="AC944" s="17"/>
    </row>
    <row r="945">
      <c r="A945" s="17"/>
      <c r="AC945" s="17"/>
    </row>
    <row r="946">
      <c r="A946" s="17"/>
      <c r="AC946" s="17"/>
    </row>
    <row r="947">
      <c r="A947" s="17"/>
      <c r="AC947" s="17"/>
    </row>
    <row r="948">
      <c r="A948" s="17"/>
      <c r="AC948" s="17"/>
    </row>
    <row r="949">
      <c r="A949" s="17"/>
      <c r="AC949" s="17"/>
    </row>
    <row r="950">
      <c r="A950" s="17"/>
      <c r="AC950" s="17"/>
    </row>
    <row r="951">
      <c r="A951" s="17"/>
      <c r="AC951" s="17"/>
    </row>
    <row r="952">
      <c r="A952" s="17"/>
      <c r="AC952" s="17"/>
    </row>
    <row r="953">
      <c r="A953" s="17"/>
      <c r="AC953" s="17"/>
    </row>
    <row r="954">
      <c r="A954" s="17"/>
      <c r="AC954" s="17"/>
    </row>
    <row r="955">
      <c r="A955" s="17"/>
      <c r="AC955" s="17"/>
    </row>
    <row r="956">
      <c r="A956" s="17"/>
      <c r="AC956" s="17"/>
    </row>
    <row r="957">
      <c r="A957" s="17"/>
      <c r="AC957" s="17"/>
    </row>
    <row r="958">
      <c r="A958" s="17"/>
      <c r="AC958" s="17"/>
    </row>
    <row r="959">
      <c r="A959" s="17"/>
      <c r="AC959" s="17"/>
    </row>
    <row r="960">
      <c r="A960" s="17"/>
      <c r="AC960" s="17"/>
    </row>
    <row r="961">
      <c r="A961" s="17"/>
      <c r="AC961" s="17"/>
    </row>
    <row r="962">
      <c r="A962" s="17"/>
      <c r="AC962" s="17"/>
    </row>
    <row r="963">
      <c r="A963" s="17"/>
      <c r="AC963" s="17"/>
    </row>
    <row r="964">
      <c r="A964" s="17"/>
      <c r="AC964" s="17"/>
    </row>
    <row r="965">
      <c r="A965" s="17"/>
      <c r="AC965" s="17"/>
    </row>
    <row r="966">
      <c r="A966" s="17"/>
      <c r="AC966" s="17"/>
    </row>
    <row r="967">
      <c r="A967" s="17"/>
      <c r="AC967" s="17"/>
    </row>
    <row r="968">
      <c r="A968" s="17"/>
      <c r="AC968" s="17"/>
    </row>
    <row r="969">
      <c r="A969" s="17"/>
      <c r="AC969" s="17"/>
    </row>
    <row r="970">
      <c r="A970" s="17"/>
      <c r="AC970" s="17"/>
    </row>
    <row r="971">
      <c r="A971" s="17"/>
      <c r="AC971" s="17"/>
    </row>
    <row r="972">
      <c r="A972" s="17"/>
      <c r="AC972" s="17"/>
    </row>
    <row r="973">
      <c r="A973" s="17"/>
      <c r="AC973" s="17"/>
    </row>
    <row r="974">
      <c r="A974" s="17"/>
      <c r="AC974" s="17"/>
    </row>
    <row r="975">
      <c r="A975" s="17"/>
      <c r="AC975" s="17"/>
    </row>
    <row r="976">
      <c r="A976" s="17"/>
      <c r="AC976" s="17"/>
    </row>
    <row r="977">
      <c r="A977" s="17"/>
      <c r="AC977" s="17"/>
    </row>
    <row r="978">
      <c r="A978" s="17"/>
      <c r="AC978" s="17"/>
    </row>
    <row r="979">
      <c r="A979" s="17"/>
      <c r="AC979" s="17"/>
    </row>
    <row r="980">
      <c r="A980" s="17"/>
      <c r="AC980" s="17"/>
    </row>
    <row r="981">
      <c r="A981" s="17"/>
      <c r="AC981" s="17"/>
    </row>
    <row r="982">
      <c r="A982" s="17"/>
      <c r="AC982" s="17"/>
    </row>
    <row r="983">
      <c r="A983" s="17"/>
      <c r="AC983" s="17"/>
    </row>
    <row r="984">
      <c r="A984" s="17"/>
      <c r="AC984" s="17"/>
    </row>
    <row r="985">
      <c r="A985" s="17"/>
      <c r="AC985" s="17"/>
    </row>
    <row r="986">
      <c r="A986" s="17"/>
      <c r="AC986" s="17"/>
    </row>
    <row r="987">
      <c r="A987" s="17"/>
      <c r="AC987" s="17"/>
    </row>
    <row r="988">
      <c r="A988" s="17"/>
      <c r="AC988" s="17"/>
    </row>
    <row r="989">
      <c r="A989" s="17"/>
      <c r="AC989" s="17"/>
    </row>
    <row r="990">
      <c r="A990" s="17"/>
      <c r="AC990" s="17"/>
    </row>
    <row r="991">
      <c r="A991" s="17"/>
      <c r="AC991" s="17"/>
    </row>
    <row r="992">
      <c r="A992" s="17"/>
      <c r="AC992" s="17"/>
    </row>
    <row r="993">
      <c r="A993" s="17"/>
      <c r="AC993" s="17"/>
    </row>
    <row r="994">
      <c r="A994" s="17"/>
      <c r="AC994" s="17"/>
    </row>
    <row r="995">
      <c r="A995" s="17"/>
      <c r="AC995" s="17"/>
    </row>
    <row r="996">
      <c r="A996" s="17"/>
      <c r="AC996" s="17"/>
    </row>
    <row r="997">
      <c r="A997" s="17"/>
      <c r="AC997" s="17"/>
    </row>
    <row r="998">
      <c r="A998" s="17"/>
      <c r="AC998" s="17"/>
    </row>
    <row r="999">
      <c r="A999" s="17"/>
      <c r="AC999" s="17"/>
    </row>
    <row r="1000">
      <c r="A1000" s="17"/>
      <c r="AC1000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25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">
        <v>0.0</v>
      </c>
      <c r="B2" s="27">
        <f t="array" ref="B2:F6">if(B1:F1*G2:G6&lt;A2:A6*B7:F7,B1:F1*G2:G6,A2:A6*B7:F7)</f>
        <v>0</v>
      </c>
      <c r="C2" s="5">
        <v>0.0</v>
      </c>
      <c r="D2" s="5">
        <v>0.0</v>
      </c>
      <c r="E2" s="5">
        <v>0.0</v>
      </c>
      <c r="F2" s="5">
        <v>0.0</v>
      </c>
      <c r="G2" s="17">
        <f t="shared" ref="G2:G6" si="1">4-A2</f>
        <v>4</v>
      </c>
    </row>
    <row r="3">
      <c r="A3" s="2">
        <v>1.0</v>
      </c>
      <c r="B3" s="5">
        <v>0.0</v>
      </c>
      <c r="C3" s="27">
        <v>3.0</v>
      </c>
      <c r="D3" s="15">
        <v>2.0</v>
      </c>
      <c r="E3" s="5">
        <v>1.0</v>
      </c>
      <c r="F3" s="5">
        <v>0.0</v>
      </c>
      <c r="G3" s="17">
        <f t="shared" si="1"/>
        <v>3</v>
      </c>
    </row>
    <row r="4">
      <c r="A4" s="2">
        <v>2.0</v>
      </c>
      <c r="B4" s="5">
        <v>0.0</v>
      </c>
      <c r="C4" s="15">
        <v>2.0</v>
      </c>
      <c r="D4" s="27">
        <v>4.0</v>
      </c>
      <c r="E4" s="15">
        <v>2.0</v>
      </c>
      <c r="F4" s="5">
        <v>0.0</v>
      </c>
      <c r="G4" s="17">
        <f t="shared" si="1"/>
        <v>2</v>
      </c>
    </row>
    <row r="5">
      <c r="A5" s="2">
        <v>3.0</v>
      </c>
      <c r="B5" s="5">
        <v>0.0</v>
      </c>
      <c r="C5" s="5">
        <v>1.0</v>
      </c>
      <c r="D5" s="15">
        <v>2.0</v>
      </c>
      <c r="E5" s="27">
        <v>3.0</v>
      </c>
      <c r="F5" s="5">
        <v>0.0</v>
      </c>
      <c r="G5" s="17">
        <f t="shared" si="1"/>
        <v>1</v>
      </c>
    </row>
    <row r="6">
      <c r="A6" s="2">
        <v>4.0</v>
      </c>
      <c r="B6" s="5">
        <v>0.0</v>
      </c>
      <c r="C6" s="5">
        <v>0.0</v>
      </c>
      <c r="D6" s="5">
        <v>0.0</v>
      </c>
      <c r="E6" s="5">
        <v>0.0</v>
      </c>
      <c r="F6" s="27">
        <v>0.0</v>
      </c>
      <c r="G6" s="17">
        <f t="shared" si="1"/>
        <v>0</v>
      </c>
    </row>
    <row r="7">
      <c r="A7" s="17"/>
      <c r="B7" s="17">
        <f t="shared" ref="B7:F7" si="2">4-B1</f>
        <v>4</v>
      </c>
      <c r="C7" s="17">
        <f t="shared" si="2"/>
        <v>3</v>
      </c>
      <c r="D7" s="17">
        <f t="shared" si="2"/>
        <v>2</v>
      </c>
      <c r="E7" s="17">
        <f t="shared" si="2"/>
        <v>1</v>
      </c>
      <c r="F7" s="17">
        <f t="shared" si="2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G8" s="17"/>
    </row>
    <row r="9">
      <c r="A9" s="17"/>
      <c r="B9" s="2">
        <v>0.0</v>
      </c>
      <c r="C9" s="2">
        <v>1.0</v>
      </c>
      <c r="D9" s="2">
        <v>2.0</v>
      </c>
      <c r="E9" s="2">
        <v>3.0</v>
      </c>
      <c r="F9" s="2">
        <v>4.0</v>
      </c>
      <c r="G9" s="17"/>
    </row>
    <row r="10">
      <c r="A10" s="2">
        <v>0.0</v>
      </c>
      <c r="B10" s="27">
        <f t="array" ref="B10:F14">B9:F9*G10:G14+A10:A14*B15:F15</f>
        <v>0</v>
      </c>
      <c r="C10" s="5">
        <v>4.0</v>
      </c>
      <c r="D10" s="5">
        <v>8.0</v>
      </c>
      <c r="E10" s="5">
        <v>12.0</v>
      </c>
      <c r="F10" s="5">
        <v>16.0</v>
      </c>
      <c r="G10" s="17">
        <f t="shared" ref="G10:G14" si="3">4-A10</f>
        <v>4</v>
      </c>
    </row>
    <row r="11">
      <c r="A11" s="2">
        <v>1.0</v>
      </c>
      <c r="B11" s="5">
        <v>4.0</v>
      </c>
      <c r="C11" s="27">
        <v>6.0</v>
      </c>
      <c r="D11" s="15">
        <v>8.0</v>
      </c>
      <c r="E11" s="5">
        <v>10.0</v>
      </c>
      <c r="F11" s="5">
        <v>12.0</v>
      </c>
      <c r="G11" s="17">
        <f t="shared" si="3"/>
        <v>3</v>
      </c>
    </row>
    <row r="12">
      <c r="A12" s="2">
        <v>2.0</v>
      </c>
      <c r="B12" s="5">
        <v>8.0</v>
      </c>
      <c r="C12" s="15">
        <v>8.0</v>
      </c>
      <c r="D12" s="27">
        <v>8.0</v>
      </c>
      <c r="E12" s="15">
        <v>8.0</v>
      </c>
      <c r="F12" s="5">
        <v>8.0</v>
      </c>
      <c r="G12" s="17">
        <f t="shared" si="3"/>
        <v>2</v>
      </c>
    </row>
    <row r="13">
      <c r="A13" s="2">
        <v>3.0</v>
      </c>
      <c r="B13" s="5">
        <v>12.0</v>
      </c>
      <c r="C13" s="5">
        <v>10.0</v>
      </c>
      <c r="D13" s="15">
        <v>8.0</v>
      </c>
      <c r="E13" s="27">
        <v>6.0</v>
      </c>
      <c r="F13" s="5">
        <v>4.0</v>
      </c>
      <c r="G13" s="17">
        <f t="shared" si="3"/>
        <v>1</v>
      </c>
    </row>
    <row r="14">
      <c r="A14" s="2">
        <v>4.0</v>
      </c>
      <c r="B14" s="5">
        <v>16.0</v>
      </c>
      <c r="C14" s="5">
        <v>12.0</v>
      </c>
      <c r="D14" s="5">
        <v>8.0</v>
      </c>
      <c r="E14" s="5">
        <v>4.0</v>
      </c>
      <c r="F14" s="27">
        <v>0.0</v>
      </c>
      <c r="G14" s="17">
        <f t="shared" si="3"/>
        <v>0</v>
      </c>
    </row>
    <row r="15">
      <c r="A15" s="17"/>
      <c r="B15" s="17">
        <f t="shared" ref="B15:F15" si="4">4-B9</f>
        <v>4</v>
      </c>
      <c r="C15" s="17">
        <f t="shared" si="4"/>
        <v>3</v>
      </c>
      <c r="D15" s="17">
        <f t="shared" si="4"/>
        <v>2</v>
      </c>
      <c r="E15" s="17">
        <f t="shared" si="4"/>
        <v>1</v>
      </c>
      <c r="F15" s="17">
        <f t="shared" si="4"/>
        <v>0</v>
      </c>
      <c r="G15" s="17"/>
    </row>
    <row r="16">
      <c r="A16" s="17"/>
      <c r="G16" s="17"/>
    </row>
    <row r="17">
      <c r="A17" s="17"/>
      <c r="G17" s="17"/>
    </row>
    <row r="18">
      <c r="A18" s="17"/>
      <c r="G18" s="17"/>
    </row>
    <row r="19">
      <c r="A19" s="17"/>
      <c r="G19" s="17"/>
    </row>
    <row r="20">
      <c r="A20" s="17"/>
      <c r="G20" s="17"/>
    </row>
    <row r="21">
      <c r="A21" s="17"/>
      <c r="G21" s="17"/>
    </row>
    <row r="22">
      <c r="A22" s="17"/>
      <c r="G22" s="17"/>
    </row>
    <row r="23">
      <c r="A23" s="17"/>
      <c r="G23" s="17"/>
    </row>
    <row r="24">
      <c r="A24" s="17"/>
      <c r="G24" s="17"/>
    </row>
    <row r="25">
      <c r="A25" s="17"/>
      <c r="G25" s="17"/>
    </row>
    <row r="26">
      <c r="A26" s="17"/>
      <c r="G26" s="17"/>
    </row>
    <row r="27">
      <c r="A27" s="17"/>
      <c r="G27" s="17"/>
    </row>
    <row r="28">
      <c r="A28" s="17"/>
      <c r="G28" s="17"/>
    </row>
    <row r="29">
      <c r="A29" s="17"/>
      <c r="G29" s="17"/>
    </row>
    <row r="30">
      <c r="A30" s="17"/>
      <c r="G30" s="17"/>
    </row>
    <row r="31">
      <c r="A31" s="17"/>
      <c r="G31" s="17"/>
    </row>
    <row r="32">
      <c r="A32" s="17"/>
      <c r="G32" s="17"/>
    </row>
    <row r="33">
      <c r="A33" s="17"/>
      <c r="G33" s="17"/>
    </row>
    <row r="34">
      <c r="A34" s="17"/>
      <c r="G34" s="17"/>
    </row>
    <row r="35">
      <c r="A35" s="17"/>
      <c r="G35" s="17"/>
    </row>
    <row r="36">
      <c r="A36" s="17"/>
      <c r="G36" s="17"/>
    </row>
    <row r="37">
      <c r="A37" s="17"/>
      <c r="G37" s="17"/>
    </row>
    <row r="38">
      <c r="A38" s="17"/>
      <c r="G38" s="17"/>
    </row>
    <row r="39">
      <c r="A39" s="17"/>
      <c r="G39" s="17"/>
    </row>
    <row r="40">
      <c r="A40" s="17"/>
      <c r="G40" s="17"/>
    </row>
    <row r="41">
      <c r="A41" s="17"/>
      <c r="G41" s="17"/>
    </row>
    <row r="42">
      <c r="A42" s="17"/>
      <c r="G42" s="17"/>
    </row>
    <row r="43">
      <c r="A43" s="17"/>
      <c r="G43" s="17"/>
    </row>
    <row r="44">
      <c r="A44" s="17"/>
      <c r="G44" s="17"/>
    </row>
    <row r="45">
      <c r="A45" s="17"/>
      <c r="G45" s="17"/>
    </row>
    <row r="46">
      <c r="A46" s="17"/>
      <c r="G46" s="17"/>
    </row>
    <row r="47">
      <c r="A47" s="17"/>
      <c r="G47" s="17"/>
    </row>
    <row r="48">
      <c r="A48" s="17"/>
      <c r="G48" s="17"/>
    </row>
    <row r="49">
      <c r="A49" s="17"/>
      <c r="G49" s="17"/>
    </row>
    <row r="50">
      <c r="A50" s="17"/>
      <c r="G50" s="17"/>
    </row>
    <row r="51">
      <c r="A51" s="17"/>
      <c r="G51" s="17"/>
    </row>
    <row r="52">
      <c r="A52" s="17"/>
      <c r="G52" s="17"/>
    </row>
    <row r="53">
      <c r="A53" s="17"/>
      <c r="G53" s="17"/>
    </row>
    <row r="54">
      <c r="A54" s="17"/>
      <c r="G54" s="17"/>
    </row>
    <row r="55">
      <c r="A55" s="17"/>
      <c r="G55" s="17"/>
    </row>
    <row r="56">
      <c r="A56" s="17"/>
      <c r="G56" s="17"/>
    </row>
    <row r="57">
      <c r="A57" s="17"/>
      <c r="G57" s="17"/>
    </row>
    <row r="58">
      <c r="A58" s="17"/>
      <c r="G58" s="17"/>
    </row>
    <row r="59">
      <c r="A59" s="17"/>
      <c r="G59" s="17"/>
    </row>
    <row r="60">
      <c r="A60" s="17"/>
      <c r="G60" s="17"/>
    </row>
    <row r="61">
      <c r="A61" s="17"/>
      <c r="G61" s="17"/>
    </row>
    <row r="62">
      <c r="A62" s="17"/>
      <c r="G62" s="17"/>
    </row>
    <row r="63">
      <c r="A63" s="17"/>
      <c r="G63" s="17"/>
    </row>
    <row r="64">
      <c r="A64" s="17"/>
      <c r="G64" s="17"/>
    </row>
    <row r="65">
      <c r="A65" s="17"/>
      <c r="G65" s="17"/>
    </row>
    <row r="66">
      <c r="A66" s="17"/>
      <c r="G66" s="17"/>
    </row>
    <row r="67">
      <c r="A67" s="17"/>
      <c r="G67" s="17"/>
    </row>
    <row r="68">
      <c r="A68" s="17"/>
      <c r="G68" s="17"/>
    </row>
    <row r="69">
      <c r="A69" s="17"/>
      <c r="G69" s="17"/>
    </row>
    <row r="70">
      <c r="A70" s="17"/>
      <c r="G70" s="17"/>
    </row>
    <row r="71">
      <c r="A71" s="17"/>
      <c r="G71" s="17"/>
    </row>
    <row r="72">
      <c r="A72" s="17"/>
      <c r="G72" s="17"/>
    </row>
    <row r="73">
      <c r="A73" s="17"/>
      <c r="G73" s="17"/>
    </row>
    <row r="74">
      <c r="A74" s="17"/>
      <c r="G74" s="17"/>
    </row>
    <row r="75">
      <c r="A75" s="17"/>
      <c r="G75" s="17"/>
    </row>
    <row r="76">
      <c r="A76" s="17"/>
      <c r="G76" s="17"/>
    </row>
    <row r="77">
      <c r="A77" s="17"/>
      <c r="G77" s="17"/>
    </row>
    <row r="78">
      <c r="A78" s="17"/>
      <c r="G78" s="17"/>
    </row>
    <row r="79">
      <c r="A79" s="17"/>
      <c r="G79" s="17"/>
    </row>
    <row r="80">
      <c r="A80" s="17"/>
      <c r="G80" s="17"/>
    </row>
    <row r="81">
      <c r="A81" s="17"/>
      <c r="G81" s="17"/>
    </row>
    <row r="82">
      <c r="A82" s="17"/>
      <c r="G82" s="17"/>
    </row>
    <row r="83">
      <c r="A83" s="17"/>
      <c r="G83" s="17"/>
    </row>
    <row r="84">
      <c r="A84" s="17"/>
      <c r="G84" s="17"/>
    </row>
    <row r="85">
      <c r="A85" s="17"/>
      <c r="G85" s="17"/>
    </row>
    <row r="86">
      <c r="A86" s="17"/>
      <c r="G86" s="17"/>
    </row>
    <row r="87">
      <c r="A87" s="17"/>
      <c r="G87" s="17"/>
    </row>
    <row r="88">
      <c r="A88" s="17"/>
      <c r="G88" s="17"/>
    </row>
    <row r="89">
      <c r="A89" s="17"/>
      <c r="G89" s="17"/>
    </row>
    <row r="90">
      <c r="A90" s="17"/>
      <c r="G90" s="17"/>
    </row>
    <row r="91">
      <c r="A91" s="17"/>
      <c r="G91" s="17"/>
    </row>
    <row r="92">
      <c r="A92" s="17"/>
      <c r="G92" s="17"/>
    </row>
    <row r="93">
      <c r="A93" s="17"/>
      <c r="G93" s="17"/>
    </row>
    <row r="94">
      <c r="A94" s="17"/>
      <c r="G94" s="17"/>
    </row>
    <row r="95">
      <c r="A95" s="17"/>
      <c r="G95" s="17"/>
    </row>
    <row r="96">
      <c r="A96" s="17"/>
      <c r="G96" s="17"/>
    </row>
    <row r="97">
      <c r="A97" s="17"/>
      <c r="G97" s="17"/>
    </row>
    <row r="98">
      <c r="A98" s="17"/>
      <c r="G98" s="17"/>
    </row>
    <row r="99">
      <c r="A99" s="17"/>
      <c r="G99" s="17"/>
    </row>
    <row r="100">
      <c r="A100" s="17"/>
      <c r="G100" s="17"/>
    </row>
    <row r="101">
      <c r="A101" s="17"/>
      <c r="G101" s="17"/>
    </row>
    <row r="102">
      <c r="A102" s="17"/>
      <c r="G102" s="17"/>
    </row>
    <row r="103">
      <c r="A103" s="17"/>
      <c r="G103" s="17"/>
    </row>
    <row r="104">
      <c r="A104" s="17"/>
      <c r="G104" s="17"/>
    </row>
    <row r="105">
      <c r="A105" s="17"/>
      <c r="G105" s="17"/>
    </row>
    <row r="106">
      <c r="A106" s="17"/>
      <c r="G106" s="17"/>
    </row>
    <row r="107">
      <c r="A107" s="17"/>
      <c r="G107" s="17"/>
    </row>
    <row r="108">
      <c r="A108" s="17"/>
      <c r="G108" s="17"/>
    </row>
    <row r="109">
      <c r="A109" s="17"/>
      <c r="G109" s="17"/>
    </row>
    <row r="110">
      <c r="A110" s="17"/>
      <c r="G110" s="17"/>
    </row>
    <row r="111">
      <c r="A111" s="17"/>
      <c r="G111" s="17"/>
    </row>
    <row r="112">
      <c r="A112" s="17"/>
      <c r="G112" s="17"/>
    </row>
    <row r="113">
      <c r="A113" s="17"/>
      <c r="G113" s="17"/>
    </row>
    <row r="114">
      <c r="A114" s="17"/>
      <c r="G114" s="17"/>
    </row>
    <row r="115">
      <c r="A115" s="17"/>
      <c r="G115" s="17"/>
    </row>
    <row r="116">
      <c r="A116" s="17"/>
      <c r="G116" s="17"/>
    </row>
    <row r="117">
      <c r="A117" s="17"/>
      <c r="G117" s="17"/>
    </row>
    <row r="118">
      <c r="A118" s="17"/>
      <c r="G118" s="17"/>
    </row>
    <row r="119">
      <c r="A119" s="17"/>
      <c r="G119" s="17"/>
    </row>
    <row r="120">
      <c r="A120" s="17"/>
      <c r="G120" s="17"/>
    </row>
    <row r="121">
      <c r="A121" s="17"/>
      <c r="G121" s="17"/>
    </row>
    <row r="122">
      <c r="A122" s="17"/>
      <c r="G122" s="17"/>
    </row>
    <row r="123">
      <c r="A123" s="17"/>
      <c r="G123" s="17"/>
    </row>
    <row r="124">
      <c r="A124" s="17"/>
      <c r="G124" s="17"/>
    </row>
    <row r="125">
      <c r="A125" s="17"/>
      <c r="G125" s="17"/>
    </row>
    <row r="126">
      <c r="A126" s="17"/>
      <c r="G126" s="17"/>
    </row>
    <row r="127">
      <c r="A127" s="17"/>
      <c r="G127" s="17"/>
    </row>
    <row r="128">
      <c r="A128" s="17"/>
      <c r="G128" s="17"/>
    </row>
    <row r="129">
      <c r="A129" s="17"/>
      <c r="G129" s="17"/>
    </row>
    <row r="130">
      <c r="A130" s="17"/>
      <c r="G130" s="17"/>
    </row>
    <row r="131">
      <c r="A131" s="17"/>
      <c r="G131" s="17"/>
    </row>
    <row r="132">
      <c r="A132" s="17"/>
      <c r="G132" s="17"/>
    </row>
    <row r="133">
      <c r="A133" s="17"/>
      <c r="G133" s="17"/>
    </row>
    <row r="134">
      <c r="A134" s="17"/>
      <c r="G134" s="17"/>
    </row>
    <row r="135">
      <c r="A135" s="17"/>
      <c r="G135" s="17"/>
    </row>
    <row r="136">
      <c r="A136" s="17"/>
      <c r="G136" s="17"/>
    </row>
    <row r="137">
      <c r="A137" s="17"/>
      <c r="G137" s="17"/>
    </row>
    <row r="138">
      <c r="A138" s="17"/>
      <c r="G138" s="17"/>
    </row>
    <row r="139">
      <c r="A139" s="17"/>
      <c r="G139" s="17"/>
    </row>
    <row r="140">
      <c r="A140" s="17"/>
      <c r="G140" s="17"/>
    </row>
    <row r="141">
      <c r="A141" s="17"/>
      <c r="G141" s="17"/>
    </row>
    <row r="142">
      <c r="A142" s="17"/>
      <c r="G142" s="17"/>
    </row>
    <row r="143">
      <c r="A143" s="17"/>
      <c r="G143" s="17"/>
    </row>
    <row r="144">
      <c r="A144" s="17"/>
      <c r="G144" s="17"/>
    </row>
    <row r="145">
      <c r="A145" s="17"/>
      <c r="G145" s="17"/>
    </row>
    <row r="146">
      <c r="A146" s="17"/>
      <c r="G146" s="17"/>
    </row>
    <row r="147">
      <c r="A147" s="17"/>
      <c r="G147" s="17"/>
    </row>
    <row r="148">
      <c r="A148" s="17"/>
      <c r="G148" s="17"/>
    </row>
    <row r="149">
      <c r="A149" s="17"/>
      <c r="G149" s="17"/>
    </row>
    <row r="150">
      <c r="A150" s="17"/>
      <c r="G150" s="17"/>
    </row>
    <row r="151">
      <c r="A151" s="17"/>
      <c r="G151" s="17"/>
    </row>
    <row r="152">
      <c r="A152" s="17"/>
      <c r="G152" s="17"/>
    </row>
    <row r="153">
      <c r="A153" s="17"/>
      <c r="G153" s="17"/>
    </row>
    <row r="154">
      <c r="A154" s="17"/>
      <c r="G154" s="17"/>
    </row>
    <row r="155">
      <c r="A155" s="17"/>
      <c r="G155" s="17"/>
    </row>
    <row r="156">
      <c r="A156" s="17"/>
      <c r="G156" s="17"/>
    </row>
    <row r="157">
      <c r="A157" s="17"/>
      <c r="G157" s="17"/>
    </row>
    <row r="158">
      <c r="A158" s="17"/>
      <c r="G158" s="17"/>
    </row>
    <row r="159">
      <c r="A159" s="17"/>
      <c r="G159" s="17"/>
    </row>
    <row r="160">
      <c r="A160" s="17"/>
      <c r="G160" s="17"/>
    </row>
    <row r="161">
      <c r="A161" s="17"/>
      <c r="G161" s="17"/>
    </row>
    <row r="162">
      <c r="A162" s="17"/>
      <c r="G162" s="17"/>
    </row>
    <row r="163">
      <c r="A163" s="17"/>
      <c r="G163" s="17"/>
    </row>
    <row r="164">
      <c r="A164" s="17"/>
      <c r="G164" s="17"/>
    </row>
    <row r="165">
      <c r="A165" s="17"/>
      <c r="G165" s="17"/>
    </row>
    <row r="166">
      <c r="A166" s="17"/>
      <c r="G166" s="17"/>
    </row>
    <row r="167">
      <c r="A167" s="17"/>
      <c r="G167" s="17"/>
    </row>
    <row r="168">
      <c r="A168" s="17"/>
      <c r="G168" s="17"/>
    </row>
    <row r="169">
      <c r="A169" s="17"/>
      <c r="G169" s="17"/>
    </row>
    <row r="170">
      <c r="A170" s="17"/>
      <c r="G170" s="17"/>
    </row>
    <row r="171">
      <c r="A171" s="17"/>
      <c r="G171" s="17"/>
    </row>
    <row r="172">
      <c r="A172" s="17"/>
      <c r="G172" s="17"/>
    </row>
    <row r="173">
      <c r="A173" s="17"/>
      <c r="G173" s="17"/>
    </row>
    <row r="174">
      <c r="A174" s="17"/>
      <c r="G174" s="17"/>
    </row>
    <row r="175">
      <c r="A175" s="17"/>
      <c r="G175" s="17"/>
    </row>
    <row r="176">
      <c r="A176" s="17"/>
      <c r="G176" s="17"/>
    </row>
    <row r="177">
      <c r="A177" s="17"/>
      <c r="G177" s="17"/>
    </row>
    <row r="178">
      <c r="A178" s="17"/>
      <c r="G178" s="17"/>
    </row>
    <row r="179">
      <c r="A179" s="17"/>
      <c r="G179" s="17"/>
    </row>
    <row r="180">
      <c r="A180" s="17"/>
      <c r="G180" s="17"/>
    </row>
    <row r="181">
      <c r="A181" s="17"/>
      <c r="G181" s="17"/>
    </row>
    <row r="182">
      <c r="A182" s="17"/>
      <c r="G182" s="17"/>
    </row>
    <row r="183">
      <c r="A183" s="17"/>
      <c r="G183" s="17"/>
    </row>
    <row r="184">
      <c r="A184" s="17"/>
      <c r="G184" s="17"/>
    </row>
    <row r="185">
      <c r="A185" s="17"/>
      <c r="G185" s="17"/>
    </row>
    <row r="186">
      <c r="A186" s="17"/>
      <c r="G186" s="17"/>
    </row>
    <row r="187">
      <c r="A187" s="17"/>
      <c r="G187" s="17"/>
    </row>
    <row r="188">
      <c r="A188" s="17"/>
      <c r="G188" s="17"/>
    </row>
    <row r="189">
      <c r="A189" s="17"/>
      <c r="G189" s="17"/>
    </row>
    <row r="190">
      <c r="A190" s="17"/>
      <c r="G190" s="17"/>
    </row>
    <row r="191">
      <c r="A191" s="17"/>
      <c r="G191" s="17"/>
    </row>
    <row r="192">
      <c r="A192" s="17"/>
      <c r="G192" s="17"/>
    </row>
    <row r="193">
      <c r="A193" s="17"/>
      <c r="G193" s="17"/>
    </row>
    <row r="194">
      <c r="A194" s="17"/>
      <c r="G194" s="17"/>
    </row>
    <row r="195">
      <c r="A195" s="17"/>
      <c r="G195" s="17"/>
    </row>
    <row r="196">
      <c r="A196" s="17"/>
      <c r="G196" s="17"/>
    </row>
    <row r="197">
      <c r="A197" s="17"/>
      <c r="G197" s="17"/>
    </row>
    <row r="198">
      <c r="A198" s="17"/>
      <c r="G198" s="17"/>
    </row>
    <row r="199">
      <c r="A199" s="17"/>
      <c r="G199" s="17"/>
    </row>
    <row r="200">
      <c r="A200" s="17"/>
      <c r="G200" s="17"/>
    </row>
    <row r="201">
      <c r="A201" s="17"/>
      <c r="G201" s="17"/>
    </row>
    <row r="202">
      <c r="A202" s="17"/>
      <c r="G202" s="17"/>
    </row>
    <row r="203">
      <c r="A203" s="17"/>
      <c r="G203" s="17"/>
    </row>
    <row r="204">
      <c r="A204" s="17"/>
      <c r="G204" s="17"/>
    </row>
    <row r="205">
      <c r="A205" s="17"/>
      <c r="G205" s="17"/>
    </row>
    <row r="206">
      <c r="A206" s="17"/>
      <c r="G206" s="17"/>
    </row>
    <row r="207">
      <c r="A207" s="17"/>
      <c r="G207" s="17"/>
    </row>
    <row r="208">
      <c r="A208" s="17"/>
      <c r="G208" s="17"/>
    </row>
    <row r="209">
      <c r="A209" s="17"/>
      <c r="G209" s="17"/>
    </row>
    <row r="210">
      <c r="A210" s="17"/>
      <c r="G210" s="17"/>
    </row>
    <row r="211">
      <c r="A211" s="17"/>
      <c r="G211" s="17"/>
    </row>
    <row r="212">
      <c r="A212" s="17"/>
      <c r="G212" s="17"/>
    </row>
    <row r="213">
      <c r="A213" s="17"/>
      <c r="G213" s="17"/>
    </row>
    <row r="214">
      <c r="A214" s="17"/>
      <c r="G214" s="17"/>
    </row>
    <row r="215">
      <c r="A215" s="17"/>
      <c r="G215" s="17"/>
    </row>
    <row r="216">
      <c r="A216" s="17"/>
      <c r="G216" s="17"/>
    </row>
    <row r="217">
      <c r="A217" s="17"/>
      <c r="G217" s="17"/>
    </row>
    <row r="218">
      <c r="A218" s="17"/>
      <c r="G218" s="17"/>
    </row>
    <row r="219">
      <c r="A219" s="17"/>
      <c r="G219" s="17"/>
    </row>
    <row r="220">
      <c r="A220" s="17"/>
      <c r="G220" s="17"/>
    </row>
    <row r="221">
      <c r="A221" s="17"/>
      <c r="G221" s="17"/>
    </row>
    <row r="222">
      <c r="A222" s="17"/>
      <c r="G222" s="17"/>
    </row>
    <row r="223">
      <c r="A223" s="17"/>
      <c r="G223" s="17"/>
    </row>
    <row r="224">
      <c r="A224" s="17"/>
      <c r="G224" s="17"/>
    </row>
    <row r="225">
      <c r="A225" s="17"/>
      <c r="G225" s="17"/>
    </row>
    <row r="226">
      <c r="A226" s="17"/>
      <c r="G226" s="17"/>
    </row>
    <row r="227">
      <c r="A227" s="17"/>
      <c r="G227" s="17"/>
    </row>
    <row r="228">
      <c r="A228" s="17"/>
      <c r="G228" s="17"/>
    </row>
    <row r="229">
      <c r="A229" s="17"/>
      <c r="G229" s="17"/>
    </row>
    <row r="230">
      <c r="A230" s="17"/>
      <c r="G230" s="17"/>
    </row>
    <row r="231">
      <c r="A231" s="17"/>
      <c r="G231" s="17"/>
    </row>
    <row r="232">
      <c r="A232" s="17"/>
      <c r="G232" s="17"/>
    </row>
    <row r="233">
      <c r="A233" s="17"/>
      <c r="G233" s="17"/>
    </row>
    <row r="234">
      <c r="A234" s="17"/>
      <c r="G234" s="17"/>
    </row>
    <row r="235">
      <c r="A235" s="17"/>
      <c r="G235" s="17"/>
    </row>
    <row r="236">
      <c r="A236" s="17"/>
      <c r="G236" s="17"/>
    </row>
    <row r="237">
      <c r="A237" s="17"/>
      <c r="G237" s="17"/>
    </row>
    <row r="238">
      <c r="A238" s="17"/>
      <c r="G238" s="17"/>
    </row>
    <row r="239">
      <c r="A239" s="17"/>
      <c r="G239" s="17"/>
    </row>
    <row r="240">
      <c r="A240" s="17"/>
      <c r="G240" s="17"/>
    </row>
    <row r="241">
      <c r="A241" s="17"/>
      <c r="G241" s="17"/>
    </row>
    <row r="242">
      <c r="A242" s="17"/>
      <c r="G242" s="17"/>
    </row>
    <row r="243">
      <c r="A243" s="17"/>
      <c r="G243" s="17"/>
    </row>
    <row r="244">
      <c r="A244" s="17"/>
      <c r="G244" s="17"/>
    </row>
    <row r="245">
      <c r="A245" s="17"/>
      <c r="G245" s="17"/>
    </row>
    <row r="246">
      <c r="A246" s="17"/>
      <c r="G246" s="17"/>
    </row>
    <row r="247">
      <c r="A247" s="17"/>
      <c r="G247" s="17"/>
    </row>
    <row r="248">
      <c r="A248" s="17"/>
      <c r="G248" s="17"/>
    </row>
    <row r="249">
      <c r="A249" s="17"/>
      <c r="G249" s="17"/>
    </row>
    <row r="250">
      <c r="A250" s="17"/>
      <c r="G250" s="17"/>
    </row>
    <row r="251">
      <c r="A251" s="17"/>
      <c r="G251" s="17"/>
    </row>
    <row r="252">
      <c r="A252" s="17"/>
      <c r="G252" s="17"/>
    </row>
    <row r="253">
      <c r="A253" s="17"/>
      <c r="G253" s="17"/>
    </row>
    <row r="254">
      <c r="A254" s="17"/>
      <c r="G254" s="17"/>
    </row>
    <row r="255">
      <c r="A255" s="17"/>
      <c r="G255" s="17"/>
    </row>
    <row r="256">
      <c r="A256" s="17"/>
      <c r="G256" s="17"/>
    </row>
    <row r="257">
      <c r="A257" s="17"/>
      <c r="G257" s="17"/>
    </row>
    <row r="258">
      <c r="A258" s="17"/>
      <c r="G258" s="17"/>
    </row>
    <row r="259">
      <c r="A259" s="17"/>
      <c r="G259" s="17"/>
    </row>
    <row r="260">
      <c r="A260" s="17"/>
      <c r="G260" s="17"/>
    </row>
    <row r="261">
      <c r="A261" s="17"/>
      <c r="G261" s="17"/>
    </row>
    <row r="262">
      <c r="A262" s="17"/>
      <c r="G262" s="17"/>
    </row>
    <row r="263">
      <c r="A263" s="17"/>
      <c r="G263" s="17"/>
    </row>
    <row r="264">
      <c r="A264" s="17"/>
      <c r="G264" s="17"/>
    </row>
    <row r="265">
      <c r="A265" s="17"/>
      <c r="G265" s="17"/>
    </row>
    <row r="266">
      <c r="A266" s="17"/>
      <c r="G266" s="17"/>
    </row>
    <row r="267">
      <c r="A267" s="17"/>
      <c r="G267" s="17"/>
    </row>
    <row r="268">
      <c r="A268" s="17"/>
      <c r="G268" s="17"/>
    </row>
    <row r="269">
      <c r="A269" s="17"/>
      <c r="G269" s="17"/>
    </row>
    <row r="270">
      <c r="A270" s="17"/>
      <c r="G270" s="17"/>
    </row>
    <row r="271">
      <c r="A271" s="17"/>
      <c r="G271" s="17"/>
    </row>
    <row r="272">
      <c r="A272" s="17"/>
      <c r="G272" s="17"/>
    </row>
    <row r="273">
      <c r="A273" s="17"/>
      <c r="G273" s="17"/>
    </row>
    <row r="274">
      <c r="A274" s="17"/>
      <c r="G274" s="17"/>
    </row>
    <row r="275">
      <c r="A275" s="17"/>
      <c r="G275" s="17"/>
    </row>
    <row r="276">
      <c r="A276" s="17"/>
      <c r="G276" s="17"/>
    </row>
    <row r="277">
      <c r="A277" s="17"/>
      <c r="G277" s="17"/>
    </row>
    <row r="278">
      <c r="A278" s="17"/>
      <c r="G278" s="17"/>
    </row>
    <row r="279">
      <c r="A279" s="17"/>
      <c r="G279" s="17"/>
    </row>
    <row r="280">
      <c r="A280" s="17"/>
      <c r="G280" s="17"/>
    </row>
    <row r="281">
      <c r="A281" s="17"/>
      <c r="G281" s="17"/>
    </row>
    <row r="282">
      <c r="A282" s="17"/>
      <c r="G282" s="17"/>
    </row>
    <row r="283">
      <c r="A283" s="17"/>
      <c r="G283" s="17"/>
    </row>
    <row r="284">
      <c r="A284" s="17"/>
      <c r="G284" s="17"/>
    </row>
    <row r="285">
      <c r="A285" s="17"/>
      <c r="G285" s="17"/>
    </row>
    <row r="286">
      <c r="A286" s="17"/>
      <c r="G286" s="17"/>
    </row>
    <row r="287">
      <c r="A287" s="17"/>
      <c r="G287" s="17"/>
    </row>
    <row r="288">
      <c r="A288" s="17"/>
      <c r="G288" s="17"/>
    </row>
    <row r="289">
      <c r="A289" s="17"/>
      <c r="G289" s="17"/>
    </row>
    <row r="290">
      <c r="A290" s="17"/>
      <c r="G290" s="17"/>
    </row>
    <row r="291">
      <c r="A291" s="17"/>
      <c r="G291" s="17"/>
    </row>
    <row r="292">
      <c r="A292" s="17"/>
      <c r="G292" s="17"/>
    </row>
    <row r="293">
      <c r="A293" s="17"/>
      <c r="G293" s="17"/>
    </row>
    <row r="294">
      <c r="A294" s="17"/>
      <c r="G294" s="17"/>
    </row>
    <row r="295">
      <c r="A295" s="17"/>
      <c r="G295" s="17"/>
    </row>
    <row r="296">
      <c r="A296" s="17"/>
      <c r="G296" s="17"/>
    </row>
    <row r="297">
      <c r="A297" s="17"/>
      <c r="G297" s="17"/>
    </row>
    <row r="298">
      <c r="A298" s="17"/>
      <c r="G298" s="17"/>
    </row>
    <row r="299">
      <c r="A299" s="17"/>
      <c r="G299" s="17"/>
    </row>
    <row r="300">
      <c r="A300" s="17"/>
      <c r="G300" s="17"/>
    </row>
    <row r="301">
      <c r="A301" s="17"/>
      <c r="G301" s="17"/>
    </row>
    <row r="302">
      <c r="A302" s="17"/>
      <c r="G302" s="17"/>
    </row>
    <row r="303">
      <c r="A303" s="17"/>
      <c r="G303" s="17"/>
    </row>
    <row r="304">
      <c r="A304" s="17"/>
      <c r="G304" s="17"/>
    </row>
    <row r="305">
      <c r="A305" s="17"/>
      <c r="G305" s="17"/>
    </row>
    <row r="306">
      <c r="A306" s="17"/>
      <c r="G306" s="17"/>
    </row>
    <row r="307">
      <c r="A307" s="17"/>
      <c r="G307" s="17"/>
    </row>
    <row r="308">
      <c r="A308" s="17"/>
      <c r="G308" s="17"/>
    </row>
    <row r="309">
      <c r="A309" s="17"/>
      <c r="G309" s="17"/>
    </row>
    <row r="310">
      <c r="A310" s="17"/>
      <c r="G310" s="17"/>
    </row>
    <row r="311">
      <c r="A311" s="17"/>
      <c r="G311" s="17"/>
    </row>
    <row r="312">
      <c r="A312" s="17"/>
      <c r="G312" s="17"/>
    </row>
    <row r="313">
      <c r="A313" s="17"/>
      <c r="G313" s="17"/>
    </row>
    <row r="314">
      <c r="A314" s="17"/>
      <c r="G314" s="17"/>
    </row>
    <row r="315">
      <c r="A315" s="17"/>
      <c r="G315" s="17"/>
    </row>
    <row r="316">
      <c r="A316" s="17"/>
      <c r="G316" s="17"/>
    </row>
    <row r="317">
      <c r="A317" s="17"/>
      <c r="G317" s="17"/>
    </row>
    <row r="318">
      <c r="A318" s="17"/>
      <c r="G318" s="17"/>
    </row>
    <row r="319">
      <c r="A319" s="17"/>
      <c r="G319" s="17"/>
    </row>
    <row r="320">
      <c r="A320" s="17"/>
      <c r="G320" s="17"/>
    </row>
    <row r="321">
      <c r="A321" s="17"/>
      <c r="G321" s="17"/>
    </row>
    <row r="322">
      <c r="A322" s="17"/>
      <c r="G322" s="17"/>
    </row>
    <row r="323">
      <c r="A323" s="17"/>
      <c r="G323" s="17"/>
    </row>
    <row r="324">
      <c r="A324" s="17"/>
      <c r="G324" s="17"/>
    </row>
    <row r="325">
      <c r="A325" s="17"/>
      <c r="G325" s="17"/>
    </row>
    <row r="326">
      <c r="A326" s="17"/>
      <c r="G326" s="17"/>
    </row>
    <row r="327">
      <c r="A327" s="17"/>
      <c r="G327" s="17"/>
    </row>
    <row r="328">
      <c r="A328" s="17"/>
      <c r="G328" s="17"/>
    </row>
    <row r="329">
      <c r="A329" s="17"/>
      <c r="G329" s="17"/>
    </row>
    <row r="330">
      <c r="A330" s="17"/>
      <c r="G330" s="17"/>
    </row>
    <row r="331">
      <c r="A331" s="17"/>
      <c r="G331" s="17"/>
    </row>
    <row r="332">
      <c r="A332" s="17"/>
      <c r="G332" s="17"/>
    </row>
    <row r="333">
      <c r="A333" s="17"/>
      <c r="G333" s="17"/>
    </row>
    <row r="334">
      <c r="A334" s="17"/>
      <c r="G334" s="17"/>
    </row>
    <row r="335">
      <c r="A335" s="17"/>
      <c r="G335" s="17"/>
    </row>
    <row r="336">
      <c r="A336" s="17"/>
      <c r="G336" s="17"/>
    </row>
    <row r="337">
      <c r="A337" s="17"/>
      <c r="G337" s="17"/>
    </row>
    <row r="338">
      <c r="A338" s="17"/>
      <c r="G338" s="17"/>
    </row>
    <row r="339">
      <c r="A339" s="17"/>
      <c r="G339" s="17"/>
    </row>
    <row r="340">
      <c r="A340" s="17"/>
      <c r="G340" s="17"/>
    </row>
    <row r="341">
      <c r="A341" s="17"/>
      <c r="G341" s="17"/>
    </row>
    <row r="342">
      <c r="A342" s="17"/>
      <c r="G342" s="17"/>
    </row>
    <row r="343">
      <c r="A343" s="17"/>
      <c r="G343" s="17"/>
    </row>
    <row r="344">
      <c r="A344" s="17"/>
      <c r="G344" s="17"/>
    </row>
    <row r="345">
      <c r="A345" s="17"/>
      <c r="G345" s="17"/>
    </row>
    <row r="346">
      <c r="A346" s="17"/>
      <c r="G346" s="17"/>
    </row>
    <row r="347">
      <c r="A347" s="17"/>
      <c r="G347" s="17"/>
    </row>
    <row r="348">
      <c r="A348" s="17"/>
      <c r="G348" s="17"/>
    </row>
    <row r="349">
      <c r="A349" s="17"/>
      <c r="G349" s="17"/>
    </row>
    <row r="350">
      <c r="A350" s="17"/>
      <c r="G350" s="17"/>
    </row>
    <row r="351">
      <c r="A351" s="17"/>
      <c r="G351" s="17"/>
    </row>
    <row r="352">
      <c r="A352" s="17"/>
      <c r="G352" s="17"/>
    </row>
    <row r="353">
      <c r="A353" s="17"/>
      <c r="G353" s="17"/>
    </row>
    <row r="354">
      <c r="A354" s="17"/>
      <c r="G354" s="17"/>
    </row>
    <row r="355">
      <c r="A355" s="17"/>
      <c r="G355" s="17"/>
    </row>
    <row r="356">
      <c r="A356" s="17"/>
      <c r="G356" s="17"/>
    </row>
    <row r="357">
      <c r="A357" s="17"/>
      <c r="G357" s="17"/>
    </row>
    <row r="358">
      <c r="A358" s="17"/>
      <c r="G358" s="17"/>
    </row>
    <row r="359">
      <c r="A359" s="17"/>
      <c r="G359" s="17"/>
    </row>
    <row r="360">
      <c r="A360" s="17"/>
      <c r="G360" s="17"/>
    </row>
    <row r="361">
      <c r="A361" s="17"/>
      <c r="G361" s="17"/>
    </row>
    <row r="362">
      <c r="A362" s="17"/>
      <c r="G362" s="17"/>
    </row>
    <row r="363">
      <c r="A363" s="17"/>
      <c r="G363" s="17"/>
    </row>
    <row r="364">
      <c r="A364" s="17"/>
      <c r="G364" s="17"/>
    </row>
    <row r="365">
      <c r="A365" s="17"/>
      <c r="G365" s="17"/>
    </row>
    <row r="366">
      <c r="A366" s="17"/>
      <c r="G366" s="17"/>
    </row>
    <row r="367">
      <c r="A367" s="17"/>
      <c r="G367" s="17"/>
    </row>
    <row r="368">
      <c r="A368" s="17"/>
      <c r="G368" s="17"/>
    </row>
    <row r="369">
      <c r="A369" s="17"/>
      <c r="G369" s="17"/>
    </row>
    <row r="370">
      <c r="A370" s="17"/>
      <c r="G370" s="17"/>
    </row>
    <row r="371">
      <c r="A371" s="17"/>
      <c r="G371" s="17"/>
    </row>
    <row r="372">
      <c r="A372" s="17"/>
      <c r="G372" s="17"/>
    </row>
    <row r="373">
      <c r="A373" s="17"/>
      <c r="G373" s="17"/>
    </row>
    <row r="374">
      <c r="A374" s="17"/>
      <c r="G374" s="17"/>
    </row>
    <row r="375">
      <c r="A375" s="17"/>
      <c r="G375" s="17"/>
    </row>
    <row r="376">
      <c r="A376" s="17"/>
      <c r="G376" s="17"/>
    </row>
    <row r="377">
      <c r="A377" s="17"/>
      <c r="G377" s="17"/>
    </row>
    <row r="378">
      <c r="A378" s="17"/>
      <c r="G378" s="17"/>
    </row>
    <row r="379">
      <c r="A379" s="17"/>
      <c r="G379" s="17"/>
    </row>
    <row r="380">
      <c r="A380" s="17"/>
      <c r="G380" s="17"/>
    </row>
    <row r="381">
      <c r="A381" s="17"/>
      <c r="G381" s="17"/>
    </row>
    <row r="382">
      <c r="A382" s="17"/>
      <c r="G382" s="17"/>
    </row>
    <row r="383">
      <c r="A383" s="17"/>
      <c r="G383" s="17"/>
    </row>
    <row r="384">
      <c r="A384" s="17"/>
      <c r="G384" s="17"/>
    </row>
    <row r="385">
      <c r="A385" s="17"/>
      <c r="G385" s="17"/>
    </row>
    <row r="386">
      <c r="A386" s="17"/>
      <c r="G386" s="17"/>
    </row>
    <row r="387">
      <c r="A387" s="17"/>
      <c r="G387" s="17"/>
    </row>
    <row r="388">
      <c r="A388" s="17"/>
      <c r="G388" s="17"/>
    </row>
    <row r="389">
      <c r="A389" s="17"/>
      <c r="G389" s="17"/>
    </row>
    <row r="390">
      <c r="A390" s="17"/>
      <c r="G390" s="17"/>
    </row>
    <row r="391">
      <c r="A391" s="17"/>
      <c r="G391" s="17"/>
    </row>
    <row r="392">
      <c r="A392" s="17"/>
      <c r="G392" s="17"/>
    </row>
    <row r="393">
      <c r="A393" s="17"/>
      <c r="G393" s="17"/>
    </row>
    <row r="394">
      <c r="A394" s="17"/>
      <c r="G394" s="17"/>
    </row>
    <row r="395">
      <c r="A395" s="17"/>
      <c r="G395" s="17"/>
    </row>
    <row r="396">
      <c r="A396" s="17"/>
      <c r="G396" s="17"/>
    </row>
    <row r="397">
      <c r="A397" s="17"/>
      <c r="G397" s="17"/>
    </row>
    <row r="398">
      <c r="A398" s="17"/>
      <c r="G398" s="17"/>
    </row>
    <row r="399">
      <c r="A399" s="17"/>
      <c r="G399" s="17"/>
    </row>
    <row r="400">
      <c r="A400" s="17"/>
      <c r="G400" s="17"/>
    </row>
    <row r="401">
      <c r="A401" s="17"/>
      <c r="G401" s="17"/>
    </row>
    <row r="402">
      <c r="A402" s="17"/>
      <c r="G402" s="17"/>
    </row>
    <row r="403">
      <c r="A403" s="17"/>
      <c r="G403" s="17"/>
    </row>
    <row r="404">
      <c r="A404" s="17"/>
      <c r="G404" s="17"/>
    </row>
    <row r="405">
      <c r="A405" s="17"/>
      <c r="G405" s="17"/>
    </row>
    <row r="406">
      <c r="A406" s="17"/>
      <c r="G406" s="17"/>
    </row>
    <row r="407">
      <c r="A407" s="17"/>
      <c r="G407" s="17"/>
    </row>
    <row r="408">
      <c r="A408" s="17"/>
      <c r="G408" s="17"/>
    </row>
    <row r="409">
      <c r="A409" s="17"/>
      <c r="G409" s="17"/>
    </row>
    <row r="410">
      <c r="A410" s="17"/>
      <c r="G410" s="17"/>
    </row>
    <row r="411">
      <c r="A411" s="17"/>
      <c r="G411" s="17"/>
    </row>
    <row r="412">
      <c r="A412" s="17"/>
      <c r="G412" s="17"/>
    </row>
    <row r="413">
      <c r="A413" s="17"/>
      <c r="G413" s="17"/>
    </row>
    <row r="414">
      <c r="A414" s="17"/>
      <c r="G414" s="17"/>
    </row>
    <row r="415">
      <c r="A415" s="17"/>
      <c r="G415" s="17"/>
    </row>
    <row r="416">
      <c r="A416" s="17"/>
      <c r="G416" s="17"/>
    </row>
    <row r="417">
      <c r="A417" s="17"/>
      <c r="G417" s="17"/>
    </row>
    <row r="418">
      <c r="A418" s="17"/>
      <c r="G418" s="17"/>
    </row>
    <row r="419">
      <c r="A419" s="17"/>
      <c r="G419" s="17"/>
    </row>
    <row r="420">
      <c r="A420" s="17"/>
      <c r="G420" s="17"/>
    </row>
    <row r="421">
      <c r="A421" s="17"/>
      <c r="G421" s="17"/>
    </row>
    <row r="422">
      <c r="A422" s="17"/>
      <c r="G422" s="17"/>
    </row>
    <row r="423">
      <c r="A423" s="17"/>
      <c r="G423" s="17"/>
    </row>
    <row r="424">
      <c r="A424" s="17"/>
      <c r="G424" s="17"/>
    </row>
    <row r="425">
      <c r="A425" s="17"/>
      <c r="G425" s="17"/>
    </row>
    <row r="426">
      <c r="A426" s="17"/>
      <c r="G426" s="17"/>
    </row>
    <row r="427">
      <c r="A427" s="17"/>
      <c r="G427" s="17"/>
    </row>
    <row r="428">
      <c r="A428" s="17"/>
      <c r="G428" s="17"/>
    </row>
    <row r="429">
      <c r="A429" s="17"/>
      <c r="G429" s="17"/>
    </row>
    <row r="430">
      <c r="A430" s="17"/>
      <c r="G430" s="17"/>
    </row>
    <row r="431">
      <c r="A431" s="17"/>
      <c r="G431" s="17"/>
    </row>
    <row r="432">
      <c r="A432" s="17"/>
      <c r="G432" s="17"/>
    </row>
    <row r="433">
      <c r="A433" s="17"/>
      <c r="G433" s="17"/>
    </row>
    <row r="434">
      <c r="A434" s="17"/>
      <c r="G434" s="17"/>
    </row>
    <row r="435">
      <c r="A435" s="17"/>
      <c r="G435" s="17"/>
    </row>
    <row r="436">
      <c r="A436" s="17"/>
      <c r="G436" s="17"/>
    </row>
    <row r="437">
      <c r="A437" s="17"/>
      <c r="G437" s="17"/>
    </row>
    <row r="438">
      <c r="A438" s="17"/>
      <c r="G438" s="17"/>
    </row>
    <row r="439">
      <c r="A439" s="17"/>
      <c r="G439" s="17"/>
    </row>
    <row r="440">
      <c r="A440" s="17"/>
      <c r="G440" s="17"/>
    </row>
    <row r="441">
      <c r="A441" s="17"/>
      <c r="G441" s="17"/>
    </row>
    <row r="442">
      <c r="A442" s="17"/>
      <c r="G442" s="17"/>
    </row>
    <row r="443">
      <c r="A443" s="17"/>
      <c r="G443" s="17"/>
    </row>
    <row r="444">
      <c r="A444" s="17"/>
      <c r="G444" s="17"/>
    </row>
    <row r="445">
      <c r="A445" s="17"/>
      <c r="G445" s="17"/>
    </row>
    <row r="446">
      <c r="A446" s="17"/>
      <c r="G446" s="17"/>
    </row>
    <row r="447">
      <c r="A447" s="17"/>
      <c r="G447" s="17"/>
    </row>
    <row r="448">
      <c r="A448" s="17"/>
      <c r="G448" s="17"/>
    </row>
    <row r="449">
      <c r="A449" s="17"/>
      <c r="G449" s="17"/>
    </row>
    <row r="450">
      <c r="A450" s="17"/>
      <c r="G450" s="17"/>
    </row>
    <row r="451">
      <c r="A451" s="17"/>
      <c r="G451" s="17"/>
    </row>
    <row r="452">
      <c r="A452" s="17"/>
      <c r="G452" s="17"/>
    </row>
    <row r="453">
      <c r="A453" s="17"/>
      <c r="G453" s="17"/>
    </row>
    <row r="454">
      <c r="A454" s="17"/>
      <c r="G454" s="17"/>
    </row>
    <row r="455">
      <c r="A455" s="17"/>
      <c r="G455" s="17"/>
    </row>
    <row r="456">
      <c r="A456" s="17"/>
      <c r="G456" s="17"/>
    </row>
    <row r="457">
      <c r="A457" s="17"/>
      <c r="G457" s="17"/>
    </row>
    <row r="458">
      <c r="A458" s="17"/>
      <c r="G458" s="17"/>
    </row>
    <row r="459">
      <c r="A459" s="17"/>
      <c r="G459" s="17"/>
    </row>
    <row r="460">
      <c r="A460" s="17"/>
      <c r="G460" s="17"/>
    </row>
    <row r="461">
      <c r="A461" s="17"/>
      <c r="G461" s="17"/>
    </row>
    <row r="462">
      <c r="A462" s="17"/>
      <c r="G462" s="17"/>
    </row>
    <row r="463">
      <c r="A463" s="17"/>
      <c r="G463" s="17"/>
    </row>
    <row r="464">
      <c r="A464" s="17"/>
      <c r="G464" s="17"/>
    </row>
    <row r="465">
      <c r="A465" s="17"/>
      <c r="G465" s="17"/>
    </row>
    <row r="466">
      <c r="A466" s="17"/>
      <c r="G466" s="17"/>
    </row>
    <row r="467">
      <c r="A467" s="17"/>
      <c r="G467" s="17"/>
    </row>
    <row r="468">
      <c r="A468" s="17"/>
      <c r="G468" s="17"/>
    </row>
    <row r="469">
      <c r="A469" s="17"/>
      <c r="G469" s="17"/>
    </row>
    <row r="470">
      <c r="A470" s="17"/>
      <c r="G470" s="17"/>
    </row>
    <row r="471">
      <c r="A471" s="17"/>
      <c r="G471" s="17"/>
    </row>
    <row r="472">
      <c r="A472" s="17"/>
      <c r="G472" s="17"/>
    </row>
    <row r="473">
      <c r="A473" s="17"/>
      <c r="G473" s="17"/>
    </row>
    <row r="474">
      <c r="A474" s="17"/>
      <c r="G474" s="17"/>
    </row>
    <row r="475">
      <c r="A475" s="17"/>
      <c r="G475" s="17"/>
    </row>
    <row r="476">
      <c r="A476" s="17"/>
      <c r="G476" s="17"/>
    </row>
    <row r="477">
      <c r="A477" s="17"/>
      <c r="G477" s="17"/>
    </row>
    <row r="478">
      <c r="A478" s="17"/>
      <c r="G478" s="17"/>
    </row>
    <row r="479">
      <c r="A479" s="17"/>
      <c r="G479" s="17"/>
    </row>
    <row r="480">
      <c r="A480" s="17"/>
      <c r="G480" s="17"/>
    </row>
    <row r="481">
      <c r="A481" s="17"/>
      <c r="G481" s="17"/>
    </row>
    <row r="482">
      <c r="A482" s="17"/>
      <c r="G482" s="17"/>
    </row>
    <row r="483">
      <c r="A483" s="17"/>
      <c r="G483" s="17"/>
    </row>
    <row r="484">
      <c r="A484" s="17"/>
      <c r="G484" s="17"/>
    </row>
    <row r="485">
      <c r="A485" s="17"/>
      <c r="G485" s="17"/>
    </row>
    <row r="486">
      <c r="A486" s="17"/>
      <c r="G486" s="17"/>
    </row>
    <row r="487">
      <c r="A487" s="17"/>
      <c r="G487" s="17"/>
    </row>
    <row r="488">
      <c r="A488" s="17"/>
      <c r="G488" s="17"/>
    </row>
    <row r="489">
      <c r="A489" s="17"/>
      <c r="G489" s="17"/>
    </row>
    <row r="490">
      <c r="A490" s="17"/>
      <c r="G490" s="17"/>
    </row>
    <row r="491">
      <c r="A491" s="17"/>
      <c r="G491" s="17"/>
    </row>
    <row r="492">
      <c r="A492" s="17"/>
      <c r="G492" s="17"/>
    </row>
    <row r="493">
      <c r="A493" s="17"/>
      <c r="G493" s="17"/>
    </row>
    <row r="494">
      <c r="A494" s="17"/>
      <c r="G494" s="17"/>
    </row>
    <row r="495">
      <c r="A495" s="17"/>
      <c r="G495" s="17"/>
    </row>
    <row r="496">
      <c r="A496" s="17"/>
      <c r="G496" s="17"/>
    </row>
    <row r="497">
      <c r="A497" s="17"/>
      <c r="G497" s="17"/>
    </row>
    <row r="498">
      <c r="A498" s="17"/>
      <c r="G498" s="17"/>
    </row>
    <row r="499">
      <c r="A499" s="17"/>
      <c r="G499" s="17"/>
    </row>
    <row r="500">
      <c r="A500" s="17"/>
      <c r="G500" s="17"/>
    </row>
    <row r="501">
      <c r="A501" s="17"/>
      <c r="G501" s="17"/>
    </row>
    <row r="502">
      <c r="A502" s="17"/>
      <c r="G502" s="17"/>
    </row>
    <row r="503">
      <c r="A503" s="17"/>
      <c r="G503" s="17"/>
    </row>
    <row r="504">
      <c r="A504" s="17"/>
      <c r="G504" s="17"/>
    </row>
    <row r="505">
      <c r="A505" s="17"/>
      <c r="G505" s="17"/>
    </row>
    <row r="506">
      <c r="A506" s="17"/>
      <c r="G506" s="17"/>
    </row>
    <row r="507">
      <c r="A507" s="17"/>
      <c r="G507" s="17"/>
    </row>
    <row r="508">
      <c r="A508" s="17"/>
      <c r="G508" s="17"/>
    </row>
    <row r="509">
      <c r="A509" s="17"/>
      <c r="G509" s="17"/>
    </row>
    <row r="510">
      <c r="A510" s="17"/>
      <c r="G510" s="17"/>
    </row>
    <row r="511">
      <c r="A511" s="17"/>
      <c r="G511" s="17"/>
    </row>
    <row r="512">
      <c r="A512" s="17"/>
      <c r="G512" s="17"/>
    </row>
    <row r="513">
      <c r="A513" s="17"/>
      <c r="G513" s="17"/>
    </row>
    <row r="514">
      <c r="A514" s="17"/>
      <c r="G514" s="17"/>
    </row>
    <row r="515">
      <c r="A515" s="17"/>
      <c r="G515" s="17"/>
    </row>
    <row r="516">
      <c r="A516" s="17"/>
      <c r="G516" s="17"/>
    </row>
    <row r="517">
      <c r="A517" s="17"/>
      <c r="G517" s="17"/>
    </row>
    <row r="518">
      <c r="A518" s="17"/>
      <c r="G518" s="17"/>
    </row>
    <row r="519">
      <c r="A519" s="17"/>
      <c r="G519" s="17"/>
    </row>
    <row r="520">
      <c r="A520" s="17"/>
      <c r="G520" s="17"/>
    </row>
    <row r="521">
      <c r="A521" s="17"/>
      <c r="G521" s="17"/>
    </row>
    <row r="522">
      <c r="A522" s="17"/>
      <c r="G522" s="17"/>
    </row>
    <row r="523">
      <c r="A523" s="17"/>
      <c r="G523" s="17"/>
    </row>
    <row r="524">
      <c r="A524" s="17"/>
      <c r="G524" s="17"/>
    </row>
    <row r="525">
      <c r="A525" s="17"/>
      <c r="G525" s="17"/>
    </row>
    <row r="526">
      <c r="A526" s="17"/>
      <c r="G526" s="17"/>
    </row>
    <row r="527">
      <c r="A527" s="17"/>
      <c r="G527" s="17"/>
    </row>
    <row r="528">
      <c r="A528" s="17"/>
      <c r="G528" s="17"/>
    </row>
    <row r="529">
      <c r="A529" s="17"/>
      <c r="G529" s="17"/>
    </row>
    <row r="530">
      <c r="A530" s="17"/>
      <c r="G530" s="17"/>
    </row>
    <row r="531">
      <c r="A531" s="17"/>
      <c r="G531" s="17"/>
    </row>
    <row r="532">
      <c r="A532" s="17"/>
      <c r="G532" s="17"/>
    </row>
    <row r="533">
      <c r="A533" s="17"/>
      <c r="G533" s="17"/>
    </row>
    <row r="534">
      <c r="A534" s="17"/>
      <c r="G534" s="17"/>
    </row>
    <row r="535">
      <c r="A535" s="17"/>
      <c r="G535" s="17"/>
    </row>
    <row r="536">
      <c r="A536" s="17"/>
      <c r="G536" s="17"/>
    </row>
    <row r="537">
      <c r="A537" s="17"/>
      <c r="G537" s="17"/>
    </row>
    <row r="538">
      <c r="A538" s="17"/>
      <c r="G538" s="17"/>
    </row>
    <row r="539">
      <c r="A539" s="17"/>
      <c r="G539" s="17"/>
    </row>
    <row r="540">
      <c r="A540" s="17"/>
      <c r="G540" s="17"/>
    </row>
    <row r="541">
      <c r="A541" s="17"/>
      <c r="G541" s="17"/>
    </row>
    <row r="542">
      <c r="A542" s="17"/>
      <c r="G542" s="17"/>
    </row>
    <row r="543">
      <c r="A543" s="17"/>
      <c r="G543" s="17"/>
    </row>
    <row r="544">
      <c r="A544" s="17"/>
      <c r="G544" s="17"/>
    </row>
    <row r="545">
      <c r="A545" s="17"/>
      <c r="G545" s="17"/>
    </row>
    <row r="546">
      <c r="A546" s="17"/>
      <c r="G546" s="17"/>
    </row>
    <row r="547">
      <c r="A547" s="17"/>
      <c r="G547" s="17"/>
    </row>
    <row r="548">
      <c r="A548" s="17"/>
      <c r="G548" s="17"/>
    </row>
    <row r="549">
      <c r="A549" s="17"/>
      <c r="G549" s="17"/>
    </row>
    <row r="550">
      <c r="A550" s="17"/>
      <c r="G550" s="17"/>
    </row>
    <row r="551">
      <c r="A551" s="17"/>
      <c r="G551" s="17"/>
    </row>
    <row r="552">
      <c r="A552" s="17"/>
      <c r="G552" s="17"/>
    </row>
    <row r="553">
      <c r="A553" s="17"/>
      <c r="G553" s="17"/>
    </row>
    <row r="554">
      <c r="A554" s="17"/>
      <c r="G554" s="17"/>
    </row>
    <row r="555">
      <c r="A555" s="17"/>
      <c r="G555" s="17"/>
    </row>
    <row r="556">
      <c r="A556" s="17"/>
      <c r="G556" s="17"/>
    </row>
    <row r="557">
      <c r="A557" s="17"/>
      <c r="G557" s="17"/>
    </row>
    <row r="558">
      <c r="A558" s="17"/>
      <c r="G558" s="17"/>
    </row>
    <row r="559">
      <c r="A559" s="17"/>
      <c r="G559" s="17"/>
    </row>
    <row r="560">
      <c r="A560" s="17"/>
      <c r="G560" s="17"/>
    </row>
    <row r="561">
      <c r="A561" s="17"/>
      <c r="G561" s="17"/>
    </row>
    <row r="562">
      <c r="A562" s="17"/>
      <c r="G562" s="17"/>
    </row>
    <row r="563">
      <c r="A563" s="17"/>
      <c r="G563" s="17"/>
    </row>
    <row r="564">
      <c r="A564" s="17"/>
      <c r="G564" s="17"/>
    </row>
    <row r="565">
      <c r="A565" s="17"/>
      <c r="G565" s="17"/>
    </row>
    <row r="566">
      <c r="A566" s="17"/>
      <c r="G566" s="17"/>
    </row>
    <row r="567">
      <c r="A567" s="17"/>
      <c r="G567" s="17"/>
    </row>
    <row r="568">
      <c r="A568" s="17"/>
      <c r="G568" s="17"/>
    </row>
    <row r="569">
      <c r="A569" s="17"/>
      <c r="G569" s="17"/>
    </row>
    <row r="570">
      <c r="A570" s="17"/>
      <c r="G570" s="17"/>
    </row>
    <row r="571">
      <c r="A571" s="17"/>
      <c r="G571" s="17"/>
    </row>
    <row r="572">
      <c r="A572" s="17"/>
      <c r="G572" s="17"/>
    </row>
    <row r="573">
      <c r="A573" s="17"/>
      <c r="G573" s="17"/>
    </row>
    <row r="574">
      <c r="A574" s="17"/>
      <c r="G574" s="17"/>
    </row>
    <row r="575">
      <c r="A575" s="17"/>
      <c r="G575" s="17"/>
    </row>
    <row r="576">
      <c r="A576" s="17"/>
      <c r="G576" s="17"/>
    </row>
    <row r="577">
      <c r="A577" s="17"/>
      <c r="G577" s="17"/>
    </row>
    <row r="578">
      <c r="A578" s="17"/>
      <c r="G578" s="17"/>
    </row>
    <row r="579">
      <c r="A579" s="17"/>
      <c r="G579" s="17"/>
    </row>
    <row r="580">
      <c r="A580" s="17"/>
      <c r="G580" s="17"/>
    </row>
    <row r="581">
      <c r="A581" s="17"/>
      <c r="G581" s="17"/>
    </row>
    <row r="582">
      <c r="A582" s="17"/>
      <c r="G582" s="17"/>
    </row>
    <row r="583">
      <c r="A583" s="17"/>
      <c r="G583" s="17"/>
    </row>
    <row r="584">
      <c r="A584" s="17"/>
      <c r="G584" s="17"/>
    </row>
    <row r="585">
      <c r="A585" s="17"/>
      <c r="G585" s="17"/>
    </row>
    <row r="586">
      <c r="A586" s="17"/>
      <c r="G586" s="17"/>
    </row>
    <row r="587">
      <c r="A587" s="17"/>
      <c r="G587" s="17"/>
    </row>
    <row r="588">
      <c r="A588" s="17"/>
      <c r="G588" s="17"/>
    </row>
    <row r="589">
      <c r="A589" s="17"/>
      <c r="G589" s="17"/>
    </row>
    <row r="590">
      <c r="A590" s="17"/>
      <c r="G590" s="17"/>
    </row>
    <row r="591">
      <c r="A591" s="17"/>
      <c r="G591" s="17"/>
    </row>
    <row r="592">
      <c r="A592" s="17"/>
      <c r="G592" s="17"/>
    </row>
    <row r="593">
      <c r="A593" s="17"/>
      <c r="G593" s="17"/>
    </row>
    <row r="594">
      <c r="A594" s="17"/>
      <c r="G594" s="17"/>
    </row>
    <row r="595">
      <c r="A595" s="17"/>
      <c r="G595" s="17"/>
    </row>
    <row r="596">
      <c r="A596" s="17"/>
      <c r="G596" s="17"/>
    </row>
    <row r="597">
      <c r="A597" s="17"/>
      <c r="G597" s="17"/>
    </row>
    <row r="598">
      <c r="A598" s="17"/>
      <c r="G598" s="17"/>
    </row>
    <row r="599">
      <c r="A599" s="17"/>
      <c r="G599" s="17"/>
    </row>
    <row r="600">
      <c r="A600" s="17"/>
      <c r="G600" s="17"/>
    </row>
    <row r="601">
      <c r="A601" s="17"/>
      <c r="G601" s="17"/>
    </row>
    <row r="602">
      <c r="A602" s="17"/>
      <c r="G602" s="17"/>
    </row>
    <row r="603">
      <c r="A603" s="17"/>
      <c r="G603" s="17"/>
    </row>
    <row r="604">
      <c r="A604" s="17"/>
      <c r="G604" s="17"/>
    </row>
    <row r="605">
      <c r="A605" s="17"/>
      <c r="G605" s="17"/>
    </row>
    <row r="606">
      <c r="A606" s="17"/>
      <c r="G606" s="17"/>
    </row>
    <row r="607">
      <c r="A607" s="17"/>
      <c r="G607" s="17"/>
    </row>
    <row r="608">
      <c r="A608" s="17"/>
      <c r="G608" s="17"/>
    </row>
    <row r="609">
      <c r="A609" s="17"/>
      <c r="G609" s="17"/>
    </row>
    <row r="610">
      <c r="A610" s="17"/>
      <c r="G610" s="17"/>
    </row>
    <row r="611">
      <c r="A611" s="17"/>
      <c r="G611" s="17"/>
    </row>
    <row r="612">
      <c r="A612" s="17"/>
      <c r="G612" s="17"/>
    </row>
    <row r="613">
      <c r="A613" s="17"/>
      <c r="G613" s="17"/>
    </row>
    <row r="614">
      <c r="A614" s="17"/>
      <c r="G614" s="17"/>
    </row>
    <row r="615">
      <c r="A615" s="17"/>
      <c r="G615" s="17"/>
    </row>
    <row r="616">
      <c r="A616" s="17"/>
      <c r="G616" s="17"/>
    </row>
    <row r="617">
      <c r="A617" s="17"/>
      <c r="G617" s="17"/>
    </row>
    <row r="618">
      <c r="A618" s="17"/>
      <c r="G618" s="17"/>
    </row>
    <row r="619">
      <c r="A619" s="17"/>
      <c r="G619" s="17"/>
    </row>
    <row r="620">
      <c r="A620" s="17"/>
      <c r="G620" s="17"/>
    </row>
    <row r="621">
      <c r="A621" s="17"/>
      <c r="G621" s="17"/>
    </row>
    <row r="622">
      <c r="A622" s="17"/>
      <c r="G622" s="17"/>
    </row>
    <row r="623">
      <c r="A623" s="17"/>
      <c r="G623" s="17"/>
    </row>
    <row r="624">
      <c r="A624" s="17"/>
      <c r="G624" s="17"/>
    </row>
    <row r="625">
      <c r="A625" s="17"/>
      <c r="G625" s="17"/>
    </row>
    <row r="626">
      <c r="A626" s="17"/>
      <c r="G626" s="17"/>
    </row>
    <row r="627">
      <c r="A627" s="17"/>
      <c r="G627" s="17"/>
    </row>
    <row r="628">
      <c r="A628" s="17"/>
      <c r="G628" s="17"/>
    </row>
    <row r="629">
      <c r="A629" s="17"/>
      <c r="G629" s="17"/>
    </row>
    <row r="630">
      <c r="A630" s="17"/>
      <c r="G630" s="17"/>
    </row>
    <row r="631">
      <c r="A631" s="17"/>
      <c r="G631" s="17"/>
    </row>
    <row r="632">
      <c r="A632" s="17"/>
      <c r="G632" s="17"/>
    </row>
    <row r="633">
      <c r="A633" s="17"/>
      <c r="G633" s="17"/>
    </row>
    <row r="634">
      <c r="A634" s="17"/>
      <c r="G634" s="17"/>
    </row>
    <row r="635">
      <c r="A635" s="17"/>
      <c r="G635" s="17"/>
    </row>
    <row r="636">
      <c r="A636" s="17"/>
      <c r="G636" s="17"/>
    </row>
    <row r="637">
      <c r="A637" s="17"/>
      <c r="G637" s="17"/>
    </row>
    <row r="638">
      <c r="A638" s="17"/>
      <c r="G638" s="17"/>
    </row>
    <row r="639">
      <c r="A639" s="17"/>
      <c r="G639" s="17"/>
    </row>
    <row r="640">
      <c r="A640" s="17"/>
      <c r="G640" s="17"/>
    </row>
    <row r="641">
      <c r="A641" s="17"/>
      <c r="G641" s="17"/>
    </row>
    <row r="642">
      <c r="A642" s="17"/>
      <c r="G642" s="17"/>
    </row>
    <row r="643">
      <c r="A643" s="17"/>
      <c r="G643" s="17"/>
    </row>
    <row r="644">
      <c r="A644" s="17"/>
      <c r="G644" s="17"/>
    </row>
    <row r="645">
      <c r="A645" s="17"/>
      <c r="G645" s="17"/>
    </row>
    <row r="646">
      <c r="A646" s="17"/>
      <c r="G646" s="17"/>
    </row>
    <row r="647">
      <c r="A647" s="17"/>
      <c r="G647" s="17"/>
    </row>
    <row r="648">
      <c r="A648" s="17"/>
      <c r="G648" s="17"/>
    </row>
    <row r="649">
      <c r="A649" s="17"/>
      <c r="G649" s="17"/>
    </row>
    <row r="650">
      <c r="A650" s="17"/>
      <c r="G650" s="17"/>
    </row>
    <row r="651">
      <c r="A651" s="17"/>
      <c r="G651" s="17"/>
    </row>
    <row r="652">
      <c r="A652" s="17"/>
      <c r="G652" s="17"/>
    </row>
    <row r="653">
      <c r="A653" s="17"/>
      <c r="G653" s="17"/>
    </row>
    <row r="654">
      <c r="A654" s="17"/>
      <c r="G654" s="17"/>
    </row>
    <row r="655">
      <c r="A655" s="17"/>
      <c r="G655" s="17"/>
    </row>
    <row r="656">
      <c r="A656" s="17"/>
      <c r="G656" s="17"/>
    </row>
    <row r="657">
      <c r="A657" s="17"/>
      <c r="G657" s="17"/>
    </row>
    <row r="658">
      <c r="A658" s="17"/>
      <c r="G658" s="17"/>
    </row>
    <row r="659">
      <c r="A659" s="17"/>
      <c r="G659" s="17"/>
    </row>
    <row r="660">
      <c r="A660" s="17"/>
      <c r="G660" s="17"/>
    </row>
    <row r="661">
      <c r="A661" s="17"/>
      <c r="G661" s="17"/>
    </row>
    <row r="662">
      <c r="A662" s="17"/>
      <c r="G662" s="17"/>
    </row>
    <row r="663">
      <c r="A663" s="17"/>
      <c r="G663" s="17"/>
    </row>
    <row r="664">
      <c r="A664" s="17"/>
      <c r="G664" s="17"/>
    </row>
    <row r="665">
      <c r="A665" s="17"/>
      <c r="G665" s="17"/>
    </row>
    <row r="666">
      <c r="A666" s="17"/>
      <c r="G666" s="17"/>
    </row>
    <row r="667">
      <c r="A667" s="17"/>
      <c r="G667" s="17"/>
    </row>
    <row r="668">
      <c r="A668" s="17"/>
      <c r="G668" s="17"/>
    </row>
    <row r="669">
      <c r="A669" s="17"/>
      <c r="G669" s="17"/>
    </row>
    <row r="670">
      <c r="A670" s="17"/>
      <c r="G670" s="17"/>
    </row>
    <row r="671">
      <c r="A671" s="17"/>
      <c r="G671" s="17"/>
    </row>
    <row r="672">
      <c r="A672" s="17"/>
      <c r="G672" s="17"/>
    </row>
    <row r="673">
      <c r="A673" s="17"/>
      <c r="G673" s="17"/>
    </row>
    <row r="674">
      <c r="A674" s="17"/>
      <c r="G674" s="17"/>
    </row>
    <row r="675">
      <c r="A675" s="17"/>
      <c r="G675" s="17"/>
    </row>
    <row r="676">
      <c r="A676" s="17"/>
      <c r="G676" s="17"/>
    </row>
    <row r="677">
      <c r="A677" s="17"/>
      <c r="G677" s="17"/>
    </row>
    <row r="678">
      <c r="A678" s="17"/>
      <c r="G678" s="17"/>
    </row>
    <row r="679">
      <c r="A679" s="17"/>
      <c r="G679" s="17"/>
    </row>
    <row r="680">
      <c r="A680" s="17"/>
      <c r="G680" s="17"/>
    </row>
    <row r="681">
      <c r="A681" s="17"/>
      <c r="G681" s="17"/>
    </row>
    <row r="682">
      <c r="A682" s="17"/>
      <c r="G682" s="17"/>
    </row>
    <row r="683">
      <c r="A683" s="17"/>
      <c r="G683" s="17"/>
    </row>
    <row r="684">
      <c r="A684" s="17"/>
      <c r="G684" s="17"/>
    </row>
    <row r="685">
      <c r="A685" s="17"/>
      <c r="G685" s="17"/>
    </row>
    <row r="686">
      <c r="A686" s="17"/>
      <c r="G686" s="17"/>
    </row>
    <row r="687">
      <c r="A687" s="17"/>
      <c r="G687" s="17"/>
    </row>
    <row r="688">
      <c r="A688" s="17"/>
      <c r="G688" s="17"/>
    </row>
    <row r="689">
      <c r="A689" s="17"/>
      <c r="G689" s="17"/>
    </row>
    <row r="690">
      <c r="A690" s="17"/>
      <c r="G690" s="17"/>
    </row>
    <row r="691">
      <c r="A691" s="17"/>
      <c r="G691" s="17"/>
    </row>
    <row r="692">
      <c r="A692" s="17"/>
      <c r="G692" s="17"/>
    </row>
    <row r="693">
      <c r="A693" s="17"/>
      <c r="G693" s="17"/>
    </row>
    <row r="694">
      <c r="A694" s="17"/>
      <c r="G694" s="17"/>
    </row>
    <row r="695">
      <c r="A695" s="17"/>
      <c r="G695" s="17"/>
    </row>
    <row r="696">
      <c r="A696" s="17"/>
      <c r="G696" s="17"/>
    </row>
    <row r="697">
      <c r="A697" s="17"/>
      <c r="G697" s="17"/>
    </row>
    <row r="698">
      <c r="A698" s="17"/>
      <c r="G698" s="17"/>
    </row>
    <row r="699">
      <c r="A699" s="17"/>
      <c r="G699" s="17"/>
    </row>
    <row r="700">
      <c r="A700" s="17"/>
      <c r="G700" s="17"/>
    </row>
    <row r="701">
      <c r="A701" s="17"/>
      <c r="G701" s="17"/>
    </row>
    <row r="702">
      <c r="A702" s="17"/>
      <c r="G702" s="17"/>
    </row>
    <row r="703">
      <c r="A703" s="17"/>
      <c r="G703" s="17"/>
    </row>
    <row r="704">
      <c r="A704" s="17"/>
      <c r="G704" s="17"/>
    </row>
    <row r="705">
      <c r="A705" s="17"/>
      <c r="G705" s="17"/>
    </row>
    <row r="706">
      <c r="A706" s="17"/>
      <c r="G706" s="17"/>
    </row>
    <row r="707">
      <c r="A707" s="17"/>
      <c r="G707" s="17"/>
    </row>
    <row r="708">
      <c r="A708" s="17"/>
      <c r="G708" s="17"/>
    </row>
    <row r="709">
      <c r="A709" s="17"/>
      <c r="G709" s="17"/>
    </row>
    <row r="710">
      <c r="A710" s="17"/>
      <c r="G710" s="17"/>
    </row>
    <row r="711">
      <c r="A711" s="17"/>
      <c r="G711" s="17"/>
    </row>
    <row r="712">
      <c r="A712" s="17"/>
      <c r="G712" s="17"/>
    </row>
    <row r="713">
      <c r="A713" s="17"/>
      <c r="G713" s="17"/>
    </row>
    <row r="714">
      <c r="A714" s="17"/>
      <c r="G714" s="17"/>
    </row>
    <row r="715">
      <c r="A715" s="17"/>
      <c r="G715" s="17"/>
    </row>
    <row r="716">
      <c r="A716" s="17"/>
      <c r="G716" s="17"/>
    </row>
    <row r="717">
      <c r="A717" s="17"/>
      <c r="G717" s="17"/>
    </row>
    <row r="718">
      <c r="A718" s="17"/>
      <c r="G718" s="17"/>
    </row>
    <row r="719">
      <c r="A719" s="17"/>
      <c r="G719" s="17"/>
    </row>
    <row r="720">
      <c r="A720" s="17"/>
      <c r="G720" s="17"/>
    </row>
    <row r="721">
      <c r="A721" s="17"/>
      <c r="G721" s="17"/>
    </row>
    <row r="722">
      <c r="A722" s="17"/>
      <c r="G722" s="17"/>
    </row>
    <row r="723">
      <c r="A723" s="17"/>
      <c r="G723" s="17"/>
    </row>
    <row r="724">
      <c r="A724" s="17"/>
      <c r="G724" s="17"/>
    </row>
    <row r="725">
      <c r="A725" s="17"/>
      <c r="G725" s="17"/>
    </row>
    <row r="726">
      <c r="A726" s="17"/>
      <c r="G726" s="17"/>
    </row>
    <row r="727">
      <c r="A727" s="17"/>
      <c r="G727" s="17"/>
    </row>
    <row r="728">
      <c r="A728" s="17"/>
      <c r="G728" s="17"/>
    </row>
    <row r="729">
      <c r="A729" s="17"/>
      <c r="G729" s="17"/>
    </row>
    <row r="730">
      <c r="A730" s="17"/>
      <c r="G730" s="17"/>
    </row>
    <row r="731">
      <c r="A731" s="17"/>
      <c r="G731" s="17"/>
    </row>
    <row r="732">
      <c r="A732" s="17"/>
      <c r="G732" s="17"/>
    </row>
    <row r="733">
      <c r="A733" s="17"/>
      <c r="G733" s="17"/>
    </row>
    <row r="734">
      <c r="A734" s="17"/>
      <c r="G734" s="17"/>
    </row>
    <row r="735">
      <c r="A735" s="17"/>
      <c r="G735" s="17"/>
    </row>
    <row r="736">
      <c r="A736" s="17"/>
      <c r="G736" s="17"/>
    </row>
    <row r="737">
      <c r="A737" s="17"/>
      <c r="G737" s="17"/>
    </row>
    <row r="738">
      <c r="A738" s="17"/>
      <c r="G738" s="17"/>
    </row>
    <row r="739">
      <c r="A739" s="17"/>
      <c r="G739" s="17"/>
    </row>
    <row r="740">
      <c r="A740" s="17"/>
      <c r="G740" s="17"/>
    </row>
    <row r="741">
      <c r="A741" s="17"/>
      <c r="G741" s="17"/>
    </row>
    <row r="742">
      <c r="A742" s="17"/>
      <c r="G742" s="17"/>
    </row>
    <row r="743">
      <c r="A743" s="17"/>
      <c r="G743" s="17"/>
    </row>
    <row r="744">
      <c r="A744" s="17"/>
      <c r="G744" s="17"/>
    </row>
    <row r="745">
      <c r="A745" s="17"/>
      <c r="G745" s="17"/>
    </row>
    <row r="746">
      <c r="A746" s="17"/>
      <c r="G746" s="17"/>
    </row>
    <row r="747">
      <c r="A747" s="17"/>
      <c r="G747" s="17"/>
    </row>
    <row r="748">
      <c r="A748" s="17"/>
      <c r="G748" s="17"/>
    </row>
    <row r="749">
      <c r="A749" s="17"/>
      <c r="G749" s="17"/>
    </row>
    <row r="750">
      <c r="A750" s="17"/>
      <c r="G750" s="17"/>
    </row>
    <row r="751">
      <c r="A751" s="17"/>
      <c r="G751" s="17"/>
    </row>
    <row r="752">
      <c r="A752" s="17"/>
      <c r="G752" s="17"/>
    </row>
    <row r="753">
      <c r="A753" s="17"/>
      <c r="G753" s="17"/>
    </row>
    <row r="754">
      <c r="A754" s="17"/>
      <c r="G754" s="17"/>
    </row>
    <row r="755">
      <c r="A755" s="17"/>
      <c r="G755" s="17"/>
    </row>
    <row r="756">
      <c r="A756" s="17"/>
      <c r="G756" s="17"/>
    </row>
    <row r="757">
      <c r="A757" s="17"/>
      <c r="G757" s="17"/>
    </row>
    <row r="758">
      <c r="A758" s="17"/>
      <c r="G758" s="17"/>
    </row>
    <row r="759">
      <c r="A759" s="17"/>
      <c r="G759" s="17"/>
    </row>
    <row r="760">
      <c r="A760" s="17"/>
      <c r="G760" s="17"/>
    </row>
    <row r="761">
      <c r="A761" s="17"/>
      <c r="G761" s="17"/>
    </row>
    <row r="762">
      <c r="A762" s="17"/>
      <c r="G762" s="17"/>
    </row>
    <row r="763">
      <c r="A763" s="17"/>
      <c r="G763" s="17"/>
    </row>
    <row r="764">
      <c r="A764" s="17"/>
      <c r="G764" s="17"/>
    </row>
    <row r="765">
      <c r="A765" s="17"/>
      <c r="G765" s="17"/>
    </row>
    <row r="766">
      <c r="A766" s="17"/>
      <c r="G766" s="17"/>
    </row>
    <row r="767">
      <c r="A767" s="17"/>
      <c r="G767" s="17"/>
    </row>
    <row r="768">
      <c r="A768" s="17"/>
      <c r="G768" s="17"/>
    </row>
    <row r="769">
      <c r="A769" s="17"/>
      <c r="G769" s="17"/>
    </row>
    <row r="770">
      <c r="A770" s="17"/>
      <c r="G770" s="17"/>
    </row>
    <row r="771">
      <c r="A771" s="17"/>
      <c r="G771" s="17"/>
    </row>
    <row r="772">
      <c r="A772" s="17"/>
      <c r="G772" s="17"/>
    </row>
    <row r="773">
      <c r="A773" s="17"/>
      <c r="G773" s="17"/>
    </row>
    <row r="774">
      <c r="A774" s="17"/>
      <c r="G774" s="17"/>
    </row>
    <row r="775">
      <c r="A775" s="17"/>
      <c r="G775" s="17"/>
    </row>
    <row r="776">
      <c r="A776" s="17"/>
      <c r="G776" s="17"/>
    </row>
    <row r="777">
      <c r="A777" s="17"/>
      <c r="G777" s="17"/>
    </row>
    <row r="778">
      <c r="A778" s="17"/>
      <c r="G778" s="17"/>
    </row>
    <row r="779">
      <c r="A779" s="17"/>
      <c r="G779" s="17"/>
    </row>
    <row r="780">
      <c r="A780" s="17"/>
      <c r="G780" s="17"/>
    </row>
    <row r="781">
      <c r="A781" s="17"/>
      <c r="G781" s="17"/>
    </row>
    <row r="782">
      <c r="A782" s="17"/>
      <c r="G782" s="17"/>
    </row>
    <row r="783">
      <c r="A783" s="17"/>
      <c r="G783" s="17"/>
    </row>
    <row r="784">
      <c r="A784" s="17"/>
      <c r="G784" s="17"/>
    </row>
    <row r="785">
      <c r="A785" s="17"/>
      <c r="G785" s="17"/>
    </row>
    <row r="786">
      <c r="A786" s="17"/>
      <c r="G786" s="17"/>
    </row>
    <row r="787">
      <c r="A787" s="17"/>
      <c r="G787" s="17"/>
    </row>
    <row r="788">
      <c r="A788" s="17"/>
      <c r="G788" s="17"/>
    </row>
    <row r="789">
      <c r="A789" s="17"/>
      <c r="G789" s="17"/>
    </row>
    <row r="790">
      <c r="A790" s="17"/>
      <c r="G790" s="17"/>
    </row>
    <row r="791">
      <c r="A791" s="17"/>
      <c r="G791" s="17"/>
    </row>
    <row r="792">
      <c r="A792" s="17"/>
      <c r="G792" s="17"/>
    </row>
    <row r="793">
      <c r="A793" s="17"/>
      <c r="G793" s="17"/>
    </row>
    <row r="794">
      <c r="A794" s="17"/>
      <c r="G794" s="17"/>
    </row>
    <row r="795">
      <c r="A795" s="17"/>
      <c r="G795" s="17"/>
    </row>
    <row r="796">
      <c r="A796" s="17"/>
      <c r="G796" s="17"/>
    </row>
    <row r="797">
      <c r="A797" s="17"/>
      <c r="G797" s="17"/>
    </row>
    <row r="798">
      <c r="A798" s="17"/>
      <c r="G798" s="17"/>
    </row>
    <row r="799">
      <c r="A799" s="17"/>
      <c r="G799" s="17"/>
    </row>
    <row r="800">
      <c r="A800" s="17"/>
      <c r="G800" s="17"/>
    </row>
    <row r="801">
      <c r="A801" s="17"/>
      <c r="G801" s="17"/>
    </row>
    <row r="802">
      <c r="A802" s="17"/>
      <c r="G802" s="17"/>
    </row>
    <row r="803">
      <c r="A803" s="17"/>
      <c r="G803" s="17"/>
    </row>
    <row r="804">
      <c r="A804" s="17"/>
      <c r="G804" s="17"/>
    </row>
    <row r="805">
      <c r="A805" s="17"/>
      <c r="G805" s="17"/>
    </row>
    <row r="806">
      <c r="A806" s="17"/>
      <c r="G806" s="17"/>
    </row>
    <row r="807">
      <c r="A807" s="17"/>
      <c r="G807" s="17"/>
    </row>
    <row r="808">
      <c r="A808" s="17"/>
      <c r="G808" s="17"/>
    </row>
    <row r="809">
      <c r="A809" s="17"/>
      <c r="G809" s="17"/>
    </row>
    <row r="810">
      <c r="A810" s="17"/>
      <c r="G810" s="17"/>
    </row>
    <row r="811">
      <c r="A811" s="17"/>
      <c r="G811" s="17"/>
    </row>
    <row r="812">
      <c r="A812" s="17"/>
      <c r="G812" s="17"/>
    </row>
    <row r="813">
      <c r="A813" s="17"/>
      <c r="G813" s="17"/>
    </row>
    <row r="814">
      <c r="A814" s="17"/>
      <c r="G814" s="17"/>
    </row>
    <row r="815">
      <c r="A815" s="17"/>
      <c r="G815" s="17"/>
    </row>
    <row r="816">
      <c r="A816" s="17"/>
      <c r="G816" s="17"/>
    </row>
    <row r="817">
      <c r="A817" s="17"/>
      <c r="G817" s="17"/>
    </row>
    <row r="818">
      <c r="A818" s="17"/>
      <c r="G818" s="17"/>
    </row>
    <row r="819">
      <c r="A819" s="17"/>
      <c r="G819" s="17"/>
    </row>
    <row r="820">
      <c r="A820" s="17"/>
      <c r="G820" s="17"/>
    </row>
    <row r="821">
      <c r="A821" s="17"/>
      <c r="G821" s="17"/>
    </row>
    <row r="822">
      <c r="A822" s="17"/>
      <c r="G822" s="17"/>
    </row>
    <row r="823">
      <c r="A823" s="17"/>
      <c r="G823" s="17"/>
    </row>
    <row r="824">
      <c r="A824" s="17"/>
      <c r="G824" s="17"/>
    </row>
    <row r="825">
      <c r="A825" s="17"/>
      <c r="G825" s="17"/>
    </row>
    <row r="826">
      <c r="A826" s="17"/>
      <c r="G826" s="17"/>
    </row>
    <row r="827">
      <c r="A827" s="17"/>
      <c r="G827" s="17"/>
    </row>
    <row r="828">
      <c r="A828" s="17"/>
      <c r="G828" s="17"/>
    </row>
    <row r="829">
      <c r="A829" s="17"/>
      <c r="G829" s="17"/>
    </row>
    <row r="830">
      <c r="A830" s="17"/>
      <c r="G830" s="17"/>
    </row>
    <row r="831">
      <c r="A831" s="17"/>
      <c r="G831" s="17"/>
    </row>
    <row r="832">
      <c r="A832" s="17"/>
      <c r="G832" s="17"/>
    </row>
    <row r="833">
      <c r="A833" s="17"/>
      <c r="G833" s="17"/>
    </row>
    <row r="834">
      <c r="A834" s="17"/>
      <c r="G834" s="17"/>
    </row>
    <row r="835">
      <c r="A835" s="17"/>
      <c r="G835" s="17"/>
    </row>
    <row r="836">
      <c r="A836" s="17"/>
      <c r="G836" s="17"/>
    </row>
    <row r="837">
      <c r="A837" s="17"/>
      <c r="G837" s="17"/>
    </row>
    <row r="838">
      <c r="A838" s="17"/>
      <c r="G838" s="17"/>
    </row>
    <row r="839">
      <c r="A839" s="17"/>
      <c r="G839" s="17"/>
    </row>
    <row r="840">
      <c r="A840" s="17"/>
      <c r="G840" s="17"/>
    </row>
    <row r="841">
      <c r="A841" s="17"/>
      <c r="G841" s="17"/>
    </row>
    <row r="842">
      <c r="A842" s="17"/>
      <c r="G842" s="17"/>
    </row>
    <row r="843">
      <c r="A843" s="17"/>
      <c r="G843" s="17"/>
    </row>
    <row r="844">
      <c r="A844" s="17"/>
      <c r="G844" s="17"/>
    </row>
    <row r="845">
      <c r="A845" s="17"/>
      <c r="G845" s="17"/>
    </row>
    <row r="846">
      <c r="A846" s="17"/>
      <c r="G846" s="17"/>
    </row>
    <row r="847">
      <c r="A847" s="17"/>
      <c r="G847" s="17"/>
    </row>
    <row r="848">
      <c r="A848" s="17"/>
      <c r="G848" s="17"/>
    </row>
    <row r="849">
      <c r="A849" s="17"/>
      <c r="G849" s="17"/>
    </row>
    <row r="850">
      <c r="A850" s="17"/>
      <c r="G850" s="17"/>
    </row>
    <row r="851">
      <c r="A851" s="17"/>
      <c r="G851" s="17"/>
    </row>
    <row r="852">
      <c r="A852" s="17"/>
      <c r="G852" s="17"/>
    </row>
    <row r="853">
      <c r="A853" s="17"/>
      <c r="G853" s="17"/>
    </row>
    <row r="854">
      <c r="A854" s="17"/>
      <c r="G854" s="17"/>
    </row>
    <row r="855">
      <c r="A855" s="17"/>
      <c r="G855" s="17"/>
    </row>
    <row r="856">
      <c r="A856" s="17"/>
      <c r="G856" s="17"/>
    </row>
    <row r="857">
      <c r="A857" s="17"/>
      <c r="G857" s="17"/>
    </row>
    <row r="858">
      <c r="A858" s="17"/>
      <c r="G858" s="17"/>
    </row>
    <row r="859">
      <c r="A859" s="17"/>
      <c r="G859" s="17"/>
    </row>
    <row r="860">
      <c r="A860" s="17"/>
      <c r="G860" s="17"/>
    </row>
    <row r="861">
      <c r="A861" s="17"/>
      <c r="G861" s="17"/>
    </row>
    <row r="862">
      <c r="A862" s="17"/>
      <c r="G862" s="17"/>
    </row>
    <row r="863">
      <c r="A863" s="17"/>
      <c r="G863" s="17"/>
    </row>
    <row r="864">
      <c r="A864" s="17"/>
      <c r="G864" s="17"/>
    </row>
    <row r="865">
      <c r="A865" s="17"/>
      <c r="G865" s="17"/>
    </row>
    <row r="866">
      <c r="A866" s="17"/>
      <c r="G866" s="17"/>
    </row>
    <row r="867">
      <c r="A867" s="17"/>
      <c r="G867" s="17"/>
    </row>
    <row r="868">
      <c r="A868" s="17"/>
      <c r="G868" s="17"/>
    </row>
    <row r="869">
      <c r="A869" s="17"/>
      <c r="G869" s="17"/>
    </row>
    <row r="870">
      <c r="A870" s="17"/>
      <c r="G870" s="17"/>
    </row>
    <row r="871">
      <c r="A871" s="17"/>
      <c r="G871" s="17"/>
    </row>
    <row r="872">
      <c r="A872" s="17"/>
      <c r="G872" s="17"/>
    </row>
    <row r="873">
      <c r="A873" s="17"/>
      <c r="G873" s="17"/>
    </row>
    <row r="874">
      <c r="A874" s="17"/>
      <c r="G874" s="17"/>
    </row>
    <row r="875">
      <c r="A875" s="17"/>
      <c r="G875" s="17"/>
    </row>
    <row r="876">
      <c r="A876" s="17"/>
      <c r="G876" s="17"/>
    </row>
    <row r="877">
      <c r="A877" s="17"/>
      <c r="G877" s="17"/>
    </row>
    <row r="878">
      <c r="A878" s="17"/>
      <c r="G878" s="17"/>
    </row>
    <row r="879">
      <c r="A879" s="17"/>
      <c r="G879" s="17"/>
    </row>
    <row r="880">
      <c r="A880" s="17"/>
      <c r="G880" s="17"/>
    </row>
    <row r="881">
      <c r="A881" s="17"/>
      <c r="G881" s="17"/>
    </row>
    <row r="882">
      <c r="A882" s="17"/>
      <c r="G882" s="17"/>
    </row>
    <row r="883">
      <c r="A883" s="17"/>
      <c r="G883" s="17"/>
    </row>
    <row r="884">
      <c r="A884" s="17"/>
      <c r="G884" s="17"/>
    </row>
    <row r="885">
      <c r="A885" s="17"/>
      <c r="G885" s="17"/>
    </row>
    <row r="886">
      <c r="A886" s="17"/>
      <c r="G886" s="17"/>
    </row>
    <row r="887">
      <c r="A887" s="17"/>
      <c r="G887" s="17"/>
    </row>
    <row r="888">
      <c r="A888" s="17"/>
      <c r="G888" s="17"/>
    </row>
    <row r="889">
      <c r="A889" s="17"/>
      <c r="G889" s="17"/>
    </row>
    <row r="890">
      <c r="A890" s="17"/>
      <c r="G890" s="17"/>
    </row>
    <row r="891">
      <c r="A891" s="17"/>
      <c r="G891" s="17"/>
    </row>
    <row r="892">
      <c r="A892" s="17"/>
      <c r="G892" s="17"/>
    </row>
    <row r="893">
      <c r="A893" s="17"/>
      <c r="G893" s="17"/>
    </row>
    <row r="894">
      <c r="A894" s="17"/>
      <c r="G894" s="17"/>
    </row>
    <row r="895">
      <c r="A895" s="17"/>
      <c r="G895" s="17"/>
    </row>
    <row r="896">
      <c r="A896" s="17"/>
      <c r="G896" s="17"/>
    </row>
    <row r="897">
      <c r="A897" s="17"/>
      <c r="G897" s="17"/>
    </row>
    <row r="898">
      <c r="A898" s="17"/>
      <c r="G898" s="17"/>
    </row>
    <row r="899">
      <c r="A899" s="17"/>
      <c r="G899" s="17"/>
    </row>
    <row r="900">
      <c r="A900" s="17"/>
      <c r="G900" s="17"/>
    </row>
    <row r="901">
      <c r="A901" s="17"/>
      <c r="G901" s="17"/>
    </row>
    <row r="902">
      <c r="A902" s="17"/>
      <c r="G902" s="17"/>
    </row>
    <row r="903">
      <c r="A903" s="17"/>
      <c r="G903" s="17"/>
    </row>
    <row r="904">
      <c r="A904" s="17"/>
      <c r="G904" s="17"/>
    </row>
    <row r="905">
      <c r="A905" s="17"/>
      <c r="G905" s="17"/>
    </row>
    <row r="906">
      <c r="A906" s="17"/>
      <c r="G906" s="17"/>
    </row>
    <row r="907">
      <c r="A907" s="17"/>
      <c r="G907" s="17"/>
    </row>
    <row r="908">
      <c r="A908" s="17"/>
      <c r="G908" s="17"/>
    </row>
    <row r="909">
      <c r="A909" s="17"/>
      <c r="G909" s="17"/>
    </row>
    <row r="910">
      <c r="A910" s="17"/>
      <c r="G910" s="17"/>
    </row>
    <row r="911">
      <c r="A911" s="17"/>
      <c r="G911" s="17"/>
    </row>
    <row r="912">
      <c r="A912" s="17"/>
      <c r="G912" s="17"/>
    </row>
    <row r="913">
      <c r="A913" s="17"/>
      <c r="G913" s="17"/>
    </row>
    <row r="914">
      <c r="A914" s="17"/>
      <c r="G914" s="17"/>
    </row>
    <row r="915">
      <c r="A915" s="17"/>
      <c r="G915" s="17"/>
    </row>
    <row r="916">
      <c r="A916" s="17"/>
      <c r="G916" s="17"/>
    </row>
    <row r="917">
      <c r="A917" s="17"/>
      <c r="G917" s="17"/>
    </row>
    <row r="918">
      <c r="A918" s="17"/>
      <c r="G918" s="17"/>
    </row>
    <row r="919">
      <c r="A919" s="17"/>
      <c r="G919" s="17"/>
    </row>
    <row r="920">
      <c r="A920" s="17"/>
      <c r="G920" s="17"/>
    </row>
    <row r="921">
      <c r="A921" s="17"/>
      <c r="G921" s="17"/>
    </row>
    <row r="922">
      <c r="A922" s="17"/>
      <c r="G922" s="17"/>
    </row>
    <row r="923">
      <c r="A923" s="17"/>
      <c r="G923" s="17"/>
    </row>
    <row r="924">
      <c r="A924" s="17"/>
      <c r="G924" s="17"/>
    </row>
    <row r="925">
      <c r="A925" s="17"/>
      <c r="G925" s="17"/>
    </row>
    <row r="926">
      <c r="A926" s="17"/>
      <c r="G926" s="17"/>
    </row>
    <row r="927">
      <c r="A927" s="17"/>
      <c r="G927" s="17"/>
    </row>
    <row r="928">
      <c r="A928" s="17"/>
      <c r="G928" s="17"/>
    </row>
    <row r="929">
      <c r="A929" s="17"/>
      <c r="G929" s="17"/>
    </row>
    <row r="930">
      <c r="A930" s="17"/>
      <c r="G930" s="17"/>
    </row>
    <row r="931">
      <c r="A931" s="17"/>
      <c r="G931" s="17"/>
    </row>
    <row r="932">
      <c r="A932" s="17"/>
      <c r="G932" s="17"/>
    </row>
    <row r="933">
      <c r="A933" s="17"/>
      <c r="G933" s="17"/>
    </row>
    <row r="934">
      <c r="A934" s="17"/>
      <c r="G934" s="17"/>
    </row>
    <row r="935">
      <c r="A935" s="17"/>
      <c r="G935" s="17"/>
    </row>
    <row r="936">
      <c r="A936" s="17"/>
      <c r="G936" s="17"/>
    </row>
    <row r="937">
      <c r="A937" s="17"/>
      <c r="G937" s="17"/>
    </row>
    <row r="938">
      <c r="A938" s="17"/>
      <c r="G938" s="17"/>
    </row>
    <row r="939">
      <c r="A939" s="17"/>
      <c r="G939" s="17"/>
    </row>
    <row r="940">
      <c r="A940" s="17"/>
      <c r="G940" s="17"/>
    </row>
    <row r="941">
      <c r="A941" s="17"/>
      <c r="G941" s="17"/>
    </row>
    <row r="942">
      <c r="A942" s="17"/>
      <c r="G942" s="17"/>
    </row>
    <row r="943">
      <c r="A943" s="17"/>
      <c r="G943" s="17"/>
    </row>
    <row r="944">
      <c r="A944" s="17"/>
      <c r="G944" s="17"/>
    </row>
    <row r="945">
      <c r="A945" s="17"/>
      <c r="G945" s="17"/>
    </row>
    <row r="946">
      <c r="A946" s="17"/>
      <c r="G946" s="17"/>
    </row>
    <row r="947">
      <c r="A947" s="17"/>
      <c r="G947" s="17"/>
    </row>
    <row r="948">
      <c r="A948" s="17"/>
      <c r="G948" s="17"/>
    </row>
    <row r="949">
      <c r="A949" s="17"/>
      <c r="G949" s="17"/>
    </row>
    <row r="950">
      <c r="A950" s="17"/>
      <c r="G950" s="17"/>
    </row>
    <row r="951">
      <c r="A951" s="17"/>
      <c r="G951" s="17"/>
    </row>
    <row r="952">
      <c r="A952" s="17"/>
      <c r="G952" s="17"/>
    </row>
    <row r="953">
      <c r="A953" s="17"/>
      <c r="G953" s="17"/>
    </row>
    <row r="954">
      <c r="A954" s="17"/>
      <c r="G954" s="17"/>
    </row>
    <row r="955">
      <c r="A955" s="17"/>
      <c r="G955" s="17"/>
    </row>
    <row r="956">
      <c r="A956" s="17"/>
      <c r="G956" s="17"/>
    </row>
    <row r="957">
      <c r="A957" s="17"/>
      <c r="G957" s="17"/>
    </row>
    <row r="958">
      <c r="A958" s="17"/>
      <c r="G958" s="17"/>
    </row>
    <row r="959">
      <c r="A959" s="17"/>
      <c r="G959" s="17"/>
    </row>
    <row r="960">
      <c r="A960" s="17"/>
      <c r="G960" s="17"/>
    </row>
    <row r="961">
      <c r="A961" s="17"/>
      <c r="G961" s="17"/>
    </row>
    <row r="962">
      <c r="A962" s="17"/>
      <c r="G962" s="17"/>
    </row>
    <row r="963">
      <c r="A963" s="17"/>
      <c r="G963" s="17"/>
    </row>
    <row r="964">
      <c r="A964" s="17"/>
      <c r="G964" s="17"/>
    </row>
    <row r="965">
      <c r="A965" s="17"/>
      <c r="G965" s="17"/>
    </row>
    <row r="966">
      <c r="A966" s="17"/>
      <c r="G966" s="17"/>
    </row>
    <row r="967">
      <c r="A967" s="17"/>
      <c r="G967" s="17"/>
    </row>
    <row r="968">
      <c r="A968" s="17"/>
      <c r="G968" s="17"/>
    </row>
    <row r="969">
      <c r="A969" s="17"/>
      <c r="G969" s="17"/>
    </row>
    <row r="970">
      <c r="A970" s="17"/>
      <c r="G970" s="17"/>
    </row>
    <row r="971">
      <c r="A971" s="17"/>
      <c r="G971" s="17"/>
    </row>
    <row r="972">
      <c r="A972" s="17"/>
      <c r="G972" s="17"/>
    </row>
    <row r="973">
      <c r="A973" s="17"/>
      <c r="G973" s="17"/>
    </row>
    <row r="974">
      <c r="A974" s="17"/>
      <c r="G974" s="17"/>
    </row>
    <row r="975">
      <c r="A975" s="17"/>
      <c r="G975" s="17"/>
    </row>
    <row r="976">
      <c r="A976" s="17"/>
      <c r="G976" s="17"/>
    </row>
    <row r="977">
      <c r="A977" s="17"/>
      <c r="G977" s="17"/>
    </row>
    <row r="978">
      <c r="A978" s="17"/>
      <c r="G978" s="17"/>
    </row>
    <row r="979">
      <c r="A979" s="17"/>
      <c r="G979" s="17"/>
    </row>
    <row r="980">
      <c r="A980" s="17"/>
      <c r="G980" s="17"/>
    </row>
    <row r="981">
      <c r="A981" s="17"/>
      <c r="G981" s="17"/>
    </row>
    <row r="982">
      <c r="A982" s="17"/>
      <c r="G982" s="17"/>
    </row>
    <row r="983">
      <c r="A983" s="17"/>
      <c r="G983" s="17"/>
    </row>
    <row r="984">
      <c r="A984" s="17"/>
      <c r="G984" s="17"/>
    </row>
    <row r="985">
      <c r="A985" s="17"/>
      <c r="G985" s="17"/>
    </row>
    <row r="986">
      <c r="A986" s="17"/>
      <c r="G986" s="17"/>
    </row>
    <row r="987">
      <c r="A987" s="17"/>
      <c r="G987" s="17"/>
    </row>
    <row r="988">
      <c r="A988" s="17"/>
      <c r="G988" s="17"/>
    </row>
    <row r="989">
      <c r="A989" s="17"/>
      <c r="G989" s="17"/>
    </row>
    <row r="990">
      <c r="A990" s="17"/>
      <c r="G990" s="17"/>
    </row>
    <row r="991">
      <c r="A991" s="17"/>
      <c r="G991" s="17"/>
    </row>
    <row r="992">
      <c r="A992" s="17"/>
      <c r="G992" s="17"/>
    </row>
    <row r="993">
      <c r="A993" s="17"/>
      <c r="G993" s="17"/>
    </row>
    <row r="994">
      <c r="A994" s="17"/>
      <c r="G994" s="17"/>
    </row>
    <row r="995">
      <c r="A995" s="17"/>
      <c r="G995" s="17"/>
    </row>
    <row r="996">
      <c r="A996" s="17"/>
      <c r="G996" s="17"/>
    </row>
    <row r="997">
      <c r="A997" s="17"/>
      <c r="G997" s="17"/>
    </row>
    <row r="998">
      <c r="A998" s="17"/>
      <c r="G998" s="17"/>
    </row>
    <row r="999">
      <c r="A999" s="17"/>
      <c r="G999" s="17"/>
    </row>
    <row r="1000">
      <c r="A1000" s="17"/>
      <c r="G1000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63"/>
    <col customWidth="1" min="3" max="3" width="5.75"/>
    <col customWidth="1" min="4" max="16" width="3.63"/>
    <col customWidth="1" min="17" max="17" width="5.38"/>
    <col customWidth="1" min="18" max="18" width="4.38"/>
    <col customWidth="1" min="19" max="50" width="3.63"/>
  </cols>
  <sheetData>
    <row r="1" ht="21.75" customHeight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17"/>
      <c r="Q1" s="17"/>
      <c r="R1" s="17"/>
      <c r="S1" s="2">
        <v>0.0</v>
      </c>
      <c r="T1" s="2">
        <v>1.0</v>
      </c>
      <c r="U1" s="2">
        <v>2.0</v>
      </c>
      <c r="V1" s="2">
        <v>3.0</v>
      </c>
      <c r="W1" s="2">
        <v>4.0</v>
      </c>
      <c r="X1" s="2">
        <v>5.0</v>
      </c>
      <c r="Y1" s="2">
        <v>6.0</v>
      </c>
      <c r="Z1" s="2">
        <v>7.0</v>
      </c>
      <c r="AA1" s="2">
        <v>8.0</v>
      </c>
      <c r="AB1" s="2">
        <v>9.0</v>
      </c>
      <c r="AC1" s="2"/>
      <c r="AD1" s="2"/>
      <c r="AE1" s="17"/>
      <c r="AF1" s="2">
        <v>0.0</v>
      </c>
      <c r="AG1" s="2">
        <v>1.0</v>
      </c>
      <c r="AH1" s="2">
        <v>2.0</v>
      </c>
      <c r="AI1" s="2">
        <v>3.0</v>
      </c>
      <c r="AJ1" s="2">
        <v>4.0</v>
      </c>
      <c r="AK1" s="2">
        <v>5.0</v>
      </c>
      <c r="AL1" s="2">
        <v>6.0</v>
      </c>
      <c r="AM1" s="2">
        <v>7.0</v>
      </c>
      <c r="AN1" s="2">
        <v>8.0</v>
      </c>
      <c r="AO1" s="2"/>
      <c r="AP1" s="2"/>
      <c r="AQ1" s="17"/>
      <c r="AR1" s="2">
        <v>0.0</v>
      </c>
      <c r="AS1" s="2">
        <v>1.0</v>
      </c>
      <c r="AT1" s="2">
        <v>2.0</v>
      </c>
      <c r="AU1" s="2">
        <v>3.0</v>
      </c>
      <c r="AV1" s="2">
        <v>4.0</v>
      </c>
      <c r="AW1" s="2">
        <v>5.0</v>
      </c>
      <c r="AX1" s="2"/>
    </row>
    <row r="2" ht="21.75" customHeight="1">
      <c r="A2" s="2">
        <v>0.0</v>
      </c>
      <c r="B2" s="28">
        <f t="array" ref="B2:O17">A2:A17*B1:O1</f>
        <v>0</v>
      </c>
      <c r="C2" s="28">
        <v>0.0</v>
      </c>
      <c r="D2" s="28">
        <v>0.0</v>
      </c>
      <c r="E2" s="28">
        <v>0.0</v>
      </c>
      <c r="F2" s="28">
        <v>0.0</v>
      </c>
      <c r="G2" s="5">
        <v>0.0</v>
      </c>
      <c r="H2" s="5">
        <v>0.0</v>
      </c>
      <c r="I2" s="5">
        <v>0.0</v>
      </c>
      <c r="J2" s="5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17">
        <f t="shared" ref="P2:P17" si="1">15-A2</f>
        <v>15</v>
      </c>
      <c r="R2" s="2">
        <v>0.0</v>
      </c>
      <c r="S2" s="28">
        <f t="array" ref="S2:AB21">R2:R21*S1:AB1</f>
        <v>0</v>
      </c>
      <c r="T2" s="28">
        <v>0.0</v>
      </c>
      <c r="U2" s="28">
        <v>0.0</v>
      </c>
      <c r="V2" s="5">
        <v>0.0</v>
      </c>
      <c r="W2" s="5">
        <v>0.0</v>
      </c>
      <c r="X2" s="5">
        <v>0.0</v>
      </c>
      <c r="Y2" s="5">
        <v>0.0</v>
      </c>
      <c r="Z2" s="23">
        <v>0.0</v>
      </c>
      <c r="AA2" s="23">
        <v>0.0</v>
      </c>
      <c r="AB2" s="23">
        <v>0.0</v>
      </c>
      <c r="AC2" s="17">
        <f t="shared" ref="AC2:AC21" si="2">19-R2</f>
        <v>19</v>
      </c>
      <c r="AE2" s="2">
        <v>0.0</v>
      </c>
      <c r="AF2" s="28">
        <f t="array" ref="AF2:AN21">AE2:AE21*AF1:AN1</f>
        <v>0</v>
      </c>
      <c r="AG2" s="28">
        <v>0.0</v>
      </c>
      <c r="AH2" s="5">
        <v>0.0</v>
      </c>
      <c r="AI2" s="5">
        <v>0.0</v>
      </c>
      <c r="AJ2" s="5">
        <v>0.0</v>
      </c>
      <c r="AK2" s="5">
        <v>0.0</v>
      </c>
      <c r="AL2" s="5">
        <v>0.0</v>
      </c>
      <c r="AM2" s="23">
        <v>0.0</v>
      </c>
      <c r="AN2" s="23">
        <v>0.0</v>
      </c>
      <c r="AO2" s="17">
        <f t="shared" ref="AO2:AO21" si="3">19-AE2</f>
        <v>19</v>
      </c>
      <c r="AQ2" s="2">
        <v>0.0</v>
      </c>
      <c r="AR2" s="28">
        <f t="array" ref="AR2:AW26">AQ2:AQ26*AR1:AW1</f>
        <v>0</v>
      </c>
      <c r="AS2" s="5">
        <v>0.0</v>
      </c>
      <c r="AT2" s="5">
        <v>0.0</v>
      </c>
      <c r="AU2" s="5">
        <v>0.0</v>
      </c>
      <c r="AV2" s="5">
        <v>0.0</v>
      </c>
      <c r="AW2" s="23">
        <v>0.0</v>
      </c>
      <c r="AX2" s="17">
        <f t="shared" ref="AX2:AX26" si="4">24-AQ2</f>
        <v>24</v>
      </c>
    </row>
    <row r="3" ht="21.75" customHeight="1">
      <c r="A3" s="2">
        <v>1.0</v>
      </c>
      <c r="B3" s="28">
        <v>0.0</v>
      </c>
      <c r="C3" s="28">
        <v>1.0</v>
      </c>
      <c r="D3" s="28">
        <v>2.0</v>
      </c>
      <c r="E3" s="28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23">
        <v>10.0</v>
      </c>
      <c r="M3" s="23">
        <v>11.0</v>
      </c>
      <c r="N3" s="23">
        <v>12.0</v>
      </c>
      <c r="O3" s="23">
        <v>13.0</v>
      </c>
      <c r="P3" s="17">
        <f t="shared" si="1"/>
        <v>14</v>
      </c>
      <c r="R3" s="2">
        <v>1.0</v>
      </c>
      <c r="S3" s="28">
        <v>0.0</v>
      </c>
      <c r="T3" s="28">
        <v>1.0</v>
      </c>
      <c r="U3" s="28">
        <v>2.0</v>
      </c>
      <c r="V3" s="5">
        <v>3.0</v>
      </c>
      <c r="W3" s="5">
        <v>4.0</v>
      </c>
      <c r="X3" s="5">
        <v>5.0</v>
      </c>
      <c r="Y3" s="5">
        <v>6.0</v>
      </c>
      <c r="Z3" s="23">
        <v>7.0</v>
      </c>
      <c r="AA3" s="23">
        <v>8.0</v>
      </c>
      <c r="AB3" s="23">
        <v>9.0</v>
      </c>
      <c r="AC3" s="17">
        <f t="shared" si="2"/>
        <v>18</v>
      </c>
      <c r="AE3" s="2">
        <v>1.0</v>
      </c>
      <c r="AF3" s="28">
        <v>0.0</v>
      </c>
      <c r="AG3" s="28">
        <v>1.0</v>
      </c>
      <c r="AH3" s="5">
        <v>2.0</v>
      </c>
      <c r="AI3" s="5">
        <v>3.0</v>
      </c>
      <c r="AJ3" s="5">
        <v>4.0</v>
      </c>
      <c r="AK3" s="5">
        <v>5.0</v>
      </c>
      <c r="AL3" s="5">
        <v>6.0</v>
      </c>
      <c r="AM3" s="23">
        <v>7.0</v>
      </c>
      <c r="AN3" s="23">
        <v>8.0</v>
      </c>
      <c r="AO3" s="17">
        <f t="shared" si="3"/>
        <v>18</v>
      </c>
      <c r="AQ3" s="2">
        <v>1.0</v>
      </c>
      <c r="AR3" s="28">
        <v>0.0</v>
      </c>
      <c r="AS3" s="5">
        <v>1.0</v>
      </c>
      <c r="AT3" s="5">
        <v>2.0</v>
      </c>
      <c r="AU3" s="5">
        <v>3.0</v>
      </c>
      <c r="AV3" s="5">
        <v>4.0</v>
      </c>
      <c r="AW3" s="23">
        <v>5.0</v>
      </c>
      <c r="AX3" s="17">
        <f t="shared" si="4"/>
        <v>23</v>
      </c>
    </row>
    <row r="4" ht="21.75" customHeight="1">
      <c r="A4" s="2">
        <v>2.0</v>
      </c>
      <c r="B4" s="28">
        <v>0.0</v>
      </c>
      <c r="C4" s="28">
        <v>2.0</v>
      </c>
      <c r="D4" s="28">
        <v>4.0</v>
      </c>
      <c r="E4" s="28">
        <v>6.0</v>
      </c>
      <c r="F4" s="5">
        <v>8.0</v>
      </c>
      <c r="G4" s="5">
        <v>10.0</v>
      </c>
      <c r="H4" s="5">
        <v>12.0</v>
      </c>
      <c r="I4" s="5">
        <v>14.0</v>
      </c>
      <c r="J4" s="5">
        <v>16.0</v>
      </c>
      <c r="K4" s="5">
        <v>18.0</v>
      </c>
      <c r="L4" s="23">
        <v>20.0</v>
      </c>
      <c r="M4" s="23">
        <v>22.0</v>
      </c>
      <c r="N4" s="23">
        <v>24.0</v>
      </c>
      <c r="O4" s="23">
        <v>26.0</v>
      </c>
      <c r="P4" s="17">
        <f t="shared" si="1"/>
        <v>13</v>
      </c>
      <c r="R4" s="2">
        <v>2.0</v>
      </c>
      <c r="S4" s="28">
        <v>0.0</v>
      </c>
      <c r="T4" s="28">
        <v>2.0</v>
      </c>
      <c r="U4" s="5">
        <v>4.0</v>
      </c>
      <c r="V4" s="5">
        <v>6.0</v>
      </c>
      <c r="W4" s="5">
        <v>8.0</v>
      </c>
      <c r="X4" s="5">
        <v>10.0</v>
      </c>
      <c r="Y4" s="5">
        <v>12.0</v>
      </c>
      <c r="Z4" s="5">
        <v>14.0</v>
      </c>
      <c r="AA4" s="23">
        <v>16.0</v>
      </c>
      <c r="AB4" s="23">
        <v>18.0</v>
      </c>
      <c r="AC4" s="17">
        <f t="shared" si="2"/>
        <v>17</v>
      </c>
      <c r="AE4" s="2">
        <v>2.0</v>
      </c>
      <c r="AF4" s="28">
        <v>0.0</v>
      </c>
      <c r="AG4" s="5">
        <v>2.0</v>
      </c>
      <c r="AH4" s="5">
        <v>4.0</v>
      </c>
      <c r="AI4" s="5">
        <v>6.0</v>
      </c>
      <c r="AJ4" s="5">
        <v>8.0</v>
      </c>
      <c r="AK4" s="5">
        <v>10.0</v>
      </c>
      <c r="AL4" s="5">
        <v>12.0</v>
      </c>
      <c r="AM4" s="5">
        <v>14.0</v>
      </c>
      <c r="AN4" s="23">
        <v>16.0</v>
      </c>
      <c r="AO4" s="17">
        <f t="shared" si="3"/>
        <v>17</v>
      </c>
      <c r="AQ4" s="2">
        <v>2.0</v>
      </c>
      <c r="AR4" s="5">
        <v>0.0</v>
      </c>
      <c r="AS4" s="5">
        <v>2.0</v>
      </c>
      <c r="AT4" s="5">
        <v>4.0</v>
      </c>
      <c r="AU4" s="5">
        <v>6.0</v>
      </c>
      <c r="AV4" s="5">
        <v>8.0</v>
      </c>
      <c r="AW4" s="5">
        <v>10.0</v>
      </c>
      <c r="AX4" s="17">
        <f t="shared" si="4"/>
        <v>22</v>
      </c>
    </row>
    <row r="5" ht="21.75" customHeight="1">
      <c r="A5" s="2">
        <v>3.0</v>
      </c>
      <c r="B5" s="28">
        <v>0.0</v>
      </c>
      <c r="C5" s="28">
        <v>3.0</v>
      </c>
      <c r="D5" s="28">
        <v>6.0</v>
      </c>
      <c r="E5" s="5">
        <v>9.0</v>
      </c>
      <c r="F5" s="5">
        <v>12.0</v>
      </c>
      <c r="G5" s="5">
        <v>15.0</v>
      </c>
      <c r="H5" s="5">
        <v>18.0</v>
      </c>
      <c r="I5" s="5">
        <v>21.0</v>
      </c>
      <c r="J5" s="5">
        <v>24.0</v>
      </c>
      <c r="K5" s="5">
        <v>27.0</v>
      </c>
      <c r="L5" s="5">
        <v>30.0</v>
      </c>
      <c r="M5" s="23">
        <v>33.0</v>
      </c>
      <c r="N5" s="23">
        <v>36.0</v>
      </c>
      <c r="O5" s="23">
        <v>39.0</v>
      </c>
      <c r="P5" s="17">
        <f t="shared" si="1"/>
        <v>12</v>
      </c>
      <c r="R5" s="2">
        <v>3.0</v>
      </c>
      <c r="S5" s="28">
        <v>0.0</v>
      </c>
      <c r="T5" s="28">
        <v>3.0</v>
      </c>
      <c r="U5" s="5">
        <v>6.0</v>
      </c>
      <c r="V5" s="5">
        <v>9.0</v>
      </c>
      <c r="W5" s="5">
        <v>12.0</v>
      </c>
      <c r="X5" s="5">
        <v>15.0</v>
      </c>
      <c r="Y5" s="5">
        <v>18.0</v>
      </c>
      <c r="Z5" s="5">
        <v>21.0</v>
      </c>
      <c r="AA5" s="23">
        <v>24.0</v>
      </c>
      <c r="AB5" s="23">
        <v>27.0</v>
      </c>
      <c r="AC5" s="17">
        <f t="shared" si="2"/>
        <v>16</v>
      </c>
      <c r="AE5" s="2">
        <v>3.0</v>
      </c>
      <c r="AF5" s="28">
        <v>0.0</v>
      </c>
      <c r="AG5" s="5">
        <v>3.0</v>
      </c>
      <c r="AH5" s="5">
        <v>6.0</v>
      </c>
      <c r="AI5" s="5">
        <v>9.0</v>
      </c>
      <c r="AJ5" s="5">
        <v>12.0</v>
      </c>
      <c r="AK5" s="5">
        <v>15.0</v>
      </c>
      <c r="AL5" s="5">
        <v>18.0</v>
      </c>
      <c r="AM5" s="5">
        <v>21.0</v>
      </c>
      <c r="AN5" s="23">
        <v>24.0</v>
      </c>
      <c r="AO5" s="17">
        <f t="shared" si="3"/>
        <v>16</v>
      </c>
      <c r="AQ5" s="2">
        <v>3.0</v>
      </c>
      <c r="AR5" s="15">
        <v>0.0</v>
      </c>
      <c r="AS5" s="5">
        <v>3.0</v>
      </c>
      <c r="AT5" s="5">
        <v>6.0</v>
      </c>
      <c r="AU5" s="5">
        <v>9.0</v>
      </c>
      <c r="AV5" s="5">
        <v>12.0</v>
      </c>
      <c r="AW5" s="5">
        <v>15.0</v>
      </c>
      <c r="AX5" s="17">
        <f t="shared" si="4"/>
        <v>21</v>
      </c>
    </row>
    <row r="6" ht="21.75" customHeight="1">
      <c r="A6" s="2">
        <v>4.0</v>
      </c>
      <c r="B6" s="28">
        <v>0.0</v>
      </c>
      <c r="C6" s="28">
        <v>4.0</v>
      </c>
      <c r="D6" s="5">
        <v>8.0</v>
      </c>
      <c r="E6" s="5">
        <v>12.0</v>
      </c>
      <c r="F6" s="5">
        <v>16.0</v>
      </c>
      <c r="G6" s="5">
        <v>20.0</v>
      </c>
      <c r="H6" s="5">
        <v>24.0</v>
      </c>
      <c r="I6" s="5">
        <v>28.0</v>
      </c>
      <c r="J6" s="5">
        <v>32.0</v>
      </c>
      <c r="K6" s="5">
        <v>36.0</v>
      </c>
      <c r="L6" s="5">
        <v>40.0</v>
      </c>
      <c r="M6" s="5">
        <v>44.0</v>
      </c>
      <c r="N6" s="23">
        <v>48.0</v>
      </c>
      <c r="O6" s="23">
        <v>52.0</v>
      </c>
      <c r="P6" s="17">
        <f t="shared" si="1"/>
        <v>11</v>
      </c>
      <c r="R6" s="2">
        <v>4.0</v>
      </c>
      <c r="S6" s="28">
        <v>0.0</v>
      </c>
      <c r="T6" s="5">
        <v>4.0</v>
      </c>
      <c r="U6" s="5">
        <v>8.0</v>
      </c>
      <c r="V6" s="5">
        <v>12.0</v>
      </c>
      <c r="W6" s="5">
        <v>16.0</v>
      </c>
      <c r="X6" s="5">
        <v>20.0</v>
      </c>
      <c r="Y6" s="5">
        <v>24.0</v>
      </c>
      <c r="Z6" s="5">
        <v>28.0</v>
      </c>
      <c r="AA6" s="5">
        <v>32.0</v>
      </c>
      <c r="AB6" s="23">
        <v>36.0</v>
      </c>
      <c r="AC6" s="17">
        <f t="shared" si="2"/>
        <v>15</v>
      </c>
      <c r="AE6" s="2">
        <v>4.0</v>
      </c>
      <c r="AF6" s="5">
        <v>0.0</v>
      </c>
      <c r="AG6" s="15">
        <v>4.0</v>
      </c>
      <c r="AH6" s="5">
        <v>8.0</v>
      </c>
      <c r="AI6" s="5">
        <v>12.0</v>
      </c>
      <c r="AJ6" s="5">
        <v>16.0</v>
      </c>
      <c r="AK6" s="5">
        <v>20.0</v>
      </c>
      <c r="AL6" s="5">
        <v>24.0</v>
      </c>
      <c r="AM6" s="5">
        <v>28.0</v>
      </c>
      <c r="AN6" s="5">
        <v>32.0</v>
      </c>
      <c r="AO6" s="17">
        <f t="shared" si="3"/>
        <v>15</v>
      </c>
      <c r="AQ6" s="2">
        <v>4.0</v>
      </c>
      <c r="AR6" s="5">
        <v>0.0</v>
      </c>
      <c r="AS6" s="5">
        <v>4.0</v>
      </c>
      <c r="AT6" s="5">
        <v>8.0</v>
      </c>
      <c r="AU6" s="5">
        <v>12.0</v>
      </c>
      <c r="AV6" s="5">
        <v>16.0</v>
      </c>
      <c r="AW6" s="5">
        <v>20.0</v>
      </c>
      <c r="AX6" s="17">
        <f t="shared" si="4"/>
        <v>20</v>
      </c>
    </row>
    <row r="7" ht="21.75" customHeight="1">
      <c r="A7" s="2">
        <v>5.0</v>
      </c>
      <c r="B7" s="28">
        <v>0.0</v>
      </c>
      <c r="C7" s="5">
        <v>5.0</v>
      </c>
      <c r="D7" s="5">
        <v>10.0</v>
      </c>
      <c r="E7" s="5">
        <v>15.0</v>
      </c>
      <c r="F7" s="5">
        <v>20.0</v>
      </c>
      <c r="G7" s="5">
        <v>25.0</v>
      </c>
      <c r="H7" s="5">
        <v>30.0</v>
      </c>
      <c r="I7" s="5">
        <v>35.0</v>
      </c>
      <c r="J7" s="5">
        <v>40.0</v>
      </c>
      <c r="K7" s="5">
        <v>45.0</v>
      </c>
      <c r="L7" s="5">
        <v>50.0</v>
      </c>
      <c r="M7" s="5">
        <v>55.0</v>
      </c>
      <c r="N7" s="5">
        <v>60.0</v>
      </c>
      <c r="O7" s="23">
        <v>65.0</v>
      </c>
      <c r="P7" s="17">
        <f t="shared" si="1"/>
        <v>10</v>
      </c>
      <c r="R7" s="2">
        <v>5.0</v>
      </c>
      <c r="S7" s="5">
        <v>0.0</v>
      </c>
      <c r="T7" s="5">
        <v>5.0</v>
      </c>
      <c r="U7" s="5">
        <v>10.0</v>
      </c>
      <c r="V7" s="5">
        <v>15.0</v>
      </c>
      <c r="W7" s="5">
        <v>20.0</v>
      </c>
      <c r="X7" s="5">
        <v>25.0</v>
      </c>
      <c r="Y7" s="5">
        <v>30.0</v>
      </c>
      <c r="Z7" s="5">
        <v>35.0</v>
      </c>
      <c r="AA7" s="5">
        <v>40.0</v>
      </c>
      <c r="AB7" s="5">
        <v>45.0</v>
      </c>
      <c r="AC7" s="17">
        <f t="shared" si="2"/>
        <v>14</v>
      </c>
      <c r="AE7" s="2">
        <v>5.0</v>
      </c>
      <c r="AF7" s="5">
        <v>0.0</v>
      </c>
      <c r="AG7" s="5">
        <v>5.0</v>
      </c>
      <c r="AH7" s="5">
        <v>10.0</v>
      </c>
      <c r="AI7" s="5">
        <v>15.0</v>
      </c>
      <c r="AJ7" s="5">
        <v>20.0</v>
      </c>
      <c r="AK7" s="5">
        <v>25.0</v>
      </c>
      <c r="AL7" s="5">
        <v>30.0</v>
      </c>
      <c r="AM7" s="5">
        <v>35.0</v>
      </c>
      <c r="AN7" s="5">
        <v>40.0</v>
      </c>
      <c r="AO7" s="17">
        <f t="shared" si="3"/>
        <v>14</v>
      </c>
      <c r="AQ7" s="2">
        <v>5.0</v>
      </c>
      <c r="AR7" s="5">
        <v>0.0</v>
      </c>
      <c r="AS7" s="5">
        <v>5.0</v>
      </c>
      <c r="AT7" s="5">
        <v>10.0</v>
      </c>
      <c r="AU7" s="5">
        <v>15.0</v>
      </c>
      <c r="AV7" s="5">
        <v>20.0</v>
      </c>
      <c r="AW7" s="5">
        <v>25.0</v>
      </c>
      <c r="AX7" s="17">
        <f t="shared" si="4"/>
        <v>19</v>
      </c>
    </row>
    <row r="8" ht="21.75" customHeight="1">
      <c r="A8" s="2">
        <v>6.0</v>
      </c>
      <c r="B8" s="5">
        <v>0.0</v>
      </c>
      <c r="C8" s="5">
        <v>6.0</v>
      </c>
      <c r="D8" s="5">
        <v>12.0</v>
      </c>
      <c r="E8" s="5">
        <v>18.0</v>
      </c>
      <c r="F8" s="5">
        <v>24.0</v>
      </c>
      <c r="G8" s="5">
        <v>30.0</v>
      </c>
      <c r="H8" s="5">
        <v>36.0</v>
      </c>
      <c r="I8" s="5">
        <v>42.0</v>
      </c>
      <c r="J8" s="5">
        <v>48.0</v>
      </c>
      <c r="K8" s="5">
        <v>54.0</v>
      </c>
      <c r="L8" s="5">
        <v>60.0</v>
      </c>
      <c r="M8" s="5">
        <v>66.0</v>
      </c>
      <c r="N8" s="5">
        <v>72.0</v>
      </c>
      <c r="O8" s="5">
        <v>78.0</v>
      </c>
      <c r="P8" s="17">
        <f t="shared" si="1"/>
        <v>9</v>
      </c>
      <c r="R8" s="2">
        <v>6.0</v>
      </c>
      <c r="S8" s="5">
        <v>0.0</v>
      </c>
      <c r="T8" s="5">
        <v>6.0</v>
      </c>
      <c r="U8" s="5">
        <v>12.0</v>
      </c>
      <c r="V8" s="5">
        <v>18.0</v>
      </c>
      <c r="W8" s="5">
        <v>24.0</v>
      </c>
      <c r="X8" s="5">
        <v>30.0</v>
      </c>
      <c r="Y8" s="5">
        <v>36.0</v>
      </c>
      <c r="Z8" s="5">
        <v>42.0</v>
      </c>
      <c r="AA8" s="5">
        <v>48.0</v>
      </c>
      <c r="AB8" s="5">
        <v>54.0</v>
      </c>
      <c r="AC8" s="17">
        <f t="shared" si="2"/>
        <v>13</v>
      </c>
      <c r="AE8" s="2">
        <v>6.0</v>
      </c>
      <c r="AF8" s="5">
        <v>0.0</v>
      </c>
      <c r="AG8" s="5">
        <v>6.0</v>
      </c>
      <c r="AH8" s="5">
        <v>12.0</v>
      </c>
      <c r="AI8" s="5">
        <v>18.0</v>
      </c>
      <c r="AJ8" s="5">
        <v>24.0</v>
      </c>
      <c r="AK8" s="5">
        <v>30.0</v>
      </c>
      <c r="AL8" s="5">
        <v>36.0</v>
      </c>
      <c r="AM8" s="5">
        <v>42.0</v>
      </c>
      <c r="AN8" s="5">
        <v>48.0</v>
      </c>
      <c r="AO8" s="17">
        <f t="shared" si="3"/>
        <v>13</v>
      </c>
      <c r="AQ8" s="2">
        <v>6.0</v>
      </c>
      <c r="AR8" s="5">
        <v>0.0</v>
      </c>
      <c r="AS8" s="5">
        <v>6.0</v>
      </c>
      <c r="AT8" s="5">
        <v>12.0</v>
      </c>
      <c r="AU8" s="5">
        <v>18.0</v>
      </c>
      <c r="AV8" s="5">
        <v>24.0</v>
      </c>
      <c r="AW8" s="5">
        <v>30.0</v>
      </c>
      <c r="AX8" s="17">
        <f t="shared" si="4"/>
        <v>18</v>
      </c>
    </row>
    <row r="9" ht="21.75" customHeight="1">
      <c r="A9" s="2">
        <v>7.0</v>
      </c>
      <c r="B9" s="5">
        <v>0.0</v>
      </c>
      <c r="C9" s="5">
        <v>7.0</v>
      </c>
      <c r="D9" s="5">
        <v>14.0</v>
      </c>
      <c r="E9" s="5">
        <v>21.0</v>
      </c>
      <c r="F9" s="5">
        <v>28.0</v>
      </c>
      <c r="G9" s="5">
        <v>35.0</v>
      </c>
      <c r="H9" s="15">
        <v>42.0</v>
      </c>
      <c r="I9" s="5">
        <v>49.0</v>
      </c>
      <c r="J9" s="5">
        <v>56.0</v>
      </c>
      <c r="K9" s="5">
        <v>63.0</v>
      </c>
      <c r="L9" s="5">
        <v>70.0</v>
      </c>
      <c r="M9" s="5">
        <v>77.0</v>
      </c>
      <c r="N9" s="5">
        <v>84.0</v>
      </c>
      <c r="O9" s="5">
        <v>91.0</v>
      </c>
      <c r="P9" s="17">
        <f t="shared" si="1"/>
        <v>8</v>
      </c>
      <c r="R9" s="2">
        <v>7.0</v>
      </c>
      <c r="S9" s="5">
        <v>0.0</v>
      </c>
      <c r="T9" s="5">
        <v>7.0</v>
      </c>
      <c r="U9" s="5">
        <v>14.0</v>
      </c>
      <c r="V9" s="5">
        <v>21.0</v>
      </c>
      <c r="W9" s="5">
        <v>28.0</v>
      </c>
      <c r="X9" s="5">
        <v>35.0</v>
      </c>
      <c r="Y9" s="5">
        <v>42.0</v>
      </c>
      <c r="Z9" s="5">
        <v>49.0</v>
      </c>
      <c r="AA9" s="5">
        <v>56.0</v>
      </c>
      <c r="AB9" s="5">
        <v>63.0</v>
      </c>
      <c r="AC9" s="17">
        <f t="shared" si="2"/>
        <v>12</v>
      </c>
      <c r="AE9" s="2">
        <v>7.0</v>
      </c>
      <c r="AF9" s="5">
        <v>0.0</v>
      </c>
      <c r="AG9" s="5">
        <v>7.0</v>
      </c>
      <c r="AH9" s="5">
        <v>14.0</v>
      </c>
      <c r="AI9" s="5">
        <v>21.0</v>
      </c>
      <c r="AJ9" s="5">
        <v>28.0</v>
      </c>
      <c r="AK9" s="5">
        <v>35.0</v>
      </c>
      <c r="AL9" s="5">
        <v>42.0</v>
      </c>
      <c r="AM9" s="5">
        <v>49.0</v>
      </c>
      <c r="AN9" s="5">
        <v>56.0</v>
      </c>
      <c r="AO9" s="17">
        <f t="shared" si="3"/>
        <v>12</v>
      </c>
      <c r="AQ9" s="2">
        <v>7.0</v>
      </c>
      <c r="AR9" s="5">
        <v>0.0</v>
      </c>
      <c r="AS9" s="5">
        <v>7.0</v>
      </c>
      <c r="AT9" s="5">
        <v>14.0</v>
      </c>
      <c r="AU9" s="5">
        <v>21.0</v>
      </c>
      <c r="AV9" s="5">
        <v>28.0</v>
      </c>
      <c r="AW9" s="5">
        <v>35.0</v>
      </c>
      <c r="AX9" s="17">
        <f t="shared" si="4"/>
        <v>17</v>
      </c>
    </row>
    <row r="10" ht="21.75" customHeight="1">
      <c r="A10" s="2">
        <v>8.0</v>
      </c>
      <c r="B10" s="5">
        <v>0.0</v>
      </c>
      <c r="C10" s="5">
        <v>8.0</v>
      </c>
      <c r="D10" s="5">
        <v>16.0</v>
      </c>
      <c r="E10" s="5">
        <v>24.0</v>
      </c>
      <c r="F10" s="5">
        <v>32.0</v>
      </c>
      <c r="G10" s="5">
        <v>40.0</v>
      </c>
      <c r="H10" s="5">
        <v>48.0</v>
      </c>
      <c r="I10" s="15">
        <v>56.0</v>
      </c>
      <c r="J10" s="5">
        <v>64.0</v>
      </c>
      <c r="K10" s="5">
        <v>72.0</v>
      </c>
      <c r="L10" s="5">
        <v>80.0</v>
      </c>
      <c r="M10" s="5">
        <v>88.0</v>
      </c>
      <c r="N10" s="5">
        <v>96.0</v>
      </c>
      <c r="O10" s="5">
        <v>104.0</v>
      </c>
      <c r="P10" s="17">
        <f t="shared" si="1"/>
        <v>7</v>
      </c>
      <c r="R10" s="2">
        <v>8.0</v>
      </c>
      <c r="S10" s="5">
        <v>0.0</v>
      </c>
      <c r="T10" s="5">
        <v>8.0</v>
      </c>
      <c r="U10" s="5">
        <v>16.0</v>
      </c>
      <c r="V10" s="5">
        <v>24.0</v>
      </c>
      <c r="W10" s="15">
        <v>32.0</v>
      </c>
      <c r="X10" s="5">
        <v>40.0</v>
      </c>
      <c r="Y10" s="5">
        <v>48.0</v>
      </c>
      <c r="Z10" s="5">
        <v>56.0</v>
      </c>
      <c r="AA10" s="5">
        <v>64.0</v>
      </c>
      <c r="AB10" s="5">
        <v>72.0</v>
      </c>
      <c r="AC10" s="17">
        <f t="shared" si="2"/>
        <v>11</v>
      </c>
      <c r="AE10" s="2">
        <v>8.0</v>
      </c>
      <c r="AF10" s="5">
        <v>0.0</v>
      </c>
      <c r="AG10" s="5">
        <v>8.0</v>
      </c>
      <c r="AH10" s="5">
        <v>16.0</v>
      </c>
      <c r="AI10" s="5">
        <v>24.0</v>
      </c>
      <c r="AJ10" s="5">
        <v>32.0</v>
      </c>
      <c r="AK10" s="5">
        <v>40.0</v>
      </c>
      <c r="AL10" s="5">
        <v>48.0</v>
      </c>
      <c r="AM10" s="5">
        <v>56.0</v>
      </c>
      <c r="AN10" s="5">
        <v>64.0</v>
      </c>
      <c r="AO10" s="17">
        <f t="shared" si="3"/>
        <v>11</v>
      </c>
      <c r="AQ10" s="2">
        <v>8.0</v>
      </c>
      <c r="AR10" s="5">
        <v>0.0</v>
      </c>
      <c r="AS10" s="5">
        <v>8.0</v>
      </c>
      <c r="AT10" s="5">
        <v>16.0</v>
      </c>
      <c r="AU10" s="5">
        <v>24.0</v>
      </c>
      <c r="AV10" s="5">
        <v>32.0</v>
      </c>
      <c r="AW10" s="5">
        <v>40.0</v>
      </c>
      <c r="AX10" s="17">
        <f t="shared" si="4"/>
        <v>16</v>
      </c>
    </row>
    <row r="11" ht="21.75" customHeight="1">
      <c r="A11" s="2">
        <v>9.0</v>
      </c>
      <c r="B11" s="5">
        <v>0.0</v>
      </c>
      <c r="C11" s="5">
        <v>9.0</v>
      </c>
      <c r="D11" s="5">
        <v>18.0</v>
      </c>
      <c r="E11" s="5">
        <v>27.0</v>
      </c>
      <c r="F11" s="5">
        <v>36.0</v>
      </c>
      <c r="G11" s="5">
        <v>45.0</v>
      </c>
      <c r="H11" s="5">
        <v>54.0</v>
      </c>
      <c r="I11" s="5">
        <v>63.0</v>
      </c>
      <c r="J11" s="5">
        <v>72.0</v>
      </c>
      <c r="K11" s="5">
        <v>81.0</v>
      </c>
      <c r="L11" s="5">
        <v>90.0</v>
      </c>
      <c r="M11" s="5">
        <v>99.0</v>
      </c>
      <c r="N11" s="5">
        <v>108.0</v>
      </c>
      <c r="O11" s="5">
        <v>117.0</v>
      </c>
      <c r="P11" s="17">
        <f t="shared" si="1"/>
        <v>6</v>
      </c>
      <c r="R11" s="2">
        <v>9.0</v>
      </c>
      <c r="S11" s="5">
        <v>0.0</v>
      </c>
      <c r="T11" s="5">
        <v>9.0</v>
      </c>
      <c r="U11" s="5">
        <v>18.0</v>
      </c>
      <c r="V11" s="5">
        <v>27.0</v>
      </c>
      <c r="W11" s="5">
        <v>36.0</v>
      </c>
      <c r="X11" s="5">
        <v>45.0</v>
      </c>
      <c r="Y11" s="5">
        <v>54.0</v>
      </c>
      <c r="Z11" s="5">
        <v>63.0</v>
      </c>
      <c r="AA11" s="5">
        <v>72.0</v>
      </c>
      <c r="AB11" s="5">
        <v>81.0</v>
      </c>
      <c r="AC11" s="17">
        <f t="shared" si="2"/>
        <v>10</v>
      </c>
      <c r="AE11" s="2">
        <v>9.0</v>
      </c>
      <c r="AF11" s="5">
        <v>0.0</v>
      </c>
      <c r="AG11" s="5">
        <v>9.0</v>
      </c>
      <c r="AH11" s="5">
        <v>18.0</v>
      </c>
      <c r="AI11" s="5">
        <v>27.0</v>
      </c>
      <c r="AJ11" s="5">
        <v>36.0</v>
      </c>
      <c r="AK11" s="5">
        <v>45.0</v>
      </c>
      <c r="AL11" s="5">
        <v>54.0</v>
      </c>
      <c r="AM11" s="5">
        <v>63.0</v>
      </c>
      <c r="AN11" s="5">
        <v>72.0</v>
      </c>
      <c r="AO11" s="17">
        <f t="shared" si="3"/>
        <v>10</v>
      </c>
      <c r="AQ11" s="2">
        <v>9.0</v>
      </c>
      <c r="AR11" s="5">
        <v>0.0</v>
      </c>
      <c r="AS11" s="5">
        <v>9.0</v>
      </c>
      <c r="AT11" s="5">
        <v>18.0</v>
      </c>
      <c r="AU11" s="5">
        <v>27.0</v>
      </c>
      <c r="AV11" s="5">
        <v>36.0</v>
      </c>
      <c r="AW11" s="5">
        <v>45.0</v>
      </c>
      <c r="AX11" s="17">
        <f t="shared" si="4"/>
        <v>15</v>
      </c>
    </row>
    <row r="12" ht="21.75" customHeight="1">
      <c r="A12" s="2">
        <v>10.0</v>
      </c>
      <c r="B12" s="23">
        <v>0.0</v>
      </c>
      <c r="C12" s="5">
        <v>10.0</v>
      </c>
      <c r="D12" s="5">
        <v>20.0</v>
      </c>
      <c r="E12" s="5">
        <v>30.0</v>
      </c>
      <c r="F12" s="5">
        <v>40.0</v>
      </c>
      <c r="G12" s="5">
        <v>50.0</v>
      </c>
      <c r="H12" s="5">
        <v>60.0</v>
      </c>
      <c r="I12" s="5">
        <v>70.0</v>
      </c>
      <c r="J12" s="5">
        <v>80.0</v>
      </c>
      <c r="K12" s="5">
        <v>90.0</v>
      </c>
      <c r="L12" s="5">
        <v>100.0</v>
      </c>
      <c r="M12" s="5">
        <v>110.0</v>
      </c>
      <c r="N12" s="5">
        <v>120.0</v>
      </c>
      <c r="O12" s="28">
        <v>130.0</v>
      </c>
      <c r="P12" s="17">
        <f t="shared" si="1"/>
        <v>5</v>
      </c>
      <c r="R12" s="2">
        <v>10.0</v>
      </c>
      <c r="S12" s="5">
        <v>0.0</v>
      </c>
      <c r="T12" s="5">
        <v>10.0</v>
      </c>
      <c r="U12" s="5">
        <v>20.0</v>
      </c>
      <c r="V12" s="5">
        <v>30.0</v>
      </c>
      <c r="W12" s="5">
        <v>40.0</v>
      </c>
      <c r="X12" s="5">
        <v>50.0</v>
      </c>
      <c r="Y12" s="5">
        <v>60.0</v>
      </c>
      <c r="Z12" s="5">
        <v>70.0</v>
      </c>
      <c r="AA12" s="5">
        <v>80.0</v>
      </c>
      <c r="AB12" s="5">
        <v>90.0</v>
      </c>
      <c r="AC12" s="17">
        <f t="shared" si="2"/>
        <v>9</v>
      </c>
      <c r="AE12" s="2">
        <v>10.0</v>
      </c>
      <c r="AF12" s="5">
        <v>0.0</v>
      </c>
      <c r="AG12" s="5">
        <v>10.0</v>
      </c>
      <c r="AH12" s="5">
        <v>20.0</v>
      </c>
      <c r="AI12" s="5">
        <v>30.0</v>
      </c>
      <c r="AJ12" s="5">
        <v>40.0</v>
      </c>
      <c r="AK12" s="5">
        <v>50.0</v>
      </c>
      <c r="AL12" s="5">
        <v>60.0</v>
      </c>
      <c r="AM12" s="5">
        <v>70.0</v>
      </c>
      <c r="AN12" s="5">
        <v>80.0</v>
      </c>
      <c r="AO12" s="17">
        <f t="shared" si="3"/>
        <v>9</v>
      </c>
      <c r="AQ12" s="2">
        <v>10.0</v>
      </c>
      <c r="AR12" s="5">
        <v>0.0</v>
      </c>
      <c r="AS12" s="5">
        <v>10.0</v>
      </c>
      <c r="AT12" s="5">
        <v>20.0</v>
      </c>
      <c r="AU12" s="5">
        <v>30.0</v>
      </c>
      <c r="AV12" s="5">
        <v>40.0</v>
      </c>
      <c r="AW12" s="5">
        <v>50.0</v>
      </c>
      <c r="AX12" s="17">
        <f t="shared" si="4"/>
        <v>14</v>
      </c>
    </row>
    <row r="13" ht="21.75" customHeight="1">
      <c r="A13" s="2">
        <v>11.0</v>
      </c>
      <c r="B13" s="23">
        <v>0.0</v>
      </c>
      <c r="C13" s="23">
        <v>11.0</v>
      </c>
      <c r="D13" s="5">
        <v>22.0</v>
      </c>
      <c r="E13" s="5">
        <v>33.0</v>
      </c>
      <c r="F13" s="5">
        <v>44.0</v>
      </c>
      <c r="G13" s="5">
        <v>55.0</v>
      </c>
      <c r="H13" s="5">
        <v>66.0</v>
      </c>
      <c r="I13" s="5">
        <v>77.0</v>
      </c>
      <c r="J13" s="5">
        <v>88.0</v>
      </c>
      <c r="K13" s="5">
        <v>99.0</v>
      </c>
      <c r="L13" s="5">
        <v>110.0</v>
      </c>
      <c r="M13" s="5">
        <v>121.0</v>
      </c>
      <c r="N13" s="28">
        <v>132.0</v>
      </c>
      <c r="O13" s="28">
        <v>143.0</v>
      </c>
      <c r="P13" s="17">
        <f t="shared" si="1"/>
        <v>4</v>
      </c>
      <c r="R13" s="2">
        <v>11.0</v>
      </c>
      <c r="S13" s="5">
        <v>0.0</v>
      </c>
      <c r="T13" s="5">
        <v>11.0</v>
      </c>
      <c r="U13" s="5">
        <v>22.0</v>
      </c>
      <c r="V13" s="5">
        <v>33.0</v>
      </c>
      <c r="W13" s="5">
        <v>44.0</v>
      </c>
      <c r="X13" s="15">
        <v>55.0</v>
      </c>
      <c r="Y13" s="5">
        <v>66.0</v>
      </c>
      <c r="Z13" s="5">
        <v>77.0</v>
      </c>
      <c r="AA13" s="5">
        <v>88.0</v>
      </c>
      <c r="AB13" s="5">
        <v>99.0</v>
      </c>
      <c r="AC13" s="17">
        <f t="shared" si="2"/>
        <v>8</v>
      </c>
      <c r="AE13" s="2">
        <v>11.0</v>
      </c>
      <c r="AF13" s="5">
        <v>0.0</v>
      </c>
      <c r="AG13" s="5">
        <v>11.0</v>
      </c>
      <c r="AH13" s="5">
        <v>22.0</v>
      </c>
      <c r="AI13" s="5">
        <v>33.0</v>
      </c>
      <c r="AJ13" s="5">
        <v>44.0</v>
      </c>
      <c r="AK13" s="5">
        <v>55.0</v>
      </c>
      <c r="AL13" s="5">
        <v>66.0</v>
      </c>
      <c r="AM13" s="5">
        <v>77.0</v>
      </c>
      <c r="AN13" s="5">
        <v>88.0</v>
      </c>
      <c r="AO13" s="17">
        <f t="shared" si="3"/>
        <v>8</v>
      </c>
      <c r="AQ13" s="2">
        <v>11.0</v>
      </c>
      <c r="AR13" s="5">
        <v>0.0</v>
      </c>
      <c r="AS13" s="5">
        <v>11.0</v>
      </c>
      <c r="AT13" s="5">
        <v>22.0</v>
      </c>
      <c r="AU13" s="5">
        <v>33.0</v>
      </c>
      <c r="AV13" s="5">
        <v>44.0</v>
      </c>
      <c r="AW13" s="5">
        <v>55.0</v>
      </c>
      <c r="AX13" s="17">
        <f t="shared" si="4"/>
        <v>13</v>
      </c>
    </row>
    <row r="14" ht="21.75" customHeight="1">
      <c r="A14" s="2">
        <v>12.0</v>
      </c>
      <c r="B14" s="23">
        <v>0.0</v>
      </c>
      <c r="C14" s="23">
        <v>12.0</v>
      </c>
      <c r="D14" s="23">
        <v>24.0</v>
      </c>
      <c r="E14" s="5">
        <v>36.0</v>
      </c>
      <c r="F14" s="5">
        <v>48.0</v>
      </c>
      <c r="G14" s="5">
        <v>60.0</v>
      </c>
      <c r="H14" s="5">
        <v>72.0</v>
      </c>
      <c r="I14" s="5">
        <v>84.0</v>
      </c>
      <c r="J14" s="5">
        <v>96.0</v>
      </c>
      <c r="K14" s="5">
        <v>108.0</v>
      </c>
      <c r="L14" s="5">
        <v>120.0</v>
      </c>
      <c r="M14" s="28">
        <v>132.0</v>
      </c>
      <c r="N14" s="28">
        <v>144.0</v>
      </c>
      <c r="O14" s="28">
        <v>156.0</v>
      </c>
      <c r="P14" s="17">
        <f t="shared" si="1"/>
        <v>3</v>
      </c>
      <c r="R14" s="2">
        <v>12.0</v>
      </c>
      <c r="S14" s="5">
        <v>0.0</v>
      </c>
      <c r="T14" s="5">
        <v>12.0</v>
      </c>
      <c r="U14" s="5">
        <v>24.0</v>
      </c>
      <c r="V14" s="5">
        <v>36.0</v>
      </c>
      <c r="W14" s="5">
        <v>48.0</v>
      </c>
      <c r="X14" s="5">
        <v>60.0</v>
      </c>
      <c r="Y14" s="5">
        <v>72.0</v>
      </c>
      <c r="Z14" s="5">
        <v>84.0</v>
      </c>
      <c r="AA14" s="5">
        <v>96.0</v>
      </c>
      <c r="AB14" s="5">
        <v>108.0</v>
      </c>
      <c r="AC14" s="17">
        <f t="shared" si="2"/>
        <v>7</v>
      </c>
      <c r="AE14" s="2">
        <v>12.0</v>
      </c>
      <c r="AF14" s="5">
        <v>0.0</v>
      </c>
      <c r="AG14" s="5">
        <v>12.0</v>
      </c>
      <c r="AH14" s="5">
        <v>24.0</v>
      </c>
      <c r="AI14" s="5">
        <v>36.0</v>
      </c>
      <c r="AJ14" s="5">
        <v>48.0</v>
      </c>
      <c r="AK14" s="5">
        <v>60.0</v>
      </c>
      <c r="AL14" s="5">
        <v>72.0</v>
      </c>
      <c r="AM14" s="5">
        <v>84.0</v>
      </c>
      <c r="AN14" s="5">
        <v>96.0</v>
      </c>
      <c r="AO14" s="17">
        <f t="shared" si="3"/>
        <v>7</v>
      </c>
      <c r="AQ14" s="2">
        <v>12.0</v>
      </c>
      <c r="AR14" s="5">
        <v>0.0</v>
      </c>
      <c r="AS14" s="5">
        <v>12.0</v>
      </c>
      <c r="AT14" s="5">
        <v>24.0</v>
      </c>
      <c r="AU14" s="5">
        <v>36.0</v>
      </c>
      <c r="AV14" s="5">
        <v>48.0</v>
      </c>
      <c r="AW14" s="5">
        <v>60.0</v>
      </c>
      <c r="AX14" s="17">
        <f t="shared" si="4"/>
        <v>12</v>
      </c>
    </row>
    <row r="15" ht="21.75" customHeight="1">
      <c r="A15" s="2">
        <v>13.0</v>
      </c>
      <c r="B15" s="23">
        <v>0.0</v>
      </c>
      <c r="C15" s="23">
        <v>13.0</v>
      </c>
      <c r="D15" s="23">
        <v>26.0</v>
      </c>
      <c r="E15" s="23">
        <v>39.0</v>
      </c>
      <c r="F15" s="5">
        <v>52.0</v>
      </c>
      <c r="G15" s="5">
        <v>65.0</v>
      </c>
      <c r="H15" s="5">
        <v>78.0</v>
      </c>
      <c r="I15" s="5">
        <v>91.0</v>
      </c>
      <c r="J15" s="5">
        <v>104.0</v>
      </c>
      <c r="K15" s="5">
        <v>117.0</v>
      </c>
      <c r="L15" s="28">
        <v>130.0</v>
      </c>
      <c r="M15" s="28">
        <v>143.0</v>
      </c>
      <c r="N15" s="28">
        <v>156.0</v>
      </c>
      <c r="O15" s="28">
        <v>169.0</v>
      </c>
      <c r="P15" s="17">
        <f t="shared" si="1"/>
        <v>2</v>
      </c>
      <c r="R15" s="2">
        <v>13.0</v>
      </c>
      <c r="S15" s="5">
        <v>0.0</v>
      </c>
      <c r="T15" s="5">
        <v>13.0</v>
      </c>
      <c r="U15" s="5">
        <v>26.0</v>
      </c>
      <c r="V15" s="5">
        <v>39.0</v>
      </c>
      <c r="W15" s="5">
        <v>52.0</v>
      </c>
      <c r="X15" s="5">
        <v>65.0</v>
      </c>
      <c r="Y15" s="5">
        <v>78.0</v>
      </c>
      <c r="Z15" s="5">
        <v>91.0</v>
      </c>
      <c r="AA15" s="5">
        <v>104.0</v>
      </c>
      <c r="AB15" s="5">
        <v>117.0</v>
      </c>
      <c r="AC15" s="17">
        <f t="shared" si="2"/>
        <v>6</v>
      </c>
      <c r="AE15" s="2">
        <v>13.0</v>
      </c>
      <c r="AF15" s="5">
        <v>0.0</v>
      </c>
      <c r="AG15" s="5">
        <v>13.0</v>
      </c>
      <c r="AH15" s="5">
        <v>26.0</v>
      </c>
      <c r="AI15" s="5">
        <v>39.0</v>
      </c>
      <c r="AJ15" s="5">
        <v>52.0</v>
      </c>
      <c r="AK15" s="5">
        <v>65.0</v>
      </c>
      <c r="AL15" s="5">
        <v>78.0</v>
      </c>
      <c r="AM15" s="5">
        <v>91.0</v>
      </c>
      <c r="AN15" s="5">
        <v>104.0</v>
      </c>
      <c r="AO15" s="17">
        <f t="shared" si="3"/>
        <v>6</v>
      </c>
      <c r="AQ15" s="2">
        <v>13.0</v>
      </c>
      <c r="AR15" s="5">
        <v>0.0</v>
      </c>
      <c r="AS15" s="5">
        <v>13.0</v>
      </c>
      <c r="AT15" s="5">
        <v>26.0</v>
      </c>
      <c r="AU15" s="5">
        <v>39.0</v>
      </c>
      <c r="AV15" s="5">
        <v>52.0</v>
      </c>
      <c r="AW15" s="5">
        <v>65.0</v>
      </c>
      <c r="AX15" s="17">
        <f t="shared" si="4"/>
        <v>11</v>
      </c>
    </row>
    <row r="16" ht="21.75" customHeight="1">
      <c r="A16" s="2">
        <v>14.0</v>
      </c>
      <c r="B16" s="23">
        <v>0.0</v>
      </c>
      <c r="C16" s="23">
        <v>14.0</v>
      </c>
      <c r="D16" s="23">
        <v>28.0</v>
      </c>
      <c r="E16" s="23">
        <v>42.0</v>
      </c>
      <c r="F16" s="5">
        <v>56.0</v>
      </c>
      <c r="G16" s="5">
        <v>70.0</v>
      </c>
      <c r="H16" s="5">
        <v>84.0</v>
      </c>
      <c r="I16" s="5">
        <v>98.0</v>
      </c>
      <c r="J16" s="5">
        <v>112.0</v>
      </c>
      <c r="K16" s="5">
        <v>126.0</v>
      </c>
      <c r="L16" s="28">
        <v>140.0</v>
      </c>
      <c r="M16" s="28">
        <v>154.0</v>
      </c>
      <c r="N16" s="28">
        <v>168.0</v>
      </c>
      <c r="O16" s="28">
        <v>182.0</v>
      </c>
      <c r="P16" s="17">
        <f t="shared" si="1"/>
        <v>1</v>
      </c>
      <c r="R16" s="2">
        <v>14.0</v>
      </c>
      <c r="S16" s="5">
        <v>0.0</v>
      </c>
      <c r="T16" s="5">
        <v>14.0</v>
      </c>
      <c r="U16" s="5">
        <v>28.0</v>
      </c>
      <c r="V16" s="5">
        <v>42.0</v>
      </c>
      <c r="W16" s="5">
        <v>56.0</v>
      </c>
      <c r="X16" s="5">
        <v>70.0</v>
      </c>
      <c r="Y16" s="5">
        <v>84.0</v>
      </c>
      <c r="Z16" s="5">
        <v>98.0</v>
      </c>
      <c r="AA16" s="5">
        <v>112.0</v>
      </c>
      <c r="AB16" s="5">
        <v>126.0</v>
      </c>
      <c r="AC16" s="17">
        <f t="shared" si="2"/>
        <v>5</v>
      </c>
      <c r="AE16" s="2">
        <v>14.0</v>
      </c>
      <c r="AF16" s="5">
        <v>0.0</v>
      </c>
      <c r="AG16" s="5">
        <v>14.0</v>
      </c>
      <c r="AH16" s="5">
        <v>28.0</v>
      </c>
      <c r="AI16" s="5">
        <v>42.0</v>
      </c>
      <c r="AJ16" s="5">
        <v>56.0</v>
      </c>
      <c r="AK16" s="5">
        <v>70.0</v>
      </c>
      <c r="AL16" s="5">
        <v>84.0</v>
      </c>
      <c r="AM16" s="5">
        <v>98.0</v>
      </c>
      <c r="AN16" s="5">
        <v>112.0</v>
      </c>
      <c r="AO16" s="17">
        <f t="shared" si="3"/>
        <v>5</v>
      </c>
      <c r="AQ16" s="2">
        <v>14.0</v>
      </c>
      <c r="AR16" s="5">
        <v>0.0</v>
      </c>
      <c r="AS16" s="5">
        <v>14.0</v>
      </c>
      <c r="AT16" s="5">
        <v>28.0</v>
      </c>
      <c r="AU16" s="5">
        <v>42.0</v>
      </c>
      <c r="AV16" s="5">
        <v>56.0</v>
      </c>
      <c r="AW16" s="5">
        <v>70.0</v>
      </c>
      <c r="AX16" s="17">
        <f t="shared" si="4"/>
        <v>10</v>
      </c>
    </row>
    <row r="17" ht="21.75" customHeight="1">
      <c r="A17" s="2">
        <v>15.0</v>
      </c>
      <c r="B17" s="23">
        <v>0.0</v>
      </c>
      <c r="C17" s="23">
        <v>15.0</v>
      </c>
      <c r="D17" s="23">
        <v>30.0</v>
      </c>
      <c r="E17" s="23">
        <v>45.0</v>
      </c>
      <c r="F17" s="23">
        <v>60.0</v>
      </c>
      <c r="G17" s="5">
        <v>75.0</v>
      </c>
      <c r="H17" s="5">
        <v>90.0</v>
      </c>
      <c r="I17" s="5">
        <v>105.0</v>
      </c>
      <c r="J17" s="5">
        <v>120.0</v>
      </c>
      <c r="K17" s="28">
        <v>135.0</v>
      </c>
      <c r="L17" s="28">
        <v>150.0</v>
      </c>
      <c r="M17" s="28">
        <v>165.0</v>
      </c>
      <c r="N17" s="28">
        <v>180.0</v>
      </c>
      <c r="O17" s="28">
        <v>195.0</v>
      </c>
      <c r="P17" s="17">
        <f t="shared" si="1"/>
        <v>0</v>
      </c>
      <c r="R17" s="2">
        <v>15.0</v>
      </c>
      <c r="S17" s="23">
        <v>0.0</v>
      </c>
      <c r="T17" s="5">
        <v>15.0</v>
      </c>
      <c r="U17" s="5">
        <v>30.0</v>
      </c>
      <c r="V17" s="5">
        <v>45.0</v>
      </c>
      <c r="W17" s="5">
        <v>60.0</v>
      </c>
      <c r="X17" s="5">
        <v>75.0</v>
      </c>
      <c r="Y17" s="5">
        <v>90.0</v>
      </c>
      <c r="Z17" s="5">
        <v>105.0</v>
      </c>
      <c r="AA17" s="5">
        <v>120.0</v>
      </c>
      <c r="AB17" s="28">
        <v>135.0</v>
      </c>
      <c r="AC17" s="17">
        <f t="shared" si="2"/>
        <v>4</v>
      </c>
      <c r="AE17" s="2">
        <v>15.0</v>
      </c>
      <c r="AF17" s="5">
        <v>0.0</v>
      </c>
      <c r="AG17" s="5">
        <v>15.0</v>
      </c>
      <c r="AH17" s="5">
        <v>30.0</v>
      </c>
      <c r="AI17" s="5">
        <v>45.0</v>
      </c>
      <c r="AJ17" s="5">
        <v>60.0</v>
      </c>
      <c r="AK17" s="5">
        <v>75.0</v>
      </c>
      <c r="AL17" s="5">
        <v>90.0</v>
      </c>
      <c r="AM17" s="15">
        <v>105.0</v>
      </c>
      <c r="AN17" s="5">
        <v>120.0</v>
      </c>
      <c r="AO17" s="17">
        <f t="shared" si="3"/>
        <v>4</v>
      </c>
      <c r="AQ17" s="2">
        <v>15.0</v>
      </c>
      <c r="AR17" s="5">
        <v>0.0</v>
      </c>
      <c r="AS17" s="5">
        <v>15.0</v>
      </c>
      <c r="AT17" s="5">
        <v>30.0</v>
      </c>
      <c r="AU17" s="5">
        <v>45.0</v>
      </c>
      <c r="AV17" s="5">
        <v>60.0</v>
      </c>
      <c r="AW17" s="5">
        <v>75.0</v>
      </c>
      <c r="AX17" s="17">
        <f t="shared" si="4"/>
        <v>9</v>
      </c>
    </row>
    <row r="18" ht="21.75" customHeight="1">
      <c r="B18" s="17">
        <f t="shared" ref="B18:O18" si="5">13-B1</f>
        <v>13</v>
      </c>
      <c r="C18" s="17">
        <f t="shared" si="5"/>
        <v>12</v>
      </c>
      <c r="D18" s="17">
        <f t="shared" si="5"/>
        <v>11</v>
      </c>
      <c r="E18" s="17">
        <f t="shared" si="5"/>
        <v>10</v>
      </c>
      <c r="F18" s="17">
        <f t="shared" si="5"/>
        <v>9</v>
      </c>
      <c r="G18" s="17">
        <f t="shared" si="5"/>
        <v>8</v>
      </c>
      <c r="H18" s="17">
        <f t="shared" si="5"/>
        <v>7</v>
      </c>
      <c r="I18" s="17">
        <f t="shared" si="5"/>
        <v>6</v>
      </c>
      <c r="J18" s="17">
        <f t="shared" si="5"/>
        <v>5</v>
      </c>
      <c r="K18" s="17">
        <f t="shared" si="5"/>
        <v>4</v>
      </c>
      <c r="L18" s="17">
        <f t="shared" si="5"/>
        <v>3</v>
      </c>
      <c r="M18" s="17">
        <f t="shared" si="5"/>
        <v>2</v>
      </c>
      <c r="N18" s="17">
        <f t="shared" si="5"/>
        <v>1</v>
      </c>
      <c r="O18" s="17">
        <f t="shared" si="5"/>
        <v>0</v>
      </c>
      <c r="P18" s="17"/>
      <c r="R18" s="2">
        <v>16.0</v>
      </c>
      <c r="S18" s="23">
        <v>0.0</v>
      </c>
      <c r="T18" s="23">
        <v>16.0</v>
      </c>
      <c r="U18" s="5">
        <v>32.0</v>
      </c>
      <c r="V18" s="5">
        <v>48.0</v>
      </c>
      <c r="W18" s="5">
        <v>64.0</v>
      </c>
      <c r="X18" s="5">
        <v>80.0</v>
      </c>
      <c r="Y18" s="5">
        <v>96.0</v>
      </c>
      <c r="Z18" s="5">
        <v>112.0</v>
      </c>
      <c r="AA18" s="28">
        <v>128.0</v>
      </c>
      <c r="AB18" s="28">
        <v>144.0</v>
      </c>
      <c r="AC18" s="17">
        <f t="shared" si="2"/>
        <v>3</v>
      </c>
      <c r="AE18" s="2">
        <v>16.0</v>
      </c>
      <c r="AF18" s="23">
        <v>0.0</v>
      </c>
      <c r="AG18" s="5">
        <v>16.0</v>
      </c>
      <c r="AH18" s="5">
        <v>32.0</v>
      </c>
      <c r="AI18" s="5">
        <v>48.0</v>
      </c>
      <c r="AJ18" s="5">
        <v>64.0</v>
      </c>
      <c r="AK18" s="5">
        <v>80.0</v>
      </c>
      <c r="AL18" s="5">
        <v>96.0</v>
      </c>
      <c r="AM18" s="5">
        <v>112.0</v>
      </c>
      <c r="AN18" s="28">
        <v>128.0</v>
      </c>
      <c r="AO18" s="17">
        <f t="shared" si="3"/>
        <v>3</v>
      </c>
      <c r="AQ18" s="2">
        <v>16.0</v>
      </c>
      <c r="AR18" s="5">
        <v>0.0</v>
      </c>
      <c r="AS18" s="5">
        <v>16.0</v>
      </c>
      <c r="AT18" s="5">
        <v>32.0</v>
      </c>
      <c r="AU18" s="5">
        <v>48.0</v>
      </c>
      <c r="AV18" s="5">
        <v>64.0</v>
      </c>
      <c r="AW18" s="5">
        <v>80.0</v>
      </c>
      <c r="AX18" s="17">
        <f t="shared" si="4"/>
        <v>8</v>
      </c>
    </row>
    <row r="19" ht="21.75" customHeight="1">
      <c r="P19" s="17"/>
      <c r="R19" s="2">
        <v>17.0</v>
      </c>
      <c r="S19" s="23">
        <v>0.0</v>
      </c>
      <c r="T19" s="23">
        <v>17.0</v>
      </c>
      <c r="U19" s="5">
        <v>34.0</v>
      </c>
      <c r="V19" s="5">
        <v>51.0</v>
      </c>
      <c r="W19" s="5">
        <v>68.0</v>
      </c>
      <c r="X19" s="5">
        <v>85.0</v>
      </c>
      <c r="Y19" s="5">
        <v>102.0</v>
      </c>
      <c r="Z19" s="5">
        <v>119.0</v>
      </c>
      <c r="AA19" s="28">
        <v>136.0</v>
      </c>
      <c r="AB19" s="28">
        <v>153.0</v>
      </c>
      <c r="AC19" s="17">
        <f t="shared" si="2"/>
        <v>2</v>
      </c>
      <c r="AE19" s="2">
        <v>17.0</v>
      </c>
      <c r="AF19" s="23">
        <v>0.0</v>
      </c>
      <c r="AG19" s="5">
        <v>17.0</v>
      </c>
      <c r="AH19" s="5">
        <v>34.0</v>
      </c>
      <c r="AI19" s="5">
        <v>51.0</v>
      </c>
      <c r="AJ19" s="5">
        <v>68.0</v>
      </c>
      <c r="AK19" s="5">
        <v>85.0</v>
      </c>
      <c r="AL19" s="5">
        <v>102.0</v>
      </c>
      <c r="AM19" s="5">
        <v>119.0</v>
      </c>
      <c r="AN19" s="28">
        <v>136.0</v>
      </c>
      <c r="AO19" s="17">
        <f t="shared" si="3"/>
        <v>2</v>
      </c>
      <c r="AQ19" s="2">
        <v>17.0</v>
      </c>
      <c r="AR19" s="5">
        <v>0.0</v>
      </c>
      <c r="AS19" s="5">
        <v>17.0</v>
      </c>
      <c r="AT19" s="5">
        <v>34.0</v>
      </c>
      <c r="AU19" s="5">
        <v>51.0</v>
      </c>
      <c r="AV19" s="5">
        <v>68.0</v>
      </c>
      <c r="AW19" s="5">
        <v>85.0</v>
      </c>
      <c r="AX19" s="17">
        <f t="shared" si="4"/>
        <v>7</v>
      </c>
    </row>
    <row r="20" ht="21.75" customHeight="1">
      <c r="P20" s="17"/>
      <c r="R20" s="2">
        <v>18.0</v>
      </c>
      <c r="S20" s="23">
        <v>0.0</v>
      </c>
      <c r="T20" s="23">
        <v>18.0</v>
      </c>
      <c r="U20" s="23">
        <v>36.0</v>
      </c>
      <c r="V20" s="5">
        <v>54.0</v>
      </c>
      <c r="W20" s="5">
        <v>72.0</v>
      </c>
      <c r="X20" s="5">
        <v>90.0</v>
      </c>
      <c r="Y20" s="5">
        <v>108.0</v>
      </c>
      <c r="Z20" s="28">
        <v>126.0</v>
      </c>
      <c r="AA20" s="28">
        <v>144.0</v>
      </c>
      <c r="AB20" s="28">
        <v>162.0</v>
      </c>
      <c r="AC20" s="17">
        <f t="shared" si="2"/>
        <v>1</v>
      </c>
      <c r="AE20" s="2">
        <v>18.0</v>
      </c>
      <c r="AF20" s="23">
        <v>0.0</v>
      </c>
      <c r="AG20" s="23">
        <v>18.0</v>
      </c>
      <c r="AH20" s="5">
        <v>36.0</v>
      </c>
      <c r="AI20" s="5">
        <v>54.0</v>
      </c>
      <c r="AJ20" s="5">
        <v>72.0</v>
      </c>
      <c r="AK20" s="5">
        <v>90.0</v>
      </c>
      <c r="AL20" s="5">
        <v>108.0</v>
      </c>
      <c r="AM20" s="28">
        <v>126.0</v>
      </c>
      <c r="AN20" s="28">
        <v>144.0</v>
      </c>
      <c r="AO20" s="17">
        <f t="shared" si="3"/>
        <v>1</v>
      </c>
      <c r="AQ20" s="2">
        <v>18.0</v>
      </c>
      <c r="AR20" s="5">
        <v>0.0</v>
      </c>
      <c r="AS20" s="5">
        <v>18.0</v>
      </c>
      <c r="AT20" s="5">
        <v>36.0</v>
      </c>
      <c r="AU20" s="5">
        <v>54.0</v>
      </c>
      <c r="AV20" s="5">
        <v>72.0</v>
      </c>
      <c r="AW20" s="5">
        <v>90.0</v>
      </c>
      <c r="AX20" s="17">
        <f t="shared" si="4"/>
        <v>6</v>
      </c>
    </row>
    <row r="21" ht="21.75" customHeight="1">
      <c r="P21" s="17"/>
      <c r="R21" s="2">
        <v>19.0</v>
      </c>
      <c r="S21" s="23">
        <v>0.0</v>
      </c>
      <c r="T21" s="23">
        <v>19.0</v>
      </c>
      <c r="U21" s="23">
        <v>38.0</v>
      </c>
      <c r="V21" s="5">
        <v>57.0</v>
      </c>
      <c r="W21" s="5">
        <v>76.0</v>
      </c>
      <c r="X21" s="5">
        <v>95.0</v>
      </c>
      <c r="Y21" s="5">
        <v>114.0</v>
      </c>
      <c r="Z21" s="28">
        <v>133.0</v>
      </c>
      <c r="AA21" s="28">
        <v>152.0</v>
      </c>
      <c r="AB21" s="28">
        <v>171.0</v>
      </c>
      <c r="AC21" s="17">
        <f t="shared" si="2"/>
        <v>0</v>
      </c>
      <c r="AE21" s="2">
        <v>19.0</v>
      </c>
      <c r="AF21" s="23">
        <v>0.0</v>
      </c>
      <c r="AG21" s="23">
        <v>19.0</v>
      </c>
      <c r="AH21" s="5">
        <v>38.0</v>
      </c>
      <c r="AI21" s="5">
        <v>57.0</v>
      </c>
      <c r="AJ21" s="5">
        <v>76.0</v>
      </c>
      <c r="AK21" s="5">
        <v>95.0</v>
      </c>
      <c r="AL21" s="5">
        <v>114.0</v>
      </c>
      <c r="AM21" s="28">
        <v>133.0</v>
      </c>
      <c r="AN21" s="28">
        <v>152.0</v>
      </c>
      <c r="AO21" s="17">
        <f t="shared" si="3"/>
        <v>0</v>
      </c>
      <c r="AQ21" s="2">
        <v>19.0</v>
      </c>
      <c r="AR21" s="5">
        <v>0.0</v>
      </c>
      <c r="AS21" s="5">
        <v>19.0</v>
      </c>
      <c r="AT21" s="5">
        <v>38.0</v>
      </c>
      <c r="AU21" s="5">
        <v>57.0</v>
      </c>
      <c r="AV21" s="5">
        <v>76.0</v>
      </c>
      <c r="AW21" s="5">
        <v>95.0</v>
      </c>
      <c r="AX21" s="17">
        <f t="shared" si="4"/>
        <v>5</v>
      </c>
    </row>
    <row r="22" ht="21.75" customHeight="1">
      <c r="P22" s="17"/>
      <c r="S22" s="17">
        <f t="shared" ref="S22:AB22" si="6">9-S1</f>
        <v>9</v>
      </c>
      <c r="T22" s="17">
        <f t="shared" si="6"/>
        <v>8</v>
      </c>
      <c r="U22" s="17">
        <f t="shared" si="6"/>
        <v>7</v>
      </c>
      <c r="V22" s="17">
        <f t="shared" si="6"/>
        <v>6</v>
      </c>
      <c r="W22" s="17">
        <f t="shared" si="6"/>
        <v>5</v>
      </c>
      <c r="X22" s="17">
        <f t="shared" si="6"/>
        <v>4</v>
      </c>
      <c r="Y22" s="17">
        <f t="shared" si="6"/>
        <v>3</v>
      </c>
      <c r="Z22" s="17">
        <f t="shared" si="6"/>
        <v>2</v>
      </c>
      <c r="AA22" s="17">
        <f t="shared" si="6"/>
        <v>1</v>
      </c>
      <c r="AB22" s="17">
        <f t="shared" si="6"/>
        <v>0</v>
      </c>
      <c r="AC22" s="17"/>
      <c r="AF22" s="17">
        <f t="shared" ref="AF22:AN22" si="7">8-AF1</f>
        <v>8</v>
      </c>
      <c r="AG22" s="17">
        <f t="shared" si="7"/>
        <v>7</v>
      </c>
      <c r="AH22" s="17">
        <f t="shared" si="7"/>
        <v>6</v>
      </c>
      <c r="AI22" s="17">
        <f t="shared" si="7"/>
        <v>5</v>
      </c>
      <c r="AJ22" s="17">
        <f t="shared" si="7"/>
        <v>4</v>
      </c>
      <c r="AK22" s="17">
        <f t="shared" si="7"/>
        <v>3</v>
      </c>
      <c r="AL22" s="17">
        <f t="shared" si="7"/>
        <v>2</v>
      </c>
      <c r="AM22" s="17">
        <f t="shared" si="7"/>
        <v>1</v>
      </c>
      <c r="AN22" s="17">
        <f t="shared" si="7"/>
        <v>0</v>
      </c>
      <c r="AO22" s="17"/>
      <c r="AQ22" s="2">
        <v>20.0</v>
      </c>
      <c r="AR22" s="5">
        <v>0.0</v>
      </c>
      <c r="AS22" s="5">
        <v>20.0</v>
      </c>
      <c r="AT22" s="5">
        <v>40.0</v>
      </c>
      <c r="AU22" s="5">
        <v>60.0</v>
      </c>
      <c r="AV22" s="5">
        <v>80.0</v>
      </c>
      <c r="AW22" s="5">
        <v>100.0</v>
      </c>
      <c r="AX22" s="17">
        <f t="shared" si="4"/>
        <v>4</v>
      </c>
    </row>
    <row r="23" ht="21.75" customHeight="1">
      <c r="P23" s="17"/>
      <c r="AC23" s="17"/>
      <c r="AO23" s="17"/>
      <c r="AQ23" s="2">
        <v>21.0</v>
      </c>
      <c r="AR23" s="5">
        <v>0.0</v>
      </c>
      <c r="AS23" s="5">
        <v>21.0</v>
      </c>
      <c r="AT23" s="5">
        <v>42.0</v>
      </c>
      <c r="AU23" s="5">
        <v>63.0</v>
      </c>
      <c r="AV23" s="5">
        <v>84.0</v>
      </c>
      <c r="AW23" s="15">
        <v>105.0</v>
      </c>
      <c r="AX23" s="17">
        <f t="shared" si="4"/>
        <v>3</v>
      </c>
    </row>
    <row r="24" ht="21.75" customHeight="1">
      <c r="E24" s="5">
        <f>O17+AB21+AN21+AW26</f>
        <v>638</v>
      </c>
      <c r="G24" s="5">
        <f>I10+W10+AG6+AW23</f>
        <v>197</v>
      </c>
      <c r="I24" s="5">
        <f>H9+X13+AM17+AR5</f>
        <v>202</v>
      </c>
      <c r="K24" s="5">
        <f>E24-G24-I24</f>
        <v>239</v>
      </c>
      <c r="P24" s="17"/>
      <c r="AC24" s="17"/>
      <c r="AO24" s="17"/>
      <c r="AQ24" s="2">
        <v>22.0</v>
      </c>
      <c r="AR24" s="5">
        <v>0.0</v>
      </c>
      <c r="AS24" s="5">
        <v>22.0</v>
      </c>
      <c r="AT24" s="5">
        <v>44.0</v>
      </c>
      <c r="AU24" s="5">
        <v>66.0</v>
      </c>
      <c r="AV24" s="5">
        <v>88.0</v>
      </c>
      <c r="AW24" s="5">
        <v>110.0</v>
      </c>
      <c r="AX24" s="17">
        <f t="shared" si="4"/>
        <v>2</v>
      </c>
    </row>
    <row r="25" ht="21.75" customHeight="1">
      <c r="P25" s="17"/>
      <c r="AC25" s="17"/>
      <c r="AO25" s="17"/>
      <c r="AQ25" s="2">
        <v>23.0</v>
      </c>
      <c r="AR25" s="23">
        <v>0.0</v>
      </c>
      <c r="AS25" s="5">
        <v>23.0</v>
      </c>
      <c r="AT25" s="5">
        <v>46.0</v>
      </c>
      <c r="AU25" s="5">
        <v>69.0</v>
      </c>
      <c r="AV25" s="5">
        <v>92.0</v>
      </c>
      <c r="AW25" s="28">
        <v>115.0</v>
      </c>
      <c r="AX25" s="17">
        <f t="shared" si="4"/>
        <v>1</v>
      </c>
    </row>
    <row r="26" ht="21.75" customHeight="1">
      <c r="P26" s="17"/>
      <c r="AC26" s="17"/>
      <c r="AO26" s="17"/>
      <c r="AQ26" s="2">
        <v>24.0</v>
      </c>
      <c r="AR26" s="23">
        <v>0.0</v>
      </c>
      <c r="AS26" s="5">
        <v>24.0</v>
      </c>
      <c r="AT26" s="5">
        <v>48.0</v>
      </c>
      <c r="AU26" s="5">
        <v>72.0</v>
      </c>
      <c r="AV26" s="5">
        <v>96.0</v>
      </c>
      <c r="AW26" s="28">
        <v>120.0</v>
      </c>
      <c r="AX26" s="17">
        <f t="shared" si="4"/>
        <v>0</v>
      </c>
    </row>
    <row r="27" ht="21.75" customHeight="1">
      <c r="A27" s="17"/>
      <c r="P27" s="17"/>
      <c r="AC27" s="17"/>
      <c r="AO27" s="17"/>
      <c r="AQ27" s="2"/>
      <c r="AR27" s="17">
        <f t="shared" ref="AR27:AW27" si="8">5-AR1</f>
        <v>5</v>
      </c>
      <c r="AS27" s="17">
        <f t="shared" si="8"/>
        <v>4</v>
      </c>
      <c r="AT27" s="17">
        <f t="shared" si="8"/>
        <v>3</v>
      </c>
      <c r="AU27" s="17">
        <f t="shared" si="8"/>
        <v>2</v>
      </c>
      <c r="AV27" s="17">
        <f t="shared" si="8"/>
        <v>1</v>
      </c>
      <c r="AW27" s="17">
        <f t="shared" si="8"/>
        <v>0</v>
      </c>
      <c r="AX27" s="17"/>
    </row>
    <row r="28" ht="21.75" customHeight="1">
      <c r="A28" s="17"/>
      <c r="P28" s="17"/>
      <c r="AC28" s="17"/>
      <c r="AO28" s="17"/>
      <c r="AX28" s="17"/>
    </row>
    <row r="29" ht="21.75" customHeight="1">
      <c r="A29" s="17"/>
      <c r="B29" s="2">
        <v>0.0</v>
      </c>
      <c r="C29" s="2">
        <v>1.0</v>
      </c>
      <c r="D29" s="2">
        <v>2.0</v>
      </c>
      <c r="E29" s="2">
        <v>3.0</v>
      </c>
      <c r="F29" s="2">
        <v>4.0</v>
      </c>
      <c r="G29" s="2">
        <v>5.0</v>
      </c>
      <c r="H29" s="2">
        <v>6.0</v>
      </c>
      <c r="I29" s="2">
        <v>7.0</v>
      </c>
      <c r="J29" s="2">
        <v>8.0</v>
      </c>
      <c r="K29" s="2">
        <v>9.0</v>
      </c>
      <c r="L29" s="2">
        <v>10.0</v>
      </c>
      <c r="M29" s="2">
        <v>11.0</v>
      </c>
      <c r="N29" s="2">
        <v>12.0</v>
      </c>
      <c r="O29" s="2">
        <v>13.0</v>
      </c>
      <c r="P29" s="17"/>
      <c r="Q29" s="17"/>
      <c r="R29" s="17"/>
      <c r="S29" s="2">
        <v>0.0</v>
      </c>
      <c r="T29" s="2">
        <v>1.0</v>
      </c>
      <c r="U29" s="2">
        <v>2.0</v>
      </c>
      <c r="V29" s="2">
        <v>3.0</v>
      </c>
      <c r="W29" s="2">
        <v>4.0</v>
      </c>
      <c r="X29" s="2">
        <v>5.0</v>
      </c>
      <c r="Y29" s="2">
        <v>6.0</v>
      </c>
      <c r="Z29" s="2">
        <v>7.0</v>
      </c>
      <c r="AA29" s="2">
        <v>8.0</v>
      </c>
      <c r="AB29" s="2">
        <v>9.0</v>
      </c>
      <c r="AC29" s="2"/>
      <c r="AD29" s="2"/>
      <c r="AE29" s="17"/>
      <c r="AF29" s="2">
        <v>0.0</v>
      </c>
      <c r="AG29" s="2">
        <v>1.0</v>
      </c>
      <c r="AH29" s="2">
        <v>2.0</v>
      </c>
      <c r="AI29" s="2">
        <v>3.0</v>
      </c>
      <c r="AJ29" s="2">
        <v>4.0</v>
      </c>
      <c r="AK29" s="2">
        <v>5.0</v>
      </c>
      <c r="AL29" s="2">
        <v>6.0</v>
      </c>
      <c r="AM29" s="2">
        <v>7.0</v>
      </c>
      <c r="AN29" s="2">
        <v>8.0</v>
      </c>
      <c r="AO29" s="2"/>
      <c r="AP29" s="2"/>
      <c r="AQ29" s="17"/>
      <c r="AR29" s="2">
        <v>0.0</v>
      </c>
      <c r="AS29" s="2">
        <v>1.0</v>
      </c>
      <c r="AT29" s="2">
        <v>2.0</v>
      </c>
      <c r="AU29" s="2">
        <v>3.0</v>
      </c>
      <c r="AV29" s="2">
        <v>4.0</v>
      </c>
      <c r="AW29" s="2">
        <v>5.0</v>
      </c>
      <c r="AX29" s="2"/>
    </row>
    <row r="30" ht="21.75" customHeight="1">
      <c r="A30" s="2">
        <v>0.0</v>
      </c>
      <c r="B30" s="28">
        <f t="array" ref="B30:O45">P30:P45*B29:O29 + A30:A45*B46:O46</f>
        <v>0</v>
      </c>
      <c r="C30" s="28">
        <v>15.0</v>
      </c>
      <c r="D30" s="28">
        <v>30.0</v>
      </c>
      <c r="E30" s="28">
        <v>45.0</v>
      </c>
      <c r="F30" s="28">
        <v>60.0</v>
      </c>
      <c r="G30" s="5">
        <v>75.0</v>
      </c>
      <c r="H30" s="5">
        <v>90.0</v>
      </c>
      <c r="I30" s="5">
        <v>105.0</v>
      </c>
      <c r="J30" s="5">
        <v>120.0</v>
      </c>
      <c r="K30" s="23">
        <v>135.0</v>
      </c>
      <c r="L30" s="23">
        <v>150.0</v>
      </c>
      <c r="M30" s="23">
        <v>165.0</v>
      </c>
      <c r="N30" s="23">
        <v>180.0</v>
      </c>
      <c r="O30" s="23">
        <v>195.0</v>
      </c>
      <c r="P30" s="17">
        <f t="shared" ref="P30:P45" si="9">15-A30</f>
        <v>15</v>
      </c>
      <c r="R30" s="2">
        <v>0.0</v>
      </c>
      <c r="S30" s="28">
        <f t="array" ref="S30:AB49">R30:R49*S50:AB50+AC30:AC49*S29:AB29</f>
        <v>0</v>
      </c>
      <c r="T30" s="28">
        <v>19.0</v>
      </c>
      <c r="U30" s="28">
        <v>38.0</v>
      </c>
      <c r="V30" s="17">
        <v>57.0</v>
      </c>
      <c r="W30" s="17">
        <v>76.0</v>
      </c>
      <c r="X30" s="17">
        <v>95.0</v>
      </c>
      <c r="Y30" s="17">
        <v>114.0</v>
      </c>
      <c r="Z30" s="23">
        <v>133.0</v>
      </c>
      <c r="AA30" s="23">
        <v>152.0</v>
      </c>
      <c r="AB30" s="23">
        <v>171.0</v>
      </c>
      <c r="AC30" s="17">
        <f t="shared" ref="AC30:AC49" si="10">19-R30</f>
        <v>19</v>
      </c>
      <c r="AE30" s="2">
        <v>0.0</v>
      </c>
      <c r="AF30" s="28">
        <f t="array" ref="AF30:AN49">AE30:AE49*AF50:AN50+AO30:AO49*AF29:AN29</f>
        <v>0</v>
      </c>
      <c r="AG30" s="28">
        <v>19.0</v>
      </c>
      <c r="AH30" s="5">
        <v>38.0</v>
      </c>
      <c r="AI30" s="5">
        <v>57.0</v>
      </c>
      <c r="AJ30" s="5">
        <v>76.0</v>
      </c>
      <c r="AK30" s="5">
        <v>95.0</v>
      </c>
      <c r="AL30" s="5">
        <v>114.0</v>
      </c>
      <c r="AM30" s="23">
        <v>133.0</v>
      </c>
      <c r="AN30" s="23">
        <v>152.0</v>
      </c>
      <c r="AO30" s="17">
        <f t="shared" ref="AO30:AO49" si="11">19-AE30</f>
        <v>19</v>
      </c>
      <c r="AQ30" s="2">
        <v>0.0</v>
      </c>
      <c r="AR30" s="28">
        <f t="array" ref="AR30:AW54">AQ30:AQ54*AR55:AW55+AX30:AX54*AR29:AW29</f>
        <v>0</v>
      </c>
      <c r="AS30" s="5">
        <v>24.0</v>
      </c>
      <c r="AT30" s="5">
        <v>48.0</v>
      </c>
      <c r="AU30" s="5">
        <v>72.0</v>
      </c>
      <c r="AV30" s="5">
        <v>96.0</v>
      </c>
      <c r="AW30" s="23">
        <v>120.0</v>
      </c>
      <c r="AX30" s="17">
        <f t="shared" ref="AX30:AX54" si="12">24-AQ30</f>
        <v>24</v>
      </c>
    </row>
    <row r="31" ht="21.75" customHeight="1">
      <c r="A31" s="2">
        <v>1.0</v>
      </c>
      <c r="B31" s="28">
        <v>13.0</v>
      </c>
      <c r="C31" s="28">
        <v>26.0</v>
      </c>
      <c r="D31" s="28">
        <v>39.0</v>
      </c>
      <c r="E31" s="28">
        <v>52.0</v>
      </c>
      <c r="F31" s="5">
        <v>65.0</v>
      </c>
      <c r="G31" s="5">
        <v>78.0</v>
      </c>
      <c r="H31" s="5">
        <v>91.0</v>
      </c>
      <c r="I31" s="5">
        <v>104.0</v>
      </c>
      <c r="J31" s="5">
        <v>117.0</v>
      </c>
      <c r="K31" s="5">
        <v>130.0</v>
      </c>
      <c r="L31" s="23">
        <v>143.0</v>
      </c>
      <c r="M31" s="23">
        <v>156.0</v>
      </c>
      <c r="N31" s="23">
        <v>169.0</v>
      </c>
      <c r="O31" s="23">
        <v>182.0</v>
      </c>
      <c r="P31" s="17">
        <f t="shared" si="9"/>
        <v>14</v>
      </c>
      <c r="R31" s="2">
        <v>1.0</v>
      </c>
      <c r="S31" s="28">
        <v>9.0</v>
      </c>
      <c r="T31" s="28">
        <v>26.0</v>
      </c>
      <c r="U31" s="28">
        <v>43.0</v>
      </c>
      <c r="V31" s="17">
        <v>60.0</v>
      </c>
      <c r="W31" s="17">
        <v>77.0</v>
      </c>
      <c r="X31" s="17">
        <v>94.0</v>
      </c>
      <c r="Y31" s="17">
        <v>111.0</v>
      </c>
      <c r="Z31" s="23">
        <v>128.0</v>
      </c>
      <c r="AA31" s="23">
        <v>145.0</v>
      </c>
      <c r="AB31" s="23">
        <v>162.0</v>
      </c>
      <c r="AC31" s="17">
        <f t="shared" si="10"/>
        <v>18</v>
      </c>
      <c r="AE31" s="2">
        <v>1.0</v>
      </c>
      <c r="AF31" s="28">
        <v>8.0</v>
      </c>
      <c r="AG31" s="28">
        <v>25.0</v>
      </c>
      <c r="AH31" s="5">
        <v>42.0</v>
      </c>
      <c r="AI31" s="5">
        <v>59.0</v>
      </c>
      <c r="AJ31" s="5">
        <v>76.0</v>
      </c>
      <c r="AK31" s="5">
        <v>93.0</v>
      </c>
      <c r="AL31" s="5">
        <v>110.0</v>
      </c>
      <c r="AM31" s="23">
        <v>127.0</v>
      </c>
      <c r="AN31" s="23">
        <v>144.0</v>
      </c>
      <c r="AO31" s="17">
        <f t="shared" si="11"/>
        <v>18</v>
      </c>
      <c r="AQ31" s="2">
        <v>1.0</v>
      </c>
      <c r="AR31" s="28">
        <v>5.0</v>
      </c>
      <c r="AS31" s="5">
        <v>27.0</v>
      </c>
      <c r="AT31" s="5">
        <v>49.0</v>
      </c>
      <c r="AU31" s="5">
        <v>71.0</v>
      </c>
      <c r="AV31" s="5">
        <v>93.0</v>
      </c>
      <c r="AW31" s="23">
        <v>115.0</v>
      </c>
      <c r="AX31" s="17">
        <f t="shared" si="12"/>
        <v>23</v>
      </c>
    </row>
    <row r="32" ht="21.75" customHeight="1">
      <c r="A32" s="2">
        <v>2.0</v>
      </c>
      <c r="B32" s="28">
        <v>26.0</v>
      </c>
      <c r="C32" s="28">
        <v>37.0</v>
      </c>
      <c r="D32" s="28">
        <v>48.0</v>
      </c>
      <c r="E32" s="28">
        <v>59.0</v>
      </c>
      <c r="F32" s="5">
        <v>70.0</v>
      </c>
      <c r="G32" s="5">
        <v>81.0</v>
      </c>
      <c r="H32" s="5">
        <v>92.0</v>
      </c>
      <c r="I32" s="5">
        <v>103.0</v>
      </c>
      <c r="J32" s="5">
        <v>114.0</v>
      </c>
      <c r="K32" s="5">
        <v>125.0</v>
      </c>
      <c r="L32" s="23">
        <v>136.0</v>
      </c>
      <c r="M32" s="23">
        <v>147.0</v>
      </c>
      <c r="N32" s="23">
        <v>158.0</v>
      </c>
      <c r="O32" s="23">
        <v>169.0</v>
      </c>
      <c r="P32" s="17">
        <f t="shared" si="9"/>
        <v>13</v>
      </c>
      <c r="R32" s="2">
        <v>2.0</v>
      </c>
      <c r="S32" s="28">
        <v>18.0</v>
      </c>
      <c r="T32" s="28">
        <v>33.0</v>
      </c>
      <c r="U32" s="17">
        <v>48.0</v>
      </c>
      <c r="V32" s="17">
        <v>63.0</v>
      </c>
      <c r="W32" s="17">
        <v>78.0</v>
      </c>
      <c r="X32" s="17">
        <v>93.0</v>
      </c>
      <c r="Y32" s="17">
        <v>108.0</v>
      </c>
      <c r="Z32" s="17">
        <v>123.0</v>
      </c>
      <c r="AA32" s="23">
        <v>138.0</v>
      </c>
      <c r="AB32" s="23">
        <v>153.0</v>
      </c>
      <c r="AC32" s="17">
        <f t="shared" si="10"/>
        <v>17</v>
      </c>
      <c r="AE32" s="2">
        <v>2.0</v>
      </c>
      <c r="AF32" s="28">
        <v>16.0</v>
      </c>
      <c r="AG32" s="5">
        <v>31.0</v>
      </c>
      <c r="AH32" s="5">
        <v>46.0</v>
      </c>
      <c r="AI32" s="5">
        <v>61.0</v>
      </c>
      <c r="AJ32" s="5">
        <v>76.0</v>
      </c>
      <c r="AK32" s="5">
        <v>91.0</v>
      </c>
      <c r="AL32" s="5">
        <v>106.0</v>
      </c>
      <c r="AM32" s="5">
        <v>121.0</v>
      </c>
      <c r="AN32" s="23">
        <v>136.0</v>
      </c>
      <c r="AO32" s="17">
        <f t="shared" si="11"/>
        <v>17</v>
      </c>
      <c r="AQ32" s="2">
        <v>2.0</v>
      </c>
      <c r="AR32" s="5">
        <v>10.0</v>
      </c>
      <c r="AS32" s="5">
        <v>30.0</v>
      </c>
      <c r="AT32" s="5">
        <v>50.0</v>
      </c>
      <c r="AU32" s="5">
        <v>70.0</v>
      </c>
      <c r="AV32" s="5">
        <v>90.0</v>
      </c>
      <c r="AW32" s="5">
        <v>110.0</v>
      </c>
      <c r="AX32" s="17">
        <f t="shared" si="12"/>
        <v>22</v>
      </c>
    </row>
    <row r="33" ht="21.75" customHeight="1">
      <c r="A33" s="2">
        <v>3.0</v>
      </c>
      <c r="B33" s="28">
        <v>39.0</v>
      </c>
      <c r="C33" s="28">
        <v>48.0</v>
      </c>
      <c r="D33" s="28">
        <v>57.0</v>
      </c>
      <c r="E33" s="5">
        <v>66.0</v>
      </c>
      <c r="F33" s="5">
        <v>75.0</v>
      </c>
      <c r="G33" s="5">
        <v>84.0</v>
      </c>
      <c r="H33" s="5">
        <v>93.0</v>
      </c>
      <c r="I33" s="5">
        <v>102.0</v>
      </c>
      <c r="J33" s="5">
        <v>111.0</v>
      </c>
      <c r="K33" s="5">
        <v>120.0</v>
      </c>
      <c r="L33" s="5">
        <v>129.0</v>
      </c>
      <c r="M33" s="23">
        <v>138.0</v>
      </c>
      <c r="N33" s="23">
        <v>147.0</v>
      </c>
      <c r="O33" s="23">
        <v>156.0</v>
      </c>
      <c r="P33" s="17">
        <f t="shared" si="9"/>
        <v>12</v>
      </c>
      <c r="R33" s="2">
        <v>3.0</v>
      </c>
      <c r="S33" s="28">
        <v>27.0</v>
      </c>
      <c r="T33" s="29">
        <v>40.0</v>
      </c>
      <c r="U33" s="17">
        <v>53.0</v>
      </c>
      <c r="V33" s="17">
        <v>66.0</v>
      </c>
      <c r="W33" s="17">
        <v>79.0</v>
      </c>
      <c r="X33" s="17">
        <v>92.0</v>
      </c>
      <c r="Y33" s="17">
        <v>105.0</v>
      </c>
      <c r="Z33" s="17">
        <v>118.0</v>
      </c>
      <c r="AA33" s="23">
        <v>131.0</v>
      </c>
      <c r="AB33" s="23">
        <v>144.0</v>
      </c>
      <c r="AC33" s="17">
        <f t="shared" si="10"/>
        <v>16</v>
      </c>
      <c r="AE33" s="2">
        <v>3.0</v>
      </c>
      <c r="AF33" s="28">
        <v>24.0</v>
      </c>
      <c r="AG33" s="5">
        <v>37.0</v>
      </c>
      <c r="AH33" s="5">
        <v>50.0</v>
      </c>
      <c r="AI33" s="5">
        <v>63.0</v>
      </c>
      <c r="AJ33" s="5">
        <v>76.0</v>
      </c>
      <c r="AK33" s="5">
        <v>89.0</v>
      </c>
      <c r="AL33" s="5">
        <v>102.0</v>
      </c>
      <c r="AM33" s="5">
        <v>115.0</v>
      </c>
      <c r="AN33" s="23">
        <v>128.0</v>
      </c>
      <c r="AO33" s="17">
        <f t="shared" si="11"/>
        <v>16</v>
      </c>
      <c r="AQ33" s="2">
        <v>3.0</v>
      </c>
      <c r="AR33" s="15">
        <v>15.0</v>
      </c>
      <c r="AS33" s="5">
        <v>33.0</v>
      </c>
      <c r="AT33" s="5">
        <v>51.0</v>
      </c>
      <c r="AU33" s="5">
        <v>69.0</v>
      </c>
      <c r="AV33" s="5">
        <v>87.0</v>
      </c>
      <c r="AW33" s="5">
        <v>105.0</v>
      </c>
      <c r="AX33" s="17">
        <f t="shared" si="12"/>
        <v>21</v>
      </c>
    </row>
    <row r="34" ht="21.75" customHeight="1">
      <c r="A34" s="2">
        <v>4.0</v>
      </c>
      <c r="B34" s="28">
        <v>52.0</v>
      </c>
      <c r="C34" s="28">
        <v>59.0</v>
      </c>
      <c r="D34" s="5">
        <v>66.0</v>
      </c>
      <c r="E34" s="5">
        <v>73.0</v>
      </c>
      <c r="F34" s="5">
        <v>80.0</v>
      </c>
      <c r="G34" s="5">
        <v>87.0</v>
      </c>
      <c r="H34" s="5">
        <v>94.0</v>
      </c>
      <c r="I34" s="5">
        <v>101.0</v>
      </c>
      <c r="J34" s="5">
        <v>108.0</v>
      </c>
      <c r="K34" s="5">
        <v>115.0</v>
      </c>
      <c r="L34" s="5">
        <v>122.0</v>
      </c>
      <c r="M34" s="5">
        <v>129.0</v>
      </c>
      <c r="N34" s="23">
        <v>136.0</v>
      </c>
      <c r="O34" s="23">
        <v>143.0</v>
      </c>
      <c r="P34" s="17">
        <f t="shared" si="9"/>
        <v>11</v>
      </c>
      <c r="R34" s="2">
        <v>4.0</v>
      </c>
      <c r="S34" s="28">
        <v>36.0</v>
      </c>
      <c r="T34" s="30">
        <v>47.0</v>
      </c>
      <c r="U34" s="31">
        <v>58.0</v>
      </c>
      <c r="V34" s="17">
        <v>69.0</v>
      </c>
      <c r="W34" s="17">
        <v>80.0</v>
      </c>
      <c r="X34" s="17">
        <v>91.0</v>
      </c>
      <c r="Y34" s="17">
        <v>102.0</v>
      </c>
      <c r="Z34" s="17">
        <v>113.0</v>
      </c>
      <c r="AA34" s="17">
        <v>124.0</v>
      </c>
      <c r="AB34" s="23">
        <v>135.0</v>
      </c>
      <c r="AC34" s="17">
        <f t="shared" si="10"/>
        <v>15</v>
      </c>
      <c r="AE34" s="2">
        <v>4.0</v>
      </c>
      <c r="AF34" s="5">
        <v>32.0</v>
      </c>
      <c r="AG34" s="15">
        <v>43.0</v>
      </c>
      <c r="AH34" s="5">
        <v>54.0</v>
      </c>
      <c r="AI34" s="5">
        <v>65.0</v>
      </c>
      <c r="AJ34" s="5">
        <v>76.0</v>
      </c>
      <c r="AK34" s="5">
        <v>87.0</v>
      </c>
      <c r="AL34" s="5">
        <v>98.0</v>
      </c>
      <c r="AM34" s="5">
        <v>109.0</v>
      </c>
      <c r="AN34" s="5">
        <v>120.0</v>
      </c>
      <c r="AO34" s="17">
        <f t="shared" si="11"/>
        <v>15</v>
      </c>
      <c r="AQ34" s="2">
        <v>4.0</v>
      </c>
      <c r="AR34" s="5">
        <v>20.0</v>
      </c>
      <c r="AS34" s="5">
        <v>36.0</v>
      </c>
      <c r="AT34" s="5">
        <v>52.0</v>
      </c>
      <c r="AU34" s="5">
        <v>68.0</v>
      </c>
      <c r="AV34" s="5">
        <v>84.0</v>
      </c>
      <c r="AW34" s="5">
        <v>100.0</v>
      </c>
      <c r="AX34" s="17">
        <f t="shared" si="12"/>
        <v>20</v>
      </c>
    </row>
    <row r="35" ht="21.75" customHeight="1">
      <c r="A35" s="2">
        <v>5.0</v>
      </c>
      <c r="B35" s="28">
        <v>65.0</v>
      </c>
      <c r="C35" s="5">
        <v>70.0</v>
      </c>
      <c r="D35" s="5">
        <v>75.0</v>
      </c>
      <c r="E35" s="5">
        <v>80.0</v>
      </c>
      <c r="F35" s="5">
        <v>85.0</v>
      </c>
      <c r="G35" s="5">
        <v>90.0</v>
      </c>
      <c r="H35" s="5">
        <v>95.0</v>
      </c>
      <c r="I35" s="5">
        <v>100.0</v>
      </c>
      <c r="J35" s="5">
        <v>105.0</v>
      </c>
      <c r="K35" s="5">
        <v>110.0</v>
      </c>
      <c r="L35" s="5">
        <v>115.0</v>
      </c>
      <c r="M35" s="5">
        <v>120.0</v>
      </c>
      <c r="N35" s="5">
        <v>125.0</v>
      </c>
      <c r="O35" s="23">
        <v>130.0</v>
      </c>
      <c r="P35" s="17">
        <f t="shared" si="9"/>
        <v>10</v>
      </c>
      <c r="R35" s="2">
        <v>5.0</v>
      </c>
      <c r="S35" s="30">
        <v>45.0</v>
      </c>
      <c r="T35" s="30">
        <v>54.0</v>
      </c>
      <c r="U35" s="30">
        <v>63.0</v>
      </c>
      <c r="V35" s="17">
        <v>72.0</v>
      </c>
      <c r="W35" s="17">
        <v>81.0</v>
      </c>
      <c r="X35" s="17">
        <v>90.0</v>
      </c>
      <c r="Y35" s="17">
        <v>99.0</v>
      </c>
      <c r="Z35" s="17">
        <v>108.0</v>
      </c>
      <c r="AA35" s="17">
        <v>117.0</v>
      </c>
      <c r="AB35" s="17">
        <v>126.0</v>
      </c>
      <c r="AC35" s="17">
        <f t="shared" si="10"/>
        <v>14</v>
      </c>
      <c r="AE35" s="2">
        <v>5.0</v>
      </c>
      <c r="AF35" s="5">
        <v>40.0</v>
      </c>
      <c r="AG35" s="5">
        <v>49.0</v>
      </c>
      <c r="AH35" s="5">
        <v>58.0</v>
      </c>
      <c r="AI35" s="5">
        <v>67.0</v>
      </c>
      <c r="AJ35" s="5">
        <v>76.0</v>
      </c>
      <c r="AK35" s="5">
        <v>85.0</v>
      </c>
      <c r="AL35" s="5">
        <v>94.0</v>
      </c>
      <c r="AM35" s="5">
        <v>103.0</v>
      </c>
      <c r="AN35" s="5">
        <v>112.0</v>
      </c>
      <c r="AO35" s="17">
        <f t="shared" si="11"/>
        <v>14</v>
      </c>
      <c r="AQ35" s="2">
        <v>5.0</v>
      </c>
      <c r="AR35" s="5">
        <v>25.0</v>
      </c>
      <c r="AS35" s="5">
        <v>39.0</v>
      </c>
      <c r="AT35" s="5">
        <v>53.0</v>
      </c>
      <c r="AU35" s="5">
        <v>67.0</v>
      </c>
      <c r="AV35" s="5">
        <v>81.0</v>
      </c>
      <c r="AW35" s="5">
        <v>95.0</v>
      </c>
      <c r="AX35" s="17">
        <f t="shared" si="12"/>
        <v>19</v>
      </c>
    </row>
    <row r="36" ht="21.75" customHeight="1">
      <c r="A36" s="2">
        <v>6.0</v>
      </c>
      <c r="B36" s="5">
        <v>78.0</v>
      </c>
      <c r="C36" s="5">
        <v>81.0</v>
      </c>
      <c r="D36" s="5">
        <v>84.0</v>
      </c>
      <c r="E36" s="5">
        <v>87.0</v>
      </c>
      <c r="F36" s="5">
        <v>90.0</v>
      </c>
      <c r="G36" s="5">
        <v>93.0</v>
      </c>
      <c r="H36" s="5">
        <v>96.0</v>
      </c>
      <c r="I36" s="5">
        <v>99.0</v>
      </c>
      <c r="J36" s="5">
        <v>102.0</v>
      </c>
      <c r="K36" s="5">
        <v>105.0</v>
      </c>
      <c r="L36" s="5">
        <v>108.0</v>
      </c>
      <c r="M36" s="5">
        <v>111.0</v>
      </c>
      <c r="N36" s="5">
        <v>114.0</v>
      </c>
      <c r="O36" s="5">
        <v>117.0</v>
      </c>
      <c r="P36" s="17">
        <f t="shared" si="9"/>
        <v>9</v>
      </c>
      <c r="R36" s="2">
        <v>6.0</v>
      </c>
      <c r="S36" s="32">
        <v>54.0</v>
      </c>
      <c r="T36" s="32">
        <v>61.0</v>
      </c>
      <c r="U36" s="30">
        <v>68.0</v>
      </c>
      <c r="V36" s="17">
        <v>75.0</v>
      </c>
      <c r="W36" s="17">
        <v>82.0</v>
      </c>
      <c r="X36" s="17">
        <v>89.0</v>
      </c>
      <c r="Y36" s="17">
        <v>96.0</v>
      </c>
      <c r="Z36" s="17">
        <v>103.0</v>
      </c>
      <c r="AA36" s="17">
        <v>110.0</v>
      </c>
      <c r="AB36" s="17">
        <v>117.0</v>
      </c>
      <c r="AC36" s="17">
        <f t="shared" si="10"/>
        <v>13</v>
      </c>
      <c r="AE36" s="2">
        <v>6.0</v>
      </c>
      <c r="AF36" s="5">
        <v>48.0</v>
      </c>
      <c r="AG36" s="5">
        <v>55.0</v>
      </c>
      <c r="AH36" s="5">
        <v>62.0</v>
      </c>
      <c r="AI36" s="5">
        <v>69.0</v>
      </c>
      <c r="AJ36" s="5">
        <v>76.0</v>
      </c>
      <c r="AK36" s="5">
        <v>83.0</v>
      </c>
      <c r="AL36" s="5">
        <v>90.0</v>
      </c>
      <c r="AM36" s="5">
        <v>97.0</v>
      </c>
      <c r="AN36" s="5">
        <v>104.0</v>
      </c>
      <c r="AO36" s="17">
        <f t="shared" si="11"/>
        <v>13</v>
      </c>
      <c r="AQ36" s="2">
        <v>6.0</v>
      </c>
      <c r="AR36" s="5">
        <v>30.0</v>
      </c>
      <c r="AS36" s="5">
        <v>42.0</v>
      </c>
      <c r="AT36" s="5">
        <v>54.0</v>
      </c>
      <c r="AU36" s="5">
        <v>66.0</v>
      </c>
      <c r="AV36" s="5">
        <v>78.0</v>
      </c>
      <c r="AW36" s="5">
        <v>90.0</v>
      </c>
      <c r="AX36" s="17">
        <f t="shared" si="12"/>
        <v>18</v>
      </c>
    </row>
    <row r="37" ht="21.75" customHeight="1">
      <c r="A37" s="2">
        <v>7.0</v>
      </c>
      <c r="B37" s="5">
        <v>91.0</v>
      </c>
      <c r="C37" s="5">
        <v>92.0</v>
      </c>
      <c r="D37" s="5">
        <v>93.0</v>
      </c>
      <c r="E37" s="5">
        <v>94.0</v>
      </c>
      <c r="F37" s="5">
        <v>95.0</v>
      </c>
      <c r="G37" s="5">
        <v>96.0</v>
      </c>
      <c r="H37" s="15">
        <v>97.0</v>
      </c>
      <c r="I37" s="5">
        <v>98.0</v>
      </c>
      <c r="J37" s="5">
        <v>99.0</v>
      </c>
      <c r="K37" s="5">
        <v>100.0</v>
      </c>
      <c r="L37" s="5">
        <v>101.0</v>
      </c>
      <c r="M37" s="5">
        <v>102.0</v>
      </c>
      <c r="N37" s="5">
        <v>103.0</v>
      </c>
      <c r="O37" s="5">
        <v>104.0</v>
      </c>
      <c r="P37" s="17">
        <f t="shared" si="9"/>
        <v>8</v>
      </c>
      <c r="R37" s="2">
        <v>7.0</v>
      </c>
      <c r="S37" s="32">
        <v>63.0</v>
      </c>
      <c r="T37" s="32">
        <v>68.0</v>
      </c>
      <c r="U37" s="32">
        <v>73.0</v>
      </c>
      <c r="V37" s="31">
        <v>78.0</v>
      </c>
      <c r="W37" s="17">
        <v>83.0</v>
      </c>
      <c r="X37" s="17">
        <v>88.0</v>
      </c>
      <c r="Y37" s="17">
        <v>93.0</v>
      </c>
      <c r="Z37" s="17">
        <v>98.0</v>
      </c>
      <c r="AA37" s="17">
        <v>103.0</v>
      </c>
      <c r="AB37" s="17">
        <v>108.0</v>
      </c>
      <c r="AC37" s="17">
        <f t="shared" si="10"/>
        <v>12</v>
      </c>
      <c r="AE37" s="2">
        <v>7.0</v>
      </c>
      <c r="AF37" s="5">
        <v>56.0</v>
      </c>
      <c r="AG37" s="5">
        <v>61.0</v>
      </c>
      <c r="AH37" s="5">
        <v>66.0</v>
      </c>
      <c r="AI37" s="5">
        <v>71.0</v>
      </c>
      <c r="AJ37" s="5">
        <v>76.0</v>
      </c>
      <c r="AK37" s="5">
        <v>81.0</v>
      </c>
      <c r="AL37" s="5">
        <v>86.0</v>
      </c>
      <c r="AM37" s="5">
        <v>91.0</v>
      </c>
      <c r="AN37" s="5">
        <v>96.0</v>
      </c>
      <c r="AO37" s="17">
        <f t="shared" si="11"/>
        <v>12</v>
      </c>
      <c r="AQ37" s="2">
        <v>7.0</v>
      </c>
      <c r="AR37" s="5">
        <v>35.0</v>
      </c>
      <c r="AS37" s="5">
        <v>45.0</v>
      </c>
      <c r="AT37" s="5">
        <v>55.0</v>
      </c>
      <c r="AU37" s="5">
        <v>65.0</v>
      </c>
      <c r="AV37" s="5">
        <v>75.0</v>
      </c>
      <c r="AW37" s="5">
        <v>85.0</v>
      </c>
      <c r="AX37" s="17">
        <f t="shared" si="12"/>
        <v>17</v>
      </c>
    </row>
    <row r="38" ht="21.75" customHeight="1">
      <c r="A38" s="2">
        <v>8.0</v>
      </c>
      <c r="B38" s="5">
        <v>104.0</v>
      </c>
      <c r="C38" s="5">
        <v>103.0</v>
      </c>
      <c r="D38" s="5">
        <v>102.0</v>
      </c>
      <c r="E38" s="5">
        <v>101.0</v>
      </c>
      <c r="F38" s="5">
        <v>100.0</v>
      </c>
      <c r="G38" s="5">
        <v>99.0</v>
      </c>
      <c r="H38" s="5">
        <v>98.0</v>
      </c>
      <c r="I38" s="15">
        <v>97.0</v>
      </c>
      <c r="J38" s="5">
        <v>96.0</v>
      </c>
      <c r="K38" s="5">
        <v>95.0</v>
      </c>
      <c r="L38" s="5">
        <v>94.0</v>
      </c>
      <c r="M38" s="5">
        <v>93.0</v>
      </c>
      <c r="N38" s="5">
        <v>92.0</v>
      </c>
      <c r="O38" s="5">
        <v>91.0</v>
      </c>
      <c r="P38" s="17">
        <f t="shared" si="9"/>
        <v>7</v>
      </c>
      <c r="R38" s="2">
        <v>8.0</v>
      </c>
      <c r="S38" s="32">
        <v>72.0</v>
      </c>
      <c r="T38" s="32">
        <v>75.0</v>
      </c>
      <c r="U38" s="32">
        <v>78.0</v>
      </c>
      <c r="V38" s="32">
        <v>81.0</v>
      </c>
      <c r="W38" s="26">
        <v>84.0</v>
      </c>
      <c r="X38" s="17">
        <v>87.0</v>
      </c>
      <c r="Y38" s="17">
        <v>90.0</v>
      </c>
      <c r="Z38" s="17">
        <v>93.0</v>
      </c>
      <c r="AA38" s="17">
        <v>96.0</v>
      </c>
      <c r="AB38" s="17">
        <v>99.0</v>
      </c>
      <c r="AC38" s="17">
        <f t="shared" si="10"/>
        <v>11</v>
      </c>
      <c r="AE38" s="2">
        <v>8.0</v>
      </c>
      <c r="AF38" s="5">
        <v>64.0</v>
      </c>
      <c r="AG38" s="5">
        <v>67.0</v>
      </c>
      <c r="AH38" s="5">
        <v>70.0</v>
      </c>
      <c r="AI38" s="5">
        <v>73.0</v>
      </c>
      <c r="AJ38" s="5">
        <v>76.0</v>
      </c>
      <c r="AK38" s="5">
        <v>79.0</v>
      </c>
      <c r="AL38" s="5">
        <v>82.0</v>
      </c>
      <c r="AM38" s="5">
        <v>85.0</v>
      </c>
      <c r="AN38" s="5">
        <v>88.0</v>
      </c>
      <c r="AO38" s="17">
        <f t="shared" si="11"/>
        <v>11</v>
      </c>
      <c r="AQ38" s="2">
        <v>8.0</v>
      </c>
      <c r="AR38" s="5">
        <v>40.0</v>
      </c>
      <c r="AS38" s="5">
        <v>48.0</v>
      </c>
      <c r="AT38" s="5">
        <v>56.0</v>
      </c>
      <c r="AU38" s="5">
        <v>64.0</v>
      </c>
      <c r="AV38" s="5">
        <v>72.0</v>
      </c>
      <c r="AW38" s="5">
        <v>80.0</v>
      </c>
      <c r="AX38" s="17">
        <f t="shared" si="12"/>
        <v>16</v>
      </c>
    </row>
    <row r="39" ht="21.75" customHeight="1">
      <c r="A39" s="2">
        <v>9.0</v>
      </c>
      <c r="B39" s="5">
        <v>117.0</v>
      </c>
      <c r="C39" s="5">
        <v>114.0</v>
      </c>
      <c r="D39" s="5">
        <v>111.0</v>
      </c>
      <c r="E39" s="5">
        <v>108.0</v>
      </c>
      <c r="F39" s="5">
        <v>105.0</v>
      </c>
      <c r="G39" s="5">
        <v>102.0</v>
      </c>
      <c r="H39" s="5">
        <v>99.0</v>
      </c>
      <c r="I39" s="5">
        <v>96.0</v>
      </c>
      <c r="J39" s="5">
        <v>93.0</v>
      </c>
      <c r="K39" s="5">
        <v>90.0</v>
      </c>
      <c r="L39" s="5">
        <v>87.0</v>
      </c>
      <c r="M39" s="5">
        <v>84.0</v>
      </c>
      <c r="N39" s="5">
        <v>81.0</v>
      </c>
      <c r="O39" s="5">
        <v>78.0</v>
      </c>
      <c r="P39" s="17">
        <f t="shared" si="9"/>
        <v>6</v>
      </c>
      <c r="R39" s="2">
        <v>9.0</v>
      </c>
      <c r="S39" s="32">
        <v>81.0</v>
      </c>
      <c r="T39" s="32">
        <v>82.0</v>
      </c>
      <c r="U39" s="32">
        <v>83.0</v>
      </c>
      <c r="V39" s="32">
        <v>84.0</v>
      </c>
      <c r="W39" s="30">
        <v>85.0</v>
      </c>
      <c r="X39" s="17">
        <v>86.0</v>
      </c>
      <c r="Y39" s="17">
        <v>87.0</v>
      </c>
      <c r="Z39" s="17">
        <v>88.0</v>
      </c>
      <c r="AA39" s="17">
        <v>89.0</v>
      </c>
      <c r="AB39" s="17">
        <v>90.0</v>
      </c>
      <c r="AC39" s="17">
        <f t="shared" si="10"/>
        <v>10</v>
      </c>
      <c r="AE39" s="2">
        <v>9.0</v>
      </c>
      <c r="AF39" s="5">
        <v>72.0</v>
      </c>
      <c r="AG39" s="5">
        <v>73.0</v>
      </c>
      <c r="AH39" s="5">
        <v>74.0</v>
      </c>
      <c r="AI39" s="5">
        <v>75.0</v>
      </c>
      <c r="AJ39" s="5">
        <v>76.0</v>
      </c>
      <c r="AK39" s="5">
        <v>77.0</v>
      </c>
      <c r="AL39" s="5">
        <v>78.0</v>
      </c>
      <c r="AM39" s="5">
        <v>79.0</v>
      </c>
      <c r="AN39" s="5">
        <v>80.0</v>
      </c>
      <c r="AO39" s="17">
        <f t="shared" si="11"/>
        <v>10</v>
      </c>
      <c r="AQ39" s="2">
        <v>9.0</v>
      </c>
      <c r="AR39" s="5">
        <v>45.0</v>
      </c>
      <c r="AS39" s="5">
        <v>51.0</v>
      </c>
      <c r="AT39" s="5">
        <v>57.0</v>
      </c>
      <c r="AU39" s="5">
        <v>63.0</v>
      </c>
      <c r="AV39" s="5">
        <v>69.0</v>
      </c>
      <c r="AW39" s="5">
        <v>75.0</v>
      </c>
      <c r="AX39" s="17">
        <f t="shared" si="12"/>
        <v>15</v>
      </c>
    </row>
    <row r="40" ht="21.75" customHeight="1">
      <c r="A40" s="2">
        <v>10.0</v>
      </c>
      <c r="B40" s="23">
        <v>130.0</v>
      </c>
      <c r="C40" s="5">
        <v>125.0</v>
      </c>
      <c r="D40" s="5">
        <v>120.0</v>
      </c>
      <c r="E40" s="5">
        <v>115.0</v>
      </c>
      <c r="F40" s="5">
        <v>110.0</v>
      </c>
      <c r="G40" s="5">
        <v>105.0</v>
      </c>
      <c r="H40" s="5">
        <v>100.0</v>
      </c>
      <c r="I40" s="5">
        <v>95.0</v>
      </c>
      <c r="J40" s="5">
        <v>90.0</v>
      </c>
      <c r="K40" s="5">
        <v>85.0</v>
      </c>
      <c r="L40" s="5">
        <v>80.0</v>
      </c>
      <c r="M40" s="5">
        <v>75.0</v>
      </c>
      <c r="N40" s="5">
        <v>70.0</v>
      </c>
      <c r="O40" s="28">
        <v>65.0</v>
      </c>
      <c r="P40" s="17">
        <f t="shared" si="9"/>
        <v>5</v>
      </c>
      <c r="R40" s="2">
        <v>10.0</v>
      </c>
      <c r="S40" s="32">
        <v>90.0</v>
      </c>
      <c r="T40" s="32">
        <v>89.0</v>
      </c>
      <c r="U40" s="32">
        <v>88.0</v>
      </c>
      <c r="V40" s="32">
        <v>87.0</v>
      </c>
      <c r="W40" s="32">
        <v>86.0</v>
      </c>
      <c r="X40" s="30">
        <v>85.0</v>
      </c>
      <c r="Y40" s="17">
        <v>84.0</v>
      </c>
      <c r="Z40" s="17">
        <v>83.0</v>
      </c>
      <c r="AA40" s="17">
        <v>82.0</v>
      </c>
      <c r="AB40" s="17">
        <v>81.0</v>
      </c>
      <c r="AC40" s="17">
        <f t="shared" si="10"/>
        <v>9</v>
      </c>
      <c r="AE40" s="2">
        <v>10.0</v>
      </c>
      <c r="AF40" s="5">
        <v>80.0</v>
      </c>
      <c r="AG40" s="5">
        <v>79.0</v>
      </c>
      <c r="AH40" s="5">
        <v>78.0</v>
      </c>
      <c r="AI40" s="5">
        <v>77.0</v>
      </c>
      <c r="AJ40" s="5">
        <v>76.0</v>
      </c>
      <c r="AK40" s="5">
        <v>75.0</v>
      </c>
      <c r="AL40" s="5">
        <v>74.0</v>
      </c>
      <c r="AM40" s="5">
        <v>73.0</v>
      </c>
      <c r="AN40" s="5">
        <v>72.0</v>
      </c>
      <c r="AO40" s="17">
        <f t="shared" si="11"/>
        <v>9</v>
      </c>
      <c r="AQ40" s="2">
        <v>10.0</v>
      </c>
      <c r="AR40" s="5">
        <v>50.0</v>
      </c>
      <c r="AS40" s="5">
        <v>54.0</v>
      </c>
      <c r="AT40" s="5">
        <v>58.0</v>
      </c>
      <c r="AU40" s="5">
        <v>62.0</v>
      </c>
      <c r="AV40" s="5">
        <v>66.0</v>
      </c>
      <c r="AW40" s="5">
        <v>70.0</v>
      </c>
      <c r="AX40" s="17">
        <f t="shared" si="12"/>
        <v>14</v>
      </c>
    </row>
    <row r="41" ht="21.75" customHeight="1">
      <c r="A41" s="2">
        <v>11.0</v>
      </c>
      <c r="B41" s="23">
        <v>143.0</v>
      </c>
      <c r="C41" s="23">
        <v>136.0</v>
      </c>
      <c r="D41" s="5">
        <v>129.0</v>
      </c>
      <c r="E41" s="5">
        <v>122.0</v>
      </c>
      <c r="F41" s="5">
        <v>115.0</v>
      </c>
      <c r="G41" s="5">
        <v>108.0</v>
      </c>
      <c r="H41" s="5">
        <v>101.0</v>
      </c>
      <c r="I41" s="5">
        <v>94.0</v>
      </c>
      <c r="J41" s="5">
        <v>87.0</v>
      </c>
      <c r="K41" s="5">
        <v>80.0</v>
      </c>
      <c r="L41" s="5">
        <v>73.0</v>
      </c>
      <c r="M41" s="5">
        <v>66.0</v>
      </c>
      <c r="N41" s="28">
        <v>59.0</v>
      </c>
      <c r="O41" s="28">
        <v>52.0</v>
      </c>
      <c r="P41" s="17">
        <f t="shared" si="9"/>
        <v>4</v>
      </c>
      <c r="R41" s="2">
        <v>11.0</v>
      </c>
      <c r="S41" s="32">
        <v>99.0</v>
      </c>
      <c r="T41" s="32">
        <v>96.0</v>
      </c>
      <c r="U41" s="32">
        <v>93.0</v>
      </c>
      <c r="V41" s="32">
        <v>90.0</v>
      </c>
      <c r="W41" s="32">
        <v>87.0</v>
      </c>
      <c r="X41" s="33">
        <v>84.0</v>
      </c>
      <c r="Y41" s="17">
        <v>81.0</v>
      </c>
      <c r="Z41" s="17">
        <v>78.0</v>
      </c>
      <c r="AA41" s="17">
        <v>75.0</v>
      </c>
      <c r="AB41" s="17">
        <v>72.0</v>
      </c>
      <c r="AC41" s="17">
        <f t="shared" si="10"/>
        <v>8</v>
      </c>
      <c r="AE41" s="2">
        <v>11.0</v>
      </c>
      <c r="AF41" s="5">
        <v>88.0</v>
      </c>
      <c r="AG41" s="5">
        <v>85.0</v>
      </c>
      <c r="AH41" s="5">
        <v>82.0</v>
      </c>
      <c r="AI41" s="5">
        <v>79.0</v>
      </c>
      <c r="AJ41" s="5">
        <v>76.0</v>
      </c>
      <c r="AK41" s="5">
        <v>73.0</v>
      </c>
      <c r="AL41" s="5">
        <v>70.0</v>
      </c>
      <c r="AM41" s="5">
        <v>67.0</v>
      </c>
      <c r="AN41" s="5">
        <v>64.0</v>
      </c>
      <c r="AO41" s="17">
        <f t="shared" si="11"/>
        <v>8</v>
      </c>
      <c r="AQ41" s="2">
        <v>11.0</v>
      </c>
      <c r="AR41" s="5">
        <v>55.0</v>
      </c>
      <c r="AS41" s="5">
        <v>57.0</v>
      </c>
      <c r="AT41" s="5">
        <v>59.0</v>
      </c>
      <c r="AU41" s="5">
        <v>61.0</v>
      </c>
      <c r="AV41" s="5">
        <v>63.0</v>
      </c>
      <c r="AW41" s="5">
        <v>65.0</v>
      </c>
      <c r="AX41" s="17">
        <f t="shared" si="12"/>
        <v>13</v>
      </c>
    </row>
    <row r="42" ht="21.75" customHeight="1">
      <c r="A42" s="2">
        <v>12.0</v>
      </c>
      <c r="B42" s="23">
        <v>156.0</v>
      </c>
      <c r="C42" s="23">
        <v>147.0</v>
      </c>
      <c r="D42" s="23">
        <v>138.0</v>
      </c>
      <c r="E42" s="5">
        <v>129.0</v>
      </c>
      <c r="F42" s="5">
        <v>120.0</v>
      </c>
      <c r="G42" s="5">
        <v>111.0</v>
      </c>
      <c r="H42" s="5">
        <v>102.0</v>
      </c>
      <c r="I42" s="5">
        <v>93.0</v>
      </c>
      <c r="J42" s="5">
        <v>84.0</v>
      </c>
      <c r="K42" s="5">
        <v>75.0</v>
      </c>
      <c r="L42" s="5">
        <v>66.0</v>
      </c>
      <c r="M42" s="28">
        <v>57.0</v>
      </c>
      <c r="N42" s="28">
        <v>48.0</v>
      </c>
      <c r="O42" s="28">
        <v>39.0</v>
      </c>
      <c r="P42" s="17">
        <f t="shared" si="9"/>
        <v>3</v>
      </c>
      <c r="R42" s="2">
        <v>12.0</v>
      </c>
      <c r="S42" s="32">
        <v>108.0</v>
      </c>
      <c r="T42" s="32">
        <v>103.0</v>
      </c>
      <c r="U42" s="32">
        <v>98.0</v>
      </c>
      <c r="V42" s="32">
        <v>93.0</v>
      </c>
      <c r="W42" s="32">
        <v>88.0</v>
      </c>
      <c r="X42" s="32">
        <v>83.0</v>
      </c>
      <c r="Y42" s="30">
        <v>78.0</v>
      </c>
      <c r="Z42" s="17">
        <v>73.0</v>
      </c>
      <c r="AA42" s="17">
        <v>68.0</v>
      </c>
      <c r="AB42" s="17">
        <v>63.0</v>
      </c>
      <c r="AC42" s="17">
        <f t="shared" si="10"/>
        <v>7</v>
      </c>
      <c r="AE42" s="2">
        <v>12.0</v>
      </c>
      <c r="AF42" s="5">
        <v>96.0</v>
      </c>
      <c r="AG42" s="5">
        <v>91.0</v>
      </c>
      <c r="AH42" s="5">
        <v>86.0</v>
      </c>
      <c r="AI42" s="5">
        <v>81.0</v>
      </c>
      <c r="AJ42" s="5">
        <v>76.0</v>
      </c>
      <c r="AK42" s="5">
        <v>71.0</v>
      </c>
      <c r="AL42" s="5">
        <v>66.0</v>
      </c>
      <c r="AM42" s="5">
        <v>61.0</v>
      </c>
      <c r="AN42" s="5">
        <v>56.0</v>
      </c>
      <c r="AO42" s="17">
        <f t="shared" si="11"/>
        <v>7</v>
      </c>
      <c r="AQ42" s="2">
        <v>12.0</v>
      </c>
      <c r="AR42" s="5">
        <v>60.0</v>
      </c>
      <c r="AS42" s="5">
        <v>60.0</v>
      </c>
      <c r="AT42" s="5">
        <v>60.0</v>
      </c>
      <c r="AU42" s="5">
        <v>60.0</v>
      </c>
      <c r="AV42" s="5">
        <v>60.0</v>
      </c>
      <c r="AW42" s="5">
        <v>60.0</v>
      </c>
      <c r="AX42" s="17">
        <f t="shared" si="12"/>
        <v>12</v>
      </c>
    </row>
    <row r="43" ht="21.75" customHeight="1">
      <c r="A43" s="2">
        <v>13.0</v>
      </c>
      <c r="B43" s="23">
        <v>169.0</v>
      </c>
      <c r="C43" s="23">
        <v>158.0</v>
      </c>
      <c r="D43" s="23">
        <v>147.0</v>
      </c>
      <c r="E43" s="23">
        <v>136.0</v>
      </c>
      <c r="F43" s="5">
        <v>125.0</v>
      </c>
      <c r="G43" s="5">
        <v>114.0</v>
      </c>
      <c r="H43" s="5">
        <v>103.0</v>
      </c>
      <c r="I43" s="5">
        <v>92.0</v>
      </c>
      <c r="J43" s="5">
        <v>81.0</v>
      </c>
      <c r="K43" s="5">
        <v>70.0</v>
      </c>
      <c r="L43" s="28">
        <v>59.0</v>
      </c>
      <c r="M43" s="28">
        <v>48.0</v>
      </c>
      <c r="N43" s="28">
        <v>37.0</v>
      </c>
      <c r="O43" s="28">
        <v>26.0</v>
      </c>
      <c r="P43" s="17">
        <f t="shared" si="9"/>
        <v>2</v>
      </c>
      <c r="R43" s="2">
        <v>13.0</v>
      </c>
      <c r="S43" s="32">
        <v>117.0</v>
      </c>
      <c r="T43" s="32">
        <v>110.0</v>
      </c>
      <c r="U43" s="32">
        <v>103.0</v>
      </c>
      <c r="V43" s="32">
        <v>96.0</v>
      </c>
      <c r="W43" s="32">
        <v>89.0</v>
      </c>
      <c r="X43" s="32">
        <v>82.0</v>
      </c>
      <c r="Y43" s="32">
        <v>75.0</v>
      </c>
      <c r="Z43" s="30">
        <v>68.0</v>
      </c>
      <c r="AA43" s="17">
        <v>61.0</v>
      </c>
      <c r="AB43" s="17">
        <v>54.0</v>
      </c>
      <c r="AC43" s="17">
        <f t="shared" si="10"/>
        <v>6</v>
      </c>
      <c r="AE43" s="2">
        <v>13.0</v>
      </c>
      <c r="AF43" s="5">
        <v>104.0</v>
      </c>
      <c r="AG43" s="5">
        <v>97.0</v>
      </c>
      <c r="AH43" s="5">
        <v>90.0</v>
      </c>
      <c r="AI43" s="5">
        <v>83.0</v>
      </c>
      <c r="AJ43" s="5">
        <v>76.0</v>
      </c>
      <c r="AK43" s="5">
        <v>69.0</v>
      </c>
      <c r="AL43" s="5">
        <v>62.0</v>
      </c>
      <c r="AM43" s="5">
        <v>55.0</v>
      </c>
      <c r="AN43" s="5">
        <v>48.0</v>
      </c>
      <c r="AO43" s="17">
        <f t="shared" si="11"/>
        <v>6</v>
      </c>
      <c r="AQ43" s="2">
        <v>13.0</v>
      </c>
      <c r="AR43" s="5">
        <v>65.0</v>
      </c>
      <c r="AS43" s="5">
        <v>63.0</v>
      </c>
      <c r="AT43" s="5">
        <v>61.0</v>
      </c>
      <c r="AU43" s="5">
        <v>59.0</v>
      </c>
      <c r="AV43" s="5">
        <v>57.0</v>
      </c>
      <c r="AW43" s="5">
        <v>55.0</v>
      </c>
      <c r="AX43" s="17">
        <f t="shared" si="12"/>
        <v>11</v>
      </c>
    </row>
    <row r="44" ht="21.75" customHeight="1">
      <c r="A44" s="2">
        <v>14.0</v>
      </c>
      <c r="B44" s="23">
        <v>182.0</v>
      </c>
      <c r="C44" s="23">
        <v>169.0</v>
      </c>
      <c r="D44" s="23">
        <v>156.0</v>
      </c>
      <c r="E44" s="23">
        <v>143.0</v>
      </c>
      <c r="F44" s="5">
        <v>130.0</v>
      </c>
      <c r="G44" s="5">
        <v>117.0</v>
      </c>
      <c r="H44" s="5">
        <v>104.0</v>
      </c>
      <c r="I44" s="5">
        <v>91.0</v>
      </c>
      <c r="J44" s="5">
        <v>78.0</v>
      </c>
      <c r="K44" s="5">
        <v>65.0</v>
      </c>
      <c r="L44" s="28">
        <v>52.0</v>
      </c>
      <c r="M44" s="28">
        <v>39.0</v>
      </c>
      <c r="N44" s="28">
        <v>26.0</v>
      </c>
      <c r="O44" s="28">
        <v>13.0</v>
      </c>
      <c r="P44" s="17">
        <f t="shared" si="9"/>
        <v>1</v>
      </c>
      <c r="R44" s="2">
        <v>14.0</v>
      </c>
      <c r="S44" s="32">
        <v>126.0</v>
      </c>
      <c r="T44" s="32">
        <v>117.0</v>
      </c>
      <c r="U44" s="32">
        <v>108.0</v>
      </c>
      <c r="V44" s="32">
        <v>99.0</v>
      </c>
      <c r="W44" s="32">
        <v>90.0</v>
      </c>
      <c r="X44" s="32">
        <v>81.0</v>
      </c>
      <c r="Y44" s="32">
        <v>72.0</v>
      </c>
      <c r="Z44" s="30">
        <v>63.0</v>
      </c>
      <c r="AA44" s="30">
        <v>54.0</v>
      </c>
      <c r="AB44" s="30">
        <v>45.0</v>
      </c>
      <c r="AC44" s="17">
        <f t="shared" si="10"/>
        <v>5</v>
      </c>
      <c r="AE44" s="2">
        <v>14.0</v>
      </c>
      <c r="AF44" s="5">
        <v>112.0</v>
      </c>
      <c r="AG44" s="5">
        <v>103.0</v>
      </c>
      <c r="AH44" s="5">
        <v>94.0</v>
      </c>
      <c r="AI44" s="5">
        <v>85.0</v>
      </c>
      <c r="AJ44" s="5">
        <v>76.0</v>
      </c>
      <c r="AK44" s="5">
        <v>67.0</v>
      </c>
      <c r="AL44" s="5">
        <v>58.0</v>
      </c>
      <c r="AM44" s="5">
        <v>49.0</v>
      </c>
      <c r="AN44" s="5">
        <v>40.0</v>
      </c>
      <c r="AO44" s="17">
        <f t="shared" si="11"/>
        <v>5</v>
      </c>
      <c r="AQ44" s="2">
        <v>14.0</v>
      </c>
      <c r="AR44" s="5">
        <v>70.0</v>
      </c>
      <c r="AS44" s="5">
        <v>66.0</v>
      </c>
      <c r="AT44" s="5">
        <v>62.0</v>
      </c>
      <c r="AU44" s="5">
        <v>58.0</v>
      </c>
      <c r="AV44" s="5">
        <v>54.0</v>
      </c>
      <c r="AW44" s="5">
        <v>50.0</v>
      </c>
      <c r="AX44" s="17">
        <f t="shared" si="12"/>
        <v>10</v>
      </c>
    </row>
    <row r="45" ht="21.75" customHeight="1">
      <c r="A45" s="2">
        <v>15.0</v>
      </c>
      <c r="B45" s="23">
        <v>195.0</v>
      </c>
      <c r="C45" s="23">
        <v>180.0</v>
      </c>
      <c r="D45" s="23">
        <v>165.0</v>
      </c>
      <c r="E45" s="23">
        <v>150.0</v>
      </c>
      <c r="F45" s="23">
        <v>135.0</v>
      </c>
      <c r="G45" s="5">
        <v>120.0</v>
      </c>
      <c r="H45" s="5">
        <v>105.0</v>
      </c>
      <c r="I45" s="5">
        <v>90.0</v>
      </c>
      <c r="J45" s="5">
        <v>75.0</v>
      </c>
      <c r="K45" s="28">
        <v>60.0</v>
      </c>
      <c r="L45" s="28">
        <v>45.0</v>
      </c>
      <c r="M45" s="28">
        <v>30.0</v>
      </c>
      <c r="N45" s="28">
        <v>15.0</v>
      </c>
      <c r="O45" s="28">
        <v>0.0</v>
      </c>
      <c r="P45" s="17">
        <f t="shared" si="9"/>
        <v>0</v>
      </c>
      <c r="R45" s="2">
        <v>15.0</v>
      </c>
      <c r="S45" s="23">
        <v>135.0</v>
      </c>
      <c r="T45" s="32">
        <v>124.0</v>
      </c>
      <c r="U45" s="32">
        <v>113.0</v>
      </c>
      <c r="V45" s="32">
        <v>102.0</v>
      </c>
      <c r="W45" s="32">
        <v>91.0</v>
      </c>
      <c r="X45" s="32">
        <v>80.0</v>
      </c>
      <c r="Y45" s="32">
        <v>69.0</v>
      </c>
      <c r="Z45" s="30">
        <v>58.0</v>
      </c>
      <c r="AA45" s="30">
        <v>47.0</v>
      </c>
      <c r="AB45" s="28">
        <v>36.0</v>
      </c>
      <c r="AC45" s="17">
        <f t="shared" si="10"/>
        <v>4</v>
      </c>
      <c r="AE45" s="2">
        <v>15.0</v>
      </c>
      <c r="AF45" s="5">
        <v>120.0</v>
      </c>
      <c r="AG45" s="5">
        <v>109.0</v>
      </c>
      <c r="AH45" s="5">
        <v>98.0</v>
      </c>
      <c r="AI45" s="5">
        <v>87.0</v>
      </c>
      <c r="AJ45" s="5">
        <v>76.0</v>
      </c>
      <c r="AK45" s="5">
        <v>65.0</v>
      </c>
      <c r="AL45" s="5">
        <v>54.0</v>
      </c>
      <c r="AM45" s="15">
        <v>43.0</v>
      </c>
      <c r="AN45" s="5">
        <v>32.0</v>
      </c>
      <c r="AO45" s="17">
        <f t="shared" si="11"/>
        <v>4</v>
      </c>
      <c r="AQ45" s="2">
        <v>15.0</v>
      </c>
      <c r="AR45" s="5">
        <v>75.0</v>
      </c>
      <c r="AS45" s="5">
        <v>69.0</v>
      </c>
      <c r="AT45" s="5">
        <v>63.0</v>
      </c>
      <c r="AU45" s="5">
        <v>57.0</v>
      </c>
      <c r="AV45" s="5">
        <v>51.0</v>
      </c>
      <c r="AW45" s="5">
        <v>45.0</v>
      </c>
      <c r="AX45" s="17">
        <f t="shared" si="12"/>
        <v>9</v>
      </c>
    </row>
    <row r="46" ht="21.75" customHeight="1">
      <c r="B46" s="17">
        <f t="shared" ref="B46:O46" si="13">13-B29</f>
        <v>13</v>
      </c>
      <c r="C46" s="17">
        <f t="shared" si="13"/>
        <v>12</v>
      </c>
      <c r="D46" s="17">
        <f t="shared" si="13"/>
        <v>11</v>
      </c>
      <c r="E46" s="17">
        <f t="shared" si="13"/>
        <v>10</v>
      </c>
      <c r="F46" s="17">
        <f t="shared" si="13"/>
        <v>9</v>
      </c>
      <c r="G46" s="17">
        <f t="shared" si="13"/>
        <v>8</v>
      </c>
      <c r="H46" s="17">
        <f t="shared" si="13"/>
        <v>7</v>
      </c>
      <c r="I46" s="17">
        <f t="shared" si="13"/>
        <v>6</v>
      </c>
      <c r="J46" s="17">
        <f t="shared" si="13"/>
        <v>5</v>
      </c>
      <c r="K46" s="17">
        <f t="shared" si="13"/>
        <v>4</v>
      </c>
      <c r="L46" s="17">
        <f t="shared" si="13"/>
        <v>3</v>
      </c>
      <c r="M46" s="17">
        <f t="shared" si="13"/>
        <v>2</v>
      </c>
      <c r="N46" s="17">
        <f t="shared" si="13"/>
        <v>1</v>
      </c>
      <c r="O46" s="17">
        <f t="shared" si="13"/>
        <v>0</v>
      </c>
      <c r="P46" s="17"/>
      <c r="R46" s="2">
        <v>16.0</v>
      </c>
      <c r="S46" s="23">
        <v>144.0</v>
      </c>
      <c r="T46" s="23">
        <v>131.0</v>
      </c>
      <c r="U46" s="32">
        <v>118.0</v>
      </c>
      <c r="V46" s="32">
        <v>105.0</v>
      </c>
      <c r="W46" s="32">
        <v>92.0</v>
      </c>
      <c r="X46" s="32">
        <v>79.0</v>
      </c>
      <c r="Y46" s="32">
        <v>66.0</v>
      </c>
      <c r="Z46" s="32">
        <v>53.0</v>
      </c>
      <c r="AA46" s="28">
        <v>40.0</v>
      </c>
      <c r="AB46" s="28">
        <v>27.0</v>
      </c>
      <c r="AC46" s="17">
        <f t="shared" si="10"/>
        <v>3</v>
      </c>
      <c r="AE46" s="2">
        <v>16.0</v>
      </c>
      <c r="AF46" s="23">
        <v>128.0</v>
      </c>
      <c r="AG46" s="5">
        <v>115.0</v>
      </c>
      <c r="AH46" s="5">
        <v>102.0</v>
      </c>
      <c r="AI46" s="5">
        <v>89.0</v>
      </c>
      <c r="AJ46" s="5">
        <v>76.0</v>
      </c>
      <c r="AK46" s="5">
        <v>63.0</v>
      </c>
      <c r="AL46" s="5">
        <v>50.0</v>
      </c>
      <c r="AM46" s="5">
        <v>37.0</v>
      </c>
      <c r="AN46" s="28">
        <v>24.0</v>
      </c>
      <c r="AO46" s="17">
        <f t="shared" si="11"/>
        <v>3</v>
      </c>
      <c r="AQ46" s="2">
        <v>16.0</v>
      </c>
      <c r="AR46" s="5">
        <v>80.0</v>
      </c>
      <c r="AS46" s="5">
        <v>72.0</v>
      </c>
      <c r="AT46" s="5">
        <v>64.0</v>
      </c>
      <c r="AU46" s="5">
        <v>56.0</v>
      </c>
      <c r="AV46" s="5">
        <v>48.0</v>
      </c>
      <c r="AW46" s="5">
        <v>40.0</v>
      </c>
      <c r="AX46" s="17">
        <f t="shared" si="12"/>
        <v>8</v>
      </c>
    </row>
    <row r="47" ht="21.75" customHeight="1">
      <c r="P47" s="17"/>
      <c r="R47" s="2">
        <v>17.0</v>
      </c>
      <c r="S47" s="23">
        <v>153.0</v>
      </c>
      <c r="T47" s="23">
        <v>138.0</v>
      </c>
      <c r="U47" s="32">
        <v>123.0</v>
      </c>
      <c r="V47" s="32">
        <v>108.0</v>
      </c>
      <c r="W47" s="32">
        <v>93.0</v>
      </c>
      <c r="X47" s="32">
        <v>78.0</v>
      </c>
      <c r="Y47" s="32">
        <v>63.0</v>
      </c>
      <c r="Z47" s="32">
        <v>48.0</v>
      </c>
      <c r="AA47" s="28">
        <v>33.0</v>
      </c>
      <c r="AB47" s="28">
        <v>18.0</v>
      </c>
      <c r="AC47" s="17">
        <f t="shared" si="10"/>
        <v>2</v>
      </c>
      <c r="AE47" s="2">
        <v>17.0</v>
      </c>
      <c r="AF47" s="23">
        <v>136.0</v>
      </c>
      <c r="AG47" s="5">
        <v>121.0</v>
      </c>
      <c r="AH47" s="5">
        <v>106.0</v>
      </c>
      <c r="AI47" s="5">
        <v>91.0</v>
      </c>
      <c r="AJ47" s="5">
        <v>76.0</v>
      </c>
      <c r="AK47" s="5">
        <v>61.0</v>
      </c>
      <c r="AL47" s="5">
        <v>46.0</v>
      </c>
      <c r="AM47" s="5">
        <v>31.0</v>
      </c>
      <c r="AN47" s="28">
        <v>16.0</v>
      </c>
      <c r="AO47" s="17">
        <f t="shared" si="11"/>
        <v>2</v>
      </c>
      <c r="AQ47" s="2">
        <v>17.0</v>
      </c>
      <c r="AR47" s="5">
        <v>85.0</v>
      </c>
      <c r="AS47" s="5">
        <v>75.0</v>
      </c>
      <c r="AT47" s="5">
        <v>65.0</v>
      </c>
      <c r="AU47" s="5">
        <v>55.0</v>
      </c>
      <c r="AV47" s="5">
        <v>45.0</v>
      </c>
      <c r="AW47" s="5">
        <v>35.0</v>
      </c>
      <c r="AX47" s="17">
        <f t="shared" si="12"/>
        <v>7</v>
      </c>
    </row>
    <row r="48" ht="21.75" customHeight="1">
      <c r="P48" s="17"/>
      <c r="R48" s="2">
        <v>18.0</v>
      </c>
      <c r="S48" s="23">
        <v>162.0</v>
      </c>
      <c r="T48" s="23">
        <v>145.0</v>
      </c>
      <c r="U48" s="23">
        <v>128.0</v>
      </c>
      <c r="V48" s="32">
        <v>111.0</v>
      </c>
      <c r="W48" s="32">
        <v>94.0</v>
      </c>
      <c r="X48" s="32">
        <v>77.0</v>
      </c>
      <c r="Y48" s="32">
        <v>60.0</v>
      </c>
      <c r="Z48" s="28">
        <v>43.0</v>
      </c>
      <c r="AA48" s="28">
        <v>26.0</v>
      </c>
      <c r="AB48" s="28">
        <v>9.0</v>
      </c>
      <c r="AC48" s="17">
        <f t="shared" si="10"/>
        <v>1</v>
      </c>
      <c r="AE48" s="2">
        <v>18.0</v>
      </c>
      <c r="AF48" s="23">
        <v>144.0</v>
      </c>
      <c r="AG48" s="23">
        <v>127.0</v>
      </c>
      <c r="AH48" s="5">
        <v>110.0</v>
      </c>
      <c r="AI48" s="5">
        <v>93.0</v>
      </c>
      <c r="AJ48" s="5">
        <v>76.0</v>
      </c>
      <c r="AK48" s="5">
        <v>59.0</v>
      </c>
      <c r="AL48" s="5">
        <v>42.0</v>
      </c>
      <c r="AM48" s="28">
        <v>25.0</v>
      </c>
      <c r="AN48" s="28">
        <v>8.0</v>
      </c>
      <c r="AO48" s="17">
        <f t="shared" si="11"/>
        <v>1</v>
      </c>
      <c r="AQ48" s="2">
        <v>18.0</v>
      </c>
      <c r="AR48" s="5">
        <v>90.0</v>
      </c>
      <c r="AS48" s="5">
        <v>78.0</v>
      </c>
      <c r="AT48" s="5">
        <v>66.0</v>
      </c>
      <c r="AU48" s="5">
        <v>54.0</v>
      </c>
      <c r="AV48" s="5">
        <v>42.0</v>
      </c>
      <c r="AW48" s="5">
        <v>30.0</v>
      </c>
      <c r="AX48" s="17">
        <f t="shared" si="12"/>
        <v>6</v>
      </c>
    </row>
    <row r="49" ht="21.75" customHeight="1">
      <c r="P49" s="17"/>
      <c r="R49" s="2">
        <v>19.0</v>
      </c>
      <c r="S49" s="23">
        <v>171.0</v>
      </c>
      <c r="T49" s="23">
        <v>152.0</v>
      </c>
      <c r="U49" s="23">
        <v>133.0</v>
      </c>
      <c r="V49" s="32">
        <v>114.0</v>
      </c>
      <c r="W49" s="32">
        <v>95.0</v>
      </c>
      <c r="X49" s="32">
        <v>76.0</v>
      </c>
      <c r="Y49" s="32">
        <v>57.0</v>
      </c>
      <c r="Z49" s="28">
        <v>38.0</v>
      </c>
      <c r="AA49" s="28">
        <v>19.0</v>
      </c>
      <c r="AB49" s="28">
        <v>0.0</v>
      </c>
      <c r="AC49" s="17">
        <f t="shared" si="10"/>
        <v>0</v>
      </c>
      <c r="AE49" s="2">
        <v>19.0</v>
      </c>
      <c r="AF49" s="23">
        <v>152.0</v>
      </c>
      <c r="AG49" s="23">
        <v>133.0</v>
      </c>
      <c r="AH49" s="5">
        <v>114.0</v>
      </c>
      <c r="AI49" s="5">
        <v>95.0</v>
      </c>
      <c r="AJ49" s="5">
        <v>76.0</v>
      </c>
      <c r="AK49" s="5">
        <v>57.0</v>
      </c>
      <c r="AL49" s="5">
        <v>38.0</v>
      </c>
      <c r="AM49" s="28">
        <v>19.0</v>
      </c>
      <c r="AN49" s="28">
        <v>0.0</v>
      </c>
      <c r="AO49" s="17">
        <f t="shared" si="11"/>
        <v>0</v>
      </c>
      <c r="AQ49" s="2">
        <v>19.0</v>
      </c>
      <c r="AR49" s="5">
        <v>95.0</v>
      </c>
      <c r="AS49" s="5">
        <v>81.0</v>
      </c>
      <c r="AT49" s="5">
        <v>67.0</v>
      </c>
      <c r="AU49" s="5">
        <v>53.0</v>
      </c>
      <c r="AV49" s="5">
        <v>39.0</v>
      </c>
      <c r="AW49" s="5">
        <v>25.0</v>
      </c>
      <c r="AX49" s="17">
        <f t="shared" si="12"/>
        <v>5</v>
      </c>
    </row>
    <row r="50" ht="21.75" customHeight="1">
      <c r="P50" s="17"/>
      <c r="S50" s="17">
        <f t="shared" ref="S50:AB50" si="14">9-S29</f>
        <v>9</v>
      </c>
      <c r="T50" s="17">
        <f t="shared" si="14"/>
        <v>8</v>
      </c>
      <c r="U50" s="17">
        <f t="shared" si="14"/>
        <v>7</v>
      </c>
      <c r="V50" s="17">
        <f t="shared" si="14"/>
        <v>6</v>
      </c>
      <c r="W50" s="17">
        <f t="shared" si="14"/>
        <v>5</v>
      </c>
      <c r="X50" s="17">
        <f t="shared" si="14"/>
        <v>4</v>
      </c>
      <c r="Y50" s="17">
        <f t="shared" si="14"/>
        <v>3</v>
      </c>
      <c r="Z50" s="17">
        <f t="shared" si="14"/>
        <v>2</v>
      </c>
      <c r="AA50" s="17">
        <f t="shared" si="14"/>
        <v>1</v>
      </c>
      <c r="AB50" s="17">
        <f t="shared" si="14"/>
        <v>0</v>
      </c>
      <c r="AC50" s="17"/>
      <c r="AF50" s="17">
        <f t="shared" ref="AF50:AN50" si="15">8-AF29</f>
        <v>8</v>
      </c>
      <c r="AG50" s="17">
        <f t="shared" si="15"/>
        <v>7</v>
      </c>
      <c r="AH50" s="17">
        <f t="shared" si="15"/>
        <v>6</v>
      </c>
      <c r="AI50" s="17">
        <f t="shared" si="15"/>
        <v>5</v>
      </c>
      <c r="AJ50" s="17">
        <f t="shared" si="15"/>
        <v>4</v>
      </c>
      <c r="AK50" s="17">
        <f t="shared" si="15"/>
        <v>3</v>
      </c>
      <c r="AL50" s="17">
        <f t="shared" si="15"/>
        <v>2</v>
      </c>
      <c r="AM50" s="17">
        <f t="shared" si="15"/>
        <v>1</v>
      </c>
      <c r="AN50" s="17">
        <f t="shared" si="15"/>
        <v>0</v>
      </c>
      <c r="AO50" s="17"/>
      <c r="AQ50" s="2">
        <v>20.0</v>
      </c>
      <c r="AR50" s="5">
        <v>100.0</v>
      </c>
      <c r="AS50" s="5">
        <v>84.0</v>
      </c>
      <c r="AT50" s="5">
        <v>68.0</v>
      </c>
      <c r="AU50" s="5">
        <v>52.0</v>
      </c>
      <c r="AV50" s="5">
        <v>36.0</v>
      </c>
      <c r="AW50" s="5">
        <v>20.0</v>
      </c>
      <c r="AX50" s="17">
        <f t="shared" si="12"/>
        <v>4</v>
      </c>
    </row>
    <row r="51" ht="21.75" customHeight="1">
      <c r="P51" s="17"/>
      <c r="AC51" s="17"/>
      <c r="AO51" s="17"/>
      <c r="AQ51" s="2">
        <v>21.0</v>
      </c>
      <c r="AR51" s="5">
        <v>105.0</v>
      </c>
      <c r="AS51" s="5">
        <v>87.0</v>
      </c>
      <c r="AT51" s="5">
        <v>69.0</v>
      </c>
      <c r="AU51" s="5">
        <v>51.0</v>
      </c>
      <c r="AV51" s="5">
        <v>33.0</v>
      </c>
      <c r="AW51" s="15">
        <v>15.0</v>
      </c>
      <c r="AX51" s="17">
        <f t="shared" si="12"/>
        <v>3</v>
      </c>
    </row>
    <row r="52" ht="21.75" customHeight="1">
      <c r="P52" s="17"/>
      <c r="AC52" s="17"/>
      <c r="AO52" s="17"/>
      <c r="AQ52" s="2">
        <v>22.0</v>
      </c>
      <c r="AR52" s="5">
        <v>110.0</v>
      </c>
      <c r="AS52" s="5">
        <v>90.0</v>
      </c>
      <c r="AT52" s="5">
        <v>70.0</v>
      </c>
      <c r="AU52" s="5">
        <v>50.0</v>
      </c>
      <c r="AV52" s="5">
        <v>30.0</v>
      </c>
      <c r="AW52" s="5">
        <v>10.0</v>
      </c>
      <c r="AX52" s="17">
        <f t="shared" si="12"/>
        <v>2</v>
      </c>
    </row>
    <row r="53" ht="21.75" customHeight="1">
      <c r="P53" s="17"/>
      <c r="AC53" s="17"/>
      <c r="AO53" s="17"/>
      <c r="AQ53" s="2">
        <v>23.0</v>
      </c>
      <c r="AR53" s="23">
        <v>115.0</v>
      </c>
      <c r="AS53" s="5">
        <v>93.0</v>
      </c>
      <c r="AT53" s="5">
        <v>71.0</v>
      </c>
      <c r="AU53" s="5">
        <v>49.0</v>
      </c>
      <c r="AV53" s="5">
        <v>27.0</v>
      </c>
      <c r="AW53" s="28">
        <v>5.0</v>
      </c>
      <c r="AX53" s="17">
        <f t="shared" si="12"/>
        <v>1</v>
      </c>
    </row>
    <row r="54" ht="21.75" customHeight="1">
      <c r="P54" s="17"/>
      <c r="AC54" s="17"/>
      <c r="AO54" s="17"/>
      <c r="AQ54" s="2">
        <v>24.0</v>
      </c>
      <c r="AR54" s="23">
        <v>120.0</v>
      </c>
      <c r="AS54" s="5">
        <v>96.0</v>
      </c>
      <c r="AT54" s="5">
        <v>72.0</v>
      </c>
      <c r="AU54" s="5">
        <v>48.0</v>
      </c>
      <c r="AV54" s="5">
        <v>24.0</v>
      </c>
      <c r="AW54" s="28">
        <v>0.0</v>
      </c>
      <c r="AX54" s="17">
        <f t="shared" si="12"/>
        <v>0</v>
      </c>
    </row>
    <row r="55" ht="21.75" customHeight="1">
      <c r="A55" s="17"/>
      <c r="P55" s="17"/>
      <c r="AC55" s="17"/>
      <c r="AO55" s="17"/>
      <c r="AQ55" s="2"/>
      <c r="AR55" s="17">
        <f t="shared" ref="AR55:AW55" si="16">5-AR29</f>
        <v>5</v>
      </c>
      <c r="AS55" s="17">
        <f t="shared" si="16"/>
        <v>4</v>
      </c>
      <c r="AT55" s="17">
        <f t="shared" si="16"/>
        <v>3</v>
      </c>
      <c r="AU55" s="17">
        <f t="shared" si="16"/>
        <v>2</v>
      </c>
      <c r="AV55" s="17">
        <f t="shared" si="16"/>
        <v>1</v>
      </c>
      <c r="AW55" s="17">
        <f t="shared" si="16"/>
        <v>0</v>
      </c>
      <c r="AX55" s="17"/>
    </row>
    <row r="56" ht="21.75" customHeight="1">
      <c r="A56" s="17"/>
      <c r="P56" s="17"/>
      <c r="AC56" s="17"/>
      <c r="AO56" s="17"/>
      <c r="AX56" s="17"/>
    </row>
    <row r="57" ht="21.75" customHeight="1">
      <c r="A57" s="17"/>
      <c r="B57" s="2">
        <v>0.0</v>
      </c>
      <c r="C57" s="2">
        <v>1.0</v>
      </c>
      <c r="D57" s="2">
        <v>2.0</v>
      </c>
      <c r="E57" s="2">
        <v>3.0</v>
      </c>
      <c r="F57" s="2">
        <v>4.0</v>
      </c>
      <c r="G57" s="2">
        <v>5.0</v>
      </c>
      <c r="H57" s="2">
        <v>6.0</v>
      </c>
      <c r="I57" s="2">
        <v>7.0</v>
      </c>
      <c r="J57" s="2">
        <v>8.0</v>
      </c>
      <c r="K57" s="2">
        <v>9.0</v>
      </c>
      <c r="L57" s="2">
        <v>10.0</v>
      </c>
      <c r="M57" s="2">
        <v>11.0</v>
      </c>
      <c r="N57" s="2">
        <v>12.0</v>
      </c>
      <c r="O57" s="2">
        <v>13.0</v>
      </c>
      <c r="P57" s="17"/>
      <c r="Q57" s="17"/>
      <c r="R57" s="17"/>
      <c r="S57" s="2">
        <v>0.0</v>
      </c>
      <c r="T57" s="2">
        <v>1.0</v>
      </c>
      <c r="U57" s="2">
        <v>2.0</v>
      </c>
      <c r="V57" s="2">
        <v>3.0</v>
      </c>
      <c r="W57" s="2">
        <v>4.0</v>
      </c>
      <c r="X57" s="2">
        <v>5.0</v>
      </c>
      <c r="Y57" s="2">
        <v>6.0</v>
      </c>
      <c r="Z57" s="2">
        <v>7.0</v>
      </c>
      <c r="AA57" s="2">
        <v>8.0</v>
      </c>
      <c r="AB57" s="2">
        <v>9.0</v>
      </c>
      <c r="AC57" s="2"/>
      <c r="AD57" s="2"/>
      <c r="AE57" s="17"/>
      <c r="AF57" s="2">
        <v>0.0</v>
      </c>
      <c r="AG57" s="2">
        <v>1.0</v>
      </c>
      <c r="AH57" s="2">
        <v>2.0</v>
      </c>
      <c r="AI57" s="2">
        <v>3.0</v>
      </c>
      <c r="AJ57" s="2">
        <v>4.0</v>
      </c>
      <c r="AK57" s="2">
        <v>5.0</v>
      </c>
      <c r="AL57" s="2">
        <v>6.0</v>
      </c>
      <c r="AM57" s="2">
        <v>7.0</v>
      </c>
      <c r="AN57" s="2">
        <v>8.0</v>
      </c>
      <c r="AO57" s="2"/>
      <c r="AP57" s="2"/>
      <c r="AQ57" s="17"/>
      <c r="AR57" s="2">
        <v>0.0</v>
      </c>
      <c r="AS57" s="2">
        <v>1.0</v>
      </c>
      <c r="AT57" s="2">
        <v>2.0</v>
      </c>
      <c r="AU57" s="2">
        <v>3.0</v>
      </c>
      <c r="AV57" s="2">
        <v>4.0</v>
      </c>
      <c r="AW57" s="2">
        <v>5.0</v>
      </c>
      <c r="AX57" s="2"/>
    </row>
    <row r="58" ht="21.75" customHeight="1">
      <c r="A58" s="2">
        <v>0.0</v>
      </c>
      <c r="B58" s="28">
        <f t="array" ref="B58:O73">P58:P73*B57:O57 - A58:A73*B74:O74</f>
        <v>0</v>
      </c>
      <c r="C58" s="28">
        <v>15.0</v>
      </c>
      <c r="D58" s="28">
        <v>30.0</v>
      </c>
      <c r="E58" s="28">
        <v>45.0</v>
      </c>
      <c r="F58" s="28">
        <v>60.0</v>
      </c>
      <c r="G58" s="5">
        <v>75.0</v>
      </c>
      <c r="H58" s="5">
        <v>90.0</v>
      </c>
      <c r="I58" s="5">
        <v>105.0</v>
      </c>
      <c r="J58" s="5">
        <v>120.0</v>
      </c>
      <c r="K58" s="23">
        <v>135.0</v>
      </c>
      <c r="L58" s="23">
        <v>150.0</v>
      </c>
      <c r="M58" s="23">
        <v>165.0</v>
      </c>
      <c r="N58" s="23">
        <v>180.0</v>
      </c>
      <c r="O58" s="23">
        <v>195.0</v>
      </c>
      <c r="P58" s="17">
        <f t="shared" ref="P58:P73" si="17">15-A58</f>
        <v>15</v>
      </c>
      <c r="R58" s="2">
        <v>0.0</v>
      </c>
      <c r="S58" s="28">
        <f t="array" ref="S58:AB77">R58:R77*S78:AB78 - AC58:AC77*S57:AB57</f>
        <v>0</v>
      </c>
      <c r="T58" s="28">
        <v>-19.0</v>
      </c>
      <c r="U58" s="28">
        <v>-38.0</v>
      </c>
      <c r="V58" s="5">
        <v>-57.0</v>
      </c>
      <c r="W58" s="5">
        <v>-76.0</v>
      </c>
      <c r="X58" s="5">
        <v>-95.0</v>
      </c>
      <c r="Y58" s="5">
        <v>-114.0</v>
      </c>
      <c r="Z58" s="23">
        <v>-133.0</v>
      </c>
      <c r="AA58" s="23">
        <v>-152.0</v>
      </c>
      <c r="AB58" s="23">
        <v>-171.0</v>
      </c>
      <c r="AC58" s="17">
        <f t="shared" ref="AC58:AC77" si="18">19-R58</f>
        <v>19</v>
      </c>
      <c r="AE58" s="2">
        <v>0.0</v>
      </c>
      <c r="AF58" s="28">
        <f t="array" ref="AF58:AN77">AE58:AE77*AF78:AN78 - AO58:AO77*AF57:AN57</f>
        <v>0</v>
      </c>
      <c r="AG58" s="28">
        <v>-19.0</v>
      </c>
      <c r="AH58" s="5">
        <v>-38.0</v>
      </c>
      <c r="AI58" s="5">
        <v>-57.0</v>
      </c>
      <c r="AJ58" s="5">
        <v>-76.0</v>
      </c>
      <c r="AK58" s="5">
        <v>-95.0</v>
      </c>
      <c r="AL58" s="5">
        <v>-114.0</v>
      </c>
      <c r="AM58" s="23">
        <v>-133.0</v>
      </c>
      <c r="AN58" s="23">
        <v>-152.0</v>
      </c>
      <c r="AO58" s="17">
        <f t="shared" ref="AO58:AO77" si="19">19-AE58</f>
        <v>19</v>
      </c>
      <c r="AQ58" s="2">
        <v>0.0</v>
      </c>
      <c r="AR58" s="28">
        <f t="array" ref="AR58:AW82">AQ58:AQ82*AR83:AW83 - AX58:AX82*AR57:AW57</f>
        <v>0</v>
      </c>
      <c r="AS58" s="5">
        <v>-24.0</v>
      </c>
      <c r="AT58" s="5">
        <v>-48.0</v>
      </c>
      <c r="AU58" s="5">
        <v>-72.0</v>
      </c>
      <c r="AV58" s="5">
        <v>-96.0</v>
      </c>
      <c r="AW58" s="23">
        <v>-120.0</v>
      </c>
      <c r="AX58" s="17">
        <f t="shared" ref="AX58:AX82" si="20">24-AQ58</f>
        <v>24</v>
      </c>
    </row>
    <row r="59" ht="21.75" customHeight="1">
      <c r="A59" s="2">
        <v>1.0</v>
      </c>
      <c r="B59" s="28">
        <v>-13.0</v>
      </c>
      <c r="C59" s="28">
        <v>2.0</v>
      </c>
      <c r="D59" s="28">
        <v>17.0</v>
      </c>
      <c r="E59" s="28">
        <v>32.0</v>
      </c>
      <c r="F59" s="5">
        <v>47.0</v>
      </c>
      <c r="G59" s="5">
        <v>62.0</v>
      </c>
      <c r="H59" s="5">
        <v>77.0</v>
      </c>
      <c r="I59" s="5">
        <v>92.0</v>
      </c>
      <c r="J59" s="5">
        <v>107.0</v>
      </c>
      <c r="K59" s="5">
        <v>122.0</v>
      </c>
      <c r="L59" s="23">
        <v>137.0</v>
      </c>
      <c r="M59" s="23">
        <v>152.0</v>
      </c>
      <c r="N59" s="23">
        <v>167.0</v>
      </c>
      <c r="O59" s="23">
        <v>182.0</v>
      </c>
      <c r="P59" s="17">
        <f t="shared" si="17"/>
        <v>14</v>
      </c>
      <c r="R59" s="2">
        <v>1.0</v>
      </c>
      <c r="S59" s="28">
        <v>9.0</v>
      </c>
      <c r="T59" s="28">
        <v>-10.0</v>
      </c>
      <c r="U59" s="28">
        <v>-29.0</v>
      </c>
      <c r="V59" s="5">
        <v>-48.0</v>
      </c>
      <c r="W59" s="5">
        <v>-67.0</v>
      </c>
      <c r="X59" s="5">
        <v>-86.0</v>
      </c>
      <c r="Y59" s="5">
        <v>-105.0</v>
      </c>
      <c r="Z59" s="23">
        <v>-124.0</v>
      </c>
      <c r="AA59" s="23">
        <v>-143.0</v>
      </c>
      <c r="AB59" s="23">
        <v>-162.0</v>
      </c>
      <c r="AC59" s="17">
        <f t="shared" si="18"/>
        <v>18</v>
      </c>
      <c r="AE59" s="2">
        <v>1.0</v>
      </c>
      <c r="AF59" s="28">
        <v>8.0</v>
      </c>
      <c r="AG59" s="28">
        <v>-11.0</v>
      </c>
      <c r="AH59" s="5">
        <v>-30.0</v>
      </c>
      <c r="AI59" s="5">
        <v>-49.0</v>
      </c>
      <c r="AJ59" s="5">
        <v>-68.0</v>
      </c>
      <c r="AK59" s="5">
        <v>-87.0</v>
      </c>
      <c r="AL59" s="5">
        <v>-106.0</v>
      </c>
      <c r="AM59" s="23">
        <v>-125.0</v>
      </c>
      <c r="AN59" s="23">
        <v>-144.0</v>
      </c>
      <c r="AO59" s="17">
        <f t="shared" si="19"/>
        <v>18</v>
      </c>
      <c r="AQ59" s="2">
        <v>1.0</v>
      </c>
      <c r="AR59" s="28">
        <v>5.0</v>
      </c>
      <c r="AS59" s="5">
        <v>-19.0</v>
      </c>
      <c r="AT59" s="5">
        <v>-43.0</v>
      </c>
      <c r="AU59" s="5">
        <v>-67.0</v>
      </c>
      <c r="AV59" s="5">
        <v>-91.0</v>
      </c>
      <c r="AW59" s="23">
        <v>-115.0</v>
      </c>
      <c r="AX59" s="17">
        <f t="shared" si="20"/>
        <v>23</v>
      </c>
    </row>
    <row r="60" ht="21.75" customHeight="1">
      <c r="A60" s="2">
        <v>2.0</v>
      </c>
      <c r="B60" s="28">
        <v>-26.0</v>
      </c>
      <c r="C60" s="28">
        <v>-11.0</v>
      </c>
      <c r="D60" s="28">
        <v>4.0</v>
      </c>
      <c r="E60" s="28">
        <v>19.0</v>
      </c>
      <c r="F60" s="5">
        <v>34.0</v>
      </c>
      <c r="G60" s="5">
        <v>49.0</v>
      </c>
      <c r="H60" s="5">
        <v>64.0</v>
      </c>
      <c r="I60" s="5">
        <v>79.0</v>
      </c>
      <c r="J60" s="5">
        <v>94.0</v>
      </c>
      <c r="K60" s="5">
        <v>109.0</v>
      </c>
      <c r="L60" s="23">
        <v>124.0</v>
      </c>
      <c r="M60" s="23">
        <v>139.0</v>
      </c>
      <c r="N60" s="23">
        <v>154.0</v>
      </c>
      <c r="O60" s="23">
        <v>169.0</v>
      </c>
      <c r="P60" s="17">
        <f t="shared" si="17"/>
        <v>13</v>
      </c>
      <c r="R60" s="2">
        <v>2.0</v>
      </c>
      <c r="S60" s="28">
        <v>18.0</v>
      </c>
      <c r="T60" s="28">
        <v>-1.0</v>
      </c>
      <c r="U60" s="5">
        <v>-20.0</v>
      </c>
      <c r="V60" s="5">
        <v>-39.0</v>
      </c>
      <c r="W60" s="5">
        <v>-58.0</v>
      </c>
      <c r="X60" s="5">
        <v>-77.0</v>
      </c>
      <c r="Y60" s="5">
        <v>-96.0</v>
      </c>
      <c r="Z60" s="5">
        <v>-115.0</v>
      </c>
      <c r="AA60" s="23">
        <v>-134.0</v>
      </c>
      <c r="AB60" s="23">
        <v>-153.0</v>
      </c>
      <c r="AC60" s="17">
        <f t="shared" si="18"/>
        <v>17</v>
      </c>
      <c r="AE60" s="2">
        <v>2.0</v>
      </c>
      <c r="AF60" s="28">
        <v>16.0</v>
      </c>
      <c r="AG60" s="5">
        <v>-3.0</v>
      </c>
      <c r="AH60" s="5">
        <v>-22.0</v>
      </c>
      <c r="AI60" s="5">
        <v>-41.0</v>
      </c>
      <c r="AJ60" s="5">
        <v>-60.0</v>
      </c>
      <c r="AK60" s="5">
        <v>-79.0</v>
      </c>
      <c r="AL60" s="5">
        <v>-98.0</v>
      </c>
      <c r="AM60" s="5">
        <v>-117.0</v>
      </c>
      <c r="AN60" s="23">
        <v>-136.0</v>
      </c>
      <c r="AO60" s="17">
        <f t="shared" si="19"/>
        <v>17</v>
      </c>
      <c r="AQ60" s="2">
        <v>2.0</v>
      </c>
      <c r="AR60" s="5">
        <v>10.0</v>
      </c>
      <c r="AS60" s="5">
        <v>-14.0</v>
      </c>
      <c r="AT60" s="5">
        <v>-38.0</v>
      </c>
      <c r="AU60" s="5">
        <v>-62.0</v>
      </c>
      <c r="AV60" s="5">
        <v>-86.0</v>
      </c>
      <c r="AW60" s="5">
        <v>-110.0</v>
      </c>
      <c r="AX60" s="17">
        <f t="shared" si="20"/>
        <v>22</v>
      </c>
    </row>
    <row r="61" ht="21.75" customHeight="1">
      <c r="A61" s="2">
        <v>3.0</v>
      </c>
      <c r="B61" s="28">
        <v>-39.0</v>
      </c>
      <c r="C61" s="28">
        <v>-24.0</v>
      </c>
      <c r="D61" s="28">
        <v>-9.0</v>
      </c>
      <c r="E61" s="5">
        <v>6.0</v>
      </c>
      <c r="F61" s="5">
        <v>21.0</v>
      </c>
      <c r="G61" s="5">
        <v>36.0</v>
      </c>
      <c r="H61" s="5">
        <v>51.0</v>
      </c>
      <c r="I61" s="5">
        <v>66.0</v>
      </c>
      <c r="J61" s="5">
        <v>81.0</v>
      </c>
      <c r="K61" s="5">
        <v>96.0</v>
      </c>
      <c r="L61" s="5">
        <v>111.0</v>
      </c>
      <c r="M61" s="23">
        <v>126.0</v>
      </c>
      <c r="N61" s="23">
        <v>141.0</v>
      </c>
      <c r="O61" s="23">
        <v>156.0</v>
      </c>
      <c r="P61" s="17">
        <f t="shared" si="17"/>
        <v>12</v>
      </c>
      <c r="R61" s="2">
        <v>3.0</v>
      </c>
      <c r="S61" s="28">
        <v>27.0</v>
      </c>
      <c r="T61" s="28">
        <v>8.0</v>
      </c>
      <c r="U61" s="5">
        <v>-11.0</v>
      </c>
      <c r="V61" s="5">
        <v>-30.0</v>
      </c>
      <c r="W61" s="5">
        <v>-49.0</v>
      </c>
      <c r="X61" s="5">
        <v>-68.0</v>
      </c>
      <c r="Y61" s="5">
        <v>-87.0</v>
      </c>
      <c r="Z61" s="5">
        <v>-106.0</v>
      </c>
      <c r="AA61" s="23">
        <v>-125.0</v>
      </c>
      <c r="AB61" s="23">
        <v>-144.0</v>
      </c>
      <c r="AC61" s="17">
        <f t="shared" si="18"/>
        <v>16</v>
      </c>
      <c r="AE61" s="2">
        <v>3.0</v>
      </c>
      <c r="AF61" s="28">
        <v>24.0</v>
      </c>
      <c r="AG61" s="5">
        <v>5.0</v>
      </c>
      <c r="AH61" s="5">
        <v>-14.0</v>
      </c>
      <c r="AI61" s="5">
        <v>-33.0</v>
      </c>
      <c r="AJ61" s="5">
        <v>-52.0</v>
      </c>
      <c r="AK61" s="5">
        <v>-71.0</v>
      </c>
      <c r="AL61" s="5">
        <v>-90.0</v>
      </c>
      <c r="AM61" s="5">
        <v>-109.0</v>
      </c>
      <c r="AN61" s="23">
        <v>-128.0</v>
      </c>
      <c r="AO61" s="17">
        <f t="shared" si="19"/>
        <v>16</v>
      </c>
      <c r="AQ61" s="2">
        <v>3.0</v>
      </c>
      <c r="AR61" s="15">
        <v>15.0</v>
      </c>
      <c r="AS61" s="5">
        <v>-9.0</v>
      </c>
      <c r="AT61" s="5">
        <v>-33.0</v>
      </c>
      <c r="AU61" s="5">
        <v>-57.0</v>
      </c>
      <c r="AV61" s="5">
        <v>-81.0</v>
      </c>
      <c r="AW61" s="5">
        <v>-105.0</v>
      </c>
      <c r="AX61" s="17">
        <f t="shared" si="20"/>
        <v>21</v>
      </c>
    </row>
    <row r="62" ht="21.75" customHeight="1">
      <c r="A62" s="2">
        <v>4.0</v>
      </c>
      <c r="B62" s="28">
        <v>-52.0</v>
      </c>
      <c r="C62" s="28">
        <v>-37.0</v>
      </c>
      <c r="D62" s="5">
        <v>-22.0</v>
      </c>
      <c r="E62" s="5">
        <v>-7.0</v>
      </c>
      <c r="F62" s="5">
        <v>8.0</v>
      </c>
      <c r="G62" s="5">
        <v>23.0</v>
      </c>
      <c r="H62" s="5">
        <v>38.0</v>
      </c>
      <c r="I62" s="5">
        <v>53.0</v>
      </c>
      <c r="J62" s="5">
        <v>68.0</v>
      </c>
      <c r="K62" s="5">
        <v>83.0</v>
      </c>
      <c r="L62" s="5">
        <v>98.0</v>
      </c>
      <c r="M62" s="5">
        <v>113.0</v>
      </c>
      <c r="N62" s="23">
        <v>128.0</v>
      </c>
      <c r="O62" s="23">
        <v>143.0</v>
      </c>
      <c r="P62" s="17">
        <f t="shared" si="17"/>
        <v>11</v>
      </c>
      <c r="R62" s="2">
        <v>4.0</v>
      </c>
      <c r="S62" s="28">
        <v>36.0</v>
      </c>
      <c r="T62" s="5">
        <v>17.0</v>
      </c>
      <c r="U62" s="5">
        <v>-2.0</v>
      </c>
      <c r="V62" s="5">
        <v>-21.0</v>
      </c>
      <c r="W62" s="5">
        <v>-40.0</v>
      </c>
      <c r="X62" s="5">
        <v>-59.0</v>
      </c>
      <c r="Y62" s="5">
        <v>-78.0</v>
      </c>
      <c r="Z62" s="5">
        <v>-97.0</v>
      </c>
      <c r="AA62" s="5">
        <v>-116.0</v>
      </c>
      <c r="AB62" s="23">
        <v>-135.0</v>
      </c>
      <c r="AC62" s="17">
        <f t="shared" si="18"/>
        <v>15</v>
      </c>
      <c r="AE62" s="2">
        <v>4.0</v>
      </c>
      <c r="AF62" s="5">
        <v>32.0</v>
      </c>
      <c r="AG62" s="15">
        <v>13.0</v>
      </c>
      <c r="AH62" s="5">
        <v>-6.0</v>
      </c>
      <c r="AI62" s="5">
        <v>-25.0</v>
      </c>
      <c r="AJ62" s="5">
        <v>-44.0</v>
      </c>
      <c r="AK62" s="5">
        <v>-63.0</v>
      </c>
      <c r="AL62" s="5">
        <v>-82.0</v>
      </c>
      <c r="AM62" s="5">
        <v>-101.0</v>
      </c>
      <c r="AN62" s="5">
        <v>-120.0</v>
      </c>
      <c r="AO62" s="17">
        <f t="shared" si="19"/>
        <v>15</v>
      </c>
      <c r="AQ62" s="2">
        <v>4.0</v>
      </c>
      <c r="AR62" s="5">
        <v>20.0</v>
      </c>
      <c r="AS62" s="5">
        <v>-4.0</v>
      </c>
      <c r="AT62" s="5">
        <v>-28.0</v>
      </c>
      <c r="AU62" s="5">
        <v>-52.0</v>
      </c>
      <c r="AV62" s="5">
        <v>-76.0</v>
      </c>
      <c r="AW62" s="5">
        <v>-100.0</v>
      </c>
      <c r="AX62" s="17">
        <f t="shared" si="20"/>
        <v>20</v>
      </c>
    </row>
    <row r="63" ht="21.75" customHeight="1">
      <c r="A63" s="2">
        <v>5.0</v>
      </c>
      <c r="B63" s="28">
        <v>-65.0</v>
      </c>
      <c r="C63" s="5">
        <v>-50.0</v>
      </c>
      <c r="D63" s="5">
        <v>-35.0</v>
      </c>
      <c r="E63" s="5">
        <v>-20.0</v>
      </c>
      <c r="F63" s="5">
        <v>-5.0</v>
      </c>
      <c r="G63" s="5">
        <v>10.0</v>
      </c>
      <c r="H63" s="5">
        <v>25.0</v>
      </c>
      <c r="I63" s="5">
        <v>40.0</v>
      </c>
      <c r="J63" s="5">
        <v>55.0</v>
      </c>
      <c r="K63" s="5">
        <v>70.0</v>
      </c>
      <c r="L63" s="5">
        <v>85.0</v>
      </c>
      <c r="M63" s="5">
        <v>100.0</v>
      </c>
      <c r="N63" s="5">
        <v>115.0</v>
      </c>
      <c r="O63" s="23">
        <v>130.0</v>
      </c>
      <c r="P63" s="17">
        <f t="shared" si="17"/>
        <v>10</v>
      </c>
      <c r="R63" s="2">
        <v>5.0</v>
      </c>
      <c r="S63" s="5">
        <v>45.0</v>
      </c>
      <c r="T63" s="5">
        <v>26.0</v>
      </c>
      <c r="U63" s="5">
        <v>7.0</v>
      </c>
      <c r="V63" s="5">
        <v>-12.0</v>
      </c>
      <c r="W63" s="5">
        <v>-31.0</v>
      </c>
      <c r="X63" s="5">
        <v>-50.0</v>
      </c>
      <c r="Y63" s="5">
        <v>-69.0</v>
      </c>
      <c r="Z63" s="5">
        <v>-88.0</v>
      </c>
      <c r="AA63" s="5">
        <v>-107.0</v>
      </c>
      <c r="AB63" s="5">
        <v>-126.0</v>
      </c>
      <c r="AC63" s="17">
        <f t="shared" si="18"/>
        <v>14</v>
      </c>
      <c r="AE63" s="2">
        <v>5.0</v>
      </c>
      <c r="AF63" s="5">
        <v>40.0</v>
      </c>
      <c r="AG63" s="5">
        <v>21.0</v>
      </c>
      <c r="AH63" s="5">
        <v>2.0</v>
      </c>
      <c r="AI63" s="5">
        <v>-17.0</v>
      </c>
      <c r="AJ63" s="5">
        <v>-36.0</v>
      </c>
      <c r="AK63" s="5">
        <v>-55.0</v>
      </c>
      <c r="AL63" s="5">
        <v>-74.0</v>
      </c>
      <c r="AM63" s="5">
        <v>-93.0</v>
      </c>
      <c r="AN63" s="5">
        <v>-112.0</v>
      </c>
      <c r="AO63" s="17">
        <f t="shared" si="19"/>
        <v>14</v>
      </c>
      <c r="AQ63" s="2">
        <v>5.0</v>
      </c>
      <c r="AR63" s="5">
        <v>25.0</v>
      </c>
      <c r="AS63" s="5">
        <v>1.0</v>
      </c>
      <c r="AT63" s="5">
        <v>-23.0</v>
      </c>
      <c r="AU63" s="5">
        <v>-47.0</v>
      </c>
      <c r="AV63" s="5">
        <v>-71.0</v>
      </c>
      <c r="AW63" s="5">
        <v>-95.0</v>
      </c>
      <c r="AX63" s="17">
        <f t="shared" si="20"/>
        <v>19</v>
      </c>
    </row>
    <row r="64" ht="21.75" customHeight="1">
      <c r="A64" s="2">
        <v>6.0</v>
      </c>
      <c r="B64" s="5">
        <v>-78.0</v>
      </c>
      <c r="C64" s="5">
        <v>-63.0</v>
      </c>
      <c r="D64" s="5">
        <v>-48.0</v>
      </c>
      <c r="E64" s="5">
        <v>-33.0</v>
      </c>
      <c r="F64" s="5">
        <v>-18.0</v>
      </c>
      <c r="G64" s="5">
        <v>-3.0</v>
      </c>
      <c r="H64" s="5">
        <v>12.0</v>
      </c>
      <c r="I64" s="5">
        <v>27.0</v>
      </c>
      <c r="J64" s="5">
        <v>42.0</v>
      </c>
      <c r="K64" s="5">
        <v>57.0</v>
      </c>
      <c r="L64" s="5">
        <v>72.0</v>
      </c>
      <c r="M64" s="5">
        <v>87.0</v>
      </c>
      <c r="N64" s="5">
        <v>102.0</v>
      </c>
      <c r="O64" s="5">
        <v>117.0</v>
      </c>
      <c r="P64" s="17">
        <f t="shared" si="17"/>
        <v>9</v>
      </c>
      <c r="R64" s="2">
        <v>6.0</v>
      </c>
      <c r="S64" s="5">
        <v>54.0</v>
      </c>
      <c r="T64" s="5">
        <v>35.0</v>
      </c>
      <c r="U64" s="5">
        <v>16.0</v>
      </c>
      <c r="V64" s="5">
        <v>-3.0</v>
      </c>
      <c r="W64" s="5">
        <v>-22.0</v>
      </c>
      <c r="X64" s="5">
        <v>-41.0</v>
      </c>
      <c r="Y64" s="5">
        <v>-60.0</v>
      </c>
      <c r="Z64" s="5">
        <v>-79.0</v>
      </c>
      <c r="AA64" s="5">
        <v>-98.0</v>
      </c>
      <c r="AB64" s="5">
        <v>-117.0</v>
      </c>
      <c r="AC64" s="17">
        <f t="shared" si="18"/>
        <v>13</v>
      </c>
      <c r="AE64" s="2">
        <v>6.0</v>
      </c>
      <c r="AF64" s="5">
        <v>48.0</v>
      </c>
      <c r="AG64" s="5">
        <v>29.0</v>
      </c>
      <c r="AH64" s="5">
        <v>10.0</v>
      </c>
      <c r="AI64" s="5">
        <v>-9.0</v>
      </c>
      <c r="AJ64" s="5">
        <v>-28.0</v>
      </c>
      <c r="AK64" s="5">
        <v>-47.0</v>
      </c>
      <c r="AL64" s="5">
        <v>-66.0</v>
      </c>
      <c r="AM64" s="5">
        <v>-85.0</v>
      </c>
      <c r="AN64" s="5">
        <v>-104.0</v>
      </c>
      <c r="AO64" s="17">
        <f t="shared" si="19"/>
        <v>13</v>
      </c>
      <c r="AQ64" s="2">
        <v>6.0</v>
      </c>
      <c r="AR64" s="5">
        <v>30.0</v>
      </c>
      <c r="AS64" s="5">
        <v>6.0</v>
      </c>
      <c r="AT64" s="5">
        <v>-18.0</v>
      </c>
      <c r="AU64" s="5">
        <v>-42.0</v>
      </c>
      <c r="AV64" s="5">
        <v>-66.0</v>
      </c>
      <c r="AW64" s="5">
        <v>-90.0</v>
      </c>
      <c r="AX64" s="17">
        <f t="shared" si="20"/>
        <v>18</v>
      </c>
    </row>
    <row r="65" ht="21.75" customHeight="1">
      <c r="A65" s="2">
        <v>7.0</v>
      </c>
      <c r="B65" s="5">
        <v>-91.0</v>
      </c>
      <c r="C65" s="5">
        <v>-76.0</v>
      </c>
      <c r="D65" s="5">
        <v>-61.0</v>
      </c>
      <c r="E65" s="5">
        <v>-46.0</v>
      </c>
      <c r="F65" s="5">
        <v>-31.0</v>
      </c>
      <c r="G65" s="5">
        <v>-16.0</v>
      </c>
      <c r="H65" s="15">
        <v>-1.0</v>
      </c>
      <c r="I65" s="5">
        <v>14.0</v>
      </c>
      <c r="J65" s="5">
        <v>29.0</v>
      </c>
      <c r="K65" s="5">
        <v>44.0</v>
      </c>
      <c r="L65" s="5">
        <v>59.0</v>
      </c>
      <c r="M65" s="5">
        <v>74.0</v>
      </c>
      <c r="N65" s="5">
        <v>89.0</v>
      </c>
      <c r="O65" s="5">
        <v>104.0</v>
      </c>
      <c r="P65" s="17">
        <f t="shared" si="17"/>
        <v>8</v>
      </c>
      <c r="R65" s="2">
        <v>7.0</v>
      </c>
      <c r="S65" s="5">
        <v>63.0</v>
      </c>
      <c r="T65" s="5">
        <v>44.0</v>
      </c>
      <c r="U65" s="5">
        <v>25.0</v>
      </c>
      <c r="V65" s="5">
        <v>6.0</v>
      </c>
      <c r="W65" s="5">
        <v>-13.0</v>
      </c>
      <c r="X65" s="5">
        <v>-32.0</v>
      </c>
      <c r="Y65" s="5">
        <v>-51.0</v>
      </c>
      <c r="Z65" s="5">
        <v>-70.0</v>
      </c>
      <c r="AA65" s="5">
        <v>-89.0</v>
      </c>
      <c r="AB65" s="5">
        <v>-108.0</v>
      </c>
      <c r="AC65" s="17">
        <f t="shared" si="18"/>
        <v>12</v>
      </c>
      <c r="AE65" s="2">
        <v>7.0</v>
      </c>
      <c r="AF65" s="5">
        <v>56.0</v>
      </c>
      <c r="AG65" s="5">
        <v>37.0</v>
      </c>
      <c r="AH65" s="5">
        <v>18.0</v>
      </c>
      <c r="AI65" s="5">
        <v>-1.0</v>
      </c>
      <c r="AJ65" s="5">
        <v>-20.0</v>
      </c>
      <c r="AK65" s="5">
        <v>-39.0</v>
      </c>
      <c r="AL65" s="5">
        <v>-58.0</v>
      </c>
      <c r="AM65" s="5">
        <v>-77.0</v>
      </c>
      <c r="AN65" s="5">
        <v>-96.0</v>
      </c>
      <c r="AO65" s="17">
        <f t="shared" si="19"/>
        <v>12</v>
      </c>
      <c r="AQ65" s="2">
        <v>7.0</v>
      </c>
      <c r="AR65" s="5">
        <v>35.0</v>
      </c>
      <c r="AS65" s="5">
        <v>11.0</v>
      </c>
      <c r="AT65" s="5">
        <v>-13.0</v>
      </c>
      <c r="AU65" s="5">
        <v>-37.0</v>
      </c>
      <c r="AV65" s="5">
        <v>-61.0</v>
      </c>
      <c r="AW65" s="5">
        <v>-85.0</v>
      </c>
      <c r="AX65" s="17">
        <f t="shared" si="20"/>
        <v>17</v>
      </c>
    </row>
    <row r="66" ht="21.75" customHeight="1">
      <c r="A66" s="2">
        <v>8.0</v>
      </c>
      <c r="B66" s="5">
        <v>-104.0</v>
      </c>
      <c r="C66" s="5">
        <v>-89.0</v>
      </c>
      <c r="D66" s="5">
        <v>-74.0</v>
      </c>
      <c r="E66" s="5">
        <v>-59.0</v>
      </c>
      <c r="F66" s="5">
        <v>-44.0</v>
      </c>
      <c r="G66" s="5">
        <v>-29.0</v>
      </c>
      <c r="H66" s="5">
        <v>-14.0</v>
      </c>
      <c r="I66" s="15">
        <v>1.0</v>
      </c>
      <c r="J66" s="5">
        <v>16.0</v>
      </c>
      <c r="K66" s="5">
        <v>31.0</v>
      </c>
      <c r="L66" s="5">
        <v>46.0</v>
      </c>
      <c r="M66" s="5">
        <v>61.0</v>
      </c>
      <c r="N66" s="5">
        <v>76.0</v>
      </c>
      <c r="O66" s="5">
        <v>91.0</v>
      </c>
      <c r="P66" s="17">
        <f t="shared" si="17"/>
        <v>7</v>
      </c>
      <c r="R66" s="2">
        <v>8.0</v>
      </c>
      <c r="S66" s="5">
        <v>72.0</v>
      </c>
      <c r="T66" s="5">
        <v>53.0</v>
      </c>
      <c r="U66" s="5">
        <v>34.0</v>
      </c>
      <c r="V66" s="5">
        <v>15.0</v>
      </c>
      <c r="W66" s="15">
        <v>-4.0</v>
      </c>
      <c r="X66" s="5">
        <v>-23.0</v>
      </c>
      <c r="Y66" s="5">
        <v>-42.0</v>
      </c>
      <c r="Z66" s="5">
        <v>-61.0</v>
      </c>
      <c r="AA66" s="5">
        <v>-80.0</v>
      </c>
      <c r="AB66" s="5">
        <v>-99.0</v>
      </c>
      <c r="AC66" s="17">
        <f t="shared" si="18"/>
        <v>11</v>
      </c>
      <c r="AE66" s="2">
        <v>8.0</v>
      </c>
      <c r="AF66" s="5">
        <v>64.0</v>
      </c>
      <c r="AG66" s="5">
        <v>45.0</v>
      </c>
      <c r="AH66" s="5">
        <v>26.0</v>
      </c>
      <c r="AI66" s="5">
        <v>7.0</v>
      </c>
      <c r="AJ66" s="5">
        <v>-12.0</v>
      </c>
      <c r="AK66" s="5">
        <v>-31.0</v>
      </c>
      <c r="AL66" s="5">
        <v>-50.0</v>
      </c>
      <c r="AM66" s="5">
        <v>-69.0</v>
      </c>
      <c r="AN66" s="5">
        <v>-88.0</v>
      </c>
      <c r="AO66" s="17">
        <f t="shared" si="19"/>
        <v>11</v>
      </c>
      <c r="AQ66" s="2">
        <v>8.0</v>
      </c>
      <c r="AR66" s="5">
        <v>40.0</v>
      </c>
      <c r="AS66" s="5">
        <v>16.0</v>
      </c>
      <c r="AT66" s="5">
        <v>-8.0</v>
      </c>
      <c r="AU66" s="5">
        <v>-32.0</v>
      </c>
      <c r="AV66" s="5">
        <v>-56.0</v>
      </c>
      <c r="AW66" s="5">
        <v>-80.0</v>
      </c>
      <c r="AX66" s="17">
        <f t="shared" si="20"/>
        <v>16</v>
      </c>
    </row>
    <row r="67" ht="21.75" customHeight="1">
      <c r="A67" s="2">
        <v>9.0</v>
      </c>
      <c r="B67" s="5">
        <v>-117.0</v>
      </c>
      <c r="C67" s="5">
        <v>-102.0</v>
      </c>
      <c r="D67" s="5">
        <v>-87.0</v>
      </c>
      <c r="E67" s="5">
        <v>-72.0</v>
      </c>
      <c r="F67" s="5">
        <v>-57.0</v>
      </c>
      <c r="G67" s="5">
        <v>-42.0</v>
      </c>
      <c r="H67" s="5">
        <v>-27.0</v>
      </c>
      <c r="I67" s="5">
        <v>-12.0</v>
      </c>
      <c r="J67" s="5">
        <v>3.0</v>
      </c>
      <c r="K67" s="5">
        <v>18.0</v>
      </c>
      <c r="L67" s="5">
        <v>33.0</v>
      </c>
      <c r="M67" s="5">
        <v>48.0</v>
      </c>
      <c r="N67" s="5">
        <v>63.0</v>
      </c>
      <c r="O67" s="5">
        <v>78.0</v>
      </c>
      <c r="P67" s="17">
        <f t="shared" si="17"/>
        <v>6</v>
      </c>
      <c r="R67" s="2">
        <v>9.0</v>
      </c>
      <c r="S67" s="5">
        <v>81.0</v>
      </c>
      <c r="T67" s="5">
        <v>62.0</v>
      </c>
      <c r="U67" s="5">
        <v>43.0</v>
      </c>
      <c r="V67" s="5">
        <v>24.0</v>
      </c>
      <c r="W67" s="5">
        <v>5.0</v>
      </c>
      <c r="X67" s="5">
        <v>-14.0</v>
      </c>
      <c r="Y67" s="5">
        <v>-33.0</v>
      </c>
      <c r="Z67" s="5">
        <v>-52.0</v>
      </c>
      <c r="AA67" s="5">
        <v>-71.0</v>
      </c>
      <c r="AB67" s="5">
        <v>-90.0</v>
      </c>
      <c r="AC67" s="17">
        <f t="shared" si="18"/>
        <v>10</v>
      </c>
      <c r="AE67" s="2">
        <v>9.0</v>
      </c>
      <c r="AF67" s="5">
        <v>72.0</v>
      </c>
      <c r="AG67" s="5">
        <v>53.0</v>
      </c>
      <c r="AH67" s="5">
        <v>34.0</v>
      </c>
      <c r="AI67" s="5">
        <v>15.0</v>
      </c>
      <c r="AJ67" s="5">
        <v>-4.0</v>
      </c>
      <c r="AK67" s="5">
        <v>-23.0</v>
      </c>
      <c r="AL67" s="5">
        <v>-42.0</v>
      </c>
      <c r="AM67" s="5">
        <v>-61.0</v>
      </c>
      <c r="AN67" s="5">
        <v>-80.0</v>
      </c>
      <c r="AO67" s="17">
        <f t="shared" si="19"/>
        <v>10</v>
      </c>
      <c r="AQ67" s="2">
        <v>9.0</v>
      </c>
      <c r="AR67" s="5">
        <v>45.0</v>
      </c>
      <c r="AS67" s="5">
        <v>21.0</v>
      </c>
      <c r="AT67" s="5">
        <v>-3.0</v>
      </c>
      <c r="AU67" s="5">
        <v>-27.0</v>
      </c>
      <c r="AV67" s="5">
        <v>-51.0</v>
      </c>
      <c r="AW67" s="5">
        <v>-75.0</v>
      </c>
      <c r="AX67" s="17">
        <f t="shared" si="20"/>
        <v>15</v>
      </c>
    </row>
    <row r="68" ht="21.75" customHeight="1">
      <c r="A68" s="2">
        <v>10.0</v>
      </c>
      <c r="B68" s="23">
        <v>-130.0</v>
      </c>
      <c r="C68" s="5">
        <v>-115.0</v>
      </c>
      <c r="D68" s="5">
        <v>-100.0</v>
      </c>
      <c r="E68" s="5">
        <v>-85.0</v>
      </c>
      <c r="F68" s="5">
        <v>-70.0</v>
      </c>
      <c r="G68" s="5">
        <v>-55.0</v>
      </c>
      <c r="H68" s="5">
        <v>-40.0</v>
      </c>
      <c r="I68" s="5">
        <v>-25.0</v>
      </c>
      <c r="J68" s="5">
        <v>-10.0</v>
      </c>
      <c r="K68" s="5">
        <v>5.0</v>
      </c>
      <c r="L68" s="5">
        <v>20.0</v>
      </c>
      <c r="M68" s="5">
        <v>35.0</v>
      </c>
      <c r="N68" s="5">
        <v>50.0</v>
      </c>
      <c r="O68" s="28">
        <v>65.0</v>
      </c>
      <c r="P68" s="17">
        <f t="shared" si="17"/>
        <v>5</v>
      </c>
      <c r="R68" s="2">
        <v>10.0</v>
      </c>
      <c r="S68" s="5">
        <v>90.0</v>
      </c>
      <c r="T68" s="5">
        <v>71.0</v>
      </c>
      <c r="U68" s="5">
        <v>52.0</v>
      </c>
      <c r="V68" s="5">
        <v>33.0</v>
      </c>
      <c r="W68" s="5">
        <v>14.0</v>
      </c>
      <c r="X68" s="5">
        <v>-5.0</v>
      </c>
      <c r="Y68" s="5">
        <v>-24.0</v>
      </c>
      <c r="Z68" s="5">
        <v>-43.0</v>
      </c>
      <c r="AA68" s="5">
        <v>-62.0</v>
      </c>
      <c r="AB68" s="5">
        <v>-81.0</v>
      </c>
      <c r="AC68" s="17">
        <f t="shared" si="18"/>
        <v>9</v>
      </c>
      <c r="AE68" s="2">
        <v>10.0</v>
      </c>
      <c r="AF68" s="5">
        <v>80.0</v>
      </c>
      <c r="AG68" s="5">
        <v>61.0</v>
      </c>
      <c r="AH68" s="5">
        <v>42.0</v>
      </c>
      <c r="AI68" s="5">
        <v>23.0</v>
      </c>
      <c r="AJ68" s="5">
        <v>4.0</v>
      </c>
      <c r="AK68" s="5">
        <v>-15.0</v>
      </c>
      <c r="AL68" s="5">
        <v>-34.0</v>
      </c>
      <c r="AM68" s="5">
        <v>-53.0</v>
      </c>
      <c r="AN68" s="5">
        <v>-72.0</v>
      </c>
      <c r="AO68" s="17">
        <f t="shared" si="19"/>
        <v>9</v>
      </c>
      <c r="AQ68" s="2">
        <v>10.0</v>
      </c>
      <c r="AR68" s="5">
        <v>50.0</v>
      </c>
      <c r="AS68" s="5">
        <v>26.0</v>
      </c>
      <c r="AT68" s="5">
        <v>2.0</v>
      </c>
      <c r="AU68" s="5">
        <v>-22.0</v>
      </c>
      <c r="AV68" s="5">
        <v>-46.0</v>
      </c>
      <c r="AW68" s="5">
        <v>-70.0</v>
      </c>
      <c r="AX68" s="17">
        <f t="shared" si="20"/>
        <v>14</v>
      </c>
    </row>
    <row r="69" ht="21.75" customHeight="1">
      <c r="A69" s="2">
        <v>11.0</v>
      </c>
      <c r="B69" s="23">
        <v>-143.0</v>
      </c>
      <c r="C69" s="23">
        <v>-128.0</v>
      </c>
      <c r="D69" s="5">
        <v>-113.0</v>
      </c>
      <c r="E69" s="5">
        <v>-98.0</v>
      </c>
      <c r="F69" s="5">
        <v>-83.0</v>
      </c>
      <c r="G69" s="5">
        <v>-68.0</v>
      </c>
      <c r="H69" s="5">
        <v>-53.0</v>
      </c>
      <c r="I69" s="5">
        <v>-38.0</v>
      </c>
      <c r="J69" s="5">
        <v>-23.0</v>
      </c>
      <c r="K69" s="5">
        <v>-8.0</v>
      </c>
      <c r="L69" s="5">
        <v>7.0</v>
      </c>
      <c r="M69" s="5">
        <v>22.0</v>
      </c>
      <c r="N69" s="28">
        <v>37.0</v>
      </c>
      <c r="O69" s="28">
        <v>52.0</v>
      </c>
      <c r="P69" s="17">
        <f t="shared" si="17"/>
        <v>4</v>
      </c>
      <c r="R69" s="2">
        <v>11.0</v>
      </c>
      <c r="S69" s="5">
        <v>99.0</v>
      </c>
      <c r="T69" s="5">
        <v>80.0</v>
      </c>
      <c r="U69" s="5">
        <v>61.0</v>
      </c>
      <c r="V69" s="5">
        <v>42.0</v>
      </c>
      <c r="W69" s="5">
        <v>23.0</v>
      </c>
      <c r="X69" s="15">
        <v>4.0</v>
      </c>
      <c r="Y69" s="5">
        <v>-15.0</v>
      </c>
      <c r="Z69" s="5">
        <v>-34.0</v>
      </c>
      <c r="AA69" s="5">
        <v>-53.0</v>
      </c>
      <c r="AB69" s="5">
        <v>-72.0</v>
      </c>
      <c r="AC69" s="17">
        <f t="shared" si="18"/>
        <v>8</v>
      </c>
      <c r="AE69" s="2">
        <v>11.0</v>
      </c>
      <c r="AF69" s="5">
        <v>88.0</v>
      </c>
      <c r="AG69" s="5">
        <v>69.0</v>
      </c>
      <c r="AH69" s="5">
        <v>50.0</v>
      </c>
      <c r="AI69" s="5">
        <v>31.0</v>
      </c>
      <c r="AJ69" s="5">
        <v>12.0</v>
      </c>
      <c r="AK69" s="5">
        <v>-7.0</v>
      </c>
      <c r="AL69" s="5">
        <v>-26.0</v>
      </c>
      <c r="AM69" s="5">
        <v>-45.0</v>
      </c>
      <c r="AN69" s="5">
        <v>-64.0</v>
      </c>
      <c r="AO69" s="17">
        <f t="shared" si="19"/>
        <v>8</v>
      </c>
      <c r="AQ69" s="2">
        <v>11.0</v>
      </c>
      <c r="AR69" s="5">
        <v>55.0</v>
      </c>
      <c r="AS69" s="5">
        <v>31.0</v>
      </c>
      <c r="AT69" s="5">
        <v>7.0</v>
      </c>
      <c r="AU69" s="5">
        <v>-17.0</v>
      </c>
      <c r="AV69" s="5">
        <v>-41.0</v>
      </c>
      <c r="AW69" s="5">
        <v>-65.0</v>
      </c>
      <c r="AX69" s="17">
        <f t="shared" si="20"/>
        <v>13</v>
      </c>
    </row>
    <row r="70" ht="21.75" customHeight="1">
      <c r="A70" s="2">
        <v>12.0</v>
      </c>
      <c r="B70" s="23">
        <v>-156.0</v>
      </c>
      <c r="C70" s="23">
        <v>-141.0</v>
      </c>
      <c r="D70" s="23">
        <v>-126.0</v>
      </c>
      <c r="E70" s="5">
        <v>-111.0</v>
      </c>
      <c r="F70" s="5">
        <v>-96.0</v>
      </c>
      <c r="G70" s="5">
        <v>-81.0</v>
      </c>
      <c r="H70" s="5">
        <v>-66.0</v>
      </c>
      <c r="I70" s="5">
        <v>-51.0</v>
      </c>
      <c r="J70" s="5">
        <v>-36.0</v>
      </c>
      <c r="K70" s="5">
        <v>-21.0</v>
      </c>
      <c r="L70" s="5">
        <v>-6.0</v>
      </c>
      <c r="M70" s="28">
        <v>9.0</v>
      </c>
      <c r="N70" s="28">
        <v>24.0</v>
      </c>
      <c r="O70" s="28">
        <v>39.0</v>
      </c>
      <c r="P70" s="17">
        <f t="shared" si="17"/>
        <v>3</v>
      </c>
      <c r="R70" s="2">
        <v>12.0</v>
      </c>
      <c r="S70" s="5">
        <v>108.0</v>
      </c>
      <c r="T70" s="5">
        <v>89.0</v>
      </c>
      <c r="U70" s="5">
        <v>70.0</v>
      </c>
      <c r="V70" s="5">
        <v>51.0</v>
      </c>
      <c r="W70" s="5">
        <v>32.0</v>
      </c>
      <c r="X70" s="5">
        <v>13.0</v>
      </c>
      <c r="Y70" s="5">
        <v>-6.0</v>
      </c>
      <c r="Z70" s="5">
        <v>-25.0</v>
      </c>
      <c r="AA70" s="5">
        <v>-44.0</v>
      </c>
      <c r="AB70" s="5">
        <v>-63.0</v>
      </c>
      <c r="AC70" s="17">
        <f t="shared" si="18"/>
        <v>7</v>
      </c>
      <c r="AE70" s="2">
        <v>12.0</v>
      </c>
      <c r="AF70" s="5">
        <v>96.0</v>
      </c>
      <c r="AG70" s="5">
        <v>77.0</v>
      </c>
      <c r="AH70" s="5">
        <v>58.0</v>
      </c>
      <c r="AI70" s="5">
        <v>39.0</v>
      </c>
      <c r="AJ70" s="5">
        <v>20.0</v>
      </c>
      <c r="AK70" s="5">
        <v>1.0</v>
      </c>
      <c r="AL70" s="5">
        <v>-18.0</v>
      </c>
      <c r="AM70" s="5">
        <v>-37.0</v>
      </c>
      <c r="AN70" s="5">
        <v>-56.0</v>
      </c>
      <c r="AO70" s="17">
        <f t="shared" si="19"/>
        <v>7</v>
      </c>
      <c r="AQ70" s="2">
        <v>12.0</v>
      </c>
      <c r="AR70" s="5">
        <v>60.0</v>
      </c>
      <c r="AS70" s="5">
        <v>36.0</v>
      </c>
      <c r="AT70" s="5">
        <v>12.0</v>
      </c>
      <c r="AU70" s="5">
        <v>-12.0</v>
      </c>
      <c r="AV70" s="5">
        <v>-36.0</v>
      </c>
      <c r="AW70" s="5">
        <v>-60.0</v>
      </c>
      <c r="AX70" s="17">
        <f t="shared" si="20"/>
        <v>12</v>
      </c>
    </row>
    <row r="71" ht="21.75" customHeight="1">
      <c r="A71" s="2">
        <v>13.0</v>
      </c>
      <c r="B71" s="23">
        <v>-169.0</v>
      </c>
      <c r="C71" s="23">
        <v>-154.0</v>
      </c>
      <c r="D71" s="23">
        <v>-139.0</v>
      </c>
      <c r="E71" s="23">
        <v>-124.0</v>
      </c>
      <c r="F71" s="5">
        <v>-109.0</v>
      </c>
      <c r="G71" s="5">
        <v>-94.0</v>
      </c>
      <c r="H71" s="5">
        <v>-79.0</v>
      </c>
      <c r="I71" s="5">
        <v>-64.0</v>
      </c>
      <c r="J71" s="5">
        <v>-49.0</v>
      </c>
      <c r="K71" s="5">
        <v>-34.0</v>
      </c>
      <c r="L71" s="28">
        <v>-19.0</v>
      </c>
      <c r="M71" s="28">
        <v>-4.0</v>
      </c>
      <c r="N71" s="28">
        <v>11.0</v>
      </c>
      <c r="O71" s="28">
        <v>26.0</v>
      </c>
      <c r="P71" s="17">
        <f t="shared" si="17"/>
        <v>2</v>
      </c>
      <c r="R71" s="2">
        <v>13.0</v>
      </c>
      <c r="S71" s="5">
        <v>117.0</v>
      </c>
      <c r="T71" s="5">
        <v>98.0</v>
      </c>
      <c r="U71" s="5">
        <v>79.0</v>
      </c>
      <c r="V71" s="5">
        <v>60.0</v>
      </c>
      <c r="W71" s="5">
        <v>41.0</v>
      </c>
      <c r="X71" s="5">
        <v>22.0</v>
      </c>
      <c r="Y71" s="5">
        <v>3.0</v>
      </c>
      <c r="Z71" s="5">
        <v>-16.0</v>
      </c>
      <c r="AA71" s="5">
        <v>-35.0</v>
      </c>
      <c r="AB71" s="5">
        <v>-54.0</v>
      </c>
      <c r="AC71" s="17">
        <f t="shared" si="18"/>
        <v>6</v>
      </c>
      <c r="AE71" s="2">
        <v>13.0</v>
      </c>
      <c r="AF71" s="5">
        <v>104.0</v>
      </c>
      <c r="AG71" s="5">
        <v>85.0</v>
      </c>
      <c r="AH71" s="5">
        <v>66.0</v>
      </c>
      <c r="AI71" s="5">
        <v>47.0</v>
      </c>
      <c r="AJ71" s="5">
        <v>28.0</v>
      </c>
      <c r="AK71" s="5">
        <v>9.0</v>
      </c>
      <c r="AL71" s="5">
        <v>-10.0</v>
      </c>
      <c r="AM71" s="5">
        <v>-29.0</v>
      </c>
      <c r="AN71" s="5">
        <v>-48.0</v>
      </c>
      <c r="AO71" s="17">
        <f t="shared" si="19"/>
        <v>6</v>
      </c>
      <c r="AQ71" s="2">
        <v>13.0</v>
      </c>
      <c r="AR71" s="5">
        <v>65.0</v>
      </c>
      <c r="AS71" s="5">
        <v>41.0</v>
      </c>
      <c r="AT71" s="5">
        <v>17.0</v>
      </c>
      <c r="AU71" s="5">
        <v>-7.0</v>
      </c>
      <c r="AV71" s="5">
        <v>-31.0</v>
      </c>
      <c r="AW71" s="5">
        <v>-55.0</v>
      </c>
      <c r="AX71" s="17">
        <f t="shared" si="20"/>
        <v>11</v>
      </c>
    </row>
    <row r="72" ht="21.75" customHeight="1">
      <c r="A72" s="2">
        <v>14.0</v>
      </c>
      <c r="B72" s="23">
        <v>-182.0</v>
      </c>
      <c r="C72" s="23">
        <v>-167.0</v>
      </c>
      <c r="D72" s="23">
        <v>-152.0</v>
      </c>
      <c r="E72" s="23">
        <v>-137.0</v>
      </c>
      <c r="F72" s="5">
        <v>-122.0</v>
      </c>
      <c r="G72" s="5">
        <v>-107.0</v>
      </c>
      <c r="H72" s="5">
        <v>-92.0</v>
      </c>
      <c r="I72" s="5">
        <v>-77.0</v>
      </c>
      <c r="J72" s="5">
        <v>-62.0</v>
      </c>
      <c r="K72" s="5">
        <v>-47.0</v>
      </c>
      <c r="L72" s="28">
        <v>-32.0</v>
      </c>
      <c r="M72" s="28">
        <v>-17.0</v>
      </c>
      <c r="N72" s="28">
        <v>-2.0</v>
      </c>
      <c r="O72" s="28">
        <v>13.0</v>
      </c>
      <c r="P72" s="17">
        <f t="shared" si="17"/>
        <v>1</v>
      </c>
      <c r="R72" s="2">
        <v>14.0</v>
      </c>
      <c r="S72" s="5">
        <v>126.0</v>
      </c>
      <c r="T72" s="5">
        <v>107.0</v>
      </c>
      <c r="U72" s="5">
        <v>88.0</v>
      </c>
      <c r="V72" s="5">
        <v>69.0</v>
      </c>
      <c r="W72" s="5">
        <v>50.0</v>
      </c>
      <c r="X72" s="5">
        <v>31.0</v>
      </c>
      <c r="Y72" s="5">
        <v>12.0</v>
      </c>
      <c r="Z72" s="5">
        <v>-7.0</v>
      </c>
      <c r="AA72" s="5">
        <v>-26.0</v>
      </c>
      <c r="AB72" s="5">
        <v>-45.0</v>
      </c>
      <c r="AC72" s="17">
        <f t="shared" si="18"/>
        <v>5</v>
      </c>
      <c r="AE72" s="2">
        <v>14.0</v>
      </c>
      <c r="AF72" s="5">
        <v>112.0</v>
      </c>
      <c r="AG72" s="5">
        <v>93.0</v>
      </c>
      <c r="AH72" s="5">
        <v>74.0</v>
      </c>
      <c r="AI72" s="5">
        <v>55.0</v>
      </c>
      <c r="AJ72" s="5">
        <v>36.0</v>
      </c>
      <c r="AK72" s="5">
        <v>17.0</v>
      </c>
      <c r="AL72" s="5">
        <v>-2.0</v>
      </c>
      <c r="AM72" s="5">
        <v>-21.0</v>
      </c>
      <c r="AN72" s="5">
        <v>-40.0</v>
      </c>
      <c r="AO72" s="17">
        <f t="shared" si="19"/>
        <v>5</v>
      </c>
      <c r="AQ72" s="2">
        <v>14.0</v>
      </c>
      <c r="AR72" s="5">
        <v>70.0</v>
      </c>
      <c r="AS72" s="5">
        <v>46.0</v>
      </c>
      <c r="AT72" s="5">
        <v>22.0</v>
      </c>
      <c r="AU72" s="5">
        <v>-2.0</v>
      </c>
      <c r="AV72" s="5">
        <v>-26.0</v>
      </c>
      <c r="AW72" s="5">
        <v>-50.0</v>
      </c>
      <c r="AX72" s="17">
        <f t="shared" si="20"/>
        <v>10</v>
      </c>
    </row>
    <row r="73" ht="21.75" customHeight="1">
      <c r="A73" s="2">
        <v>15.0</v>
      </c>
      <c r="B73" s="23">
        <v>-195.0</v>
      </c>
      <c r="C73" s="23">
        <v>-180.0</v>
      </c>
      <c r="D73" s="23">
        <v>-165.0</v>
      </c>
      <c r="E73" s="23">
        <v>-150.0</v>
      </c>
      <c r="F73" s="23">
        <v>-135.0</v>
      </c>
      <c r="G73" s="5">
        <v>-120.0</v>
      </c>
      <c r="H73" s="5">
        <v>-105.0</v>
      </c>
      <c r="I73" s="5">
        <v>-90.0</v>
      </c>
      <c r="J73" s="5">
        <v>-75.0</v>
      </c>
      <c r="K73" s="28">
        <v>-60.0</v>
      </c>
      <c r="L73" s="28">
        <v>-45.0</v>
      </c>
      <c r="M73" s="28">
        <v>-30.0</v>
      </c>
      <c r="N73" s="28">
        <v>-15.0</v>
      </c>
      <c r="O73" s="28">
        <v>0.0</v>
      </c>
      <c r="P73" s="17">
        <f t="shared" si="17"/>
        <v>0</v>
      </c>
      <c r="R73" s="2">
        <v>15.0</v>
      </c>
      <c r="S73" s="23">
        <v>135.0</v>
      </c>
      <c r="T73" s="5">
        <v>116.0</v>
      </c>
      <c r="U73" s="5">
        <v>97.0</v>
      </c>
      <c r="V73" s="5">
        <v>78.0</v>
      </c>
      <c r="W73" s="5">
        <v>59.0</v>
      </c>
      <c r="X73" s="5">
        <v>40.0</v>
      </c>
      <c r="Y73" s="5">
        <v>21.0</v>
      </c>
      <c r="Z73" s="5">
        <v>2.0</v>
      </c>
      <c r="AA73" s="5">
        <v>-17.0</v>
      </c>
      <c r="AB73" s="28">
        <v>-36.0</v>
      </c>
      <c r="AC73" s="17">
        <f t="shared" si="18"/>
        <v>4</v>
      </c>
      <c r="AE73" s="2">
        <v>15.0</v>
      </c>
      <c r="AF73" s="5">
        <v>120.0</v>
      </c>
      <c r="AG73" s="5">
        <v>101.0</v>
      </c>
      <c r="AH73" s="5">
        <v>82.0</v>
      </c>
      <c r="AI73" s="5">
        <v>63.0</v>
      </c>
      <c r="AJ73" s="5">
        <v>44.0</v>
      </c>
      <c r="AK73" s="5">
        <v>25.0</v>
      </c>
      <c r="AL73" s="5">
        <v>6.0</v>
      </c>
      <c r="AM73" s="15">
        <v>-13.0</v>
      </c>
      <c r="AN73" s="5">
        <v>-32.0</v>
      </c>
      <c r="AO73" s="17">
        <f t="shared" si="19"/>
        <v>4</v>
      </c>
      <c r="AQ73" s="2">
        <v>15.0</v>
      </c>
      <c r="AR73" s="5">
        <v>75.0</v>
      </c>
      <c r="AS73" s="5">
        <v>51.0</v>
      </c>
      <c r="AT73" s="5">
        <v>27.0</v>
      </c>
      <c r="AU73" s="5">
        <v>3.0</v>
      </c>
      <c r="AV73" s="5">
        <v>-21.0</v>
      </c>
      <c r="AW73" s="5">
        <v>-45.0</v>
      </c>
      <c r="AX73" s="17">
        <f t="shared" si="20"/>
        <v>9</v>
      </c>
    </row>
    <row r="74" ht="21.75" customHeight="1">
      <c r="B74" s="17">
        <f t="shared" ref="B74:O74" si="21">13-B57</f>
        <v>13</v>
      </c>
      <c r="C74" s="17">
        <f t="shared" si="21"/>
        <v>12</v>
      </c>
      <c r="D74" s="17">
        <f t="shared" si="21"/>
        <v>11</v>
      </c>
      <c r="E74" s="17">
        <f t="shared" si="21"/>
        <v>10</v>
      </c>
      <c r="F74" s="17">
        <f t="shared" si="21"/>
        <v>9</v>
      </c>
      <c r="G74" s="17">
        <f t="shared" si="21"/>
        <v>8</v>
      </c>
      <c r="H74" s="17">
        <f t="shared" si="21"/>
        <v>7</v>
      </c>
      <c r="I74" s="17">
        <f t="shared" si="21"/>
        <v>6</v>
      </c>
      <c r="J74" s="17">
        <f t="shared" si="21"/>
        <v>5</v>
      </c>
      <c r="K74" s="17">
        <f t="shared" si="21"/>
        <v>4</v>
      </c>
      <c r="L74" s="17">
        <f t="shared" si="21"/>
        <v>3</v>
      </c>
      <c r="M74" s="17">
        <f t="shared" si="21"/>
        <v>2</v>
      </c>
      <c r="N74" s="17">
        <f t="shared" si="21"/>
        <v>1</v>
      </c>
      <c r="O74" s="17">
        <f t="shared" si="21"/>
        <v>0</v>
      </c>
      <c r="P74" s="17"/>
      <c r="R74" s="2">
        <v>16.0</v>
      </c>
      <c r="S74" s="23">
        <v>144.0</v>
      </c>
      <c r="T74" s="23">
        <v>125.0</v>
      </c>
      <c r="U74" s="5">
        <v>106.0</v>
      </c>
      <c r="V74" s="5">
        <v>87.0</v>
      </c>
      <c r="W74" s="5">
        <v>68.0</v>
      </c>
      <c r="X74" s="5">
        <v>49.0</v>
      </c>
      <c r="Y74" s="5">
        <v>30.0</v>
      </c>
      <c r="Z74" s="5">
        <v>11.0</v>
      </c>
      <c r="AA74" s="28">
        <v>-8.0</v>
      </c>
      <c r="AB74" s="28">
        <v>-27.0</v>
      </c>
      <c r="AC74" s="17">
        <f t="shared" si="18"/>
        <v>3</v>
      </c>
      <c r="AE74" s="2">
        <v>16.0</v>
      </c>
      <c r="AF74" s="23">
        <v>128.0</v>
      </c>
      <c r="AG74" s="5">
        <v>109.0</v>
      </c>
      <c r="AH74" s="5">
        <v>90.0</v>
      </c>
      <c r="AI74" s="5">
        <v>71.0</v>
      </c>
      <c r="AJ74" s="5">
        <v>52.0</v>
      </c>
      <c r="AK74" s="5">
        <v>33.0</v>
      </c>
      <c r="AL74" s="5">
        <v>14.0</v>
      </c>
      <c r="AM74" s="5">
        <v>-5.0</v>
      </c>
      <c r="AN74" s="28">
        <v>-24.0</v>
      </c>
      <c r="AO74" s="17">
        <f t="shared" si="19"/>
        <v>3</v>
      </c>
      <c r="AQ74" s="2">
        <v>16.0</v>
      </c>
      <c r="AR74" s="5">
        <v>80.0</v>
      </c>
      <c r="AS74" s="5">
        <v>56.0</v>
      </c>
      <c r="AT74" s="5">
        <v>32.0</v>
      </c>
      <c r="AU74" s="5">
        <v>8.0</v>
      </c>
      <c r="AV74" s="5">
        <v>-16.0</v>
      </c>
      <c r="AW74" s="5">
        <v>-40.0</v>
      </c>
      <c r="AX74" s="17">
        <f t="shared" si="20"/>
        <v>8</v>
      </c>
    </row>
    <row r="75" ht="21.75" customHeight="1">
      <c r="P75" s="17"/>
      <c r="R75" s="2">
        <v>17.0</v>
      </c>
      <c r="S75" s="23">
        <v>153.0</v>
      </c>
      <c r="T75" s="23">
        <v>134.0</v>
      </c>
      <c r="U75" s="5">
        <v>115.0</v>
      </c>
      <c r="V75" s="5">
        <v>96.0</v>
      </c>
      <c r="W75" s="5">
        <v>77.0</v>
      </c>
      <c r="X75" s="5">
        <v>58.0</v>
      </c>
      <c r="Y75" s="5">
        <v>39.0</v>
      </c>
      <c r="Z75" s="5">
        <v>20.0</v>
      </c>
      <c r="AA75" s="28">
        <v>1.0</v>
      </c>
      <c r="AB75" s="28">
        <v>-18.0</v>
      </c>
      <c r="AC75" s="17">
        <f t="shared" si="18"/>
        <v>2</v>
      </c>
      <c r="AE75" s="2">
        <v>17.0</v>
      </c>
      <c r="AF75" s="23">
        <v>136.0</v>
      </c>
      <c r="AG75" s="5">
        <v>117.0</v>
      </c>
      <c r="AH75" s="5">
        <v>98.0</v>
      </c>
      <c r="AI75" s="5">
        <v>79.0</v>
      </c>
      <c r="AJ75" s="5">
        <v>60.0</v>
      </c>
      <c r="AK75" s="5">
        <v>41.0</v>
      </c>
      <c r="AL75" s="5">
        <v>22.0</v>
      </c>
      <c r="AM75" s="5">
        <v>3.0</v>
      </c>
      <c r="AN75" s="28">
        <v>-16.0</v>
      </c>
      <c r="AO75" s="17">
        <f t="shared" si="19"/>
        <v>2</v>
      </c>
      <c r="AQ75" s="2">
        <v>17.0</v>
      </c>
      <c r="AR75" s="5">
        <v>85.0</v>
      </c>
      <c r="AS75" s="5">
        <v>61.0</v>
      </c>
      <c r="AT75" s="5">
        <v>37.0</v>
      </c>
      <c r="AU75" s="5">
        <v>13.0</v>
      </c>
      <c r="AV75" s="5">
        <v>-11.0</v>
      </c>
      <c r="AW75" s="5">
        <v>-35.0</v>
      </c>
      <c r="AX75" s="17">
        <f t="shared" si="20"/>
        <v>7</v>
      </c>
    </row>
    <row r="76" ht="21.75" customHeight="1">
      <c r="P76" s="17"/>
      <c r="R76" s="2">
        <v>18.0</v>
      </c>
      <c r="S76" s="23">
        <v>162.0</v>
      </c>
      <c r="T76" s="23">
        <v>143.0</v>
      </c>
      <c r="U76" s="23">
        <v>124.0</v>
      </c>
      <c r="V76" s="5">
        <v>105.0</v>
      </c>
      <c r="W76" s="5">
        <v>86.0</v>
      </c>
      <c r="X76" s="5">
        <v>67.0</v>
      </c>
      <c r="Y76" s="5">
        <v>48.0</v>
      </c>
      <c r="Z76" s="28">
        <v>29.0</v>
      </c>
      <c r="AA76" s="28">
        <v>10.0</v>
      </c>
      <c r="AB76" s="28">
        <v>-9.0</v>
      </c>
      <c r="AC76" s="17">
        <f t="shared" si="18"/>
        <v>1</v>
      </c>
      <c r="AE76" s="2">
        <v>18.0</v>
      </c>
      <c r="AF76" s="23">
        <v>144.0</v>
      </c>
      <c r="AG76" s="23">
        <v>125.0</v>
      </c>
      <c r="AH76" s="5">
        <v>106.0</v>
      </c>
      <c r="AI76" s="5">
        <v>87.0</v>
      </c>
      <c r="AJ76" s="5">
        <v>68.0</v>
      </c>
      <c r="AK76" s="5">
        <v>49.0</v>
      </c>
      <c r="AL76" s="5">
        <v>30.0</v>
      </c>
      <c r="AM76" s="28">
        <v>11.0</v>
      </c>
      <c r="AN76" s="28">
        <v>-8.0</v>
      </c>
      <c r="AO76" s="17">
        <f t="shared" si="19"/>
        <v>1</v>
      </c>
      <c r="AQ76" s="2">
        <v>18.0</v>
      </c>
      <c r="AR76" s="5">
        <v>90.0</v>
      </c>
      <c r="AS76" s="5">
        <v>66.0</v>
      </c>
      <c r="AT76" s="5">
        <v>42.0</v>
      </c>
      <c r="AU76" s="5">
        <v>18.0</v>
      </c>
      <c r="AV76" s="5">
        <v>-6.0</v>
      </c>
      <c r="AW76" s="5">
        <v>-30.0</v>
      </c>
      <c r="AX76" s="17">
        <f t="shared" si="20"/>
        <v>6</v>
      </c>
    </row>
    <row r="77" ht="21.75" customHeight="1">
      <c r="P77" s="17"/>
      <c r="R77" s="2">
        <v>19.0</v>
      </c>
      <c r="S77" s="23">
        <v>171.0</v>
      </c>
      <c r="T77" s="23">
        <v>152.0</v>
      </c>
      <c r="U77" s="23">
        <v>133.0</v>
      </c>
      <c r="V77" s="5">
        <v>114.0</v>
      </c>
      <c r="W77" s="5">
        <v>95.0</v>
      </c>
      <c r="X77" s="5">
        <v>76.0</v>
      </c>
      <c r="Y77" s="5">
        <v>57.0</v>
      </c>
      <c r="Z77" s="28">
        <v>38.0</v>
      </c>
      <c r="AA77" s="28">
        <v>19.0</v>
      </c>
      <c r="AB77" s="28">
        <v>0.0</v>
      </c>
      <c r="AC77" s="17">
        <f t="shared" si="18"/>
        <v>0</v>
      </c>
      <c r="AE77" s="2">
        <v>19.0</v>
      </c>
      <c r="AF77" s="23">
        <v>152.0</v>
      </c>
      <c r="AG77" s="23">
        <v>133.0</v>
      </c>
      <c r="AH77" s="5">
        <v>114.0</v>
      </c>
      <c r="AI77" s="5">
        <v>95.0</v>
      </c>
      <c r="AJ77" s="5">
        <v>76.0</v>
      </c>
      <c r="AK77" s="5">
        <v>57.0</v>
      </c>
      <c r="AL77" s="5">
        <v>38.0</v>
      </c>
      <c r="AM77" s="28">
        <v>19.0</v>
      </c>
      <c r="AN77" s="28">
        <v>0.0</v>
      </c>
      <c r="AO77" s="17">
        <f t="shared" si="19"/>
        <v>0</v>
      </c>
      <c r="AQ77" s="2">
        <v>19.0</v>
      </c>
      <c r="AR77" s="5">
        <v>95.0</v>
      </c>
      <c r="AS77" s="5">
        <v>71.0</v>
      </c>
      <c r="AT77" s="5">
        <v>47.0</v>
      </c>
      <c r="AU77" s="5">
        <v>23.0</v>
      </c>
      <c r="AV77" s="5">
        <v>-1.0</v>
      </c>
      <c r="AW77" s="5">
        <v>-25.0</v>
      </c>
      <c r="AX77" s="17">
        <f t="shared" si="20"/>
        <v>5</v>
      </c>
    </row>
    <row r="78" ht="21.75" customHeight="1">
      <c r="P78" s="17"/>
      <c r="S78" s="17">
        <f t="shared" ref="S78:AB78" si="22">9-S57</f>
        <v>9</v>
      </c>
      <c r="T78" s="17">
        <f t="shared" si="22"/>
        <v>8</v>
      </c>
      <c r="U78" s="17">
        <f t="shared" si="22"/>
        <v>7</v>
      </c>
      <c r="V78" s="17">
        <f t="shared" si="22"/>
        <v>6</v>
      </c>
      <c r="W78" s="17">
        <f t="shared" si="22"/>
        <v>5</v>
      </c>
      <c r="X78" s="17">
        <f t="shared" si="22"/>
        <v>4</v>
      </c>
      <c r="Y78" s="17">
        <f t="shared" si="22"/>
        <v>3</v>
      </c>
      <c r="Z78" s="17">
        <f t="shared" si="22"/>
        <v>2</v>
      </c>
      <c r="AA78" s="17">
        <f t="shared" si="22"/>
        <v>1</v>
      </c>
      <c r="AB78" s="17">
        <f t="shared" si="22"/>
        <v>0</v>
      </c>
      <c r="AC78" s="17"/>
      <c r="AF78" s="17">
        <f t="shared" ref="AF78:AN78" si="23">8-AF57</f>
        <v>8</v>
      </c>
      <c r="AG78" s="17">
        <f t="shared" si="23"/>
        <v>7</v>
      </c>
      <c r="AH78" s="17">
        <f t="shared" si="23"/>
        <v>6</v>
      </c>
      <c r="AI78" s="17">
        <f t="shared" si="23"/>
        <v>5</v>
      </c>
      <c r="AJ78" s="17">
        <f t="shared" si="23"/>
        <v>4</v>
      </c>
      <c r="AK78" s="17">
        <f t="shared" si="23"/>
        <v>3</v>
      </c>
      <c r="AL78" s="17">
        <f t="shared" si="23"/>
        <v>2</v>
      </c>
      <c r="AM78" s="17">
        <f t="shared" si="23"/>
        <v>1</v>
      </c>
      <c r="AN78" s="17">
        <f t="shared" si="23"/>
        <v>0</v>
      </c>
      <c r="AO78" s="17"/>
      <c r="AQ78" s="2">
        <v>20.0</v>
      </c>
      <c r="AR78" s="5">
        <v>100.0</v>
      </c>
      <c r="AS78" s="5">
        <v>76.0</v>
      </c>
      <c r="AT78" s="5">
        <v>52.0</v>
      </c>
      <c r="AU78" s="5">
        <v>28.0</v>
      </c>
      <c r="AV78" s="5">
        <v>4.0</v>
      </c>
      <c r="AW78" s="5">
        <v>-20.0</v>
      </c>
      <c r="AX78" s="17">
        <f t="shared" si="20"/>
        <v>4</v>
      </c>
    </row>
    <row r="79" ht="21.75" customHeight="1">
      <c r="P79" s="17"/>
      <c r="AC79" s="17"/>
      <c r="AO79" s="17"/>
      <c r="AQ79" s="2">
        <v>21.0</v>
      </c>
      <c r="AR79" s="5">
        <v>105.0</v>
      </c>
      <c r="AS79" s="5">
        <v>81.0</v>
      </c>
      <c r="AT79" s="5">
        <v>57.0</v>
      </c>
      <c r="AU79" s="5">
        <v>33.0</v>
      </c>
      <c r="AV79" s="5">
        <v>9.0</v>
      </c>
      <c r="AW79" s="15">
        <v>-15.0</v>
      </c>
      <c r="AX79" s="17">
        <f t="shared" si="20"/>
        <v>3</v>
      </c>
    </row>
    <row r="80" ht="21.75" customHeight="1">
      <c r="P80" s="17"/>
      <c r="AC80" s="17"/>
      <c r="AO80" s="17"/>
      <c r="AQ80" s="2">
        <v>22.0</v>
      </c>
      <c r="AR80" s="5">
        <v>110.0</v>
      </c>
      <c r="AS80" s="5">
        <v>86.0</v>
      </c>
      <c r="AT80" s="5">
        <v>62.0</v>
      </c>
      <c r="AU80" s="5">
        <v>38.0</v>
      </c>
      <c r="AV80" s="5">
        <v>14.0</v>
      </c>
      <c r="AW80" s="5">
        <v>-10.0</v>
      </c>
      <c r="AX80" s="17">
        <f t="shared" si="20"/>
        <v>2</v>
      </c>
    </row>
    <row r="81" ht="21.75" customHeight="1">
      <c r="P81" s="17"/>
      <c r="AC81" s="17"/>
      <c r="AO81" s="17"/>
      <c r="AQ81" s="2">
        <v>23.0</v>
      </c>
      <c r="AR81" s="23">
        <v>115.0</v>
      </c>
      <c r="AS81" s="5">
        <v>91.0</v>
      </c>
      <c r="AT81" s="5">
        <v>67.0</v>
      </c>
      <c r="AU81" s="5">
        <v>43.0</v>
      </c>
      <c r="AV81" s="5">
        <v>19.0</v>
      </c>
      <c r="AW81" s="28">
        <v>-5.0</v>
      </c>
      <c r="AX81" s="17">
        <f t="shared" si="20"/>
        <v>1</v>
      </c>
    </row>
    <row r="82" ht="21.75" customHeight="1">
      <c r="P82" s="17"/>
      <c r="AC82" s="17"/>
      <c r="AO82" s="17"/>
      <c r="AQ82" s="2">
        <v>24.0</v>
      </c>
      <c r="AR82" s="23">
        <v>120.0</v>
      </c>
      <c r="AS82" s="5">
        <v>96.0</v>
      </c>
      <c r="AT82" s="5">
        <v>72.0</v>
      </c>
      <c r="AU82" s="5">
        <v>48.0</v>
      </c>
      <c r="AV82" s="5">
        <v>24.0</v>
      </c>
      <c r="AW82" s="28">
        <v>0.0</v>
      </c>
      <c r="AX82" s="17">
        <f t="shared" si="20"/>
        <v>0</v>
      </c>
    </row>
    <row r="83" ht="21.75" customHeight="1">
      <c r="A83" s="17"/>
      <c r="P83" s="17"/>
      <c r="AC83" s="17"/>
      <c r="AO83" s="17"/>
      <c r="AQ83" s="2"/>
      <c r="AR83" s="17">
        <f t="shared" ref="AR83:AW83" si="24">5-AR57</f>
        <v>5</v>
      </c>
      <c r="AS83" s="17">
        <f t="shared" si="24"/>
        <v>4</v>
      </c>
      <c r="AT83" s="17">
        <f t="shared" si="24"/>
        <v>3</v>
      </c>
      <c r="AU83" s="17">
        <f t="shared" si="24"/>
        <v>2</v>
      </c>
      <c r="AV83" s="17">
        <f t="shared" si="24"/>
        <v>1</v>
      </c>
      <c r="AW83" s="17">
        <f t="shared" si="24"/>
        <v>0</v>
      </c>
      <c r="AX83" s="17"/>
    </row>
    <row r="84" ht="21.75" customHeight="1">
      <c r="A84" s="17"/>
      <c r="P84" s="17"/>
      <c r="AC84" s="17"/>
      <c r="AO84" s="17"/>
      <c r="AX84" s="17"/>
    </row>
    <row r="85" ht="21.75" customHeight="1">
      <c r="A85" s="17"/>
      <c r="B85" s="2">
        <v>0.0</v>
      </c>
      <c r="C85" s="2">
        <v>1.0</v>
      </c>
      <c r="D85" s="2">
        <v>2.0</v>
      </c>
      <c r="E85" s="2">
        <v>3.0</v>
      </c>
      <c r="F85" s="2">
        <v>4.0</v>
      </c>
      <c r="G85" s="2">
        <v>5.0</v>
      </c>
      <c r="H85" s="2">
        <v>6.0</v>
      </c>
      <c r="I85" s="2">
        <v>7.0</v>
      </c>
      <c r="J85" s="2">
        <v>8.0</v>
      </c>
      <c r="K85" s="2">
        <v>9.0</v>
      </c>
      <c r="L85" s="2">
        <v>10.0</v>
      </c>
      <c r="M85" s="2">
        <v>11.0</v>
      </c>
      <c r="N85" s="2">
        <v>12.0</v>
      </c>
      <c r="O85" s="2">
        <v>13.0</v>
      </c>
      <c r="P85" s="17"/>
      <c r="Q85" s="17"/>
      <c r="R85" s="17"/>
      <c r="S85" s="2">
        <v>0.0</v>
      </c>
      <c r="T85" s="2">
        <v>1.0</v>
      </c>
      <c r="U85" s="2">
        <v>2.0</v>
      </c>
      <c r="V85" s="2">
        <v>3.0</v>
      </c>
      <c r="W85" s="2">
        <v>4.0</v>
      </c>
      <c r="X85" s="2">
        <v>5.0</v>
      </c>
      <c r="Y85" s="2">
        <v>6.0</v>
      </c>
      <c r="Z85" s="2">
        <v>7.0</v>
      </c>
      <c r="AA85" s="2">
        <v>8.0</v>
      </c>
      <c r="AB85" s="2">
        <v>9.0</v>
      </c>
      <c r="AC85" s="2"/>
      <c r="AD85" s="2"/>
      <c r="AE85" s="17"/>
      <c r="AF85" s="2">
        <v>0.0</v>
      </c>
      <c r="AG85" s="34">
        <v>1.0</v>
      </c>
      <c r="AH85" s="2">
        <v>2.0</v>
      </c>
      <c r="AI85" s="2">
        <v>3.0</v>
      </c>
      <c r="AJ85" s="2">
        <v>4.0</v>
      </c>
      <c r="AK85" s="2">
        <v>5.0</v>
      </c>
      <c r="AL85" s="2">
        <v>6.0</v>
      </c>
      <c r="AM85" s="34">
        <v>7.0</v>
      </c>
      <c r="AN85" s="2">
        <v>8.0</v>
      </c>
      <c r="AO85" s="2"/>
      <c r="AP85" s="2"/>
      <c r="AQ85" s="17"/>
      <c r="AR85" s="34">
        <v>0.0</v>
      </c>
      <c r="AS85" s="2">
        <v>1.0</v>
      </c>
      <c r="AT85" s="2">
        <v>2.0</v>
      </c>
      <c r="AU85" s="2">
        <v>3.0</v>
      </c>
      <c r="AV85" s="2">
        <v>4.0</v>
      </c>
      <c r="AW85" s="34">
        <v>5.0</v>
      </c>
      <c r="AX85" s="2"/>
    </row>
    <row r="86" ht="21.75" customHeight="1">
      <c r="A86" s="2">
        <v>0.0</v>
      </c>
      <c r="B86" s="28">
        <f t="array" ref="B86:O101">if(P86:P101*B85:O85&gt;B102:O102*A86:A101,P86:P101*B85:O85, B102:O102*A86:A101)</f>
        <v>0</v>
      </c>
      <c r="C86" s="28">
        <v>15.0</v>
      </c>
      <c r="D86" s="28">
        <v>30.0</v>
      </c>
      <c r="E86" s="28">
        <v>45.0</v>
      </c>
      <c r="F86" s="28">
        <v>60.0</v>
      </c>
      <c r="G86" s="17">
        <v>75.0</v>
      </c>
      <c r="H86" s="17">
        <v>90.0</v>
      </c>
      <c r="I86" s="17">
        <v>105.0</v>
      </c>
      <c r="J86" s="17">
        <v>120.0</v>
      </c>
      <c r="K86" s="23">
        <v>135.0</v>
      </c>
      <c r="L86" s="23">
        <v>150.0</v>
      </c>
      <c r="M86" s="23">
        <v>165.0</v>
      </c>
      <c r="N86" s="23">
        <v>180.0</v>
      </c>
      <c r="O86" s="23">
        <v>195.0</v>
      </c>
      <c r="P86" s="17">
        <f t="shared" ref="P86:P101" si="25">15-A86</f>
        <v>15</v>
      </c>
      <c r="R86" s="2">
        <v>0.0</v>
      </c>
      <c r="S86" s="28">
        <f t="array" ref="S86:AB105">if(AC86:AC105*S85:AB85&gt;R86:R105*S106:AB106, AC86:AC105*S85:AB85,R86:R105*S106:AB106)</f>
        <v>0</v>
      </c>
      <c r="T86" s="28">
        <v>19.0</v>
      </c>
      <c r="U86" s="28">
        <v>38.0</v>
      </c>
      <c r="V86" s="17">
        <v>57.0</v>
      </c>
      <c r="W86" s="17">
        <v>76.0</v>
      </c>
      <c r="X86" s="17">
        <v>95.0</v>
      </c>
      <c r="Y86" s="17">
        <v>114.0</v>
      </c>
      <c r="Z86" s="23">
        <v>133.0</v>
      </c>
      <c r="AA86" s="23">
        <v>152.0</v>
      </c>
      <c r="AB86" s="23">
        <v>171.0</v>
      </c>
      <c r="AC86" s="17">
        <f t="shared" ref="AC86:AC105" si="26">19-R86</f>
        <v>19</v>
      </c>
      <c r="AE86" s="2">
        <v>0.0</v>
      </c>
      <c r="AF86" s="28">
        <f t="array" ref="AF86:AN105">if(AO86:AO105*AF85:AN85&gt;AE86:AE105*AF106:AN106,AO86:AO105*AF85:AN85,AE86:AE105*AF106:AN106)</f>
        <v>0</v>
      </c>
      <c r="AG86" s="28">
        <v>19.0</v>
      </c>
      <c r="AH86" s="17">
        <v>38.0</v>
      </c>
      <c r="AI86" s="17">
        <v>57.0</v>
      </c>
      <c r="AJ86" s="17">
        <v>76.0</v>
      </c>
      <c r="AK86" s="17">
        <v>95.0</v>
      </c>
      <c r="AL86" s="17">
        <v>114.0</v>
      </c>
      <c r="AM86" s="23">
        <v>133.0</v>
      </c>
      <c r="AN86" s="23">
        <v>152.0</v>
      </c>
      <c r="AO86" s="17">
        <f t="shared" ref="AO86:AO105" si="27">19-AE86</f>
        <v>19</v>
      </c>
      <c r="AQ86" s="2">
        <v>0.0</v>
      </c>
      <c r="AR86" s="35">
        <f t="array" ref="AR86:AW110">if(AX86:AX110*AR85:AW85&gt;AQ86:AQ110*AR111:AW111,AX86:AX110*AR85:AW85,AQ86:AQ110*AR111:AW111)</f>
        <v>0</v>
      </c>
      <c r="AS86" s="17">
        <v>24.0</v>
      </c>
      <c r="AT86" s="17">
        <v>48.0</v>
      </c>
      <c r="AU86" s="17">
        <v>72.0</v>
      </c>
      <c r="AV86" s="17">
        <v>96.0</v>
      </c>
      <c r="AW86" s="23">
        <v>120.0</v>
      </c>
      <c r="AX86" s="17">
        <f t="shared" ref="AX86:AX110" si="28">24-AQ86</f>
        <v>24</v>
      </c>
    </row>
    <row r="87" ht="21.75" customHeight="1">
      <c r="A87" s="2">
        <v>1.0</v>
      </c>
      <c r="B87" s="28">
        <v>13.0</v>
      </c>
      <c r="C87" s="28">
        <v>14.0</v>
      </c>
      <c r="D87" s="28">
        <v>28.0</v>
      </c>
      <c r="E87" s="28">
        <v>42.0</v>
      </c>
      <c r="F87" s="17">
        <v>56.0</v>
      </c>
      <c r="G87" s="17">
        <v>70.0</v>
      </c>
      <c r="H87" s="17">
        <v>84.0</v>
      </c>
      <c r="I87" s="17">
        <v>98.0</v>
      </c>
      <c r="J87" s="17">
        <v>112.0</v>
      </c>
      <c r="K87" s="17">
        <v>126.0</v>
      </c>
      <c r="L87" s="23">
        <v>140.0</v>
      </c>
      <c r="M87" s="23">
        <v>154.0</v>
      </c>
      <c r="N87" s="23">
        <v>168.0</v>
      </c>
      <c r="O87" s="23">
        <v>182.0</v>
      </c>
      <c r="P87" s="17">
        <f t="shared" si="25"/>
        <v>14</v>
      </c>
      <c r="R87" s="2">
        <v>1.0</v>
      </c>
      <c r="S87" s="28">
        <v>9.0</v>
      </c>
      <c r="T87" s="28">
        <v>18.0</v>
      </c>
      <c r="U87" s="28">
        <v>36.0</v>
      </c>
      <c r="V87" s="17">
        <v>54.0</v>
      </c>
      <c r="W87" s="17">
        <v>72.0</v>
      </c>
      <c r="X87" s="17">
        <v>90.0</v>
      </c>
      <c r="Y87" s="17">
        <v>108.0</v>
      </c>
      <c r="Z87" s="23">
        <v>126.0</v>
      </c>
      <c r="AA87" s="23">
        <v>144.0</v>
      </c>
      <c r="AB87" s="23">
        <v>162.0</v>
      </c>
      <c r="AC87" s="17">
        <f t="shared" si="26"/>
        <v>18</v>
      </c>
      <c r="AE87" s="2">
        <v>1.0</v>
      </c>
      <c r="AF87" s="28">
        <v>8.0</v>
      </c>
      <c r="AG87" s="28">
        <v>18.0</v>
      </c>
      <c r="AH87" s="17">
        <v>36.0</v>
      </c>
      <c r="AI87" s="17">
        <v>54.0</v>
      </c>
      <c r="AJ87" s="17">
        <v>72.0</v>
      </c>
      <c r="AK87" s="17">
        <v>90.0</v>
      </c>
      <c r="AL87" s="17">
        <v>108.0</v>
      </c>
      <c r="AM87" s="23">
        <v>126.0</v>
      </c>
      <c r="AN87" s="23">
        <v>144.0</v>
      </c>
      <c r="AO87" s="17">
        <f t="shared" si="27"/>
        <v>18</v>
      </c>
      <c r="AQ87" s="2">
        <v>1.0</v>
      </c>
      <c r="AR87" s="35">
        <v>5.0</v>
      </c>
      <c r="AS87" s="17">
        <v>23.0</v>
      </c>
      <c r="AT87" s="17">
        <v>46.0</v>
      </c>
      <c r="AU87" s="17">
        <v>69.0</v>
      </c>
      <c r="AV87" s="17">
        <v>92.0</v>
      </c>
      <c r="AW87" s="23">
        <v>115.0</v>
      </c>
      <c r="AX87" s="17">
        <f t="shared" si="28"/>
        <v>23</v>
      </c>
    </row>
    <row r="88" ht="21.75" customHeight="1">
      <c r="A88" s="2">
        <v>2.0</v>
      </c>
      <c r="B88" s="28">
        <v>26.0</v>
      </c>
      <c r="C88" s="28">
        <v>24.0</v>
      </c>
      <c r="D88" s="28">
        <v>26.0</v>
      </c>
      <c r="E88" s="28">
        <v>39.0</v>
      </c>
      <c r="F88" s="17">
        <v>52.0</v>
      </c>
      <c r="G88" s="17">
        <v>65.0</v>
      </c>
      <c r="H88" s="17">
        <v>78.0</v>
      </c>
      <c r="I88" s="17">
        <v>91.0</v>
      </c>
      <c r="J88" s="17">
        <v>104.0</v>
      </c>
      <c r="K88" s="17">
        <v>117.0</v>
      </c>
      <c r="L88" s="23">
        <v>130.0</v>
      </c>
      <c r="M88" s="23">
        <v>143.0</v>
      </c>
      <c r="N88" s="23">
        <v>156.0</v>
      </c>
      <c r="O88" s="23">
        <v>169.0</v>
      </c>
      <c r="P88" s="17">
        <f t="shared" si="25"/>
        <v>13</v>
      </c>
      <c r="R88" s="2">
        <v>2.0</v>
      </c>
      <c r="S88" s="28">
        <v>18.0</v>
      </c>
      <c r="T88" s="28">
        <v>17.0</v>
      </c>
      <c r="U88" s="17">
        <v>34.0</v>
      </c>
      <c r="V88" s="17">
        <v>51.0</v>
      </c>
      <c r="W88" s="17">
        <v>68.0</v>
      </c>
      <c r="X88" s="17">
        <v>85.0</v>
      </c>
      <c r="Y88" s="17">
        <v>102.0</v>
      </c>
      <c r="Z88" s="17">
        <v>119.0</v>
      </c>
      <c r="AA88" s="23">
        <v>136.0</v>
      </c>
      <c r="AB88" s="23">
        <v>153.0</v>
      </c>
      <c r="AC88" s="17">
        <f t="shared" si="26"/>
        <v>17</v>
      </c>
      <c r="AE88" s="2">
        <v>2.0</v>
      </c>
      <c r="AF88" s="28">
        <v>16.0</v>
      </c>
      <c r="AG88" s="17">
        <v>17.0</v>
      </c>
      <c r="AH88" s="17">
        <v>34.0</v>
      </c>
      <c r="AI88" s="17">
        <v>51.0</v>
      </c>
      <c r="AJ88" s="17">
        <v>68.0</v>
      </c>
      <c r="AK88" s="17">
        <v>85.0</v>
      </c>
      <c r="AL88" s="17">
        <v>102.0</v>
      </c>
      <c r="AM88" s="17">
        <v>119.0</v>
      </c>
      <c r="AN88" s="23">
        <v>136.0</v>
      </c>
      <c r="AO88" s="17">
        <f t="shared" si="27"/>
        <v>17</v>
      </c>
      <c r="AQ88" s="2">
        <v>2.0</v>
      </c>
      <c r="AR88" s="30">
        <v>10.0</v>
      </c>
      <c r="AS88" s="17">
        <v>22.0</v>
      </c>
      <c r="AT88" s="17">
        <v>44.0</v>
      </c>
      <c r="AU88" s="17">
        <v>66.0</v>
      </c>
      <c r="AV88" s="17">
        <v>88.0</v>
      </c>
      <c r="AW88" s="17">
        <v>110.0</v>
      </c>
      <c r="AX88" s="17">
        <f t="shared" si="28"/>
        <v>22</v>
      </c>
    </row>
    <row r="89" ht="21.75" customHeight="1">
      <c r="A89" s="2">
        <v>3.0</v>
      </c>
      <c r="B89" s="28">
        <v>39.0</v>
      </c>
      <c r="C89" s="28">
        <v>36.0</v>
      </c>
      <c r="D89" s="28">
        <v>33.0</v>
      </c>
      <c r="E89" s="30">
        <v>36.0</v>
      </c>
      <c r="F89" s="17">
        <v>48.0</v>
      </c>
      <c r="G89" s="17">
        <v>60.0</v>
      </c>
      <c r="H89" s="17">
        <v>72.0</v>
      </c>
      <c r="I89" s="17">
        <v>84.0</v>
      </c>
      <c r="J89" s="17">
        <v>96.0</v>
      </c>
      <c r="K89" s="17">
        <v>108.0</v>
      </c>
      <c r="L89" s="17">
        <v>120.0</v>
      </c>
      <c r="M89" s="23">
        <v>132.0</v>
      </c>
      <c r="N89" s="23">
        <v>144.0</v>
      </c>
      <c r="O89" s="23">
        <v>156.0</v>
      </c>
      <c r="P89" s="17">
        <f t="shared" si="25"/>
        <v>12</v>
      </c>
      <c r="R89" s="2">
        <v>3.0</v>
      </c>
      <c r="S89" s="28">
        <v>27.0</v>
      </c>
      <c r="T89" s="29">
        <v>24.0</v>
      </c>
      <c r="U89" s="17">
        <v>32.0</v>
      </c>
      <c r="V89" s="17">
        <v>48.0</v>
      </c>
      <c r="W89" s="17">
        <v>64.0</v>
      </c>
      <c r="X89" s="17">
        <v>80.0</v>
      </c>
      <c r="Y89" s="17">
        <v>96.0</v>
      </c>
      <c r="Z89" s="17">
        <v>112.0</v>
      </c>
      <c r="AA89" s="23">
        <v>128.0</v>
      </c>
      <c r="AB89" s="23">
        <v>144.0</v>
      </c>
      <c r="AC89" s="17">
        <f t="shared" si="26"/>
        <v>16</v>
      </c>
      <c r="AE89" s="2">
        <v>3.0</v>
      </c>
      <c r="AF89" s="28">
        <v>24.0</v>
      </c>
      <c r="AG89" s="30">
        <v>21.0</v>
      </c>
      <c r="AH89" s="17">
        <v>32.0</v>
      </c>
      <c r="AI89" s="17">
        <v>48.0</v>
      </c>
      <c r="AJ89" s="17">
        <v>64.0</v>
      </c>
      <c r="AK89" s="17">
        <v>80.0</v>
      </c>
      <c r="AL89" s="17">
        <v>96.0</v>
      </c>
      <c r="AM89" s="17">
        <v>112.0</v>
      </c>
      <c r="AN89" s="23">
        <v>128.0</v>
      </c>
      <c r="AO89" s="17">
        <f t="shared" si="27"/>
        <v>16</v>
      </c>
      <c r="AQ89" s="34">
        <v>3.0</v>
      </c>
      <c r="AR89" s="36">
        <v>15.0</v>
      </c>
      <c r="AS89" s="17">
        <v>21.0</v>
      </c>
      <c r="AT89" s="17">
        <v>42.0</v>
      </c>
      <c r="AU89" s="17">
        <v>63.0</v>
      </c>
      <c r="AV89" s="17">
        <v>84.0</v>
      </c>
      <c r="AW89" s="17">
        <v>105.0</v>
      </c>
      <c r="AX89" s="17">
        <f t="shared" si="28"/>
        <v>21</v>
      </c>
    </row>
    <row r="90" ht="21.75" customHeight="1">
      <c r="A90" s="2">
        <v>4.0</v>
      </c>
      <c r="B90" s="28">
        <v>52.0</v>
      </c>
      <c r="C90" s="28">
        <v>48.0</v>
      </c>
      <c r="D90" s="32">
        <v>44.0</v>
      </c>
      <c r="E90" s="30">
        <v>40.0</v>
      </c>
      <c r="F90" s="17">
        <v>44.0</v>
      </c>
      <c r="G90" s="17">
        <v>55.0</v>
      </c>
      <c r="H90" s="17">
        <v>66.0</v>
      </c>
      <c r="I90" s="17">
        <v>77.0</v>
      </c>
      <c r="J90" s="17">
        <v>88.0</v>
      </c>
      <c r="K90" s="17">
        <v>99.0</v>
      </c>
      <c r="L90" s="17">
        <v>110.0</v>
      </c>
      <c r="M90" s="17">
        <v>121.0</v>
      </c>
      <c r="N90" s="23">
        <v>132.0</v>
      </c>
      <c r="O90" s="23">
        <v>143.0</v>
      </c>
      <c r="P90" s="17">
        <f t="shared" si="25"/>
        <v>11</v>
      </c>
      <c r="R90" s="2">
        <v>4.0</v>
      </c>
      <c r="S90" s="28">
        <v>36.0</v>
      </c>
      <c r="T90" s="30">
        <v>32.0</v>
      </c>
      <c r="U90" s="31">
        <v>30.0</v>
      </c>
      <c r="V90" s="17">
        <v>45.0</v>
      </c>
      <c r="W90" s="17">
        <v>60.0</v>
      </c>
      <c r="X90" s="17">
        <v>75.0</v>
      </c>
      <c r="Y90" s="17">
        <v>90.0</v>
      </c>
      <c r="Z90" s="17">
        <v>105.0</v>
      </c>
      <c r="AA90" s="17">
        <v>120.0</v>
      </c>
      <c r="AB90" s="23">
        <v>135.0</v>
      </c>
      <c r="AC90" s="17">
        <f t="shared" si="26"/>
        <v>15</v>
      </c>
      <c r="AE90" s="34">
        <v>4.0</v>
      </c>
      <c r="AF90" s="30">
        <v>32.0</v>
      </c>
      <c r="AG90" s="36">
        <v>28.0</v>
      </c>
      <c r="AH90" s="30">
        <v>30.0</v>
      </c>
      <c r="AI90" s="17">
        <v>45.0</v>
      </c>
      <c r="AJ90" s="17">
        <v>60.0</v>
      </c>
      <c r="AK90" s="17">
        <v>75.0</v>
      </c>
      <c r="AL90" s="17">
        <v>90.0</v>
      </c>
      <c r="AM90" s="17">
        <v>105.0</v>
      </c>
      <c r="AN90" s="17">
        <v>120.0</v>
      </c>
      <c r="AO90" s="17">
        <f t="shared" si="27"/>
        <v>15</v>
      </c>
      <c r="AQ90" s="2">
        <v>4.0</v>
      </c>
      <c r="AR90" s="30">
        <v>20.0</v>
      </c>
      <c r="AS90" s="17">
        <v>20.0</v>
      </c>
      <c r="AT90" s="17">
        <v>40.0</v>
      </c>
      <c r="AU90" s="17">
        <v>60.0</v>
      </c>
      <c r="AV90" s="17">
        <v>80.0</v>
      </c>
      <c r="AW90" s="17">
        <v>100.0</v>
      </c>
      <c r="AX90" s="17">
        <f t="shared" si="28"/>
        <v>20</v>
      </c>
    </row>
    <row r="91" ht="21.75" customHeight="1">
      <c r="A91" s="2">
        <v>5.0</v>
      </c>
      <c r="B91" s="28">
        <v>65.0</v>
      </c>
      <c r="C91" s="32">
        <v>60.0</v>
      </c>
      <c r="D91" s="32">
        <v>55.0</v>
      </c>
      <c r="E91" s="32">
        <v>50.0</v>
      </c>
      <c r="F91" s="30">
        <v>45.0</v>
      </c>
      <c r="G91" s="17">
        <v>50.0</v>
      </c>
      <c r="H91" s="17">
        <v>60.0</v>
      </c>
      <c r="I91" s="17">
        <v>70.0</v>
      </c>
      <c r="J91" s="17">
        <v>80.0</v>
      </c>
      <c r="K91" s="17">
        <v>90.0</v>
      </c>
      <c r="L91" s="17">
        <v>100.0</v>
      </c>
      <c r="M91" s="17">
        <v>110.0</v>
      </c>
      <c r="N91" s="17">
        <v>120.0</v>
      </c>
      <c r="O91" s="23">
        <v>130.0</v>
      </c>
      <c r="P91" s="17">
        <f t="shared" si="25"/>
        <v>10</v>
      </c>
      <c r="R91" s="2">
        <v>5.0</v>
      </c>
      <c r="S91" s="30">
        <v>45.0</v>
      </c>
      <c r="T91" s="30">
        <v>40.0</v>
      </c>
      <c r="U91" s="30">
        <v>35.0</v>
      </c>
      <c r="V91" s="17">
        <v>42.0</v>
      </c>
      <c r="W91" s="17">
        <v>56.0</v>
      </c>
      <c r="X91" s="17">
        <v>70.0</v>
      </c>
      <c r="Y91" s="17">
        <v>84.0</v>
      </c>
      <c r="Z91" s="17">
        <v>98.0</v>
      </c>
      <c r="AA91" s="17">
        <v>112.0</v>
      </c>
      <c r="AB91" s="17">
        <v>126.0</v>
      </c>
      <c r="AC91" s="17">
        <f t="shared" si="26"/>
        <v>14</v>
      </c>
      <c r="AE91" s="2">
        <v>5.0</v>
      </c>
      <c r="AF91" s="30">
        <v>40.0</v>
      </c>
      <c r="AG91" s="30">
        <v>35.0</v>
      </c>
      <c r="AH91" s="30">
        <v>30.0</v>
      </c>
      <c r="AI91" s="17">
        <v>42.0</v>
      </c>
      <c r="AJ91" s="17">
        <v>56.0</v>
      </c>
      <c r="AK91" s="17">
        <v>70.0</v>
      </c>
      <c r="AL91" s="17">
        <v>84.0</v>
      </c>
      <c r="AM91" s="17">
        <v>98.0</v>
      </c>
      <c r="AN91" s="17">
        <v>112.0</v>
      </c>
      <c r="AO91" s="17">
        <f t="shared" si="27"/>
        <v>14</v>
      </c>
      <c r="AQ91" s="2">
        <v>5.0</v>
      </c>
      <c r="AR91" s="30">
        <v>25.0</v>
      </c>
      <c r="AS91" s="17">
        <v>20.0</v>
      </c>
      <c r="AT91" s="17">
        <v>38.0</v>
      </c>
      <c r="AU91" s="17">
        <v>57.0</v>
      </c>
      <c r="AV91" s="17">
        <v>76.0</v>
      </c>
      <c r="AW91" s="17">
        <v>95.0</v>
      </c>
      <c r="AX91" s="17">
        <f t="shared" si="28"/>
        <v>19</v>
      </c>
    </row>
    <row r="92" ht="21.75" customHeight="1">
      <c r="A92" s="2">
        <v>6.0</v>
      </c>
      <c r="B92" s="32">
        <v>78.0</v>
      </c>
      <c r="C92" s="32">
        <v>72.0</v>
      </c>
      <c r="D92" s="32">
        <v>66.0</v>
      </c>
      <c r="E92" s="32">
        <v>60.0</v>
      </c>
      <c r="F92" s="32">
        <v>54.0</v>
      </c>
      <c r="G92" s="32">
        <v>48.0</v>
      </c>
      <c r="H92" s="17">
        <v>54.0</v>
      </c>
      <c r="I92" s="17">
        <v>63.0</v>
      </c>
      <c r="J92" s="17">
        <v>72.0</v>
      </c>
      <c r="K92" s="17">
        <v>81.0</v>
      </c>
      <c r="L92" s="17">
        <v>90.0</v>
      </c>
      <c r="M92" s="17">
        <v>99.0</v>
      </c>
      <c r="N92" s="17">
        <v>108.0</v>
      </c>
      <c r="O92" s="17">
        <v>117.0</v>
      </c>
      <c r="P92" s="17">
        <f t="shared" si="25"/>
        <v>9</v>
      </c>
      <c r="R92" s="2">
        <v>6.0</v>
      </c>
      <c r="S92" s="32">
        <v>54.0</v>
      </c>
      <c r="T92" s="32">
        <v>48.0</v>
      </c>
      <c r="U92" s="30">
        <v>42.0</v>
      </c>
      <c r="V92" s="17">
        <v>39.0</v>
      </c>
      <c r="W92" s="17">
        <v>52.0</v>
      </c>
      <c r="X92" s="17">
        <v>65.0</v>
      </c>
      <c r="Y92" s="17">
        <v>78.0</v>
      </c>
      <c r="Z92" s="17">
        <v>91.0</v>
      </c>
      <c r="AA92" s="17">
        <v>104.0</v>
      </c>
      <c r="AB92" s="17">
        <v>117.0</v>
      </c>
      <c r="AC92" s="17">
        <f t="shared" si="26"/>
        <v>13</v>
      </c>
      <c r="AE92" s="2">
        <v>6.0</v>
      </c>
      <c r="AF92" s="32">
        <v>48.0</v>
      </c>
      <c r="AG92" s="30">
        <v>42.0</v>
      </c>
      <c r="AH92" s="30">
        <v>36.0</v>
      </c>
      <c r="AI92" s="17">
        <v>39.0</v>
      </c>
      <c r="AJ92" s="17">
        <v>52.0</v>
      </c>
      <c r="AK92" s="17">
        <v>65.0</v>
      </c>
      <c r="AL92" s="17">
        <v>78.0</v>
      </c>
      <c r="AM92" s="17">
        <v>91.0</v>
      </c>
      <c r="AN92" s="17">
        <v>104.0</v>
      </c>
      <c r="AO92" s="17">
        <f t="shared" si="27"/>
        <v>13</v>
      </c>
      <c r="AQ92" s="2">
        <v>6.0</v>
      </c>
      <c r="AR92" s="30">
        <v>30.0</v>
      </c>
      <c r="AS92" s="17">
        <v>24.0</v>
      </c>
      <c r="AT92" s="17">
        <v>36.0</v>
      </c>
      <c r="AU92" s="17">
        <v>54.0</v>
      </c>
      <c r="AV92" s="17">
        <v>72.0</v>
      </c>
      <c r="AW92" s="17">
        <v>90.0</v>
      </c>
      <c r="AX92" s="17">
        <f t="shared" si="28"/>
        <v>18</v>
      </c>
    </row>
    <row r="93" ht="21.75" customHeight="1">
      <c r="A93" s="2">
        <v>7.0</v>
      </c>
      <c r="B93" s="32">
        <v>91.0</v>
      </c>
      <c r="C93" s="32">
        <v>84.0</v>
      </c>
      <c r="D93" s="32">
        <v>77.0</v>
      </c>
      <c r="E93" s="32">
        <v>70.0</v>
      </c>
      <c r="F93" s="32">
        <v>63.0</v>
      </c>
      <c r="G93" s="32">
        <v>56.0</v>
      </c>
      <c r="H93" s="15">
        <v>49.0</v>
      </c>
      <c r="I93" s="17">
        <v>56.0</v>
      </c>
      <c r="J93" s="17">
        <v>64.0</v>
      </c>
      <c r="K93" s="17">
        <v>72.0</v>
      </c>
      <c r="L93" s="17">
        <v>80.0</v>
      </c>
      <c r="M93" s="17">
        <v>88.0</v>
      </c>
      <c r="N93" s="17">
        <v>96.0</v>
      </c>
      <c r="O93" s="17">
        <v>104.0</v>
      </c>
      <c r="P93" s="17">
        <f t="shared" si="25"/>
        <v>8</v>
      </c>
      <c r="R93" s="2">
        <v>7.0</v>
      </c>
      <c r="S93" s="32">
        <v>63.0</v>
      </c>
      <c r="T93" s="32">
        <v>56.0</v>
      </c>
      <c r="U93" s="32">
        <v>49.0</v>
      </c>
      <c r="V93" s="31">
        <v>42.0</v>
      </c>
      <c r="W93" s="17">
        <v>48.0</v>
      </c>
      <c r="X93" s="17">
        <v>60.0</v>
      </c>
      <c r="Y93" s="17">
        <v>72.0</v>
      </c>
      <c r="Z93" s="17">
        <v>84.0</v>
      </c>
      <c r="AA93" s="17">
        <v>96.0</v>
      </c>
      <c r="AB93" s="17">
        <v>108.0</v>
      </c>
      <c r="AC93" s="17">
        <f t="shared" si="26"/>
        <v>12</v>
      </c>
      <c r="AE93" s="2">
        <v>7.0</v>
      </c>
      <c r="AF93" s="32">
        <v>56.0</v>
      </c>
      <c r="AG93" s="32">
        <v>49.0</v>
      </c>
      <c r="AH93" s="30">
        <v>42.0</v>
      </c>
      <c r="AI93" s="30">
        <v>36.0</v>
      </c>
      <c r="AJ93" s="17">
        <v>48.0</v>
      </c>
      <c r="AK93" s="17">
        <v>60.0</v>
      </c>
      <c r="AL93" s="37">
        <v>72.0</v>
      </c>
      <c r="AM93" s="17">
        <v>84.0</v>
      </c>
      <c r="AN93" s="17">
        <v>96.0</v>
      </c>
      <c r="AO93" s="17">
        <f t="shared" si="27"/>
        <v>12</v>
      </c>
      <c r="AQ93" s="2">
        <v>7.0</v>
      </c>
      <c r="AR93" s="30">
        <v>35.0</v>
      </c>
      <c r="AS93" s="17">
        <v>28.0</v>
      </c>
      <c r="AT93" s="17">
        <v>34.0</v>
      </c>
      <c r="AU93" s="17">
        <v>51.0</v>
      </c>
      <c r="AV93" s="17">
        <v>68.0</v>
      </c>
      <c r="AW93" s="17">
        <v>85.0</v>
      </c>
      <c r="AX93" s="17">
        <f t="shared" si="28"/>
        <v>17</v>
      </c>
    </row>
    <row r="94" ht="21.75" customHeight="1">
      <c r="A94" s="2">
        <v>8.0</v>
      </c>
      <c r="B94" s="32">
        <v>104.0</v>
      </c>
      <c r="C94" s="32">
        <v>96.0</v>
      </c>
      <c r="D94" s="32">
        <v>88.0</v>
      </c>
      <c r="E94" s="32">
        <v>80.0</v>
      </c>
      <c r="F94" s="32">
        <v>72.0</v>
      </c>
      <c r="G94" s="32">
        <v>64.0</v>
      </c>
      <c r="H94" s="32">
        <v>56.0</v>
      </c>
      <c r="I94" s="15">
        <v>49.0</v>
      </c>
      <c r="J94" s="17">
        <v>56.0</v>
      </c>
      <c r="K94" s="17">
        <v>63.0</v>
      </c>
      <c r="L94" s="17">
        <v>70.0</v>
      </c>
      <c r="M94" s="17">
        <v>77.0</v>
      </c>
      <c r="N94" s="17">
        <v>84.0</v>
      </c>
      <c r="O94" s="17">
        <v>91.0</v>
      </c>
      <c r="P94" s="17">
        <f t="shared" si="25"/>
        <v>7</v>
      </c>
      <c r="R94" s="2">
        <v>8.0</v>
      </c>
      <c r="S94" s="32">
        <v>72.0</v>
      </c>
      <c r="T94" s="32">
        <v>64.0</v>
      </c>
      <c r="U94" s="32">
        <v>56.0</v>
      </c>
      <c r="V94" s="32">
        <v>48.0</v>
      </c>
      <c r="W94" s="26">
        <v>44.0</v>
      </c>
      <c r="X94" s="17">
        <v>55.0</v>
      </c>
      <c r="Y94" s="17">
        <v>66.0</v>
      </c>
      <c r="Z94" s="17">
        <v>77.0</v>
      </c>
      <c r="AA94" s="17">
        <v>88.0</v>
      </c>
      <c r="AB94" s="17">
        <v>99.0</v>
      </c>
      <c r="AC94" s="17">
        <f t="shared" si="26"/>
        <v>11</v>
      </c>
      <c r="AE94" s="2">
        <v>8.0</v>
      </c>
      <c r="AF94" s="32">
        <v>64.0</v>
      </c>
      <c r="AG94" s="32">
        <v>56.0</v>
      </c>
      <c r="AH94" s="32">
        <v>48.0</v>
      </c>
      <c r="AI94" s="30">
        <v>40.0</v>
      </c>
      <c r="AJ94" s="17">
        <v>44.0</v>
      </c>
      <c r="AK94" s="17">
        <v>55.0</v>
      </c>
      <c r="AL94" s="17">
        <v>66.0</v>
      </c>
      <c r="AM94" s="17">
        <v>77.0</v>
      </c>
      <c r="AN94" s="17">
        <v>88.0</v>
      </c>
      <c r="AO94" s="17">
        <f t="shared" si="27"/>
        <v>11</v>
      </c>
      <c r="AQ94" s="2">
        <v>8.0</v>
      </c>
      <c r="AR94" s="30">
        <v>40.0</v>
      </c>
      <c r="AS94" s="30">
        <v>32.0</v>
      </c>
      <c r="AT94" s="17">
        <v>32.0</v>
      </c>
      <c r="AU94" s="17">
        <v>48.0</v>
      </c>
      <c r="AV94" s="17">
        <v>64.0</v>
      </c>
      <c r="AW94" s="17">
        <v>80.0</v>
      </c>
      <c r="AX94" s="17">
        <f t="shared" si="28"/>
        <v>16</v>
      </c>
    </row>
    <row r="95" ht="21.75" customHeight="1">
      <c r="A95" s="2">
        <v>9.0</v>
      </c>
      <c r="B95" s="32">
        <v>117.0</v>
      </c>
      <c r="C95" s="32">
        <v>108.0</v>
      </c>
      <c r="D95" s="32">
        <v>99.0</v>
      </c>
      <c r="E95" s="32">
        <v>90.0</v>
      </c>
      <c r="F95" s="32">
        <v>81.0</v>
      </c>
      <c r="G95" s="32">
        <v>72.0</v>
      </c>
      <c r="H95" s="32">
        <v>63.0</v>
      </c>
      <c r="I95" s="32">
        <v>54.0</v>
      </c>
      <c r="J95" s="17">
        <v>48.0</v>
      </c>
      <c r="K95" s="17">
        <v>54.0</v>
      </c>
      <c r="L95" s="17">
        <v>60.0</v>
      </c>
      <c r="M95" s="17">
        <v>66.0</v>
      </c>
      <c r="N95" s="17">
        <v>72.0</v>
      </c>
      <c r="O95" s="17">
        <v>78.0</v>
      </c>
      <c r="P95" s="17">
        <f t="shared" si="25"/>
        <v>6</v>
      </c>
      <c r="R95" s="2">
        <v>9.0</v>
      </c>
      <c r="S95" s="32">
        <v>81.0</v>
      </c>
      <c r="T95" s="32">
        <v>72.0</v>
      </c>
      <c r="U95" s="32">
        <v>63.0</v>
      </c>
      <c r="V95" s="32">
        <v>54.0</v>
      </c>
      <c r="W95" s="30">
        <v>45.0</v>
      </c>
      <c r="X95" s="17">
        <v>50.0</v>
      </c>
      <c r="Y95" s="17">
        <v>60.0</v>
      </c>
      <c r="Z95" s="17">
        <v>70.0</v>
      </c>
      <c r="AA95" s="17">
        <v>80.0</v>
      </c>
      <c r="AB95" s="17">
        <v>90.0</v>
      </c>
      <c r="AC95" s="17">
        <f t="shared" si="26"/>
        <v>10</v>
      </c>
      <c r="AE95" s="2">
        <v>9.0</v>
      </c>
      <c r="AF95" s="32">
        <v>72.0</v>
      </c>
      <c r="AG95" s="32">
        <v>63.0</v>
      </c>
      <c r="AH95" s="32">
        <v>54.0</v>
      </c>
      <c r="AI95" s="30">
        <v>45.0</v>
      </c>
      <c r="AJ95" s="30">
        <v>40.0</v>
      </c>
      <c r="AK95" s="17">
        <v>50.0</v>
      </c>
      <c r="AL95" s="17">
        <v>60.0</v>
      </c>
      <c r="AM95" s="17">
        <v>70.0</v>
      </c>
      <c r="AN95" s="17">
        <v>80.0</v>
      </c>
      <c r="AO95" s="17">
        <f t="shared" si="27"/>
        <v>10</v>
      </c>
      <c r="AQ95" s="2">
        <v>9.0</v>
      </c>
      <c r="AR95" s="30">
        <v>45.0</v>
      </c>
      <c r="AS95" s="30">
        <v>36.0</v>
      </c>
      <c r="AT95" s="30">
        <v>30.0</v>
      </c>
      <c r="AU95" s="17">
        <v>45.0</v>
      </c>
      <c r="AV95" s="17">
        <v>60.0</v>
      </c>
      <c r="AW95" s="17">
        <v>75.0</v>
      </c>
      <c r="AX95" s="17">
        <f t="shared" si="28"/>
        <v>15</v>
      </c>
    </row>
    <row r="96" ht="21.75" customHeight="1">
      <c r="A96" s="2">
        <v>10.0</v>
      </c>
      <c r="B96" s="23">
        <v>130.0</v>
      </c>
      <c r="C96" s="32">
        <v>120.0</v>
      </c>
      <c r="D96" s="32">
        <v>110.0</v>
      </c>
      <c r="E96" s="32">
        <v>100.0</v>
      </c>
      <c r="F96" s="32">
        <v>90.0</v>
      </c>
      <c r="G96" s="32">
        <v>80.0</v>
      </c>
      <c r="H96" s="32">
        <v>70.0</v>
      </c>
      <c r="I96" s="32">
        <v>60.0</v>
      </c>
      <c r="J96" s="32">
        <v>50.0</v>
      </c>
      <c r="K96" s="30">
        <v>45.0</v>
      </c>
      <c r="L96" s="17">
        <v>50.0</v>
      </c>
      <c r="M96" s="17">
        <v>55.0</v>
      </c>
      <c r="N96" s="17">
        <v>60.0</v>
      </c>
      <c r="O96" s="28">
        <v>65.0</v>
      </c>
      <c r="P96" s="17">
        <f t="shared" si="25"/>
        <v>5</v>
      </c>
      <c r="R96" s="2">
        <v>10.0</v>
      </c>
      <c r="S96" s="32">
        <v>90.0</v>
      </c>
      <c r="T96" s="32">
        <v>80.0</v>
      </c>
      <c r="U96" s="32">
        <v>70.0</v>
      </c>
      <c r="V96" s="32">
        <v>60.0</v>
      </c>
      <c r="W96" s="32">
        <v>50.0</v>
      </c>
      <c r="X96" s="30">
        <v>45.0</v>
      </c>
      <c r="Y96" s="17">
        <v>54.0</v>
      </c>
      <c r="Z96" s="17">
        <v>63.0</v>
      </c>
      <c r="AA96" s="17">
        <v>72.0</v>
      </c>
      <c r="AB96" s="17">
        <v>81.0</v>
      </c>
      <c r="AC96" s="17">
        <f t="shared" si="26"/>
        <v>9</v>
      </c>
      <c r="AE96" s="2">
        <v>10.0</v>
      </c>
      <c r="AF96" s="32">
        <v>80.0</v>
      </c>
      <c r="AG96" s="32">
        <v>70.0</v>
      </c>
      <c r="AH96" s="32">
        <v>60.0</v>
      </c>
      <c r="AI96" s="32">
        <v>50.0</v>
      </c>
      <c r="AJ96" s="30">
        <v>40.0</v>
      </c>
      <c r="AK96" s="30">
        <v>45.0</v>
      </c>
      <c r="AL96" s="17">
        <v>54.0</v>
      </c>
      <c r="AM96" s="17">
        <v>63.0</v>
      </c>
      <c r="AN96" s="17">
        <v>72.0</v>
      </c>
      <c r="AO96" s="17">
        <f t="shared" si="27"/>
        <v>9</v>
      </c>
      <c r="AQ96" s="2">
        <v>10.0</v>
      </c>
      <c r="AR96" s="32">
        <v>50.0</v>
      </c>
      <c r="AS96" s="30">
        <v>40.0</v>
      </c>
      <c r="AT96" s="30">
        <v>30.0</v>
      </c>
      <c r="AU96" s="17">
        <v>42.0</v>
      </c>
      <c r="AV96" s="17">
        <v>56.0</v>
      </c>
      <c r="AW96" s="17">
        <v>70.0</v>
      </c>
      <c r="AX96" s="17">
        <f t="shared" si="28"/>
        <v>14</v>
      </c>
    </row>
    <row r="97" ht="21.75" customHeight="1">
      <c r="A97" s="2">
        <v>11.0</v>
      </c>
      <c r="B97" s="23">
        <v>143.0</v>
      </c>
      <c r="C97" s="23">
        <v>132.0</v>
      </c>
      <c r="D97" s="32">
        <v>121.0</v>
      </c>
      <c r="E97" s="32">
        <v>110.0</v>
      </c>
      <c r="F97" s="32">
        <v>99.0</v>
      </c>
      <c r="G97" s="32">
        <v>88.0</v>
      </c>
      <c r="H97" s="32">
        <v>77.0</v>
      </c>
      <c r="I97" s="32">
        <v>66.0</v>
      </c>
      <c r="J97" s="32">
        <v>55.0</v>
      </c>
      <c r="K97" s="32">
        <v>44.0</v>
      </c>
      <c r="L97" s="30">
        <v>40.0</v>
      </c>
      <c r="M97" s="17">
        <v>44.0</v>
      </c>
      <c r="N97" s="28">
        <v>48.0</v>
      </c>
      <c r="O97" s="28">
        <v>52.0</v>
      </c>
      <c r="P97" s="17">
        <f t="shared" si="25"/>
        <v>4</v>
      </c>
      <c r="R97" s="2">
        <v>11.0</v>
      </c>
      <c r="S97" s="32">
        <v>99.0</v>
      </c>
      <c r="T97" s="32">
        <v>88.0</v>
      </c>
      <c r="U97" s="32">
        <v>77.0</v>
      </c>
      <c r="V97" s="32">
        <v>66.0</v>
      </c>
      <c r="W97" s="32">
        <v>55.0</v>
      </c>
      <c r="X97" s="33">
        <v>44.0</v>
      </c>
      <c r="Y97" s="17">
        <v>48.0</v>
      </c>
      <c r="Z97" s="17">
        <v>56.0</v>
      </c>
      <c r="AA97" s="17">
        <v>64.0</v>
      </c>
      <c r="AB97" s="17">
        <v>72.0</v>
      </c>
      <c r="AC97" s="17">
        <f t="shared" si="26"/>
        <v>8</v>
      </c>
      <c r="AE97" s="2">
        <v>11.0</v>
      </c>
      <c r="AF97" s="32">
        <v>88.0</v>
      </c>
      <c r="AG97" s="32">
        <v>77.0</v>
      </c>
      <c r="AH97" s="32">
        <v>66.0</v>
      </c>
      <c r="AI97" s="32">
        <v>55.0</v>
      </c>
      <c r="AJ97" s="32">
        <v>44.0</v>
      </c>
      <c r="AK97" s="30">
        <v>40.0</v>
      </c>
      <c r="AL97" s="17">
        <v>48.0</v>
      </c>
      <c r="AM97" s="17">
        <v>56.0</v>
      </c>
      <c r="AN97" s="17">
        <v>64.0</v>
      </c>
      <c r="AO97" s="17">
        <f t="shared" si="27"/>
        <v>8</v>
      </c>
      <c r="AQ97" s="2">
        <v>11.0</v>
      </c>
      <c r="AR97" s="32">
        <v>55.0</v>
      </c>
      <c r="AS97" s="32">
        <v>44.0</v>
      </c>
      <c r="AT97" s="30">
        <v>33.0</v>
      </c>
      <c r="AU97" s="17">
        <v>39.0</v>
      </c>
      <c r="AV97" s="17">
        <v>52.0</v>
      </c>
      <c r="AW97" s="17">
        <v>65.0</v>
      </c>
      <c r="AX97" s="17">
        <f t="shared" si="28"/>
        <v>13</v>
      </c>
    </row>
    <row r="98" ht="21.75" customHeight="1">
      <c r="A98" s="2">
        <v>12.0</v>
      </c>
      <c r="B98" s="23">
        <v>156.0</v>
      </c>
      <c r="C98" s="23">
        <v>144.0</v>
      </c>
      <c r="D98" s="23">
        <v>132.0</v>
      </c>
      <c r="E98" s="32">
        <v>120.0</v>
      </c>
      <c r="F98" s="32">
        <v>108.0</v>
      </c>
      <c r="G98" s="32">
        <v>96.0</v>
      </c>
      <c r="H98" s="32">
        <v>84.0</v>
      </c>
      <c r="I98" s="32">
        <v>72.0</v>
      </c>
      <c r="J98" s="32">
        <v>60.0</v>
      </c>
      <c r="K98" s="32">
        <v>48.0</v>
      </c>
      <c r="L98" s="30">
        <v>36.0</v>
      </c>
      <c r="M98" s="28">
        <v>33.0</v>
      </c>
      <c r="N98" s="28">
        <v>36.0</v>
      </c>
      <c r="O98" s="28">
        <v>39.0</v>
      </c>
      <c r="P98" s="17">
        <f t="shared" si="25"/>
        <v>3</v>
      </c>
      <c r="R98" s="2">
        <v>12.0</v>
      </c>
      <c r="S98" s="32">
        <v>108.0</v>
      </c>
      <c r="T98" s="32">
        <v>96.0</v>
      </c>
      <c r="U98" s="32">
        <v>84.0</v>
      </c>
      <c r="V98" s="32">
        <v>72.0</v>
      </c>
      <c r="W98" s="32">
        <v>60.0</v>
      </c>
      <c r="X98" s="32">
        <v>48.0</v>
      </c>
      <c r="Y98" s="30">
        <v>42.0</v>
      </c>
      <c r="Z98" s="17">
        <v>49.0</v>
      </c>
      <c r="AA98" s="17">
        <v>56.0</v>
      </c>
      <c r="AB98" s="17">
        <v>63.0</v>
      </c>
      <c r="AC98" s="17">
        <f t="shared" si="26"/>
        <v>7</v>
      </c>
      <c r="AE98" s="2">
        <v>12.0</v>
      </c>
      <c r="AF98" s="32">
        <v>96.0</v>
      </c>
      <c r="AG98" s="32">
        <v>84.0</v>
      </c>
      <c r="AH98" s="32">
        <v>72.0</v>
      </c>
      <c r="AI98" s="32">
        <v>60.0</v>
      </c>
      <c r="AJ98" s="32">
        <v>48.0</v>
      </c>
      <c r="AK98" s="30">
        <v>36.0</v>
      </c>
      <c r="AL98" s="30">
        <v>42.0</v>
      </c>
      <c r="AM98" s="17">
        <v>49.0</v>
      </c>
      <c r="AN98" s="17">
        <v>56.0</v>
      </c>
      <c r="AO98" s="17">
        <f t="shared" si="27"/>
        <v>7</v>
      </c>
      <c r="AQ98" s="2">
        <v>12.0</v>
      </c>
      <c r="AR98" s="32">
        <v>60.0</v>
      </c>
      <c r="AS98" s="32">
        <v>48.0</v>
      </c>
      <c r="AT98" s="30">
        <v>36.0</v>
      </c>
      <c r="AU98" s="30">
        <v>36.0</v>
      </c>
      <c r="AV98" s="17">
        <v>48.0</v>
      </c>
      <c r="AW98" s="17">
        <v>60.0</v>
      </c>
      <c r="AX98" s="17">
        <f t="shared" si="28"/>
        <v>12</v>
      </c>
    </row>
    <row r="99" ht="21.75" customHeight="1">
      <c r="A99" s="2">
        <v>13.0</v>
      </c>
      <c r="B99" s="23">
        <v>169.0</v>
      </c>
      <c r="C99" s="23">
        <v>156.0</v>
      </c>
      <c r="D99" s="23">
        <v>143.0</v>
      </c>
      <c r="E99" s="23">
        <v>130.0</v>
      </c>
      <c r="F99" s="32">
        <v>117.0</v>
      </c>
      <c r="G99" s="32">
        <v>104.0</v>
      </c>
      <c r="H99" s="32">
        <v>91.0</v>
      </c>
      <c r="I99" s="32">
        <v>78.0</v>
      </c>
      <c r="J99" s="32">
        <v>65.0</v>
      </c>
      <c r="K99" s="32">
        <v>52.0</v>
      </c>
      <c r="L99" s="28">
        <v>39.0</v>
      </c>
      <c r="M99" s="28">
        <v>26.0</v>
      </c>
      <c r="N99" s="28">
        <v>24.0</v>
      </c>
      <c r="O99" s="28">
        <v>26.0</v>
      </c>
      <c r="P99" s="17">
        <f t="shared" si="25"/>
        <v>2</v>
      </c>
      <c r="R99" s="2">
        <v>13.0</v>
      </c>
      <c r="S99" s="32">
        <v>117.0</v>
      </c>
      <c r="T99" s="32">
        <v>104.0</v>
      </c>
      <c r="U99" s="32">
        <v>91.0</v>
      </c>
      <c r="V99" s="32">
        <v>78.0</v>
      </c>
      <c r="W99" s="32">
        <v>65.0</v>
      </c>
      <c r="X99" s="32">
        <v>52.0</v>
      </c>
      <c r="Y99" s="32">
        <v>39.0</v>
      </c>
      <c r="Z99" s="30">
        <v>42.0</v>
      </c>
      <c r="AA99" s="17">
        <v>48.0</v>
      </c>
      <c r="AB99" s="17">
        <v>54.0</v>
      </c>
      <c r="AC99" s="17">
        <f t="shared" si="26"/>
        <v>6</v>
      </c>
      <c r="AE99" s="2">
        <v>13.0</v>
      </c>
      <c r="AF99" s="32">
        <v>104.0</v>
      </c>
      <c r="AG99" s="32">
        <v>91.0</v>
      </c>
      <c r="AH99" s="32">
        <v>78.0</v>
      </c>
      <c r="AI99" s="32">
        <v>65.0</v>
      </c>
      <c r="AJ99" s="32">
        <v>52.0</v>
      </c>
      <c r="AK99" s="32">
        <v>39.0</v>
      </c>
      <c r="AL99" s="30">
        <v>36.0</v>
      </c>
      <c r="AM99" s="30">
        <v>42.0</v>
      </c>
      <c r="AN99" s="17">
        <v>48.0</v>
      </c>
      <c r="AO99" s="17">
        <f t="shared" si="27"/>
        <v>6</v>
      </c>
      <c r="AQ99" s="2">
        <v>13.0</v>
      </c>
      <c r="AR99" s="32">
        <v>65.0</v>
      </c>
      <c r="AS99" s="32">
        <v>52.0</v>
      </c>
      <c r="AT99" s="32">
        <v>39.0</v>
      </c>
      <c r="AU99" s="30">
        <v>33.0</v>
      </c>
      <c r="AV99" s="17">
        <v>44.0</v>
      </c>
      <c r="AW99" s="17">
        <v>55.0</v>
      </c>
      <c r="AX99" s="17">
        <f t="shared" si="28"/>
        <v>11</v>
      </c>
    </row>
    <row r="100" ht="21.75" customHeight="1">
      <c r="A100" s="2">
        <v>14.0</v>
      </c>
      <c r="B100" s="23">
        <v>182.0</v>
      </c>
      <c r="C100" s="23">
        <v>168.0</v>
      </c>
      <c r="D100" s="23">
        <v>154.0</v>
      </c>
      <c r="E100" s="23">
        <v>140.0</v>
      </c>
      <c r="F100" s="32">
        <v>126.0</v>
      </c>
      <c r="G100" s="32">
        <v>112.0</v>
      </c>
      <c r="H100" s="32">
        <v>98.0</v>
      </c>
      <c r="I100" s="32">
        <v>84.0</v>
      </c>
      <c r="J100" s="32">
        <v>70.0</v>
      </c>
      <c r="K100" s="32">
        <v>56.0</v>
      </c>
      <c r="L100" s="28">
        <v>42.0</v>
      </c>
      <c r="M100" s="28">
        <v>28.0</v>
      </c>
      <c r="N100" s="28">
        <v>14.0</v>
      </c>
      <c r="O100" s="28">
        <v>13.0</v>
      </c>
      <c r="P100" s="17">
        <f t="shared" si="25"/>
        <v>1</v>
      </c>
      <c r="R100" s="2">
        <v>14.0</v>
      </c>
      <c r="S100" s="32">
        <v>126.0</v>
      </c>
      <c r="T100" s="32">
        <v>112.0</v>
      </c>
      <c r="U100" s="32">
        <v>98.0</v>
      </c>
      <c r="V100" s="32">
        <v>84.0</v>
      </c>
      <c r="W100" s="32">
        <v>70.0</v>
      </c>
      <c r="X100" s="32">
        <v>56.0</v>
      </c>
      <c r="Y100" s="32">
        <v>42.0</v>
      </c>
      <c r="Z100" s="30">
        <v>35.0</v>
      </c>
      <c r="AA100" s="30">
        <v>40.0</v>
      </c>
      <c r="AB100" s="30">
        <v>45.0</v>
      </c>
      <c r="AC100" s="17">
        <f t="shared" si="26"/>
        <v>5</v>
      </c>
      <c r="AE100" s="2">
        <v>14.0</v>
      </c>
      <c r="AF100" s="32">
        <v>112.0</v>
      </c>
      <c r="AG100" s="32">
        <v>98.0</v>
      </c>
      <c r="AH100" s="32">
        <v>84.0</v>
      </c>
      <c r="AI100" s="32">
        <v>70.0</v>
      </c>
      <c r="AJ100" s="32">
        <v>56.0</v>
      </c>
      <c r="AK100" s="32">
        <v>42.0</v>
      </c>
      <c r="AL100" s="30">
        <v>30.0</v>
      </c>
      <c r="AM100" s="30">
        <v>35.0</v>
      </c>
      <c r="AN100" s="30">
        <v>40.0</v>
      </c>
      <c r="AO100" s="17">
        <f t="shared" si="27"/>
        <v>5</v>
      </c>
      <c r="AQ100" s="2">
        <v>14.0</v>
      </c>
      <c r="AR100" s="32">
        <v>70.0</v>
      </c>
      <c r="AS100" s="32">
        <v>56.0</v>
      </c>
      <c r="AT100" s="32">
        <v>42.0</v>
      </c>
      <c r="AU100" s="30">
        <v>30.0</v>
      </c>
      <c r="AV100" s="30">
        <v>40.0</v>
      </c>
      <c r="AW100" s="17">
        <v>50.0</v>
      </c>
      <c r="AX100" s="17">
        <f t="shared" si="28"/>
        <v>10</v>
      </c>
    </row>
    <row r="101" ht="21.75" customHeight="1">
      <c r="A101" s="2">
        <v>15.0</v>
      </c>
      <c r="B101" s="23">
        <v>195.0</v>
      </c>
      <c r="C101" s="23">
        <v>180.0</v>
      </c>
      <c r="D101" s="23">
        <v>165.0</v>
      </c>
      <c r="E101" s="23">
        <v>150.0</v>
      </c>
      <c r="F101" s="23">
        <v>135.0</v>
      </c>
      <c r="G101" s="32">
        <v>120.0</v>
      </c>
      <c r="H101" s="32">
        <v>105.0</v>
      </c>
      <c r="I101" s="32">
        <v>90.0</v>
      </c>
      <c r="J101" s="32">
        <v>75.0</v>
      </c>
      <c r="K101" s="28">
        <v>60.0</v>
      </c>
      <c r="L101" s="28">
        <v>45.0</v>
      </c>
      <c r="M101" s="28">
        <v>30.0</v>
      </c>
      <c r="N101" s="28">
        <v>15.0</v>
      </c>
      <c r="O101" s="28">
        <v>0.0</v>
      </c>
      <c r="P101" s="17">
        <f t="shared" si="25"/>
        <v>0</v>
      </c>
      <c r="R101" s="2">
        <v>15.0</v>
      </c>
      <c r="S101" s="23">
        <v>135.0</v>
      </c>
      <c r="T101" s="32">
        <v>120.0</v>
      </c>
      <c r="U101" s="32">
        <v>105.0</v>
      </c>
      <c r="V101" s="32">
        <v>90.0</v>
      </c>
      <c r="W101" s="32">
        <v>75.0</v>
      </c>
      <c r="X101" s="32">
        <v>60.0</v>
      </c>
      <c r="Y101" s="32">
        <v>45.0</v>
      </c>
      <c r="Z101" s="30">
        <v>30.0</v>
      </c>
      <c r="AA101" s="30">
        <v>32.0</v>
      </c>
      <c r="AB101" s="28">
        <v>36.0</v>
      </c>
      <c r="AC101" s="17">
        <f t="shared" si="26"/>
        <v>4</v>
      </c>
      <c r="AE101" s="34">
        <v>15.0</v>
      </c>
      <c r="AF101" s="32">
        <v>120.0</v>
      </c>
      <c r="AG101" s="32">
        <v>105.0</v>
      </c>
      <c r="AH101" s="32">
        <v>90.0</v>
      </c>
      <c r="AI101" s="32">
        <v>75.0</v>
      </c>
      <c r="AJ101" s="32">
        <v>60.0</v>
      </c>
      <c r="AK101" s="32">
        <v>45.0</v>
      </c>
      <c r="AL101" s="30">
        <v>30.0</v>
      </c>
      <c r="AM101" s="36">
        <v>28.0</v>
      </c>
      <c r="AN101" s="30">
        <v>32.0</v>
      </c>
      <c r="AO101" s="17">
        <f t="shared" si="27"/>
        <v>4</v>
      </c>
      <c r="AQ101" s="2">
        <v>15.0</v>
      </c>
      <c r="AR101" s="32">
        <v>75.0</v>
      </c>
      <c r="AS101" s="32">
        <v>60.0</v>
      </c>
      <c r="AT101" s="32">
        <v>45.0</v>
      </c>
      <c r="AU101" s="30">
        <v>30.0</v>
      </c>
      <c r="AV101" s="30">
        <v>36.0</v>
      </c>
      <c r="AW101" s="30">
        <v>45.0</v>
      </c>
      <c r="AX101" s="17">
        <f t="shared" si="28"/>
        <v>9</v>
      </c>
    </row>
    <row r="102" ht="21.75" customHeight="1">
      <c r="B102" s="17">
        <f t="shared" ref="B102:O102" si="29">13-B85</f>
        <v>13</v>
      </c>
      <c r="C102" s="17">
        <f t="shared" si="29"/>
        <v>12</v>
      </c>
      <c r="D102" s="17">
        <f t="shared" si="29"/>
        <v>11</v>
      </c>
      <c r="E102" s="17">
        <f t="shared" si="29"/>
        <v>10</v>
      </c>
      <c r="F102" s="17">
        <f t="shared" si="29"/>
        <v>9</v>
      </c>
      <c r="G102" s="17">
        <f t="shared" si="29"/>
        <v>8</v>
      </c>
      <c r="H102" s="17">
        <f t="shared" si="29"/>
        <v>7</v>
      </c>
      <c r="I102" s="17">
        <f t="shared" si="29"/>
        <v>6</v>
      </c>
      <c r="J102" s="17">
        <f t="shared" si="29"/>
        <v>5</v>
      </c>
      <c r="K102" s="17">
        <f t="shared" si="29"/>
        <v>4</v>
      </c>
      <c r="L102" s="17">
        <f t="shared" si="29"/>
        <v>3</v>
      </c>
      <c r="M102" s="17">
        <f t="shared" si="29"/>
        <v>2</v>
      </c>
      <c r="N102" s="17">
        <f t="shared" si="29"/>
        <v>1</v>
      </c>
      <c r="O102" s="17">
        <f t="shared" si="29"/>
        <v>0</v>
      </c>
      <c r="P102" s="17"/>
      <c r="R102" s="2">
        <v>16.0</v>
      </c>
      <c r="S102" s="23">
        <v>144.0</v>
      </c>
      <c r="T102" s="23">
        <v>128.0</v>
      </c>
      <c r="U102" s="32">
        <v>112.0</v>
      </c>
      <c r="V102" s="32">
        <v>96.0</v>
      </c>
      <c r="W102" s="32">
        <v>80.0</v>
      </c>
      <c r="X102" s="32">
        <v>64.0</v>
      </c>
      <c r="Y102" s="32">
        <v>48.0</v>
      </c>
      <c r="Z102" s="32">
        <v>32.0</v>
      </c>
      <c r="AA102" s="28">
        <v>24.0</v>
      </c>
      <c r="AB102" s="28">
        <v>27.0</v>
      </c>
      <c r="AC102" s="17">
        <f t="shared" si="26"/>
        <v>3</v>
      </c>
      <c r="AE102" s="2">
        <v>16.0</v>
      </c>
      <c r="AF102" s="23">
        <v>128.0</v>
      </c>
      <c r="AG102" s="32">
        <v>112.0</v>
      </c>
      <c r="AH102" s="32">
        <v>96.0</v>
      </c>
      <c r="AI102" s="32">
        <v>80.0</v>
      </c>
      <c r="AJ102" s="32">
        <v>64.0</v>
      </c>
      <c r="AK102" s="32">
        <v>48.0</v>
      </c>
      <c r="AL102" s="32">
        <v>32.0</v>
      </c>
      <c r="AM102" s="30">
        <v>21.0</v>
      </c>
      <c r="AN102" s="28">
        <v>24.0</v>
      </c>
      <c r="AO102" s="17">
        <f t="shared" si="27"/>
        <v>3</v>
      </c>
      <c r="AQ102" s="2">
        <v>16.0</v>
      </c>
      <c r="AR102" s="32">
        <v>80.0</v>
      </c>
      <c r="AS102" s="32">
        <v>64.0</v>
      </c>
      <c r="AT102" s="32">
        <v>48.0</v>
      </c>
      <c r="AU102" s="32">
        <v>32.0</v>
      </c>
      <c r="AV102" s="30">
        <v>32.0</v>
      </c>
      <c r="AW102" s="30">
        <v>40.0</v>
      </c>
      <c r="AX102" s="17">
        <f t="shared" si="28"/>
        <v>8</v>
      </c>
    </row>
    <row r="103" ht="21.75" customHeight="1">
      <c r="E103" s="38">
        <v>44383.0</v>
      </c>
      <c r="G103" s="3">
        <v>4.0</v>
      </c>
      <c r="H103" s="3" t="s">
        <v>23</v>
      </c>
      <c r="P103" s="17"/>
      <c r="R103" s="2">
        <v>17.0</v>
      </c>
      <c r="S103" s="23">
        <v>153.0</v>
      </c>
      <c r="T103" s="23">
        <v>136.0</v>
      </c>
      <c r="U103" s="32">
        <v>119.0</v>
      </c>
      <c r="V103" s="32">
        <v>102.0</v>
      </c>
      <c r="W103" s="32">
        <v>85.0</v>
      </c>
      <c r="X103" s="32">
        <v>68.0</v>
      </c>
      <c r="Y103" s="32">
        <v>51.0</v>
      </c>
      <c r="Z103" s="32">
        <v>34.0</v>
      </c>
      <c r="AA103" s="28">
        <v>17.0</v>
      </c>
      <c r="AB103" s="28">
        <v>18.0</v>
      </c>
      <c r="AC103" s="17">
        <f t="shared" si="26"/>
        <v>2</v>
      </c>
      <c r="AE103" s="2">
        <v>17.0</v>
      </c>
      <c r="AF103" s="23">
        <v>136.0</v>
      </c>
      <c r="AG103" s="32">
        <v>119.0</v>
      </c>
      <c r="AH103" s="32">
        <v>102.0</v>
      </c>
      <c r="AI103" s="32">
        <v>85.0</v>
      </c>
      <c r="AJ103" s="32">
        <v>68.0</v>
      </c>
      <c r="AK103" s="32">
        <v>51.0</v>
      </c>
      <c r="AL103" s="32">
        <v>34.0</v>
      </c>
      <c r="AM103" s="32">
        <v>17.0</v>
      </c>
      <c r="AN103" s="28">
        <v>16.0</v>
      </c>
      <c r="AO103" s="17">
        <f t="shared" si="27"/>
        <v>2</v>
      </c>
      <c r="AQ103" s="2">
        <v>17.0</v>
      </c>
      <c r="AR103" s="32">
        <v>85.0</v>
      </c>
      <c r="AS103" s="32">
        <v>68.0</v>
      </c>
      <c r="AT103" s="32">
        <v>51.0</v>
      </c>
      <c r="AU103" s="32">
        <v>34.0</v>
      </c>
      <c r="AV103" s="32">
        <v>28.0</v>
      </c>
      <c r="AW103" s="30">
        <v>35.0</v>
      </c>
      <c r="AX103" s="17">
        <f t="shared" si="28"/>
        <v>7</v>
      </c>
    </row>
    <row r="104" ht="21.75" customHeight="1">
      <c r="P104" s="17"/>
      <c r="R104" s="2">
        <v>18.0</v>
      </c>
      <c r="S104" s="23">
        <v>162.0</v>
      </c>
      <c r="T104" s="23">
        <v>144.0</v>
      </c>
      <c r="U104" s="23">
        <v>126.0</v>
      </c>
      <c r="V104" s="32">
        <v>108.0</v>
      </c>
      <c r="W104" s="32">
        <v>90.0</v>
      </c>
      <c r="X104" s="32">
        <v>72.0</v>
      </c>
      <c r="Y104" s="32">
        <v>54.0</v>
      </c>
      <c r="Z104" s="28">
        <v>36.0</v>
      </c>
      <c r="AA104" s="28">
        <v>18.0</v>
      </c>
      <c r="AB104" s="28">
        <v>9.0</v>
      </c>
      <c r="AC104" s="17">
        <f t="shared" si="26"/>
        <v>1</v>
      </c>
      <c r="AE104" s="2">
        <v>18.0</v>
      </c>
      <c r="AF104" s="23">
        <v>144.0</v>
      </c>
      <c r="AG104" s="23">
        <v>126.0</v>
      </c>
      <c r="AH104" s="32">
        <v>108.0</v>
      </c>
      <c r="AI104" s="32">
        <v>90.0</v>
      </c>
      <c r="AJ104" s="32">
        <v>72.0</v>
      </c>
      <c r="AK104" s="32">
        <v>54.0</v>
      </c>
      <c r="AL104" s="32">
        <v>36.0</v>
      </c>
      <c r="AM104" s="28">
        <v>18.0</v>
      </c>
      <c r="AN104" s="28">
        <v>8.0</v>
      </c>
      <c r="AO104" s="17">
        <f t="shared" si="27"/>
        <v>1</v>
      </c>
      <c r="AQ104" s="2">
        <v>18.0</v>
      </c>
      <c r="AR104" s="32">
        <v>90.0</v>
      </c>
      <c r="AS104" s="32">
        <v>72.0</v>
      </c>
      <c r="AT104" s="32">
        <v>54.0</v>
      </c>
      <c r="AU104" s="32">
        <v>36.0</v>
      </c>
      <c r="AV104" s="32">
        <v>24.0</v>
      </c>
      <c r="AW104" s="30">
        <v>30.0</v>
      </c>
      <c r="AX104" s="17">
        <f t="shared" si="28"/>
        <v>6</v>
      </c>
    </row>
    <row r="105" ht="21.75" customHeight="1">
      <c r="E105" s="38">
        <v>44415.0</v>
      </c>
      <c r="G105" s="3">
        <v>5.0</v>
      </c>
      <c r="H105" s="3" t="s">
        <v>24</v>
      </c>
      <c r="P105" s="17"/>
      <c r="R105" s="2">
        <v>19.0</v>
      </c>
      <c r="S105" s="23">
        <v>171.0</v>
      </c>
      <c r="T105" s="23">
        <v>152.0</v>
      </c>
      <c r="U105" s="23">
        <v>133.0</v>
      </c>
      <c r="V105" s="32">
        <v>114.0</v>
      </c>
      <c r="W105" s="32">
        <v>95.0</v>
      </c>
      <c r="X105" s="32">
        <v>76.0</v>
      </c>
      <c r="Y105" s="32">
        <v>57.0</v>
      </c>
      <c r="Z105" s="28">
        <v>38.0</v>
      </c>
      <c r="AA105" s="28">
        <v>19.0</v>
      </c>
      <c r="AB105" s="28">
        <v>0.0</v>
      </c>
      <c r="AC105" s="17">
        <f t="shared" si="26"/>
        <v>0</v>
      </c>
      <c r="AE105" s="2">
        <v>19.0</v>
      </c>
      <c r="AF105" s="23">
        <v>152.0</v>
      </c>
      <c r="AG105" s="23">
        <v>133.0</v>
      </c>
      <c r="AH105" s="32">
        <v>114.0</v>
      </c>
      <c r="AI105" s="32">
        <v>95.0</v>
      </c>
      <c r="AJ105" s="32">
        <v>76.0</v>
      </c>
      <c r="AK105" s="32">
        <v>57.0</v>
      </c>
      <c r="AL105" s="32">
        <v>38.0</v>
      </c>
      <c r="AM105" s="28">
        <v>19.0</v>
      </c>
      <c r="AN105" s="28">
        <v>0.0</v>
      </c>
      <c r="AO105" s="17">
        <f t="shared" si="27"/>
        <v>0</v>
      </c>
      <c r="AQ105" s="2">
        <v>19.0</v>
      </c>
      <c r="AR105" s="32">
        <v>95.0</v>
      </c>
      <c r="AS105" s="32">
        <v>76.0</v>
      </c>
      <c r="AT105" s="32">
        <v>57.0</v>
      </c>
      <c r="AU105" s="32">
        <v>38.0</v>
      </c>
      <c r="AV105" s="32">
        <v>20.0</v>
      </c>
      <c r="AW105" s="30">
        <v>25.0</v>
      </c>
      <c r="AX105" s="17">
        <f t="shared" si="28"/>
        <v>5</v>
      </c>
    </row>
    <row r="106" ht="21.75" customHeight="1">
      <c r="P106" s="17"/>
      <c r="S106" s="17">
        <f t="shared" ref="S106:AB106" si="30">9-S85</f>
        <v>9</v>
      </c>
      <c r="T106" s="17">
        <f t="shared" si="30"/>
        <v>8</v>
      </c>
      <c r="U106" s="17">
        <f t="shared" si="30"/>
        <v>7</v>
      </c>
      <c r="V106" s="17">
        <f t="shared" si="30"/>
        <v>6</v>
      </c>
      <c r="W106" s="17">
        <f t="shared" si="30"/>
        <v>5</v>
      </c>
      <c r="X106" s="17">
        <f t="shared" si="30"/>
        <v>4</v>
      </c>
      <c r="Y106" s="17">
        <f t="shared" si="30"/>
        <v>3</v>
      </c>
      <c r="Z106" s="17">
        <f t="shared" si="30"/>
        <v>2</v>
      </c>
      <c r="AA106" s="17">
        <f t="shared" si="30"/>
        <v>1</v>
      </c>
      <c r="AB106" s="17">
        <f t="shared" si="30"/>
        <v>0</v>
      </c>
      <c r="AC106" s="17"/>
      <c r="AF106" s="17">
        <f t="shared" ref="AF106:AN106" si="31">8-AF85</f>
        <v>8</v>
      </c>
      <c r="AG106" s="17">
        <f t="shared" si="31"/>
        <v>7</v>
      </c>
      <c r="AH106" s="17">
        <f t="shared" si="31"/>
        <v>6</v>
      </c>
      <c r="AI106" s="17">
        <f t="shared" si="31"/>
        <v>5</v>
      </c>
      <c r="AJ106" s="17">
        <f t="shared" si="31"/>
        <v>4</v>
      </c>
      <c r="AK106" s="17">
        <f t="shared" si="31"/>
        <v>3</v>
      </c>
      <c r="AL106" s="17">
        <f t="shared" si="31"/>
        <v>2</v>
      </c>
      <c r="AM106" s="17">
        <f t="shared" si="31"/>
        <v>1</v>
      </c>
      <c r="AN106" s="17">
        <f t="shared" si="31"/>
        <v>0</v>
      </c>
      <c r="AO106" s="17"/>
      <c r="AQ106" s="2">
        <v>20.0</v>
      </c>
      <c r="AR106" s="32">
        <v>100.0</v>
      </c>
      <c r="AS106" s="32">
        <v>80.0</v>
      </c>
      <c r="AT106" s="32">
        <v>60.0</v>
      </c>
      <c r="AU106" s="32">
        <v>40.0</v>
      </c>
      <c r="AV106" s="32">
        <v>20.0</v>
      </c>
      <c r="AW106" s="30">
        <v>20.0</v>
      </c>
      <c r="AX106" s="17">
        <f t="shared" si="28"/>
        <v>4</v>
      </c>
    </row>
    <row r="107" ht="21.75" customHeight="1">
      <c r="E107" s="38">
        <v>44355.0</v>
      </c>
      <c r="G107" s="3">
        <v>5.0</v>
      </c>
      <c r="H107" s="3" t="s">
        <v>24</v>
      </c>
      <c r="P107" s="17"/>
      <c r="U107" s="38">
        <v>44412.0</v>
      </c>
      <c r="W107" s="38">
        <v>44505.0</v>
      </c>
      <c r="Y107" s="38">
        <v>44504.0</v>
      </c>
      <c r="Z107" s="38">
        <v>44413.0</v>
      </c>
      <c r="AC107" s="17"/>
      <c r="AO107" s="17"/>
      <c r="AQ107" s="34">
        <v>21.0</v>
      </c>
      <c r="AR107" s="32">
        <v>105.0</v>
      </c>
      <c r="AS107" s="32">
        <v>84.0</v>
      </c>
      <c r="AT107" s="32">
        <v>63.0</v>
      </c>
      <c r="AU107" s="32">
        <v>42.0</v>
      </c>
      <c r="AV107" s="32">
        <v>21.0</v>
      </c>
      <c r="AW107" s="33">
        <v>15.0</v>
      </c>
      <c r="AX107" s="17">
        <f t="shared" si="28"/>
        <v>3</v>
      </c>
    </row>
    <row r="108" ht="21.75" customHeight="1">
      <c r="E108" s="38">
        <v>44384.0</v>
      </c>
      <c r="G108" s="3">
        <v>5.0</v>
      </c>
      <c r="H108" s="3" t="s">
        <v>24</v>
      </c>
      <c r="P108" s="17"/>
      <c r="U108" s="3" t="s">
        <v>25</v>
      </c>
      <c r="W108" s="3" t="s">
        <v>26</v>
      </c>
      <c r="Y108" s="3" t="s">
        <v>26</v>
      </c>
      <c r="Z108" s="3" t="s">
        <v>27</v>
      </c>
      <c r="AC108" s="17"/>
      <c r="AO108" s="17"/>
      <c r="AQ108" s="2">
        <v>22.0</v>
      </c>
      <c r="AR108" s="32">
        <v>110.0</v>
      </c>
      <c r="AS108" s="32">
        <v>88.0</v>
      </c>
      <c r="AT108" s="32">
        <v>66.0</v>
      </c>
      <c r="AU108" s="32">
        <v>44.0</v>
      </c>
      <c r="AV108" s="32">
        <v>22.0</v>
      </c>
      <c r="AW108" s="39">
        <v>10.0</v>
      </c>
      <c r="AX108" s="17">
        <f t="shared" si="28"/>
        <v>2</v>
      </c>
    </row>
    <row r="109" ht="21.75" customHeight="1">
      <c r="P109" s="17"/>
      <c r="AC109" s="17"/>
      <c r="AO109" s="17"/>
      <c r="AQ109" s="2">
        <v>23.0</v>
      </c>
      <c r="AR109" s="40">
        <v>115.0</v>
      </c>
      <c r="AS109" s="32">
        <v>92.0</v>
      </c>
      <c r="AT109" s="32">
        <v>69.0</v>
      </c>
      <c r="AU109" s="32">
        <v>46.0</v>
      </c>
      <c r="AV109" s="32">
        <v>23.0</v>
      </c>
      <c r="AW109" s="28">
        <v>5.0</v>
      </c>
      <c r="AX109" s="17">
        <f t="shared" si="28"/>
        <v>1</v>
      </c>
    </row>
    <row r="110" ht="21.75" customHeight="1">
      <c r="P110" s="17"/>
      <c r="AC110" s="17"/>
      <c r="AO110" s="17"/>
      <c r="AQ110" s="2">
        <v>24.0</v>
      </c>
      <c r="AR110" s="40">
        <v>120.0</v>
      </c>
      <c r="AS110" s="32">
        <v>96.0</v>
      </c>
      <c r="AT110" s="32">
        <v>72.0</v>
      </c>
      <c r="AU110" s="32">
        <v>48.0</v>
      </c>
      <c r="AV110" s="32">
        <v>24.0</v>
      </c>
      <c r="AW110" s="28">
        <v>0.0</v>
      </c>
      <c r="AX110" s="17">
        <f t="shared" si="28"/>
        <v>0</v>
      </c>
    </row>
    <row r="111" ht="21.75" customHeight="1">
      <c r="A111" s="17"/>
      <c r="P111" s="17"/>
      <c r="AC111" s="17"/>
      <c r="AO111" s="17"/>
      <c r="AQ111" s="2"/>
      <c r="AR111" s="17">
        <f t="shared" ref="AR111:AW111" si="32">5-AR85</f>
        <v>5</v>
      </c>
      <c r="AS111" s="17">
        <f t="shared" si="32"/>
        <v>4</v>
      </c>
      <c r="AT111" s="17">
        <f t="shared" si="32"/>
        <v>3</v>
      </c>
      <c r="AU111" s="17">
        <f t="shared" si="32"/>
        <v>2</v>
      </c>
      <c r="AV111" s="17">
        <f t="shared" si="32"/>
        <v>1</v>
      </c>
      <c r="AW111" s="17">
        <f t="shared" si="32"/>
        <v>0</v>
      </c>
      <c r="AX111" s="17"/>
    </row>
    <row r="112" ht="21.75" customHeight="1">
      <c r="A112" s="17"/>
      <c r="P112" s="17"/>
      <c r="AC112" s="17"/>
      <c r="AO112" s="17"/>
      <c r="AX112" s="17"/>
    </row>
    <row r="113" ht="21.75" customHeight="1">
      <c r="A113" s="17"/>
      <c r="B113" s="2">
        <v>0.0</v>
      </c>
      <c r="C113" s="2">
        <v>1.0</v>
      </c>
      <c r="D113" s="2">
        <v>2.0</v>
      </c>
      <c r="E113" s="2">
        <v>3.0</v>
      </c>
      <c r="F113" s="2">
        <v>4.0</v>
      </c>
      <c r="G113" s="2">
        <v>5.0</v>
      </c>
      <c r="H113" s="2">
        <v>6.0</v>
      </c>
      <c r="I113" s="2">
        <v>7.0</v>
      </c>
      <c r="J113" s="2">
        <v>8.0</v>
      </c>
      <c r="K113" s="2">
        <v>9.0</v>
      </c>
      <c r="L113" s="2">
        <v>10.0</v>
      </c>
      <c r="M113" s="2">
        <v>11.0</v>
      </c>
      <c r="N113" s="2">
        <v>12.0</v>
      </c>
      <c r="O113" s="2">
        <v>13.0</v>
      </c>
      <c r="P113" s="17"/>
      <c r="Q113" s="17"/>
      <c r="R113" s="17"/>
      <c r="S113" s="2">
        <v>0.0</v>
      </c>
      <c r="T113" s="2">
        <v>1.0</v>
      </c>
      <c r="U113" s="2">
        <v>2.0</v>
      </c>
      <c r="V113" s="2">
        <v>3.0</v>
      </c>
      <c r="W113" s="2">
        <v>4.0</v>
      </c>
      <c r="X113" s="2">
        <v>5.0</v>
      </c>
      <c r="Y113" s="2">
        <v>6.0</v>
      </c>
      <c r="Z113" s="2">
        <v>7.0</v>
      </c>
      <c r="AA113" s="2">
        <v>8.0</v>
      </c>
      <c r="AB113" s="2">
        <v>9.0</v>
      </c>
      <c r="AC113" s="2"/>
      <c r="AD113" s="2"/>
      <c r="AE113" s="17"/>
      <c r="AF113" s="2">
        <v>0.0</v>
      </c>
      <c r="AG113" s="2">
        <v>1.0</v>
      </c>
      <c r="AH113" s="2">
        <v>2.0</v>
      </c>
      <c r="AI113" s="2">
        <v>3.0</v>
      </c>
      <c r="AJ113" s="2">
        <v>4.0</v>
      </c>
      <c r="AK113" s="2">
        <v>5.0</v>
      </c>
      <c r="AL113" s="2">
        <v>6.0</v>
      </c>
      <c r="AM113" s="2">
        <v>7.0</v>
      </c>
      <c r="AN113" s="2">
        <v>8.0</v>
      </c>
      <c r="AO113" s="2"/>
      <c r="AP113" s="2"/>
      <c r="AQ113" s="17"/>
      <c r="AR113" s="2">
        <v>0.0</v>
      </c>
      <c r="AS113" s="2">
        <v>1.0</v>
      </c>
      <c r="AT113" s="2">
        <v>2.0</v>
      </c>
      <c r="AU113" s="2">
        <v>3.0</v>
      </c>
      <c r="AV113" s="2">
        <v>4.0</v>
      </c>
      <c r="AW113" s="2">
        <v>5.0</v>
      </c>
      <c r="AX113" s="2"/>
    </row>
    <row r="114" ht="21.75" customHeight="1">
      <c r="A114" s="2">
        <v>0.0</v>
      </c>
      <c r="B114" s="28">
        <f t="array" ref="B114:O129">A114:A129*B130:O130</f>
        <v>0</v>
      </c>
      <c r="C114" s="28">
        <v>0.0</v>
      </c>
      <c r="D114" s="28">
        <v>0.0</v>
      </c>
      <c r="E114" s="28">
        <v>0.0</v>
      </c>
      <c r="F114" s="28">
        <v>0.0</v>
      </c>
      <c r="G114" s="5">
        <v>0.0</v>
      </c>
      <c r="H114" s="5">
        <v>0.0</v>
      </c>
      <c r="I114" s="5">
        <v>0.0</v>
      </c>
      <c r="J114" s="5">
        <v>0.0</v>
      </c>
      <c r="K114" s="23">
        <v>0.0</v>
      </c>
      <c r="L114" s="23">
        <v>0.0</v>
      </c>
      <c r="M114" s="23">
        <v>0.0</v>
      </c>
      <c r="N114" s="23">
        <v>0.0</v>
      </c>
      <c r="O114" s="23">
        <v>0.0</v>
      </c>
      <c r="P114" s="17">
        <f t="shared" ref="P114:P129" si="33">15-A114</f>
        <v>15</v>
      </c>
      <c r="R114" s="2">
        <v>0.0</v>
      </c>
      <c r="S114" s="28">
        <f t="array" ref="S114:AB133">R114:R133*S134:AB134</f>
        <v>0</v>
      </c>
      <c r="T114" s="28">
        <v>0.0</v>
      </c>
      <c r="U114" s="28">
        <v>0.0</v>
      </c>
      <c r="V114" s="5">
        <v>0.0</v>
      </c>
      <c r="W114" s="5">
        <v>0.0</v>
      </c>
      <c r="X114" s="5">
        <v>0.0</v>
      </c>
      <c r="Y114" s="5">
        <v>0.0</v>
      </c>
      <c r="Z114" s="23">
        <v>0.0</v>
      </c>
      <c r="AA114" s="23">
        <v>0.0</v>
      </c>
      <c r="AB114" s="23">
        <v>0.0</v>
      </c>
      <c r="AC114" s="17">
        <f t="shared" ref="AC114:AC133" si="34">19-R114</f>
        <v>19</v>
      </c>
      <c r="AE114" s="2">
        <v>0.0</v>
      </c>
      <c r="AF114" s="28">
        <f t="array" ref="AF114:AN133">AE114:AE133*AF134:AN134</f>
        <v>0</v>
      </c>
      <c r="AG114" s="28">
        <v>0.0</v>
      </c>
      <c r="AH114" s="5">
        <v>0.0</v>
      </c>
      <c r="AI114" s="5">
        <v>0.0</v>
      </c>
      <c r="AJ114" s="5">
        <v>0.0</v>
      </c>
      <c r="AK114" s="5">
        <v>0.0</v>
      </c>
      <c r="AL114" s="5">
        <v>0.0</v>
      </c>
      <c r="AM114" s="23">
        <v>0.0</v>
      </c>
      <c r="AN114" s="23">
        <v>0.0</v>
      </c>
      <c r="AO114" s="17">
        <f t="shared" ref="AO114:AO133" si="35">19-AE114</f>
        <v>19</v>
      </c>
      <c r="AQ114" s="2">
        <v>0.0</v>
      </c>
      <c r="AR114" s="28">
        <f t="array" ref="AR114:AW138">AQ114:AQ138*AR139:AW139</f>
        <v>0</v>
      </c>
      <c r="AS114" s="5">
        <v>0.0</v>
      </c>
      <c r="AT114" s="5">
        <v>0.0</v>
      </c>
      <c r="AU114" s="5">
        <v>0.0</v>
      </c>
      <c r="AV114" s="5">
        <v>0.0</v>
      </c>
      <c r="AW114" s="23">
        <v>0.0</v>
      </c>
      <c r="AX114" s="17">
        <f t="shared" ref="AX114:AX138" si="36">24-AQ114</f>
        <v>24</v>
      </c>
    </row>
    <row r="115" ht="21.75" customHeight="1">
      <c r="A115" s="2">
        <v>1.0</v>
      </c>
      <c r="B115" s="28">
        <v>13.0</v>
      </c>
      <c r="C115" s="28">
        <v>12.0</v>
      </c>
      <c r="D115" s="28">
        <v>11.0</v>
      </c>
      <c r="E115" s="28">
        <v>10.0</v>
      </c>
      <c r="F115" s="5">
        <v>9.0</v>
      </c>
      <c r="G115" s="5">
        <v>8.0</v>
      </c>
      <c r="H115" s="5">
        <v>7.0</v>
      </c>
      <c r="I115" s="5">
        <v>6.0</v>
      </c>
      <c r="J115" s="5">
        <v>5.0</v>
      </c>
      <c r="K115" s="5">
        <v>4.0</v>
      </c>
      <c r="L115" s="23">
        <v>3.0</v>
      </c>
      <c r="M115" s="23">
        <v>2.0</v>
      </c>
      <c r="N115" s="23">
        <v>1.0</v>
      </c>
      <c r="O115" s="23">
        <v>0.0</v>
      </c>
      <c r="P115" s="17">
        <f t="shared" si="33"/>
        <v>14</v>
      </c>
      <c r="R115" s="2">
        <v>1.0</v>
      </c>
      <c r="S115" s="28">
        <v>9.0</v>
      </c>
      <c r="T115" s="28">
        <v>8.0</v>
      </c>
      <c r="U115" s="28">
        <v>7.0</v>
      </c>
      <c r="V115" s="5">
        <v>6.0</v>
      </c>
      <c r="W115" s="5">
        <v>5.0</v>
      </c>
      <c r="X115" s="5">
        <v>4.0</v>
      </c>
      <c r="Y115" s="5">
        <v>3.0</v>
      </c>
      <c r="Z115" s="23">
        <v>2.0</v>
      </c>
      <c r="AA115" s="23">
        <v>1.0</v>
      </c>
      <c r="AB115" s="23">
        <v>0.0</v>
      </c>
      <c r="AC115" s="17">
        <f t="shared" si="34"/>
        <v>18</v>
      </c>
      <c r="AE115" s="2">
        <v>1.0</v>
      </c>
      <c r="AF115" s="28">
        <v>8.0</v>
      </c>
      <c r="AG115" s="28">
        <v>7.0</v>
      </c>
      <c r="AH115" s="5">
        <v>6.0</v>
      </c>
      <c r="AI115" s="5">
        <v>5.0</v>
      </c>
      <c r="AJ115" s="5">
        <v>4.0</v>
      </c>
      <c r="AK115" s="5">
        <v>3.0</v>
      </c>
      <c r="AL115" s="5">
        <v>2.0</v>
      </c>
      <c r="AM115" s="23">
        <v>1.0</v>
      </c>
      <c r="AN115" s="23">
        <v>0.0</v>
      </c>
      <c r="AO115" s="17">
        <f t="shared" si="35"/>
        <v>18</v>
      </c>
      <c r="AQ115" s="2">
        <v>1.0</v>
      </c>
      <c r="AR115" s="28">
        <v>5.0</v>
      </c>
      <c r="AS115" s="5">
        <v>4.0</v>
      </c>
      <c r="AT115" s="5">
        <v>3.0</v>
      </c>
      <c r="AU115" s="5">
        <v>2.0</v>
      </c>
      <c r="AV115" s="5">
        <v>1.0</v>
      </c>
      <c r="AW115" s="23">
        <v>0.0</v>
      </c>
      <c r="AX115" s="17">
        <f t="shared" si="36"/>
        <v>23</v>
      </c>
    </row>
    <row r="116" ht="21.75" customHeight="1">
      <c r="A116" s="2">
        <v>2.0</v>
      </c>
      <c r="B116" s="28">
        <v>26.0</v>
      </c>
      <c r="C116" s="28">
        <v>24.0</v>
      </c>
      <c r="D116" s="28">
        <v>22.0</v>
      </c>
      <c r="E116" s="28">
        <v>20.0</v>
      </c>
      <c r="F116" s="5">
        <v>18.0</v>
      </c>
      <c r="G116" s="5">
        <v>16.0</v>
      </c>
      <c r="H116" s="5">
        <v>14.0</v>
      </c>
      <c r="I116" s="5">
        <v>12.0</v>
      </c>
      <c r="J116" s="5">
        <v>10.0</v>
      </c>
      <c r="K116" s="5">
        <v>8.0</v>
      </c>
      <c r="L116" s="23">
        <v>6.0</v>
      </c>
      <c r="M116" s="23">
        <v>4.0</v>
      </c>
      <c r="N116" s="23">
        <v>2.0</v>
      </c>
      <c r="O116" s="23">
        <v>0.0</v>
      </c>
      <c r="P116" s="17">
        <f t="shared" si="33"/>
        <v>13</v>
      </c>
      <c r="R116" s="2">
        <v>2.0</v>
      </c>
      <c r="S116" s="28">
        <v>18.0</v>
      </c>
      <c r="T116" s="28">
        <v>16.0</v>
      </c>
      <c r="U116" s="5">
        <v>14.0</v>
      </c>
      <c r="V116" s="5">
        <v>12.0</v>
      </c>
      <c r="W116" s="5">
        <v>10.0</v>
      </c>
      <c r="X116" s="5">
        <v>8.0</v>
      </c>
      <c r="Y116" s="5">
        <v>6.0</v>
      </c>
      <c r="Z116" s="5">
        <v>4.0</v>
      </c>
      <c r="AA116" s="23">
        <v>2.0</v>
      </c>
      <c r="AB116" s="23">
        <v>0.0</v>
      </c>
      <c r="AC116" s="17">
        <f t="shared" si="34"/>
        <v>17</v>
      </c>
      <c r="AE116" s="2">
        <v>2.0</v>
      </c>
      <c r="AF116" s="28">
        <v>16.0</v>
      </c>
      <c r="AG116" s="5">
        <v>14.0</v>
      </c>
      <c r="AH116" s="5">
        <v>12.0</v>
      </c>
      <c r="AI116" s="5">
        <v>10.0</v>
      </c>
      <c r="AJ116" s="5">
        <v>8.0</v>
      </c>
      <c r="AK116" s="5">
        <v>6.0</v>
      </c>
      <c r="AL116" s="5">
        <v>4.0</v>
      </c>
      <c r="AM116" s="5">
        <v>2.0</v>
      </c>
      <c r="AN116" s="23">
        <v>0.0</v>
      </c>
      <c r="AO116" s="17">
        <f t="shared" si="35"/>
        <v>17</v>
      </c>
      <c r="AQ116" s="2">
        <v>2.0</v>
      </c>
      <c r="AR116" s="5">
        <v>10.0</v>
      </c>
      <c r="AS116" s="5">
        <v>8.0</v>
      </c>
      <c r="AT116" s="5">
        <v>6.0</v>
      </c>
      <c r="AU116" s="5">
        <v>4.0</v>
      </c>
      <c r="AV116" s="5">
        <v>2.0</v>
      </c>
      <c r="AW116" s="5">
        <v>0.0</v>
      </c>
      <c r="AX116" s="17">
        <f t="shared" si="36"/>
        <v>22</v>
      </c>
    </row>
    <row r="117" ht="21.75" customHeight="1">
      <c r="A117" s="2">
        <v>3.0</v>
      </c>
      <c r="B117" s="28">
        <v>39.0</v>
      </c>
      <c r="C117" s="28">
        <v>36.0</v>
      </c>
      <c r="D117" s="28">
        <v>33.0</v>
      </c>
      <c r="E117" s="5">
        <v>30.0</v>
      </c>
      <c r="F117" s="5">
        <v>27.0</v>
      </c>
      <c r="G117" s="5">
        <v>24.0</v>
      </c>
      <c r="H117" s="5">
        <v>21.0</v>
      </c>
      <c r="I117" s="5">
        <v>18.0</v>
      </c>
      <c r="J117" s="5">
        <v>15.0</v>
      </c>
      <c r="K117" s="5">
        <v>12.0</v>
      </c>
      <c r="L117" s="5">
        <v>9.0</v>
      </c>
      <c r="M117" s="23">
        <v>6.0</v>
      </c>
      <c r="N117" s="23">
        <v>3.0</v>
      </c>
      <c r="O117" s="23">
        <v>0.0</v>
      </c>
      <c r="P117" s="17">
        <f t="shared" si="33"/>
        <v>12</v>
      </c>
      <c r="R117" s="2">
        <v>3.0</v>
      </c>
      <c r="S117" s="28">
        <v>27.0</v>
      </c>
      <c r="T117" s="28">
        <v>24.0</v>
      </c>
      <c r="U117" s="5">
        <v>21.0</v>
      </c>
      <c r="V117" s="5">
        <v>18.0</v>
      </c>
      <c r="W117" s="5">
        <v>15.0</v>
      </c>
      <c r="X117" s="5">
        <v>12.0</v>
      </c>
      <c r="Y117" s="5">
        <v>9.0</v>
      </c>
      <c r="Z117" s="5">
        <v>6.0</v>
      </c>
      <c r="AA117" s="23">
        <v>3.0</v>
      </c>
      <c r="AB117" s="23">
        <v>0.0</v>
      </c>
      <c r="AC117" s="17">
        <f t="shared" si="34"/>
        <v>16</v>
      </c>
      <c r="AE117" s="2">
        <v>3.0</v>
      </c>
      <c r="AF117" s="28">
        <v>24.0</v>
      </c>
      <c r="AG117" s="5">
        <v>21.0</v>
      </c>
      <c r="AH117" s="5">
        <v>18.0</v>
      </c>
      <c r="AI117" s="5">
        <v>15.0</v>
      </c>
      <c r="AJ117" s="5">
        <v>12.0</v>
      </c>
      <c r="AK117" s="5">
        <v>9.0</v>
      </c>
      <c r="AL117" s="5">
        <v>6.0</v>
      </c>
      <c r="AM117" s="5">
        <v>3.0</v>
      </c>
      <c r="AN117" s="23">
        <v>0.0</v>
      </c>
      <c r="AO117" s="17">
        <f t="shared" si="35"/>
        <v>16</v>
      </c>
      <c r="AQ117" s="2">
        <v>3.0</v>
      </c>
      <c r="AR117" s="15">
        <v>15.0</v>
      </c>
      <c r="AS117" s="5">
        <v>12.0</v>
      </c>
      <c r="AT117" s="5">
        <v>9.0</v>
      </c>
      <c r="AU117" s="5">
        <v>6.0</v>
      </c>
      <c r="AV117" s="5">
        <v>3.0</v>
      </c>
      <c r="AW117" s="5">
        <v>0.0</v>
      </c>
      <c r="AX117" s="17">
        <f t="shared" si="36"/>
        <v>21</v>
      </c>
    </row>
    <row r="118" ht="21.75" customHeight="1">
      <c r="A118" s="2">
        <v>4.0</v>
      </c>
      <c r="B118" s="28">
        <v>52.0</v>
      </c>
      <c r="C118" s="28">
        <v>48.0</v>
      </c>
      <c r="D118" s="5">
        <v>44.0</v>
      </c>
      <c r="E118" s="5">
        <v>40.0</v>
      </c>
      <c r="F118" s="5">
        <v>36.0</v>
      </c>
      <c r="G118" s="5">
        <v>32.0</v>
      </c>
      <c r="H118" s="5">
        <v>28.0</v>
      </c>
      <c r="I118" s="5">
        <v>24.0</v>
      </c>
      <c r="J118" s="5">
        <v>20.0</v>
      </c>
      <c r="K118" s="5">
        <v>16.0</v>
      </c>
      <c r="L118" s="5">
        <v>12.0</v>
      </c>
      <c r="M118" s="5">
        <v>8.0</v>
      </c>
      <c r="N118" s="23">
        <v>4.0</v>
      </c>
      <c r="O118" s="23">
        <v>0.0</v>
      </c>
      <c r="P118" s="17">
        <f t="shared" si="33"/>
        <v>11</v>
      </c>
      <c r="R118" s="2">
        <v>4.0</v>
      </c>
      <c r="S118" s="28">
        <v>36.0</v>
      </c>
      <c r="T118" s="5">
        <v>32.0</v>
      </c>
      <c r="U118" s="5">
        <v>28.0</v>
      </c>
      <c r="V118" s="5">
        <v>24.0</v>
      </c>
      <c r="W118" s="5">
        <v>20.0</v>
      </c>
      <c r="X118" s="5">
        <v>16.0</v>
      </c>
      <c r="Y118" s="5">
        <v>12.0</v>
      </c>
      <c r="Z118" s="5">
        <v>8.0</v>
      </c>
      <c r="AA118" s="5">
        <v>4.0</v>
      </c>
      <c r="AB118" s="23">
        <v>0.0</v>
      </c>
      <c r="AC118" s="17">
        <f t="shared" si="34"/>
        <v>15</v>
      </c>
      <c r="AE118" s="2">
        <v>4.0</v>
      </c>
      <c r="AF118" s="5">
        <v>32.0</v>
      </c>
      <c r="AG118" s="15">
        <v>28.0</v>
      </c>
      <c r="AH118" s="5">
        <v>24.0</v>
      </c>
      <c r="AI118" s="5">
        <v>20.0</v>
      </c>
      <c r="AJ118" s="5">
        <v>16.0</v>
      </c>
      <c r="AK118" s="5">
        <v>12.0</v>
      </c>
      <c r="AL118" s="5">
        <v>8.0</v>
      </c>
      <c r="AM118" s="5">
        <v>4.0</v>
      </c>
      <c r="AN118" s="5">
        <v>0.0</v>
      </c>
      <c r="AO118" s="17">
        <f t="shared" si="35"/>
        <v>15</v>
      </c>
      <c r="AQ118" s="2">
        <v>4.0</v>
      </c>
      <c r="AR118" s="5">
        <v>20.0</v>
      </c>
      <c r="AS118" s="5">
        <v>16.0</v>
      </c>
      <c r="AT118" s="5">
        <v>12.0</v>
      </c>
      <c r="AU118" s="5">
        <v>8.0</v>
      </c>
      <c r="AV118" s="5">
        <v>4.0</v>
      </c>
      <c r="AW118" s="5">
        <v>0.0</v>
      </c>
      <c r="AX118" s="17">
        <f t="shared" si="36"/>
        <v>20</v>
      </c>
    </row>
    <row r="119" ht="21.75" customHeight="1">
      <c r="A119" s="2">
        <v>5.0</v>
      </c>
      <c r="B119" s="28">
        <v>65.0</v>
      </c>
      <c r="C119" s="5">
        <v>60.0</v>
      </c>
      <c r="D119" s="5">
        <v>55.0</v>
      </c>
      <c r="E119" s="5">
        <v>50.0</v>
      </c>
      <c r="F119" s="5">
        <v>45.0</v>
      </c>
      <c r="G119" s="5">
        <v>40.0</v>
      </c>
      <c r="H119" s="5">
        <v>35.0</v>
      </c>
      <c r="I119" s="5">
        <v>30.0</v>
      </c>
      <c r="J119" s="5">
        <v>25.0</v>
      </c>
      <c r="K119" s="5">
        <v>20.0</v>
      </c>
      <c r="L119" s="5">
        <v>15.0</v>
      </c>
      <c r="M119" s="5">
        <v>10.0</v>
      </c>
      <c r="N119" s="5">
        <v>5.0</v>
      </c>
      <c r="O119" s="23">
        <v>0.0</v>
      </c>
      <c r="P119" s="17">
        <f t="shared" si="33"/>
        <v>10</v>
      </c>
      <c r="R119" s="2">
        <v>5.0</v>
      </c>
      <c r="S119" s="5">
        <v>45.0</v>
      </c>
      <c r="T119" s="5">
        <v>40.0</v>
      </c>
      <c r="U119" s="5">
        <v>35.0</v>
      </c>
      <c r="V119" s="5">
        <v>30.0</v>
      </c>
      <c r="W119" s="5">
        <v>25.0</v>
      </c>
      <c r="X119" s="5">
        <v>20.0</v>
      </c>
      <c r="Y119" s="5">
        <v>15.0</v>
      </c>
      <c r="Z119" s="5">
        <v>10.0</v>
      </c>
      <c r="AA119" s="5">
        <v>5.0</v>
      </c>
      <c r="AB119" s="5">
        <v>0.0</v>
      </c>
      <c r="AC119" s="17">
        <f t="shared" si="34"/>
        <v>14</v>
      </c>
      <c r="AE119" s="2">
        <v>5.0</v>
      </c>
      <c r="AF119" s="5">
        <v>40.0</v>
      </c>
      <c r="AG119" s="5">
        <v>35.0</v>
      </c>
      <c r="AH119" s="5">
        <v>30.0</v>
      </c>
      <c r="AI119" s="5">
        <v>25.0</v>
      </c>
      <c r="AJ119" s="5">
        <v>20.0</v>
      </c>
      <c r="AK119" s="5">
        <v>15.0</v>
      </c>
      <c r="AL119" s="5">
        <v>10.0</v>
      </c>
      <c r="AM119" s="5">
        <v>5.0</v>
      </c>
      <c r="AN119" s="5">
        <v>0.0</v>
      </c>
      <c r="AO119" s="17">
        <f t="shared" si="35"/>
        <v>14</v>
      </c>
      <c r="AQ119" s="2">
        <v>5.0</v>
      </c>
      <c r="AR119" s="5">
        <v>25.0</v>
      </c>
      <c r="AS119" s="5">
        <v>20.0</v>
      </c>
      <c r="AT119" s="5">
        <v>15.0</v>
      </c>
      <c r="AU119" s="5">
        <v>10.0</v>
      </c>
      <c r="AV119" s="5">
        <v>5.0</v>
      </c>
      <c r="AW119" s="5">
        <v>0.0</v>
      </c>
      <c r="AX119" s="17">
        <f t="shared" si="36"/>
        <v>19</v>
      </c>
    </row>
    <row r="120" ht="21.75" customHeight="1">
      <c r="A120" s="2">
        <v>6.0</v>
      </c>
      <c r="B120" s="5">
        <v>78.0</v>
      </c>
      <c r="C120" s="5">
        <v>72.0</v>
      </c>
      <c r="D120" s="5">
        <v>66.0</v>
      </c>
      <c r="E120" s="5">
        <v>60.0</v>
      </c>
      <c r="F120" s="5">
        <v>54.0</v>
      </c>
      <c r="G120" s="5">
        <v>48.0</v>
      </c>
      <c r="H120" s="5">
        <v>42.0</v>
      </c>
      <c r="I120" s="5">
        <v>36.0</v>
      </c>
      <c r="J120" s="5">
        <v>30.0</v>
      </c>
      <c r="K120" s="5">
        <v>24.0</v>
      </c>
      <c r="L120" s="5">
        <v>18.0</v>
      </c>
      <c r="M120" s="5">
        <v>12.0</v>
      </c>
      <c r="N120" s="5">
        <v>6.0</v>
      </c>
      <c r="O120" s="5">
        <v>0.0</v>
      </c>
      <c r="P120" s="17">
        <f t="shared" si="33"/>
        <v>9</v>
      </c>
      <c r="R120" s="2">
        <v>6.0</v>
      </c>
      <c r="S120" s="5">
        <v>54.0</v>
      </c>
      <c r="T120" s="5">
        <v>48.0</v>
      </c>
      <c r="U120" s="5">
        <v>42.0</v>
      </c>
      <c r="V120" s="5">
        <v>36.0</v>
      </c>
      <c r="W120" s="5">
        <v>30.0</v>
      </c>
      <c r="X120" s="5">
        <v>24.0</v>
      </c>
      <c r="Y120" s="5">
        <v>18.0</v>
      </c>
      <c r="Z120" s="5">
        <v>12.0</v>
      </c>
      <c r="AA120" s="5">
        <v>6.0</v>
      </c>
      <c r="AB120" s="5">
        <v>0.0</v>
      </c>
      <c r="AC120" s="17">
        <f t="shared" si="34"/>
        <v>13</v>
      </c>
      <c r="AE120" s="2">
        <v>6.0</v>
      </c>
      <c r="AF120" s="5">
        <v>48.0</v>
      </c>
      <c r="AG120" s="5">
        <v>42.0</v>
      </c>
      <c r="AH120" s="5">
        <v>36.0</v>
      </c>
      <c r="AI120" s="5">
        <v>30.0</v>
      </c>
      <c r="AJ120" s="5">
        <v>24.0</v>
      </c>
      <c r="AK120" s="5">
        <v>18.0</v>
      </c>
      <c r="AL120" s="5">
        <v>12.0</v>
      </c>
      <c r="AM120" s="5">
        <v>6.0</v>
      </c>
      <c r="AN120" s="5">
        <v>0.0</v>
      </c>
      <c r="AO120" s="17">
        <f t="shared" si="35"/>
        <v>13</v>
      </c>
      <c r="AQ120" s="2">
        <v>6.0</v>
      </c>
      <c r="AR120" s="5">
        <v>30.0</v>
      </c>
      <c r="AS120" s="5">
        <v>24.0</v>
      </c>
      <c r="AT120" s="5">
        <v>18.0</v>
      </c>
      <c r="AU120" s="5">
        <v>12.0</v>
      </c>
      <c r="AV120" s="5">
        <v>6.0</v>
      </c>
      <c r="AW120" s="5">
        <v>0.0</v>
      </c>
      <c r="AX120" s="17">
        <f t="shared" si="36"/>
        <v>18</v>
      </c>
    </row>
    <row r="121" ht="21.75" customHeight="1">
      <c r="A121" s="2">
        <v>7.0</v>
      </c>
      <c r="B121" s="5">
        <v>91.0</v>
      </c>
      <c r="C121" s="5">
        <v>84.0</v>
      </c>
      <c r="D121" s="5">
        <v>77.0</v>
      </c>
      <c r="E121" s="5">
        <v>70.0</v>
      </c>
      <c r="F121" s="5">
        <v>63.0</v>
      </c>
      <c r="G121" s="5">
        <v>56.0</v>
      </c>
      <c r="H121" s="15">
        <v>49.0</v>
      </c>
      <c r="I121" s="5">
        <v>42.0</v>
      </c>
      <c r="J121" s="5">
        <v>35.0</v>
      </c>
      <c r="K121" s="5">
        <v>28.0</v>
      </c>
      <c r="L121" s="5">
        <v>21.0</v>
      </c>
      <c r="M121" s="5">
        <v>14.0</v>
      </c>
      <c r="N121" s="5">
        <v>7.0</v>
      </c>
      <c r="O121" s="5">
        <v>0.0</v>
      </c>
      <c r="P121" s="17">
        <f t="shared" si="33"/>
        <v>8</v>
      </c>
      <c r="R121" s="2">
        <v>7.0</v>
      </c>
      <c r="S121" s="5">
        <v>63.0</v>
      </c>
      <c r="T121" s="5">
        <v>56.0</v>
      </c>
      <c r="U121" s="5">
        <v>49.0</v>
      </c>
      <c r="V121" s="5">
        <v>42.0</v>
      </c>
      <c r="W121" s="5">
        <v>35.0</v>
      </c>
      <c r="X121" s="5">
        <v>28.0</v>
      </c>
      <c r="Y121" s="5">
        <v>21.0</v>
      </c>
      <c r="Z121" s="5">
        <v>14.0</v>
      </c>
      <c r="AA121" s="5">
        <v>7.0</v>
      </c>
      <c r="AB121" s="5">
        <v>0.0</v>
      </c>
      <c r="AC121" s="17">
        <f t="shared" si="34"/>
        <v>12</v>
      </c>
      <c r="AE121" s="2">
        <v>7.0</v>
      </c>
      <c r="AF121" s="5">
        <v>56.0</v>
      </c>
      <c r="AG121" s="5">
        <v>49.0</v>
      </c>
      <c r="AH121" s="5">
        <v>42.0</v>
      </c>
      <c r="AI121" s="5">
        <v>35.0</v>
      </c>
      <c r="AJ121" s="5">
        <v>28.0</v>
      </c>
      <c r="AK121" s="5">
        <v>21.0</v>
      </c>
      <c r="AL121" s="5">
        <v>14.0</v>
      </c>
      <c r="AM121" s="5">
        <v>7.0</v>
      </c>
      <c r="AN121" s="5">
        <v>0.0</v>
      </c>
      <c r="AO121" s="17">
        <f t="shared" si="35"/>
        <v>12</v>
      </c>
      <c r="AQ121" s="2">
        <v>7.0</v>
      </c>
      <c r="AR121" s="5">
        <v>35.0</v>
      </c>
      <c r="AS121" s="5">
        <v>28.0</v>
      </c>
      <c r="AT121" s="5">
        <v>21.0</v>
      </c>
      <c r="AU121" s="5">
        <v>14.0</v>
      </c>
      <c r="AV121" s="5">
        <v>7.0</v>
      </c>
      <c r="AW121" s="5">
        <v>0.0</v>
      </c>
      <c r="AX121" s="17">
        <f t="shared" si="36"/>
        <v>17</v>
      </c>
    </row>
    <row r="122" ht="21.75" customHeight="1">
      <c r="A122" s="2">
        <v>8.0</v>
      </c>
      <c r="B122" s="5">
        <v>104.0</v>
      </c>
      <c r="C122" s="5">
        <v>96.0</v>
      </c>
      <c r="D122" s="5">
        <v>88.0</v>
      </c>
      <c r="E122" s="5">
        <v>80.0</v>
      </c>
      <c r="F122" s="5">
        <v>72.0</v>
      </c>
      <c r="G122" s="5">
        <v>64.0</v>
      </c>
      <c r="H122" s="5">
        <v>56.0</v>
      </c>
      <c r="I122" s="15">
        <v>48.0</v>
      </c>
      <c r="J122" s="5">
        <v>40.0</v>
      </c>
      <c r="K122" s="5">
        <v>32.0</v>
      </c>
      <c r="L122" s="5">
        <v>24.0</v>
      </c>
      <c r="M122" s="5">
        <v>16.0</v>
      </c>
      <c r="N122" s="5">
        <v>8.0</v>
      </c>
      <c r="O122" s="5">
        <v>0.0</v>
      </c>
      <c r="P122" s="17">
        <f t="shared" si="33"/>
        <v>7</v>
      </c>
      <c r="R122" s="2">
        <v>8.0</v>
      </c>
      <c r="S122" s="5">
        <v>72.0</v>
      </c>
      <c r="T122" s="5">
        <v>64.0</v>
      </c>
      <c r="U122" s="5">
        <v>56.0</v>
      </c>
      <c r="V122" s="5">
        <v>48.0</v>
      </c>
      <c r="W122" s="15">
        <v>40.0</v>
      </c>
      <c r="X122" s="5">
        <v>32.0</v>
      </c>
      <c r="Y122" s="5">
        <v>24.0</v>
      </c>
      <c r="Z122" s="5">
        <v>16.0</v>
      </c>
      <c r="AA122" s="5">
        <v>8.0</v>
      </c>
      <c r="AB122" s="5">
        <v>0.0</v>
      </c>
      <c r="AC122" s="17">
        <f t="shared" si="34"/>
        <v>11</v>
      </c>
      <c r="AE122" s="2">
        <v>8.0</v>
      </c>
      <c r="AF122" s="5">
        <v>64.0</v>
      </c>
      <c r="AG122" s="5">
        <v>56.0</v>
      </c>
      <c r="AH122" s="5">
        <v>48.0</v>
      </c>
      <c r="AI122" s="5">
        <v>40.0</v>
      </c>
      <c r="AJ122" s="5">
        <v>32.0</v>
      </c>
      <c r="AK122" s="5">
        <v>24.0</v>
      </c>
      <c r="AL122" s="5">
        <v>16.0</v>
      </c>
      <c r="AM122" s="5">
        <v>8.0</v>
      </c>
      <c r="AN122" s="5">
        <v>0.0</v>
      </c>
      <c r="AO122" s="17">
        <f t="shared" si="35"/>
        <v>11</v>
      </c>
      <c r="AQ122" s="2">
        <v>8.0</v>
      </c>
      <c r="AR122" s="5">
        <v>40.0</v>
      </c>
      <c r="AS122" s="5">
        <v>32.0</v>
      </c>
      <c r="AT122" s="5">
        <v>24.0</v>
      </c>
      <c r="AU122" s="5">
        <v>16.0</v>
      </c>
      <c r="AV122" s="5">
        <v>8.0</v>
      </c>
      <c r="AW122" s="5">
        <v>0.0</v>
      </c>
      <c r="AX122" s="17">
        <f t="shared" si="36"/>
        <v>16</v>
      </c>
    </row>
    <row r="123" ht="21.75" customHeight="1">
      <c r="A123" s="2">
        <v>9.0</v>
      </c>
      <c r="B123" s="5">
        <v>117.0</v>
      </c>
      <c r="C123" s="5">
        <v>108.0</v>
      </c>
      <c r="D123" s="5">
        <v>99.0</v>
      </c>
      <c r="E123" s="5">
        <v>90.0</v>
      </c>
      <c r="F123" s="5">
        <v>81.0</v>
      </c>
      <c r="G123" s="5">
        <v>72.0</v>
      </c>
      <c r="H123" s="5">
        <v>63.0</v>
      </c>
      <c r="I123" s="5">
        <v>54.0</v>
      </c>
      <c r="J123" s="5">
        <v>45.0</v>
      </c>
      <c r="K123" s="5">
        <v>36.0</v>
      </c>
      <c r="L123" s="5">
        <v>27.0</v>
      </c>
      <c r="M123" s="5">
        <v>18.0</v>
      </c>
      <c r="N123" s="5">
        <v>9.0</v>
      </c>
      <c r="O123" s="5">
        <v>0.0</v>
      </c>
      <c r="P123" s="17">
        <f t="shared" si="33"/>
        <v>6</v>
      </c>
      <c r="R123" s="2">
        <v>9.0</v>
      </c>
      <c r="S123" s="5">
        <v>81.0</v>
      </c>
      <c r="T123" s="5">
        <v>72.0</v>
      </c>
      <c r="U123" s="5">
        <v>63.0</v>
      </c>
      <c r="V123" s="5">
        <v>54.0</v>
      </c>
      <c r="W123" s="5">
        <v>45.0</v>
      </c>
      <c r="X123" s="5">
        <v>36.0</v>
      </c>
      <c r="Y123" s="5">
        <v>27.0</v>
      </c>
      <c r="Z123" s="5">
        <v>18.0</v>
      </c>
      <c r="AA123" s="5">
        <v>9.0</v>
      </c>
      <c r="AB123" s="5">
        <v>0.0</v>
      </c>
      <c r="AC123" s="17">
        <f t="shared" si="34"/>
        <v>10</v>
      </c>
      <c r="AE123" s="2">
        <v>9.0</v>
      </c>
      <c r="AF123" s="5">
        <v>72.0</v>
      </c>
      <c r="AG123" s="5">
        <v>63.0</v>
      </c>
      <c r="AH123" s="5">
        <v>54.0</v>
      </c>
      <c r="AI123" s="5">
        <v>45.0</v>
      </c>
      <c r="AJ123" s="5">
        <v>36.0</v>
      </c>
      <c r="AK123" s="5">
        <v>27.0</v>
      </c>
      <c r="AL123" s="5">
        <v>18.0</v>
      </c>
      <c r="AM123" s="5">
        <v>9.0</v>
      </c>
      <c r="AN123" s="5">
        <v>0.0</v>
      </c>
      <c r="AO123" s="17">
        <f t="shared" si="35"/>
        <v>10</v>
      </c>
      <c r="AQ123" s="2">
        <v>9.0</v>
      </c>
      <c r="AR123" s="5">
        <v>45.0</v>
      </c>
      <c r="AS123" s="5">
        <v>36.0</v>
      </c>
      <c r="AT123" s="5">
        <v>27.0</v>
      </c>
      <c r="AU123" s="5">
        <v>18.0</v>
      </c>
      <c r="AV123" s="5">
        <v>9.0</v>
      </c>
      <c r="AW123" s="5">
        <v>0.0</v>
      </c>
      <c r="AX123" s="17">
        <f t="shared" si="36"/>
        <v>15</v>
      </c>
    </row>
    <row r="124" ht="21.75" customHeight="1">
      <c r="A124" s="2">
        <v>10.0</v>
      </c>
      <c r="B124" s="23">
        <v>130.0</v>
      </c>
      <c r="C124" s="5">
        <v>120.0</v>
      </c>
      <c r="D124" s="5">
        <v>110.0</v>
      </c>
      <c r="E124" s="5">
        <v>100.0</v>
      </c>
      <c r="F124" s="5">
        <v>90.0</v>
      </c>
      <c r="G124" s="5">
        <v>80.0</v>
      </c>
      <c r="H124" s="5">
        <v>70.0</v>
      </c>
      <c r="I124" s="5">
        <v>60.0</v>
      </c>
      <c r="J124" s="5">
        <v>50.0</v>
      </c>
      <c r="K124" s="5">
        <v>40.0</v>
      </c>
      <c r="L124" s="5">
        <v>30.0</v>
      </c>
      <c r="M124" s="5">
        <v>20.0</v>
      </c>
      <c r="N124" s="5">
        <v>10.0</v>
      </c>
      <c r="O124" s="28">
        <v>0.0</v>
      </c>
      <c r="P124" s="17">
        <f t="shared" si="33"/>
        <v>5</v>
      </c>
      <c r="R124" s="2">
        <v>10.0</v>
      </c>
      <c r="S124" s="5">
        <v>90.0</v>
      </c>
      <c r="T124" s="5">
        <v>80.0</v>
      </c>
      <c r="U124" s="5">
        <v>70.0</v>
      </c>
      <c r="V124" s="5">
        <v>60.0</v>
      </c>
      <c r="W124" s="5">
        <v>50.0</v>
      </c>
      <c r="X124" s="5">
        <v>40.0</v>
      </c>
      <c r="Y124" s="5">
        <v>30.0</v>
      </c>
      <c r="Z124" s="5">
        <v>20.0</v>
      </c>
      <c r="AA124" s="5">
        <v>10.0</v>
      </c>
      <c r="AB124" s="5">
        <v>0.0</v>
      </c>
      <c r="AC124" s="17">
        <f t="shared" si="34"/>
        <v>9</v>
      </c>
      <c r="AE124" s="2">
        <v>10.0</v>
      </c>
      <c r="AF124" s="5">
        <v>80.0</v>
      </c>
      <c r="AG124" s="5">
        <v>70.0</v>
      </c>
      <c r="AH124" s="5">
        <v>60.0</v>
      </c>
      <c r="AI124" s="5">
        <v>50.0</v>
      </c>
      <c r="AJ124" s="5">
        <v>40.0</v>
      </c>
      <c r="AK124" s="5">
        <v>30.0</v>
      </c>
      <c r="AL124" s="5">
        <v>20.0</v>
      </c>
      <c r="AM124" s="5">
        <v>10.0</v>
      </c>
      <c r="AN124" s="5">
        <v>0.0</v>
      </c>
      <c r="AO124" s="17">
        <f t="shared" si="35"/>
        <v>9</v>
      </c>
      <c r="AQ124" s="2">
        <v>10.0</v>
      </c>
      <c r="AR124" s="5">
        <v>50.0</v>
      </c>
      <c r="AS124" s="5">
        <v>40.0</v>
      </c>
      <c r="AT124" s="5">
        <v>30.0</v>
      </c>
      <c r="AU124" s="5">
        <v>20.0</v>
      </c>
      <c r="AV124" s="5">
        <v>10.0</v>
      </c>
      <c r="AW124" s="5">
        <v>0.0</v>
      </c>
      <c r="AX124" s="17">
        <f t="shared" si="36"/>
        <v>14</v>
      </c>
    </row>
    <row r="125" ht="21.75" customHeight="1">
      <c r="A125" s="2">
        <v>11.0</v>
      </c>
      <c r="B125" s="23">
        <v>143.0</v>
      </c>
      <c r="C125" s="23">
        <v>132.0</v>
      </c>
      <c r="D125" s="5">
        <v>121.0</v>
      </c>
      <c r="E125" s="5">
        <v>110.0</v>
      </c>
      <c r="F125" s="5">
        <v>99.0</v>
      </c>
      <c r="G125" s="5">
        <v>88.0</v>
      </c>
      <c r="H125" s="5">
        <v>77.0</v>
      </c>
      <c r="I125" s="5">
        <v>66.0</v>
      </c>
      <c r="J125" s="5">
        <v>55.0</v>
      </c>
      <c r="K125" s="5">
        <v>44.0</v>
      </c>
      <c r="L125" s="5">
        <v>33.0</v>
      </c>
      <c r="M125" s="5">
        <v>22.0</v>
      </c>
      <c r="N125" s="28">
        <v>11.0</v>
      </c>
      <c r="O125" s="28">
        <v>0.0</v>
      </c>
      <c r="P125" s="17">
        <f t="shared" si="33"/>
        <v>4</v>
      </c>
      <c r="R125" s="2">
        <v>11.0</v>
      </c>
      <c r="S125" s="5">
        <v>99.0</v>
      </c>
      <c r="T125" s="5">
        <v>88.0</v>
      </c>
      <c r="U125" s="5">
        <v>77.0</v>
      </c>
      <c r="V125" s="5">
        <v>66.0</v>
      </c>
      <c r="W125" s="5">
        <v>55.0</v>
      </c>
      <c r="X125" s="15">
        <v>44.0</v>
      </c>
      <c r="Y125" s="5">
        <v>33.0</v>
      </c>
      <c r="Z125" s="5">
        <v>22.0</v>
      </c>
      <c r="AA125" s="5">
        <v>11.0</v>
      </c>
      <c r="AB125" s="5">
        <v>0.0</v>
      </c>
      <c r="AC125" s="17">
        <f t="shared" si="34"/>
        <v>8</v>
      </c>
      <c r="AE125" s="2">
        <v>11.0</v>
      </c>
      <c r="AF125" s="5">
        <v>88.0</v>
      </c>
      <c r="AG125" s="5">
        <v>77.0</v>
      </c>
      <c r="AH125" s="5">
        <v>66.0</v>
      </c>
      <c r="AI125" s="5">
        <v>55.0</v>
      </c>
      <c r="AJ125" s="5">
        <v>44.0</v>
      </c>
      <c r="AK125" s="5">
        <v>33.0</v>
      </c>
      <c r="AL125" s="5">
        <v>22.0</v>
      </c>
      <c r="AM125" s="5">
        <v>11.0</v>
      </c>
      <c r="AN125" s="5">
        <v>0.0</v>
      </c>
      <c r="AO125" s="17">
        <f t="shared" si="35"/>
        <v>8</v>
      </c>
      <c r="AQ125" s="2">
        <v>11.0</v>
      </c>
      <c r="AR125" s="5">
        <v>55.0</v>
      </c>
      <c r="AS125" s="5">
        <v>44.0</v>
      </c>
      <c r="AT125" s="5">
        <v>33.0</v>
      </c>
      <c r="AU125" s="5">
        <v>22.0</v>
      </c>
      <c r="AV125" s="5">
        <v>11.0</v>
      </c>
      <c r="AW125" s="5">
        <v>0.0</v>
      </c>
      <c r="AX125" s="17">
        <f t="shared" si="36"/>
        <v>13</v>
      </c>
    </row>
    <row r="126" ht="21.75" customHeight="1">
      <c r="A126" s="2">
        <v>12.0</v>
      </c>
      <c r="B126" s="23">
        <v>156.0</v>
      </c>
      <c r="C126" s="23">
        <v>144.0</v>
      </c>
      <c r="D126" s="23">
        <v>132.0</v>
      </c>
      <c r="E126" s="5">
        <v>120.0</v>
      </c>
      <c r="F126" s="5">
        <v>108.0</v>
      </c>
      <c r="G126" s="5">
        <v>96.0</v>
      </c>
      <c r="H126" s="5">
        <v>84.0</v>
      </c>
      <c r="I126" s="5">
        <v>72.0</v>
      </c>
      <c r="J126" s="5">
        <v>60.0</v>
      </c>
      <c r="K126" s="5">
        <v>48.0</v>
      </c>
      <c r="L126" s="5">
        <v>36.0</v>
      </c>
      <c r="M126" s="28">
        <v>24.0</v>
      </c>
      <c r="N126" s="28">
        <v>12.0</v>
      </c>
      <c r="O126" s="28">
        <v>0.0</v>
      </c>
      <c r="P126" s="17">
        <f t="shared" si="33"/>
        <v>3</v>
      </c>
      <c r="R126" s="2">
        <v>12.0</v>
      </c>
      <c r="S126" s="5">
        <v>108.0</v>
      </c>
      <c r="T126" s="5">
        <v>96.0</v>
      </c>
      <c r="U126" s="5">
        <v>84.0</v>
      </c>
      <c r="V126" s="5">
        <v>72.0</v>
      </c>
      <c r="W126" s="5">
        <v>60.0</v>
      </c>
      <c r="X126" s="5">
        <v>48.0</v>
      </c>
      <c r="Y126" s="5">
        <v>36.0</v>
      </c>
      <c r="Z126" s="5">
        <v>24.0</v>
      </c>
      <c r="AA126" s="5">
        <v>12.0</v>
      </c>
      <c r="AB126" s="5">
        <v>0.0</v>
      </c>
      <c r="AC126" s="17">
        <f t="shared" si="34"/>
        <v>7</v>
      </c>
      <c r="AE126" s="2">
        <v>12.0</v>
      </c>
      <c r="AF126" s="5">
        <v>96.0</v>
      </c>
      <c r="AG126" s="5">
        <v>84.0</v>
      </c>
      <c r="AH126" s="5">
        <v>72.0</v>
      </c>
      <c r="AI126" s="5">
        <v>60.0</v>
      </c>
      <c r="AJ126" s="5">
        <v>48.0</v>
      </c>
      <c r="AK126" s="5">
        <v>36.0</v>
      </c>
      <c r="AL126" s="5">
        <v>24.0</v>
      </c>
      <c r="AM126" s="5">
        <v>12.0</v>
      </c>
      <c r="AN126" s="5">
        <v>0.0</v>
      </c>
      <c r="AO126" s="17">
        <f t="shared" si="35"/>
        <v>7</v>
      </c>
      <c r="AQ126" s="2">
        <v>12.0</v>
      </c>
      <c r="AR126" s="5">
        <v>60.0</v>
      </c>
      <c r="AS126" s="5">
        <v>48.0</v>
      </c>
      <c r="AT126" s="5">
        <v>36.0</v>
      </c>
      <c r="AU126" s="5">
        <v>24.0</v>
      </c>
      <c r="AV126" s="5">
        <v>12.0</v>
      </c>
      <c r="AW126" s="5">
        <v>0.0</v>
      </c>
      <c r="AX126" s="17">
        <f t="shared" si="36"/>
        <v>12</v>
      </c>
    </row>
    <row r="127" ht="21.75" customHeight="1">
      <c r="A127" s="2">
        <v>13.0</v>
      </c>
      <c r="B127" s="23">
        <v>169.0</v>
      </c>
      <c r="C127" s="23">
        <v>156.0</v>
      </c>
      <c r="D127" s="23">
        <v>143.0</v>
      </c>
      <c r="E127" s="23">
        <v>130.0</v>
      </c>
      <c r="F127" s="5">
        <v>117.0</v>
      </c>
      <c r="G127" s="5">
        <v>104.0</v>
      </c>
      <c r="H127" s="5">
        <v>91.0</v>
      </c>
      <c r="I127" s="5">
        <v>78.0</v>
      </c>
      <c r="J127" s="5">
        <v>65.0</v>
      </c>
      <c r="K127" s="5">
        <v>52.0</v>
      </c>
      <c r="L127" s="28">
        <v>39.0</v>
      </c>
      <c r="M127" s="28">
        <v>26.0</v>
      </c>
      <c r="N127" s="28">
        <v>13.0</v>
      </c>
      <c r="O127" s="28">
        <v>0.0</v>
      </c>
      <c r="P127" s="17">
        <f t="shared" si="33"/>
        <v>2</v>
      </c>
      <c r="R127" s="2">
        <v>13.0</v>
      </c>
      <c r="S127" s="5">
        <v>117.0</v>
      </c>
      <c r="T127" s="5">
        <v>104.0</v>
      </c>
      <c r="U127" s="5">
        <v>91.0</v>
      </c>
      <c r="V127" s="5">
        <v>78.0</v>
      </c>
      <c r="W127" s="5">
        <v>65.0</v>
      </c>
      <c r="X127" s="5">
        <v>52.0</v>
      </c>
      <c r="Y127" s="5">
        <v>39.0</v>
      </c>
      <c r="Z127" s="5">
        <v>26.0</v>
      </c>
      <c r="AA127" s="5">
        <v>13.0</v>
      </c>
      <c r="AB127" s="5">
        <v>0.0</v>
      </c>
      <c r="AC127" s="17">
        <f t="shared" si="34"/>
        <v>6</v>
      </c>
      <c r="AE127" s="2">
        <v>13.0</v>
      </c>
      <c r="AF127" s="5">
        <v>104.0</v>
      </c>
      <c r="AG127" s="5">
        <v>91.0</v>
      </c>
      <c r="AH127" s="5">
        <v>78.0</v>
      </c>
      <c r="AI127" s="5">
        <v>65.0</v>
      </c>
      <c r="AJ127" s="5">
        <v>52.0</v>
      </c>
      <c r="AK127" s="5">
        <v>39.0</v>
      </c>
      <c r="AL127" s="5">
        <v>26.0</v>
      </c>
      <c r="AM127" s="5">
        <v>13.0</v>
      </c>
      <c r="AN127" s="5">
        <v>0.0</v>
      </c>
      <c r="AO127" s="17">
        <f t="shared" si="35"/>
        <v>6</v>
      </c>
      <c r="AQ127" s="2">
        <v>13.0</v>
      </c>
      <c r="AR127" s="5">
        <v>65.0</v>
      </c>
      <c r="AS127" s="5">
        <v>52.0</v>
      </c>
      <c r="AT127" s="5">
        <v>39.0</v>
      </c>
      <c r="AU127" s="5">
        <v>26.0</v>
      </c>
      <c r="AV127" s="5">
        <v>13.0</v>
      </c>
      <c r="AW127" s="5">
        <v>0.0</v>
      </c>
      <c r="AX127" s="17">
        <f t="shared" si="36"/>
        <v>11</v>
      </c>
    </row>
    <row r="128" ht="21.75" customHeight="1">
      <c r="A128" s="2">
        <v>14.0</v>
      </c>
      <c r="B128" s="23">
        <v>182.0</v>
      </c>
      <c r="C128" s="23">
        <v>168.0</v>
      </c>
      <c r="D128" s="23">
        <v>154.0</v>
      </c>
      <c r="E128" s="23">
        <v>140.0</v>
      </c>
      <c r="F128" s="5">
        <v>126.0</v>
      </c>
      <c r="G128" s="5">
        <v>112.0</v>
      </c>
      <c r="H128" s="5">
        <v>98.0</v>
      </c>
      <c r="I128" s="5">
        <v>84.0</v>
      </c>
      <c r="J128" s="5">
        <v>70.0</v>
      </c>
      <c r="K128" s="5">
        <v>56.0</v>
      </c>
      <c r="L128" s="28">
        <v>42.0</v>
      </c>
      <c r="M128" s="28">
        <v>28.0</v>
      </c>
      <c r="N128" s="28">
        <v>14.0</v>
      </c>
      <c r="O128" s="28">
        <v>0.0</v>
      </c>
      <c r="P128" s="17">
        <f t="shared" si="33"/>
        <v>1</v>
      </c>
      <c r="R128" s="2">
        <v>14.0</v>
      </c>
      <c r="S128" s="5">
        <v>126.0</v>
      </c>
      <c r="T128" s="5">
        <v>112.0</v>
      </c>
      <c r="U128" s="5">
        <v>98.0</v>
      </c>
      <c r="V128" s="5">
        <v>84.0</v>
      </c>
      <c r="W128" s="5">
        <v>70.0</v>
      </c>
      <c r="X128" s="5">
        <v>56.0</v>
      </c>
      <c r="Y128" s="5">
        <v>42.0</v>
      </c>
      <c r="Z128" s="5">
        <v>28.0</v>
      </c>
      <c r="AA128" s="5">
        <v>14.0</v>
      </c>
      <c r="AB128" s="5">
        <v>0.0</v>
      </c>
      <c r="AC128" s="17">
        <f t="shared" si="34"/>
        <v>5</v>
      </c>
      <c r="AE128" s="2">
        <v>14.0</v>
      </c>
      <c r="AF128" s="5">
        <v>112.0</v>
      </c>
      <c r="AG128" s="5">
        <v>98.0</v>
      </c>
      <c r="AH128" s="5">
        <v>84.0</v>
      </c>
      <c r="AI128" s="5">
        <v>70.0</v>
      </c>
      <c r="AJ128" s="5">
        <v>56.0</v>
      </c>
      <c r="AK128" s="5">
        <v>42.0</v>
      </c>
      <c r="AL128" s="5">
        <v>28.0</v>
      </c>
      <c r="AM128" s="5">
        <v>14.0</v>
      </c>
      <c r="AN128" s="5">
        <v>0.0</v>
      </c>
      <c r="AO128" s="17">
        <f t="shared" si="35"/>
        <v>5</v>
      </c>
      <c r="AQ128" s="2">
        <v>14.0</v>
      </c>
      <c r="AR128" s="5">
        <v>70.0</v>
      </c>
      <c r="AS128" s="5">
        <v>56.0</v>
      </c>
      <c r="AT128" s="5">
        <v>42.0</v>
      </c>
      <c r="AU128" s="5">
        <v>28.0</v>
      </c>
      <c r="AV128" s="5">
        <v>14.0</v>
      </c>
      <c r="AW128" s="5">
        <v>0.0</v>
      </c>
      <c r="AX128" s="17">
        <f t="shared" si="36"/>
        <v>10</v>
      </c>
    </row>
    <row r="129" ht="21.75" customHeight="1">
      <c r="A129" s="2">
        <v>15.0</v>
      </c>
      <c r="B129" s="23">
        <v>195.0</v>
      </c>
      <c r="C129" s="23">
        <v>180.0</v>
      </c>
      <c r="D129" s="23">
        <v>165.0</v>
      </c>
      <c r="E129" s="23">
        <v>150.0</v>
      </c>
      <c r="F129" s="23">
        <v>135.0</v>
      </c>
      <c r="G129" s="5">
        <v>120.0</v>
      </c>
      <c r="H129" s="5">
        <v>105.0</v>
      </c>
      <c r="I129" s="5">
        <v>90.0</v>
      </c>
      <c r="J129" s="5">
        <v>75.0</v>
      </c>
      <c r="K129" s="28">
        <v>60.0</v>
      </c>
      <c r="L129" s="28">
        <v>45.0</v>
      </c>
      <c r="M129" s="28">
        <v>30.0</v>
      </c>
      <c r="N129" s="28">
        <v>15.0</v>
      </c>
      <c r="O129" s="28">
        <v>0.0</v>
      </c>
      <c r="P129" s="17">
        <f t="shared" si="33"/>
        <v>0</v>
      </c>
      <c r="R129" s="2">
        <v>15.0</v>
      </c>
      <c r="S129" s="23">
        <v>135.0</v>
      </c>
      <c r="T129" s="5">
        <v>120.0</v>
      </c>
      <c r="U129" s="5">
        <v>105.0</v>
      </c>
      <c r="V129" s="5">
        <v>90.0</v>
      </c>
      <c r="W129" s="5">
        <v>75.0</v>
      </c>
      <c r="X129" s="5">
        <v>60.0</v>
      </c>
      <c r="Y129" s="5">
        <v>45.0</v>
      </c>
      <c r="Z129" s="5">
        <v>30.0</v>
      </c>
      <c r="AA129" s="5">
        <v>15.0</v>
      </c>
      <c r="AB129" s="28">
        <v>0.0</v>
      </c>
      <c r="AC129" s="17">
        <f t="shared" si="34"/>
        <v>4</v>
      </c>
      <c r="AE129" s="2">
        <v>15.0</v>
      </c>
      <c r="AF129" s="5">
        <v>120.0</v>
      </c>
      <c r="AG129" s="5">
        <v>105.0</v>
      </c>
      <c r="AH129" s="5">
        <v>90.0</v>
      </c>
      <c r="AI129" s="5">
        <v>75.0</v>
      </c>
      <c r="AJ129" s="5">
        <v>60.0</v>
      </c>
      <c r="AK129" s="5">
        <v>45.0</v>
      </c>
      <c r="AL129" s="5">
        <v>30.0</v>
      </c>
      <c r="AM129" s="15">
        <v>15.0</v>
      </c>
      <c r="AN129" s="5">
        <v>0.0</v>
      </c>
      <c r="AO129" s="17">
        <f t="shared" si="35"/>
        <v>4</v>
      </c>
      <c r="AQ129" s="2">
        <v>15.0</v>
      </c>
      <c r="AR129" s="5">
        <v>75.0</v>
      </c>
      <c r="AS129" s="5">
        <v>60.0</v>
      </c>
      <c r="AT129" s="5">
        <v>45.0</v>
      </c>
      <c r="AU129" s="5">
        <v>30.0</v>
      </c>
      <c r="AV129" s="5">
        <v>15.0</v>
      </c>
      <c r="AW129" s="5">
        <v>0.0</v>
      </c>
      <c r="AX129" s="17">
        <f t="shared" si="36"/>
        <v>9</v>
      </c>
    </row>
    <row r="130" ht="21.75" customHeight="1">
      <c r="B130" s="17">
        <f t="shared" ref="B130:O130" si="37">13-B113</f>
        <v>13</v>
      </c>
      <c r="C130" s="17">
        <f t="shared" si="37"/>
        <v>12</v>
      </c>
      <c r="D130" s="17">
        <f t="shared" si="37"/>
        <v>11</v>
      </c>
      <c r="E130" s="17">
        <f t="shared" si="37"/>
        <v>10</v>
      </c>
      <c r="F130" s="17">
        <f t="shared" si="37"/>
        <v>9</v>
      </c>
      <c r="G130" s="17">
        <f t="shared" si="37"/>
        <v>8</v>
      </c>
      <c r="H130" s="17">
        <f t="shared" si="37"/>
        <v>7</v>
      </c>
      <c r="I130" s="17">
        <f t="shared" si="37"/>
        <v>6</v>
      </c>
      <c r="J130" s="17">
        <f t="shared" si="37"/>
        <v>5</v>
      </c>
      <c r="K130" s="17">
        <f t="shared" si="37"/>
        <v>4</v>
      </c>
      <c r="L130" s="17">
        <f t="shared" si="37"/>
        <v>3</v>
      </c>
      <c r="M130" s="17">
        <f t="shared" si="37"/>
        <v>2</v>
      </c>
      <c r="N130" s="17">
        <f t="shared" si="37"/>
        <v>1</v>
      </c>
      <c r="O130" s="17">
        <f t="shared" si="37"/>
        <v>0</v>
      </c>
      <c r="P130" s="17"/>
      <c r="R130" s="2">
        <v>16.0</v>
      </c>
      <c r="S130" s="23">
        <v>144.0</v>
      </c>
      <c r="T130" s="23">
        <v>128.0</v>
      </c>
      <c r="U130" s="5">
        <v>112.0</v>
      </c>
      <c r="V130" s="5">
        <v>96.0</v>
      </c>
      <c r="W130" s="5">
        <v>80.0</v>
      </c>
      <c r="X130" s="5">
        <v>64.0</v>
      </c>
      <c r="Y130" s="5">
        <v>48.0</v>
      </c>
      <c r="Z130" s="5">
        <v>32.0</v>
      </c>
      <c r="AA130" s="28">
        <v>16.0</v>
      </c>
      <c r="AB130" s="28">
        <v>0.0</v>
      </c>
      <c r="AC130" s="17">
        <f t="shared" si="34"/>
        <v>3</v>
      </c>
      <c r="AE130" s="2">
        <v>16.0</v>
      </c>
      <c r="AF130" s="23">
        <v>128.0</v>
      </c>
      <c r="AG130" s="5">
        <v>112.0</v>
      </c>
      <c r="AH130" s="5">
        <v>96.0</v>
      </c>
      <c r="AI130" s="5">
        <v>80.0</v>
      </c>
      <c r="AJ130" s="5">
        <v>64.0</v>
      </c>
      <c r="AK130" s="5">
        <v>48.0</v>
      </c>
      <c r="AL130" s="5">
        <v>32.0</v>
      </c>
      <c r="AM130" s="5">
        <v>16.0</v>
      </c>
      <c r="AN130" s="28">
        <v>0.0</v>
      </c>
      <c r="AO130" s="17">
        <f t="shared" si="35"/>
        <v>3</v>
      </c>
      <c r="AQ130" s="2">
        <v>16.0</v>
      </c>
      <c r="AR130" s="5">
        <v>80.0</v>
      </c>
      <c r="AS130" s="5">
        <v>64.0</v>
      </c>
      <c r="AT130" s="5">
        <v>48.0</v>
      </c>
      <c r="AU130" s="5">
        <v>32.0</v>
      </c>
      <c r="AV130" s="5">
        <v>16.0</v>
      </c>
      <c r="AW130" s="5">
        <v>0.0</v>
      </c>
      <c r="AX130" s="17">
        <f t="shared" si="36"/>
        <v>8</v>
      </c>
    </row>
    <row r="131" ht="21.75" customHeight="1">
      <c r="P131" s="17"/>
      <c r="R131" s="2">
        <v>17.0</v>
      </c>
      <c r="S131" s="23">
        <v>153.0</v>
      </c>
      <c r="T131" s="23">
        <v>136.0</v>
      </c>
      <c r="U131" s="5">
        <v>119.0</v>
      </c>
      <c r="V131" s="5">
        <v>102.0</v>
      </c>
      <c r="W131" s="5">
        <v>85.0</v>
      </c>
      <c r="X131" s="5">
        <v>68.0</v>
      </c>
      <c r="Y131" s="5">
        <v>51.0</v>
      </c>
      <c r="Z131" s="5">
        <v>34.0</v>
      </c>
      <c r="AA131" s="28">
        <v>17.0</v>
      </c>
      <c r="AB131" s="28">
        <v>0.0</v>
      </c>
      <c r="AC131" s="17">
        <f t="shared" si="34"/>
        <v>2</v>
      </c>
      <c r="AE131" s="2">
        <v>17.0</v>
      </c>
      <c r="AF131" s="23">
        <v>136.0</v>
      </c>
      <c r="AG131" s="5">
        <v>119.0</v>
      </c>
      <c r="AH131" s="5">
        <v>102.0</v>
      </c>
      <c r="AI131" s="5">
        <v>85.0</v>
      </c>
      <c r="AJ131" s="5">
        <v>68.0</v>
      </c>
      <c r="AK131" s="5">
        <v>51.0</v>
      </c>
      <c r="AL131" s="5">
        <v>34.0</v>
      </c>
      <c r="AM131" s="5">
        <v>17.0</v>
      </c>
      <c r="AN131" s="28">
        <v>0.0</v>
      </c>
      <c r="AO131" s="17">
        <f t="shared" si="35"/>
        <v>2</v>
      </c>
      <c r="AQ131" s="2">
        <v>17.0</v>
      </c>
      <c r="AR131" s="5">
        <v>85.0</v>
      </c>
      <c r="AS131" s="5">
        <v>68.0</v>
      </c>
      <c r="AT131" s="5">
        <v>51.0</v>
      </c>
      <c r="AU131" s="5">
        <v>34.0</v>
      </c>
      <c r="AV131" s="5">
        <v>17.0</v>
      </c>
      <c r="AW131" s="5">
        <v>0.0</v>
      </c>
      <c r="AX131" s="17">
        <f t="shared" si="36"/>
        <v>7</v>
      </c>
    </row>
    <row r="132" ht="21.75" customHeight="1">
      <c r="P132" s="17"/>
      <c r="R132" s="2">
        <v>18.0</v>
      </c>
      <c r="S132" s="23">
        <v>162.0</v>
      </c>
      <c r="T132" s="23">
        <v>144.0</v>
      </c>
      <c r="U132" s="23">
        <v>126.0</v>
      </c>
      <c r="V132" s="5">
        <v>108.0</v>
      </c>
      <c r="W132" s="5">
        <v>90.0</v>
      </c>
      <c r="X132" s="5">
        <v>72.0</v>
      </c>
      <c r="Y132" s="5">
        <v>54.0</v>
      </c>
      <c r="Z132" s="28">
        <v>36.0</v>
      </c>
      <c r="AA132" s="28">
        <v>18.0</v>
      </c>
      <c r="AB132" s="28">
        <v>0.0</v>
      </c>
      <c r="AC132" s="17">
        <f t="shared" si="34"/>
        <v>1</v>
      </c>
      <c r="AE132" s="2">
        <v>18.0</v>
      </c>
      <c r="AF132" s="23">
        <v>144.0</v>
      </c>
      <c r="AG132" s="23">
        <v>126.0</v>
      </c>
      <c r="AH132" s="5">
        <v>108.0</v>
      </c>
      <c r="AI132" s="5">
        <v>90.0</v>
      </c>
      <c r="AJ132" s="5">
        <v>72.0</v>
      </c>
      <c r="AK132" s="5">
        <v>54.0</v>
      </c>
      <c r="AL132" s="5">
        <v>36.0</v>
      </c>
      <c r="AM132" s="28">
        <v>18.0</v>
      </c>
      <c r="AN132" s="28">
        <v>0.0</v>
      </c>
      <c r="AO132" s="17">
        <f t="shared" si="35"/>
        <v>1</v>
      </c>
      <c r="AQ132" s="2">
        <v>18.0</v>
      </c>
      <c r="AR132" s="5">
        <v>90.0</v>
      </c>
      <c r="AS132" s="5">
        <v>72.0</v>
      </c>
      <c r="AT132" s="5">
        <v>54.0</v>
      </c>
      <c r="AU132" s="5">
        <v>36.0</v>
      </c>
      <c r="AV132" s="5">
        <v>18.0</v>
      </c>
      <c r="AW132" s="5">
        <v>0.0</v>
      </c>
      <c r="AX132" s="17">
        <f t="shared" si="36"/>
        <v>6</v>
      </c>
    </row>
    <row r="133" ht="21.75" customHeight="1">
      <c r="P133" s="17"/>
      <c r="R133" s="2">
        <v>19.0</v>
      </c>
      <c r="S133" s="23">
        <v>171.0</v>
      </c>
      <c r="T133" s="23">
        <v>152.0</v>
      </c>
      <c r="U133" s="23">
        <v>133.0</v>
      </c>
      <c r="V133" s="5">
        <v>114.0</v>
      </c>
      <c r="W133" s="5">
        <v>95.0</v>
      </c>
      <c r="X133" s="5">
        <v>76.0</v>
      </c>
      <c r="Y133" s="5">
        <v>57.0</v>
      </c>
      <c r="Z133" s="28">
        <v>38.0</v>
      </c>
      <c r="AA133" s="28">
        <v>19.0</v>
      </c>
      <c r="AB133" s="28">
        <v>0.0</v>
      </c>
      <c r="AC133" s="17">
        <f t="shared" si="34"/>
        <v>0</v>
      </c>
      <c r="AE133" s="2">
        <v>19.0</v>
      </c>
      <c r="AF133" s="23">
        <v>152.0</v>
      </c>
      <c r="AG133" s="23">
        <v>133.0</v>
      </c>
      <c r="AH133" s="5">
        <v>114.0</v>
      </c>
      <c r="AI133" s="5">
        <v>95.0</v>
      </c>
      <c r="AJ133" s="5">
        <v>76.0</v>
      </c>
      <c r="AK133" s="5">
        <v>57.0</v>
      </c>
      <c r="AL133" s="5">
        <v>38.0</v>
      </c>
      <c r="AM133" s="28">
        <v>19.0</v>
      </c>
      <c r="AN133" s="28">
        <v>0.0</v>
      </c>
      <c r="AO133" s="17">
        <f t="shared" si="35"/>
        <v>0</v>
      </c>
      <c r="AQ133" s="2">
        <v>19.0</v>
      </c>
      <c r="AR133" s="5">
        <v>95.0</v>
      </c>
      <c r="AS133" s="5">
        <v>76.0</v>
      </c>
      <c r="AT133" s="5">
        <v>57.0</v>
      </c>
      <c r="AU133" s="5">
        <v>38.0</v>
      </c>
      <c r="AV133" s="5">
        <v>19.0</v>
      </c>
      <c r="AW133" s="5">
        <v>0.0</v>
      </c>
      <c r="AX133" s="17">
        <f t="shared" si="36"/>
        <v>5</v>
      </c>
    </row>
    <row r="134" ht="21.75" customHeight="1">
      <c r="P134" s="17"/>
      <c r="S134" s="17">
        <f t="shared" ref="S134:AB134" si="38">9-S113</f>
        <v>9</v>
      </c>
      <c r="T134" s="17">
        <f t="shared" si="38"/>
        <v>8</v>
      </c>
      <c r="U134" s="17">
        <f t="shared" si="38"/>
        <v>7</v>
      </c>
      <c r="V134" s="17">
        <f t="shared" si="38"/>
        <v>6</v>
      </c>
      <c r="W134" s="17">
        <f t="shared" si="38"/>
        <v>5</v>
      </c>
      <c r="X134" s="17">
        <f t="shared" si="38"/>
        <v>4</v>
      </c>
      <c r="Y134" s="17">
        <f t="shared" si="38"/>
        <v>3</v>
      </c>
      <c r="Z134" s="17">
        <f t="shared" si="38"/>
        <v>2</v>
      </c>
      <c r="AA134" s="17">
        <f t="shared" si="38"/>
        <v>1</v>
      </c>
      <c r="AB134" s="17">
        <f t="shared" si="38"/>
        <v>0</v>
      </c>
      <c r="AC134" s="17"/>
      <c r="AF134" s="17">
        <f t="shared" ref="AF134:AN134" si="39">8-AF113</f>
        <v>8</v>
      </c>
      <c r="AG134" s="17">
        <f t="shared" si="39"/>
        <v>7</v>
      </c>
      <c r="AH134" s="17">
        <f t="shared" si="39"/>
        <v>6</v>
      </c>
      <c r="AI134" s="17">
        <f t="shared" si="39"/>
        <v>5</v>
      </c>
      <c r="AJ134" s="17">
        <f t="shared" si="39"/>
        <v>4</v>
      </c>
      <c r="AK134" s="17">
        <f t="shared" si="39"/>
        <v>3</v>
      </c>
      <c r="AL134" s="17">
        <f t="shared" si="39"/>
        <v>2</v>
      </c>
      <c r="AM134" s="17">
        <f t="shared" si="39"/>
        <v>1</v>
      </c>
      <c r="AN134" s="17">
        <f t="shared" si="39"/>
        <v>0</v>
      </c>
      <c r="AO134" s="17"/>
      <c r="AQ134" s="2">
        <v>20.0</v>
      </c>
      <c r="AR134" s="5">
        <v>100.0</v>
      </c>
      <c r="AS134" s="5">
        <v>80.0</v>
      </c>
      <c r="AT134" s="5">
        <v>60.0</v>
      </c>
      <c r="AU134" s="5">
        <v>40.0</v>
      </c>
      <c r="AV134" s="5">
        <v>20.0</v>
      </c>
      <c r="AW134" s="5">
        <v>0.0</v>
      </c>
      <c r="AX134" s="17">
        <f t="shared" si="36"/>
        <v>4</v>
      </c>
    </row>
    <row r="135" ht="21.75" customHeight="1">
      <c r="P135" s="17"/>
      <c r="AC135" s="17"/>
      <c r="AO135" s="17"/>
      <c r="AQ135" s="2">
        <v>21.0</v>
      </c>
      <c r="AR135" s="5">
        <v>105.0</v>
      </c>
      <c r="AS135" s="5">
        <v>84.0</v>
      </c>
      <c r="AT135" s="5">
        <v>63.0</v>
      </c>
      <c r="AU135" s="5">
        <v>42.0</v>
      </c>
      <c r="AV135" s="5">
        <v>21.0</v>
      </c>
      <c r="AW135" s="15">
        <v>0.0</v>
      </c>
      <c r="AX135" s="17">
        <f t="shared" si="36"/>
        <v>3</v>
      </c>
    </row>
    <row r="136" ht="21.75" customHeight="1">
      <c r="P136" s="17"/>
      <c r="AC136" s="17"/>
      <c r="AO136" s="17"/>
      <c r="AQ136" s="2">
        <v>22.0</v>
      </c>
      <c r="AR136" s="5">
        <v>110.0</v>
      </c>
      <c r="AS136" s="5">
        <v>88.0</v>
      </c>
      <c r="AT136" s="5">
        <v>66.0</v>
      </c>
      <c r="AU136" s="5">
        <v>44.0</v>
      </c>
      <c r="AV136" s="5">
        <v>22.0</v>
      </c>
      <c r="AW136" s="5">
        <v>0.0</v>
      </c>
      <c r="AX136" s="17">
        <f t="shared" si="36"/>
        <v>2</v>
      </c>
    </row>
    <row r="137" ht="21.75" customHeight="1">
      <c r="P137" s="17"/>
      <c r="AC137" s="17"/>
      <c r="AO137" s="17"/>
      <c r="AQ137" s="2">
        <v>23.0</v>
      </c>
      <c r="AR137" s="23">
        <v>115.0</v>
      </c>
      <c r="AS137" s="5">
        <v>92.0</v>
      </c>
      <c r="AT137" s="5">
        <v>69.0</v>
      </c>
      <c r="AU137" s="5">
        <v>46.0</v>
      </c>
      <c r="AV137" s="5">
        <v>23.0</v>
      </c>
      <c r="AW137" s="28">
        <v>0.0</v>
      </c>
      <c r="AX137" s="17">
        <f t="shared" si="36"/>
        <v>1</v>
      </c>
    </row>
    <row r="138" ht="21.75" customHeight="1">
      <c r="P138" s="17"/>
      <c r="AC138" s="17"/>
      <c r="AO138" s="17"/>
      <c r="AQ138" s="2">
        <v>24.0</v>
      </c>
      <c r="AR138" s="23">
        <v>120.0</v>
      </c>
      <c r="AS138" s="5">
        <v>96.0</v>
      </c>
      <c r="AT138" s="5">
        <v>72.0</v>
      </c>
      <c r="AU138" s="5">
        <v>48.0</v>
      </c>
      <c r="AV138" s="5">
        <v>24.0</v>
      </c>
      <c r="AW138" s="28">
        <v>0.0</v>
      </c>
      <c r="AX138" s="17">
        <f t="shared" si="36"/>
        <v>0</v>
      </c>
    </row>
    <row r="139" ht="21.75" customHeight="1">
      <c r="A139" s="17"/>
      <c r="P139" s="17"/>
      <c r="AC139" s="17"/>
      <c r="AO139" s="17"/>
      <c r="AQ139" s="2"/>
      <c r="AR139" s="17">
        <f t="shared" ref="AR139:AW139" si="40">5-AR113</f>
        <v>5</v>
      </c>
      <c r="AS139" s="17">
        <f t="shared" si="40"/>
        <v>4</v>
      </c>
      <c r="AT139" s="17">
        <f t="shared" si="40"/>
        <v>3</v>
      </c>
      <c r="AU139" s="17">
        <f t="shared" si="40"/>
        <v>2</v>
      </c>
      <c r="AV139" s="17">
        <f t="shared" si="40"/>
        <v>1</v>
      </c>
      <c r="AW139" s="17">
        <f t="shared" si="40"/>
        <v>0</v>
      </c>
      <c r="AX139" s="17"/>
    </row>
    <row r="140" ht="21.75" customHeight="1">
      <c r="A140" s="17"/>
      <c r="P140" s="17"/>
      <c r="AC140" s="17"/>
      <c r="AO140" s="17"/>
      <c r="AX140" s="17"/>
    </row>
    <row r="141" ht="21.75" customHeight="1">
      <c r="A141" s="17"/>
      <c r="B141" s="2">
        <v>0.0</v>
      </c>
      <c r="C141" s="2">
        <v>1.0</v>
      </c>
      <c r="D141" s="2">
        <v>2.0</v>
      </c>
      <c r="E141" s="2">
        <v>3.0</v>
      </c>
      <c r="F141" s="2">
        <v>4.0</v>
      </c>
      <c r="G141" s="2">
        <v>5.0</v>
      </c>
      <c r="H141" s="2">
        <v>6.0</v>
      </c>
      <c r="I141" s="2">
        <v>7.0</v>
      </c>
      <c r="J141" s="2">
        <v>8.0</v>
      </c>
      <c r="K141" s="2">
        <v>9.0</v>
      </c>
      <c r="L141" s="2">
        <v>10.0</v>
      </c>
      <c r="M141" s="2">
        <v>11.0</v>
      </c>
      <c r="N141" s="2">
        <v>12.0</v>
      </c>
      <c r="O141" s="2">
        <v>13.0</v>
      </c>
      <c r="P141" s="17"/>
      <c r="Q141" s="17"/>
      <c r="R141" s="17"/>
      <c r="S141" s="2">
        <v>0.0</v>
      </c>
      <c r="T141" s="2">
        <v>1.0</v>
      </c>
      <c r="U141" s="2">
        <v>2.0</v>
      </c>
      <c r="V141" s="2">
        <v>3.0</v>
      </c>
      <c r="W141" s="2">
        <v>4.0</v>
      </c>
      <c r="X141" s="2">
        <v>5.0</v>
      </c>
      <c r="Y141" s="2">
        <v>6.0</v>
      </c>
      <c r="Z141" s="2">
        <v>7.0</v>
      </c>
      <c r="AA141" s="2">
        <v>8.0</v>
      </c>
      <c r="AB141" s="2">
        <v>9.0</v>
      </c>
      <c r="AC141" s="2"/>
      <c r="AD141" s="2"/>
      <c r="AE141" s="17"/>
      <c r="AF141" s="2">
        <v>0.0</v>
      </c>
      <c r="AG141" s="2">
        <v>1.0</v>
      </c>
      <c r="AH141" s="2">
        <v>2.0</v>
      </c>
      <c r="AI141" s="2">
        <v>3.0</v>
      </c>
      <c r="AJ141" s="2">
        <v>4.0</v>
      </c>
      <c r="AK141" s="2">
        <v>5.0</v>
      </c>
      <c r="AL141" s="2">
        <v>6.0</v>
      </c>
      <c r="AM141" s="2">
        <v>7.0</v>
      </c>
      <c r="AN141" s="2">
        <v>8.0</v>
      </c>
      <c r="AO141" s="2"/>
      <c r="AP141" s="2"/>
      <c r="AQ141" s="17"/>
      <c r="AR141" s="2">
        <v>0.0</v>
      </c>
      <c r="AS141" s="2">
        <v>1.0</v>
      </c>
      <c r="AT141" s="2">
        <v>2.0</v>
      </c>
      <c r="AU141" s="2">
        <v>3.0</v>
      </c>
      <c r="AV141" s="2">
        <v>4.0</v>
      </c>
      <c r="AW141" s="2">
        <v>5.0</v>
      </c>
      <c r="AX141" s="2"/>
    </row>
    <row r="142" ht="21.75" customHeight="1">
      <c r="A142" s="2">
        <v>0.0</v>
      </c>
      <c r="B142" s="41">
        <f t="shared" ref="B142:O142" si="41">max(B114,B86)</f>
        <v>0</v>
      </c>
      <c r="C142" s="28">
        <f t="shared" si="41"/>
        <v>15</v>
      </c>
      <c r="D142" s="28">
        <f t="shared" si="41"/>
        <v>30</v>
      </c>
      <c r="E142" s="28">
        <f t="shared" si="41"/>
        <v>45</v>
      </c>
      <c r="F142" s="28">
        <f t="shared" si="41"/>
        <v>60</v>
      </c>
      <c r="G142" s="5">
        <f t="shared" si="41"/>
        <v>75</v>
      </c>
      <c r="H142" s="5">
        <f t="shared" si="41"/>
        <v>90</v>
      </c>
      <c r="I142" s="5">
        <f t="shared" si="41"/>
        <v>105</v>
      </c>
      <c r="J142" s="5">
        <f t="shared" si="41"/>
        <v>120</v>
      </c>
      <c r="K142" s="23">
        <f t="shared" si="41"/>
        <v>135</v>
      </c>
      <c r="L142" s="23">
        <f t="shared" si="41"/>
        <v>150</v>
      </c>
      <c r="M142" s="23">
        <f t="shared" si="41"/>
        <v>165</v>
      </c>
      <c r="N142" s="23">
        <f t="shared" si="41"/>
        <v>180</v>
      </c>
      <c r="O142" s="23">
        <f t="shared" si="41"/>
        <v>195</v>
      </c>
      <c r="P142" s="17">
        <f t="shared" ref="P142:P157" si="46">15-A142</f>
        <v>15</v>
      </c>
      <c r="R142" s="2">
        <v>0.0</v>
      </c>
      <c r="S142" s="41">
        <f t="shared" ref="S142:AB142" si="42">max(S114,S86)</f>
        <v>0</v>
      </c>
      <c r="T142" s="28">
        <f t="shared" si="42"/>
        <v>19</v>
      </c>
      <c r="U142" s="28">
        <f t="shared" si="42"/>
        <v>38</v>
      </c>
      <c r="V142" s="5">
        <f t="shared" si="42"/>
        <v>57</v>
      </c>
      <c r="W142" s="5">
        <f t="shared" si="42"/>
        <v>76</v>
      </c>
      <c r="X142" s="5">
        <f t="shared" si="42"/>
        <v>95</v>
      </c>
      <c r="Y142" s="5">
        <f t="shared" si="42"/>
        <v>114</v>
      </c>
      <c r="Z142" s="23">
        <f t="shared" si="42"/>
        <v>133</v>
      </c>
      <c r="AA142" s="23">
        <f t="shared" si="42"/>
        <v>152</v>
      </c>
      <c r="AB142" s="23">
        <f t="shared" si="42"/>
        <v>171</v>
      </c>
      <c r="AC142" s="17">
        <f t="shared" ref="AC142:AC161" si="48">19-R142</f>
        <v>19</v>
      </c>
      <c r="AE142" s="2">
        <v>0.0</v>
      </c>
      <c r="AF142" s="41">
        <f t="shared" ref="AF142:AN142" si="43">max(AF114,AF86)</f>
        <v>0</v>
      </c>
      <c r="AG142" s="28">
        <f t="shared" si="43"/>
        <v>19</v>
      </c>
      <c r="AH142" s="5">
        <f t="shared" si="43"/>
        <v>38</v>
      </c>
      <c r="AI142" s="5">
        <f t="shared" si="43"/>
        <v>57</v>
      </c>
      <c r="AJ142" s="5">
        <f t="shared" si="43"/>
        <v>76</v>
      </c>
      <c r="AK142" s="5">
        <f t="shared" si="43"/>
        <v>95</v>
      </c>
      <c r="AL142" s="5">
        <f t="shared" si="43"/>
        <v>114</v>
      </c>
      <c r="AM142" s="23">
        <f t="shared" si="43"/>
        <v>133</v>
      </c>
      <c r="AN142" s="23">
        <f t="shared" si="43"/>
        <v>152</v>
      </c>
      <c r="AO142" s="17">
        <f t="shared" ref="AO142:AO161" si="50">19-AE142</f>
        <v>19</v>
      </c>
      <c r="AQ142" s="2">
        <v>0.0</v>
      </c>
      <c r="AR142" s="41">
        <f t="shared" ref="AR142:AW142" si="44">max(AR114,AR86)</f>
        <v>0</v>
      </c>
      <c r="AS142" s="5">
        <f t="shared" si="44"/>
        <v>24</v>
      </c>
      <c r="AT142" s="5">
        <f t="shared" si="44"/>
        <v>48</v>
      </c>
      <c r="AU142" s="5">
        <f t="shared" si="44"/>
        <v>72</v>
      </c>
      <c r="AV142" s="5">
        <f t="shared" si="44"/>
        <v>96</v>
      </c>
      <c r="AW142" s="23">
        <f t="shared" si="44"/>
        <v>120</v>
      </c>
      <c r="AX142" s="17">
        <f t="shared" ref="AX142:AX166" si="52">24-AQ142</f>
        <v>24</v>
      </c>
    </row>
    <row r="143" ht="21.75" customHeight="1">
      <c r="A143" s="2">
        <v>1.0</v>
      </c>
      <c r="B143" s="41">
        <f t="shared" ref="B143:O143" si="45">max(B115,B87)</f>
        <v>13</v>
      </c>
      <c r="C143" s="28">
        <f t="shared" si="45"/>
        <v>14</v>
      </c>
      <c r="D143" s="28">
        <f t="shared" si="45"/>
        <v>28</v>
      </c>
      <c r="E143" s="28">
        <f t="shared" si="45"/>
        <v>42</v>
      </c>
      <c r="F143" s="5">
        <f t="shared" si="45"/>
        <v>56</v>
      </c>
      <c r="G143" s="5">
        <f t="shared" si="45"/>
        <v>70</v>
      </c>
      <c r="H143" s="5">
        <f t="shared" si="45"/>
        <v>84</v>
      </c>
      <c r="I143" s="5">
        <f t="shared" si="45"/>
        <v>98</v>
      </c>
      <c r="J143" s="5">
        <f t="shared" si="45"/>
        <v>112</v>
      </c>
      <c r="K143" s="5">
        <f t="shared" si="45"/>
        <v>126</v>
      </c>
      <c r="L143" s="23">
        <f t="shared" si="45"/>
        <v>140</v>
      </c>
      <c r="M143" s="23">
        <f t="shared" si="45"/>
        <v>154</v>
      </c>
      <c r="N143" s="23">
        <f t="shared" si="45"/>
        <v>168</v>
      </c>
      <c r="O143" s="23">
        <f t="shared" si="45"/>
        <v>182</v>
      </c>
      <c r="P143" s="17">
        <f t="shared" si="46"/>
        <v>14</v>
      </c>
      <c r="R143" s="2">
        <v>1.0</v>
      </c>
      <c r="S143" s="41">
        <f t="shared" ref="S143:AB143" si="47">max(S115,S87)</f>
        <v>9</v>
      </c>
      <c r="T143" s="28">
        <f t="shared" si="47"/>
        <v>18</v>
      </c>
      <c r="U143" s="28">
        <f t="shared" si="47"/>
        <v>36</v>
      </c>
      <c r="V143" s="5">
        <f t="shared" si="47"/>
        <v>54</v>
      </c>
      <c r="W143" s="5">
        <f t="shared" si="47"/>
        <v>72</v>
      </c>
      <c r="X143" s="5">
        <f t="shared" si="47"/>
        <v>90</v>
      </c>
      <c r="Y143" s="5">
        <f t="shared" si="47"/>
        <v>108</v>
      </c>
      <c r="Z143" s="23">
        <f t="shared" si="47"/>
        <v>126</v>
      </c>
      <c r="AA143" s="23">
        <f t="shared" si="47"/>
        <v>144</v>
      </c>
      <c r="AB143" s="23">
        <f t="shared" si="47"/>
        <v>162</v>
      </c>
      <c r="AC143" s="17">
        <f t="shared" si="48"/>
        <v>18</v>
      </c>
      <c r="AE143" s="2">
        <v>1.0</v>
      </c>
      <c r="AF143" s="41">
        <f t="shared" ref="AF143:AN143" si="49">max(AF115,AF87)</f>
        <v>8</v>
      </c>
      <c r="AG143" s="28">
        <f t="shared" si="49"/>
        <v>18</v>
      </c>
      <c r="AH143" s="5">
        <f t="shared" si="49"/>
        <v>36</v>
      </c>
      <c r="AI143" s="5">
        <f t="shared" si="49"/>
        <v>54</v>
      </c>
      <c r="AJ143" s="5">
        <f t="shared" si="49"/>
        <v>72</v>
      </c>
      <c r="AK143" s="5">
        <f t="shared" si="49"/>
        <v>90</v>
      </c>
      <c r="AL143" s="5">
        <f t="shared" si="49"/>
        <v>108</v>
      </c>
      <c r="AM143" s="23">
        <f t="shared" si="49"/>
        <v>126</v>
      </c>
      <c r="AN143" s="23">
        <f t="shared" si="49"/>
        <v>144</v>
      </c>
      <c r="AO143" s="17">
        <f t="shared" si="50"/>
        <v>18</v>
      </c>
      <c r="AQ143" s="2">
        <v>1.0</v>
      </c>
      <c r="AR143" s="41">
        <f t="shared" ref="AR143:AW143" si="51">max(AR115,AR87)</f>
        <v>5</v>
      </c>
      <c r="AS143" s="5">
        <f t="shared" si="51"/>
        <v>23</v>
      </c>
      <c r="AT143" s="5">
        <f t="shared" si="51"/>
        <v>46</v>
      </c>
      <c r="AU143" s="5">
        <f t="shared" si="51"/>
        <v>69</v>
      </c>
      <c r="AV143" s="5">
        <f t="shared" si="51"/>
        <v>92</v>
      </c>
      <c r="AW143" s="23">
        <f t="shared" si="51"/>
        <v>115</v>
      </c>
      <c r="AX143" s="17">
        <f t="shared" si="52"/>
        <v>23</v>
      </c>
    </row>
    <row r="144" ht="21.75" customHeight="1">
      <c r="A144" s="2">
        <v>2.0</v>
      </c>
      <c r="B144" s="28">
        <f t="shared" ref="B144:O144" si="53">max(B116,B88)</f>
        <v>26</v>
      </c>
      <c r="C144" s="41">
        <f t="shared" si="53"/>
        <v>24</v>
      </c>
      <c r="D144" s="28">
        <f t="shared" si="53"/>
        <v>26</v>
      </c>
      <c r="E144" s="28">
        <f t="shared" si="53"/>
        <v>39</v>
      </c>
      <c r="F144" s="5">
        <f t="shared" si="53"/>
        <v>52</v>
      </c>
      <c r="G144" s="5">
        <f t="shared" si="53"/>
        <v>65</v>
      </c>
      <c r="H144" s="5">
        <f t="shared" si="53"/>
        <v>78</v>
      </c>
      <c r="I144" s="5">
        <f t="shared" si="53"/>
        <v>91</v>
      </c>
      <c r="J144" s="5">
        <f t="shared" si="53"/>
        <v>104</v>
      </c>
      <c r="K144" s="5">
        <f t="shared" si="53"/>
        <v>117</v>
      </c>
      <c r="L144" s="23">
        <f t="shared" si="53"/>
        <v>130</v>
      </c>
      <c r="M144" s="23">
        <f t="shared" si="53"/>
        <v>143</v>
      </c>
      <c r="N144" s="23">
        <f t="shared" si="53"/>
        <v>156</v>
      </c>
      <c r="O144" s="23">
        <f t="shared" si="53"/>
        <v>169</v>
      </c>
      <c r="P144" s="17">
        <f t="shared" si="46"/>
        <v>13</v>
      </c>
      <c r="R144" s="2">
        <v>2.0</v>
      </c>
      <c r="S144" s="28">
        <f t="shared" ref="S144:AB144" si="54">max(S116,S88)</f>
        <v>18</v>
      </c>
      <c r="T144" s="41">
        <f t="shared" si="54"/>
        <v>17</v>
      </c>
      <c r="U144" s="5">
        <f t="shared" si="54"/>
        <v>34</v>
      </c>
      <c r="V144" s="5">
        <f t="shared" si="54"/>
        <v>51</v>
      </c>
      <c r="W144" s="5">
        <f t="shared" si="54"/>
        <v>68</v>
      </c>
      <c r="X144" s="5">
        <f t="shared" si="54"/>
        <v>85</v>
      </c>
      <c r="Y144" s="5">
        <f t="shared" si="54"/>
        <v>102</v>
      </c>
      <c r="Z144" s="5">
        <f t="shared" si="54"/>
        <v>119</v>
      </c>
      <c r="AA144" s="23">
        <f t="shared" si="54"/>
        <v>136</v>
      </c>
      <c r="AB144" s="23">
        <f t="shared" si="54"/>
        <v>153</v>
      </c>
      <c r="AC144" s="17">
        <f t="shared" si="48"/>
        <v>17</v>
      </c>
      <c r="AE144" s="2">
        <v>2.0</v>
      </c>
      <c r="AF144" s="41">
        <f t="shared" ref="AF144:AN144" si="55">max(AF116,AF88)</f>
        <v>16</v>
      </c>
      <c r="AG144" s="5">
        <f t="shared" si="55"/>
        <v>17</v>
      </c>
      <c r="AH144" s="5">
        <f t="shared" si="55"/>
        <v>34</v>
      </c>
      <c r="AI144" s="5">
        <f t="shared" si="55"/>
        <v>51</v>
      </c>
      <c r="AJ144" s="5">
        <f t="shared" si="55"/>
        <v>68</v>
      </c>
      <c r="AK144" s="5">
        <f t="shared" si="55"/>
        <v>85</v>
      </c>
      <c r="AL144" s="5">
        <f t="shared" si="55"/>
        <v>102</v>
      </c>
      <c r="AM144" s="5">
        <f t="shared" si="55"/>
        <v>119</v>
      </c>
      <c r="AN144" s="23">
        <f t="shared" si="55"/>
        <v>136</v>
      </c>
      <c r="AO144" s="17">
        <f t="shared" si="50"/>
        <v>17</v>
      </c>
      <c r="AQ144" s="2">
        <v>2.0</v>
      </c>
      <c r="AR144" s="17">
        <f t="shared" ref="AR144:AW144" si="56">max(AR116,AR88)</f>
        <v>10</v>
      </c>
      <c r="AS144" s="5">
        <f t="shared" si="56"/>
        <v>22</v>
      </c>
      <c r="AT144" s="5">
        <f t="shared" si="56"/>
        <v>44</v>
      </c>
      <c r="AU144" s="5">
        <f t="shared" si="56"/>
        <v>66</v>
      </c>
      <c r="AV144" s="5">
        <f t="shared" si="56"/>
        <v>88</v>
      </c>
      <c r="AW144" s="5">
        <f t="shared" si="56"/>
        <v>110</v>
      </c>
      <c r="AX144" s="17">
        <f t="shared" si="52"/>
        <v>22</v>
      </c>
    </row>
    <row r="145" ht="21.75" customHeight="1">
      <c r="A145" s="2">
        <v>3.0</v>
      </c>
      <c r="B145" s="28">
        <f t="shared" ref="B145:O145" si="57">max(B117,B89)</f>
        <v>39</v>
      </c>
      <c r="C145" s="28">
        <f t="shared" si="57"/>
        <v>36</v>
      </c>
      <c r="D145" s="41">
        <f t="shared" si="57"/>
        <v>33</v>
      </c>
      <c r="E145" s="5">
        <f t="shared" si="57"/>
        <v>36</v>
      </c>
      <c r="F145" s="5">
        <f t="shared" si="57"/>
        <v>48</v>
      </c>
      <c r="G145" s="5">
        <f t="shared" si="57"/>
        <v>60</v>
      </c>
      <c r="H145" s="5">
        <f t="shared" si="57"/>
        <v>72</v>
      </c>
      <c r="I145" s="5">
        <f t="shared" si="57"/>
        <v>84</v>
      </c>
      <c r="J145" s="5">
        <f t="shared" si="57"/>
        <v>96</v>
      </c>
      <c r="K145" s="5">
        <f t="shared" si="57"/>
        <v>108</v>
      </c>
      <c r="L145" s="5">
        <f t="shared" si="57"/>
        <v>120</v>
      </c>
      <c r="M145" s="23">
        <f t="shared" si="57"/>
        <v>132</v>
      </c>
      <c r="N145" s="23">
        <f t="shared" si="57"/>
        <v>144</v>
      </c>
      <c r="O145" s="23">
        <f t="shared" si="57"/>
        <v>156</v>
      </c>
      <c r="P145" s="17">
        <f t="shared" si="46"/>
        <v>12</v>
      </c>
      <c r="R145" s="2">
        <v>3.0</v>
      </c>
      <c r="S145" s="28">
        <f t="shared" ref="S145:AB145" si="58">max(S117,S89)</f>
        <v>27</v>
      </c>
      <c r="T145" s="41">
        <f t="shared" si="58"/>
        <v>24</v>
      </c>
      <c r="U145" s="5">
        <f t="shared" si="58"/>
        <v>32</v>
      </c>
      <c r="V145" s="5">
        <f t="shared" si="58"/>
        <v>48</v>
      </c>
      <c r="W145" s="5">
        <f t="shared" si="58"/>
        <v>64</v>
      </c>
      <c r="X145" s="5">
        <f t="shared" si="58"/>
        <v>80</v>
      </c>
      <c r="Y145" s="5">
        <f t="shared" si="58"/>
        <v>96</v>
      </c>
      <c r="Z145" s="5">
        <f t="shared" si="58"/>
        <v>112</v>
      </c>
      <c r="AA145" s="23">
        <f t="shared" si="58"/>
        <v>128</v>
      </c>
      <c r="AB145" s="23">
        <f t="shared" si="58"/>
        <v>144</v>
      </c>
      <c r="AC145" s="17">
        <f t="shared" si="48"/>
        <v>16</v>
      </c>
      <c r="AE145" s="2">
        <v>3.0</v>
      </c>
      <c r="AF145" s="28">
        <f t="shared" ref="AF145:AN145" si="59">max(AF117,AF89)</f>
        <v>24</v>
      </c>
      <c r="AG145" s="17">
        <f t="shared" si="59"/>
        <v>21</v>
      </c>
      <c r="AH145" s="5">
        <f t="shared" si="59"/>
        <v>32</v>
      </c>
      <c r="AI145" s="5">
        <f t="shared" si="59"/>
        <v>48</v>
      </c>
      <c r="AJ145" s="5">
        <f t="shared" si="59"/>
        <v>64</v>
      </c>
      <c r="AK145" s="5">
        <f t="shared" si="59"/>
        <v>80</v>
      </c>
      <c r="AL145" s="5">
        <f t="shared" si="59"/>
        <v>96</v>
      </c>
      <c r="AM145" s="5">
        <f t="shared" si="59"/>
        <v>112</v>
      </c>
      <c r="AN145" s="23">
        <f t="shared" si="59"/>
        <v>128</v>
      </c>
      <c r="AO145" s="17">
        <f t="shared" si="50"/>
        <v>16</v>
      </c>
      <c r="AQ145" s="2">
        <v>3.0</v>
      </c>
      <c r="AR145" s="26">
        <f t="shared" ref="AR145:AW145" si="60">max(AR117,AR89)</f>
        <v>15</v>
      </c>
      <c r="AS145" s="5">
        <f t="shared" si="60"/>
        <v>21</v>
      </c>
      <c r="AT145" s="5">
        <f t="shared" si="60"/>
        <v>42</v>
      </c>
      <c r="AU145" s="5">
        <f t="shared" si="60"/>
        <v>63</v>
      </c>
      <c r="AV145" s="5">
        <f t="shared" si="60"/>
        <v>84</v>
      </c>
      <c r="AW145" s="5">
        <f t="shared" si="60"/>
        <v>105</v>
      </c>
      <c r="AX145" s="17">
        <f t="shared" si="52"/>
        <v>21</v>
      </c>
    </row>
    <row r="146" ht="21.75" customHeight="1">
      <c r="A146" s="2">
        <v>4.0</v>
      </c>
      <c r="B146" s="28">
        <f t="shared" ref="B146:O146" si="61">max(B118,B90)</f>
        <v>52</v>
      </c>
      <c r="C146" s="28">
        <f t="shared" si="61"/>
        <v>48</v>
      </c>
      <c r="D146" s="5">
        <f t="shared" si="61"/>
        <v>44</v>
      </c>
      <c r="E146" s="17">
        <f t="shared" si="61"/>
        <v>40</v>
      </c>
      <c r="F146" s="5">
        <f t="shared" si="61"/>
        <v>44</v>
      </c>
      <c r="G146" s="5">
        <f t="shared" si="61"/>
        <v>55</v>
      </c>
      <c r="H146" s="5">
        <f t="shared" si="61"/>
        <v>66</v>
      </c>
      <c r="I146" s="5">
        <f t="shared" si="61"/>
        <v>77</v>
      </c>
      <c r="J146" s="5">
        <f t="shared" si="61"/>
        <v>88</v>
      </c>
      <c r="K146" s="5">
        <f t="shared" si="61"/>
        <v>99</v>
      </c>
      <c r="L146" s="5">
        <f t="shared" si="61"/>
        <v>110</v>
      </c>
      <c r="M146" s="5">
        <f t="shared" si="61"/>
        <v>121</v>
      </c>
      <c r="N146" s="23">
        <f t="shared" si="61"/>
        <v>132</v>
      </c>
      <c r="O146" s="23">
        <f t="shared" si="61"/>
        <v>143</v>
      </c>
      <c r="P146" s="17">
        <f t="shared" si="46"/>
        <v>11</v>
      </c>
      <c r="R146" s="2">
        <v>4.0</v>
      </c>
      <c r="S146" s="28">
        <f t="shared" ref="S146:AB146" si="62">max(S118,S90)</f>
        <v>36</v>
      </c>
      <c r="T146" s="5">
        <f t="shared" si="62"/>
        <v>32</v>
      </c>
      <c r="U146" s="17">
        <f t="shared" si="62"/>
        <v>30</v>
      </c>
      <c r="V146" s="5">
        <f t="shared" si="62"/>
        <v>45</v>
      </c>
      <c r="W146" s="5">
        <f t="shared" si="62"/>
        <v>60</v>
      </c>
      <c r="X146" s="5">
        <f t="shared" si="62"/>
        <v>75</v>
      </c>
      <c r="Y146" s="5">
        <f t="shared" si="62"/>
        <v>90</v>
      </c>
      <c r="Z146" s="5">
        <f t="shared" si="62"/>
        <v>105</v>
      </c>
      <c r="AA146" s="5">
        <f t="shared" si="62"/>
        <v>120</v>
      </c>
      <c r="AB146" s="23">
        <f t="shared" si="62"/>
        <v>135</v>
      </c>
      <c r="AC146" s="17">
        <f t="shared" si="48"/>
        <v>15</v>
      </c>
      <c r="AE146" s="2">
        <v>4.0</v>
      </c>
      <c r="AF146" s="5">
        <f t="shared" ref="AF146:AN146" si="63">max(AF118,AF90)</f>
        <v>32</v>
      </c>
      <c r="AG146" s="26">
        <f t="shared" si="63"/>
        <v>28</v>
      </c>
      <c r="AH146" s="5">
        <f t="shared" si="63"/>
        <v>30</v>
      </c>
      <c r="AI146" s="5">
        <f t="shared" si="63"/>
        <v>45</v>
      </c>
      <c r="AJ146" s="5">
        <f t="shared" si="63"/>
        <v>60</v>
      </c>
      <c r="AK146" s="5">
        <f t="shared" si="63"/>
        <v>75</v>
      </c>
      <c r="AL146" s="5">
        <f t="shared" si="63"/>
        <v>90</v>
      </c>
      <c r="AM146" s="5">
        <f t="shared" si="63"/>
        <v>105</v>
      </c>
      <c r="AN146" s="5">
        <f t="shared" si="63"/>
        <v>120</v>
      </c>
      <c r="AO146" s="17">
        <f t="shared" si="50"/>
        <v>15</v>
      </c>
      <c r="AQ146" s="2">
        <v>4.0</v>
      </c>
      <c r="AR146" s="17">
        <f t="shared" ref="AR146:AW146" si="64">max(AR118,AR90)</f>
        <v>20</v>
      </c>
      <c r="AS146" s="17">
        <f t="shared" si="64"/>
        <v>20</v>
      </c>
      <c r="AT146" s="5">
        <f t="shared" si="64"/>
        <v>40</v>
      </c>
      <c r="AU146" s="5">
        <f t="shared" si="64"/>
        <v>60</v>
      </c>
      <c r="AV146" s="5">
        <f t="shared" si="64"/>
        <v>80</v>
      </c>
      <c r="AW146" s="5">
        <f t="shared" si="64"/>
        <v>100</v>
      </c>
      <c r="AX146" s="17">
        <f t="shared" si="52"/>
        <v>20</v>
      </c>
    </row>
    <row r="147" ht="21.75" customHeight="1">
      <c r="A147" s="2">
        <v>5.0</v>
      </c>
      <c r="B147" s="28">
        <f t="shared" ref="B147:O147" si="65">max(B119,B91)</f>
        <v>65</v>
      </c>
      <c r="C147" s="5">
        <f t="shared" si="65"/>
        <v>60</v>
      </c>
      <c r="D147" s="5">
        <f t="shared" si="65"/>
        <v>55</v>
      </c>
      <c r="E147" s="5">
        <f t="shared" si="65"/>
        <v>50</v>
      </c>
      <c r="F147" s="17">
        <f t="shared" si="65"/>
        <v>45</v>
      </c>
      <c r="G147" s="5">
        <f t="shared" si="65"/>
        <v>50</v>
      </c>
      <c r="H147" s="5">
        <f t="shared" si="65"/>
        <v>60</v>
      </c>
      <c r="I147" s="5">
        <f t="shared" si="65"/>
        <v>70</v>
      </c>
      <c r="J147" s="5">
        <f t="shared" si="65"/>
        <v>80</v>
      </c>
      <c r="K147" s="5">
        <f t="shared" si="65"/>
        <v>90</v>
      </c>
      <c r="L147" s="5">
        <f t="shared" si="65"/>
        <v>100</v>
      </c>
      <c r="M147" s="5">
        <f t="shared" si="65"/>
        <v>110</v>
      </c>
      <c r="N147" s="5">
        <f t="shared" si="65"/>
        <v>120</v>
      </c>
      <c r="O147" s="23">
        <f t="shared" si="65"/>
        <v>130</v>
      </c>
      <c r="P147" s="17">
        <f t="shared" si="46"/>
        <v>10</v>
      </c>
      <c r="R147" s="2">
        <v>5.0</v>
      </c>
      <c r="S147" s="5">
        <f t="shared" ref="S147:AB147" si="66">max(S119,S91)</f>
        <v>45</v>
      </c>
      <c r="T147" s="5">
        <f t="shared" si="66"/>
        <v>40</v>
      </c>
      <c r="U147" s="17">
        <f t="shared" si="66"/>
        <v>35</v>
      </c>
      <c r="V147" s="5">
        <f t="shared" si="66"/>
        <v>42</v>
      </c>
      <c r="W147" s="5">
        <f t="shared" si="66"/>
        <v>56</v>
      </c>
      <c r="X147" s="5">
        <f t="shared" si="66"/>
        <v>70</v>
      </c>
      <c r="Y147" s="5">
        <f t="shared" si="66"/>
        <v>84</v>
      </c>
      <c r="Z147" s="5">
        <f t="shared" si="66"/>
        <v>98</v>
      </c>
      <c r="AA147" s="5">
        <f t="shared" si="66"/>
        <v>112</v>
      </c>
      <c r="AB147" s="5">
        <f t="shared" si="66"/>
        <v>126</v>
      </c>
      <c r="AC147" s="17">
        <f t="shared" si="48"/>
        <v>14</v>
      </c>
      <c r="AE147" s="2">
        <v>5.0</v>
      </c>
      <c r="AF147" s="5">
        <f t="shared" ref="AF147:AN147" si="67">max(AF119,AF91)</f>
        <v>40</v>
      </c>
      <c r="AG147" s="5">
        <f t="shared" si="67"/>
        <v>35</v>
      </c>
      <c r="AH147" s="17">
        <f t="shared" si="67"/>
        <v>30</v>
      </c>
      <c r="AI147" s="5">
        <f t="shared" si="67"/>
        <v>42</v>
      </c>
      <c r="AJ147" s="5">
        <f t="shared" si="67"/>
        <v>56</v>
      </c>
      <c r="AK147" s="5">
        <f t="shared" si="67"/>
        <v>70</v>
      </c>
      <c r="AL147" s="5">
        <f t="shared" si="67"/>
        <v>84</v>
      </c>
      <c r="AM147" s="5">
        <f t="shared" si="67"/>
        <v>98</v>
      </c>
      <c r="AN147" s="5">
        <f t="shared" si="67"/>
        <v>112</v>
      </c>
      <c r="AO147" s="17">
        <f t="shared" si="50"/>
        <v>14</v>
      </c>
      <c r="AQ147" s="2">
        <v>5.0</v>
      </c>
      <c r="AR147" s="5">
        <f t="shared" ref="AR147:AW147" si="68">max(AR119,AR91)</f>
        <v>25</v>
      </c>
      <c r="AS147" s="17">
        <f t="shared" si="68"/>
        <v>20</v>
      </c>
      <c r="AT147" s="5">
        <f t="shared" si="68"/>
        <v>38</v>
      </c>
      <c r="AU147" s="5">
        <f t="shared" si="68"/>
        <v>57</v>
      </c>
      <c r="AV147" s="5">
        <f t="shared" si="68"/>
        <v>76</v>
      </c>
      <c r="AW147" s="5">
        <f t="shared" si="68"/>
        <v>95</v>
      </c>
      <c r="AX147" s="17">
        <f t="shared" si="52"/>
        <v>19</v>
      </c>
    </row>
    <row r="148" ht="21.75" customHeight="1">
      <c r="A148" s="2">
        <v>6.0</v>
      </c>
      <c r="B148" s="5">
        <f t="shared" ref="B148:O148" si="69">max(B120,B92)</f>
        <v>78</v>
      </c>
      <c r="C148" s="5">
        <f t="shared" si="69"/>
        <v>72</v>
      </c>
      <c r="D148" s="5">
        <f t="shared" si="69"/>
        <v>66</v>
      </c>
      <c r="E148" s="5">
        <f t="shared" si="69"/>
        <v>60</v>
      </c>
      <c r="F148" s="5">
        <f t="shared" si="69"/>
        <v>54</v>
      </c>
      <c r="G148" s="17">
        <f t="shared" si="69"/>
        <v>48</v>
      </c>
      <c r="H148" s="5">
        <f t="shared" si="69"/>
        <v>54</v>
      </c>
      <c r="I148" s="5">
        <f t="shared" si="69"/>
        <v>63</v>
      </c>
      <c r="J148" s="5">
        <f t="shared" si="69"/>
        <v>72</v>
      </c>
      <c r="K148" s="5">
        <f t="shared" si="69"/>
        <v>81</v>
      </c>
      <c r="L148" s="5">
        <f t="shared" si="69"/>
        <v>90</v>
      </c>
      <c r="M148" s="5">
        <f t="shared" si="69"/>
        <v>99</v>
      </c>
      <c r="N148" s="5">
        <f t="shared" si="69"/>
        <v>108</v>
      </c>
      <c r="O148" s="5">
        <f t="shared" si="69"/>
        <v>117</v>
      </c>
      <c r="P148" s="17">
        <f t="shared" si="46"/>
        <v>9</v>
      </c>
      <c r="R148" s="2">
        <v>6.0</v>
      </c>
      <c r="S148" s="5">
        <f t="shared" ref="S148:AB148" si="70">max(S120,S92)</f>
        <v>54</v>
      </c>
      <c r="T148" s="5">
        <f t="shared" si="70"/>
        <v>48</v>
      </c>
      <c r="U148" s="5">
        <f t="shared" si="70"/>
        <v>42</v>
      </c>
      <c r="V148" s="17">
        <f t="shared" si="70"/>
        <v>39</v>
      </c>
      <c r="W148" s="5">
        <f t="shared" si="70"/>
        <v>52</v>
      </c>
      <c r="X148" s="5">
        <f t="shared" si="70"/>
        <v>65</v>
      </c>
      <c r="Y148" s="5">
        <f t="shared" si="70"/>
        <v>78</v>
      </c>
      <c r="Z148" s="5">
        <f t="shared" si="70"/>
        <v>91</v>
      </c>
      <c r="AA148" s="5">
        <f t="shared" si="70"/>
        <v>104</v>
      </c>
      <c r="AB148" s="5">
        <f t="shared" si="70"/>
        <v>117</v>
      </c>
      <c r="AC148" s="17">
        <f t="shared" si="48"/>
        <v>13</v>
      </c>
      <c r="AE148" s="2">
        <v>6.0</v>
      </c>
      <c r="AF148" s="5">
        <f t="shared" ref="AF148:AN148" si="71">max(AF120,AF92)</f>
        <v>48</v>
      </c>
      <c r="AG148" s="5">
        <f t="shared" si="71"/>
        <v>42</v>
      </c>
      <c r="AH148" s="17">
        <f t="shared" si="71"/>
        <v>36</v>
      </c>
      <c r="AI148" s="5">
        <f t="shared" si="71"/>
        <v>39</v>
      </c>
      <c r="AJ148" s="5">
        <f t="shared" si="71"/>
        <v>52</v>
      </c>
      <c r="AK148" s="5">
        <f t="shared" si="71"/>
        <v>65</v>
      </c>
      <c r="AL148" s="5">
        <f t="shared" si="71"/>
        <v>78</v>
      </c>
      <c r="AM148" s="5">
        <f t="shared" si="71"/>
        <v>91</v>
      </c>
      <c r="AN148" s="5">
        <f t="shared" si="71"/>
        <v>104</v>
      </c>
      <c r="AO148" s="17">
        <f t="shared" si="50"/>
        <v>13</v>
      </c>
      <c r="AQ148" s="2">
        <v>6.0</v>
      </c>
      <c r="AR148" s="5">
        <f t="shared" ref="AR148:AW148" si="72">max(AR120,AR92)</f>
        <v>30</v>
      </c>
      <c r="AS148" s="17">
        <f t="shared" si="72"/>
        <v>24</v>
      </c>
      <c r="AT148" s="5">
        <f t="shared" si="72"/>
        <v>36</v>
      </c>
      <c r="AU148" s="5">
        <f t="shared" si="72"/>
        <v>54</v>
      </c>
      <c r="AV148" s="5">
        <f t="shared" si="72"/>
        <v>72</v>
      </c>
      <c r="AW148" s="5">
        <f t="shared" si="72"/>
        <v>90</v>
      </c>
      <c r="AX148" s="17">
        <f t="shared" si="52"/>
        <v>18</v>
      </c>
    </row>
    <row r="149" ht="21.75" customHeight="1">
      <c r="A149" s="2">
        <v>7.0</v>
      </c>
      <c r="B149" s="5">
        <f t="shared" ref="B149:O149" si="73">max(B121,B93)</f>
        <v>91</v>
      </c>
      <c r="C149" s="5">
        <f t="shared" si="73"/>
        <v>84</v>
      </c>
      <c r="D149" s="5">
        <f t="shared" si="73"/>
        <v>77</v>
      </c>
      <c r="E149" s="5">
        <f t="shared" si="73"/>
        <v>70</v>
      </c>
      <c r="F149" s="5">
        <f t="shared" si="73"/>
        <v>63</v>
      </c>
      <c r="G149" s="5">
        <f t="shared" si="73"/>
        <v>56</v>
      </c>
      <c r="H149" s="26">
        <f t="shared" si="73"/>
        <v>49</v>
      </c>
      <c r="I149" s="5">
        <f t="shared" si="73"/>
        <v>56</v>
      </c>
      <c r="J149" s="5">
        <f t="shared" si="73"/>
        <v>64</v>
      </c>
      <c r="K149" s="5">
        <f t="shared" si="73"/>
        <v>72</v>
      </c>
      <c r="L149" s="5">
        <f t="shared" si="73"/>
        <v>80</v>
      </c>
      <c r="M149" s="5">
        <f t="shared" si="73"/>
        <v>88</v>
      </c>
      <c r="N149" s="5">
        <f t="shared" si="73"/>
        <v>96</v>
      </c>
      <c r="O149" s="5">
        <f t="shared" si="73"/>
        <v>104</v>
      </c>
      <c r="P149" s="17">
        <f t="shared" si="46"/>
        <v>8</v>
      </c>
      <c r="R149" s="2">
        <v>7.0</v>
      </c>
      <c r="S149" s="5">
        <f t="shared" ref="S149:AB149" si="74">max(S121,S93)</f>
        <v>63</v>
      </c>
      <c r="T149" s="5">
        <f t="shared" si="74"/>
        <v>56</v>
      </c>
      <c r="U149" s="5">
        <f t="shared" si="74"/>
        <v>49</v>
      </c>
      <c r="V149" s="17">
        <f t="shared" si="74"/>
        <v>42</v>
      </c>
      <c r="W149" s="5">
        <f t="shared" si="74"/>
        <v>48</v>
      </c>
      <c r="X149" s="5">
        <f t="shared" si="74"/>
        <v>60</v>
      </c>
      <c r="Y149" s="5">
        <f t="shared" si="74"/>
        <v>72</v>
      </c>
      <c r="Z149" s="5">
        <f t="shared" si="74"/>
        <v>84</v>
      </c>
      <c r="AA149" s="5">
        <f t="shared" si="74"/>
        <v>96</v>
      </c>
      <c r="AB149" s="5">
        <f t="shared" si="74"/>
        <v>108</v>
      </c>
      <c r="AC149" s="17">
        <f t="shared" si="48"/>
        <v>12</v>
      </c>
      <c r="AE149" s="2">
        <v>7.0</v>
      </c>
      <c r="AF149" s="5">
        <f t="shared" ref="AF149:AN149" si="75">max(AF121,AF93)</f>
        <v>56</v>
      </c>
      <c r="AG149" s="5">
        <f t="shared" si="75"/>
        <v>49</v>
      </c>
      <c r="AH149" s="5">
        <f t="shared" si="75"/>
        <v>42</v>
      </c>
      <c r="AI149" s="17">
        <f t="shared" si="75"/>
        <v>36</v>
      </c>
      <c r="AJ149" s="5">
        <f t="shared" si="75"/>
        <v>48</v>
      </c>
      <c r="AK149" s="5">
        <f t="shared" si="75"/>
        <v>60</v>
      </c>
      <c r="AL149" s="5">
        <f t="shared" si="75"/>
        <v>72</v>
      </c>
      <c r="AM149" s="5">
        <f t="shared" si="75"/>
        <v>84</v>
      </c>
      <c r="AN149" s="5">
        <f t="shared" si="75"/>
        <v>96</v>
      </c>
      <c r="AO149" s="17">
        <f t="shared" si="50"/>
        <v>12</v>
      </c>
      <c r="AQ149" s="2">
        <v>7.0</v>
      </c>
      <c r="AR149" s="5">
        <f t="shared" ref="AR149:AW149" si="76">max(AR121,AR93)</f>
        <v>35</v>
      </c>
      <c r="AS149" s="17">
        <f t="shared" si="76"/>
        <v>28</v>
      </c>
      <c r="AT149" s="5">
        <f t="shared" si="76"/>
        <v>34</v>
      </c>
      <c r="AU149" s="5">
        <f t="shared" si="76"/>
        <v>51</v>
      </c>
      <c r="AV149" s="5">
        <f t="shared" si="76"/>
        <v>68</v>
      </c>
      <c r="AW149" s="5">
        <f t="shared" si="76"/>
        <v>85</v>
      </c>
      <c r="AX149" s="17">
        <f t="shared" si="52"/>
        <v>17</v>
      </c>
    </row>
    <row r="150" ht="21.75" customHeight="1">
      <c r="A150" s="2">
        <v>8.0</v>
      </c>
      <c r="B150" s="5">
        <f t="shared" ref="B150:O150" si="77">max(B122,B94)</f>
        <v>104</v>
      </c>
      <c r="C150" s="5">
        <f t="shared" si="77"/>
        <v>96</v>
      </c>
      <c r="D150" s="5">
        <f t="shared" si="77"/>
        <v>88</v>
      </c>
      <c r="E150" s="5">
        <f t="shared" si="77"/>
        <v>80</v>
      </c>
      <c r="F150" s="5">
        <f t="shared" si="77"/>
        <v>72</v>
      </c>
      <c r="G150" s="5">
        <f t="shared" si="77"/>
        <v>64</v>
      </c>
      <c r="H150" s="5">
        <f t="shared" si="77"/>
        <v>56</v>
      </c>
      <c r="I150" s="26">
        <f t="shared" si="77"/>
        <v>49</v>
      </c>
      <c r="J150" s="5">
        <f t="shared" si="77"/>
        <v>56</v>
      </c>
      <c r="K150" s="5">
        <f t="shared" si="77"/>
        <v>63</v>
      </c>
      <c r="L150" s="5">
        <f t="shared" si="77"/>
        <v>70</v>
      </c>
      <c r="M150" s="5">
        <f t="shared" si="77"/>
        <v>77</v>
      </c>
      <c r="N150" s="5">
        <f t="shared" si="77"/>
        <v>84</v>
      </c>
      <c r="O150" s="5">
        <f t="shared" si="77"/>
        <v>91</v>
      </c>
      <c r="P150" s="17">
        <f t="shared" si="46"/>
        <v>7</v>
      </c>
      <c r="R150" s="2">
        <v>8.0</v>
      </c>
      <c r="S150" s="5">
        <f t="shared" ref="S150:AB150" si="78">max(S122,S94)</f>
        <v>72</v>
      </c>
      <c r="T150" s="5">
        <f t="shared" si="78"/>
        <v>64</v>
      </c>
      <c r="U150" s="5">
        <f t="shared" si="78"/>
        <v>56</v>
      </c>
      <c r="V150" s="5">
        <f t="shared" si="78"/>
        <v>48</v>
      </c>
      <c r="W150" s="26">
        <f t="shared" si="78"/>
        <v>44</v>
      </c>
      <c r="X150" s="5">
        <f t="shared" si="78"/>
        <v>55</v>
      </c>
      <c r="Y150" s="5">
        <f t="shared" si="78"/>
        <v>66</v>
      </c>
      <c r="Z150" s="5">
        <f t="shared" si="78"/>
        <v>77</v>
      </c>
      <c r="AA150" s="5">
        <f t="shared" si="78"/>
        <v>88</v>
      </c>
      <c r="AB150" s="5">
        <f t="shared" si="78"/>
        <v>99</v>
      </c>
      <c r="AC150" s="17">
        <f t="shared" si="48"/>
        <v>11</v>
      </c>
      <c r="AE150" s="2">
        <v>8.0</v>
      </c>
      <c r="AF150" s="5">
        <f t="shared" ref="AF150:AN150" si="79">max(AF122,AF94)</f>
        <v>64</v>
      </c>
      <c r="AG150" s="5">
        <f t="shared" si="79"/>
        <v>56</v>
      </c>
      <c r="AH150" s="5">
        <f t="shared" si="79"/>
        <v>48</v>
      </c>
      <c r="AI150" s="17">
        <f t="shared" si="79"/>
        <v>40</v>
      </c>
      <c r="AJ150" s="5">
        <f t="shared" si="79"/>
        <v>44</v>
      </c>
      <c r="AK150" s="5">
        <f t="shared" si="79"/>
        <v>55</v>
      </c>
      <c r="AL150" s="5">
        <f t="shared" si="79"/>
        <v>66</v>
      </c>
      <c r="AM150" s="5">
        <f t="shared" si="79"/>
        <v>77</v>
      </c>
      <c r="AN150" s="5">
        <f t="shared" si="79"/>
        <v>88</v>
      </c>
      <c r="AO150" s="17">
        <f t="shared" si="50"/>
        <v>11</v>
      </c>
      <c r="AQ150" s="2">
        <v>8.0</v>
      </c>
      <c r="AR150" s="5">
        <f t="shared" ref="AR150:AW150" si="80">max(AR122,AR94)</f>
        <v>40</v>
      </c>
      <c r="AS150" s="17">
        <f t="shared" si="80"/>
        <v>32</v>
      </c>
      <c r="AT150" s="17">
        <f t="shared" si="80"/>
        <v>32</v>
      </c>
      <c r="AU150" s="5">
        <f t="shared" si="80"/>
        <v>48</v>
      </c>
      <c r="AV150" s="5">
        <f t="shared" si="80"/>
        <v>64</v>
      </c>
      <c r="AW150" s="5">
        <f t="shared" si="80"/>
        <v>80</v>
      </c>
      <c r="AX150" s="17">
        <f t="shared" si="52"/>
        <v>16</v>
      </c>
    </row>
    <row r="151" ht="21.75" customHeight="1">
      <c r="A151" s="2">
        <v>9.0</v>
      </c>
      <c r="B151" s="5">
        <f t="shared" ref="B151:O151" si="81">max(B123,B95)</f>
        <v>117</v>
      </c>
      <c r="C151" s="5">
        <f t="shared" si="81"/>
        <v>108</v>
      </c>
      <c r="D151" s="5">
        <f t="shared" si="81"/>
        <v>99</v>
      </c>
      <c r="E151" s="5">
        <f t="shared" si="81"/>
        <v>90</v>
      </c>
      <c r="F151" s="5">
        <f t="shared" si="81"/>
        <v>81</v>
      </c>
      <c r="G151" s="5">
        <f t="shared" si="81"/>
        <v>72</v>
      </c>
      <c r="H151" s="5">
        <f t="shared" si="81"/>
        <v>63</v>
      </c>
      <c r="I151" s="5">
        <f t="shared" si="81"/>
        <v>54</v>
      </c>
      <c r="J151" s="17">
        <f t="shared" si="81"/>
        <v>48</v>
      </c>
      <c r="K151" s="5">
        <f t="shared" si="81"/>
        <v>54</v>
      </c>
      <c r="L151" s="5">
        <f t="shared" si="81"/>
        <v>60</v>
      </c>
      <c r="M151" s="5">
        <f t="shared" si="81"/>
        <v>66</v>
      </c>
      <c r="N151" s="5">
        <f t="shared" si="81"/>
        <v>72</v>
      </c>
      <c r="O151" s="5">
        <f t="shared" si="81"/>
        <v>78</v>
      </c>
      <c r="P151" s="17">
        <f t="shared" si="46"/>
        <v>6</v>
      </c>
      <c r="R151" s="2">
        <v>9.0</v>
      </c>
      <c r="S151" s="5">
        <f t="shared" ref="S151:AB151" si="82">max(S123,S95)</f>
        <v>81</v>
      </c>
      <c r="T151" s="5">
        <f t="shared" si="82"/>
        <v>72</v>
      </c>
      <c r="U151" s="5">
        <f t="shared" si="82"/>
        <v>63</v>
      </c>
      <c r="V151" s="5">
        <f t="shared" si="82"/>
        <v>54</v>
      </c>
      <c r="W151" s="17">
        <f t="shared" si="82"/>
        <v>45</v>
      </c>
      <c r="X151" s="5">
        <f t="shared" si="82"/>
        <v>50</v>
      </c>
      <c r="Y151" s="5">
        <f t="shared" si="82"/>
        <v>60</v>
      </c>
      <c r="Z151" s="5">
        <f t="shared" si="82"/>
        <v>70</v>
      </c>
      <c r="AA151" s="5">
        <f t="shared" si="82"/>
        <v>80</v>
      </c>
      <c r="AB151" s="5">
        <f t="shared" si="82"/>
        <v>90</v>
      </c>
      <c r="AC151" s="17">
        <f t="shared" si="48"/>
        <v>10</v>
      </c>
      <c r="AE151" s="2">
        <v>9.0</v>
      </c>
      <c r="AF151" s="5">
        <f t="shared" ref="AF151:AN151" si="83">max(AF123,AF95)</f>
        <v>72</v>
      </c>
      <c r="AG151" s="5">
        <f t="shared" si="83"/>
        <v>63</v>
      </c>
      <c r="AH151" s="5">
        <f t="shared" si="83"/>
        <v>54</v>
      </c>
      <c r="AI151" s="5">
        <f t="shared" si="83"/>
        <v>45</v>
      </c>
      <c r="AJ151" s="17">
        <f t="shared" si="83"/>
        <v>40</v>
      </c>
      <c r="AK151" s="5">
        <f t="shared" si="83"/>
        <v>50</v>
      </c>
      <c r="AL151" s="5">
        <f t="shared" si="83"/>
        <v>60</v>
      </c>
      <c r="AM151" s="5">
        <f t="shared" si="83"/>
        <v>70</v>
      </c>
      <c r="AN151" s="5">
        <f t="shared" si="83"/>
        <v>80</v>
      </c>
      <c r="AO151" s="17">
        <f t="shared" si="50"/>
        <v>10</v>
      </c>
      <c r="AQ151" s="2">
        <v>9.0</v>
      </c>
      <c r="AR151" s="5">
        <f t="shared" ref="AR151:AW151" si="84">max(AR123,AR95)</f>
        <v>45</v>
      </c>
      <c r="AS151" s="5">
        <f t="shared" si="84"/>
        <v>36</v>
      </c>
      <c r="AT151" s="17">
        <f t="shared" si="84"/>
        <v>30</v>
      </c>
      <c r="AU151" s="5">
        <f t="shared" si="84"/>
        <v>45</v>
      </c>
      <c r="AV151" s="5">
        <f t="shared" si="84"/>
        <v>60</v>
      </c>
      <c r="AW151" s="5">
        <f t="shared" si="84"/>
        <v>75</v>
      </c>
      <c r="AX151" s="17">
        <f t="shared" si="52"/>
        <v>15</v>
      </c>
    </row>
    <row r="152" ht="21.75" customHeight="1">
      <c r="A152" s="2">
        <v>10.0</v>
      </c>
      <c r="B152" s="23">
        <f t="shared" ref="B152:O152" si="85">max(B124,B96)</f>
        <v>130</v>
      </c>
      <c r="C152" s="5">
        <f t="shared" si="85"/>
        <v>120</v>
      </c>
      <c r="D152" s="5">
        <f t="shared" si="85"/>
        <v>110</v>
      </c>
      <c r="E152" s="5">
        <f t="shared" si="85"/>
        <v>100</v>
      </c>
      <c r="F152" s="5">
        <f t="shared" si="85"/>
        <v>90</v>
      </c>
      <c r="G152" s="5">
        <f t="shared" si="85"/>
        <v>80</v>
      </c>
      <c r="H152" s="5">
        <f t="shared" si="85"/>
        <v>70</v>
      </c>
      <c r="I152" s="5">
        <f t="shared" si="85"/>
        <v>60</v>
      </c>
      <c r="J152" s="5">
        <f t="shared" si="85"/>
        <v>50</v>
      </c>
      <c r="K152" s="17">
        <f t="shared" si="85"/>
        <v>45</v>
      </c>
      <c r="L152" s="5">
        <f t="shared" si="85"/>
        <v>50</v>
      </c>
      <c r="M152" s="5">
        <f t="shared" si="85"/>
        <v>55</v>
      </c>
      <c r="N152" s="5">
        <f t="shared" si="85"/>
        <v>60</v>
      </c>
      <c r="O152" s="28">
        <f t="shared" si="85"/>
        <v>65</v>
      </c>
      <c r="P152" s="17">
        <f t="shared" si="46"/>
        <v>5</v>
      </c>
      <c r="R152" s="2">
        <v>10.0</v>
      </c>
      <c r="S152" s="5">
        <f t="shared" ref="S152:AB152" si="86">max(S124,S96)</f>
        <v>90</v>
      </c>
      <c r="T152" s="5">
        <f t="shared" si="86"/>
        <v>80</v>
      </c>
      <c r="U152" s="5">
        <f t="shared" si="86"/>
        <v>70</v>
      </c>
      <c r="V152" s="5">
        <f t="shared" si="86"/>
        <v>60</v>
      </c>
      <c r="W152" s="5">
        <f t="shared" si="86"/>
        <v>50</v>
      </c>
      <c r="X152" s="17">
        <f t="shared" si="86"/>
        <v>45</v>
      </c>
      <c r="Y152" s="5">
        <f t="shared" si="86"/>
        <v>54</v>
      </c>
      <c r="Z152" s="5">
        <f t="shared" si="86"/>
        <v>63</v>
      </c>
      <c r="AA152" s="5">
        <f t="shared" si="86"/>
        <v>72</v>
      </c>
      <c r="AB152" s="5">
        <f t="shared" si="86"/>
        <v>81</v>
      </c>
      <c r="AC152" s="17">
        <f t="shared" si="48"/>
        <v>9</v>
      </c>
      <c r="AE152" s="2">
        <v>10.0</v>
      </c>
      <c r="AF152" s="5">
        <f t="shared" ref="AF152:AN152" si="87">max(AF124,AF96)</f>
        <v>80</v>
      </c>
      <c r="AG152" s="5">
        <f t="shared" si="87"/>
        <v>70</v>
      </c>
      <c r="AH152" s="5">
        <f t="shared" si="87"/>
        <v>60</v>
      </c>
      <c r="AI152" s="5">
        <f t="shared" si="87"/>
        <v>50</v>
      </c>
      <c r="AJ152" s="17">
        <f t="shared" si="87"/>
        <v>40</v>
      </c>
      <c r="AK152" s="5">
        <f t="shared" si="87"/>
        <v>45</v>
      </c>
      <c r="AL152" s="5">
        <f t="shared" si="87"/>
        <v>54</v>
      </c>
      <c r="AM152" s="5">
        <f t="shared" si="87"/>
        <v>63</v>
      </c>
      <c r="AN152" s="5">
        <f t="shared" si="87"/>
        <v>72</v>
      </c>
      <c r="AO152" s="17">
        <f t="shared" si="50"/>
        <v>9</v>
      </c>
      <c r="AQ152" s="2">
        <v>10.0</v>
      </c>
      <c r="AR152" s="5">
        <f t="shared" ref="AR152:AW152" si="88">max(AR124,AR96)</f>
        <v>50</v>
      </c>
      <c r="AS152" s="5">
        <f t="shared" si="88"/>
        <v>40</v>
      </c>
      <c r="AT152" s="17">
        <f t="shared" si="88"/>
        <v>30</v>
      </c>
      <c r="AU152" s="5">
        <f t="shared" si="88"/>
        <v>42</v>
      </c>
      <c r="AV152" s="5">
        <f t="shared" si="88"/>
        <v>56</v>
      </c>
      <c r="AW152" s="5">
        <f t="shared" si="88"/>
        <v>70</v>
      </c>
      <c r="AX152" s="17">
        <f t="shared" si="52"/>
        <v>14</v>
      </c>
    </row>
    <row r="153" ht="21.75" customHeight="1">
      <c r="A153" s="2">
        <v>11.0</v>
      </c>
      <c r="B153" s="23">
        <f t="shared" ref="B153:O153" si="89">max(B125,B97)</f>
        <v>143</v>
      </c>
      <c r="C153" s="23">
        <f t="shared" si="89"/>
        <v>132</v>
      </c>
      <c r="D153" s="5">
        <f t="shared" si="89"/>
        <v>121</v>
      </c>
      <c r="E153" s="5">
        <f t="shared" si="89"/>
        <v>110</v>
      </c>
      <c r="F153" s="5">
        <f t="shared" si="89"/>
        <v>99</v>
      </c>
      <c r="G153" s="5">
        <f t="shared" si="89"/>
        <v>88</v>
      </c>
      <c r="H153" s="5">
        <f t="shared" si="89"/>
        <v>77</v>
      </c>
      <c r="I153" s="5">
        <f t="shared" si="89"/>
        <v>66</v>
      </c>
      <c r="J153" s="5">
        <f t="shared" si="89"/>
        <v>55</v>
      </c>
      <c r="K153" s="5">
        <f t="shared" si="89"/>
        <v>44</v>
      </c>
      <c r="L153" s="17">
        <f t="shared" si="89"/>
        <v>40</v>
      </c>
      <c r="M153" s="5">
        <f t="shared" si="89"/>
        <v>44</v>
      </c>
      <c r="N153" s="28">
        <f t="shared" si="89"/>
        <v>48</v>
      </c>
      <c r="O153" s="28">
        <f t="shared" si="89"/>
        <v>52</v>
      </c>
      <c r="P153" s="17">
        <f t="shared" si="46"/>
        <v>4</v>
      </c>
      <c r="R153" s="2">
        <v>11.0</v>
      </c>
      <c r="S153" s="5">
        <f t="shared" ref="S153:AB153" si="90">max(S125,S97)</f>
        <v>99</v>
      </c>
      <c r="T153" s="5">
        <f t="shared" si="90"/>
        <v>88</v>
      </c>
      <c r="U153" s="5">
        <f t="shared" si="90"/>
        <v>77</v>
      </c>
      <c r="V153" s="5">
        <f t="shared" si="90"/>
        <v>66</v>
      </c>
      <c r="W153" s="5">
        <f t="shared" si="90"/>
        <v>55</v>
      </c>
      <c r="X153" s="26">
        <f t="shared" si="90"/>
        <v>44</v>
      </c>
      <c r="Y153" s="5">
        <f t="shared" si="90"/>
        <v>48</v>
      </c>
      <c r="Z153" s="5">
        <f t="shared" si="90"/>
        <v>56</v>
      </c>
      <c r="AA153" s="5">
        <f t="shared" si="90"/>
        <v>64</v>
      </c>
      <c r="AB153" s="5">
        <f t="shared" si="90"/>
        <v>72</v>
      </c>
      <c r="AC153" s="17">
        <f t="shared" si="48"/>
        <v>8</v>
      </c>
      <c r="AE153" s="2">
        <v>11.0</v>
      </c>
      <c r="AF153" s="5">
        <f t="shared" ref="AF153:AN153" si="91">max(AF125,AF97)</f>
        <v>88</v>
      </c>
      <c r="AG153" s="5">
        <f t="shared" si="91"/>
        <v>77</v>
      </c>
      <c r="AH153" s="5">
        <f t="shared" si="91"/>
        <v>66</v>
      </c>
      <c r="AI153" s="5">
        <f t="shared" si="91"/>
        <v>55</v>
      </c>
      <c r="AJ153" s="5">
        <f t="shared" si="91"/>
        <v>44</v>
      </c>
      <c r="AK153" s="17">
        <f t="shared" si="91"/>
        <v>40</v>
      </c>
      <c r="AL153" s="5">
        <f t="shared" si="91"/>
        <v>48</v>
      </c>
      <c r="AM153" s="5">
        <f t="shared" si="91"/>
        <v>56</v>
      </c>
      <c r="AN153" s="5">
        <f t="shared" si="91"/>
        <v>64</v>
      </c>
      <c r="AO153" s="17">
        <f t="shared" si="50"/>
        <v>8</v>
      </c>
      <c r="AQ153" s="2">
        <v>11.0</v>
      </c>
      <c r="AR153" s="5">
        <f t="shared" ref="AR153:AW153" si="92">max(AR125,AR97)</f>
        <v>55</v>
      </c>
      <c r="AS153" s="5">
        <f t="shared" si="92"/>
        <v>44</v>
      </c>
      <c r="AT153" s="17">
        <f t="shared" si="92"/>
        <v>33</v>
      </c>
      <c r="AU153" s="5">
        <f t="shared" si="92"/>
        <v>39</v>
      </c>
      <c r="AV153" s="5">
        <f t="shared" si="92"/>
        <v>52</v>
      </c>
      <c r="AW153" s="5">
        <f t="shared" si="92"/>
        <v>65</v>
      </c>
      <c r="AX153" s="17">
        <f t="shared" si="52"/>
        <v>13</v>
      </c>
    </row>
    <row r="154" ht="21.75" customHeight="1">
      <c r="A154" s="2">
        <v>12.0</v>
      </c>
      <c r="B154" s="23">
        <f t="shared" ref="B154:O154" si="93">max(B126,B98)</f>
        <v>156</v>
      </c>
      <c r="C154" s="23">
        <f t="shared" si="93"/>
        <v>144</v>
      </c>
      <c r="D154" s="23">
        <f t="shared" si="93"/>
        <v>132</v>
      </c>
      <c r="E154" s="5">
        <f t="shared" si="93"/>
        <v>120</v>
      </c>
      <c r="F154" s="5">
        <f t="shared" si="93"/>
        <v>108</v>
      </c>
      <c r="G154" s="5">
        <f t="shared" si="93"/>
        <v>96</v>
      </c>
      <c r="H154" s="5">
        <f t="shared" si="93"/>
        <v>84</v>
      </c>
      <c r="I154" s="5">
        <f t="shared" si="93"/>
        <v>72</v>
      </c>
      <c r="J154" s="5">
        <f t="shared" si="93"/>
        <v>60</v>
      </c>
      <c r="K154" s="5">
        <f t="shared" si="93"/>
        <v>48</v>
      </c>
      <c r="L154" s="5">
        <f t="shared" si="93"/>
        <v>36</v>
      </c>
      <c r="M154" s="41">
        <f t="shared" si="93"/>
        <v>33</v>
      </c>
      <c r="N154" s="28">
        <f t="shared" si="93"/>
        <v>36</v>
      </c>
      <c r="O154" s="28">
        <f t="shared" si="93"/>
        <v>39</v>
      </c>
      <c r="P154" s="17">
        <f t="shared" si="46"/>
        <v>3</v>
      </c>
      <c r="R154" s="2">
        <v>12.0</v>
      </c>
      <c r="S154" s="5">
        <f t="shared" ref="S154:AB154" si="94">max(S126,S98)</f>
        <v>108</v>
      </c>
      <c r="T154" s="5">
        <f t="shared" si="94"/>
        <v>96</v>
      </c>
      <c r="U154" s="5">
        <f t="shared" si="94"/>
        <v>84</v>
      </c>
      <c r="V154" s="5">
        <f t="shared" si="94"/>
        <v>72</v>
      </c>
      <c r="W154" s="5">
        <f t="shared" si="94"/>
        <v>60</v>
      </c>
      <c r="X154" s="5">
        <f t="shared" si="94"/>
        <v>48</v>
      </c>
      <c r="Y154" s="17">
        <f t="shared" si="94"/>
        <v>42</v>
      </c>
      <c r="Z154" s="5">
        <f t="shared" si="94"/>
        <v>49</v>
      </c>
      <c r="AA154" s="5">
        <f t="shared" si="94"/>
        <v>56</v>
      </c>
      <c r="AB154" s="5">
        <f t="shared" si="94"/>
        <v>63</v>
      </c>
      <c r="AC154" s="17">
        <f t="shared" si="48"/>
        <v>7</v>
      </c>
      <c r="AE154" s="2">
        <v>12.0</v>
      </c>
      <c r="AF154" s="5">
        <f t="shared" ref="AF154:AN154" si="95">max(AF126,AF98)</f>
        <v>96</v>
      </c>
      <c r="AG154" s="5">
        <f t="shared" si="95"/>
        <v>84</v>
      </c>
      <c r="AH154" s="5">
        <f t="shared" si="95"/>
        <v>72</v>
      </c>
      <c r="AI154" s="5">
        <f t="shared" si="95"/>
        <v>60</v>
      </c>
      <c r="AJ154" s="5">
        <f t="shared" si="95"/>
        <v>48</v>
      </c>
      <c r="AK154" s="17">
        <f t="shared" si="95"/>
        <v>36</v>
      </c>
      <c r="AL154" s="5">
        <f t="shared" si="95"/>
        <v>42</v>
      </c>
      <c r="AM154" s="5">
        <f t="shared" si="95"/>
        <v>49</v>
      </c>
      <c r="AN154" s="5">
        <f t="shared" si="95"/>
        <v>56</v>
      </c>
      <c r="AO154" s="17">
        <f t="shared" si="50"/>
        <v>7</v>
      </c>
      <c r="AQ154" s="2">
        <v>12.0</v>
      </c>
      <c r="AR154" s="5">
        <f t="shared" ref="AR154:AW154" si="96">max(AR126,AR98)</f>
        <v>60</v>
      </c>
      <c r="AS154" s="5">
        <f t="shared" si="96"/>
        <v>48</v>
      </c>
      <c r="AT154" s="17">
        <f t="shared" si="96"/>
        <v>36</v>
      </c>
      <c r="AU154" s="17">
        <f t="shared" si="96"/>
        <v>36</v>
      </c>
      <c r="AV154" s="5">
        <f t="shared" si="96"/>
        <v>48</v>
      </c>
      <c r="AW154" s="5">
        <f t="shared" si="96"/>
        <v>60</v>
      </c>
      <c r="AX154" s="17">
        <f t="shared" si="52"/>
        <v>12</v>
      </c>
    </row>
    <row r="155" ht="21.75" customHeight="1">
      <c r="A155" s="2">
        <v>13.0</v>
      </c>
      <c r="B155" s="23">
        <f t="shared" ref="B155:O155" si="97">max(B127,B99)</f>
        <v>169</v>
      </c>
      <c r="C155" s="23">
        <f t="shared" si="97"/>
        <v>156</v>
      </c>
      <c r="D155" s="23">
        <f t="shared" si="97"/>
        <v>143</v>
      </c>
      <c r="E155" s="23">
        <f t="shared" si="97"/>
        <v>130</v>
      </c>
      <c r="F155" s="5">
        <f t="shared" si="97"/>
        <v>117</v>
      </c>
      <c r="G155" s="5">
        <f t="shared" si="97"/>
        <v>104</v>
      </c>
      <c r="H155" s="5">
        <f t="shared" si="97"/>
        <v>91</v>
      </c>
      <c r="I155" s="5">
        <f t="shared" si="97"/>
        <v>78</v>
      </c>
      <c r="J155" s="5">
        <f t="shared" si="97"/>
        <v>65</v>
      </c>
      <c r="K155" s="5">
        <f t="shared" si="97"/>
        <v>52</v>
      </c>
      <c r="L155" s="28">
        <f t="shared" si="97"/>
        <v>39</v>
      </c>
      <c r="M155" s="28">
        <f t="shared" si="97"/>
        <v>26</v>
      </c>
      <c r="N155" s="41">
        <f t="shared" si="97"/>
        <v>24</v>
      </c>
      <c r="O155" s="28">
        <f t="shared" si="97"/>
        <v>26</v>
      </c>
      <c r="P155" s="17">
        <f t="shared" si="46"/>
        <v>2</v>
      </c>
      <c r="R155" s="2">
        <v>13.0</v>
      </c>
      <c r="S155" s="5">
        <f t="shared" ref="S155:AB155" si="98">max(S127,S99)</f>
        <v>117</v>
      </c>
      <c r="T155" s="5">
        <f t="shared" si="98"/>
        <v>104</v>
      </c>
      <c r="U155" s="5">
        <f t="shared" si="98"/>
        <v>91</v>
      </c>
      <c r="V155" s="5">
        <f t="shared" si="98"/>
        <v>78</v>
      </c>
      <c r="W155" s="5">
        <f t="shared" si="98"/>
        <v>65</v>
      </c>
      <c r="X155" s="5">
        <f t="shared" si="98"/>
        <v>52</v>
      </c>
      <c r="Y155" s="17">
        <f t="shared" si="98"/>
        <v>39</v>
      </c>
      <c r="Z155" s="5">
        <f t="shared" si="98"/>
        <v>42</v>
      </c>
      <c r="AA155" s="5">
        <f t="shared" si="98"/>
        <v>48</v>
      </c>
      <c r="AB155" s="5">
        <f t="shared" si="98"/>
        <v>54</v>
      </c>
      <c r="AC155" s="17">
        <f t="shared" si="48"/>
        <v>6</v>
      </c>
      <c r="AE155" s="2">
        <v>13.0</v>
      </c>
      <c r="AF155" s="5">
        <f t="shared" ref="AF155:AN155" si="99">max(AF127,AF99)</f>
        <v>104</v>
      </c>
      <c r="AG155" s="5">
        <f t="shared" si="99"/>
        <v>91</v>
      </c>
      <c r="AH155" s="5">
        <f t="shared" si="99"/>
        <v>78</v>
      </c>
      <c r="AI155" s="5">
        <f t="shared" si="99"/>
        <v>65</v>
      </c>
      <c r="AJ155" s="5">
        <f t="shared" si="99"/>
        <v>52</v>
      </c>
      <c r="AK155" s="5">
        <f t="shared" si="99"/>
        <v>39</v>
      </c>
      <c r="AL155" s="17">
        <f t="shared" si="99"/>
        <v>36</v>
      </c>
      <c r="AM155" s="5">
        <f t="shared" si="99"/>
        <v>42</v>
      </c>
      <c r="AN155" s="5">
        <f t="shared" si="99"/>
        <v>48</v>
      </c>
      <c r="AO155" s="17">
        <f t="shared" si="50"/>
        <v>6</v>
      </c>
      <c r="AQ155" s="2">
        <v>13.0</v>
      </c>
      <c r="AR155" s="5">
        <f t="shared" ref="AR155:AW155" si="100">max(AR127,AR99)</f>
        <v>65</v>
      </c>
      <c r="AS155" s="5">
        <f t="shared" si="100"/>
        <v>52</v>
      </c>
      <c r="AT155" s="5">
        <f t="shared" si="100"/>
        <v>39</v>
      </c>
      <c r="AU155" s="17">
        <f t="shared" si="100"/>
        <v>33</v>
      </c>
      <c r="AV155" s="5">
        <f t="shared" si="100"/>
        <v>44</v>
      </c>
      <c r="AW155" s="5">
        <f t="shared" si="100"/>
        <v>55</v>
      </c>
      <c r="AX155" s="17">
        <f t="shared" si="52"/>
        <v>11</v>
      </c>
    </row>
    <row r="156" ht="21.75" customHeight="1">
      <c r="A156" s="2">
        <v>14.0</v>
      </c>
      <c r="B156" s="23">
        <f t="shared" ref="B156:O156" si="101">max(B128,B100)</f>
        <v>182</v>
      </c>
      <c r="C156" s="23">
        <f t="shared" si="101"/>
        <v>168</v>
      </c>
      <c r="D156" s="23">
        <f t="shared" si="101"/>
        <v>154</v>
      </c>
      <c r="E156" s="23">
        <f t="shared" si="101"/>
        <v>140</v>
      </c>
      <c r="F156" s="5">
        <f t="shared" si="101"/>
        <v>126</v>
      </c>
      <c r="G156" s="5">
        <f t="shared" si="101"/>
        <v>112</v>
      </c>
      <c r="H156" s="5">
        <f t="shared" si="101"/>
        <v>98</v>
      </c>
      <c r="I156" s="5">
        <f t="shared" si="101"/>
        <v>84</v>
      </c>
      <c r="J156" s="5">
        <f t="shared" si="101"/>
        <v>70</v>
      </c>
      <c r="K156" s="5">
        <f t="shared" si="101"/>
        <v>56</v>
      </c>
      <c r="L156" s="28">
        <f t="shared" si="101"/>
        <v>42</v>
      </c>
      <c r="M156" s="28">
        <f t="shared" si="101"/>
        <v>28</v>
      </c>
      <c r="N156" s="28">
        <f t="shared" si="101"/>
        <v>14</v>
      </c>
      <c r="O156" s="41">
        <f t="shared" si="101"/>
        <v>13</v>
      </c>
      <c r="P156" s="17">
        <f t="shared" si="46"/>
        <v>1</v>
      </c>
      <c r="R156" s="2">
        <v>14.0</v>
      </c>
      <c r="S156" s="5">
        <f t="shared" ref="S156:AB156" si="102">max(S128,S100)</f>
        <v>126</v>
      </c>
      <c r="T156" s="5">
        <f t="shared" si="102"/>
        <v>112</v>
      </c>
      <c r="U156" s="5">
        <f t="shared" si="102"/>
        <v>98</v>
      </c>
      <c r="V156" s="5">
        <f t="shared" si="102"/>
        <v>84</v>
      </c>
      <c r="W156" s="5">
        <f t="shared" si="102"/>
        <v>70</v>
      </c>
      <c r="X156" s="5">
        <f t="shared" si="102"/>
        <v>56</v>
      </c>
      <c r="Y156" s="17">
        <f t="shared" si="102"/>
        <v>42</v>
      </c>
      <c r="Z156" s="5">
        <f t="shared" si="102"/>
        <v>35</v>
      </c>
      <c r="AA156" s="5">
        <f t="shared" si="102"/>
        <v>40</v>
      </c>
      <c r="AB156" s="5">
        <f t="shared" si="102"/>
        <v>45</v>
      </c>
      <c r="AC156" s="17">
        <f t="shared" si="48"/>
        <v>5</v>
      </c>
      <c r="AE156" s="2">
        <v>14.0</v>
      </c>
      <c r="AF156" s="5">
        <f t="shared" ref="AF156:AN156" si="103">max(AF128,AF100)</f>
        <v>112</v>
      </c>
      <c r="AG156" s="5">
        <f t="shared" si="103"/>
        <v>98</v>
      </c>
      <c r="AH156" s="5">
        <f t="shared" si="103"/>
        <v>84</v>
      </c>
      <c r="AI156" s="5">
        <f t="shared" si="103"/>
        <v>70</v>
      </c>
      <c r="AJ156" s="5">
        <f t="shared" si="103"/>
        <v>56</v>
      </c>
      <c r="AK156" s="5">
        <f t="shared" si="103"/>
        <v>42</v>
      </c>
      <c r="AL156" s="17">
        <f t="shared" si="103"/>
        <v>30</v>
      </c>
      <c r="AM156" s="5">
        <f t="shared" si="103"/>
        <v>35</v>
      </c>
      <c r="AN156" s="5">
        <f t="shared" si="103"/>
        <v>40</v>
      </c>
      <c r="AO156" s="17">
        <f t="shared" si="50"/>
        <v>5</v>
      </c>
      <c r="AQ156" s="2">
        <v>14.0</v>
      </c>
      <c r="AR156" s="5">
        <f t="shared" ref="AR156:AW156" si="104">max(AR128,AR100)</f>
        <v>70</v>
      </c>
      <c r="AS156" s="5">
        <f t="shared" si="104"/>
        <v>56</v>
      </c>
      <c r="AT156" s="5">
        <f t="shared" si="104"/>
        <v>42</v>
      </c>
      <c r="AU156" s="17">
        <f t="shared" si="104"/>
        <v>30</v>
      </c>
      <c r="AV156" s="5">
        <f t="shared" si="104"/>
        <v>40</v>
      </c>
      <c r="AW156" s="5">
        <f t="shared" si="104"/>
        <v>50</v>
      </c>
      <c r="AX156" s="17">
        <f t="shared" si="52"/>
        <v>10</v>
      </c>
    </row>
    <row r="157" ht="21.75" customHeight="1">
      <c r="A157" s="2">
        <v>15.0</v>
      </c>
      <c r="B157" s="23">
        <f t="shared" ref="B157:O157" si="105">max(B129,B101)</f>
        <v>195</v>
      </c>
      <c r="C157" s="23">
        <f t="shared" si="105"/>
        <v>180</v>
      </c>
      <c r="D157" s="23">
        <f t="shared" si="105"/>
        <v>165</v>
      </c>
      <c r="E157" s="23">
        <f t="shared" si="105"/>
        <v>150</v>
      </c>
      <c r="F157" s="23">
        <f t="shared" si="105"/>
        <v>135</v>
      </c>
      <c r="G157" s="5">
        <f t="shared" si="105"/>
        <v>120</v>
      </c>
      <c r="H157" s="5">
        <f t="shared" si="105"/>
        <v>105</v>
      </c>
      <c r="I157" s="5">
        <f t="shared" si="105"/>
        <v>90</v>
      </c>
      <c r="J157" s="5">
        <f t="shared" si="105"/>
        <v>75</v>
      </c>
      <c r="K157" s="28">
        <f t="shared" si="105"/>
        <v>60</v>
      </c>
      <c r="L157" s="28">
        <f t="shared" si="105"/>
        <v>45</v>
      </c>
      <c r="M157" s="28">
        <f t="shared" si="105"/>
        <v>30</v>
      </c>
      <c r="N157" s="28">
        <f t="shared" si="105"/>
        <v>15</v>
      </c>
      <c r="O157" s="41">
        <f t="shared" si="105"/>
        <v>0</v>
      </c>
      <c r="P157" s="17">
        <f t="shared" si="46"/>
        <v>0</v>
      </c>
      <c r="R157" s="2">
        <v>15.0</v>
      </c>
      <c r="S157" s="23">
        <f t="shared" ref="S157:AB157" si="106">max(S129,S101)</f>
        <v>135</v>
      </c>
      <c r="T157" s="5">
        <f t="shared" si="106"/>
        <v>120</v>
      </c>
      <c r="U157" s="5">
        <f t="shared" si="106"/>
        <v>105</v>
      </c>
      <c r="V157" s="5">
        <f t="shared" si="106"/>
        <v>90</v>
      </c>
      <c r="W157" s="5">
        <f t="shared" si="106"/>
        <v>75</v>
      </c>
      <c r="X157" s="5">
        <f t="shared" si="106"/>
        <v>60</v>
      </c>
      <c r="Y157" s="5">
        <f t="shared" si="106"/>
        <v>45</v>
      </c>
      <c r="Z157" s="17">
        <f t="shared" si="106"/>
        <v>30</v>
      </c>
      <c r="AA157" s="5">
        <f t="shared" si="106"/>
        <v>32</v>
      </c>
      <c r="AB157" s="28">
        <f t="shared" si="106"/>
        <v>36</v>
      </c>
      <c r="AC157" s="17">
        <f t="shared" si="48"/>
        <v>4</v>
      </c>
      <c r="AE157" s="2">
        <v>15.0</v>
      </c>
      <c r="AF157" s="5">
        <f t="shared" ref="AF157:AN157" si="107">max(AF129,AF101)</f>
        <v>120</v>
      </c>
      <c r="AG157" s="5">
        <f t="shared" si="107"/>
        <v>105</v>
      </c>
      <c r="AH157" s="5">
        <f t="shared" si="107"/>
        <v>90</v>
      </c>
      <c r="AI157" s="5">
        <f t="shared" si="107"/>
        <v>75</v>
      </c>
      <c r="AJ157" s="5">
        <f t="shared" si="107"/>
        <v>60</v>
      </c>
      <c r="AK157" s="5">
        <f t="shared" si="107"/>
        <v>45</v>
      </c>
      <c r="AL157" s="5">
        <f t="shared" si="107"/>
        <v>30</v>
      </c>
      <c r="AM157" s="26">
        <f t="shared" si="107"/>
        <v>28</v>
      </c>
      <c r="AN157" s="5">
        <f t="shared" si="107"/>
        <v>32</v>
      </c>
      <c r="AO157" s="17">
        <f t="shared" si="50"/>
        <v>4</v>
      </c>
      <c r="AQ157" s="2">
        <v>15.0</v>
      </c>
      <c r="AR157" s="5">
        <f t="shared" ref="AR157:AW157" si="108">max(AR129,AR101)</f>
        <v>75</v>
      </c>
      <c r="AS157" s="5">
        <f t="shared" si="108"/>
        <v>60</v>
      </c>
      <c r="AT157" s="5">
        <f t="shared" si="108"/>
        <v>45</v>
      </c>
      <c r="AU157" s="17">
        <f t="shared" si="108"/>
        <v>30</v>
      </c>
      <c r="AV157" s="5">
        <f t="shared" si="108"/>
        <v>36</v>
      </c>
      <c r="AW157" s="5">
        <f t="shared" si="108"/>
        <v>45</v>
      </c>
      <c r="AX157" s="17">
        <f t="shared" si="52"/>
        <v>9</v>
      </c>
    </row>
    <row r="158" ht="21.75" customHeight="1">
      <c r="B158" s="17">
        <f t="shared" ref="B158:O158" si="109">13-B141</f>
        <v>13</v>
      </c>
      <c r="C158" s="17">
        <f t="shared" si="109"/>
        <v>12</v>
      </c>
      <c r="D158" s="17">
        <f t="shared" si="109"/>
        <v>11</v>
      </c>
      <c r="E158" s="17">
        <f t="shared" si="109"/>
        <v>10</v>
      </c>
      <c r="F158" s="17">
        <f t="shared" si="109"/>
        <v>9</v>
      </c>
      <c r="G158" s="17">
        <f t="shared" si="109"/>
        <v>8</v>
      </c>
      <c r="H158" s="17">
        <f t="shared" si="109"/>
        <v>7</v>
      </c>
      <c r="I158" s="17">
        <f t="shared" si="109"/>
        <v>6</v>
      </c>
      <c r="J158" s="17">
        <f t="shared" si="109"/>
        <v>5</v>
      </c>
      <c r="K158" s="17">
        <f t="shared" si="109"/>
        <v>4</v>
      </c>
      <c r="L158" s="17">
        <f t="shared" si="109"/>
        <v>3</v>
      </c>
      <c r="M158" s="17">
        <f t="shared" si="109"/>
        <v>2</v>
      </c>
      <c r="N158" s="17">
        <f t="shared" si="109"/>
        <v>1</v>
      </c>
      <c r="O158" s="17">
        <f t="shared" si="109"/>
        <v>0</v>
      </c>
      <c r="P158" s="17"/>
      <c r="R158" s="2">
        <v>16.0</v>
      </c>
      <c r="S158" s="23">
        <f t="shared" ref="S158:AB158" si="110">max(S130,S102)</f>
        <v>144</v>
      </c>
      <c r="T158" s="23">
        <f t="shared" si="110"/>
        <v>128</v>
      </c>
      <c r="U158" s="5">
        <f t="shared" si="110"/>
        <v>112</v>
      </c>
      <c r="V158" s="5">
        <f t="shared" si="110"/>
        <v>96</v>
      </c>
      <c r="W158" s="5">
        <f t="shared" si="110"/>
        <v>80</v>
      </c>
      <c r="X158" s="5">
        <f t="shared" si="110"/>
        <v>64</v>
      </c>
      <c r="Y158" s="5">
        <f t="shared" si="110"/>
        <v>48</v>
      </c>
      <c r="Z158" s="5">
        <f t="shared" si="110"/>
        <v>32</v>
      </c>
      <c r="AA158" s="41">
        <f t="shared" si="110"/>
        <v>24</v>
      </c>
      <c r="AB158" s="28">
        <f t="shared" si="110"/>
        <v>27</v>
      </c>
      <c r="AC158" s="17">
        <f t="shared" si="48"/>
        <v>3</v>
      </c>
      <c r="AE158" s="2">
        <v>16.0</v>
      </c>
      <c r="AF158" s="23">
        <f t="shared" ref="AF158:AN158" si="111">max(AF130,AF102)</f>
        <v>128</v>
      </c>
      <c r="AG158" s="5">
        <f t="shared" si="111"/>
        <v>112</v>
      </c>
      <c r="AH158" s="5">
        <f t="shared" si="111"/>
        <v>96</v>
      </c>
      <c r="AI158" s="5">
        <f t="shared" si="111"/>
        <v>80</v>
      </c>
      <c r="AJ158" s="5">
        <f t="shared" si="111"/>
        <v>64</v>
      </c>
      <c r="AK158" s="5">
        <f t="shared" si="111"/>
        <v>48</v>
      </c>
      <c r="AL158" s="5">
        <f t="shared" si="111"/>
        <v>32</v>
      </c>
      <c r="AM158" s="17">
        <f t="shared" si="111"/>
        <v>21</v>
      </c>
      <c r="AN158" s="28">
        <f t="shared" si="111"/>
        <v>24</v>
      </c>
      <c r="AO158" s="17">
        <f t="shared" si="50"/>
        <v>3</v>
      </c>
      <c r="AQ158" s="2">
        <v>16.0</v>
      </c>
      <c r="AR158" s="5">
        <f t="shared" ref="AR158:AW158" si="112">max(AR130,AR102)</f>
        <v>80</v>
      </c>
      <c r="AS158" s="5">
        <f t="shared" si="112"/>
        <v>64</v>
      </c>
      <c r="AT158" s="5">
        <f t="shared" si="112"/>
        <v>48</v>
      </c>
      <c r="AU158" s="17">
        <f t="shared" si="112"/>
        <v>32</v>
      </c>
      <c r="AV158" s="17">
        <f t="shared" si="112"/>
        <v>32</v>
      </c>
      <c r="AW158" s="5">
        <f t="shared" si="112"/>
        <v>40</v>
      </c>
      <c r="AX158" s="17">
        <f t="shared" si="52"/>
        <v>8</v>
      </c>
    </row>
    <row r="159" ht="21.75" customHeight="1">
      <c r="P159" s="17"/>
      <c r="R159" s="2">
        <v>17.0</v>
      </c>
      <c r="S159" s="23">
        <f t="shared" ref="S159:AB159" si="113">max(S131,S103)</f>
        <v>153</v>
      </c>
      <c r="T159" s="23">
        <f t="shared" si="113"/>
        <v>136</v>
      </c>
      <c r="U159" s="5">
        <f t="shared" si="113"/>
        <v>119</v>
      </c>
      <c r="V159" s="5">
        <f t="shared" si="113"/>
        <v>102</v>
      </c>
      <c r="W159" s="5">
        <f t="shared" si="113"/>
        <v>85</v>
      </c>
      <c r="X159" s="5">
        <f t="shared" si="113"/>
        <v>68</v>
      </c>
      <c r="Y159" s="5">
        <f t="shared" si="113"/>
        <v>51</v>
      </c>
      <c r="Z159" s="5">
        <f t="shared" si="113"/>
        <v>34</v>
      </c>
      <c r="AA159" s="41">
        <f t="shared" si="113"/>
        <v>17</v>
      </c>
      <c r="AB159" s="28">
        <f t="shared" si="113"/>
        <v>18</v>
      </c>
      <c r="AC159" s="17">
        <f t="shared" si="48"/>
        <v>2</v>
      </c>
      <c r="AE159" s="2">
        <v>17.0</v>
      </c>
      <c r="AF159" s="23">
        <f t="shared" ref="AF159:AN159" si="114">max(AF131,AF103)</f>
        <v>136</v>
      </c>
      <c r="AG159" s="5">
        <f t="shared" si="114"/>
        <v>119</v>
      </c>
      <c r="AH159" s="5">
        <f t="shared" si="114"/>
        <v>102</v>
      </c>
      <c r="AI159" s="5">
        <f t="shared" si="114"/>
        <v>85</v>
      </c>
      <c r="AJ159" s="5">
        <f t="shared" si="114"/>
        <v>68</v>
      </c>
      <c r="AK159" s="5">
        <f t="shared" si="114"/>
        <v>51</v>
      </c>
      <c r="AL159" s="5">
        <f t="shared" si="114"/>
        <v>34</v>
      </c>
      <c r="AM159" s="5">
        <f t="shared" si="114"/>
        <v>17</v>
      </c>
      <c r="AN159" s="41">
        <f t="shared" si="114"/>
        <v>16</v>
      </c>
      <c r="AO159" s="17">
        <f t="shared" si="50"/>
        <v>2</v>
      </c>
      <c r="AQ159" s="2">
        <v>17.0</v>
      </c>
      <c r="AR159" s="5">
        <f t="shared" ref="AR159:AW159" si="115">max(AR131,AR103)</f>
        <v>85</v>
      </c>
      <c r="AS159" s="5">
        <f t="shared" si="115"/>
        <v>68</v>
      </c>
      <c r="AT159" s="5">
        <f t="shared" si="115"/>
        <v>51</v>
      </c>
      <c r="AU159" s="5">
        <f t="shared" si="115"/>
        <v>34</v>
      </c>
      <c r="AV159" s="17">
        <f t="shared" si="115"/>
        <v>28</v>
      </c>
      <c r="AW159" s="5">
        <f t="shared" si="115"/>
        <v>35</v>
      </c>
      <c r="AX159" s="17">
        <f t="shared" si="52"/>
        <v>7</v>
      </c>
    </row>
    <row r="160" ht="21.75" customHeight="1">
      <c r="P160" s="17"/>
      <c r="R160" s="2">
        <v>18.0</v>
      </c>
      <c r="S160" s="23">
        <f t="shared" ref="S160:AB160" si="116">max(S132,S104)</f>
        <v>162</v>
      </c>
      <c r="T160" s="23">
        <f t="shared" si="116"/>
        <v>144</v>
      </c>
      <c r="U160" s="23">
        <f t="shared" si="116"/>
        <v>126</v>
      </c>
      <c r="V160" s="5">
        <f t="shared" si="116"/>
        <v>108</v>
      </c>
      <c r="W160" s="5">
        <f t="shared" si="116"/>
        <v>90</v>
      </c>
      <c r="X160" s="5">
        <f t="shared" si="116"/>
        <v>72</v>
      </c>
      <c r="Y160" s="5">
        <f t="shared" si="116"/>
        <v>54</v>
      </c>
      <c r="Z160" s="28">
        <f t="shared" si="116"/>
        <v>36</v>
      </c>
      <c r="AA160" s="28">
        <f t="shared" si="116"/>
        <v>18</v>
      </c>
      <c r="AB160" s="41">
        <f t="shared" si="116"/>
        <v>9</v>
      </c>
      <c r="AC160" s="17">
        <f t="shared" si="48"/>
        <v>1</v>
      </c>
      <c r="AE160" s="2">
        <v>18.0</v>
      </c>
      <c r="AF160" s="23">
        <f t="shared" ref="AF160:AN160" si="117">max(AF132,AF104)</f>
        <v>144</v>
      </c>
      <c r="AG160" s="23">
        <f t="shared" si="117"/>
        <v>126</v>
      </c>
      <c r="AH160" s="5">
        <f t="shared" si="117"/>
        <v>108</v>
      </c>
      <c r="AI160" s="5">
        <f t="shared" si="117"/>
        <v>90</v>
      </c>
      <c r="AJ160" s="5">
        <f t="shared" si="117"/>
        <v>72</v>
      </c>
      <c r="AK160" s="5">
        <f t="shared" si="117"/>
        <v>54</v>
      </c>
      <c r="AL160" s="5">
        <f t="shared" si="117"/>
        <v>36</v>
      </c>
      <c r="AM160" s="28">
        <f t="shared" si="117"/>
        <v>18</v>
      </c>
      <c r="AN160" s="41">
        <f t="shared" si="117"/>
        <v>8</v>
      </c>
      <c r="AO160" s="17">
        <f t="shared" si="50"/>
        <v>1</v>
      </c>
      <c r="AQ160" s="2">
        <v>18.0</v>
      </c>
      <c r="AR160" s="5">
        <f t="shared" ref="AR160:AW160" si="118">max(AR132,AR104)</f>
        <v>90</v>
      </c>
      <c r="AS160" s="5">
        <f t="shared" si="118"/>
        <v>72</v>
      </c>
      <c r="AT160" s="5">
        <f t="shared" si="118"/>
        <v>54</v>
      </c>
      <c r="AU160" s="5">
        <f t="shared" si="118"/>
        <v>36</v>
      </c>
      <c r="AV160" s="17">
        <f t="shared" si="118"/>
        <v>24</v>
      </c>
      <c r="AW160" s="5">
        <f t="shared" si="118"/>
        <v>30</v>
      </c>
      <c r="AX160" s="17">
        <f t="shared" si="52"/>
        <v>6</v>
      </c>
    </row>
    <row r="161" ht="21.75" customHeight="1">
      <c r="P161" s="17"/>
      <c r="R161" s="2">
        <v>19.0</v>
      </c>
      <c r="S161" s="23">
        <f t="shared" ref="S161:AB161" si="119">max(S133,S105)</f>
        <v>171</v>
      </c>
      <c r="T161" s="23">
        <f t="shared" si="119"/>
        <v>152</v>
      </c>
      <c r="U161" s="23">
        <f t="shared" si="119"/>
        <v>133</v>
      </c>
      <c r="V161" s="5">
        <f t="shared" si="119"/>
        <v>114</v>
      </c>
      <c r="W161" s="5">
        <f t="shared" si="119"/>
        <v>95</v>
      </c>
      <c r="X161" s="5">
        <f t="shared" si="119"/>
        <v>76</v>
      </c>
      <c r="Y161" s="5">
        <f t="shared" si="119"/>
        <v>57</v>
      </c>
      <c r="Z161" s="28">
        <f t="shared" si="119"/>
        <v>38</v>
      </c>
      <c r="AA161" s="28">
        <f t="shared" si="119"/>
        <v>19</v>
      </c>
      <c r="AB161" s="41">
        <f t="shared" si="119"/>
        <v>0</v>
      </c>
      <c r="AC161" s="17">
        <f t="shared" si="48"/>
        <v>0</v>
      </c>
      <c r="AE161" s="2">
        <v>19.0</v>
      </c>
      <c r="AF161" s="23">
        <f t="shared" ref="AF161:AN161" si="120">max(AF133,AF105)</f>
        <v>152</v>
      </c>
      <c r="AG161" s="23">
        <f t="shared" si="120"/>
        <v>133</v>
      </c>
      <c r="AH161" s="5">
        <f t="shared" si="120"/>
        <v>114</v>
      </c>
      <c r="AI161" s="5">
        <f t="shared" si="120"/>
        <v>95</v>
      </c>
      <c r="AJ161" s="5">
        <f t="shared" si="120"/>
        <v>76</v>
      </c>
      <c r="AK161" s="5">
        <f t="shared" si="120"/>
        <v>57</v>
      </c>
      <c r="AL161" s="5">
        <f t="shared" si="120"/>
        <v>38</v>
      </c>
      <c r="AM161" s="28">
        <f t="shared" si="120"/>
        <v>19</v>
      </c>
      <c r="AN161" s="41">
        <f t="shared" si="120"/>
        <v>0</v>
      </c>
      <c r="AO161" s="17">
        <f t="shared" si="50"/>
        <v>0</v>
      </c>
      <c r="AQ161" s="2">
        <v>19.0</v>
      </c>
      <c r="AR161" s="5">
        <f t="shared" ref="AR161:AW161" si="121">max(AR133,AR105)</f>
        <v>95</v>
      </c>
      <c r="AS161" s="5">
        <f t="shared" si="121"/>
        <v>76</v>
      </c>
      <c r="AT161" s="5">
        <f t="shared" si="121"/>
        <v>57</v>
      </c>
      <c r="AU161" s="5">
        <f t="shared" si="121"/>
        <v>38</v>
      </c>
      <c r="AV161" s="17">
        <f t="shared" si="121"/>
        <v>20</v>
      </c>
      <c r="AW161" s="5">
        <f t="shared" si="121"/>
        <v>25</v>
      </c>
      <c r="AX161" s="17">
        <f t="shared" si="52"/>
        <v>5</v>
      </c>
    </row>
    <row r="162" ht="21.75" customHeight="1">
      <c r="P162" s="17"/>
      <c r="S162" s="17">
        <f t="shared" ref="S162:AB162" si="122">9-S141</f>
        <v>9</v>
      </c>
      <c r="T162" s="17">
        <f t="shared" si="122"/>
        <v>8</v>
      </c>
      <c r="U162" s="17">
        <f t="shared" si="122"/>
        <v>7</v>
      </c>
      <c r="V162" s="17">
        <f t="shared" si="122"/>
        <v>6</v>
      </c>
      <c r="W162" s="17">
        <f t="shared" si="122"/>
        <v>5</v>
      </c>
      <c r="X162" s="17">
        <f t="shared" si="122"/>
        <v>4</v>
      </c>
      <c r="Y162" s="17">
        <f t="shared" si="122"/>
        <v>3</v>
      </c>
      <c r="Z162" s="17">
        <f t="shared" si="122"/>
        <v>2</v>
      </c>
      <c r="AA162" s="17">
        <f t="shared" si="122"/>
        <v>1</v>
      </c>
      <c r="AB162" s="17">
        <f t="shared" si="122"/>
        <v>0</v>
      </c>
      <c r="AC162" s="17"/>
      <c r="AF162" s="17">
        <f t="shared" ref="AF162:AN162" si="123">8-AF141</f>
        <v>8</v>
      </c>
      <c r="AG162" s="17">
        <f t="shared" si="123"/>
        <v>7</v>
      </c>
      <c r="AH162" s="17">
        <f t="shared" si="123"/>
        <v>6</v>
      </c>
      <c r="AI162" s="17">
        <f t="shared" si="123"/>
        <v>5</v>
      </c>
      <c r="AJ162" s="17">
        <f t="shared" si="123"/>
        <v>4</v>
      </c>
      <c r="AK162" s="17">
        <f t="shared" si="123"/>
        <v>3</v>
      </c>
      <c r="AL162" s="17">
        <f t="shared" si="123"/>
        <v>2</v>
      </c>
      <c r="AM162" s="17">
        <f t="shared" si="123"/>
        <v>1</v>
      </c>
      <c r="AN162" s="17">
        <f t="shared" si="123"/>
        <v>0</v>
      </c>
      <c r="AO162" s="17"/>
      <c r="AQ162" s="2">
        <v>20.0</v>
      </c>
      <c r="AR162" s="5">
        <f t="shared" ref="AR162:AW162" si="124">max(AR134,AR106)</f>
        <v>100</v>
      </c>
      <c r="AS162" s="5">
        <f t="shared" si="124"/>
        <v>80</v>
      </c>
      <c r="AT162" s="5">
        <f t="shared" si="124"/>
        <v>60</v>
      </c>
      <c r="AU162" s="5">
        <f t="shared" si="124"/>
        <v>40</v>
      </c>
      <c r="AV162" s="17">
        <f t="shared" si="124"/>
        <v>20</v>
      </c>
      <c r="AW162" s="17">
        <f t="shared" si="124"/>
        <v>20</v>
      </c>
      <c r="AX162" s="17">
        <f t="shared" si="52"/>
        <v>4</v>
      </c>
    </row>
    <row r="163" ht="21.75" customHeight="1">
      <c r="P163" s="17"/>
      <c r="AC163" s="17"/>
      <c r="AO163" s="17"/>
      <c r="AQ163" s="2">
        <v>21.0</v>
      </c>
      <c r="AR163" s="5">
        <f t="shared" ref="AR163:AW163" si="125">max(AR135,AR107)</f>
        <v>105</v>
      </c>
      <c r="AS163" s="5">
        <f t="shared" si="125"/>
        <v>84</v>
      </c>
      <c r="AT163" s="5">
        <f t="shared" si="125"/>
        <v>63</v>
      </c>
      <c r="AU163" s="5">
        <f t="shared" si="125"/>
        <v>42</v>
      </c>
      <c r="AV163" s="5">
        <f t="shared" si="125"/>
        <v>21</v>
      </c>
      <c r="AW163" s="26">
        <f t="shared" si="125"/>
        <v>15</v>
      </c>
      <c r="AX163" s="17">
        <f t="shared" si="52"/>
        <v>3</v>
      </c>
    </row>
    <row r="164" ht="21.75" customHeight="1">
      <c r="P164" s="17"/>
      <c r="AC164" s="17"/>
      <c r="AO164" s="17"/>
      <c r="AQ164" s="2">
        <v>22.0</v>
      </c>
      <c r="AR164" s="5">
        <f t="shared" ref="AR164:AW164" si="126">max(AR136,AR108)</f>
        <v>110</v>
      </c>
      <c r="AS164" s="5">
        <f t="shared" si="126"/>
        <v>88</v>
      </c>
      <c r="AT164" s="5">
        <f t="shared" si="126"/>
        <v>66</v>
      </c>
      <c r="AU164" s="5">
        <f t="shared" si="126"/>
        <v>44</v>
      </c>
      <c r="AV164" s="5">
        <f t="shared" si="126"/>
        <v>22</v>
      </c>
      <c r="AW164" s="17">
        <f t="shared" si="126"/>
        <v>10</v>
      </c>
      <c r="AX164" s="17">
        <f t="shared" si="52"/>
        <v>2</v>
      </c>
    </row>
    <row r="165" ht="21.75" customHeight="1">
      <c r="P165" s="17"/>
      <c r="AC165" s="17"/>
      <c r="AO165" s="17"/>
      <c r="AQ165" s="2">
        <v>23.0</v>
      </c>
      <c r="AR165" s="23">
        <f t="shared" ref="AR165:AW165" si="127">max(AR137,AR109)</f>
        <v>115</v>
      </c>
      <c r="AS165" s="5">
        <f t="shared" si="127"/>
        <v>92</v>
      </c>
      <c r="AT165" s="5">
        <f t="shared" si="127"/>
        <v>69</v>
      </c>
      <c r="AU165" s="5">
        <f t="shared" si="127"/>
        <v>46</v>
      </c>
      <c r="AV165" s="5">
        <f t="shared" si="127"/>
        <v>23</v>
      </c>
      <c r="AW165" s="41">
        <f t="shared" si="127"/>
        <v>5</v>
      </c>
      <c r="AX165" s="17">
        <f t="shared" si="52"/>
        <v>1</v>
      </c>
    </row>
    <row r="166" ht="21.75" customHeight="1">
      <c r="P166" s="17"/>
      <c r="AC166" s="17"/>
      <c r="AO166" s="17"/>
      <c r="AQ166" s="2">
        <v>24.0</v>
      </c>
      <c r="AR166" s="23">
        <f t="shared" ref="AR166:AW166" si="128">max(AR138,AR110)</f>
        <v>120</v>
      </c>
      <c r="AS166" s="5">
        <f t="shared" si="128"/>
        <v>96</v>
      </c>
      <c r="AT166" s="5">
        <f t="shared" si="128"/>
        <v>72</v>
      </c>
      <c r="AU166" s="5">
        <f t="shared" si="128"/>
        <v>48</v>
      </c>
      <c r="AV166" s="5">
        <f t="shared" si="128"/>
        <v>24</v>
      </c>
      <c r="AW166" s="41">
        <f t="shared" si="128"/>
        <v>0</v>
      </c>
      <c r="AX166" s="17">
        <f t="shared" si="52"/>
        <v>0</v>
      </c>
    </row>
    <row r="167" ht="21.75" customHeight="1">
      <c r="A167" s="17"/>
      <c r="P167" s="17"/>
      <c r="AC167" s="17"/>
      <c r="AO167" s="17"/>
      <c r="AQ167" s="2"/>
      <c r="AR167" s="17">
        <f t="shared" ref="AR167:AW167" si="129">5-AR141</f>
        <v>5</v>
      </c>
      <c r="AS167" s="17">
        <f t="shared" si="129"/>
        <v>4</v>
      </c>
      <c r="AT167" s="17">
        <f t="shared" si="129"/>
        <v>3</v>
      </c>
      <c r="AU167" s="17">
        <f t="shared" si="129"/>
        <v>2</v>
      </c>
      <c r="AV167" s="17">
        <f t="shared" si="129"/>
        <v>1</v>
      </c>
      <c r="AW167" s="17">
        <f t="shared" si="129"/>
        <v>0</v>
      </c>
      <c r="AX167" s="17"/>
    </row>
    <row r="168" ht="21.75" customHeight="1">
      <c r="A168" s="17"/>
      <c r="P168" s="17"/>
      <c r="AC168" s="17"/>
      <c r="AO168" s="17"/>
      <c r="AX168" s="17"/>
    </row>
    <row r="169" ht="21.75" customHeight="1">
      <c r="A169" s="17"/>
      <c r="P169" s="17"/>
      <c r="AC169" s="17"/>
      <c r="AO169" s="17"/>
      <c r="AX169" s="17"/>
    </row>
    <row r="170" ht="21.75" customHeight="1">
      <c r="A170" s="17"/>
      <c r="P170" s="17"/>
      <c r="AC170" s="17"/>
      <c r="AO170" s="17"/>
      <c r="AX170" s="17"/>
    </row>
    <row r="171" ht="21.75" customHeight="1">
      <c r="A171" s="17"/>
      <c r="P171" s="17"/>
      <c r="AC171" s="17"/>
      <c r="AO171" s="17"/>
      <c r="AX171" s="17"/>
    </row>
    <row r="172" ht="21.75" customHeight="1">
      <c r="A172" s="17"/>
      <c r="P172" s="17"/>
      <c r="AC172" s="17"/>
      <c r="AO172" s="17"/>
      <c r="AX172" s="17"/>
    </row>
    <row r="173" ht="21.75" customHeight="1">
      <c r="A173" s="17"/>
      <c r="K173" s="5">
        <f>I38+X41+AM45+AW51</f>
        <v>239</v>
      </c>
      <c r="P173" s="17"/>
      <c r="AC173" s="17"/>
      <c r="AO173" s="17"/>
      <c r="AX173" s="17"/>
    </row>
    <row r="174" ht="21.75" customHeight="1">
      <c r="A174" s="17"/>
      <c r="P174" s="17"/>
      <c r="AC174" s="17"/>
      <c r="AO174" s="17"/>
      <c r="AX174" s="17"/>
    </row>
    <row r="175" ht="21.75" customHeight="1">
      <c r="A175" s="17"/>
      <c r="B175" s="11" t="s">
        <v>28</v>
      </c>
      <c r="P175" s="17"/>
      <c r="AC175" s="17"/>
      <c r="AO175" s="17"/>
      <c r="AX175" s="17"/>
    </row>
    <row r="176" ht="21.75" customHeight="1">
      <c r="A176" s="17"/>
      <c r="P176" s="17"/>
      <c r="AC176" s="17"/>
      <c r="AO176" s="17"/>
      <c r="AX176" s="17"/>
    </row>
    <row r="177" ht="21.75" customHeight="1">
      <c r="A177" s="17"/>
      <c r="B177" s="10" t="s">
        <v>29</v>
      </c>
      <c r="P177" s="17"/>
      <c r="Q177" s="42" t="s">
        <v>30</v>
      </c>
      <c r="R177" s="42"/>
      <c r="S177" s="43"/>
      <c r="T177" s="42" t="s">
        <v>31</v>
      </c>
      <c r="U177" s="43"/>
      <c r="V177" s="43"/>
      <c r="W177" s="42" t="s">
        <v>32</v>
      </c>
      <c r="X177" s="43"/>
      <c r="Y177" s="43"/>
      <c r="Z177" s="42" t="s">
        <v>33</v>
      </c>
      <c r="AA177" s="43"/>
      <c r="AB177" s="43"/>
      <c r="AC177" s="44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O177" s="17"/>
      <c r="AX177" s="17"/>
    </row>
    <row r="178" ht="21.75" customHeight="1">
      <c r="A178" s="17"/>
      <c r="B178" s="10" t="s">
        <v>34</v>
      </c>
      <c r="P178" s="17"/>
      <c r="Q178" s="5">
        <f>15*13</f>
        <v>195</v>
      </c>
      <c r="R178" s="43"/>
      <c r="S178" s="43"/>
      <c r="T178" s="43">
        <f>19*9</f>
        <v>171</v>
      </c>
      <c r="U178" s="43"/>
      <c r="V178" s="43"/>
      <c r="W178" s="45">
        <f>19*8</f>
        <v>152</v>
      </c>
      <c r="X178" s="43"/>
      <c r="Y178" s="43"/>
      <c r="Z178" s="43">
        <f>24*5</f>
        <v>120</v>
      </c>
      <c r="AA178" s="43"/>
      <c r="AB178" s="43"/>
      <c r="AC178" s="44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O178" s="17"/>
      <c r="AX178" s="17"/>
    </row>
    <row r="179" ht="21.75" customHeight="1">
      <c r="A179" s="17"/>
      <c r="P179" s="17"/>
      <c r="Q179" s="10">
        <f>Q178/729</f>
        <v>0.2674897119</v>
      </c>
      <c r="R179" s="43">
        <f>1/Q179</f>
        <v>3.738461538</v>
      </c>
      <c r="S179" s="43"/>
      <c r="T179" s="42"/>
      <c r="U179" s="43"/>
      <c r="V179" s="43"/>
      <c r="W179" s="42"/>
      <c r="X179" s="43"/>
      <c r="Y179" s="43"/>
      <c r="Z179" s="42"/>
      <c r="AA179" s="43"/>
      <c r="AB179" s="43"/>
      <c r="AC179" s="44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O179" s="17"/>
      <c r="AX179" s="17"/>
    </row>
    <row r="180" ht="21.75" customHeight="1">
      <c r="A180" s="17"/>
      <c r="P180" s="17"/>
      <c r="Q180" s="10" t="s">
        <v>35</v>
      </c>
      <c r="R180" s="43"/>
      <c r="S180" s="43"/>
      <c r="T180" s="42" t="s">
        <v>36</v>
      </c>
      <c r="U180" s="43"/>
      <c r="V180" s="43"/>
      <c r="W180" s="42" t="s">
        <v>37</v>
      </c>
      <c r="X180" s="43"/>
      <c r="Y180" s="43"/>
      <c r="Z180" s="42" t="s">
        <v>38</v>
      </c>
      <c r="AA180" s="43"/>
      <c r="AB180" s="43"/>
      <c r="AC180" s="44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O180" s="17"/>
      <c r="AX180" s="17"/>
    </row>
    <row r="181" ht="21.75" customHeight="1">
      <c r="A181" s="17"/>
      <c r="B181" s="10" t="s">
        <v>39</v>
      </c>
      <c r="P181" s="17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4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O181" s="17"/>
      <c r="AX181" s="17"/>
    </row>
    <row r="182" ht="21.75" customHeight="1">
      <c r="A182" s="17"/>
      <c r="P182" s="17"/>
      <c r="Q182" s="46" t="s">
        <v>35</v>
      </c>
      <c r="R182" s="47"/>
      <c r="S182" s="47"/>
      <c r="T182" s="48" t="s">
        <v>36</v>
      </c>
      <c r="U182" s="47"/>
      <c r="V182" s="47"/>
      <c r="W182" s="48" t="s">
        <v>37</v>
      </c>
      <c r="X182" s="47"/>
      <c r="Y182" s="47"/>
      <c r="Z182" s="49" t="s">
        <v>40</v>
      </c>
      <c r="AA182" s="43"/>
      <c r="AB182" s="43"/>
      <c r="AC182" s="44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O182" s="17"/>
      <c r="AX182" s="17"/>
    </row>
    <row r="183" ht="21.75" customHeight="1">
      <c r="A183" s="17"/>
      <c r="B183" s="10" t="s">
        <v>41</v>
      </c>
      <c r="P183" s="17"/>
      <c r="Q183" s="3">
        <v>42.0</v>
      </c>
      <c r="R183" s="43"/>
      <c r="S183" s="43"/>
      <c r="T183" s="45" t="s">
        <v>42</v>
      </c>
      <c r="U183" s="43"/>
      <c r="V183" s="43"/>
      <c r="W183" s="45" t="s">
        <v>43</v>
      </c>
      <c r="X183" s="43"/>
      <c r="Y183" s="43"/>
      <c r="Z183" s="45" t="s">
        <v>44</v>
      </c>
      <c r="AA183" s="43"/>
      <c r="AB183" s="43"/>
      <c r="AC183" s="44"/>
      <c r="AD183" s="45" t="s">
        <v>45</v>
      </c>
      <c r="AE183" s="43"/>
      <c r="AF183" s="43"/>
      <c r="AG183" s="43"/>
      <c r="AH183" s="43"/>
      <c r="AI183" s="43"/>
      <c r="AJ183" s="43"/>
      <c r="AK183" s="43"/>
      <c r="AL183" s="43"/>
      <c r="AM183" s="43"/>
      <c r="AO183" s="17"/>
      <c r="AX183" s="17"/>
    </row>
    <row r="184" ht="21.75" customHeight="1">
      <c r="A184" s="17"/>
      <c r="P184" s="17"/>
      <c r="Q184" s="50" t="s">
        <v>46</v>
      </c>
      <c r="R184" s="51" t="s">
        <v>47</v>
      </c>
      <c r="S184" s="52"/>
      <c r="T184" s="51" t="s">
        <v>48</v>
      </c>
      <c r="U184" s="51" t="s">
        <v>49</v>
      </c>
      <c r="V184" s="52"/>
      <c r="W184" s="51" t="s">
        <v>50</v>
      </c>
      <c r="X184" s="51" t="s">
        <v>51</v>
      </c>
      <c r="Y184" s="52"/>
      <c r="Z184" s="51" t="s">
        <v>52</v>
      </c>
      <c r="AA184" s="51" t="s">
        <v>40</v>
      </c>
      <c r="AB184" s="43"/>
      <c r="AC184" s="44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O184" s="17"/>
      <c r="AX184" s="17"/>
    </row>
    <row r="185" ht="21.75" customHeight="1">
      <c r="A185" s="17"/>
      <c r="B185" s="10" t="s">
        <v>53</v>
      </c>
      <c r="P185" s="17"/>
      <c r="Q185" s="3">
        <v>49.0</v>
      </c>
      <c r="R185" s="45" t="s">
        <v>54</v>
      </c>
      <c r="S185" s="43"/>
      <c r="T185" s="45" t="s">
        <v>55</v>
      </c>
      <c r="U185" s="45" t="s">
        <v>56</v>
      </c>
      <c r="V185" s="43"/>
      <c r="W185" s="45" t="s">
        <v>57</v>
      </c>
      <c r="X185" s="45" t="s">
        <v>58</v>
      </c>
      <c r="Y185" s="43"/>
      <c r="Z185" s="45" t="s">
        <v>58</v>
      </c>
      <c r="AA185" s="45" t="s">
        <v>44</v>
      </c>
      <c r="AB185" s="43"/>
      <c r="AC185" s="44"/>
      <c r="AD185" s="45" t="s">
        <v>59</v>
      </c>
      <c r="AE185" s="43"/>
      <c r="AF185" s="43"/>
      <c r="AG185" s="43"/>
      <c r="AH185" s="43"/>
      <c r="AI185" s="43"/>
      <c r="AJ185" s="43"/>
      <c r="AK185" s="43"/>
      <c r="AL185" s="43"/>
      <c r="AM185" s="43"/>
      <c r="AO185" s="17"/>
      <c r="AX185" s="17"/>
    </row>
    <row r="186" ht="21.75" customHeight="1">
      <c r="A186" s="17"/>
      <c r="P186" s="17"/>
      <c r="Q186" s="53" t="s">
        <v>60</v>
      </c>
      <c r="R186" s="54"/>
      <c r="S186" s="54"/>
      <c r="T186" s="55" t="s">
        <v>61</v>
      </c>
      <c r="U186" s="54"/>
      <c r="V186" s="54"/>
      <c r="W186" s="55" t="s">
        <v>62</v>
      </c>
      <c r="X186" s="54"/>
      <c r="Y186" s="54"/>
      <c r="Z186" s="56" t="s">
        <v>63</v>
      </c>
      <c r="AA186" s="43"/>
      <c r="AB186" s="43"/>
      <c r="AC186" s="44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O186" s="17"/>
      <c r="AX186" s="17"/>
    </row>
    <row r="187" ht="21.75" customHeight="1">
      <c r="A187" s="17"/>
      <c r="P187" s="17"/>
      <c r="Q187" s="3">
        <v>56.0</v>
      </c>
      <c r="T187" s="3">
        <v>32.0</v>
      </c>
      <c r="W187" s="3">
        <v>4.0</v>
      </c>
      <c r="Z187" s="3">
        <v>105.0</v>
      </c>
      <c r="AC187" s="17"/>
      <c r="AD187" s="3">
        <v>197.0</v>
      </c>
      <c r="AO187" s="17"/>
      <c r="AX187" s="17"/>
    </row>
    <row r="188" ht="21.75" customHeight="1">
      <c r="A188" s="17"/>
      <c r="P188" s="17"/>
      <c r="AC188" s="17"/>
      <c r="AO188" s="17"/>
      <c r="AX188" s="17"/>
    </row>
    <row r="189" ht="21.75" customHeight="1">
      <c r="A189" s="17"/>
      <c r="P189" s="17"/>
      <c r="AC189" s="17"/>
      <c r="AO189" s="17"/>
      <c r="AX189" s="17"/>
    </row>
    <row r="190" ht="21.75" customHeight="1">
      <c r="A190" s="17"/>
      <c r="P190" s="17"/>
      <c r="Q190" s="5">
        <f t="shared" ref="Q190:R190" si="130">243/Q185</f>
        <v>4.959183673</v>
      </c>
      <c r="R190" s="5">
        <f t="shared" si="130"/>
        <v>5.0625</v>
      </c>
      <c r="T190" s="5">
        <f t="shared" ref="T190:U190" si="131">243/T185</f>
        <v>6.075</v>
      </c>
      <c r="U190" s="5">
        <f t="shared" si="131"/>
        <v>5.522727273</v>
      </c>
      <c r="W190" s="5">
        <f t="shared" ref="W190:X190" si="132">243/W185</f>
        <v>8.678571429</v>
      </c>
      <c r="X190" s="5">
        <f t="shared" si="132"/>
        <v>16.2</v>
      </c>
      <c r="Z190" s="5">
        <f>243/Z185</f>
        <v>16.2</v>
      </c>
      <c r="AC190" s="17"/>
      <c r="AO190" s="17"/>
      <c r="AX190" s="17"/>
    </row>
    <row r="191" ht="21.75" customHeight="1">
      <c r="A191" s="17"/>
      <c r="C191" s="5">
        <f>pow(3,7)</f>
        <v>2187</v>
      </c>
      <c r="P191" s="17"/>
      <c r="Q191" s="3">
        <f>243/5</f>
        <v>48.6</v>
      </c>
      <c r="AC191" s="17"/>
      <c r="AO191" s="17"/>
      <c r="AX191" s="17"/>
    </row>
    <row r="192" ht="21.75" customHeight="1">
      <c r="A192" s="17"/>
      <c r="P192" s="17"/>
      <c r="S192" s="5">
        <f>243/105</f>
        <v>2.314285714</v>
      </c>
      <c r="AC192" s="17"/>
      <c r="AO192" s="17"/>
      <c r="AX192" s="17"/>
    </row>
    <row r="193" ht="21.75" customHeight="1">
      <c r="A193" s="17"/>
      <c r="F193" s="5">
        <f>C191/(33*15)</f>
        <v>4.418181818</v>
      </c>
      <c r="P193" s="17"/>
      <c r="AC193" s="17"/>
      <c r="AO193" s="17"/>
      <c r="AX193" s="17"/>
    </row>
    <row r="194" ht="21.75" customHeight="1">
      <c r="A194" s="17"/>
      <c r="C194" s="5">
        <f>1853/C191</f>
        <v>0.8472793781</v>
      </c>
      <c r="E194" s="5">
        <f t="shared" ref="E194:E196" si="133">1/(1-C194)</f>
        <v>6.547904192</v>
      </c>
      <c r="K194" s="5" t="str">
        <f>(1+sqrt(2-16/(3*C194)))/2</f>
        <v>#NUM!</v>
      </c>
      <c r="P194" s="17"/>
      <c r="AC194" s="17"/>
      <c r="AO194" s="17"/>
      <c r="AX194" s="17"/>
    </row>
    <row r="195" ht="21.75" customHeight="1">
      <c r="A195" s="17"/>
      <c r="C195" s="5">
        <f>638/729</f>
        <v>0.8751714678</v>
      </c>
      <c r="E195" s="5">
        <f t="shared" si="133"/>
        <v>8.010989011</v>
      </c>
      <c r="P195" s="17"/>
      <c r="AC195" s="17"/>
      <c r="AO195" s="17"/>
      <c r="AX195" s="17"/>
    </row>
    <row r="196" ht="21.75" customHeight="1">
      <c r="A196" s="17"/>
      <c r="C196" s="5">
        <f>219/243</f>
        <v>0.9012345679</v>
      </c>
      <c r="E196" s="5">
        <f t="shared" si="133"/>
        <v>10.125</v>
      </c>
      <c r="P196" s="17"/>
      <c r="AC196" s="17"/>
      <c r="AO196" s="17"/>
      <c r="AX196" s="17"/>
    </row>
    <row r="197" ht="21.75" customHeight="1">
      <c r="A197" s="17"/>
      <c r="P197" s="17"/>
      <c r="AC197" s="17"/>
      <c r="AO197" s="17"/>
      <c r="AX197" s="17"/>
    </row>
    <row r="198" ht="21.75" customHeight="1">
      <c r="A198" s="17"/>
      <c r="P198" s="17"/>
      <c r="AC198" s="17"/>
      <c r="AO198" s="17"/>
      <c r="AX198" s="17"/>
    </row>
    <row r="199" ht="21.75" customHeight="1">
      <c r="A199" s="17"/>
      <c r="P199" s="17"/>
      <c r="AC199" s="17"/>
      <c r="AO199" s="17"/>
      <c r="AX199" s="17"/>
    </row>
    <row r="200" ht="21.75" customHeight="1">
      <c r="A200" s="17"/>
      <c r="P200" s="17"/>
      <c r="AC200" s="17"/>
      <c r="AO200" s="17"/>
      <c r="AX200" s="17"/>
    </row>
    <row r="201" ht="21.75" customHeight="1">
      <c r="A201" s="17"/>
      <c r="P201" s="17"/>
      <c r="AC201" s="17"/>
      <c r="AO201" s="17"/>
      <c r="AX201" s="17"/>
    </row>
    <row r="202" ht="21.75" customHeight="1">
      <c r="A202" s="17"/>
      <c r="P202" s="17"/>
      <c r="AC202" s="17"/>
      <c r="AO202" s="17"/>
      <c r="AX202" s="17"/>
    </row>
    <row r="203" ht="21.75" customHeight="1">
      <c r="A203" s="17"/>
      <c r="P203" s="17"/>
      <c r="AC203" s="17"/>
      <c r="AO203" s="17"/>
      <c r="AX203" s="17"/>
    </row>
    <row r="204" ht="21.75" customHeight="1">
      <c r="A204" s="17"/>
      <c r="P204" s="17"/>
      <c r="AC204" s="17"/>
      <c r="AO204" s="17"/>
      <c r="AX204" s="17"/>
    </row>
    <row r="205" ht="21.75" customHeight="1">
      <c r="A205" s="17"/>
      <c r="P205" s="17"/>
      <c r="AC205" s="17"/>
      <c r="AO205" s="17"/>
      <c r="AX205" s="17"/>
    </row>
    <row r="206" ht="21.75" customHeight="1">
      <c r="A206" s="17"/>
      <c r="P206" s="17"/>
      <c r="AC206" s="17"/>
      <c r="AO206" s="17"/>
      <c r="AX206" s="17"/>
    </row>
    <row r="207" ht="21.75" customHeight="1">
      <c r="A207" s="17"/>
      <c r="P207" s="17"/>
      <c r="AC207" s="17"/>
      <c r="AO207" s="17"/>
      <c r="AX207" s="17"/>
    </row>
    <row r="208" ht="21.75" customHeight="1">
      <c r="A208" s="17"/>
      <c r="P208" s="17"/>
      <c r="AC208" s="17"/>
      <c r="AO208" s="17"/>
      <c r="AX208" s="17"/>
    </row>
    <row r="209" ht="21.75" customHeight="1">
      <c r="A209" s="17"/>
      <c r="P209" s="17"/>
      <c r="AC209" s="17"/>
      <c r="AO209" s="17"/>
      <c r="AX209" s="17"/>
    </row>
    <row r="210" ht="21.75" customHeight="1">
      <c r="A210" s="17"/>
      <c r="P210" s="17"/>
      <c r="AC210" s="17"/>
      <c r="AO210" s="17"/>
      <c r="AX210" s="17"/>
    </row>
    <row r="211" ht="21.75" customHeight="1">
      <c r="A211" s="17"/>
      <c r="P211" s="17"/>
      <c r="AC211" s="17"/>
      <c r="AO211" s="17"/>
      <c r="AX211" s="17"/>
    </row>
    <row r="212" ht="21.75" customHeight="1">
      <c r="A212" s="17"/>
      <c r="P212" s="17"/>
      <c r="AC212" s="17"/>
      <c r="AO212" s="17"/>
      <c r="AX212" s="17"/>
    </row>
    <row r="213" ht="21.75" customHeight="1">
      <c r="A213" s="17"/>
      <c r="P213" s="17"/>
      <c r="AC213" s="17"/>
      <c r="AO213" s="17"/>
      <c r="AX213" s="17"/>
    </row>
    <row r="214" ht="21.75" customHeight="1">
      <c r="A214" s="17"/>
      <c r="P214" s="17"/>
      <c r="AC214" s="17"/>
      <c r="AO214" s="17"/>
      <c r="AX214" s="17"/>
    </row>
    <row r="215" ht="21.75" customHeight="1">
      <c r="A215" s="17"/>
      <c r="P215" s="17"/>
      <c r="AC215" s="17"/>
      <c r="AO215" s="17"/>
      <c r="AX215" s="17"/>
    </row>
    <row r="216" ht="21.75" customHeight="1">
      <c r="A216" s="17"/>
      <c r="P216" s="17"/>
      <c r="AC216" s="17"/>
      <c r="AO216" s="17"/>
      <c r="AX216" s="17"/>
    </row>
    <row r="217" ht="21.75" customHeight="1">
      <c r="A217" s="17"/>
      <c r="P217" s="17"/>
      <c r="AC217" s="17"/>
      <c r="AO217" s="17"/>
      <c r="AX217" s="17"/>
    </row>
    <row r="218" ht="21.75" customHeight="1">
      <c r="A218" s="17"/>
      <c r="P218" s="17"/>
      <c r="AC218" s="17"/>
      <c r="AO218" s="17"/>
      <c r="AX218" s="17"/>
    </row>
    <row r="219" ht="21.75" customHeight="1">
      <c r="A219" s="17"/>
      <c r="P219" s="17"/>
      <c r="AC219" s="17"/>
      <c r="AO219" s="17"/>
      <c r="AX219" s="17"/>
    </row>
    <row r="220" ht="21.75" customHeight="1">
      <c r="A220" s="17"/>
      <c r="P220" s="17"/>
      <c r="AC220" s="17"/>
      <c r="AO220" s="17"/>
      <c r="AX220" s="17"/>
    </row>
    <row r="221" ht="21.75" customHeight="1">
      <c r="A221" s="17"/>
      <c r="P221" s="17"/>
      <c r="AC221" s="17"/>
      <c r="AO221" s="17"/>
      <c r="AX221" s="17"/>
    </row>
    <row r="222" ht="21.75" customHeight="1">
      <c r="A222" s="17"/>
      <c r="P222" s="17"/>
      <c r="AC222" s="17"/>
      <c r="AO222" s="17"/>
      <c r="AX222" s="17"/>
    </row>
    <row r="223" ht="21.75" customHeight="1">
      <c r="A223" s="17"/>
      <c r="P223" s="17"/>
      <c r="AC223" s="17"/>
      <c r="AO223" s="17"/>
      <c r="AX223" s="17"/>
    </row>
    <row r="224" ht="21.75" customHeight="1">
      <c r="A224" s="17"/>
      <c r="P224" s="17"/>
      <c r="AC224" s="17"/>
      <c r="AO224" s="17"/>
      <c r="AX224" s="17"/>
    </row>
    <row r="225" ht="21.75" customHeight="1">
      <c r="A225" s="17"/>
      <c r="P225" s="17"/>
      <c r="AC225" s="17"/>
      <c r="AO225" s="17"/>
      <c r="AX225" s="17"/>
    </row>
    <row r="226" ht="21.75" customHeight="1">
      <c r="A226" s="17"/>
      <c r="P226" s="17"/>
      <c r="AC226" s="17"/>
      <c r="AO226" s="17"/>
      <c r="AX226" s="17"/>
    </row>
    <row r="227" ht="21.75" customHeight="1">
      <c r="A227" s="17"/>
      <c r="P227" s="17"/>
      <c r="AC227" s="17"/>
      <c r="AO227" s="17"/>
      <c r="AX227" s="17"/>
    </row>
    <row r="228" ht="21.75" customHeight="1">
      <c r="A228" s="17"/>
      <c r="P228" s="17"/>
      <c r="AC228" s="17"/>
      <c r="AO228" s="17"/>
      <c r="AX228" s="17"/>
    </row>
    <row r="229" ht="21.75" customHeight="1">
      <c r="A229" s="17"/>
      <c r="P229" s="17"/>
      <c r="AC229" s="17"/>
      <c r="AO229" s="17"/>
      <c r="AX229" s="17"/>
    </row>
    <row r="230" ht="21.75" customHeight="1">
      <c r="A230" s="17"/>
      <c r="P230" s="17"/>
      <c r="AC230" s="17"/>
      <c r="AO230" s="17"/>
      <c r="AX230" s="17"/>
    </row>
    <row r="231" ht="21.75" customHeight="1">
      <c r="A231" s="17"/>
      <c r="P231" s="17"/>
      <c r="AC231" s="17"/>
      <c r="AO231" s="17"/>
      <c r="AX231" s="17"/>
    </row>
    <row r="232" ht="21.75" customHeight="1">
      <c r="A232" s="17"/>
      <c r="P232" s="17"/>
      <c r="AC232" s="17"/>
      <c r="AO232" s="17"/>
      <c r="AX232" s="17"/>
    </row>
    <row r="233" ht="21.75" customHeight="1">
      <c r="A233" s="17"/>
      <c r="P233" s="17"/>
      <c r="AC233" s="17"/>
      <c r="AO233" s="17"/>
      <c r="AX233" s="17"/>
    </row>
    <row r="234" ht="21.75" customHeight="1">
      <c r="A234" s="17"/>
      <c r="P234" s="17"/>
      <c r="AC234" s="17"/>
      <c r="AO234" s="17"/>
      <c r="AX234" s="17"/>
    </row>
    <row r="235" ht="21.75" customHeight="1">
      <c r="A235" s="17"/>
      <c r="P235" s="17"/>
      <c r="AC235" s="17"/>
      <c r="AO235" s="17"/>
      <c r="AX235" s="17"/>
    </row>
    <row r="236" ht="21.75" customHeight="1">
      <c r="A236" s="17"/>
      <c r="P236" s="17"/>
      <c r="AC236" s="17"/>
      <c r="AO236" s="17"/>
      <c r="AX236" s="17"/>
    </row>
    <row r="237" ht="21.75" customHeight="1">
      <c r="A237" s="17"/>
      <c r="P237" s="17"/>
      <c r="AC237" s="17"/>
      <c r="AO237" s="17"/>
      <c r="AX237" s="17"/>
    </row>
    <row r="238" ht="21.75" customHeight="1">
      <c r="A238" s="17"/>
      <c r="P238" s="17"/>
      <c r="AC238" s="17"/>
      <c r="AO238" s="17"/>
      <c r="AX238" s="17"/>
    </row>
    <row r="239" ht="21.75" customHeight="1">
      <c r="A239" s="17"/>
      <c r="P239" s="17"/>
      <c r="AC239" s="17"/>
      <c r="AO239" s="17"/>
      <c r="AX239" s="17"/>
    </row>
    <row r="240" ht="21.75" customHeight="1">
      <c r="A240" s="17"/>
      <c r="P240" s="17"/>
      <c r="AC240" s="17"/>
      <c r="AO240" s="17"/>
      <c r="AX240" s="17"/>
    </row>
    <row r="241" ht="21.75" customHeight="1">
      <c r="A241" s="17"/>
      <c r="P241" s="17"/>
      <c r="AC241" s="17"/>
      <c r="AO241" s="17"/>
      <c r="AX241" s="17"/>
    </row>
    <row r="242" ht="21.75" customHeight="1">
      <c r="A242" s="17"/>
      <c r="P242" s="17"/>
      <c r="AC242" s="17"/>
      <c r="AO242" s="17"/>
      <c r="AX242" s="17"/>
    </row>
    <row r="243" ht="21.75" customHeight="1">
      <c r="A243" s="17"/>
      <c r="P243" s="17"/>
      <c r="AC243" s="17"/>
      <c r="AO243" s="17"/>
      <c r="AX243" s="17"/>
    </row>
    <row r="244" ht="21.75" customHeight="1">
      <c r="A244" s="17"/>
      <c r="P244" s="17"/>
      <c r="AC244" s="17"/>
      <c r="AO244" s="17"/>
      <c r="AX244" s="17"/>
    </row>
    <row r="245" ht="21.75" customHeight="1">
      <c r="A245" s="17"/>
      <c r="P245" s="17"/>
      <c r="AC245" s="17"/>
      <c r="AO245" s="17"/>
      <c r="AX245" s="17"/>
    </row>
    <row r="246" ht="21.75" customHeight="1">
      <c r="A246" s="17"/>
      <c r="P246" s="17"/>
      <c r="AC246" s="17"/>
      <c r="AO246" s="17"/>
      <c r="AX246" s="17"/>
    </row>
    <row r="247" ht="21.75" customHeight="1">
      <c r="A247" s="17"/>
      <c r="P247" s="17"/>
      <c r="AC247" s="17"/>
      <c r="AO247" s="17"/>
      <c r="AX247" s="17"/>
    </row>
    <row r="248" ht="21.75" customHeight="1">
      <c r="A248" s="17"/>
      <c r="P248" s="17"/>
      <c r="AC248" s="17"/>
      <c r="AO248" s="17"/>
      <c r="AX248" s="17"/>
    </row>
    <row r="249" ht="21.75" customHeight="1">
      <c r="A249" s="17"/>
      <c r="P249" s="17"/>
      <c r="AC249" s="17"/>
      <c r="AO249" s="17"/>
      <c r="AX249" s="17"/>
    </row>
    <row r="250" ht="21.75" customHeight="1">
      <c r="A250" s="17"/>
      <c r="P250" s="17"/>
      <c r="AC250" s="17"/>
      <c r="AO250" s="17"/>
      <c r="AX250" s="17"/>
    </row>
    <row r="251" ht="21.75" customHeight="1">
      <c r="A251" s="17"/>
      <c r="P251" s="17"/>
      <c r="AC251" s="17"/>
      <c r="AO251" s="17"/>
      <c r="AX251" s="17"/>
    </row>
    <row r="252" ht="21.75" customHeight="1">
      <c r="A252" s="17"/>
      <c r="P252" s="17"/>
      <c r="AC252" s="17"/>
      <c r="AO252" s="17"/>
      <c r="AX252" s="17"/>
    </row>
    <row r="253" ht="21.75" customHeight="1">
      <c r="A253" s="17"/>
      <c r="P253" s="17"/>
      <c r="AC253" s="17"/>
      <c r="AO253" s="17"/>
      <c r="AX253" s="17"/>
    </row>
    <row r="254" ht="21.75" customHeight="1">
      <c r="A254" s="17"/>
      <c r="P254" s="17"/>
      <c r="AC254" s="17"/>
      <c r="AO254" s="17"/>
      <c r="AX254" s="17"/>
    </row>
    <row r="255" ht="21.75" customHeight="1">
      <c r="A255" s="17"/>
      <c r="P255" s="17"/>
      <c r="AC255" s="17"/>
      <c r="AO255" s="17"/>
      <c r="AX255" s="17"/>
    </row>
    <row r="256" ht="21.75" customHeight="1">
      <c r="A256" s="17"/>
      <c r="P256" s="17"/>
      <c r="AC256" s="17"/>
      <c r="AO256" s="17"/>
      <c r="AX256" s="17"/>
    </row>
    <row r="257" ht="21.75" customHeight="1">
      <c r="A257" s="17"/>
      <c r="P257" s="17"/>
      <c r="AC257" s="17"/>
      <c r="AO257" s="17"/>
      <c r="AX257" s="17"/>
    </row>
    <row r="258" ht="21.75" customHeight="1">
      <c r="A258" s="17"/>
      <c r="P258" s="17"/>
      <c r="AC258" s="17"/>
      <c r="AO258" s="17"/>
      <c r="AX258" s="17"/>
    </row>
    <row r="259" ht="21.75" customHeight="1">
      <c r="A259" s="17"/>
      <c r="P259" s="17"/>
      <c r="AC259" s="17"/>
      <c r="AO259" s="17"/>
      <c r="AX259" s="17"/>
    </row>
    <row r="260" ht="21.75" customHeight="1">
      <c r="A260" s="17"/>
      <c r="P260" s="17"/>
      <c r="AC260" s="17"/>
      <c r="AO260" s="17"/>
      <c r="AX260" s="17"/>
    </row>
    <row r="261" ht="21.75" customHeight="1">
      <c r="A261" s="17"/>
      <c r="P261" s="17"/>
      <c r="AC261" s="17"/>
      <c r="AO261" s="17"/>
      <c r="AX261" s="17"/>
    </row>
    <row r="262" ht="21.75" customHeight="1">
      <c r="A262" s="17"/>
      <c r="P262" s="17"/>
      <c r="AC262" s="17"/>
      <c r="AO262" s="17"/>
      <c r="AX262" s="17"/>
    </row>
    <row r="263" ht="21.75" customHeight="1">
      <c r="A263" s="17"/>
      <c r="P263" s="17"/>
      <c r="AC263" s="17"/>
      <c r="AO263" s="17"/>
      <c r="AX263" s="17"/>
    </row>
    <row r="264" ht="21.75" customHeight="1">
      <c r="A264" s="17"/>
      <c r="P264" s="17"/>
      <c r="AC264" s="17"/>
      <c r="AO264" s="17"/>
      <c r="AX264" s="17"/>
    </row>
    <row r="265" ht="21.75" customHeight="1">
      <c r="A265" s="17"/>
      <c r="P265" s="17"/>
      <c r="AC265" s="17"/>
      <c r="AO265" s="17"/>
      <c r="AX265" s="17"/>
    </row>
    <row r="266" ht="21.75" customHeight="1">
      <c r="A266" s="17"/>
      <c r="P266" s="17"/>
      <c r="AC266" s="17"/>
      <c r="AO266" s="17"/>
      <c r="AX266" s="17"/>
    </row>
    <row r="267" ht="21.75" customHeight="1">
      <c r="A267" s="17"/>
      <c r="P267" s="17"/>
      <c r="AC267" s="17"/>
      <c r="AO267" s="17"/>
      <c r="AX267" s="17"/>
    </row>
    <row r="268" ht="21.75" customHeight="1">
      <c r="A268" s="17"/>
      <c r="P268" s="17"/>
      <c r="AC268" s="17"/>
      <c r="AO268" s="17"/>
      <c r="AX268" s="17"/>
    </row>
    <row r="269" ht="21.75" customHeight="1">
      <c r="A269" s="17"/>
      <c r="P269" s="17"/>
      <c r="AC269" s="17"/>
      <c r="AO269" s="17"/>
      <c r="AX269" s="17"/>
    </row>
    <row r="270" ht="21.75" customHeight="1">
      <c r="A270" s="17"/>
      <c r="P270" s="17"/>
      <c r="AC270" s="17"/>
      <c r="AO270" s="17"/>
      <c r="AX270" s="17"/>
    </row>
    <row r="271" ht="21.75" customHeight="1">
      <c r="A271" s="17"/>
      <c r="P271" s="17"/>
      <c r="AC271" s="17"/>
      <c r="AO271" s="17"/>
      <c r="AX271" s="17"/>
    </row>
    <row r="272" ht="21.75" customHeight="1">
      <c r="A272" s="17"/>
      <c r="P272" s="17"/>
      <c r="AC272" s="17"/>
      <c r="AO272" s="17"/>
      <c r="AX272" s="17"/>
    </row>
    <row r="273" ht="21.75" customHeight="1">
      <c r="A273" s="17"/>
      <c r="P273" s="17"/>
      <c r="AC273" s="17"/>
      <c r="AO273" s="17"/>
      <c r="AX273" s="17"/>
    </row>
    <row r="274" ht="21.75" customHeight="1">
      <c r="A274" s="17"/>
      <c r="P274" s="17"/>
      <c r="AC274" s="17"/>
      <c r="AO274" s="17"/>
      <c r="AX274" s="17"/>
    </row>
    <row r="275" ht="21.75" customHeight="1">
      <c r="A275" s="17"/>
      <c r="P275" s="17"/>
      <c r="AC275" s="17"/>
      <c r="AO275" s="17"/>
      <c r="AX275" s="17"/>
    </row>
    <row r="276" ht="21.75" customHeight="1">
      <c r="A276" s="17"/>
      <c r="P276" s="17"/>
      <c r="AC276" s="17"/>
      <c r="AO276" s="17"/>
      <c r="AX276" s="17"/>
    </row>
    <row r="277" ht="21.75" customHeight="1">
      <c r="A277" s="17"/>
      <c r="P277" s="17"/>
      <c r="AC277" s="17"/>
      <c r="AO277" s="17"/>
      <c r="AX277" s="17"/>
    </row>
    <row r="278" ht="21.75" customHeight="1">
      <c r="A278" s="17"/>
      <c r="P278" s="17"/>
      <c r="AC278" s="17"/>
      <c r="AO278" s="17"/>
      <c r="AX278" s="17"/>
    </row>
    <row r="279" ht="21.75" customHeight="1">
      <c r="A279" s="17"/>
      <c r="P279" s="17"/>
      <c r="AC279" s="17"/>
      <c r="AO279" s="17"/>
      <c r="AX279" s="17"/>
    </row>
    <row r="280" ht="21.75" customHeight="1">
      <c r="A280" s="17"/>
      <c r="P280" s="17"/>
      <c r="AC280" s="17"/>
      <c r="AO280" s="17"/>
      <c r="AX280" s="17"/>
    </row>
    <row r="281" ht="21.75" customHeight="1">
      <c r="A281" s="17"/>
      <c r="P281" s="17"/>
      <c r="AC281" s="17"/>
      <c r="AO281" s="17"/>
      <c r="AX281" s="17"/>
    </row>
    <row r="282" ht="21.75" customHeight="1">
      <c r="A282" s="17"/>
      <c r="P282" s="17"/>
      <c r="AC282" s="17"/>
      <c r="AO282" s="17"/>
      <c r="AX282" s="17"/>
    </row>
    <row r="283" ht="21.75" customHeight="1">
      <c r="A283" s="17"/>
      <c r="P283" s="17"/>
      <c r="AC283" s="17"/>
      <c r="AO283" s="17"/>
      <c r="AX283" s="17"/>
    </row>
    <row r="284" ht="21.75" customHeight="1">
      <c r="A284" s="17"/>
      <c r="P284" s="17"/>
      <c r="AC284" s="17"/>
      <c r="AO284" s="17"/>
      <c r="AX284" s="17"/>
    </row>
    <row r="285" ht="21.75" customHeight="1">
      <c r="A285" s="17"/>
      <c r="P285" s="17"/>
      <c r="AC285" s="17"/>
      <c r="AO285" s="17"/>
      <c r="AX285" s="17"/>
    </row>
    <row r="286" ht="21.75" customHeight="1">
      <c r="A286" s="17"/>
      <c r="P286" s="17"/>
      <c r="AC286" s="17"/>
      <c r="AO286" s="17"/>
      <c r="AX286" s="17"/>
    </row>
    <row r="287" ht="21.75" customHeight="1">
      <c r="A287" s="17"/>
      <c r="P287" s="17"/>
      <c r="AC287" s="17"/>
      <c r="AO287" s="17"/>
      <c r="AX287" s="17"/>
    </row>
    <row r="288" ht="21.75" customHeight="1">
      <c r="A288" s="17"/>
      <c r="P288" s="17"/>
      <c r="AC288" s="17"/>
      <c r="AO288" s="17"/>
      <c r="AX288" s="17"/>
    </row>
    <row r="289" ht="21.75" customHeight="1">
      <c r="A289" s="17"/>
      <c r="P289" s="17"/>
      <c r="AC289" s="17"/>
      <c r="AO289" s="17"/>
      <c r="AX289" s="17"/>
    </row>
    <row r="290" ht="21.75" customHeight="1">
      <c r="A290" s="17"/>
      <c r="P290" s="17"/>
      <c r="AC290" s="17"/>
      <c r="AO290" s="17"/>
      <c r="AX290" s="17"/>
    </row>
    <row r="291" ht="21.75" customHeight="1">
      <c r="A291" s="17"/>
      <c r="P291" s="17"/>
      <c r="AC291" s="17"/>
      <c r="AO291" s="17"/>
      <c r="AX291" s="17"/>
    </row>
    <row r="292" ht="21.75" customHeight="1">
      <c r="A292" s="17"/>
      <c r="P292" s="17"/>
      <c r="AC292" s="17"/>
      <c r="AO292" s="17"/>
      <c r="AX292" s="17"/>
    </row>
    <row r="293" ht="21.75" customHeight="1">
      <c r="A293" s="17"/>
      <c r="P293" s="17"/>
      <c r="AC293" s="17"/>
      <c r="AO293" s="17"/>
      <c r="AX293" s="17"/>
    </row>
    <row r="294" ht="21.75" customHeight="1">
      <c r="A294" s="17"/>
      <c r="P294" s="17"/>
      <c r="AC294" s="17"/>
      <c r="AO294" s="17"/>
      <c r="AX294" s="17"/>
    </row>
    <row r="295" ht="21.75" customHeight="1">
      <c r="A295" s="17"/>
      <c r="P295" s="17"/>
      <c r="AC295" s="17"/>
      <c r="AO295" s="17"/>
      <c r="AX295" s="17"/>
    </row>
    <row r="296" ht="21.75" customHeight="1">
      <c r="A296" s="17"/>
      <c r="P296" s="17"/>
      <c r="AC296" s="17"/>
      <c r="AO296" s="17"/>
      <c r="AX296" s="17"/>
    </row>
    <row r="297" ht="21.75" customHeight="1">
      <c r="A297" s="17"/>
      <c r="P297" s="17"/>
      <c r="AC297" s="17"/>
      <c r="AO297" s="17"/>
      <c r="AX297" s="17"/>
    </row>
    <row r="298" ht="21.75" customHeight="1">
      <c r="A298" s="17"/>
      <c r="P298" s="17"/>
      <c r="AC298" s="17"/>
      <c r="AO298" s="17"/>
      <c r="AX298" s="17"/>
    </row>
    <row r="299" ht="21.75" customHeight="1">
      <c r="A299" s="17"/>
      <c r="P299" s="17"/>
      <c r="AC299" s="17"/>
      <c r="AO299" s="17"/>
      <c r="AX299" s="17"/>
    </row>
    <row r="300" ht="21.75" customHeight="1">
      <c r="A300" s="17"/>
      <c r="P300" s="17"/>
      <c r="AC300" s="17"/>
      <c r="AO300" s="17"/>
      <c r="AX300" s="17"/>
    </row>
    <row r="301" ht="21.75" customHeight="1">
      <c r="A301" s="17"/>
      <c r="P301" s="17"/>
      <c r="AC301" s="17"/>
      <c r="AO301" s="17"/>
      <c r="AX301" s="17"/>
    </row>
    <row r="302" ht="21.75" customHeight="1">
      <c r="A302" s="17"/>
      <c r="P302" s="17"/>
      <c r="AC302" s="17"/>
      <c r="AO302" s="17"/>
      <c r="AX302" s="17"/>
    </row>
    <row r="303" ht="21.75" customHeight="1">
      <c r="A303" s="17"/>
      <c r="P303" s="17"/>
      <c r="AC303" s="17"/>
      <c r="AO303" s="17"/>
      <c r="AX303" s="17"/>
    </row>
    <row r="304" ht="21.75" customHeight="1">
      <c r="A304" s="17"/>
      <c r="P304" s="17"/>
      <c r="AC304" s="17"/>
      <c r="AO304" s="17"/>
      <c r="AX304" s="17"/>
    </row>
    <row r="305" ht="21.75" customHeight="1">
      <c r="A305" s="17"/>
      <c r="P305" s="17"/>
      <c r="AC305" s="17"/>
      <c r="AO305" s="17"/>
      <c r="AX305" s="17"/>
    </row>
    <row r="306" ht="21.75" customHeight="1">
      <c r="A306" s="17"/>
      <c r="P306" s="17"/>
      <c r="AC306" s="17"/>
      <c r="AO306" s="17"/>
      <c r="AX306" s="17"/>
    </row>
    <row r="307" ht="21.75" customHeight="1">
      <c r="A307" s="17"/>
      <c r="P307" s="17"/>
      <c r="AC307" s="17"/>
      <c r="AO307" s="17"/>
      <c r="AX307" s="17"/>
    </row>
    <row r="308" ht="21.75" customHeight="1">
      <c r="A308" s="17"/>
      <c r="P308" s="17"/>
      <c r="AC308" s="17"/>
      <c r="AO308" s="17"/>
      <c r="AX308" s="17"/>
    </row>
    <row r="309" ht="21.75" customHeight="1">
      <c r="A309" s="17"/>
      <c r="P309" s="17"/>
      <c r="AC309" s="17"/>
      <c r="AO309" s="17"/>
      <c r="AX309" s="17"/>
    </row>
    <row r="310" ht="21.75" customHeight="1">
      <c r="A310" s="17"/>
      <c r="P310" s="17"/>
      <c r="AC310" s="17"/>
      <c r="AO310" s="17"/>
      <c r="AX310" s="17"/>
    </row>
    <row r="311" ht="21.75" customHeight="1">
      <c r="A311" s="17"/>
      <c r="P311" s="17"/>
      <c r="AC311" s="17"/>
      <c r="AO311" s="17"/>
      <c r="AX311" s="17"/>
    </row>
    <row r="312" ht="21.75" customHeight="1">
      <c r="A312" s="17"/>
      <c r="P312" s="17"/>
      <c r="AC312" s="17"/>
      <c r="AO312" s="17"/>
      <c r="AX312" s="17"/>
    </row>
    <row r="313" ht="21.75" customHeight="1">
      <c r="A313" s="17"/>
      <c r="P313" s="17"/>
      <c r="AC313" s="17"/>
      <c r="AO313" s="17"/>
      <c r="AX313" s="17"/>
    </row>
    <row r="314" ht="21.75" customHeight="1">
      <c r="A314" s="17"/>
      <c r="P314" s="17"/>
      <c r="AC314" s="17"/>
      <c r="AO314" s="17"/>
      <c r="AX314" s="17"/>
    </row>
    <row r="315" ht="21.75" customHeight="1">
      <c r="A315" s="17"/>
      <c r="P315" s="17"/>
      <c r="AC315" s="17"/>
      <c r="AO315" s="17"/>
      <c r="AX315" s="17"/>
    </row>
    <row r="316" ht="21.75" customHeight="1">
      <c r="A316" s="17"/>
      <c r="P316" s="17"/>
      <c r="AC316" s="17"/>
      <c r="AO316" s="17"/>
      <c r="AX316" s="17"/>
    </row>
    <row r="317" ht="21.75" customHeight="1">
      <c r="A317" s="17"/>
      <c r="P317" s="17"/>
      <c r="AC317" s="17"/>
      <c r="AO317" s="17"/>
      <c r="AX317" s="17"/>
    </row>
    <row r="318" ht="21.75" customHeight="1">
      <c r="A318" s="17"/>
      <c r="P318" s="17"/>
      <c r="AC318" s="17"/>
      <c r="AO318" s="17"/>
      <c r="AX318" s="17"/>
    </row>
    <row r="319" ht="21.75" customHeight="1">
      <c r="A319" s="17"/>
      <c r="P319" s="17"/>
      <c r="AC319" s="17"/>
      <c r="AO319" s="17"/>
      <c r="AX319" s="17"/>
    </row>
    <row r="320" ht="21.75" customHeight="1">
      <c r="A320" s="17"/>
      <c r="P320" s="17"/>
      <c r="AC320" s="17"/>
      <c r="AO320" s="17"/>
      <c r="AX320" s="17"/>
    </row>
    <row r="321" ht="21.75" customHeight="1">
      <c r="A321" s="17"/>
      <c r="P321" s="17"/>
      <c r="AC321" s="17"/>
      <c r="AO321" s="17"/>
      <c r="AX321" s="17"/>
    </row>
    <row r="322" ht="21.75" customHeight="1">
      <c r="A322" s="17"/>
      <c r="P322" s="17"/>
      <c r="AC322" s="17"/>
      <c r="AO322" s="17"/>
      <c r="AX322" s="17"/>
    </row>
    <row r="323" ht="21.75" customHeight="1">
      <c r="A323" s="17"/>
      <c r="P323" s="17"/>
      <c r="AC323" s="17"/>
      <c r="AO323" s="17"/>
      <c r="AX323" s="17"/>
    </row>
    <row r="324" ht="21.75" customHeight="1">
      <c r="A324" s="17"/>
      <c r="P324" s="17"/>
      <c r="AC324" s="17"/>
      <c r="AO324" s="17"/>
      <c r="AX324" s="17"/>
    </row>
    <row r="325" ht="21.75" customHeight="1">
      <c r="A325" s="17"/>
      <c r="P325" s="17"/>
      <c r="AC325" s="17"/>
      <c r="AO325" s="17"/>
      <c r="AX325" s="17"/>
    </row>
    <row r="326" ht="21.75" customHeight="1">
      <c r="A326" s="17"/>
      <c r="P326" s="17"/>
      <c r="AC326" s="17"/>
      <c r="AO326" s="17"/>
      <c r="AX326" s="17"/>
    </row>
    <row r="327" ht="21.75" customHeight="1">
      <c r="A327" s="17"/>
      <c r="P327" s="17"/>
      <c r="AC327" s="17"/>
      <c r="AO327" s="17"/>
      <c r="AX327" s="17"/>
    </row>
    <row r="328" ht="21.75" customHeight="1">
      <c r="A328" s="17"/>
      <c r="P328" s="17"/>
      <c r="AC328" s="17"/>
      <c r="AO328" s="17"/>
      <c r="AX328" s="17"/>
    </row>
    <row r="329" ht="21.75" customHeight="1">
      <c r="A329" s="17"/>
      <c r="P329" s="17"/>
      <c r="AC329" s="17"/>
      <c r="AO329" s="17"/>
      <c r="AX329" s="17"/>
    </row>
    <row r="330" ht="21.75" customHeight="1">
      <c r="A330" s="17"/>
      <c r="P330" s="17"/>
      <c r="AC330" s="17"/>
      <c r="AO330" s="17"/>
      <c r="AX330" s="17"/>
    </row>
    <row r="331" ht="21.75" customHeight="1">
      <c r="A331" s="17"/>
      <c r="P331" s="17"/>
      <c r="AC331" s="17"/>
      <c r="AO331" s="17"/>
      <c r="AX331" s="17"/>
    </row>
    <row r="332" ht="21.75" customHeight="1">
      <c r="A332" s="17"/>
      <c r="P332" s="17"/>
      <c r="AC332" s="17"/>
      <c r="AO332" s="17"/>
      <c r="AX332" s="17"/>
    </row>
    <row r="333" ht="21.75" customHeight="1">
      <c r="A333" s="17"/>
      <c r="P333" s="17"/>
      <c r="AC333" s="17"/>
      <c r="AO333" s="17"/>
      <c r="AX333" s="17"/>
    </row>
    <row r="334" ht="21.75" customHeight="1">
      <c r="A334" s="17"/>
      <c r="P334" s="17"/>
      <c r="AC334" s="17"/>
      <c r="AO334" s="17"/>
      <c r="AX334" s="17"/>
    </row>
    <row r="335" ht="21.75" customHeight="1">
      <c r="A335" s="17"/>
      <c r="P335" s="17"/>
      <c r="AC335" s="17"/>
      <c r="AO335" s="17"/>
      <c r="AX335" s="17"/>
    </row>
    <row r="336" ht="21.75" customHeight="1">
      <c r="A336" s="17"/>
      <c r="P336" s="17"/>
      <c r="AC336" s="17"/>
      <c r="AO336" s="17"/>
      <c r="AX336" s="17"/>
    </row>
    <row r="337" ht="21.75" customHeight="1">
      <c r="A337" s="17"/>
      <c r="P337" s="17"/>
      <c r="AC337" s="17"/>
      <c r="AO337" s="17"/>
      <c r="AX337" s="17"/>
    </row>
    <row r="338" ht="21.75" customHeight="1">
      <c r="A338" s="17"/>
      <c r="P338" s="17"/>
      <c r="AC338" s="17"/>
      <c r="AO338" s="17"/>
      <c r="AX338" s="17"/>
    </row>
    <row r="339" ht="21.75" customHeight="1">
      <c r="A339" s="17"/>
      <c r="P339" s="17"/>
      <c r="AC339" s="17"/>
      <c r="AO339" s="17"/>
      <c r="AX339" s="17"/>
    </row>
    <row r="340" ht="21.75" customHeight="1">
      <c r="A340" s="17"/>
      <c r="P340" s="17"/>
      <c r="AC340" s="17"/>
      <c r="AO340" s="17"/>
      <c r="AX340" s="17"/>
    </row>
    <row r="341" ht="21.75" customHeight="1">
      <c r="A341" s="17"/>
      <c r="P341" s="17"/>
      <c r="AC341" s="17"/>
      <c r="AO341" s="17"/>
      <c r="AX341" s="17"/>
    </row>
    <row r="342" ht="21.75" customHeight="1">
      <c r="A342" s="17"/>
      <c r="P342" s="17"/>
      <c r="AC342" s="17"/>
      <c r="AO342" s="17"/>
      <c r="AX342" s="17"/>
    </row>
    <row r="343" ht="21.75" customHeight="1">
      <c r="A343" s="17"/>
      <c r="P343" s="17"/>
      <c r="AC343" s="17"/>
      <c r="AO343" s="17"/>
      <c r="AX343" s="17"/>
    </row>
    <row r="344" ht="21.75" customHeight="1">
      <c r="A344" s="17"/>
      <c r="P344" s="17"/>
      <c r="AC344" s="17"/>
      <c r="AO344" s="17"/>
      <c r="AX344" s="17"/>
    </row>
    <row r="345" ht="21.75" customHeight="1">
      <c r="A345" s="17"/>
      <c r="P345" s="17"/>
      <c r="AC345" s="17"/>
      <c r="AO345" s="17"/>
      <c r="AX345" s="17"/>
    </row>
    <row r="346" ht="21.75" customHeight="1">
      <c r="A346" s="17"/>
      <c r="P346" s="17"/>
      <c r="AC346" s="17"/>
      <c r="AO346" s="17"/>
      <c r="AX346" s="17"/>
    </row>
    <row r="347" ht="21.75" customHeight="1">
      <c r="A347" s="17"/>
      <c r="P347" s="17"/>
      <c r="AC347" s="17"/>
      <c r="AO347" s="17"/>
      <c r="AX347" s="17"/>
    </row>
    <row r="348" ht="21.75" customHeight="1">
      <c r="A348" s="17"/>
      <c r="P348" s="17"/>
      <c r="AC348" s="17"/>
      <c r="AO348" s="17"/>
      <c r="AX348" s="17"/>
    </row>
    <row r="349" ht="21.75" customHeight="1">
      <c r="A349" s="17"/>
      <c r="P349" s="17"/>
      <c r="AC349" s="17"/>
      <c r="AO349" s="17"/>
      <c r="AX349" s="17"/>
    </row>
    <row r="350" ht="21.75" customHeight="1">
      <c r="A350" s="17"/>
      <c r="P350" s="17"/>
      <c r="AC350" s="17"/>
      <c r="AO350" s="17"/>
      <c r="AX350" s="17"/>
    </row>
    <row r="351" ht="21.75" customHeight="1">
      <c r="A351" s="17"/>
      <c r="P351" s="17"/>
      <c r="AC351" s="17"/>
      <c r="AO351" s="17"/>
      <c r="AX351" s="17"/>
    </row>
    <row r="352" ht="21.75" customHeight="1">
      <c r="A352" s="17"/>
      <c r="P352" s="17"/>
      <c r="AC352" s="17"/>
      <c r="AO352" s="17"/>
      <c r="AX352" s="17"/>
    </row>
    <row r="353" ht="21.75" customHeight="1">
      <c r="A353" s="17"/>
      <c r="P353" s="17"/>
      <c r="AC353" s="17"/>
      <c r="AO353" s="17"/>
      <c r="AX353" s="17"/>
    </row>
    <row r="354" ht="21.75" customHeight="1">
      <c r="A354" s="17"/>
      <c r="P354" s="17"/>
      <c r="AC354" s="17"/>
      <c r="AO354" s="17"/>
      <c r="AX354" s="17"/>
    </row>
    <row r="355" ht="21.75" customHeight="1">
      <c r="A355" s="17"/>
      <c r="P355" s="17"/>
      <c r="AC355" s="17"/>
      <c r="AO355" s="17"/>
      <c r="AX355" s="17"/>
    </row>
    <row r="356" ht="21.75" customHeight="1">
      <c r="A356" s="17"/>
      <c r="P356" s="17"/>
      <c r="AC356" s="17"/>
      <c r="AO356" s="17"/>
      <c r="AX356" s="17"/>
    </row>
    <row r="357" ht="21.75" customHeight="1">
      <c r="A357" s="17"/>
      <c r="P357" s="17"/>
      <c r="AC357" s="17"/>
      <c r="AO357" s="17"/>
      <c r="AX357" s="17"/>
    </row>
    <row r="358" ht="21.75" customHeight="1">
      <c r="A358" s="17"/>
      <c r="P358" s="17"/>
      <c r="AC358" s="17"/>
      <c r="AO358" s="17"/>
      <c r="AX358" s="17"/>
    </row>
    <row r="359" ht="21.75" customHeight="1">
      <c r="A359" s="17"/>
      <c r="P359" s="17"/>
      <c r="AC359" s="17"/>
      <c r="AO359" s="17"/>
      <c r="AX359" s="17"/>
    </row>
    <row r="360" ht="21.75" customHeight="1">
      <c r="A360" s="17"/>
      <c r="P360" s="17"/>
      <c r="AC360" s="17"/>
      <c r="AO360" s="17"/>
      <c r="AX360" s="17"/>
    </row>
    <row r="361" ht="21.75" customHeight="1">
      <c r="A361" s="17"/>
      <c r="P361" s="17"/>
      <c r="AC361" s="17"/>
      <c r="AO361" s="17"/>
      <c r="AX361" s="17"/>
    </row>
    <row r="362" ht="21.75" customHeight="1">
      <c r="A362" s="17"/>
      <c r="P362" s="17"/>
      <c r="AC362" s="17"/>
      <c r="AO362" s="17"/>
      <c r="AX362" s="17"/>
    </row>
    <row r="363" ht="21.75" customHeight="1">
      <c r="A363" s="17"/>
      <c r="P363" s="17"/>
      <c r="AC363" s="17"/>
      <c r="AO363" s="17"/>
      <c r="AX363" s="17"/>
    </row>
    <row r="364" ht="21.75" customHeight="1">
      <c r="A364" s="17"/>
      <c r="P364" s="17"/>
      <c r="AC364" s="17"/>
      <c r="AO364" s="17"/>
      <c r="AX364" s="17"/>
    </row>
    <row r="365" ht="21.75" customHeight="1">
      <c r="A365" s="17"/>
      <c r="P365" s="17"/>
      <c r="AC365" s="17"/>
      <c r="AO365" s="17"/>
      <c r="AX365" s="17"/>
    </row>
    <row r="366" ht="21.75" customHeight="1">
      <c r="A366" s="17"/>
      <c r="P366" s="17"/>
      <c r="AC366" s="17"/>
      <c r="AO366" s="17"/>
      <c r="AX366" s="17"/>
    </row>
    <row r="367" ht="21.75" customHeight="1">
      <c r="A367" s="17"/>
      <c r="P367" s="17"/>
      <c r="AC367" s="17"/>
      <c r="AO367" s="17"/>
      <c r="AX367" s="17"/>
    </row>
    <row r="368" ht="21.75" customHeight="1">
      <c r="A368" s="17"/>
      <c r="P368" s="17"/>
      <c r="AC368" s="17"/>
      <c r="AO368" s="17"/>
      <c r="AX368" s="17"/>
    </row>
    <row r="369" ht="21.75" customHeight="1">
      <c r="A369" s="17"/>
      <c r="P369" s="17"/>
      <c r="AC369" s="17"/>
      <c r="AO369" s="17"/>
      <c r="AX369" s="17"/>
    </row>
    <row r="370" ht="21.75" customHeight="1">
      <c r="A370" s="17"/>
      <c r="P370" s="17"/>
      <c r="AC370" s="17"/>
      <c r="AO370" s="17"/>
      <c r="AX370" s="17"/>
    </row>
    <row r="371" ht="21.75" customHeight="1">
      <c r="A371" s="17"/>
      <c r="P371" s="17"/>
      <c r="AC371" s="17"/>
      <c r="AO371" s="17"/>
      <c r="AX371" s="17"/>
    </row>
    <row r="372" ht="21.75" customHeight="1">
      <c r="A372" s="17"/>
      <c r="P372" s="17"/>
      <c r="AC372" s="17"/>
      <c r="AO372" s="17"/>
      <c r="AX372" s="17"/>
    </row>
    <row r="373" ht="21.75" customHeight="1">
      <c r="A373" s="17"/>
      <c r="P373" s="17"/>
      <c r="AC373" s="17"/>
      <c r="AO373" s="17"/>
      <c r="AX373" s="17"/>
    </row>
    <row r="374" ht="21.75" customHeight="1">
      <c r="A374" s="17"/>
      <c r="P374" s="17"/>
      <c r="AC374" s="17"/>
      <c r="AO374" s="17"/>
      <c r="AX374" s="17"/>
    </row>
    <row r="375" ht="21.75" customHeight="1">
      <c r="A375" s="17"/>
      <c r="P375" s="17"/>
      <c r="AC375" s="17"/>
      <c r="AO375" s="17"/>
      <c r="AX375" s="17"/>
    </row>
    <row r="376" ht="21.75" customHeight="1">
      <c r="A376" s="17"/>
      <c r="P376" s="17"/>
      <c r="AC376" s="17"/>
      <c r="AO376" s="17"/>
      <c r="AX376" s="17"/>
    </row>
    <row r="377" ht="21.75" customHeight="1">
      <c r="A377" s="17"/>
      <c r="P377" s="17"/>
      <c r="AC377" s="17"/>
      <c r="AO377" s="17"/>
      <c r="AX377" s="17"/>
    </row>
    <row r="378" ht="21.75" customHeight="1">
      <c r="A378" s="17"/>
      <c r="P378" s="17"/>
      <c r="AC378" s="17"/>
      <c r="AO378" s="17"/>
      <c r="AX378" s="17"/>
    </row>
    <row r="379" ht="21.75" customHeight="1">
      <c r="A379" s="17"/>
      <c r="P379" s="17"/>
      <c r="AC379" s="17"/>
      <c r="AO379" s="17"/>
      <c r="AX379" s="17"/>
    </row>
    <row r="380" ht="21.75" customHeight="1">
      <c r="A380" s="17"/>
      <c r="P380" s="17"/>
      <c r="AC380" s="17"/>
      <c r="AO380" s="17"/>
      <c r="AX380" s="17"/>
    </row>
    <row r="381" ht="21.75" customHeight="1">
      <c r="A381" s="17"/>
      <c r="P381" s="17"/>
      <c r="AC381" s="17"/>
      <c r="AO381" s="17"/>
      <c r="AX381" s="17"/>
    </row>
    <row r="382" ht="21.75" customHeight="1">
      <c r="A382" s="17"/>
      <c r="P382" s="17"/>
      <c r="AC382" s="17"/>
      <c r="AO382" s="17"/>
      <c r="AX382" s="17"/>
    </row>
    <row r="383" ht="21.75" customHeight="1">
      <c r="A383" s="17"/>
      <c r="P383" s="17"/>
      <c r="AC383" s="17"/>
      <c r="AO383" s="17"/>
      <c r="AX383" s="17"/>
    </row>
    <row r="384" ht="21.75" customHeight="1">
      <c r="A384" s="17"/>
      <c r="P384" s="17"/>
      <c r="AC384" s="17"/>
      <c r="AO384" s="17"/>
      <c r="AX384" s="17"/>
    </row>
    <row r="385" ht="21.75" customHeight="1">
      <c r="A385" s="17"/>
      <c r="P385" s="17"/>
      <c r="AC385" s="17"/>
      <c r="AO385" s="17"/>
      <c r="AX385" s="17"/>
    </row>
    <row r="386" ht="21.75" customHeight="1">
      <c r="A386" s="17"/>
      <c r="P386" s="17"/>
      <c r="AC386" s="17"/>
      <c r="AO386" s="17"/>
      <c r="AX386" s="17"/>
    </row>
    <row r="387" ht="21.75" customHeight="1">
      <c r="A387" s="17"/>
      <c r="P387" s="17"/>
      <c r="AC387" s="17"/>
      <c r="AO387" s="17"/>
      <c r="AX387" s="17"/>
    </row>
    <row r="388" ht="21.75" customHeight="1">
      <c r="A388" s="17"/>
      <c r="P388" s="17"/>
      <c r="AC388" s="17"/>
      <c r="AO388" s="17"/>
      <c r="AX388" s="17"/>
    </row>
    <row r="389" ht="21.75" customHeight="1">
      <c r="A389" s="17"/>
      <c r="P389" s="17"/>
      <c r="AC389" s="17"/>
      <c r="AO389" s="17"/>
      <c r="AX389" s="17"/>
    </row>
    <row r="390" ht="21.75" customHeight="1">
      <c r="A390" s="17"/>
      <c r="P390" s="17"/>
      <c r="AC390" s="17"/>
      <c r="AO390" s="17"/>
      <c r="AX390" s="17"/>
    </row>
    <row r="391" ht="21.75" customHeight="1">
      <c r="A391" s="17"/>
      <c r="P391" s="17"/>
      <c r="AC391" s="17"/>
      <c r="AO391" s="17"/>
      <c r="AX391" s="17"/>
    </row>
    <row r="392" ht="21.75" customHeight="1">
      <c r="A392" s="17"/>
      <c r="P392" s="17"/>
      <c r="AC392" s="17"/>
      <c r="AO392" s="17"/>
      <c r="AX392" s="17"/>
    </row>
    <row r="393" ht="21.75" customHeight="1">
      <c r="A393" s="17"/>
      <c r="P393" s="17"/>
      <c r="AC393" s="17"/>
      <c r="AO393" s="17"/>
      <c r="AX393" s="17"/>
    </row>
    <row r="394" ht="21.75" customHeight="1">
      <c r="A394" s="17"/>
      <c r="P394" s="17"/>
      <c r="AC394" s="17"/>
      <c r="AO394" s="17"/>
      <c r="AX394" s="17"/>
    </row>
    <row r="395" ht="21.75" customHeight="1">
      <c r="A395" s="17"/>
      <c r="P395" s="17"/>
      <c r="AC395" s="17"/>
      <c r="AO395" s="17"/>
      <c r="AX395" s="17"/>
    </row>
    <row r="396" ht="21.75" customHeight="1">
      <c r="A396" s="17"/>
      <c r="P396" s="17"/>
      <c r="AC396" s="17"/>
      <c r="AO396" s="17"/>
      <c r="AX396" s="17"/>
    </row>
    <row r="397" ht="21.75" customHeight="1">
      <c r="A397" s="17"/>
      <c r="P397" s="17"/>
      <c r="AC397" s="17"/>
      <c r="AO397" s="17"/>
      <c r="AX397" s="17"/>
    </row>
    <row r="398" ht="21.75" customHeight="1">
      <c r="A398" s="17"/>
      <c r="P398" s="17"/>
      <c r="AC398" s="17"/>
      <c r="AO398" s="17"/>
      <c r="AX398" s="17"/>
    </row>
    <row r="399" ht="21.75" customHeight="1">
      <c r="A399" s="17"/>
      <c r="P399" s="17"/>
      <c r="AC399" s="17"/>
      <c r="AO399" s="17"/>
      <c r="AX399" s="17"/>
    </row>
    <row r="400" ht="21.75" customHeight="1">
      <c r="A400" s="17"/>
      <c r="P400" s="17"/>
      <c r="AC400" s="17"/>
      <c r="AO400" s="17"/>
      <c r="AX400" s="17"/>
    </row>
    <row r="401" ht="21.75" customHeight="1">
      <c r="A401" s="17"/>
      <c r="P401" s="17"/>
      <c r="AC401" s="17"/>
      <c r="AO401" s="17"/>
      <c r="AX401" s="17"/>
    </row>
    <row r="402" ht="21.75" customHeight="1">
      <c r="A402" s="17"/>
      <c r="P402" s="17"/>
      <c r="AC402" s="17"/>
      <c r="AO402" s="17"/>
      <c r="AX402" s="17"/>
    </row>
    <row r="403" ht="21.75" customHeight="1">
      <c r="A403" s="17"/>
      <c r="P403" s="17"/>
      <c r="AC403" s="17"/>
      <c r="AO403" s="17"/>
      <c r="AX403" s="17"/>
    </row>
    <row r="404" ht="21.75" customHeight="1">
      <c r="A404" s="17"/>
      <c r="P404" s="17"/>
      <c r="AC404" s="17"/>
      <c r="AO404" s="17"/>
      <c r="AX404" s="17"/>
    </row>
    <row r="405" ht="21.75" customHeight="1">
      <c r="A405" s="17"/>
      <c r="P405" s="17"/>
      <c r="AC405" s="17"/>
      <c r="AO405" s="17"/>
      <c r="AX405" s="17"/>
    </row>
    <row r="406" ht="21.75" customHeight="1">
      <c r="A406" s="17"/>
      <c r="P406" s="17"/>
      <c r="AC406" s="17"/>
      <c r="AO406" s="17"/>
      <c r="AX406" s="17"/>
    </row>
    <row r="407" ht="21.75" customHeight="1">
      <c r="A407" s="17"/>
      <c r="P407" s="17"/>
      <c r="AC407" s="17"/>
      <c r="AO407" s="17"/>
      <c r="AX407" s="17"/>
    </row>
    <row r="408" ht="21.75" customHeight="1">
      <c r="A408" s="17"/>
      <c r="P408" s="17"/>
      <c r="AC408" s="17"/>
      <c r="AO408" s="17"/>
      <c r="AX408" s="17"/>
    </row>
    <row r="409" ht="21.75" customHeight="1">
      <c r="A409" s="17"/>
      <c r="P409" s="17"/>
      <c r="AC409" s="17"/>
      <c r="AO409" s="17"/>
      <c r="AX409" s="17"/>
    </row>
    <row r="410" ht="21.75" customHeight="1">
      <c r="A410" s="17"/>
      <c r="P410" s="17"/>
      <c r="AC410" s="17"/>
      <c r="AO410" s="17"/>
      <c r="AX410" s="17"/>
    </row>
    <row r="411" ht="21.75" customHeight="1">
      <c r="A411" s="17"/>
      <c r="P411" s="17"/>
      <c r="AC411" s="17"/>
      <c r="AO411" s="17"/>
      <c r="AX411" s="17"/>
    </row>
    <row r="412" ht="21.75" customHeight="1">
      <c r="A412" s="17"/>
      <c r="P412" s="17"/>
      <c r="AC412" s="17"/>
      <c r="AO412" s="17"/>
      <c r="AX412" s="17"/>
    </row>
    <row r="413" ht="21.75" customHeight="1">
      <c r="A413" s="17"/>
      <c r="P413" s="17"/>
      <c r="AC413" s="17"/>
      <c r="AO413" s="17"/>
      <c r="AX413" s="17"/>
    </row>
    <row r="414" ht="21.75" customHeight="1">
      <c r="A414" s="17"/>
      <c r="P414" s="17"/>
      <c r="AC414" s="17"/>
      <c r="AO414" s="17"/>
      <c r="AX414" s="17"/>
    </row>
    <row r="415" ht="21.75" customHeight="1">
      <c r="A415" s="17"/>
      <c r="P415" s="17"/>
      <c r="AC415" s="17"/>
      <c r="AO415" s="17"/>
      <c r="AX415" s="17"/>
    </row>
    <row r="416" ht="21.75" customHeight="1">
      <c r="A416" s="17"/>
      <c r="P416" s="17"/>
      <c r="AC416" s="17"/>
      <c r="AO416" s="17"/>
      <c r="AX416" s="17"/>
    </row>
    <row r="417" ht="21.75" customHeight="1">
      <c r="A417" s="17"/>
      <c r="P417" s="17"/>
      <c r="AC417" s="17"/>
      <c r="AO417" s="17"/>
      <c r="AX417" s="17"/>
    </row>
    <row r="418" ht="21.75" customHeight="1">
      <c r="A418" s="17"/>
      <c r="P418" s="17"/>
      <c r="AC418" s="17"/>
      <c r="AO418" s="17"/>
      <c r="AX418" s="17"/>
    </row>
    <row r="419" ht="21.75" customHeight="1">
      <c r="A419" s="17"/>
      <c r="P419" s="17"/>
      <c r="AC419" s="17"/>
      <c r="AO419" s="17"/>
      <c r="AX419" s="17"/>
    </row>
    <row r="420" ht="21.75" customHeight="1">
      <c r="A420" s="17"/>
      <c r="P420" s="17"/>
      <c r="AC420" s="17"/>
      <c r="AO420" s="17"/>
      <c r="AX420" s="17"/>
    </row>
    <row r="421" ht="21.75" customHeight="1">
      <c r="A421" s="17"/>
      <c r="P421" s="17"/>
      <c r="AC421" s="17"/>
      <c r="AO421" s="17"/>
      <c r="AX421" s="17"/>
    </row>
    <row r="422" ht="21.75" customHeight="1">
      <c r="A422" s="17"/>
      <c r="P422" s="17"/>
      <c r="AC422" s="17"/>
      <c r="AO422" s="17"/>
      <c r="AX422" s="17"/>
    </row>
    <row r="423" ht="21.75" customHeight="1">
      <c r="A423" s="17"/>
      <c r="P423" s="17"/>
      <c r="AC423" s="17"/>
      <c r="AO423" s="17"/>
      <c r="AX423" s="17"/>
    </row>
    <row r="424" ht="21.75" customHeight="1">
      <c r="A424" s="17"/>
      <c r="P424" s="17"/>
      <c r="AC424" s="17"/>
      <c r="AO424" s="17"/>
      <c r="AX424" s="17"/>
    </row>
    <row r="425" ht="21.75" customHeight="1">
      <c r="A425" s="17"/>
      <c r="P425" s="17"/>
      <c r="AC425" s="17"/>
      <c r="AO425" s="17"/>
      <c r="AX425" s="17"/>
    </row>
    <row r="426" ht="21.75" customHeight="1">
      <c r="A426" s="17"/>
      <c r="P426" s="17"/>
      <c r="AC426" s="17"/>
      <c r="AO426" s="17"/>
      <c r="AX426" s="17"/>
    </row>
    <row r="427" ht="21.75" customHeight="1">
      <c r="A427" s="17"/>
      <c r="P427" s="17"/>
      <c r="AC427" s="17"/>
      <c r="AO427" s="17"/>
      <c r="AX427" s="17"/>
    </row>
    <row r="428" ht="21.75" customHeight="1">
      <c r="A428" s="17"/>
      <c r="P428" s="17"/>
      <c r="AC428" s="17"/>
      <c r="AO428" s="17"/>
      <c r="AX428" s="17"/>
    </row>
    <row r="429" ht="21.75" customHeight="1">
      <c r="A429" s="17"/>
      <c r="P429" s="17"/>
      <c r="AC429" s="17"/>
      <c r="AO429" s="17"/>
      <c r="AX429" s="17"/>
    </row>
    <row r="430" ht="21.75" customHeight="1">
      <c r="A430" s="17"/>
      <c r="P430" s="17"/>
      <c r="AC430" s="17"/>
      <c r="AO430" s="17"/>
      <c r="AX430" s="17"/>
    </row>
    <row r="431" ht="21.75" customHeight="1">
      <c r="A431" s="17"/>
      <c r="P431" s="17"/>
      <c r="AC431" s="17"/>
      <c r="AO431" s="17"/>
      <c r="AX431" s="17"/>
    </row>
    <row r="432" ht="21.75" customHeight="1">
      <c r="A432" s="17"/>
      <c r="P432" s="17"/>
      <c r="AC432" s="17"/>
      <c r="AO432" s="17"/>
      <c r="AX432" s="17"/>
    </row>
    <row r="433" ht="21.75" customHeight="1">
      <c r="A433" s="17"/>
      <c r="P433" s="17"/>
      <c r="AC433" s="17"/>
      <c r="AO433" s="17"/>
      <c r="AX433" s="17"/>
    </row>
    <row r="434" ht="21.75" customHeight="1">
      <c r="A434" s="17"/>
      <c r="P434" s="17"/>
      <c r="AC434" s="17"/>
      <c r="AO434" s="17"/>
      <c r="AX434" s="17"/>
    </row>
    <row r="435" ht="21.75" customHeight="1">
      <c r="A435" s="17"/>
      <c r="P435" s="17"/>
      <c r="AC435" s="17"/>
      <c r="AO435" s="17"/>
      <c r="AX435" s="17"/>
    </row>
    <row r="436" ht="21.75" customHeight="1">
      <c r="A436" s="17"/>
      <c r="P436" s="17"/>
      <c r="AC436" s="17"/>
      <c r="AO436" s="17"/>
      <c r="AX436" s="17"/>
    </row>
    <row r="437" ht="21.75" customHeight="1">
      <c r="A437" s="17"/>
      <c r="P437" s="17"/>
      <c r="AC437" s="17"/>
      <c r="AO437" s="17"/>
      <c r="AX437" s="17"/>
    </row>
    <row r="438" ht="21.75" customHeight="1">
      <c r="A438" s="17"/>
      <c r="P438" s="17"/>
      <c r="AC438" s="17"/>
      <c r="AO438" s="17"/>
      <c r="AX438" s="17"/>
    </row>
    <row r="439" ht="21.75" customHeight="1">
      <c r="A439" s="17"/>
      <c r="P439" s="17"/>
      <c r="AC439" s="17"/>
      <c r="AO439" s="17"/>
      <c r="AX439" s="17"/>
    </row>
    <row r="440" ht="21.75" customHeight="1">
      <c r="A440" s="17"/>
      <c r="P440" s="17"/>
      <c r="AC440" s="17"/>
      <c r="AO440" s="17"/>
      <c r="AX440" s="17"/>
    </row>
    <row r="441" ht="21.75" customHeight="1">
      <c r="A441" s="17"/>
      <c r="P441" s="17"/>
      <c r="AC441" s="17"/>
      <c r="AO441" s="17"/>
      <c r="AX441" s="17"/>
    </row>
    <row r="442" ht="21.75" customHeight="1">
      <c r="A442" s="17"/>
      <c r="P442" s="17"/>
      <c r="AC442" s="17"/>
      <c r="AO442" s="17"/>
      <c r="AX442" s="17"/>
    </row>
    <row r="443" ht="21.75" customHeight="1">
      <c r="A443" s="17"/>
      <c r="P443" s="17"/>
      <c r="AC443" s="17"/>
      <c r="AO443" s="17"/>
      <c r="AX443" s="17"/>
    </row>
    <row r="444" ht="21.75" customHeight="1">
      <c r="A444" s="17"/>
      <c r="P444" s="17"/>
      <c r="AC444" s="17"/>
      <c r="AO444" s="17"/>
      <c r="AX444" s="17"/>
    </row>
    <row r="445" ht="21.75" customHeight="1">
      <c r="A445" s="17"/>
      <c r="P445" s="17"/>
      <c r="AC445" s="17"/>
      <c r="AO445" s="17"/>
      <c r="AX445" s="17"/>
    </row>
    <row r="446" ht="21.75" customHeight="1">
      <c r="A446" s="17"/>
      <c r="P446" s="17"/>
      <c r="AC446" s="17"/>
      <c r="AO446" s="17"/>
      <c r="AX446" s="17"/>
    </row>
    <row r="447" ht="21.75" customHeight="1">
      <c r="A447" s="17"/>
      <c r="P447" s="17"/>
      <c r="AC447" s="17"/>
      <c r="AO447" s="17"/>
      <c r="AX447" s="17"/>
    </row>
    <row r="448" ht="21.75" customHeight="1">
      <c r="A448" s="17"/>
      <c r="P448" s="17"/>
      <c r="AC448" s="17"/>
      <c r="AO448" s="17"/>
      <c r="AX448" s="17"/>
    </row>
    <row r="449" ht="21.75" customHeight="1">
      <c r="A449" s="17"/>
      <c r="P449" s="17"/>
      <c r="AC449" s="17"/>
      <c r="AO449" s="17"/>
      <c r="AX449" s="17"/>
    </row>
    <row r="450" ht="21.75" customHeight="1">
      <c r="A450" s="17"/>
      <c r="P450" s="17"/>
      <c r="AC450" s="17"/>
      <c r="AO450" s="17"/>
      <c r="AX450" s="17"/>
    </row>
    <row r="451" ht="21.75" customHeight="1">
      <c r="A451" s="17"/>
      <c r="P451" s="17"/>
      <c r="AC451" s="17"/>
      <c r="AO451" s="17"/>
      <c r="AX451" s="17"/>
    </row>
    <row r="452" ht="21.75" customHeight="1">
      <c r="A452" s="17"/>
      <c r="P452" s="17"/>
      <c r="AC452" s="17"/>
      <c r="AO452" s="17"/>
      <c r="AX452" s="17"/>
    </row>
    <row r="453" ht="21.75" customHeight="1">
      <c r="A453" s="17"/>
      <c r="P453" s="17"/>
      <c r="AC453" s="17"/>
      <c r="AO453" s="17"/>
      <c r="AX453" s="17"/>
    </row>
    <row r="454" ht="21.75" customHeight="1">
      <c r="A454" s="17"/>
      <c r="P454" s="17"/>
      <c r="AC454" s="17"/>
      <c r="AO454" s="17"/>
      <c r="AX454" s="17"/>
    </row>
    <row r="455" ht="21.75" customHeight="1">
      <c r="A455" s="17"/>
      <c r="P455" s="17"/>
      <c r="AC455" s="17"/>
      <c r="AO455" s="17"/>
      <c r="AX455" s="17"/>
    </row>
    <row r="456" ht="21.75" customHeight="1">
      <c r="A456" s="17"/>
      <c r="P456" s="17"/>
      <c r="AC456" s="17"/>
      <c r="AO456" s="17"/>
      <c r="AX456" s="17"/>
    </row>
    <row r="457" ht="21.75" customHeight="1">
      <c r="A457" s="17"/>
      <c r="P457" s="17"/>
      <c r="AC457" s="17"/>
      <c r="AO457" s="17"/>
      <c r="AX457" s="17"/>
    </row>
    <row r="458" ht="21.75" customHeight="1">
      <c r="A458" s="17"/>
      <c r="P458" s="17"/>
      <c r="AC458" s="17"/>
      <c r="AO458" s="17"/>
      <c r="AX458" s="17"/>
    </row>
    <row r="459" ht="21.75" customHeight="1">
      <c r="A459" s="17"/>
      <c r="P459" s="17"/>
      <c r="AC459" s="17"/>
      <c r="AO459" s="17"/>
      <c r="AX459" s="17"/>
    </row>
    <row r="460" ht="21.75" customHeight="1">
      <c r="A460" s="17"/>
      <c r="P460" s="17"/>
      <c r="AC460" s="17"/>
      <c r="AO460" s="17"/>
      <c r="AX460" s="17"/>
    </row>
    <row r="461" ht="21.75" customHeight="1">
      <c r="A461" s="17"/>
      <c r="P461" s="17"/>
      <c r="AC461" s="17"/>
      <c r="AO461" s="17"/>
      <c r="AX461" s="17"/>
    </row>
    <row r="462" ht="21.75" customHeight="1">
      <c r="A462" s="17"/>
      <c r="P462" s="17"/>
      <c r="AC462" s="17"/>
      <c r="AO462" s="17"/>
      <c r="AX462" s="17"/>
    </row>
    <row r="463" ht="21.75" customHeight="1">
      <c r="A463" s="17"/>
      <c r="P463" s="17"/>
      <c r="AC463" s="17"/>
      <c r="AO463" s="17"/>
      <c r="AX463" s="17"/>
    </row>
    <row r="464" ht="21.75" customHeight="1">
      <c r="A464" s="17"/>
      <c r="P464" s="17"/>
      <c r="AC464" s="17"/>
      <c r="AO464" s="17"/>
      <c r="AX464" s="17"/>
    </row>
    <row r="465" ht="21.75" customHeight="1">
      <c r="A465" s="17"/>
      <c r="P465" s="17"/>
      <c r="AC465" s="17"/>
      <c r="AO465" s="17"/>
      <c r="AX465" s="17"/>
    </row>
    <row r="466" ht="21.75" customHeight="1">
      <c r="A466" s="17"/>
      <c r="P466" s="17"/>
      <c r="AC466" s="17"/>
      <c r="AO466" s="17"/>
      <c r="AX466" s="17"/>
    </row>
    <row r="467" ht="21.75" customHeight="1">
      <c r="A467" s="17"/>
      <c r="P467" s="17"/>
      <c r="AC467" s="17"/>
      <c r="AO467" s="17"/>
      <c r="AX467" s="17"/>
    </row>
    <row r="468" ht="21.75" customHeight="1">
      <c r="A468" s="17"/>
      <c r="P468" s="17"/>
      <c r="AC468" s="17"/>
      <c r="AO468" s="17"/>
      <c r="AX468" s="17"/>
    </row>
    <row r="469" ht="21.75" customHeight="1">
      <c r="A469" s="17"/>
      <c r="P469" s="17"/>
      <c r="AC469" s="17"/>
      <c r="AO469" s="17"/>
      <c r="AX469" s="17"/>
    </row>
    <row r="470" ht="21.75" customHeight="1">
      <c r="A470" s="17"/>
      <c r="P470" s="17"/>
      <c r="AC470" s="17"/>
      <c r="AO470" s="17"/>
      <c r="AX470" s="17"/>
    </row>
    <row r="471" ht="21.75" customHeight="1">
      <c r="A471" s="17"/>
      <c r="P471" s="17"/>
      <c r="AC471" s="17"/>
      <c r="AO471" s="17"/>
      <c r="AX471" s="17"/>
    </row>
    <row r="472" ht="21.75" customHeight="1">
      <c r="A472" s="17"/>
      <c r="P472" s="17"/>
      <c r="AC472" s="17"/>
      <c r="AO472" s="17"/>
      <c r="AX472" s="17"/>
    </row>
    <row r="473" ht="21.75" customHeight="1">
      <c r="A473" s="17"/>
      <c r="P473" s="17"/>
      <c r="AC473" s="17"/>
      <c r="AO473" s="17"/>
      <c r="AX473" s="17"/>
    </row>
    <row r="474" ht="21.75" customHeight="1">
      <c r="A474" s="17"/>
      <c r="P474" s="17"/>
      <c r="AC474" s="17"/>
      <c r="AO474" s="17"/>
      <c r="AX474" s="17"/>
    </row>
    <row r="475" ht="21.75" customHeight="1">
      <c r="A475" s="17"/>
      <c r="P475" s="17"/>
      <c r="AC475" s="17"/>
      <c r="AO475" s="17"/>
      <c r="AX475" s="17"/>
    </row>
    <row r="476" ht="21.75" customHeight="1">
      <c r="A476" s="17"/>
      <c r="P476" s="17"/>
      <c r="AC476" s="17"/>
      <c r="AO476" s="17"/>
      <c r="AX476" s="17"/>
    </row>
    <row r="477" ht="21.75" customHeight="1">
      <c r="A477" s="17"/>
      <c r="P477" s="17"/>
      <c r="AC477" s="17"/>
      <c r="AO477" s="17"/>
      <c r="AX477" s="17"/>
    </row>
    <row r="478" ht="21.75" customHeight="1">
      <c r="A478" s="17"/>
      <c r="P478" s="17"/>
      <c r="AC478" s="17"/>
      <c r="AO478" s="17"/>
      <c r="AX478" s="17"/>
    </row>
    <row r="479" ht="21.75" customHeight="1">
      <c r="A479" s="17"/>
      <c r="P479" s="17"/>
      <c r="AC479" s="17"/>
      <c r="AO479" s="17"/>
      <c r="AX479" s="17"/>
    </row>
    <row r="480" ht="21.75" customHeight="1">
      <c r="A480" s="17"/>
      <c r="P480" s="17"/>
      <c r="AC480" s="17"/>
      <c r="AO480" s="17"/>
      <c r="AX480" s="17"/>
    </row>
    <row r="481" ht="21.75" customHeight="1">
      <c r="A481" s="17"/>
      <c r="P481" s="17"/>
      <c r="AC481" s="17"/>
      <c r="AO481" s="17"/>
      <c r="AX481" s="17"/>
    </row>
    <row r="482" ht="21.75" customHeight="1">
      <c r="A482" s="17"/>
      <c r="P482" s="17"/>
      <c r="AC482" s="17"/>
      <c r="AO482" s="17"/>
      <c r="AX482" s="17"/>
    </row>
    <row r="483" ht="21.75" customHeight="1">
      <c r="A483" s="17"/>
      <c r="P483" s="17"/>
      <c r="AC483" s="17"/>
      <c r="AO483" s="17"/>
      <c r="AX483" s="17"/>
    </row>
    <row r="484" ht="21.75" customHeight="1">
      <c r="A484" s="17"/>
      <c r="P484" s="17"/>
      <c r="AC484" s="17"/>
      <c r="AO484" s="17"/>
      <c r="AX484" s="17"/>
    </row>
    <row r="485" ht="21.75" customHeight="1">
      <c r="A485" s="17"/>
      <c r="P485" s="17"/>
      <c r="AC485" s="17"/>
      <c r="AO485" s="17"/>
      <c r="AX485" s="17"/>
    </row>
    <row r="486" ht="21.75" customHeight="1">
      <c r="A486" s="17"/>
      <c r="P486" s="17"/>
      <c r="AC486" s="17"/>
      <c r="AO486" s="17"/>
      <c r="AX486" s="17"/>
    </row>
    <row r="487" ht="21.75" customHeight="1">
      <c r="A487" s="17"/>
      <c r="P487" s="17"/>
      <c r="AC487" s="17"/>
      <c r="AO487" s="17"/>
      <c r="AX487" s="17"/>
    </row>
    <row r="488" ht="21.75" customHeight="1">
      <c r="A488" s="17"/>
      <c r="P488" s="17"/>
      <c r="AC488" s="17"/>
      <c r="AO488" s="17"/>
      <c r="AX488" s="17"/>
    </row>
    <row r="489" ht="21.75" customHeight="1">
      <c r="A489" s="17"/>
      <c r="P489" s="17"/>
      <c r="AC489" s="17"/>
      <c r="AO489" s="17"/>
      <c r="AX489" s="17"/>
    </row>
    <row r="490" ht="21.75" customHeight="1">
      <c r="A490" s="17"/>
      <c r="P490" s="17"/>
      <c r="AC490" s="17"/>
      <c r="AO490" s="17"/>
      <c r="AX490" s="17"/>
    </row>
    <row r="491" ht="21.75" customHeight="1">
      <c r="A491" s="17"/>
      <c r="P491" s="17"/>
      <c r="AC491" s="17"/>
      <c r="AO491" s="17"/>
      <c r="AX491" s="17"/>
    </row>
    <row r="492" ht="21.75" customHeight="1">
      <c r="A492" s="17"/>
      <c r="P492" s="17"/>
      <c r="AC492" s="17"/>
      <c r="AO492" s="17"/>
      <c r="AX492" s="17"/>
    </row>
    <row r="493" ht="21.75" customHeight="1">
      <c r="A493" s="17"/>
      <c r="P493" s="17"/>
      <c r="AC493" s="17"/>
      <c r="AO493" s="17"/>
      <c r="AX493" s="17"/>
    </row>
    <row r="494" ht="21.75" customHeight="1">
      <c r="A494" s="17"/>
      <c r="P494" s="17"/>
      <c r="AC494" s="17"/>
      <c r="AO494" s="17"/>
      <c r="AX494" s="17"/>
    </row>
    <row r="495" ht="21.75" customHeight="1">
      <c r="A495" s="17"/>
      <c r="P495" s="17"/>
      <c r="AC495" s="17"/>
      <c r="AO495" s="17"/>
      <c r="AX495" s="17"/>
    </row>
    <row r="496" ht="21.75" customHeight="1">
      <c r="A496" s="17"/>
      <c r="P496" s="17"/>
      <c r="AC496" s="17"/>
      <c r="AO496" s="17"/>
      <c r="AX496" s="17"/>
    </row>
    <row r="497" ht="21.75" customHeight="1">
      <c r="A497" s="17"/>
      <c r="P497" s="17"/>
      <c r="AC497" s="17"/>
      <c r="AO497" s="17"/>
      <c r="AX497" s="17"/>
    </row>
    <row r="498" ht="21.75" customHeight="1">
      <c r="A498" s="17"/>
      <c r="P498" s="17"/>
      <c r="AC498" s="17"/>
      <c r="AO498" s="17"/>
      <c r="AX498" s="17"/>
    </row>
    <row r="499" ht="21.75" customHeight="1">
      <c r="A499" s="17"/>
      <c r="P499" s="17"/>
      <c r="AC499" s="17"/>
      <c r="AO499" s="17"/>
      <c r="AX499" s="17"/>
    </row>
    <row r="500" ht="21.75" customHeight="1">
      <c r="A500" s="17"/>
      <c r="P500" s="17"/>
      <c r="AC500" s="17"/>
      <c r="AO500" s="17"/>
      <c r="AX500" s="17"/>
    </row>
    <row r="501" ht="21.75" customHeight="1">
      <c r="A501" s="17"/>
      <c r="P501" s="17"/>
      <c r="AC501" s="17"/>
      <c r="AO501" s="17"/>
      <c r="AX501" s="17"/>
    </row>
    <row r="502" ht="21.75" customHeight="1">
      <c r="A502" s="17"/>
      <c r="P502" s="17"/>
      <c r="AC502" s="17"/>
      <c r="AO502" s="17"/>
      <c r="AX502" s="17"/>
    </row>
    <row r="503" ht="21.75" customHeight="1">
      <c r="A503" s="17"/>
      <c r="P503" s="17"/>
      <c r="AC503" s="17"/>
      <c r="AO503" s="17"/>
      <c r="AX503" s="17"/>
    </row>
    <row r="504" ht="21.75" customHeight="1">
      <c r="A504" s="17"/>
      <c r="P504" s="17"/>
      <c r="AC504" s="17"/>
      <c r="AO504" s="17"/>
      <c r="AX504" s="17"/>
    </row>
    <row r="505" ht="21.75" customHeight="1">
      <c r="A505" s="17"/>
      <c r="P505" s="17"/>
      <c r="AC505" s="17"/>
      <c r="AO505" s="17"/>
      <c r="AX505" s="17"/>
    </row>
    <row r="506" ht="21.75" customHeight="1">
      <c r="A506" s="17"/>
      <c r="P506" s="17"/>
      <c r="AC506" s="17"/>
      <c r="AO506" s="17"/>
      <c r="AX506" s="17"/>
    </row>
    <row r="507" ht="21.75" customHeight="1">
      <c r="A507" s="17"/>
      <c r="P507" s="17"/>
      <c r="AC507" s="17"/>
      <c r="AO507" s="17"/>
      <c r="AX507" s="17"/>
    </row>
    <row r="508" ht="21.75" customHeight="1">
      <c r="A508" s="17"/>
      <c r="P508" s="17"/>
      <c r="AC508" s="17"/>
      <c r="AO508" s="17"/>
      <c r="AX508" s="17"/>
    </row>
    <row r="509" ht="21.75" customHeight="1">
      <c r="A509" s="17"/>
      <c r="P509" s="17"/>
      <c r="AC509" s="17"/>
      <c r="AO509" s="17"/>
      <c r="AX509" s="17"/>
    </row>
    <row r="510" ht="21.75" customHeight="1">
      <c r="A510" s="17"/>
      <c r="P510" s="17"/>
      <c r="AC510" s="17"/>
      <c r="AO510" s="17"/>
      <c r="AX510" s="17"/>
    </row>
    <row r="511" ht="21.75" customHeight="1">
      <c r="A511" s="17"/>
      <c r="P511" s="17"/>
      <c r="AC511" s="17"/>
      <c r="AO511" s="17"/>
      <c r="AX511" s="17"/>
    </row>
    <row r="512" ht="21.75" customHeight="1">
      <c r="A512" s="17"/>
      <c r="P512" s="17"/>
      <c r="AC512" s="17"/>
      <c r="AO512" s="17"/>
      <c r="AX512" s="17"/>
    </row>
    <row r="513" ht="21.75" customHeight="1">
      <c r="A513" s="17"/>
      <c r="P513" s="17"/>
      <c r="AC513" s="17"/>
      <c r="AO513" s="17"/>
      <c r="AX513" s="17"/>
    </row>
    <row r="514" ht="21.75" customHeight="1">
      <c r="A514" s="17"/>
      <c r="P514" s="17"/>
      <c r="AC514" s="17"/>
      <c r="AO514" s="17"/>
      <c r="AX514" s="17"/>
    </row>
    <row r="515" ht="21.75" customHeight="1">
      <c r="A515" s="17"/>
      <c r="P515" s="17"/>
      <c r="AC515" s="17"/>
      <c r="AO515" s="17"/>
      <c r="AX515" s="17"/>
    </row>
    <row r="516" ht="21.75" customHeight="1">
      <c r="A516" s="17"/>
      <c r="P516" s="17"/>
      <c r="AC516" s="17"/>
      <c r="AO516" s="17"/>
      <c r="AX516" s="17"/>
    </row>
    <row r="517" ht="21.75" customHeight="1">
      <c r="A517" s="17"/>
      <c r="P517" s="17"/>
      <c r="AC517" s="17"/>
      <c r="AO517" s="17"/>
      <c r="AX517" s="17"/>
    </row>
    <row r="518" ht="21.75" customHeight="1">
      <c r="A518" s="17"/>
      <c r="P518" s="17"/>
      <c r="AC518" s="17"/>
      <c r="AO518" s="17"/>
      <c r="AX518" s="17"/>
    </row>
    <row r="519" ht="21.75" customHeight="1">
      <c r="A519" s="17"/>
      <c r="P519" s="17"/>
      <c r="AC519" s="17"/>
      <c r="AO519" s="17"/>
      <c r="AX519" s="17"/>
    </row>
    <row r="520" ht="21.75" customHeight="1">
      <c r="A520" s="17"/>
      <c r="P520" s="17"/>
      <c r="AC520" s="17"/>
      <c r="AO520" s="17"/>
      <c r="AX520" s="17"/>
    </row>
    <row r="521" ht="21.75" customHeight="1">
      <c r="A521" s="17"/>
      <c r="P521" s="17"/>
      <c r="AC521" s="17"/>
      <c r="AO521" s="17"/>
      <c r="AX521" s="17"/>
    </row>
    <row r="522" ht="21.75" customHeight="1">
      <c r="A522" s="17"/>
      <c r="P522" s="17"/>
      <c r="AC522" s="17"/>
      <c r="AO522" s="17"/>
      <c r="AX522" s="17"/>
    </row>
    <row r="523" ht="21.75" customHeight="1">
      <c r="A523" s="17"/>
      <c r="P523" s="17"/>
      <c r="AC523" s="17"/>
      <c r="AO523" s="17"/>
      <c r="AX523" s="17"/>
    </row>
    <row r="524" ht="21.75" customHeight="1">
      <c r="A524" s="17"/>
      <c r="P524" s="17"/>
      <c r="AC524" s="17"/>
      <c r="AO524" s="17"/>
      <c r="AX524" s="17"/>
    </row>
    <row r="525" ht="21.75" customHeight="1">
      <c r="A525" s="17"/>
      <c r="P525" s="17"/>
      <c r="AC525" s="17"/>
      <c r="AO525" s="17"/>
      <c r="AX525" s="17"/>
    </row>
    <row r="526" ht="21.75" customHeight="1">
      <c r="A526" s="17"/>
      <c r="P526" s="17"/>
      <c r="AC526" s="17"/>
      <c r="AO526" s="17"/>
      <c r="AX526" s="17"/>
    </row>
    <row r="527" ht="21.75" customHeight="1">
      <c r="A527" s="17"/>
      <c r="P527" s="17"/>
      <c r="AC527" s="17"/>
      <c r="AO527" s="17"/>
      <c r="AX527" s="17"/>
    </row>
    <row r="528" ht="21.75" customHeight="1">
      <c r="A528" s="17"/>
      <c r="P528" s="17"/>
      <c r="AC528" s="17"/>
      <c r="AO528" s="17"/>
      <c r="AX528" s="17"/>
    </row>
    <row r="529" ht="21.75" customHeight="1">
      <c r="A529" s="17"/>
      <c r="P529" s="17"/>
      <c r="AC529" s="17"/>
      <c r="AO529" s="17"/>
      <c r="AX529" s="17"/>
    </row>
    <row r="530" ht="21.75" customHeight="1">
      <c r="A530" s="17"/>
      <c r="P530" s="17"/>
      <c r="AC530" s="17"/>
      <c r="AO530" s="17"/>
      <c r="AX530" s="17"/>
    </row>
    <row r="531" ht="21.75" customHeight="1">
      <c r="A531" s="17"/>
      <c r="P531" s="17"/>
      <c r="AC531" s="17"/>
      <c r="AO531" s="17"/>
      <c r="AX531" s="17"/>
    </row>
    <row r="532" ht="21.75" customHeight="1">
      <c r="A532" s="17"/>
      <c r="P532" s="17"/>
      <c r="AC532" s="17"/>
      <c r="AO532" s="17"/>
      <c r="AX532" s="17"/>
    </row>
    <row r="533" ht="21.75" customHeight="1">
      <c r="A533" s="17"/>
      <c r="P533" s="17"/>
      <c r="AC533" s="17"/>
      <c r="AO533" s="17"/>
      <c r="AX533" s="17"/>
    </row>
    <row r="534" ht="21.75" customHeight="1">
      <c r="A534" s="17"/>
      <c r="P534" s="17"/>
      <c r="AC534" s="17"/>
      <c r="AO534" s="17"/>
      <c r="AX534" s="17"/>
    </row>
    <row r="535" ht="21.75" customHeight="1">
      <c r="A535" s="17"/>
      <c r="P535" s="17"/>
      <c r="AC535" s="17"/>
      <c r="AO535" s="17"/>
      <c r="AX535" s="17"/>
    </row>
    <row r="536" ht="21.75" customHeight="1">
      <c r="A536" s="17"/>
      <c r="P536" s="17"/>
      <c r="AC536" s="17"/>
      <c r="AO536" s="17"/>
      <c r="AX536" s="17"/>
    </row>
    <row r="537" ht="21.75" customHeight="1">
      <c r="A537" s="17"/>
      <c r="P537" s="17"/>
      <c r="AC537" s="17"/>
      <c r="AO537" s="17"/>
      <c r="AX537" s="17"/>
    </row>
    <row r="538" ht="21.75" customHeight="1">
      <c r="A538" s="17"/>
      <c r="P538" s="17"/>
      <c r="AC538" s="17"/>
      <c r="AO538" s="17"/>
      <c r="AX538" s="17"/>
    </row>
    <row r="539" ht="21.75" customHeight="1">
      <c r="A539" s="17"/>
      <c r="P539" s="17"/>
      <c r="AC539" s="17"/>
      <c r="AO539" s="17"/>
      <c r="AX539" s="17"/>
    </row>
    <row r="540" ht="21.75" customHeight="1">
      <c r="A540" s="17"/>
      <c r="P540" s="17"/>
      <c r="AC540" s="17"/>
      <c r="AO540" s="17"/>
      <c r="AX540" s="17"/>
    </row>
    <row r="541" ht="21.75" customHeight="1">
      <c r="A541" s="17"/>
      <c r="P541" s="17"/>
      <c r="AC541" s="17"/>
      <c r="AO541" s="17"/>
      <c r="AX541" s="17"/>
    </row>
    <row r="542" ht="21.75" customHeight="1">
      <c r="A542" s="17"/>
      <c r="P542" s="17"/>
      <c r="AC542" s="17"/>
      <c r="AO542" s="17"/>
      <c r="AX542" s="17"/>
    </row>
    <row r="543" ht="21.75" customHeight="1">
      <c r="A543" s="17"/>
      <c r="P543" s="17"/>
      <c r="AC543" s="17"/>
      <c r="AO543" s="17"/>
      <c r="AX543" s="17"/>
    </row>
    <row r="544" ht="21.75" customHeight="1">
      <c r="A544" s="17"/>
      <c r="P544" s="17"/>
      <c r="AC544" s="17"/>
      <c r="AO544" s="17"/>
      <c r="AX544" s="17"/>
    </row>
    <row r="545" ht="21.75" customHeight="1">
      <c r="A545" s="17"/>
      <c r="P545" s="17"/>
      <c r="AC545" s="17"/>
      <c r="AO545" s="17"/>
      <c r="AX545" s="17"/>
    </row>
    <row r="546" ht="21.75" customHeight="1">
      <c r="A546" s="17"/>
      <c r="P546" s="17"/>
      <c r="AC546" s="17"/>
      <c r="AO546" s="17"/>
      <c r="AX546" s="17"/>
    </row>
    <row r="547" ht="21.75" customHeight="1">
      <c r="A547" s="17"/>
      <c r="P547" s="17"/>
      <c r="AC547" s="17"/>
      <c r="AO547" s="17"/>
      <c r="AX547" s="17"/>
    </row>
    <row r="548" ht="21.75" customHeight="1">
      <c r="A548" s="17"/>
      <c r="P548" s="17"/>
      <c r="AC548" s="17"/>
      <c r="AO548" s="17"/>
      <c r="AX548" s="17"/>
    </row>
    <row r="549" ht="21.75" customHeight="1">
      <c r="A549" s="17"/>
      <c r="P549" s="17"/>
      <c r="AC549" s="17"/>
      <c r="AO549" s="17"/>
      <c r="AX549" s="17"/>
    </row>
    <row r="550" ht="21.75" customHeight="1">
      <c r="A550" s="17"/>
      <c r="P550" s="17"/>
      <c r="AC550" s="17"/>
      <c r="AO550" s="17"/>
      <c r="AX550" s="17"/>
    </row>
    <row r="551" ht="21.75" customHeight="1">
      <c r="A551" s="17"/>
      <c r="P551" s="17"/>
      <c r="AC551" s="17"/>
      <c r="AO551" s="17"/>
      <c r="AX551" s="17"/>
    </row>
    <row r="552" ht="21.75" customHeight="1">
      <c r="A552" s="17"/>
      <c r="P552" s="17"/>
      <c r="AC552" s="17"/>
      <c r="AO552" s="17"/>
      <c r="AX552" s="17"/>
    </row>
    <row r="553" ht="21.75" customHeight="1">
      <c r="A553" s="17"/>
      <c r="P553" s="17"/>
      <c r="AC553" s="17"/>
      <c r="AO553" s="17"/>
      <c r="AX553" s="17"/>
    </row>
    <row r="554" ht="21.75" customHeight="1">
      <c r="A554" s="17"/>
      <c r="P554" s="17"/>
      <c r="AC554" s="17"/>
      <c r="AO554" s="17"/>
      <c r="AX554" s="17"/>
    </row>
    <row r="555" ht="21.75" customHeight="1">
      <c r="A555" s="17"/>
      <c r="P555" s="17"/>
      <c r="AC555" s="17"/>
      <c r="AO555" s="17"/>
      <c r="AX555" s="17"/>
    </row>
    <row r="556" ht="21.75" customHeight="1">
      <c r="A556" s="17"/>
      <c r="P556" s="17"/>
      <c r="AC556" s="17"/>
      <c r="AO556" s="17"/>
      <c r="AX556" s="17"/>
    </row>
    <row r="557" ht="21.75" customHeight="1">
      <c r="A557" s="17"/>
      <c r="P557" s="17"/>
      <c r="AC557" s="17"/>
      <c r="AO557" s="17"/>
      <c r="AX557" s="17"/>
    </row>
    <row r="558" ht="21.75" customHeight="1">
      <c r="A558" s="17"/>
      <c r="P558" s="17"/>
      <c r="AC558" s="17"/>
      <c r="AO558" s="17"/>
      <c r="AX558" s="17"/>
    </row>
    <row r="559" ht="21.75" customHeight="1">
      <c r="A559" s="17"/>
      <c r="P559" s="17"/>
      <c r="AC559" s="17"/>
      <c r="AO559" s="17"/>
      <c r="AX559" s="17"/>
    </row>
    <row r="560" ht="21.75" customHeight="1">
      <c r="A560" s="17"/>
      <c r="P560" s="17"/>
      <c r="AC560" s="17"/>
      <c r="AO560" s="17"/>
      <c r="AX560" s="17"/>
    </row>
    <row r="561" ht="21.75" customHeight="1">
      <c r="A561" s="17"/>
      <c r="P561" s="17"/>
      <c r="AC561" s="17"/>
      <c r="AO561" s="17"/>
      <c r="AX561" s="17"/>
    </row>
    <row r="562" ht="21.75" customHeight="1">
      <c r="A562" s="17"/>
      <c r="P562" s="17"/>
      <c r="AC562" s="17"/>
      <c r="AO562" s="17"/>
      <c r="AX562" s="17"/>
    </row>
    <row r="563" ht="21.75" customHeight="1">
      <c r="A563" s="17"/>
      <c r="P563" s="17"/>
      <c r="AC563" s="17"/>
      <c r="AO563" s="17"/>
      <c r="AX563" s="17"/>
    </row>
    <row r="564" ht="21.75" customHeight="1">
      <c r="A564" s="17"/>
      <c r="P564" s="17"/>
      <c r="AC564" s="17"/>
      <c r="AO564" s="17"/>
      <c r="AX564" s="17"/>
    </row>
    <row r="565" ht="21.75" customHeight="1">
      <c r="A565" s="17"/>
      <c r="P565" s="17"/>
      <c r="AC565" s="17"/>
      <c r="AO565" s="17"/>
      <c r="AX565" s="17"/>
    </row>
    <row r="566" ht="21.75" customHeight="1">
      <c r="A566" s="17"/>
      <c r="P566" s="17"/>
      <c r="AC566" s="17"/>
      <c r="AO566" s="17"/>
      <c r="AX566" s="17"/>
    </row>
    <row r="567" ht="21.75" customHeight="1">
      <c r="A567" s="17"/>
      <c r="P567" s="17"/>
      <c r="AC567" s="17"/>
      <c r="AO567" s="17"/>
      <c r="AX567" s="17"/>
    </row>
    <row r="568" ht="21.75" customHeight="1">
      <c r="A568" s="17"/>
      <c r="P568" s="17"/>
      <c r="AC568" s="17"/>
      <c r="AO568" s="17"/>
      <c r="AX568" s="17"/>
    </row>
    <row r="569" ht="21.75" customHeight="1">
      <c r="A569" s="17"/>
      <c r="P569" s="17"/>
      <c r="AC569" s="17"/>
      <c r="AO569" s="17"/>
      <c r="AX569" s="17"/>
    </row>
    <row r="570" ht="21.75" customHeight="1">
      <c r="A570" s="17"/>
      <c r="P570" s="17"/>
      <c r="AC570" s="17"/>
      <c r="AO570" s="17"/>
      <c r="AX570" s="17"/>
    </row>
    <row r="571" ht="21.75" customHeight="1">
      <c r="A571" s="17"/>
      <c r="P571" s="17"/>
      <c r="AC571" s="17"/>
      <c r="AO571" s="17"/>
      <c r="AX571" s="17"/>
    </row>
    <row r="572" ht="21.75" customHeight="1">
      <c r="A572" s="17"/>
      <c r="P572" s="17"/>
      <c r="AC572" s="17"/>
      <c r="AO572" s="17"/>
      <c r="AX572" s="17"/>
    </row>
    <row r="573" ht="21.75" customHeight="1">
      <c r="A573" s="17"/>
      <c r="P573" s="17"/>
      <c r="AC573" s="17"/>
      <c r="AO573" s="17"/>
      <c r="AX573" s="17"/>
    </row>
    <row r="574" ht="21.75" customHeight="1">
      <c r="A574" s="17"/>
      <c r="P574" s="17"/>
      <c r="AC574" s="17"/>
      <c r="AO574" s="17"/>
      <c r="AX574" s="17"/>
    </row>
    <row r="575" ht="21.75" customHeight="1">
      <c r="A575" s="17"/>
      <c r="P575" s="17"/>
      <c r="AC575" s="17"/>
      <c r="AO575" s="17"/>
      <c r="AX575" s="17"/>
    </row>
    <row r="576" ht="21.75" customHeight="1">
      <c r="A576" s="17"/>
      <c r="P576" s="17"/>
      <c r="AC576" s="17"/>
      <c r="AO576" s="17"/>
      <c r="AX576" s="17"/>
    </row>
    <row r="577" ht="21.75" customHeight="1">
      <c r="A577" s="17"/>
      <c r="P577" s="17"/>
      <c r="AC577" s="17"/>
      <c r="AO577" s="17"/>
      <c r="AX577" s="17"/>
    </row>
    <row r="578" ht="21.75" customHeight="1">
      <c r="A578" s="17"/>
      <c r="P578" s="17"/>
      <c r="AC578" s="17"/>
      <c r="AO578" s="17"/>
      <c r="AX578" s="17"/>
    </row>
    <row r="579" ht="21.75" customHeight="1">
      <c r="A579" s="17"/>
      <c r="P579" s="17"/>
      <c r="AC579" s="17"/>
      <c r="AO579" s="17"/>
      <c r="AX579" s="17"/>
    </row>
    <row r="580" ht="21.75" customHeight="1">
      <c r="A580" s="17"/>
      <c r="P580" s="17"/>
      <c r="AC580" s="17"/>
      <c r="AO580" s="17"/>
      <c r="AX580" s="17"/>
    </row>
    <row r="581" ht="21.75" customHeight="1">
      <c r="A581" s="17"/>
      <c r="P581" s="17"/>
      <c r="AC581" s="17"/>
      <c r="AO581" s="17"/>
      <c r="AX581" s="17"/>
    </row>
    <row r="582" ht="21.75" customHeight="1">
      <c r="A582" s="17"/>
      <c r="P582" s="17"/>
      <c r="AC582" s="17"/>
      <c r="AO582" s="17"/>
      <c r="AX582" s="17"/>
    </row>
    <row r="583" ht="21.75" customHeight="1">
      <c r="A583" s="17"/>
      <c r="P583" s="17"/>
      <c r="AC583" s="17"/>
      <c r="AO583" s="17"/>
      <c r="AX583" s="17"/>
    </row>
    <row r="584" ht="21.75" customHeight="1">
      <c r="A584" s="17"/>
      <c r="P584" s="17"/>
      <c r="AC584" s="17"/>
      <c r="AO584" s="17"/>
      <c r="AX584" s="17"/>
    </row>
    <row r="585" ht="21.75" customHeight="1">
      <c r="A585" s="17"/>
      <c r="P585" s="17"/>
      <c r="AC585" s="17"/>
      <c r="AO585" s="17"/>
      <c r="AX585" s="17"/>
    </row>
    <row r="586" ht="21.75" customHeight="1">
      <c r="A586" s="17"/>
      <c r="P586" s="17"/>
      <c r="AC586" s="17"/>
      <c r="AO586" s="17"/>
      <c r="AX586" s="17"/>
    </row>
    <row r="587" ht="21.75" customHeight="1">
      <c r="A587" s="17"/>
      <c r="P587" s="17"/>
      <c r="AC587" s="17"/>
      <c r="AO587" s="17"/>
      <c r="AX587" s="17"/>
    </row>
    <row r="588" ht="21.75" customHeight="1">
      <c r="A588" s="17"/>
      <c r="P588" s="17"/>
      <c r="AC588" s="17"/>
      <c r="AO588" s="17"/>
      <c r="AX588" s="17"/>
    </row>
    <row r="589" ht="21.75" customHeight="1">
      <c r="A589" s="17"/>
      <c r="P589" s="17"/>
      <c r="AC589" s="17"/>
      <c r="AO589" s="17"/>
      <c r="AX589" s="17"/>
    </row>
    <row r="590" ht="21.75" customHeight="1">
      <c r="A590" s="17"/>
      <c r="P590" s="17"/>
      <c r="AC590" s="17"/>
      <c r="AO590" s="17"/>
      <c r="AX590" s="17"/>
    </row>
    <row r="591" ht="21.75" customHeight="1">
      <c r="A591" s="17"/>
      <c r="P591" s="17"/>
      <c r="AC591" s="17"/>
      <c r="AO591" s="17"/>
      <c r="AX591" s="17"/>
    </row>
    <row r="592" ht="21.75" customHeight="1">
      <c r="A592" s="17"/>
      <c r="P592" s="17"/>
      <c r="AC592" s="17"/>
      <c r="AO592" s="17"/>
      <c r="AX592" s="17"/>
    </row>
    <row r="593" ht="21.75" customHeight="1">
      <c r="A593" s="17"/>
      <c r="P593" s="17"/>
      <c r="AC593" s="17"/>
      <c r="AO593" s="17"/>
      <c r="AX593" s="17"/>
    </row>
    <row r="594" ht="21.75" customHeight="1">
      <c r="A594" s="17"/>
      <c r="P594" s="17"/>
      <c r="AC594" s="17"/>
      <c r="AO594" s="17"/>
      <c r="AX594" s="17"/>
    </row>
    <row r="595" ht="21.75" customHeight="1">
      <c r="A595" s="17"/>
      <c r="P595" s="17"/>
      <c r="AC595" s="17"/>
      <c r="AO595" s="17"/>
      <c r="AX595" s="17"/>
    </row>
    <row r="596" ht="21.75" customHeight="1">
      <c r="A596" s="17"/>
      <c r="P596" s="17"/>
      <c r="AC596" s="17"/>
      <c r="AO596" s="17"/>
      <c r="AX596" s="17"/>
    </row>
    <row r="597" ht="21.75" customHeight="1">
      <c r="A597" s="17"/>
      <c r="P597" s="17"/>
      <c r="AC597" s="17"/>
      <c r="AO597" s="17"/>
      <c r="AX597" s="17"/>
    </row>
    <row r="598" ht="21.75" customHeight="1">
      <c r="A598" s="17"/>
      <c r="P598" s="17"/>
      <c r="AC598" s="17"/>
      <c r="AO598" s="17"/>
      <c r="AX598" s="17"/>
    </row>
    <row r="599" ht="21.75" customHeight="1">
      <c r="A599" s="17"/>
      <c r="P599" s="17"/>
      <c r="AC599" s="17"/>
      <c r="AO599" s="17"/>
      <c r="AX599" s="17"/>
    </row>
    <row r="600" ht="21.75" customHeight="1">
      <c r="A600" s="17"/>
      <c r="P600" s="17"/>
      <c r="AC600" s="17"/>
      <c r="AO600" s="17"/>
      <c r="AX600" s="17"/>
    </row>
    <row r="601" ht="21.75" customHeight="1">
      <c r="A601" s="17"/>
      <c r="P601" s="17"/>
      <c r="AC601" s="17"/>
      <c r="AO601" s="17"/>
      <c r="AX601" s="17"/>
    </row>
    <row r="602" ht="21.75" customHeight="1">
      <c r="A602" s="17"/>
      <c r="P602" s="17"/>
      <c r="AC602" s="17"/>
      <c r="AO602" s="17"/>
      <c r="AX602" s="17"/>
    </row>
    <row r="603" ht="21.75" customHeight="1">
      <c r="A603" s="17"/>
      <c r="P603" s="17"/>
      <c r="AC603" s="17"/>
      <c r="AO603" s="17"/>
      <c r="AX603" s="17"/>
    </row>
    <row r="604" ht="21.75" customHeight="1">
      <c r="A604" s="17"/>
      <c r="P604" s="17"/>
      <c r="AC604" s="17"/>
      <c r="AO604" s="17"/>
      <c r="AX604" s="17"/>
    </row>
    <row r="605" ht="21.75" customHeight="1">
      <c r="A605" s="17"/>
      <c r="P605" s="17"/>
      <c r="AC605" s="17"/>
      <c r="AO605" s="17"/>
      <c r="AX605" s="17"/>
    </row>
    <row r="606" ht="21.75" customHeight="1">
      <c r="A606" s="17"/>
      <c r="P606" s="17"/>
      <c r="AC606" s="17"/>
      <c r="AO606" s="17"/>
      <c r="AX606" s="17"/>
    </row>
    <row r="607" ht="21.75" customHeight="1">
      <c r="A607" s="17"/>
      <c r="P607" s="17"/>
      <c r="AC607" s="17"/>
      <c r="AO607" s="17"/>
      <c r="AX607" s="17"/>
    </row>
    <row r="608" ht="21.75" customHeight="1">
      <c r="A608" s="17"/>
      <c r="P608" s="17"/>
      <c r="AC608" s="17"/>
      <c r="AO608" s="17"/>
      <c r="AX608" s="17"/>
    </row>
    <row r="609" ht="21.75" customHeight="1">
      <c r="A609" s="17"/>
      <c r="P609" s="17"/>
      <c r="AC609" s="17"/>
      <c r="AO609" s="17"/>
      <c r="AX609" s="17"/>
    </row>
    <row r="610" ht="21.75" customHeight="1">
      <c r="A610" s="17"/>
      <c r="P610" s="17"/>
      <c r="AC610" s="17"/>
      <c r="AO610" s="17"/>
      <c r="AX610" s="17"/>
    </row>
    <row r="611" ht="21.75" customHeight="1">
      <c r="A611" s="17"/>
      <c r="P611" s="17"/>
      <c r="AC611" s="17"/>
      <c r="AO611" s="17"/>
      <c r="AX611" s="17"/>
    </row>
    <row r="612" ht="21.75" customHeight="1">
      <c r="A612" s="17"/>
      <c r="P612" s="17"/>
      <c r="AC612" s="17"/>
      <c r="AO612" s="17"/>
      <c r="AX612" s="17"/>
    </row>
    <row r="613" ht="21.75" customHeight="1">
      <c r="A613" s="17"/>
      <c r="P613" s="17"/>
      <c r="AC613" s="17"/>
      <c r="AO613" s="17"/>
      <c r="AX613" s="17"/>
    </row>
    <row r="614" ht="21.75" customHeight="1">
      <c r="A614" s="17"/>
      <c r="P614" s="17"/>
      <c r="AC614" s="17"/>
      <c r="AO614" s="17"/>
      <c r="AX614" s="17"/>
    </row>
    <row r="615" ht="21.75" customHeight="1">
      <c r="A615" s="17"/>
      <c r="P615" s="17"/>
      <c r="AC615" s="17"/>
      <c r="AO615" s="17"/>
      <c r="AX615" s="17"/>
    </row>
    <row r="616" ht="21.75" customHeight="1">
      <c r="A616" s="17"/>
      <c r="P616" s="17"/>
      <c r="AC616" s="17"/>
      <c r="AO616" s="17"/>
      <c r="AX616" s="17"/>
    </row>
    <row r="617" ht="21.75" customHeight="1">
      <c r="A617" s="17"/>
      <c r="P617" s="17"/>
      <c r="AC617" s="17"/>
      <c r="AO617" s="17"/>
      <c r="AX617" s="17"/>
    </row>
    <row r="618" ht="21.75" customHeight="1">
      <c r="A618" s="17"/>
      <c r="P618" s="17"/>
      <c r="AC618" s="17"/>
      <c r="AO618" s="17"/>
      <c r="AX618" s="17"/>
    </row>
    <row r="619" ht="21.75" customHeight="1">
      <c r="A619" s="17"/>
      <c r="P619" s="17"/>
      <c r="AC619" s="17"/>
      <c r="AO619" s="17"/>
      <c r="AX619" s="17"/>
    </row>
    <row r="620" ht="21.75" customHeight="1">
      <c r="A620" s="17"/>
      <c r="P620" s="17"/>
      <c r="AC620" s="17"/>
      <c r="AO620" s="17"/>
      <c r="AX620" s="17"/>
    </row>
    <row r="621" ht="21.75" customHeight="1">
      <c r="A621" s="17"/>
      <c r="P621" s="17"/>
      <c r="AC621" s="17"/>
      <c r="AO621" s="17"/>
      <c r="AX621" s="17"/>
    </row>
    <row r="622" ht="21.75" customHeight="1">
      <c r="A622" s="17"/>
      <c r="P622" s="17"/>
      <c r="AC622" s="17"/>
      <c r="AO622" s="17"/>
      <c r="AX622" s="17"/>
    </row>
    <row r="623" ht="21.75" customHeight="1">
      <c r="A623" s="17"/>
      <c r="P623" s="17"/>
      <c r="AC623" s="17"/>
      <c r="AO623" s="17"/>
      <c r="AX623" s="17"/>
    </row>
    <row r="624" ht="21.75" customHeight="1">
      <c r="A624" s="17"/>
      <c r="P624" s="17"/>
      <c r="AC624" s="17"/>
      <c r="AO624" s="17"/>
      <c r="AX624" s="17"/>
    </row>
    <row r="625" ht="21.75" customHeight="1">
      <c r="A625" s="17"/>
      <c r="P625" s="17"/>
      <c r="AC625" s="17"/>
      <c r="AO625" s="17"/>
      <c r="AX625" s="17"/>
    </row>
    <row r="626" ht="21.75" customHeight="1">
      <c r="A626" s="17"/>
      <c r="P626" s="17"/>
      <c r="AC626" s="17"/>
      <c r="AO626" s="17"/>
      <c r="AX626" s="17"/>
    </row>
    <row r="627" ht="21.75" customHeight="1">
      <c r="A627" s="17"/>
      <c r="P627" s="17"/>
      <c r="AC627" s="17"/>
      <c r="AO627" s="17"/>
      <c r="AX627" s="17"/>
    </row>
    <row r="628" ht="21.75" customHeight="1">
      <c r="A628" s="17"/>
      <c r="P628" s="17"/>
      <c r="AC628" s="17"/>
      <c r="AO628" s="17"/>
      <c r="AX628" s="17"/>
    </row>
    <row r="629" ht="21.75" customHeight="1">
      <c r="A629" s="17"/>
      <c r="P629" s="17"/>
      <c r="AC629" s="17"/>
      <c r="AO629" s="17"/>
      <c r="AX629" s="17"/>
    </row>
    <row r="630" ht="21.75" customHeight="1">
      <c r="A630" s="17"/>
      <c r="P630" s="17"/>
      <c r="AC630" s="17"/>
      <c r="AO630" s="17"/>
      <c r="AX630" s="17"/>
    </row>
    <row r="631" ht="21.75" customHeight="1">
      <c r="A631" s="17"/>
      <c r="P631" s="17"/>
      <c r="AC631" s="17"/>
      <c r="AO631" s="17"/>
      <c r="AX631" s="17"/>
    </row>
    <row r="632" ht="21.75" customHeight="1">
      <c r="A632" s="17"/>
      <c r="P632" s="17"/>
      <c r="AC632" s="17"/>
      <c r="AO632" s="17"/>
      <c r="AX632" s="17"/>
    </row>
    <row r="633" ht="21.75" customHeight="1">
      <c r="A633" s="17"/>
      <c r="P633" s="17"/>
      <c r="AC633" s="17"/>
      <c r="AO633" s="17"/>
      <c r="AX633" s="17"/>
    </row>
    <row r="634" ht="21.75" customHeight="1">
      <c r="A634" s="17"/>
      <c r="P634" s="17"/>
      <c r="AC634" s="17"/>
      <c r="AO634" s="17"/>
      <c r="AX634" s="17"/>
    </row>
    <row r="635" ht="21.75" customHeight="1">
      <c r="A635" s="17"/>
      <c r="P635" s="17"/>
      <c r="AC635" s="17"/>
      <c r="AO635" s="17"/>
      <c r="AX635" s="17"/>
    </row>
    <row r="636" ht="21.75" customHeight="1">
      <c r="A636" s="17"/>
      <c r="P636" s="17"/>
      <c r="AC636" s="17"/>
      <c r="AO636" s="17"/>
      <c r="AX636" s="17"/>
    </row>
    <row r="637" ht="21.75" customHeight="1">
      <c r="A637" s="17"/>
      <c r="P637" s="17"/>
      <c r="AC637" s="17"/>
      <c r="AO637" s="17"/>
      <c r="AX637" s="17"/>
    </row>
    <row r="638" ht="21.75" customHeight="1">
      <c r="A638" s="17"/>
      <c r="P638" s="17"/>
      <c r="AC638" s="17"/>
      <c r="AO638" s="17"/>
      <c r="AX638" s="17"/>
    </row>
    <row r="639" ht="21.75" customHeight="1">
      <c r="A639" s="17"/>
      <c r="P639" s="17"/>
      <c r="AC639" s="17"/>
      <c r="AO639" s="17"/>
      <c r="AX639" s="17"/>
    </row>
    <row r="640" ht="21.75" customHeight="1">
      <c r="A640" s="17"/>
      <c r="P640" s="17"/>
      <c r="AC640" s="17"/>
      <c r="AO640" s="17"/>
      <c r="AX640" s="17"/>
    </row>
    <row r="641" ht="21.75" customHeight="1">
      <c r="A641" s="17"/>
      <c r="P641" s="17"/>
      <c r="AC641" s="17"/>
      <c r="AO641" s="17"/>
      <c r="AX641" s="17"/>
    </row>
    <row r="642" ht="21.75" customHeight="1">
      <c r="A642" s="17"/>
      <c r="P642" s="17"/>
      <c r="AC642" s="17"/>
      <c r="AO642" s="17"/>
      <c r="AX642" s="17"/>
    </row>
    <row r="643" ht="21.75" customHeight="1">
      <c r="A643" s="17"/>
      <c r="P643" s="17"/>
      <c r="AC643" s="17"/>
      <c r="AO643" s="17"/>
      <c r="AX643" s="17"/>
    </row>
    <row r="644" ht="21.75" customHeight="1">
      <c r="A644" s="17"/>
      <c r="P644" s="17"/>
      <c r="AC644" s="17"/>
      <c r="AO644" s="17"/>
      <c r="AX644" s="17"/>
    </row>
    <row r="645" ht="21.75" customHeight="1">
      <c r="A645" s="17"/>
      <c r="P645" s="17"/>
      <c r="AC645" s="17"/>
      <c r="AO645" s="17"/>
      <c r="AX645" s="17"/>
    </row>
    <row r="646" ht="21.75" customHeight="1">
      <c r="A646" s="17"/>
      <c r="P646" s="17"/>
      <c r="AC646" s="17"/>
      <c r="AO646" s="17"/>
      <c r="AX646" s="17"/>
    </row>
    <row r="647" ht="21.75" customHeight="1">
      <c r="A647" s="17"/>
      <c r="P647" s="17"/>
      <c r="AC647" s="17"/>
      <c r="AO647" s="17"/>
      <c r="AX647" s="17"/>
    </row>
    <row r="648" ht="21.75" customHeight="1">
      <c r="A648" s="17"/>
      <c r="P648" s="17"/>
      <c r="AC648" s="17"/>
      <c r="AO648" s="17"/>
      <c r="AX648" s="17"/>
    </row>
    <row r="649" ht="21.75" customHeight="1">
      <c r="A649" s="17"/>
      <c r="P649" s="17"/>
      <c r="AC649" s="17"/>
      <c r="AO649" s="17"/>
      <c r="AX649" s="17"/>
    </row>
    <row r="650" ht="21.75" customHeight="1">
      <c r="A650" s="17"/>
      <c r="P650" s="17"/>
      <c r="AC650" s="17"/>
      <c r="AO650" s="17"/>
      <c r="AX650" s="17"/>
    </row>
    <row r="651" ht="21.75" customHeight="1">
      <c r="A651" s="17"/>
      <c r="P651" s="17"/>
      <c r="AC651" s="17"/>
      <c r="AO651" s="17"/>
      <c r="AX651" s="17"/>
    </row>
    <row r="652" ht="21.75" customHeight="1">
      <c r="A652" s="17"/>
      <c r="P652" s="17"/>
      <c r="AC652" s="17"/>
      <c r="AO652" s="17"/>
      <c r="AX652" s="17"/>
    </row>
    <row r="653" ht="21.75" customHeight="1">
      <c r="A653" s="17"/>
      <c r="P653" s="17"/>
      <c r="AC653" s="17"/>
      <c r="AO653" s="17"/>
      <c r="AX653" s="17"/>
    </row>
    <row r="654" ht="21.75" customHeight="1">
      <c r="A654" s="17"/>
      <c r="P654" s="17"/>
      <c r="AC654" s="17"/>
      <c r="AO654" s="17"/>
      <c r="AX654" s="17"/>
    </row>
    <row r="655" ht="21.75" customHeight="1">
      <c r="A655" s="17"/>
      <c r="P655" s="17"/>
      <c r="AC655" s="17"/>
      <c r="AO655" s="17"/>
      <c r="AX655" s="17"/>
    </row>
    <row r="656" ht="21.75" customHeight="1">
      <c r="A656" s="17"/>
      <c r="P656" s="17"/>
      <c r="AC656" s="17"/>
      <c r="AO656" s="17"/>
      <c r="AX656" s="17"/>
    </row>
    <row r="657" ht="21.75" customHeight="1">
      <c r="A657" s="17"/>
      <c r="P657" s="17"/>
      <c r="AC657" s="17"/>
      <c r="AO657" s="17"/>
      <c r="AX657" s="17"/>
    </row>
    <row r="658" ht="21.75" customHeight="1">
      <c r="A658" s="17"/>
      <c r="P658" s="17"/>
      <c r="AC658" s="17"/>
      <c r="AO658" s="17"/>
      <c r="AX658" s="17"/>
    </row>
    <row r="659" ht="21.75" customHeight="1">
      <c r="A659" s="17"/>
      <c r="P659" s="17"/>
      <c r="AC659" s="17"/>
      <c r="AO659" s="17"/>
      <c r="AX659" s="17"/>
    </row>
    <row r="660" ht="21.75" customHeight="1">
      <c r="A660" s="17"/>
      <c r="P660" s="17"/>
      <c r="AC660" s="17"/>
      <c r="AO660" s="17"/>
      <c r="AX660" s="17"/>
    </row>
    <row r="661" ht="21.75" customHeight="1">
      <c r="A661" s="17"/>
      <c r="P661" s="17"/>
      <c r="AC661" s="17"/>
      <c r="AO661" s="17"/>
      <c r="AX661" s="17"/>
    </row>
    <row r="662" ht="21.75" customHeight="1">
      <c r="A662" s="17"/>
      <c r="P662" s="17"/>
      <c r="AC662" s="17"/>
      <c r="AO662" s="17"/>
      <c r="AX662" s="17"/>
    </row>
    <row r="663" ht="21.75" customHeight="1">
      <c r="A663" s="17"/>
      <c r="P663" s="17"/>
      <c r="AC663" s="17"/>
      <c r="AO663" s="17"/>
      <c r="AX663" s="17"/>
    </row>
    <row r="664" ht="21.75" customHeight="1">
      <c r="A664" s="17"/>
      <c r="P664" s="17"/>
      <c r="AC664" s="17"/>
      <c r="AO664" s="17"/>
      <c r="AX664" s="17"/>
    </row>
    <row r="665" ht="21.75" customHeight="1">
      <c r="A665" s="17"/>
      <c r="P665" s="17"/>
      <c r="AC665" s="17"/>
      <c r="AO665" s="17"/>
      <c r="AX665" s="17"/>
    </row>
    <row r="666" ht="21.75" customHeight="1">
      <c r="A666" s="17"/>
      <c r="P666" s="17"/>
      <c r="AC666" s="17"/>
      <c r="AO666" s="17"/>
      <c r="AX666" s="17"/>
    </row>
    <row r="667" ht="21.75" customHeight="1">
      <c r="A667" s="17"/>
      <c r="P667" s="17"/>
      <c r="AC667" s="17"/>
      <c r="AO667" s="17"/>
      <c r="AX667" s="17"/>
    </row>
    <row r="668" ht="21.75" customHeight="1">
      <c r="A668" s="17"/>
      <c r="P668" s="17"/>
      <c r="AC668" s="17"/>
      <c r="AO668" s="17"/>
      <c r="AX668" s="17"/>
    </row>
    <row r="669" ht="21.75" customHeight="1">
      <c r="A669" s="17"/>
      <c r="P669" s="17"/>
      <c r="AC669" s="17"/>
      <c r="AO669" s="17"/>
      <c r="AX669" s="17"/>
    </row>
    <row r="670" ht="21.75" customHeight="1">
      <c r="A670" s="17"/>
      <c r="P670" s="17"/>
      <c r="AC670" s="17"/>
      <c r="AO670" s="17"/>
      <c r="AX670" s="17"/>
    </row>
    <row r="671" ht="21.75" customHeight="1">
      <c r="A671" s="17"/>
      <c r="P671" s="17"/>
      <c r="AC671" s="17"/>
      <c r="AO671" s="17"/>
      <c r="AX671" s="17"/>
    </row>
    <row r="672" ht="21.75" customHeight="1">
      <c r="A672" s="17"/>
      <c r="P672" s="17"/>
      <c r="AC672" s="17"/>
      <c r="AO672" s="17"/>
      <c r="AX672" s="17"/>
    </row>
    <row r="673" ht="21.75" customHeight="1">
      <c r="A673" s="17"/>
      <c r="P673" s="17"/>
      <c r="AC673" s="17"/>
      <c r="AO673" s="17"/>
      <c r="AX673" s="17"/>
    </row>
    <row r="674" ht="21.75" customHeight="1">
      <c r="A674" s="17"/>
      <c r="P674" s="17"/>
      <c r="AC674" s="17"/>
      <c r="AO674" s="17"/>
      <c r="AX674" s="17"/>
    </row>
    <row r="675" ht="21.75" customHeight="1">
      <c r="A675" s="17"/>
      <c r="P675" s="17"/>
      <c r="AC675" s="17"/>
      <c r="AO675" s="17"/>
      <c r="AX675" s="17"/>
    </row>
    <row r="676" ht="21.75" customHeight="1">
      <c r="A676" s="17"/>
      <c r="P676" s="17"/>
      <c r="AC676" s="17"/>
      <c r="AO676" s="17"/>
      <c r="AX676" s="17"/>
    </row>
    <row r="677" ht="21.75" customHeight="1">
      <c r="A677" s="17"/>
      <c r="P677" s="17"/>
      <c r="AC677" s="17"/>
      <c r="AO677" s="17"/>
      <c r="AX677" s="17"/>
    </row>
    <row r="678" ht="21.75" customHeight="1">
      <c r="A678" s="17"/>
      <c r="P678" s="17"/>
      <c r="AC678" s="17"/>
      <c r="AO678" s="17"/>
      <c r="AX678" s="17"/>
    </row>
    <row r="679" ht="21.75" customHeight="1">
      <c r="A679" s="17"/>
      <c r="P679" s="17"/>
      <c r="AC679" s="17"/>
      <c r="AO679" s="17"/>
      <c r="AX679" s="17"/>
    </row>
    <row r="680" ht="21.75" customHeight="1">
      <c r="A680" s="17"/>
      <c r="P680" s="17"/>
      <c r="AC680" s="17"/>
      <c r="AO680" s="17"/>
      <c r="AX680" s="17"/>
    </row>
    <row r="681" ht="21.75" customHeight="1">
      <c r="A681" s="17"/>
      <c r="P681" s="17"/>
      <c r="AC681" s="17"/>
      <c r="AO681" s="17"/>
      <c r="AX681" s="17"/>
    </row>
    <row r="682" ht="21.75" customHeight="1">
      <c r="A682" s="17"/>
      <c r="P682" s="17"/>
      <c r="AC682" s="17"/>
      <c r="AO682" s="17"/>
      <c r="AX682" s="17"/>
    </row>
    <row r="683" ht="21.75" customHeight="1">
      <c r="A683" s="17"/>
      <c r="P683" s="17"/>
      <c r="AC683" s="17"/>
      <c r="AO683" s="17"/>
      <c r="AX683" s="17"/>
    </row>
    <row r="684" ht="21.75" customHeight="1">
      <c r="A684" s="17"/>
      <c r="P684" s="17"/>
      <c r="AC684" s="17"/>
      <c r="AO684" s="17"/>
      <c r="AX684" s="17"/>
    </row>
    <row r="685" ht="21.75" customHeight="1">
      <c r="A685" s="17"/>
      <c r="P685" s="17"/>
      <c r="AC685" s="17"/>
      <c r="AO685" s="17"/>
      <c r="AX685" s="17"/>
    </row>
    <row r="686" ht="21.75" customHeight="1">
      <c r="A686" s="17"/>
      <c r="P686" s="17"/>
      <c r="AC686" s="17"/>
      <c r="AO686" s="17"/>
      <c r="AX686" s="17"/>
    </row>
    <row r="687" ht="21.75" customHeight="1">
      <c r="A687" s="17"/>
      <c r="P687" s="17"/>
      <c r="AC687" s="17"/>
      <c r="AO687" s="17"/>
      <c r="AX687" s="17"/>
    </row>
    <row r="688" ht="21.75" customHeight="1">
      <c r="A688" s="17"/>
      <c r="P688" s="17"/>
      <c r="AC688" s="17"/>
      <c r="AO688" s="17"/>
      <c r="AX688" s="17"/>
    </row>
    <row r="689" ht="21.75" customHeight="1">
      <c r="A689" s="17"/>
      <c r="P689" s="17"/>
      <c r="AC689" s="17"/>
      <c r="AO689" s="17"/>
      <c r="AX689" s="17"/>
    </row>
    <row r="690" ht="21.75" customHeight="1">
      <c r="A690" s="17"/>
      <c r="P690" s="17"/>
      <c r="AC690" s="17"/>
      <c r="AO690" s="17"/>
      <c r="AX690" s="17"/>
    </row>
    <row r="691" ht="21.75" customHeight="1">
      <c r="A691" s="17"/>
      <c r="P691" s="17"/>
      <c r="AC691" s="17"/>
      <c r="AO691" s="17"/>
      <c r="AX691" s="17"/>
    </row>
    <row r="692" ht="21.75" customHeight="1">
      <c r="A692" s="17"/>
      <c r="P692" s="17"/>
      <c r="AC692" s="17"/>
      <c r="AO692" s="17"/>
      <c r="AX692" s="17"/>
    </row>
    <row r="693" ht="21.75" customHeight="1">
      <c r="A693" s="17"/>
      <c r="P693" s="17"/>
      <c r="AC693" s="17"/>
      <c r="AO693" s="17"/>
      <c r="AX693" s="17"/>
    </row>
    <row r="694" ht="21.75" customHeight="1">
      <c r="A694" s="17"/>
      <c r="P694" s="17"/>
      <c r="AC694" s="17"/>
      <c r="AO694" s="17"/>
      <c r="AX694" s="17"/>
    </row>
    <row r="695" ht="21.75" customHeight="1">
      <c r="A695" s="17"/>
      <c r="P695" s="17"/>
      <c r="AC695" s="17"/>
      <c r="AO695" s="17"/>
      <c r="AX695" s="17"/>
    </row>
    <row r="696" ht="21.75" customHeight="1">
      <c r="A696" s="17"/>
      <c r="P696" s="17"/>
      <c r="AC696" s="17"/>
      <c r="AO696" s="17"/>
      <c r="AX696" s="17"/>
    </row>
    <row r="697" ht="21.75" customHeight="1">
      <c r="A697" s="17"/>
      <c r="P697" s="17"/>
      <c r="AC697" s="17"/>
      <c r="AO697" s="17"/>
      <c r="AX697" s="17"/>
    </row>
    <row r="698" ht="21.75" customHeight="1">
      <c r="A698" s="17"/>
      <c r="P698" s="17"/>
      <c r="AC698" s="17"/>
      <c r="AO698" s="17"/>
      <c r="AX698" s="17"/>
    </row>
    <row r="699" ht="21.75" customHeight="1">
      <c r="A699" s="17"/>
      <c r="P699" s="17"/>
      <c r="AC699" s="17"/>
      <c r="AO699" s="17"/>
      <c r="AX699" s="17"/>
    </row>
    <row r="700" ht="21.75" customHeight="1">
      <c r="A700" s="17"/>
      <c r="P700" s="17"/>
      <c r="AC700" s="17"/>
      <c r="AO700" s="17"/>
      <c r="AX700" s="17"/>
    </row>
    <row r="701" ht="21.75" customHeight="1">
      <c r="A701" s="17"/>
      <c r="P701" s="17"/>
      <c r="AC701" s="17"/>
      <c r="AO701" s="17"/>
      <c r="AX701" s="17"/>
    </row>
    <row r="702" ht="21.75" customHeight="1">
      <c r="A702" s="17"/>
      <c r="P702" s="17"/>
      <c r="AC702" s="17"/>
      <c r="AO702" s="17"/>
      <c r="AX702" s="17"/>
    </row>
    <row r="703" ht="21.75" customHeight="1">
      <c r="A703" s="17"/>
      <c r="P703" s="17"/>
      <c r="AC703" s="17"/>
      <c r="AO703" s="17"/>
      <c r="AX703" s="17"/>
    </row>
    <row r="704" ht="21.75" customHeight="1">
      <c r="A704" s="17"/>
      <c r="P704" s="17"/>
      <c r="AC704" s="17"/>
      <c r="AO704" s="17"/>
      <c r="AX704" s="17"/>
    </row>
    <row r="705" ht="21.75" customHeight="1">
      <c r="A705" s="17"/>
      <c r="P705" s="17"/>
      <c r="AC705" s="17"/>
      <c r="AO705" s="17"/>
      <c r="AX705" s="17"/>
    </row>
    <row r="706" ht="21.75" customHeight="1">
      <c r="A706" s="17"/>
      <c r="P706" s="17"/>
      <c r="AC706" s="17"/>
      <c r="AO706" s="17"/>
      <c r="AX706" s="17"/>
    </row>
    <row r="707" ht="21.75" customHeight="1">
      <c r="A707" s="17"/>
      <c r="P707" s="17"/>
      <c r="AC707" s="17"/>
      <c r="AO707" s="17"/>
      <c r="AX707" s="17"/>
    </row>
    <row r="708" ht="21.75" customHeight="1">
      <c r="A708" s="17"/>
      <c r="P708" s="17"/>
      <c r="AC708" s="17"/>
      <c r="AO708" s="17"/>
      <c r="AX708" s="17"/>
    </row>
    <row r="709" ht="21.75" customHeight="1">
      <c r="A709" s="17"/>
      <c r="P709" s="17"/>
      <c r="AC709" s="17"/>
      <c r="AO709" s="17"/>
      <c r="AX709" s="17"/>
    </row>
    <row r="710" ht="21.75" customHeight="1">
      <c r="A710" s="17"/>
      <c r="P710" s="17"/>
      <c r="AC710" s="17"/>
      <c r="AO710" s="17"/>
      <c r="AX710" s="17"/>
    </row>
    <row r="711" ht="21.75" customHeight="1">
      <c r="A711" s="17"/>
      <c r="P711" s="17"/>
      <c r="AC711" s="17"/>
      <c r="AO711" s="17"/>
      <c r="AX711" s="17"/>
    </row>
    <row r="712" ht="21.75" customHeight="1">
      <c r="A712" s="17"/>
      <c r="P712" s="17"/>
      <c r="AC712" s="17"/>
      <c r="AO712" s="17"/>
      <c r="AX712" s="17"/>
    </row>
    <row r="713" ht="21.75" customHeight="1">
      <c r="A713" s="17"/>
      <c r="P713" s="17"/>
      <c r="AC713" s="17"/>
      <c r="AO713" s="17"/>
      <c r="AX713" s="17"/>
    </row>
    <row r="714" ht="21.75" customHeight="1">
      <c r="A714" s="17"/>
      <c r="P714" s="17"/>
      <c r="AC714" s="17"/>
      <c r="AO714" s="17"/>
      <c r="AX714" s="17"/>
    </row>
    <row r="715" ht="21.75" customHeight="1">
      <c r="A715" s="17"/>
      <c r="P715" s="17"/>
      <c r="AC715" s="17"/>
      <c r="AO715" s="17"/>
      <c r="AX715" s="17"/>
    </row>
    <row r="716" ht="21.75" customHeight="1">
      <c r="A716" s="17"/>
      <c r="P716" s="17"/>
      <c r="AC716" s="17"/>
      <c r="AO716" s="17"/>
      <c r="AX716" s="17"/>
    </row>
    <row r="717" ht="21.75" customHeight="1">
      <c r="A717" s="17"/>
      <c r="P717" s="17"/>
      <c r="AC717" s="17"/>
      <c r="AO717" s="17"/>
      <c r="AX717" s="17"/>
    </row>
    <row r="718" ht="21.75" customHeight="1">
      <c r="A718" s="17"/>
      <c r="P718" s="17"/>
      <c r="AC718" s="17"/>
      <c r="AO718" s="17"/>
      <c r="AX718" s="17"/>
    </row>
    <row r="719" ht="21.75" customHeight="1">
      <c r="A719" s="17"/>
      <c r="P719" s="17"/>
      <c r="AC719" s="17"/>
      <c r="AO719" s="17"/>
      <c r="AX719" s="17"/>
    </row>
    <row r="720" ht="21.75" customHeight="1">
      <c r="A720" s="17"/>
      <c r="P720" s="17"/>
      <c r="AC720" s="17"/>
      <c r="AO720" s="17"/>
      <c r="AX720" s="17"/>
    </row>
    <row r="721" ht="21.75" customHeight="1">
      <c r="A721" s="17"/>
      <c r="P721" s="17"/>
      <c r="AC721" s="17"/>
      <c r="AO721" s="17"/>
      <c r="AX721" s="17"/>
    </row>
    <row r="722" ht="21.75" customHeight="1">
      <c r="A722" s="17"/>
      <c r="P722" s="17"/>
      <c r="AC722" s="17"/>
      <c r="AO722" s="17"/>
      <c r="AX722" s="17"/>
    </row>
    <row r="723" ht="21.75" customHeight="1">
      <c r="A723" s="17"/>
      <c r="P723" s="17"/>
      <c r="AC723" s="17"/>
      <c r="AO723" s="17"/>
      <c r="AX723" s="17"/>
    </row>
    <row r="724" ht="21.75" customHeight="1">
      <c r="A724" s="17"/>
      <c r="P724" s="17"/>
      <c r="AC724" s="17"/>
      <c r="AO724" s="17"/>
      <c r="AX724" s="17"/>
    </row>
    <row r="725" ht="21.75" customHeight="1">
      <c r="A725" s="17"/>
      <c r="P725" s="17"/>
      <c r="AC725" s="17"/>
      <c r="AO725" s="17"/>
      <c r="AX725" s="17"/>
    </row>
    <row r="726" ht="21.75" customHeight="1">
      <c r="A726" s="17"/>
      <c r="P726" s="17"/>
      <c r="AC726" s="17"/>
      <c r="AO726" s="17"/>
      <c r="AX726" s="17"/>
    </row>
    <row r="727" ht="21.75" customHeight="1">
      <c r="A727" s="17"/>
      <c r="P727" s="17"/>
      <c r="AC727" s="17"/>
      <c r="AO727" s="17"/>
      <c r="AX727" s="17"/>
    </row>
    <row r="728" ht="21.75" customHeight="1">
      <c r="A728" s="17"/>
      <c r="P728" s="17"/>
      <c r="AC728" s="17"/>
      <c r="AO728" s="17"/>
      <c r="AX728" s="17"/>
    </row>
    <row r="729" ht="21.75" customHeight="1">
      <c r="A729" s="17"/>
      <c r="P729" s="17"/>
      <c r="AC729" s="17"/>
      <c r="AO729" s="17"/>
      <c r="AX729" s="17"/>
    </row>
    <row r="730" ht="21.75" customHeight="1">
      <c r="A730" s="17"/>
      <c r="P730" s="17"/>
      <c r="AC730" s="17"/>
      <c r="AO730" s="17"/>
      <c r="AX730" s="17"/>
    </row>
    <row r="731" ht="21.75" customHeight="1">
      <c r="A731" s="17"/>
      <c r="P731" s="17"/>
      <c r="AC731" s="17"/>
      <c r="AO731" s="17"/>
      <c r="AX731" s="17"/>
    </row>
    <row r="732" ht="21.75" customHeight="1">
      <c r="A732" s="17"/>
      <c r="P732" s="17"/>
      <c r="AC732" s="17"/>
      <c r="AO732" s="17"/>
      <c r="AX732" s="17"/>
    </row>
    <row r="733" ht="21.75" customHeight="1">
      <c r="A733" s="17"/>
      <c r="P733" s="17"/>
      <c r="AC733" s="17"/>
      <c r="AO733" s="17"/>
      <c r="AX733" s="17"/>
    </row>
    <row r="734" ht="21.75" customHeight="1">
      <c r="A734" s="17"/>
      <c r="P734" s="17"/>
      <c r="AC734" s="17"/>
      <c r="AO734" s="17"/>
      <c r="AX734" s="17"/>
    </row>
    <row r="735" ht="21.75" customHeight="1">
      <c r="A735" s="17"/>
      <c r="P735" s="17"/>
      <c r="AC735" s="17"/>
      <c r="AO735" s="17"/>
      <c r="AX735" s="17"/>
    </row>
    <row r="736" ht="21.75" customHeight="1">
      <c r="A736" s="17"/>
      <c r="P736" s="17"/>
      <c r="AC736" s="17"/>
      <c r="AO736" s="17"/>
      <c r="AX736" s="17"/>
    </row>
    <row r="737" ht="21.75" customHeight="1">
      <c r="A737" s="17"/>
      <c r="P737" s="17"/>
      <c r="AC737" s="17"/>
      <c r="AO737" s="17"/>
      <c r="AX737" s="17"/>
    </row>
    <row r="738" ht="21.75" customHeight="1">
      <c r="A738" s="17"/>
      <c r="P738" s="17"/>
      <c r="AC738" s="17"/>
      <c r="AO738" s="17"/>
      <c r="AX738" s="17"/>
    </row>
    <row r="739" ht="21.75" customHeight="1">
      <c r="A739" s="17"/>
      <c r="P739" s="17"/>
      <c r="AC739" s="17"/>
      <c r="AO739" s="17"/>
      <c r="AX739" s="17"/>
    </row>
    <row r="740" ht="21.75" customHeight="1">
      <c r="A740" s="17"/>
      <c r="P740" s="17"/>
      <c r="AC740" s="17"/>
      <c r="AO740" s="17"/>
      <c r="AX740" s="17"/>
    </row>
    <row r="741" ht="21.75" customHeight="1">
      <c r="A741" s="17"/>
      <c r="P741" s="17"/>
      <c r="AC741" s="17"/>
      <c r="AO741" s="17"/>
      <c r="AX741" s="17"/>
    </row>
    <row r="742" ht="21.75" customHeight="1">
      <c r="A742" s="17"/>
      <c r="P742" s="17"/>
      <c r="AC742" s="17"/>
      <c r="AO742" s="17"/>
      <c r="AX742" s="17"/>
    </row>
    <row r="743" ht="21.75" customHeight="1">
      <c r="A743" s="17"/>
      <c r="P743" s="17"/>
      <c r="AC743" s="17"/>
      <c r="AO743" s="17"/>
      <c r="AX743" s="17"/>
    </row>
    <row r="744" ht="21.75" customHeight="1">
      <c r="A744" s="17"/>
      <c r="P744" s="17"/>
      <c r="AC744" s="17"/>
      <c r="AO744" s="17"/>
      <c r="AX744" s="17"/>
    </row>
    <row r="745" ht="21.75" customHeight="1">
      <c r="A745" s="17"/>
      <c r="P745" s="17"/>
      <c r="AC745" s="17"/>
      <c r="AO745" s="17"/>
      <c r="AX745" s="17"/>
    </row>
    <row r="746" ht="21.75" customHeight="1">
      <c r="A746" s="17"/>
      <c r="P746" s="17"/>
      <c r="AC746" s="17"/>
      <c r="AO746" s="17"/>
      <c r="AX746" s="17"/>
    </row>
    <row r="747" ht="21.75" customHeight="1">
      <c r="A747" s="17"/>
      <c r="P747" s="17"/>
      <c r="AC747" s="17"/>
      <c r="AO747" s="17"/>
      <c r="AX747" s="17"/>
    </row>
    <row r="748" ht="21.75" customHeight="1">
      <c r="A748" s="17"/>
      <c r="P748" s="17"/>
      <c r="AC748" s="17"/>
      <c r="AO748" s="17"/>
      <c r="AX748" s="17"/>
    </row>
    <row r="749" ht="21.75" customHeight="1">
      <c r="A749" s="17"/>
      <c r="P749" s="17"/>
      <c r="AC749" s="17"/>
      <c r="AO749" s="17"/>
      <c r="AX749" s="17"/>
    </row>
    <row r="750" ht="21.75" customHeight="1">
      <c r="A750" s="17"/>
      <c r="P750" s="17"/>
      <c r="AC750" s="17"/>
      <c r="AO750" s="17"/>
      <c r="AX750" s="17"/>
    </row>
    <row r="751" ht="21.75" customHeight="1">
      <c r="A751" s="17"/>
      <c r="P751" s="17"/>
      <c r="AC751" s="17"/>
      <c r="AO751" s="17"/>
      <c r="AX751" s="17"/>
    </row>
    <row r="752" ht="21.75" customHeight="1">
      <c r="A752" s="17"/>
      <c r="P752" s="17"/>
      <c r="AC752" s="17"/>
      <c r="AO752" s="17"/>
      <c r="AX752" s="17"/>
    </row>
    <row r="753" ht="21.75" customHeight="1">
      <c r="A753" s="17"/>
      <c r="P753" s="17"/>
      <c r="AC753" s="17"/>
      <c r="AO753" s="17"/>
      <c r="AX753" s="17"/>
    </row>
    <row r="754" ht="21.75" customHeight="1">
      <c r="A754" s="17"/>
      <c r="P754" s="17"/>
      <c r="AC754" s="17"/>
      <c r="AO754" s="17"/>
      <c r="AX754" s="17"/>
    </row>
    <row r="755" ht="21.75" customHeight="1">
      <c r="A755" s="17"/>
      <c r="P755" s="17"/>
      <c r="AC755" s="17"/>
      <c r="AO755" s="17"/>
      <c r="AX755" s="17"/>
    </row>
    <row r="756" ht="21.75" customHeight="1">
      <c r="A756" s="17"/>
      <c r="P756" s="17"/>
      <c r="AC756" s="17"/>
      <c r="AO756" s="17"/>
      <c r="AX756" s="17"/>
    </row>
    <row r="757" ht="21.75" customHeight="1">
      <c r="A757" s="17"/>
      <c r="P757" s="17"/>
      <c r="AC757" s="17"/>
      <c r="AO757" s="17"/>
      <c r="AX757" s="17"/>
    </row>
    <row r="758" ht="21.75" customHeight="1">
      <c r="A758" s="17"/>
      <c r="P758" s="17"/>
      <c r="AC758" s="17"/>
      <c r="AO758" s="17"/>
      <c r="AX758" s="17"/>
    </row>
    <row r="759" ht="21.75" customHeight="1">
      <c r="A759" s="17"/>
      <c r="P759" s="17"/>
      <c r="AC759" s="17"/>
      <c r="AO759" s="17"/>
      <c r="AX759" s="17"/>
    </row>
    <row r="760" ht="21.75" customHeight="1">
      <c r="A760" s="17"/>
      <c r="P760" s="17"/>
      <c r="AC760" s="17"/>
      <c r="AO760" s="17"/>
      <c r="AX760" s="17"/>
    </row>
    <row r="761" ht="21.75" customHeight="1">
      <c r="A761" s="17"/>
      <c r="P761" s="17"/>
      <c r="AC761" s="17"/>
      <c r="AO761" s="17"/>
      <c r="AX761" s="17"/>
    </row>
    <row r="762" ht="21.75" customHeight="1">
      <c r="A762" s="17"/>
      <c r="P762" s="17"/>
      <c r="AC762" s="17"/>
      <c r="AO762" s="17"/>
      <c r="AX762" s="17"/>
    </row>
    <row r="763" ht="21.75" customHeight="1">
      <c r="A763" s="17"/>
      <c r="P763" s="17"/>
      <c r="AC763" s="17"/>
      <c r="AO763" s="17"/>
      <c r="AX763" s="17"/>
    </row>
    <row r="764" ht="21.75" customHeight="1">
      <c r="A764" s="17"/>
      <c r="P764" s="17"/>
      <c r="AC764" s="17"/>
      <c r="AO764" s="17"/>
      <c r="AX764" s="17"/>
    </row>
    <row r="765" ht="21.75" customHeight="1">
      <c r="A765" s="17"/>
      <c r="P765" s="17"/>
      <c r="AC765" s="17"/>
      <c r="AO765" s="17"/>
      <c r="AX765" s="17"/>
    </row>
    <row r="766" ht="21.75" customHeight="1">
      <c r="A766" s="17"/>
      <c r="P766" s="17"/>
      <c r="AC766" s="17"/>
      <c r="AO766" s="17"/>
      <c r="AX766" s="17"/>
    </row>
    <row r="767" ht="21.75" customHeight="1">
      <c r="A767" s="17"/>
      <c r="P767" s="17"/>
      <c r="AC767" s="17"/>
      <c r="AO767" s="17"/>
      <c r="AX767" s="17"/>
    </row>
    <row r="768" ht="21.75" customHeight="1">
      <c r="A768" s="17"/>
      <c r="P768" s="17"/>
      <c r="AC768" s="17"/>
      <c r="AO768" s="17"/>
      <c r="AX768" s="17"/>
    </row>
    <row r="769" ht="21.75" customHeight="1">
      <c r="A769" s="17"/>
      <c r="P769" s="17"/>
      <c r="AC769" s="17"/>
      <c r="AO769" s="17"/>
      <c r="AX769" s="17"/>
    </row>
    <row r="770" ht="21.75" customHeight="1">
      <c r="A770" s="17"/>
      <c r="P770" s="17"/>
      <c r="AC770" s="17"/>
      <c r="AO770" s="17"/>
      <c r="AX770" s="17"/>
    </row>
    <row r="771" ht="21.75" customHeight="1">
      <c r="A771" s="17"/>
      <c r="P771" s="17"/>
      <c r="AC771" s="17"/>
      <c r="AO771" s="17"/>
      <c r="AX771" s="17"/>
    </row>
    <row r="772" ht="21.75" customHeight="1">
      <c r="A772" s="17"/>
      <c r="P772" s="17"/>
      <c r="AC772" s="17"/>
      <c r="AO772" s="17"/>
      <c r="AX772" s="17"/>
    </row>
    <row r="773" ht="21.75" customHeight="1">
      <c r="A773" s="17"/>
      <c r="P773" s="17"/>
      <c r="AC773" s="17"/>
      <c r="AO773" s="17"/>
      <c r="AX773" s="17"/>
    </row>
    <row r="774" ht="21.75" customHeight="1">
      <c r="A774" s="17"/>
      <c r="P774" s="17"/>
      <c r="AC774" s="17"/>
      <c r="AO774" s="17"/>
      <c r="AX774" s="17"/>
    </row>
    <row r="775" ht="21.75" customHeight="1">
      <c r="A775" s="17"/>
      <c r="P775" s="17"/>
      <c r="AC775" s="17"/>
      <c r="AO775" s="17"/>
      <c r="AX775" s="17"/>
    </row>
    <row r="776" ht="21.75" customHeight="1">
      <c r="A776" s="17"/>
      <c r="P776" s="17"/>
      <c r="AC776" s="17"/>
      <c r="AO776" s="17"/>
      <c r="AX776" s="17"/>
    </row>
    <row r="777" ht="21.75" customHeight="1">
      <c r="A777" s="17"/>
      <c r="P777" s="17"/>
      <c r="AC777" s="17"/>
      <c r="AO777" s="17"/>
      <c r="AX777" s="17"/>
    </row>
    <row r="778" ht="21.75" customHeight="1">
      <c r="A778" s="17"/>
      <c r="P778" s="17"/>
      <c r="AC778" s="17"/>
      <c r="AO778" s="17"/>
      <c r="AX778" s="17"/>
    </row>
    <row r="779" ht="21.75" customHeight="1">
      <c r="A779" s="17"/>
      <c r="P779" s="17"/>
      <c r="AC779" s="17"/>
      <c r="AO779" s="17"/>
      <c r="AX779" s="17"/>
    </row>
    <row r="780" ht="21.75" customHeight="1">
      <c r="A780" s="17"/>
      <c r="P780" s="17"/>
      <c r="AC780" s="17"/>
      <c r="AO780" s="17"/>
      <c r="AX780" s="17"/>
    </row>
    <row r="781" ht="21.75" customHeight="1">
      <c r="A781" s="17"/>
      <c r="P781" s="17"/>
      <c r="AC781" s="17"/>
      <c r="AO781" s="17"/>
      <c r="AX781" s="17"/>
    </row>
    <row r="782" ht="21.75" customHeight="1">
      <c r="A782" s="17"/>
      <c r="P782" s="17"/>
      <c r="AC782" s="17"/>
      <c r="AO782" s="17"/>
      <c r="AX782" s="17"/>
    </row>
    <row r="783" ht="21.75" customHeight="1">
      <c r="A783" s="17"/>
      <c r="P783" s="17"/>
      <c r="AC783" s="17"/>
      <c r="AO783" s="17"/>
      <c r="AX783" s="17"/>
    </row>
    <row r="784" ht="21.75" customHeight="1">
      <c r="A784" s="17"/>
      <c r="P784" s="17"/>
      <c r="AC784" s="17"/>
      <c r="AO784" s="17"/>
      <c r="AX784" s="17"/>
    </row>
    <row r="785" ht="21.75" customHeight="1">
      <c r="A785" s="17"/>
      <c r="P785" s="17"/>
      <c r="AC785" s="17"/>
      <c r="AO785" s="17"/>
      <c r="AX785" s="17"/>
    </row>
    <row r="786" ht="21.75" customHeight="1">
      <c r="A786" s="17"/>
      <c r="P786" s="17"/>
      <c r="AC786" s="17"/>
      <c r="AO786" s="17"/>
      <c r="AX786" s="17"/>
    </row>
    <row r="787" ht="21.75" customHeight="1">
      <c r="A787" s="17"/>
      <c r="P787" s="17"/>
      <c r="AC787" s="17"/>
      <c r="AO787" s="17"/>
      <c r="AX787" s="17"/>
    </row>
    <row r="788" ht="21.75" customHeight="1">
      <c r="A788" s="17"/>
      <c r="P788" s="17"/>
      <c r="AC788" s="17"/>
      <c r="AO788" s="17"/>
      <c r="AX788" s="17"/>
    </row>
    <row r="789" ht="21.75" customHeight="1">
      <c r="A789" s="17"/>
      <c r="P789" s="17"/>
      <c r="AC789" s="17"/>
      <c r="AO789" s="17"/>
      <c r="AX789" s="17"/>
    </row>
    <row r="790" ht="21.75" customHeight="1">
      <c r="A790" s="17"/>
      <c r="P790" s="17"/>
      <c r="AC790" s="17"/>
      <c r="AO790" s="17"/>
      <c r="AX790" s="17"/>
    </row>
    <row r="791" ht="21.75" customHeight="1">
      <c r="A791" s="17"/>
      <c r="P791" s="17"/>
      <c r="AC791" s="17"/>
      <c r="AO791" s="17"/>
      <c r="AX791" s="17"/>
    </row>
    <row r="792" ht="21.75" customHeight="1">
      <c r="A792" s="17"/>
      <c r="P792" s="17"/>
      <c r="AC792" s="17"/>
      <c r="AO792" s="17"/>
      <c r="AX792" s="17"/>
    </row>
    <row r="793" ht="21.75" customHeight="1">
      <c r="A793" s="17"/>
      <c r="P793" s="17"/>
      <c r="AC793" s="17"/>
      <c r="AO793" s="17"/>
      <c r="AX793" s="17"/>
    </row>
    <row r="794" ht="21.75" customHeight="1">
      <c r="A794" s="17"/>
      <c r="P794" s="17"/>
      <c r="AC794" s="17"/>
      <c r="AO794" s="17"/>
      <c r="AX794" s="17"/>
    </row>
    <row r="795" ht="21.75" customHeight="1">
      <c r="A795" s="17"/>
      <c r="P795" s="17"/>
      <c r="AC795" s="17"/>
      <c r="AO795" s="17"/>
      <c r="AX795" s="17"/>
    </row>
    <row r="796" ht="21.75" customHeight="1">
      <c r="A796" s="17"/>
      <c r="P796" s="17"/>
      <c r="AC796" s="17"/>
      <c r="AO796" s="17"/>
      <c r="AX796" s="17"/>
    </row>
    <row r="797" ht="21.75" customHeight="1">
      <c r="A797" s="17"/>
      <c r="P797" s="17"/>
      <c r="AC797" s="17"/>
      <c r="AO797" s="17"/>
      <c r="AX797" s="17"/>
    </row>
    <row r="798" ht="21.75" customHeight="1">
      <c r="A798" s="17"/>
      <c r="P798" s="17"/>
      <c r="AC798" s="17"/>
      <c r="AO798" s="17"/>
      <c r="AX798" s="17"/>
    </row>
    <row r="799" ht="21.75" customHeight="1">
      <c r="A799" s="17"/>
      <c r="P799" s="17"/>
      <c r="AC799" s="17"/>
      <c r="AO799" s="17"/>
      <c r="AX799" s="17"/>
    </row>
    <row r="800" ht="21.75" customHeight="1">
      <c r="A800" s="17"/>
      <c r="P800" s="17"/>
      <c r="AC800" s="17"/>
      <c r="AO800" s="17"/>
      <c r="AX800" s="17"/>
    </row>
    <row r="801" ht="21.75" customHeight="1">
      <c r="A801" s="17"/>
      <c r="P801" s="17"/>
      <c r="AC801" s="17"/>
      <c r="AO801" s="17"/>
      <c r="AX801" s="17"/>
    </row>
    <row r="802" ht="21.75" customHeight="1">
      <c r="A802" s="17"/>
      <c r="P802" s="17"/>
      <c r="AC802" s="17"/>
      <c r="AO802" s="17"/>
      <c r="AX802" s="17"/>
    </row>
    <row r="803" ht="21.75" customHeight="1">
      <c r="A803" s="17"/>
      <c r="P803" s="17"/>
      <c r="AC803" s="17"/>
      <c r="AO803" s="17"/>
      <c r="AX803" s="17"/>
    </row>
    <row r="804" ht="21.75" customHeight="1">
      <c r="A804" s="17"/>
      <c r="P804" s="17"/>
      <c r="AC804" s="17"/>
      <c r="AO804" s="17"/>
      <c r="AX804" s="17"/>
    </row>
    <row r="805" ht="21.75" customHeight="1">
      <c r="A805" s="17"/>
      <c r="P805" s="17"/>
      <c r="AC805" s="17"/>
      <c r="AO805" s="17"/>
      <c r="AX805" s="17"/>
    </row>
    <row r="806" ht="21.75" customHeight="1">
      <c r="A806" s="17"/>
      <c r="P806" s="17"/>
      <c r="AC806" s="17"/>
      <c r="AO806" s="17"/>
      <c r="AX806" s="17"/>
    </row>
    <row r="807" ht="21.75" customHeight="1">
      <c r="A807" s="17"/>
      <c r="P807" s="17"/>
      <c r="AC807" s="17"/>
      <c r="AO807" s="17"/>
      <c r="AX807" s="17"/>
    </row>
    <row r="808" ht="21.75" customHeight="1">
      <c r="A808" s="17"/>
      <c r="P808" s="17"/>
      <c r="AC808" s="17"/>
      <c r="AO808" s="17"/>
      <c r="AX808" s="17"/>
    </row>
    <row r="809" ht="21.75" customHeight="1">
      <c r="A809" s="17"/>
      <c r="P809" s="17"/>
      <c r="AC809" s="17"/>
      <c r="AO809" s="17"/>
      <c r="AX809" s="17"/>
    </row>
    <row r="810" ht="21.75" customHeight="1">
      <c r="A810" s="17"/>
      <c r="P810" s="17"/>
      <c r="AC810" s="17"/>
      <c r="AO810" s="17"/>
      <c r="AX810" s="17"/>
    </row>
    <row r="811" ht="21.75" customHeight="1">
      <c r="A811" s="17"/>
      <c r="P811" s="17"/>
      <c r="AC811" s="17"/>
      <c r="AO811" s="17"/>
      <c r="AX811" s="17"/>
    </row>
    <row r="812" ht="21.75" customHeight="1">
      <c r="A812" s="17"/>
      <c r="P812" s="17"/>
      <c r="AC812" s="17"/>
      <c r="AO812" s="17"/>
      <c r="AX812" s="17"/>
    </row>
    <row r="813" ht="21.75" customHeight="1">
      <c r="A813" s="17"/>
      <c r="P813" s="17"/>
      <c r="AC813" s="17"/>
      <c r="AO813" s="17"/>
      <c r="AX813" s="17"/>
    </row>
    <row r="814" ht="21.75" customHeight="1">
      <c r="A814" s="17"/>
      <c r="P814" s="17"/>
      <c r="AC814" s="17"/>
      <c r="AO814" s="17"/>
      <c r="AX814" s="17"/>
    </row>
    <row r="815" ht="21.75" customHeight="1">
      <c r="A815" s="17"/>
      <c r="P815" s="17"/>
      <c r="AC815" s="17"/>
      <c r="AO815" s="17"/>
      <c r="AX815" s="17"/>
    </row>
    <row r="816" ht="21.75" customHeight="1">
      <c r="A816" s="17"/>
      <c r="P816" s="17"/>
      <c r="AC816" s="17"/>
      <c r="AO816" s="17"/>
      <c r="AX816" s="17"/>
    </row>
    <row r="817" ht="21.75" customHeight="1">
      <c r="A817" s="17"/>
      <c r="P817" s="17"/>
      <c r="AC817" s="17"/>
      <c r="AO817" s="17"/>
      <c r="AX817" s="17"/>
    </row>
    <row r="818" ht="21.75" customHeight="1">
      <c r="A818" s="17"/>
      <c r="P818" s="17"/>
      <c r="AC818" s="17"/>
      <c r="AO818" s="17"/>
      <c r="AX818" s="17"/>
    </row>
    <row r="819" ht="21.75" customHeight="1">
      <c r="A819" s="17"/>
      <c r="P819" s="17"/>
      <c r="AC819" s="17"/>
      <c r="AO819" s="17"/>
      <c r="AX819" s="17"/>
    </row>
    <row r="820" ht="21.75" customHeight="1">
      <c r="A820" s="17"/>
      <c r="P820" s="17"/>
      <c r="AC820" s="17"/>
      <c r="AO820" s="17"/>
      <c r="AX820" s="17"/>
    </row>
    <row r="821" ht="21.75" customHeight="1">
      <c r="A821" s="17"/>
      <c r="P821" s="17"/>
      <c r="AC821" s="17"/>
      <c r="AO821" s="17"/>
      <c r="AX821" s="17"/>
    </row>
    <row r="822" ht="21.75" customHeight="1">
      <c r="A822" s="17"/>
      <c r="P822" s="17"/>
      <c r="AC822" s="17"/>
      <c r="AO822" s="17"/>
      <c r="AX822" s="17"/>
    </row>
    <row r="823" ht="21.75" customHeight="1">
      <c r="A823" s="17"/>
      <c r="P823" s="17"/>
      <c r="AC823" s="17"/>
      <c r="AO823" s="17"/>
      <c r="AX823" s="17"/>
    </row>
    <row r="824" ht="21.75" customHeight="1">
      <c r="A824" s="17"/>
      <c r="P824" s="17"/>
      <c r="AC824" s="17"/>
      <c r="AO824" s="17"/>
      <c r="AX824" s="17"/>
    </row>
    <row r="825" ht="21.75" customHeight="1">
      <c r="A825" s="17"/>
      <c r="P825" s="17"/>
      <c r="AC825" s="17"/>
      <c r="AO825" s="17"/>
      <c r="AX825" s="17"/>
    </row>
    <row r="826" ht="21.75" customHeight="1">
      <c r="A826" s="17"/>
      <c r="P826" s="17"/>
      <c r="AC826" s="17"/>
      <c r="AO826" s="17"/>
      <c r="AX826" s="17"/>
    </row>
    <row r="827" ht="21.75" customHeight="1">
      <c r="A827" s="17"/>
      <c r="P827" s="17"/>
      <c r="AC827" s="17"/>
      <c r="AO827" s="17"/>
      <c r="AX827" s="17"/>
    </row>
    <row r="828" ht="21.75" customHeight="1">
      <c r="A828" s="17"/>
      <c r="P828" s="17"/>
      <c r="AC828" s="17"/>
      <c r="AO828" s="17"/>
      <c r="AX828" s="17"/>
    </row>
    <row r="829" ht="21.75" customHeight="1">
      <c r="A829" s="17"/>
      <c r="P829" s="17"/>
      <c r="AC829" s="17"/>
      <c r="AO829" s="17"/>
      <c r="AX829" s="17"/>
    </row>
    <row r="830" ht="21.75" customHeight="1">
      <c r="A830" s="17"/>
      <c r="P830" s="17"/>
      <c r="AC830" s="17"/>
      <c r="AO830" s="17"/>
      <c r="AX830" s="17"/>
    </row>
    <row r="831" ht="21.75" customHeight="1">
      <c r="A831" s="17"/>
      <c r="P831" s="17"/>
      <c r="AC831" s="17"/>
      <c r="AO831" s="17"/>
      <c r="AX831" s="17"/>
    </row>
    <row r="832" ht="21.75" customHeight="1">
      <c r="A832" s="17"/>
      <c r="P832" s="17"/>
      <c r="AC832" s="17"/>
      <c r="AO832" s="17"/>
      <c r="AX832" s="17"/>
    </row>
    <row r="833" ht="21.75" customHeight="1">
      <c r="A833" s="17"/>
      <c r="P833" s="17"/>
      <c r="AC833" s="17"/>
      <c r="AO833" s="17"/>
      <c r="AX833" s="17"/>
    </row>
    <row r="834" ht="21.75" customHeight="1">
      <c r="A834" s="17"/>
      <c r="P834" s="17"/>
      <c r="AC834" s="17"/>
      <c r="AO834" s="17"/>
      <c r="AX834" s="17"/>
    </row>
    <row r="835" ht="21.75" customHeight="1">
      <c r="A835" s="17"/>
      <c r="P835" s="17"/>
      <c r="AC835" s="17"/>
      <c r="AO835" s="17"/>
      <c r="AX835" s="17"/>
    </row>
    <row r="836" ht="21.75" customHeight="1">
      <c r="A836" s="17"/>
      <c r="P836" s="17"/>
      <c r="AC836" s="17"/>
      <c r="AO836" s="17"/>
      <c r="AX836" s="17"/>
    </row>
    <row r="837" ht="21.75" customHeight="1">
      <c r="A837" s="17"/>
      <c r="P837" s="17"/>
      <c r="AC837" s="17"/>
      <c r="AO837" s="17"/>
      <c r="AX837" s="17"/>
    </row>
    <row r="838" ht="21.75" customHeight="1">
      <c r="A838" s="17"/>
      <c r="P838" s="17"/>
      <c r="AC838" s="17"/>
      <c r="AO838" s="17"/>
      <c r="AX838" s="17"/>
    </row>
    <row r="839" ht="21.75" customHeight="1">
      <c r="A839" s="17"/>
      <c r="P839" s="17"/>
      <c r="AC839" s="17"/>
      <c r="AO839" s="17"/>
      <c r="AX839" s="17"/>
    </row>
    <row r="840" ht="21.75" customHeight="1">
      <c r="A840" s="17"/>
      <c r="P840" s="17"/>
      <c r="AC840" s="17"/>
      <c r="AO840" s="17"/>
      <c r="AX840" s="17"/>
    </row>
    <row r="841" ht="21.75" customHeight="1">
      <c r="A841" s="17"/>
      <c r="P841" s="17"/>
      <c r="AC841" s="17"/>
      <c r="AO841" s="17"/>
      <c r="AX841" s="17"/>
    </row>
    <row r="842" ht="21.75" customHeight="1">
      <c r="A842" s="17"/>
      <c r="P842" s="17"/>
      <c r="AC842" s="17"/>
      <c r="AO842" s="17"/>
      <c r="AX842" s="17"/>
    </row>
    <row r="843" ht="21.75" customHeight="1">
      <c r="A843" s="17"/>
      <c r="P843" s="17"/>
      <c r="AC843" s="17"/>
      <c r="AO843" s="17"/>
      <c r="AX843" s="17"/>
    </row>
    <row r="844" ht="21.75" customHeight="1">
      <c r="A844" s="17"/>
      <c r="P844" s="17"/>
      <c r="AC844" s="17"/>
      <c r="AO844" s="17"/>
      <c r="AX844" s="17"/>
    </row>
    <row r="845" ht="21.75" customHeight="1">
      <c r="A845" s="17"/>
      <c r="P845" s="17"/>
      <c r="AC845" s="17"/>
      <c r="AO845" s="17"/>
      <c r="AX845" s="17"/>
    </row>
    <row r="846" ht="21.75" customHeight="1">
      <c r="A846" s="17"/>
      <c r="P846" s="17"/>
      <c r="AC846" s="17"/>
      <c r="AO846" s="17"/>
      <c r="AX846" s="17"/>
    </row>
    <row r="847" ht="21.75" customHeight="1">
      <c r="A847" s="17"/>
      <c r="P847" s="17"/>
      <c r="AC847" s="17"/>
      <c r="AO847" s="17"/>
      <c r="AX847" s="17"/>
    </row>
    <row r="848" ht="21.75" customHeight="1">
      <c r="A848" s="17"/>
      <c r="P848" s="17"/>
      <c r="AC848" s="17"/>
      <c r="AO848" s="17"/>
      <c r="AX848" s="17"/>
    </row>
    <row r="849" ht="21.75" customHeight="1">
      <c r="A849" s="17"/>
      <c r="P849" s="17"/>
      <c r="AC849" s="17"/>
      <c r="AO849" s="17"/>
      <c r="AX849" s="17"/>
    </row>
    <row r="850" ht="21.75" customHeight="1">
      <c r="A850" s="17"/>
      <c r="P850" s="17"/>
      <c r="AC850" s="17"/>
      <c r="AO850" s="17"/>
      <c r="AX850" s="17"/>
    </row>
    <row r="851" ht="21.75" customHeight="1">
      <c r="A851" s="17"/>
      <c r="P851" s="17"/>
      <c r="AC851" s="17"/>
      <c r="AO851" s="17"/>
      <c r="AX851" s="17"/>
    </row>
    <row r="852" ht="21.75" customHeight="1">
      <c r="A852" s="17"/>
      <c r="P852" s="17"/>
      <c r="AC852" s="17"/>
      <c r="AO852" s="17"/>
      <c r="AX852" s="17"/>
    </row>
    <row r="853" ht="21.75" customHeight="1">
      <c r="A853" s="17"/>
      <c r="P853" s="17"/>
      <c r="AC853" s="17"/>
      <c r="AO853" s="17"/>
      <c r="AX853" s="17"/>
    </row>
    <row r="854" ht="21.75" customHeight="1">
      <c r="A854" s="17"/>
      <c r="P854" s="17"/>
      <c r="AC854" s="17"/>
      <c r="AO854" s="17"/>
      <c r="AX854" s="17"/>
    </row>
    <row r="855" ht="21.75" customHeight="1">
      <c r="A855" s="17"/>
      <c r="P855" s="17"/>
      <c r="AC855" s="17"/>
      <c r="AO855" s="17"/>
      <c r="AX855" s="17"/>
    </row>
    <row r="856" ht="21.75" customHeight="1">
      <c r="A856" s="17"/>
      <c r="P856" s="17"/>
      <c r="AC856" s="17"/>
      <c r="AO856" s="17"/>
      <c r="AX856" s="17"/>
    </row>
    <row r="857" ht="21.75" customHeight="1">
      <c r="A857" s="17"/>
      <c r="P857" s="17"/>
      <c r="AC857" s="17"/>
      <c r="AO857" s="17"/>
      <c r="AX857" s="17"/>
    </row>
    <row r="858" ht="21.75" customHeight="1">
      <c r="A858" s="17"/>
      <c r="P858" s="17"/>
      <c r="AC858" s="17"/>
      <c r="AO858" s="17"/>
      <c r="AX858" s="17"/>
    </row>
    <row r="859" ht="21.75" customHeight="1">
      <c r="A859" s="17"/>
      <c r="P859" s="17"/>
      <c r="AC859" s="17"/>
      <c r="AO859" s="17"/>
      <c r="AX859" s="17"/>
    </row>
    <row r="860" ht="21.75" customHeight="1">
      <c r="A860" s="17"/>
      <c r="P860" s="17"/>
      <c r="AC860" s="17"/>
      <c r="AO860" s="17"/>
      <c r="AX860" s="17"/>
    </row>
    <row r="861" ht="21.75" customHeight="1">
      <c r="A861" s="17"/>
      <c r="P861" s="17"/>
      <c r="AC861" s="17"/>
      <c r="AO861" s="17"/>
      <c r="AX861" s="17"/>
    </row>
    <row r="862" ht="21.75" customHeight="1">
      <c r="A862" s="17"/>
      <c r="P862" s="17"/>
      <c r="AC862" s="17"/>
      <c r="AO862" s="17"/>
      <c r="AX862" s="17"/>
    </row>
    <row r="863" ht="21.75" customHeight="1">
      <c r="A863" s="17"/>
      <c r="P863" s="17"/>
      <c r="AC863" s="17"/>
      <c r="AO863" s="17"/>
      <c r="AX863" s="17"/>
    </row>
    <row r="864" ht="21.75" customHeight="1">
      <c r="A864" s="17"/>
      <c r="P864" s="17"/>
      <c r="AC864" s="17"/>
      <c r="AO864" s="17"/>
      <c r="AX864" s="17"/>
    </row>
    <row r="865" ht="21.75" customHeight="1">
      <c r="A865" s="17"/>
      <c r="P865" s="17"/>
      <c r="AC865" s="17"/>
      <c r="AO865" s="17"/>
      <c r="AX865" s="17"/>
    </row>
    <row r="866" ht="21.75" customHeight="1">
      <c r="A866" s="17"/>
      <c r="P866" s="17"/>
      <c r="AC866" s="17"/>
      <c r="AO866" s="17"/>
      <c r="AX866" s="17"/>
    </row>
    <row r="867" ht="21.75" customHeight="1">
      <c r="A867" s="17"/>
      <c r="P867" s="17"/>
      <c r="AC867" s="17"/>
      <c r="AO867" s="17"/>
      <c r="AX867" s="17"/>
    </row>
    <row r="868" ht="21.75" customHeight="1">
      <c r="A868" s="17"/>
      <c r="P868" s="17"/>
      <c r="AC868" s="17"/>
      <c r="AO868" s="17"/>
      <c r="AX868" s="17"/>
    </row>
    <row r="869" ht="21.75" customHeight="1">
      <c r="A869" s="17"/>
      <c r="P869" s="17"/>
      <c r="AC869" s="17"/>
      <c r="AO869" s="17"/>
      <c r="AX869" s="17"/>
    </row>
    <row r="870" ht="21.75" customHeight="1">
      <c r="A870" s="17"/>
      <c r="P870" s="17"/>
      <c r="AC870" s="17"/>
      <c r="AO870" s="17"/>
      <c r="AX870" s="17"/>
    </row>
    <row r="871" ht="21.75" customHeight="1">
      <c r="A871" s="17"/>
      <c r="P871" s="17"/>
      <c r="AC871" s="17"/>
      <c r="AO871" s="17"/>
      <c r="AX871" s="17"/>
    </row>
    <row r="872" ht="21.75" customHeight="1">
      <c r="A872" s="17"/>
      <c r="P872" s="17"/>
      <c r="AC872" s="17"/>
      <c r="AO872" s="17"/>
      <c r="AX872" s="17"/>
    </row>
    <row r="873" ht="21.75" customHeight="1">
      <c r="A873" s="17"/>
      <c r="P873" s="17"/>
      <c r="AC873" s="17"/>
      <c r="AO873" s="17"/>
      <c r="AX873" s="17"/>
    </row>
    <row r="874" ht="21.75" customHeight="1">
      <c r="A874" s="17"/>
      <c r="P874" s="17"/>
      <c r="AC874" s="17"/>
      <c r="AO874" s="17"/>
      <c r="AX874" s="17"/>
    </row>
    <row r="875" ht="21.75" customHeight="1">
      <c r="A875" s="17"/>
      <c r="P875" s="17"/>
      <c r="AC875" s="17"/>
      <c r="AO875" s="17"/>
      <c r="AX875" s="17"/>
    </row>
    <row r="876" ht="21.75" customHeight="1">
      <c r="A876" s="17"/>
      <c r="P876" s="17"/>
      <c r="AC876" s="17"/>
      <c r="AO876" s="17"/>
      <c r="AX876" s="17"/>
    </row>
    <row r="877" ht="21.75" customHeight="1">
      <c r="A877" s="17"/>
      <c r="P877" s="17"/>
      <c r="AC877" s="17"/>
      <c r="AO877" s="17"/>
      <c r="AX877" s="17"/>
    </row>
    <row r="878" ht="21.75" customHeight="1">
      <c r="A878" s="17"/>
      <c r="P878" s="17"/>
      <c r="AC878" s="17"/>
      <c r="AO878" s="17"/>
      <c r="AX878" s="17"/>
    </row>
    <row r="879" ht="21.75" customHeight="1">
      <c r="A879" s="17"/>
      <c r="P879" s="17"/>
      <c r="AC879" s="17"/>
      <c r="AO879" s="17"/>
      <c r="AX879" s="17"/>
    </row>
    <row r="880" ht="21.75" customHeight="1">
      <c r="A880" s="17"/>
      <c r="P880" s="17"/>
      <c r="AC880" s="17"/>
      <c r="AO880" s="17"/>
      <c r="AX880" s="17"/>
    </row>
    <row r="881" ht="21.75" customHeight="1">
      <c r="A881" s="17"/>
      <c r="P881" s="17"/>
      <c r="AC881" s="17"/>
      <c r="AO881" s="17"/>
      <c r="AX881" s="17"/>
    </row>
    <row r="882" ht="21.75" customHeight="1">
      <c r="A882" s="17"/>
      <c r="P882" s="17"/>
      <c r="AC882" s="17"/>
      <c r="AO882" s="17"/>
      <c r="AX882" s="17"/>
    </row>
    <row r="883" ht="21.75" customHeight="1">
      <c r="A883" s="17"/>
      <c r="P883" s="17"/>
      <c r="AC883" s="17"/>
      <c r="AO883" s="17"/>
      <c r="AX883" s="17"/>
    </row>
    <row r="884" ht="21.75" customHeight="1">
      <c r="A884" s="17"/>
      <c r="P884" s="17"/>
      <c r="AC884" s="17"/>
      <c r="AO884" s="17"/>
      <c r="AX884" s="17"/>
    </row>
    <row r="885" ht="21.75" customHeight="1">
      <c r="A885" s="17"/>
      <c r="P885" s="17"/>
      <c r="AC885" s="17"/>
      <c r="AO885" s="17"/>
      <c r="AX885" s="17"/>
    </row>
    <row r="886" ht="21.75" customHeight="1">
      <c r="A886" s="17"/>
      <c r="P886" s="17"/>
      <c r="AC886" s="17"/>
      <c r="AO886" s="17"/>
      <c r="AX886" s="17"/>
    </row>
    <row r="887" ht="21.75" customHeight="1">
      <c r="A887" s="17"/>
      <c r="P887" s="17"/>
      <c r="AC887" s="17"/>
      <c r="AO887" s="17"/>
      <c r="AX887" s="17"/>
    </row>
    <row r="888" ht="21.75" customHeight="1">
      <c r="A888" s="17"/>
      <c r="P888" s="17"/>
      <c r="AC888" s="17"/>
      <c r="AO888" s="17"/>
      <c r="AX888" s="17"/>
    </row>
    <row r="889" ht="21.75" customHeight="1">
      <c r="A889" s="17"/>
      <c r="P889" s="17"/>
      <c r="AC889" s="17"/>
      <c r="AO889" s="17"/>
      <c r="AX889" s="17"/>
    </row>
    <row r="890" ht="21.75" customHeight="1">
      <c r="A890" s="17"/>
      <c r="P890" s="17"/>
      <c r="AC890" s="17"/>
      <c r="AO890" s="17"/>
      <c r="AX890" s="17"/>
    </row>
    <row r="891" ht="21.75" customHeight="1">
      <c r="A891" s="17"/>
      <c r="P891" s="17"/>
      <c r="AC891" s="17"/>
      <c r="AO891" s="17"/>
      <c r="AX891" s="17"/>
    </row>
    <row r="892" ht="21.75" customHeight="1">
      <c r="A892" s="17"/>
      <c r="P892" s="17"/>
      <c r="AC892" s="17"/>
      <c r="AO892" s="17"/>
      <c r="AX892" s="17"/>
    </row>
    <row r="893" ht="21.75" customHeight="1">
      <c r="A893" s="17"/>
      <c r="P893" s="17"/>
      <c r="AC893" s="17"/>
      <c r="AO893" s="17"/>
      <c r="AX893" s="17"/>
    </row>
    <row r="894" ht="21.75" customHeight="1">
      <c r="A894" s="17"/>
      <c r="P894" s="17"/>
      <c r="AC894" s="17"/>
      <c r="AO894" s="17"/>
      <c r="AX894" s="17"/>
    </row>
    <row r="895" ht="21.75" customHeight="1">
      <c r="A895" s="17"/>
      <c r="P895" s="17"/>
      <c r="AC895" s="17"/>
      <c r="AO895" s="17"/>
      <c r="AX895" s="17"/>
    </row>
    <row r="896" ht="21.75" customHeight="1">
      <c r="A896" s="17"/>
      <c r="P896" s="17"/>
      <c r="AC896" s="17"/>
      <c r="AO896" s="17"/>
      <c r="AX896" s="17"/>
    </row>
    <row r="897" ht="21.75" customHeight="1">
      <c r="A897" s="17"/>
      <c r="P897" s="17"/>
      <c r="AC897" s="17"/>
      <c r="AO897" s="17"/>
      <c r="AX897" s="17"/>
    </row>
    <row r="898" ht="21.75" customHeight="1">
      <c r="A898" s="17"/>
      <c r="P898" s="17"/>
      <c r="AC898" s="17"/>
      <c r="AO898" s="17"/>
      <c r="AX898" s="17"/>
    </row>
    <row r="899" ht="21.75" customHeight="1">
      <c r="A899" s="17"/>
      <c r="P899" s="17"/>
      <c r="AC899" s="17"/>
      <c r="AO899" s="17"/>
      <c r="AX899" s="17"/>
    </row>
    <row r="900" ht="21.75" customHeight="1">
      <c r="A900" s="17"/>
      <c r="P900" s="17"/>
      <c r="AC900" s="17"/>
      <c r="AO900" s="17"/>
      <c r="AX900" s="17"/>
    </row>
    <row r="901" ht="21.75" customHeight="1">
      <c r="A901" s="17"/>
      <c r="P901" s="17"/>
      <c r="AC901" s="17"/>
      <c r="AO901" s="17"/>
      <c r="AX901" s="17"/>
    </row>
    <row r="902" ht="21.75" customHeight="1">
      <c r="A902" s="17"/>
      <c r="P902" s="17"/>
      <c r="AC902" s="17"/>
      <c r="AO902" s="17"/>
      <c r="AX902" s="17"/>
    </row>
    <row r="903" ht="21.75" customHeight="1">
      <c r="A903" s="17"/>
      <c r="P903" s="17"/>
      <c r="AC903" s="17"/>
      <c r="AO903" s="17"/>
      <c r="AX903" s="17"/>
    </row>
    <row r="904" ht="21.75" customHeight="1">
      <c r="A904" s="17"/>
      <c r="P904" s="17"/>
      <c r="AC904" s="17"/>
      <c r="AO904" s="17"/>
      <c r="AX904" s="17"/>
    </row>
    <row r="905" ht="21.75" customHeight="1">
      <c r="A905" s="17"/>
      <c r="P905" s="17"/>
      <c r="AC905" s="17"/>
      <c r="AO905" s="17"/>
      <c r="AX905" s="17"/>
    </row>
    <row r="906" ht="21.75" customHeight="1">
      <c r="A906" s="17"/>
      <c r="P906" s="17"/>
      <c r="AC906" s="17"/>
      <c r="AO906" s="17"/>
      <c r="AX906" s="17"/>
    </row>
    <row r="907" ht="21.75" customHeight="1">
      <c r="A907" s="17"/>
      <c r="P907" s="17"/>
      <c r="AC907" s="17"/>
      <c r="AO907" s="17"/>
      <c r="AX907" s="17"/>
    </row>
    <row r="908" ht="21.75" customHeight="1">
      <c r="A908" s="17"/>
      <c r="P908" s="17"/>
      <c r="AC908" s="17"/>
      <c r="AO908" s="17"/>
      <c r="AX908" s="17"/>
    </row>
    <row r="909" ht="21.75" customHeight="1">
      <c r="A909" s="17"/>
      <c r="P909" s="17"/>
      <c r="AC909" s="17"/>
      <c r="AO909" s="17"/>
      <c r="AX909" s="17"/>
    </row>
    <row r="910" ht="21.75" customHeight="1">
      <c r="A910" s="17"/>
      <c r="P910" s="17"/>
      <c r="AC910" s="17"/>
      <c r="AO910" s="17"/>
      <c r="AX910" s="17"/>
    </row>
    <row r="911" ht="21.75" customHeight="1">
      <c r="A911" s="17"/>
      <c r="P911" s="17"/>
      <c r="AC911" s="17"/>
      <c r="AO911" s="17"/>
      <c r="AX911" s="17"/>
    </row>
    <row r="912" ht="21.75" customHeight="1">
      <c r="A912" s="17"/>
      <c r="P912" s="17"/>
      <c r="AC912" s="17"/>
      <c r="AO912" s="17"/>
      <c r="AX912" s="17"/>
    </row>
    <row r="913" ht="21.75" customHeight="1">
      <c r="A913" s="17"/>
      <c r="P913" s="17"/>
      <c r="AC913" s="17"/>
      <c r="AO913" s="17"/>
      <c r="AX913" s="17"/>
    </row>
    <row r="914" ht="21.75" customHeight="1">
      <c r="A914" s="17"/>
      <c r="P914" s="17"/>
      <c r="AC914" s="17"/>
      <c r="AO914" s="17"/>
      <c r="AX914" s="17"/>
    </row>
    <row r="915" ht="21.75" customHeight="1">
      <c r="A915" s="17"/>
      <c r="P915" s="17"/>
      <c r="AC915" s="17"/>
      <c r="AO915" s="17"/>
      <c r="AX915" s="17"/>
    </row>
    <row r="916" ht="21.75" customHeight="1">
      <c r="A916" s="17"/>
      <c r="P916" s="17"/>
      <c r="AC916" s="17"/>
      <c r="AO916" s="17"/>
      <c r="AX916" s="17"/>
    </row>
    <row r="917" ht="21.75" customHeight="1">
      <c r="A917" s="17"/>
      <c r="P917" s="17"/>
      <c r="AC917" s="17"/>
      <c r="AO917" s="17"/>
      <c r="AX917" s="17"/>
    </row>
    <row r="918" ht="21.75" customHeight="1">
      <c r="A918" s="17"/>
      <c r="P918" s="17"/>
      <c r="AC918" s="17"/>
      <c r="AO918" s="17"/>
      <c r="AX918" s="17"/>
    </row>
    <row r="919" ht="21.75" customHeight="1">
      <c r="A919" s="17"/>
      <c r="P919" s="17"/>
      <c r="AC919" s="17"/>
      <c r="AO919" s="17"/>
      <c r="AX919" s="17"/>
    </row>
    <row r="920" ht="21.75" customHeight="1">
      <c r="A920" s="17"/>
      <c r="P920" s="17"/>
      <c r="AC920" s="17"/>
      <c r="AO920" s="17"/>
      <c r="AX920" s="17"/>
    </row>
    <row r="921" ht="21.75" customHeight="1">
      <c r="A921" s="17"/>
      <c r="P921" s="17"/>
      <c r="AC921" s="17"/>
      <c r="AO921" s="17"/>
      <c r="AX921" s="17"/>
    </row>
    <row r="922" ht="21.75" customHeight="1">
      <c r="A922" s="17"/>
      <c r="P922" s="17"/>
      <c r="AC922" s="17"/>
      <c r="AO922" s="17"/>
      <c r="AX922" s="17"/>
    </row>
    <row r="923" ht="21.75" customHeight="1">
      <c r="A923" s="17"/>
      <c r="P923" s="17"/>
      <c r="AC923" s="17"/>
      <c r="AO923" s="17"/>
      <c r="AX923" s="17"/>
    </row>
    <row r="924" ht="21.75" customHeight="1">
      <c r="A924" s="17"/>
      <c r="P924" s="17"/>
      <c r="AC924" s="17"/>
      <c r="AO924" s="17"/>
      <c r="AX924" s="17"/>
    </row>
    <row r="925" ht="21.75" customHeight="1">
      <c r="A925" s="17"/>
      <c r="P925" s="17"/>
      <c r="AC925" s="17"/>
      <c r="AO925" s="17"/>
      <c r="AX925" s="17"/>
    </row>
    <row r="926" ht="21.75" customHeight="1">
      <c r="A926" s="17"/>
      <c r="P926" s="17"/>
      <c r="AC926" s="17"/>
      <c r="AO926" s="17"/>
      <c r="AX926" s="17"/>
    </row>
    <row r="927" ht="21.75" customHeight="1">
      <c r="A927" s="17"/>
      <c r="P927" s="17"/>
      <c r="AC927" s="17"/>
      <c r="AO927" s="17"/>
      <c r="AX927" s="17"/>
    </row>
    <row r="928" ht="21.75" customHeight="1">
      <c r="A928" s="17"/>
      <c r="P928" s="17"/>
      <c r="AC928" s="17"/>
      <c r="AO928" s="17"/>
      <c r="AX928" s="17"/>
    </row>
    <row r="929" ht="21.75" customHeight="1">
      <c r="A929" s="17"/>
      <c r="P929" s="17"/>
      <c r="AC929" s="17"/>
      <c r="AO929" s="17"/>
      <c r="AX929" s="17"/>
    </row>
    <row r="930" ht="21.75" customHeight="1">
      <c r="A930" s="17"/>
      <c r="P930" s="17"/>
      <c r="AC930" s="17"/>
      <c r="AO930" s="17"/>
      <c r="AX930" s="17"/>
    </row>
    <row r="931" ht="21.75" customHeight="1">
      <c r="A931" s="17"/>
      <c r="P931" s="17"/>
      <c r="AC931" s="17"/>
      <c r="AO931" s="17"/>
      <c r="AX931" s="17"/>
    </row>
    <row r="932" ht="21.75" customHeight="1">
      <c r="A932" s="17"/>
      <c r="P932" s="17"/>
      <c r="AC932" s="17"/>
      <c r="AO932" s="17"/>
      <c r="AX932" s="17"/>
    </row>
    <row r="933" ht="21.75" customHeight="1">
      <c r="A933" s="17"/>
      <c r="P933" s="17"/>
      <c r="AC933" s="17"/>
      <c r="AO933" s="17"/>
      <c r="AX933" s="17"/>
    </row>
    <row r="934" ht="21.75" customHeight="1">
      <c r="A934" s="17"/>
      <c r="P934" s="17"/>
      <c r="AC934" s="17"/>
      <c r="AO934" s="17"/>
      <c r="AX934" s="17"/>
    </row>
    <row r="935" ht="21.75" customHeight="1">
      <c r="A935" s="17"/>
      <c r="P935" s="17"/>
      <c r="AC935" s="17"/>
      <c r="AO935" s="17"/>
      <c r="AX935" s="17"/>
    </row>
    <row r="936" ht="21.75" customHeight="1">
      <c r="A936" s="17"/>
      <c r="P936" s="17"/>
      <c r="AC936" s="17"/>
      <c r="AO936" s="17"/>
      <c r="AX936" s="17"/>
    </row>
    <row r="937" ht="21.75" customHeight="1">
      <c r="A937" s="17"/>
      <c r="P937" s="17"/>
      <c r="AC937" s="17"/>
      <c r="AO937" s="17"/>
      <c r="AX937" s="17"/>
    </row>
    <row r="938" ht="21.75" customHeight="1">
      <c r="A938" s="17"/>
      <c r="P938" s="17"/>
      <c r="AC938" s="17"/>
      <c r="AO938" s="17"/>
      <c r="AX938" s="17"/>
    </row>
    <row r="939" ht="21.75" customHeight="1">
      <c r="A939" s="17"/>
      <c r="P939" s="17"/>
      <c r="AC939" s="17"/>
      <c r="AO939" s="17"/>
      <c r="AX939" s="17"/>
    </row>
    <row r="940" ht="21.75" customHeight="1">
      <c r="A940" s="17"/>
      <c r="P940" s="17"/>
      <c r="AC940" s="17"/>
      <c r="AO940" s="17"/>
      <c r="AX940" s="17"/>
    </row>
    <row r="941" ht="21.75" customHeight="1">
      <c r="A941" s="17"/>
      <c r="P941" s="17"/>
      <c r="AC941" s="17"/>
      <c r="AO941" s="17"/>
      <c r="AX941" s="17"/>
    </row>
    <row r="942" ht="21.75" customHeight="1">
      <c r="A942" s="17"/>
      <c r="P942" s="17"/>
      <c r="AC942" s="17"/>
      <c r="AO942" s="17"/>
      <c r="AX942" s="17"/>
    </row>
    <row r="943" ht="21.75" customHeight="1">
      <c r="A943" s="17"/>
      <c r="P943" s="17"/>
      <c r="AC943" s="17"/>
      <c r="AO943" s="17"/>
      <c r="AX943" s="17"/>
    </row>
    <row r="944" ht="21.75" customHeight="1">
      <c r="A944" s="17"/>
      <c r="P944" s="17"/>
      <c r="AC944" s="17"/>
      <c r="AO944" s="17"/>
      <c r="AX944" s="17"/>
    </row>
    <row r="945" ht="21.75" customHeight="1">
      <c r="A945" s="17"/>
      <c r="P945" s="17"/>
      <c r="AC945" s="17"/>
      <c r="AO945" s="17"/>
      <c r="AX945" s="17"/>
    </row>
    <row r="946" ht="21.75" customHeight="1">
      <c r="A946" s="17"/>
      <c r="P946" s="17"/>
      <c r="AC946" s="17"/>
      <c r="AO946" s="17"/>
      <c r="AX946" s="17"/>
    </row>
    <row r="947" ht="21.75" customHeight="1">
      <c r="A947" s="17"/>
      <c r="P947" s="17"/>
      <c r="AC947" s="17"/>
      <c r="AO947" s="17"/>
      <c r="AX947" s="17"/>
    </row>
    <row r="948" ht="21.75" customHeight="1">
      <c r="A948" s="17"/>
      <c r="P948" s="17"/>
      <c r="AC948" s="17"/>
      <c r="AO948" s="17"/>
      <c r="AX948" s="17"/>
    </row>
    <row r="949" ht="21.75" customHeight="1">
      <c r="A949" s="17"/>
      <c r="P949" s="17"/>
      <c r="AC949" s="17"/>
      <c r="AO949" s="17"/>
      <c r="AX949" s="17"/>
    </row>
    <row r="950" ht="21.75" customHeight="1">
      <c r="A950" s="17"/>
      <c r="P950" s="17"/>
      <c r="AC950" s="17"/>
      <c r="AO950" s="17"/>
      <c r="AX950" s="17"/>
    </row>
    <row r="951" ht="21.75" customHeight="1">
      <c r="A951" s="17"/>
      <c r="P951" s="17"/>
      <c r="AC951" s="17"/>
      <c r="AO951" s="17"/>
      <c r="AX951" s="17"/>
    </row>
    <row r="952" ht="21.75" customHeight="1">
      <c r="A952" s="17"/>
      <c r="P952" s="17"/>
      <c r="AC952" s="17"/>
      <c r="AO952" s="17"/>
      <c r="AX952" s="17"/>
    </row>
    <row r="953" ht="21.75" customHeight="1">
      <c r="A953" s="17"/>
      <c r="P953" s="17"/>
      <c r="AC953" s="17"/>
      <c r="AO953" s="17"/>
      <c r="AX953" s="17"/>
    </row>
    <row r="954" ht="21.75" customHeight="1">
      <c r="A954" s="17"/>
      <c r="P954" s="17"/>
      <c r="AC954" s="17"/>
      <c r="AO954" s="17"/>
      <c r="AX954" s="17"/>
    </row>
    <row r="955" ht="21.75" customHeight="1">
      <c r="A955" s="17"/>
      <c r="P955" s="17"/>
      <c r="AC955" s="17"/>
      <c r="AO955" s="17"/>
      <c r="AX955" s="17"/>
    </row>
    <row r="956" ht="21.75" customHeight="1">
      <c r="A956" s="17"/>
      <c r="P956" s="17"/>
      <c r="AC956" s="17"/>
      <c r="AO956" s="17"/>
      <c r="AX956" s="17"/>
    </row>
    <row r="957" ht="21.75" customHeight="1">
      <c r="A957" s="17"/>
      <c r="P957" s="17"/>
      <c r="AC957" s="17"/>
      <c r="AO957" s="17"/>
      <c r="AX957" s="17"/>
    </row>
    <row r="958" ht="21.75" customHeight="1">
      <c r="A958" s="17"/>
      <c r="P958" s="17"/>
      <c r="AC958" s="17"/>
      <c r="AO958" s="17"/>
      <c r="AX958" s="17"/>
    </row>
    <row r="959" ht="21.75" customHeight="1">
      <c r="A959" s="17"/>
      <c r="P959" s="17"/>
      <c r="AC959" s="17"/>
      <c r="AO959" s="17"/>
      <c r="AX959" s="17"/>
    </row>
    <row r="960" ht="21.75" customHeight="1">
      <c r="A960" s="17"/>
      <c r="P960" s="17"/>
      <c r="AC960" s="17"/>
      <c r="AO960" s="17"/>
      <c r="AX960" s="17"/>
    </row>
    <row r="961" ht="21.75" customHeight="1">
      <c r="A961" s="17"/>
      <c r="P961" s="17"/>
      <c r="AC961" s="17"/>
      <c r="AO961" s="17"/>
      <c r="AX961" s="17"/>
    </row>
    <row r="962" ht="21.75" customHeight="1">
      <c r="A962" s="17"/>
      <c r="P962" s="17"/>
      <c r="AC962" s="17"/>
      <c r="AO962" s="17"/>
      <c r="AX962" s="17"/>
    </row>
    <row r="963" ht="21.75" customHeight="1">
      <c r="A963" s="17"/>
      <c r="P963" s="17"/>
      <c r="AC963" s="17"/>
      <c r="AO963" s="17"/>
      <c r="AX963" s="17"/>
    </row>
    <row r="964" ht="21.75" customHeight="1">
      <c r="A964" s="17"/>
      <c r="P964" s="17"/>
      <c r="AC964" s="17"/>
      <c r="AO964" s="17"/>
      <c r="AX964" s="17"/>
    </row>
    <row r="965" ht="21.75" customHeight="1">
      <c r="A965" s="17"/>
      <c r="P965" s="17"/>
      <c r="AC965" s="17"/>
      <c r="AO965" s="17"/>
      <c r="AX965" s="17"/>
    </row>
    <row r="966" ht="21.75" customHeight="1">
      <c r="A966" s="17"/>
      <c r="P966" s="17"/>
      <c r="AC966" s="17"/>
      <c r="AO966" s="17"/>
      <c r="AX966" s="17"/>
    </row>
    <row r="967" ht="21.75" customHeight="1">
      <c r="A967" s="17"/>
      <c r="P967" s="17"/>
      <c r="AC967" s="17"/>
      <c r="AO967" s="17"/>
      <c r="AX967" s="17"/>
    </row>
    <row r="968" ht="21.75" customHeight="1">
      <c r="A968" s="17"/>
      <c r="P968" s="17"/>
      <c r="AC968" s="17"/>
      <c r="AO968" s="17"/>
      <c r="AX968" s="17"/>
    </row>
    <row r="969" ht="21.75" customHeight="1">
      <c r="A969" s="17"/>
      <c r="P969" s="17"/>
      <c r="AC969" s="17"/>
      <c r="AO969" s="17"/>
      <c r="AX969" s="17"/>
    </row>
    <row r="970" ht="21.75" customHeight="1">
      <c r="A970" s="17"/>
      <c r="P970" s="17"/>
      <c r="AC970" s="17"/>
      <c r="AO970" s="17"/>
      <c r="AX970" s="17"/>
    </row>
    <row r="971" ht="21.75" customHeight="1">
      <c r="A971" s="17"/>
      <c r="P971" s="17"/>
      <c r="AC971" s="17"/>
      <c r="AO971" s="17"/>
      <c r="AX971" s="17"/>
    </row>
    <row r="972" ht="21.75" customHeight="1">
      <c r="A972" s="17"/>
      <c r="P972" s="17"/>
      <c r="AC972" s="17"/>
      <c r="AO972" s="17"/>
      <c r="AX972" s="17"/>
    </row>
    <row r="973" ht="21.75" customHeight="1">
      <c r="A973" s="17"/>
      <c r="P973" s="17"/>
      <c r="AC973" s="17"/>
      <c r="AO973" s="17"/>
      <c r="AX973" s="17"/>
    </row>
    <row r="974" ht="21.75" customHeight="1">
      <c r="A974" s="17"/>
      <c r="P974" s="17"/>
      <c r="AC974" s="17"/>
      <c r="AO974" s="17"/>
      <c r="AX974" s="17"/>
    </row>
    <row r="975" ht="21.75" customHeight="1">
      <c r="A975" s="17"/>
      <c r="P975" s="17"/>
      <c r="AC975" s="17"/>
      <c r="AO975" s="17"/>
      <c r="AX975" s="17"/>
    </row>
    <row r="976" ht="21.75" customHeight="1">
      <c r="A976" s="17"/>
      <c r="P976" s="17"/>
      <c r="AC976" s="17"/>
      <c r="AO976" s="17"/>
      <c r="AX976" s="17"/>
    </row>
    <row r="977" ht="21.75" customHeight="1">
      <c r="A977" s="17"/>
      <c r="P977" s="17"/>
      <c r="AC977" s="17"/>
      <c r="AO977" s="17"/>
      <c r="AX977" s="17"/>
    </row>
    <row r="978" ht="21.75" customHeight="1">
      <c r="A978" s="17"/>
      <c r="P978" s="17"/>
      <c r="AC978" s="17"/>
      <c r="AO978" s="17"/>
      <c r="AX978" s="17"/>
    </row>
    <row r="979" ht="21.75" customHeight="1">
      <c r="A979" s="17"/>
      <c r="P979" s="17"/>
      <c r="AC979" s="17"/>
      <c r="AO979" s="17"/>
      <c r="AX979" s="17"/>
    </row>
    <row r="980" ht="21.75" customHeight="1">
      <c r="A980" s="17"/>
      <c r="P980" s="17"/>
      <c r="AC980" s="17"/>
      <c r="AO980" s="17"/>
      <c r="AX980" s="17"/>
    </row>
    <row r="981" ht="21.75" customHeight="1">
      <c r="A981" s="17"/>
      <c r="P981" s="17"/>
      <c r="AC981" s="17"/>
      <c r="AO981" s="17"/>
      <c r="AX981" s="17"/>
    </row>
    <row r="982" ht="21.75" customHeight="1">
      <c r="A982" s="17"/>
      <c r="P982" s="17"/>
      <c r="AC982" s="17"/>
      <c r="AO982" s="17"/>
      <c r="AX982" s="17"/>
    </row>
    <row r="983" ht="21.75" customHeight="1">
      <c r="A983" s="17"/>
      <c r="P983" s="17"/>
      <c r="AC983" s="17"/>
      <c r="AO983" s="17"/>
      <c r="AX983" s="17"/>
    </row>
    <row r="984" ht="21.75" customHeight="1">
      <c r="A984" s="17"/>
      <c r="P984" s="17"/>
      <c r="AC984" s="17"/>
      <c r="AO984" s="17"/>
      <c r="AX984" s="17"/>
    </row>
    <row r="985" ht="21.75" customHeight="1">
      <c r="A985" s="17"/>
      <c r="P985" s="17"/>
      <c r="AC985" s="17"/>
      <c r="AO985" s="17"/>
      <c r="AX985" s="17"/>
    </row>
    <row r="986" ht="21.75" customHeight="1">
      <c r="A986" s="17"/>
      <c r="P986" s="17"/>
      <c r="AC986" s="17"/>
      <c r="AO986" s="17"/>
      <c r="AX986" s="17"/>
    </row>
    <row r="987" ht="21.75" customHeight="1">
      <c r="A987" s="17"/>
      <c r="P987" s="17"/>
      <c r="AC987" s="17"/>
      <c r="AO987" s="17"/>
      <c r="AX987" s="17"/>
    </row>
    <row r="988" ht="21.75" customHeight="1">
      <c r="A988" s="17"/>
      <c r="P988" s="17"/>
      <c r="AC988" s="17"/>
      <c r="AO988" s="17"/>
      <c r="AX988" s="17"/>
    </row>
    <row r="989" ht="21.75" customHeight="1">
      <c r="A989" s="17"/>
      <c r="P989" s="17"/>
      <c r="AC989" s="17"/>
      <c r="AO989" s="17"/>
      <c r="AX989" s="17"/>
    </row>
    <row r="990" ht="21.75" customHeight="1">
      <c r="A990" s="17"/>
      <c r="P990" s="17"/>
      <c r="AC990" s="17"/>
      <c r="AO990" s="17"/>
      <c r="AX990" s="17"/>
    </row>
    <row r="991" ht="21.75" customHeight="1">
      <c r="A991" s="17"/>
      <c r="P991" s="17"/>
      <c r="AC991" s="17"/>
      <c r="AO991" s="17"/>
      <c r="AX991" s="17"/>
    </row>
    <row r="992" ht="21.75" customHeight="1">
      <c r="A992" s="17"/>
      <c r="P992" s="17"/>
      <c r="AC992" s="17"/>
      <c r="AO992" s="17"/>
      <c r="AX992" s="17"/>
    </row>
    <row r="993" ht="21.75" customHeight="1">
      <c r="A993" s="17"/>
      <c r="P993" s="17"/>
      <c r="AC993" s="17"/>
      <c r="AO993" s="17"/>
      <c r="AX993" s="17"/>
    </row>
    <row r="994" ht="21.75" customHeight="1">
      <c r="A994" s="17"/>
      <c r="P994" s="17"/>
      <c r="AC994" s="17"/>
      <c r="AO994" s="17"/>
      <c r="AX994" s="17"/>
    </row>
    <row r="995" ht="21.75" customHeight="1">
      <c r="A995" s="17"/>
      <c r="P995" s="17"/>
      <c r="AC995" s="17"/>
      <c r="AO995" s="17"/>
      <c r="AX995" s="17"/>
    </row>
    <row r="996" ht="21.75" customHeight="1">
      <c r="A996" s="17"/>
      <c r="P996" s="17"/>
      <c r="AC996" s="17"/>
      <c r="AO996" s="17"/>
      <c r="AX996" s="17"/>
    </row>
    <row r="997" ht="21.75" customHeight="1">
      <c r="A997" s="17"/>
      <c r="P997" s="17"/>
      <c r="AC997" s="17"/>
      <c r="AO997" s="17"/>
      <c r="AX997" s="17"/>
    </row>
    <row r="998" ht="21.75" customHeight="1">
      <c r="A998" s="17"/>
      <c r="P998" s="17"/>
      <c r="AC998" s="17"/>
      <c r="AO998" s="17"/>
      <c r="AX998" s="17"/>
    </row>
    <row r="999" ht="21.75" customHeight="1">
      <c r="A999" s="17"/>
      <c r="P999" s="17"/>
      <c r="AC999" s="17"/>
      <c r="AO999" s="17"/>
      <c r="AX999" s="17"/>
    </row>
    <row r="1000" ht="21.75" customHeight="1">
      <c r="A1000" s="17"/>
      <c r="P1000" s="17"/>
      <c r="AC1000" s="17"/>
      <c r="AO1000" s="17"/>
      <c r="AX1000" s="17"/>
    </row>
    <row r="1001" ht="21.75" customHeight="1">
      <c r="A1001" s="17"/>
      <c r="P1001" s="17"/>
      <c r="AC1001" s="17"/>
      <c r="AO1001" s="17"/>
      <c r="AX1001" s="17"/>
    </row>
    <row r="1002" ht="21.75" customHeight="1">
      <c r="A1002" s="17"/>
      <c r="P1002" s="17"/>
      <c r="AC1002" s="17"/>
      <c r="AO1002" s="17"/>
      <c r="AX1002" s="17"/>
    </row>
    <row r="1003" ht="21.75" customHeight="1">
      <c r="A1003" s="17"/>
      <c r="P1003" s="17"/>
      <c r="AC1003" s="17"/>
      <c r="AO1003" s="17"/>
      <c r="AX1003" s="17"/>
    </row>
    <row r="1004" ht="21.75" customHeight="1">
      <c r="A1004" s="17"/>
      <c r="P1004" s="17"/>
      <c r="AC1004" s="17"/>
      <c r="AO1004" s="17"/>
      <c r="AX1004" s="17"/>
    </row>
    <row r="1005" ht="21.75" customHeight="1">
      <c r="A1005" s="17"/>
      <c r="P1005" s="17"/>
      <c r="AC1005" s="17"/>
      <c r="AO1005" s="17"/>
      <c r="AX1005" s="17"/>
    </row>
    <row r="1006" ht="21.75" customHeight="1">
      <c r="A1006" s="17"/>
      <c r="P1006" s="17"/>
      <c r="AC1006" s="17"/>
      <c r="AO1006" s="17"/>
      <c r="AX1006" s="17"/>
    </row>
    <row r="1007" ht="21.75" customHeight="1">
      <c r="A1007" s="17"/>
      <c r="P1007" s="17"/>
      <c r="AC1007" s="17"/>
      <c r="AO1007" s="17"/>
      <c r="AX1007" s="17"/>
    </row>
    <row r="1008" ht="21.75" customHeight="1">
      <c r="A1008" s="17"/>
      <c r="P1008" s="17"/>
      <c r="AC1008" s="17"/>
      <c r="AO1008" s="17"/>
      <c r="AX1008" s="17"/>
    </row>
    <row r="1009" ht="21.75" customHeight="1">
      <c r="A1009" s="17"/>
      <c r="P1009" s="17"/>
      <c r="AC1009" s="17"/>
      <c r="AO1009" s="17"/>
      <c r="AX1009" s="17"/>
    </row>
    <row r="1010" ht="21.75" customHeight="1">
      <c r="A1010" s="17"/>
      <c r="P1010" s="17"/>
      <c r="AC1010" s="17"/>
      <c r="AO1010" s="17"/>
      <c r="AX1010" s="17"/>
    </row>
    <row r="1011" ht="21.75" customHeight="1">
      <c r="A1011" s="17"/>
      <c r="P1011" s="17"/>
      <c r="AC1011" s="17"/>
      <c r="AO1011" s="17"/>
      <c r="AX1011" s="17"/>
    </row>
    <row r="1012" ht="21.75" customHeight="1">
      <c r="A1012" s="17"/>
      <c r="P1012" s="17"/>
      <c r="AC1012" s="17"/>
      <c r="AO1012" s="17"/>
      <c r="AX1012" s="17"/>
    </row>
    <row r="1013" ht="21.75" customHeight="1">
      <c r="A1013" s="17"/>
      <c r="P1013" s="17"/>
      <c r="AC1013" s="17"/>
      <c r="AO1013" s="17"/>
      <c r="AX1013" s="17"/>
    </row>
    <row r="1014" ht="21.75" customHeight="1">
      <c r="A1014" s="17"/>
      <c r="P1014" s="17"/>
      <c r="AC1014" s="17"/>
      <c r="AO1014" s="17"/>
      <c r="AX1014" s="17"/>
    </row>
    <row r="1015" ht="21.75" customHeight="1">
      <c r="A1015" s="17"/>
      <c r="P1015" s="17"/>
      <c r="AC1015" s="17"/>
      <c r="AO1015" s="17"/>
      <c r="AX1015" s="17"/>
    </row>
    <row r="1016" ht="21.75" customHeight="1">
      <c r="A1016" s="17"/>
      <c r="P1016" s="17"/>
      <c r="AC1016" s="17"/>
      <c r="AO1016" s="17"/>
      <c r="AX1016" s="17"/>
    </row>
    <row r="1017" ht="21.75" customHeight="1">
      <c r="A1017" s="17"/>
      <c r="P1017" s="17"/>
      <c r="AC1017" s="17"/>
      <c r="AO1017" s="17"/>
      <c r="AX1017" s="17"/>
    </row>
    <row r="1018" ht="21.75" customHeight="1">
      <c r="A1018" s="17"/>
      <c r="P1018" s="17"/>
      <c r="AC1018" s="17"/>
      <c r="AO1018" s="17"/>
      <c r="AX1018" s="17"/>
    </row>
    <row r="1019" ht="21.75" customHeight="1">
      <c r="A1019" s="17"/>
      <c r="P1019" s="17"/>
      <c r="AC1019" s="17"/>
      <c r="AO1019" s="17"/>
      <c r="AX1019" s="17"/>
    </row>
    <row r="1020" ht="21.75" customHeight="1">
      <c r="A1020" s="17"/>
      <c r="P1020" s="17"/>
      <c r="AC1020" s="17"/>
      <c r="AO1020" s="17"/>
      <c r="AX1020" s="17"/>
    </row>
    <row r="1021" ht="21.75" customHeight="1">
      <c r="A1021" s="17"/>
      <c r="P1021" s="17"/>
      <c r="AC1021" s="17"/>
      <c r="AO1021" s="17"/>
      <c r="AX1021" s="17"/>
    </row>
    <row r="1022" ht="21.75" customHeight="1">
      <c r="A1022" s="17"/>
      <c r="P1022" s="17"/>
      <c r="AC1022" s="17"/>
      <c r="AO1022" s="17"/>
      <c r="AX1022" s="17"/>
    </row>
    <row r="1023" ht="21.75" customHeight="1">
      <c r="A1023" s="17"/>
      <c r="P1023" s="17"/>
      <c r="AC1023" s="17"/>
      <c r="AO1023" s="17"/>
      <c r="AX1023" s="17"/>
    </row>
    <row r="1024" ht="21.75" customHeight="1">
      <c r="A1024" s="17"/>
      <c r="P1024" s="17"/>
      <c r="AC1024" s="17"/>
      <c r="AO1024" s="17"/>
      <c r="AX1024" s="17"/>
    </row>
    <row r="1025" ht="21.75" customHeight="1">
      <c r="A1025" s="17"/>
      <c r="P1025" s="17"/>
      <c r="AC1025" s="17"/>
      <c r="AO1025" s="17"/>
      <c r="AX1025" s="17"/>
    </row>
    <row r="1026" ht="21.75" customHeight="1">
      <c r="A1026" s="17"/>
      <c r="P1026" s="17"/>
      <c r="AC1026" s="17"/>
      <c r="AO1026" s="17"/>
      <c r="AX1026" s="17"/>
    </row>
    <row r="1027" ht="21.75" customHeight="1">
      <c r="A1027" s="17"/>
      <c r="P1027" s="17"/>
      <c r="AC1027" s="17"/>
      <c r="AO1027" s="17"/>
      <c r="AX1027" s="17"/>
    </row>
    <row r="1028" ht="21.75" customHeight="1">
      <c r="A1028" s="17"/>
      <c r="P1028" s="17"/>
      <c r="AC1028" s="17"/>
      <c r="AO1028" s="17"/>
      <c r="AX1028" s="17"/>
    </row>
    <row r="1029" ht="21.75" customHeight="1">
      <c r="A1029" s="17"/>
      <c r="P1029" s="17"/>
      <c r="AC1029" s="17"/>
      <c r="AO1029" s="17"/>
      <c r="AX1029" s="17"/>
    </row>
    <row r="1030" ht="21.75" customHeight="1">
      <c r="A1030" s="17"/>
      <c r="P1030" s="17"/>
      <c r="AC1030" s="17"/>
      <c r="AO1030" s="17"/>
      <c r="AX1030" s="17"/>
    </row>
    <row r="1031" ht="21.75" customHeight="1">
      <c r="A1031" s="17"/>
      <c r="P1031" s="17"/>
      <c r="AC1031" s="17"/>
      <c r="AO1031" s="17"/>
      <c r="AX1031" s="17"/>
    </row>
    <row r="1032" ht="21.75" customHeight="1">
      <c r="A1032" s="17"/>
      <c r="P1032" s="17"/>
      <c r="AC1032" s="17"/>
      <c r="AO1032" s="17"/>
      <c r="AX1032" s="17"/>
    </row>
    <row r="1033" ht="21.75" customHeight="1">
      <c r="A1033" s="17"/>
      <c r="P1033" s="17"/>
      <c r="AC1033" s="17"/>
      <c r="AO1033" s="17"/>
      <c r="AX1033" s="17"/>
    </row>
    <row r="1034" ht="21.75" customHeight="1">
      <c r="A1034" s="17"/>
      <c r="P1034" s="17"/>
      <c r="AC1034" s="17"/>
      <c r="AO1034" s="17"/>
      <c r="AX1034" s="17"/>
    </row>
    <row r="1035" ht="21.75" customHeight="1">
      <c r="A1035" s="17"/>
      <c r="P1035" s="17"/>
      <c r="AC1035" s="17"/>
      <c r="AO1035" s="17"/>
      <c r="AX1035" s="17"/>
    </row>
    <row r="1036" ht="21.75" customHeight="1">
      <c r="A1036" s="17"/>
      <c r="P1036" s="17"/>
      <c r="AC1036" s="17"/>
      <c r="AO1036" s="17"/>
      <c r="AX1036" s="17"/>
    </row>
    <row r="1037" ht="21.75" customHeight="1">
      <c r="A1037" s="17"/>
      <c r="P1037" s="17"/>
      <c r="AC1037" s="17"/>
      <c r="AO1037" s="17"/>
      <c r="AX1037" s="17"/>
    </row>
    <row r="1038" ht="21.75" customHeight="1">
      <c r="A1038" s="17"/>
      <c r="P1038" s="17"/>
      <c r="AC1038" s="17"/>
      <c r="AO1038" s="17"/>
      <c r="AX1038" s="17"/>
    </row>
    <row r="1039" ht="21.75" customHeight="1">
      <c r="A1039" s="17"/>
      <c r="P1039" s="17"/>
      <c r="AC1039" s="17"/>
      <c r="AO1039" s="17"/>
      <c r="AX1039" s="17"/>
    </row>
    <row r="1040" ht="21.75" customHeight="1">
      <c r="A1040" s="17"/>
      <c r="P1040" s="17"/>
      <c r="AC1040" s="17"/>
      <c r="AO1040" s="17"/>
      <c r="AX1040" s="17"/>
    </row>
    <row r="1041" ht="21.75" customHeight="1">
      <c r="A1041" s="17"/>
      <c r="P1041" s="17"/>
      <c r="AC1041" s="17"/>
      <c r="AO1041" s="17"/>
      <c r="AX1041" s="17"/>
    </row>
    <row r="1042" ht="21.75" customHeight="1">
      <c r="A1042" s="17"/>
      <c r="P1042" s="17"/>
      <c r="AC1042" s="17"/>
      <c r="AO1042" s="17"/>
      <c r="AX1042" s="17"/>
    </row>
    <row r="1043" ht="21.75" customHeight="1">
      <c r="A1043" s="17"/>
      <c r="P1043" s="17"/>
      <c r="AC1043" s="17"/>
      <c r="AO1043" s="17"/>
      <c r="AX1043" s="17"/>
    </row>
    <row r="1044" ht="21.75" customHeight="1">
      <c r="A1044" s="17"/>
      <c r="P1044" s="17"/>
      <c r="AC1044" s="17"/>
      <c r="AO1044" s="17"/>
      <c r="AX1044" s="17"/>
    </row>
    <row r="1045" ht="21.75" customHeight="1">
      <c r="A1045" s="17"/>
      <c r="P1045" s="17"/>
      <c r="AC1045" s="17"/>
      <c r="AO1045" s="17"/>
      <c r="AX1045" s="17"/>
    </row>
    <row r="1046" ht="21.75" customHeight="1">
      <c r="A1046" s="17"/>
      <c r="P1046" s="17"/>
      <c r="AC1046" s="17"/>
      <c r="AO1046" s="17"/>
      <c r="AX1046" s="17"/>
    </row>
    <row r="1047" ht="21.75" customHeight="1">
      <c r="A1047" s="17"/>
      <c r="P1047" s="17"/>
      <c r="AC1047" s="17"/>
      <c r="AO1047" s="17"/>
      <c r="AX1047" s="17"/>
    </row>
    <row r="1048" ht="21.75" customHeight="1">
      <c r="A1048" s="17"/>
      <c r="P1048" s="17"/>
      <c r="AC1048" s="17"/>
      <c r="AO1048" s="17"/>
      <c r="AX1048" s="17"/>
    </row>
    <row r="1049" ht="21.75" customHeight="1">
      <c r="A1049" s="17"/>
      <c r="P1049" s="17"/>
      <c r="AC1049" s="17"/>
      <c r="AO1049" s="17"/>
      <c r="AX1049" s="17"/>
    </row>
    <row r="1050" ht="21.75" customHeight="1">
      <c r="A1050" s="17"/>
      <c r="P1050" s="17"/>
      <c r="AC1050" s="17"/>
      <c r="AO1050" s="17"/>
      <c r="AX1050" s="17"/>
    </row>
    <row r="1051" ht="21.75" customHeight="1">
      <c r="A1051" s="17"/>
      <c r="P1051" s="17"/>
      <c r="AC1051" s="17"/>
      <c r="AO1051" s="17"/>
      <c r="AX1051" s="17"/>
    </row>
    <row r="1052" ht="21.75" customHeight="1">
      <c r="A1052" s="17"/>
      <c r="P1052" s="17"/>
      <c r="AC1052" s="17"/>
      <c r="AO1052" s="17"/>
      <c r="AX1052" s="17"/>
    </row>
    <row r="1053" ht="21.75" customHeight="1">
      <c r="A1053" s="17"/>
      <c r="P1053" s="17"/>
      <c r="AC1053" s="17"/>
      <c r="AO1053" s="17"/>
      <c r="AX1053" s="17"/>
    </row>
    <row r="1054" ht="21.75" customHeight="1">
      <c r="A1054" s="17"/>
      <c r="P1054" s="17"/>
      <c r="AC1054" s="17"/>
      <c r="AO1054" s="17"/>
      <c r="AX1054" s="17"/>
    </row>
    <row r="1055" ht="21.75" customHeight="1">
      <c r="A1055" s="17"/>
      <c r="P1055" s="17"/>
      <c r="AC1055" s="17"/>
      <c r="AO1055" s="17"/>
      <c r="AX1055" s="17"/>
    </row>
    <row r="1056" ht="21.75" customHeight="1">
      <c r="A1056" s="17"/>
      <c r="P1056" s="17"/>
      <c r="AC1056" s="17"/>
      <c r="AO1056" s="17"/>
      <c r="AX1056" s="17"/>
    </row>
    <row r="1057" ht="21.75" customHeight="1">
      <c r="A1057" s="17"/>
      <c r="P1057" s="17"/>
      <c r="AC1057" s="17"/>
      <c r="AO1057" s="17"/>
      <c r="AX1057" s="17"/>
    </row>
    <row r="1058" ht="21.75" customHeight="1">
      <c r="A1058" s="17"/>
      <c r="P1058" s="17"/>
      <c r="AC1058" s="17"/>
      <c r="AO1058" s="17"/>
      <c r="AX1058" s="17"/>
    </row>
    <row r="1059" ht="21.75" customHeight="1">
      <c r="A1059" s="17"/>
      <c r="P1059" s="17"/>
      <c r="AC1059" s="17"/>
      <c r="AO1059" s="17"/>
      <c r="AX1059" s="17"/>
    </row>
    <row r="1060" ht="21.75" customHeight="1">
      <c r="A1060" s="17"/>
      <c r="P1060" s="17"/>
      <c r="AC1060" s="17"/>
      <c r="AO1060" s="17"/>
      <c r="AX1060" s="17"/>
    </row>
    <row r="1061" ht="21.75" customHeight="1">
      <c r="A1061" s="17"/>
      <c r="P1061" s="17"/>
      <c r="AC1061" s="17"/>
      <c r="AO1061" s="17"/>
      <c r="AX1061" s="17"/>
    </row>
    <row r="1062" ht="21.75" customHeight="1">
      <c r="A1062" s="17"/>
      <c r="P1062" s="17"/>
      <c r="AC1062" s="17"/>
      <c r="AO1062" s="17"/>
      <c r="AX1062" s="17"/>
    </row>
    <row r="1063" ht="21.75" customHeight="1">
      <c r="A1063" s="17"/>
      <c r="P1063" s="17"/>
      <c r="AC1063" s="17"/>
      <c r="AO1063" s="17"/>
      <c r="AX1063" s="17"/>
    </row>
    <row r="1064" ht="21.75" customHeight="1">
      <c r="A1064" s="17"/>
      <c r="P1064" s="17"/>
      <c r="AC1064" s="17"/>
      <c r="AO1064" s="17"/>
      <c r="AX1064" s="17"/>
    </row>
    <row r="1065" ht="21.75" customHeight="1">
      <c r="A1065" s="17"/>
      <c r="P1065" s="17"/>
      <c r="AC1065" s="17"/>
      <c r="AO1065" s="17"/>
      <c r="AX1065" s="17"/>
    </row>
    <row r="1066" ht="21.75" customHeight="1">
      <c r="A1066" s="17"/>
      <c r="P1066" s="17"/>
      <c r="AC1066" s="17"/>
      <c r="AO1066" s="17"/>
      <c r="AX1066" s="17"/>
    </row>
    <row r="1067" ht="21.75" customHeight="1">
      <c r="A1067" s="17"/>
      <c r="P1067" s="17"/>
      <c r="AC1067" s="17"/>
      <c r="AO1067" s="17"/>
      <c r="AX1067" s="17"/>
    </row>
    <row r="1068" ht="21.75" customHeight="1">
      <c r="A1068" s="17"/>
      <c r="P1068" s="17"/>
      <c r="AC1068" s="17"/>
      <c r="AO1068" s="17"/>
      <c r="AX1068" s="17"/>
    </row>
    <row r="1069" ht="21.75" customHeight="1">
      <c r="A1069" s="17"/>
      <c r="P1069" s="17"/>
      <c r="AC1069" s="17"/>
      <c r="AO1069" s="17"/>
      <c r="AX1069" s="17"/>
    </row>
    <row r="1070" ht="21.75" customHeight="1">
      <c r="A1070" s="17"/>
      <c r="P1070" s="17"/>
      <c r="AC1070" s="17"/>
      <c r="AO1070" s="17"/>
      <c r="AX1070" s="17"/>
    </row>
    <row r="1071" ht="21.75" customHeight="1">
      <c r="A1071" s="17"/>
      <c r="P1071" s="17"/>
      <c r="AC1071" s="17"/>
      <c r="AO1071" s="17"/>
      <c r="AX1071" s="17"/>
    </row>
    <row r="1072" ht="21.75" customHeight="1">
      <c r="A1072" s="17"/>
      <c r="P1072" s="17"/>
      <c r="AC1072" s="17"/>
      <c r="AO1072" s="17"/>
      <c r="AX1072" s="17"/>
    </row>
    <row r="1073" ht="21.75" customHeight="1">
      <c r="A1073" s="17"/>
      <c r="P1073" s="17"/>
      <c r="AC1073" s="17"/>
      <c r="AO1073" s="17"/>
      <c r="AX1073" s="17"/>
    </row>
    <row r="1074" ht="21.75" customHeight="1">
      <c r="A1074" s="17"/>
      <c r="P1074" s="17"/>
      <c r="AC1074" s="17"/>
      <c r="AO1074" s="17"/>
      <c r="AX1074" s="17"/>
    </row>
    <row r="1075" ht="21.75" customHeight="1">
      <c r="A1075" s="17"/>
      <c r="P1075" s="17"/>
      <c r="AC1075" s="17"/>
      <c r="AO1075" s="17"/>
      <c r="AX1075" s="17"/>
    </row>
    <row r="1076" ht="21.75" customHeight="1">
      <c r="A1076" s="17"/>
      <c r="P1076" s="17"/>
      <c r="AC1076" s="17"/>
      <c r="AO1076" s="17"/>
      <c r="AX1076" s="17"/>
    </row>
    <row r="1077" ht="21.75" customHeight="1">
      <c r="A1077" s="17"/>
      <c r="P1077" s="17"/>
      <c r="AC1077" s="17"/>
      <c r="AO1077" s="17"/>
      <c r="AX1077" s="17"/>
    </row>
    <row r="1078" ht="21.75" customHeight="1">
      <c r="A1078" s="17"/>
      <c r="P1078" s="17"/>
      <c r="AC1078" s="17"/>
      <c r="AO1078" s="17"/>
      <c r="AX1078" s="17"/>
    </row>
    <row r="1079" ht="21.75" customHeight="1">
      <c r="A1079" s="17"/>
      <c r="P1079" s="17"/>
      <c r="AC1079" s="17"/>
      <c r="AO1079" s="17"/>
      <c r="AX1079" s="17"/>
    </row>
    <row r="1080" ht="21.75" customHeight="1">
      <c r="A1080" s="17"/>
      <c r="P1080" s="17"/>
      <c r="AC1080" s="17"/>
      <c r="AO1080" s="17"/>
      <c r="AX1080" s="17"/>
    </row>
    <row r="1081" ht="21.75" customHeight="1">
      <c r="A1081" s="17"/>
      <c r="P1081" s="17"/>
      <c r="AC1081" s="17"/>
      <c r="AO1081" s="17"/>
      <c r="AX1081" s="17"/>
    </row>
    <row r="1082" ht="21.75" customHeight="1">
      <c r="A1082" s="17"/>
      <c r="P1082" s="17"/>
      <c r="AC1082" s="17"/>
      <c r="AO1082" s="17"/>
      <c r="AX1082" s="17"/>
    </row>
    <row r="1083" ht="21.75" customHeight="1">
      <c r="A1083" s="17"/>
      <c r="P1083" s="17"/>
      <c r="AC1083" s="17"/>
      <c r="AO1083" s="17"/>
      <c r="AX1083" s="17"/>
    </row>
    <row r="1084" ht="21.75" customHeight="1">
      <c r="A1084" s="17"/>
      <c r="P1084" s="17"/>
      <c r="AC1084" s="17"/>
      <c r="AO1084" s="17"/>
      <c r="AX1084" s="17"/>
    </row>
    <row r="1085" ht="21.75" customHeight="1">
      <c r="A1085" s="17"/>
      <c r="P1085" s="17"/>
      <c r="AC1085" s="17"/>
      <c r="AO1085" s="17"/>
      <c r="AX1085" s="17"/>
    </row>
    <row r="1086" ht="21.75" customHeight="1">
      <c r="A1086" s="17"/>
      <c r="P1086" s="17"/>
      <c r="AC1086" s="17"/>
      <c r="AO1086" s="17"/>
      <c r="AX1086" s="17"/>
    </row>
    <row r="1087" ht="21.75" customHeight="1">
      <c r="A1087" s="17"/>
      <c r="P1087" s="17"/>
      <c r="AC1087" s="17"/>
      <c r="AO1087" s="17"/>
      <c r="AX1087" s="17"/>
    </row>
    <row r="1088" ht="21.75" customHeight="1">
      <c r="A1088" s="17"/>
      <c r="P1088" s="17"/>
      <c r="AC1088" s="17"/>
      <c r="AO1088" s="17"/>
      <c r="AX1088" s="17"/>
    </row>
    <row r="1089" ht="21.75" customHeight="1">
      <c r="A1089" s="17"/>
      <c r="P1089" s="17"/>
      <c r="AC1089" s="17"/>
      <c r="AO1089" s="17"/>
      <c r="AX1089" s="17"/>
    </row>
    <row r="1090" ht="21.75" customHeight="1">
      <c r="A1090" s="17"/>
      <c r="P1090" s="17"/>
      <c r="AC1090" s="17"/>
      <c r="AO1090" s="17"/>
      <c r="AX1090" s="17"/>
    </row>
    <row r="1091" ht="21.75" customHeight="1">
      <c r="A1091" s="17"/>
      <c r="P1091" s="17"/>
      <c r="AC1091" s="17"/>
      <c r="AO1091" s="17"/>
      <c r="AX1091" s="17"/>
    </row>
    <row r="1092" ht="21.75" customHeight="1">
      <c r="A1092" s="17"/>
      <c r="P1092" s="17"/>
      <c r="AC1092" s="17"/>
      <c r="AO1092" s="17"/>
      <c r="AX1092" s="17"/>
    </row>
    <row r="1093" ht="21.75" customHeight="1">
      <c r="A1093" s="17"/>
      <c r="P1093" s="17"/>
      <c r="AC1093" s="17"/>
      <c r="AO1093" s="17"/>
      <c r="AX1093" s="17"/>
    </row>
    <row r="1094" ht="21.75" customHeight="1">
      <c r="A1094" s="17"/>
      <c r="P1094" s="17"/>
      <c r="AC1094" s="17"/>
      <c r="AO1094" s="17"/>
      <c r="AX1094" s="17"/>
    </row>
    <row r="1095" ht="21.75" customHeight="1">
      <c r="A1095" s="17"/>
      <c r="P1095" s="17"/>
      <c r="AC1095" s="17"/>
      <c r="AO1095" s="17"/>
      <c r="AX1095" s="17"/>
    </row>
    <row r="1096" ht="21.75" customHeight="1">
      <c r="A1096" s="17"/>
      <c r="P1096" s="17"/>
      <c r="AC1096" s="17"/>
      <c r="AO1096" s="17"/>
      <c r="AX1096" s="17"/>
    </row>
    <row r="1097" ht="21.75" customHeight="1">
      <c r="A1097" s="17"/>
      <c r="P1097" s="17"/>
      <c r="AC1097" s="17"/>
      <c r="AO1097" s="17"/>
      <c r="AX1097" s="17"/>
    </row>
    <row r="1098" ht="21.75" customHeight="1">
      <c r="A1098" s="17"/>
      <c r="P1098" s="17"/>
      <c r="AC1098" s="17"/>
      <c r="AO1098" s="17"/>
      <c r="AX1098" s="17"/>
    </row>
    <row r="1099" ht="21.75" customHeight="1">
      <c r="A1099" s="17"/>
      <c r="P1099" s="17"/>
      <c r="AC1099" s="17"/>
      <c r="AO1099" s="17"/>
      <c r="AX1099" s="17"/>
    </row>
    <row r="1100" ht="21.75" customHeight="1">
      <c r="A1100" s="17"/>
      <c r="P1100" s="17"/>
      <c r="AC1100" s="17"/>
      <c r="AO1100" s="17"/>
      <c r="AX1100" s="17"/>
    </row>
    <row r="1101" ht="21.75" customHeight="1">
      <c r="A1101" s="17"/>
      <c r="P1101" s="17"/>
      <c r="AC1101" s="17"/>
      <c r="AO1101" s="17"/>
      <c r="AX1101" s="17"/>
    </row>
    <row r="1102" ht="21.75" customHeight="1">
      <c r="A1102" s="17"/>
      <c r="P1102" s="17"/>
      <c r="AC1102" s="17"/>
      <c r="AO1102" s="17"/>
      <c r="AX1102" s="17"/>
    </row>
    <row r="1103" ht="21.75" customHeight="1">
      <c r="A1103" s="17"/>
      <c r="P1103" s="17"/>
      <c r="AC1103" s="17"/>
      <c r="AO1103" s="17"/>
      <c r="AX1103" s="17"/>
    </row>
    <row r="1104" ht="21.75" customHeight="1">
      <c r="A1104" s="17"/>
      <c r="P1104" s="17"/>
      <c r="AC1104" s="17"/>
      <c r="AO1104" s="17"/>
      <c r="AX1104" s="17"/>
    </row>
    <row r="1105" ht="21.75" customHeight="1">
      <c r="A1105" s="17"/>
      <c r="P1105" s="17"/>
      <c r="AC1105" s="17"/>
      <c r="AO1105" s="17"/>
      <c r="AX1105" s="17"/>
    </row>
    <row r="1106" ht="21.75" customHeight="1">
      <c r="A1106" s="17"/>
      <c r="P1106" s="17"/>
      <c r="AC1106" s="17"/>
      <c r="AO1106" s="17"/>
      <c r="AX1106" s="17"/>
    </row>
    <row r="1107" ht="21.75" customHeight="1">
      <c r="A1107" s="17"/>
      <c r="P1107" s="17"/>
      <c r="AC1107" s="17"/>
      <c r="AO1107" s="17"/>
      <c r="AX1107" s="17"/>
    </row>
    <row r="1108" ht="21.75" customHeight="1">
      <c r="A1108" s="17"/>
      <c r="P1108" s="17"/>
      <c r="AC1108" s="17"/>
      <c r="AO1108" s="17"/>
      <c r="AX1108" s="17"/>
    </row>
    <row r="1109" ht="21.75" customHeight="1">
      <c r="A1109" s="17"/>
      <c r="P1109" s="17"/>
      <c r="AC1109" s="17"/>
      <c r="AO1109" s="17"/>
      <c r="AX1109" s="17"/>
    </row>
    <row r="1110" ht="21.75" customHeight="1">
      <c r="A1110" s="17"/>
      <c r="P1110" s="17"/>
      <c r="AC1110" s="17"/>
      <c r="AO1110" s="17"/>
      <c r="AX1110" s="17"/>
    </row>
    <row r="1111" ht="21.75" customHeight="1">
      <c r="A1111" s="17"/>
      <c r="P1111" s="17"/>
      <c r="AC1111" s="17"/>
      <c r="AO1111" s="17"/>
      <c r="AX1111" s="17"/>
    </row>
    <row r="1112" ht="21.75" customHeight="1">
      <c r="A1112" s="17"/>
      <c r="P1112" s="17"/>
      <c r="AC1112" s="17"/>
      <c r="AO1112" s="17"/>
      <c r="AX1112" s="17"/>
    </row>
    <row r="1113" ht="21.75" customHeight="1">
      <c r="A1113" s="17"/>
      <c r="P1113" s="17"/>
      <c r="AC1113" s="17"/>
      <c r="AO1113" s="17"/>
      <c r="AX1113" s="17"/>
    </row>
    <row r="1114" ht="21.75" customHeight="1">
      <c r="A1114" s="17"/>
      <c r="P1114" s="17"/>
      <c r="AC1114" s="17"/>
      <c r="AO1114" s="17"/>
      <c r="AX1114" s="17"/>
    </row>
    <row r="1115" ht="21.75" customHeight="1">
      <c r="A1115" s="17"/>
      <c r="P1115" s="17"/>
      <c r="AC1115" s="17"/>
      <c r="AO1115" s="17"/>
      <c r="AX1115" s="17"/>
    </row>
    <row r="1116" ht="21.75" customHeight="1">
      <c r="A1116" s="17"/>
      <c r="P1116" s="17"/>
      <c r="AC1116" s="17"/>
      <c r="AO1116" s="17"/>
      <c r="AX1116" s="17"/>
    </row>
    <row r="1117" ht="21.75" customHeight="1">
      <c r="A1117" s="17"/>
      <c r="P1117" s="17"/>
      <c r="AC1117" s="17"/>
      <c r="AO1117" s="17"/>
      <c r="AX1117" s="1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38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">
        <v>0.0</v>
      </c>
      <c r="B2" s="5">
        <f t="shared" ref="B2:H2" si="1">max(B$1*$I2,$A2*B$17)</f>
        <v>0</v>
      </c>
      <c r="C2" s="5">
        <f t="shared" si="1"/>
        <v>14</v>
      </c>
      <c r="D2" s="5">
        <f t="shared" si="1"/>
        <v>28</v>
      </c>
      <c r="E2" s="5">
        <f t="shared" si="1"/>
        <v>42</v>
      </c>
      <c r="F2" s="5">
        <f t="shared" si="1"/>
        <v>56</v>
      </c>
      <c r="G2" s="5">
        <f t="shared" si="1"/>
        <v>70</v>
      </c>
      <c r="H2" s="5">
        <f t="shared" si="1"/>
        <v>84</v>
      </c>
      <c r="I2" s="17">
        <f t="shared" ref="I2:I16" si="3">14-A2</f>
        <v>14</v>
      </c>
    </row>
    <row r="3">
      <c r="A3" s="2">
        <v>1.0</v>
      </c>
      <c r="B3" s="5">
        <f t="shared" ref="B3:H3" si="2">max(B$1*$I3,$A3*B$17)</f>
        <v>6</v>
      </c>
      <c r="C3" s="5">
        <f t="shared" si="2"/>
        <v>13</v>
      </c>
      <c r="D3" s="5">
        <f t="shared" si="2"/>
        <v>26</v>
      </c>
      <c r="E3" s="5">
        <f t="shared" si="2"/>
        <v>39</v>
      </c>
      <c r="F3" s="5">
        <f t="shared" si="2"/>
        <v>52</v>
      </c>
      <c r="G3" s="5">
        <f t="shared" si="2"/>
        <v>65</v>
      </c>
      <c r="H3" s="5">
        <f t="shared" si="2"/>
        <v>78</v>
      </c>
      <c r="I3" s="17">
        <f t="shared" si="3"/>
        <v>13</v>
      </c>
    </row>
    <row r="4">
      <c r="A4" s="2">
        <v>2.0</v>
      </c>
      <c r="B4" s="5">
        <f t="shared" ref="B4:H4" si="4">max(B$1*$I4,$A4*B$17)</f>
        <v>12</v>
      </c>
      <c r="C4" s="5">
        <f t="shared" si="4"/>
        <v>12</v>
      </c>
      <c r="D4" s="5">
        <f t="shared" si="4"/>
        <v>24</v>
      </c>
      <c r="E4" s="5">
        <f t="shared" si="4"/>
        <v>36</v>
      </c>
      <c r="F4" s="5">
        <f t="shared" si="4"/>
        <v>48</v>
      </c>
      <c r="G4" s="5">
        <f t="shared" si="4"/>
        <v>60</v>
      </c>
      <c r="H4" s="5">
        <f t="shared" si="4"/>
        <v>72</v>
      </c>
      <c r="I4" s="17">
        <f t="shared" si="3"/>
        <v>12</v>
      </c>
    </row>
    <row r="5">
      <c r="A5" s="2">
        <v>3.0</v>
      </c>
      <c r="B5" s="5">
        <f t="shared" ref="B5:H5" si="5">max(B$1*$I5,$A5*B$17)</f>
        <v>18</v>
      </c>
      <c r="C5" s="5">
        <f t="shared" si="5"/>
        <v>15</v>
      </c>
      <c r="D5" s="5">
        <f t="shared" si="5"/>
        <v>22</v>
      </c>
      <c r="E5" s="5">
        <f t="shared" si="5"/>
        <v>33</v>
      </c>
      <c r="F5" s="5">
        <f t="shared" si="5"/>
        <v>44</v>
      </c>
      <c r="G5" s="5">
        <f t="shared" si="5"/>
        <v>55</v>
      </c>
      <c r="H5" s="5">
        <f t="shared" si="5"/>
        <v>66</v>
      </c>
      <c r="I5" s="17">
        <f t="shared" si="3"/>
        <v>11</v>
      </c>
    </row>
    <row r="6">
      <c r="A6" s="2">
        <v>4.0</v>
      </c>
      <c r="B6" s="5">
        <f t="shared" ref="B6:H6" si="6">max(B$1*$I6,$A6*B$17)</f>
        <v>24</v>
      </c>
      <c r="C6" s="5">
        <f t="shared" si="6"/>
        <v>20</v>
      </c>
      <c r="D6" s="15">
        <f t="shared" si="6"/>
        <v>20</v>
      </c>
      <c r="E6" s="5">
        <f t="shared" si="6"/>
        <v>30</v>
      </c>
      <c r="F6" s="5">
        <f t="shared" si="6"/>
        <v>40</v>
      </c>
      <c r="G6" s="5">
        <f t="shared" si="6"/>
        <v>50</v>
      </c>
      <c r="H6" s="5">
        <f t="shared" si="6"/>
        <v>60</v>
      </c>
      <c r="I6" s="17">
        <f t="shared" si="3"/>
        <v>10</v>
      </c>
    </row>
    <row r="7">
      <c r="A7" s="2">
        <v>5.0</v>
      </c>
      <c r="B7" s="5">
        <f t="shared" ref="B7:H7" si="7">max(B$1*$I7,$A7*B$17)</f>
        <v>30</v>
      </c>
      <c r="C7" s="5">
        <f t="shared" si="7"/>
        <v>25</v>
      </c>
      <c r="D7" s="5">
        <f t="shared" si="7"/>
        <v>20</v>
      </c>
      <c r="E7" s="5">
        <f t="shared" si="7"/>
        <v>27</v>
      </c>
      <c r="F7" s="5">
        <f t="shared" si="7"/>
        <v>36</v>
      </c>
      <c r="G7" s="5">
        <f t="shared" si="7"/>
        <v>45</v>
      </c>
      <c r="H7" s="5">
        <f t="shared" si="7"/>
        <v>54</v>
      </c>
      <c r="I7" s="17">
        <f t="shared" si="3"/>
        <v>9</v>
      </c>
    </row>
    <row r="8">
      <c r="A8" s="2">
        <v>6.0</v>
      </c>
      <c r="B8" s="5">
        <f t="shared" ref="B8:H8" si="8">max(B$1*$I8,$A8*B$17)</f>
        <v>36</v>
      </c>
      <c r="C8" s="5">
        <f t="shared" si="8"/>
        <v>30</v>
      </c>
      <c r="D8" s="5">
        <f t="shared" si="8"/>
        <v>24</v>
      </c>
      <c r="E8" s="15">
        <f t="shared" si="8"/>
        <v>24</v>
      </c>
      <c r="F8" s="5">
        <f t="shared" si="8"/>
        <v>32</v>
      </c>
      <c r="G8" s="5">
        <f t="shared" si="8"/>
        <v>40</v>
      </c>
      <c r="H8" s="5">
        <f t="shared" si="8"/>
        <v>48</v>
      </c>
      <c r="I8" s="17">
        <f t="shared" si="3"/>
        <v>8</v>
      </c>
    </row>
    <row r="9">
      <c r="A9" s="2">
        <v>7.0</v>
      </c>
      <c r="B9" s="5">
        <f t="shared" ref="B9:H9" si="9">max(B$1*$I9,$A9*B$17)</f>
        <v>42</v>
      </c>
      <c r="C9" s="5">
        <f t="shared" si="9"/>
        <v>35</v>
      </c>
      <c r="D9" s="15">
        <f t="shared" si="9"/>
        <v>28</v>
      </c>
      <c r="E9" s="5">
        <f t="shared" si="9"/>
        <v>21</v>
      </c>
      <c r="F9" s="15">
        <f t="shared" si="9"/>
        <v>28</v>
      </c>
      <c r="G9" s="5">
        <f t="shared" si="9"/>
        <v>35</v>
      </c>
      <c r="H9" s="5">
        <f t="shared" si="9"/>
        <v>42</v>
      </c>
      <c r="I9" s="17">
        <f t="shared" si="3"/>
        <v>7</v>
      </c>
    </row>
    <row r="10">
      <c r="A10" s="2">
        <v>8.0</v>
      </c>
      <c r="B10" s="5">
        <f t="shared" ref="B10:H10" si="10">max(B$1*$I10,$A10*B$17)</f>
        <v>48</v>
      </c>
      <c r="C10" s="5">
        <f t="shared" si="10"/>
        <v>40</v>
      </c>
      <c r="D10" s="5">
        <f t="shared" si="10"/>
        <v>32</v>
      </c>
      <c r="E10" s="15">
        <f t="shared" si="10"/>
        <v>24</v>
      </c>
      <c r="F10" s="5">
        <f t="shared" si="10"/>
        <v>24</v>
      </c>
      <c r="G10" s="5">
        <f t="shared" si="10"/>
        <v>30</v>
      </c>
      <c r="H10" s="5">
        <f t="shared" si="10"/>
        <v>36</v>
      </c>
      <c r="I10" s="17">
        <f t="shared" si="3"/>
        <v>6</v>
      </c>
    </row>
    <row r="11">
      <c r="A11" s="2">
        <v>9.0</v>
      </c>
      <c r="B11" s="5">
        <f t="shared" ref="B11:H11" si="11">max(B$1*$I11,$A11*B$17)</f>
        <v>54</v>
      </c>
      <c r="C11" s="5">
        <f t="shared" si="11"/>
        <v>45</v>
      </c>
      <c r="D11" s="5">
        <f t="shared" si="11"/>
        <v>36</v>
      </c>
      <c r="E11" s="5">
        <f t="shared" si="11"/>
        <v>27</v>
      </c>
      <c r="F11" s="5">
        <f t="shared" si="11"/>
        <v>20</v>
      </c>
      <c r="G11" s="5">
        <f t="shared" si="11"/>
        <v>25</v>
      </c>
      <c r="H11" s="5">
        <f t="shared" si="11"/>
        <v>30</v>
      </c>
      <c r="I11" s="17">
        <f t="shared" si="3"/>
        <v>5</v>
      </c>
    </row>
    <row r="12">
      <c r="A12" s="2">
        <v>10.0</v>
      </c>
      <c r="B12" s="5">
        <f t="shared" ref="B12:H12" si="12">max(B$1*$I12,$A12*B$17)</f>
        <v>60</v>
      </c>
      <c r="C12" s="5">
        <f t="shared" si="12"/>
        <v>50</v>
      </c>
      <c r="D12" s="5">
        <f t="shared" si="12"/>
        <v>40</v>
      </c>
      <c r="E12" s="5">
        <f t="shared" si="12"/>
        <v>30</v>
      </c>
      <c r="F12" s="15">
        <f t="shared" si="12"/>
        <v>20</v>
      </c>
      <c r="G12" s="5">
        <f t="shared" si="12"/>
        <v>20</v>
      </c>
      <c r="H12" s="5">
        <f t="shared" si="12"/>
        <v>24</v>
      </c>
      <c r="I12" s="17">
        <f t="shared" si="3"/>
        <v>4</v>
      </c>
    </row>
    <row r="13">
      <c r="A13" s="2">
        <v>11.0</v>
      </c>
      <c r="B13" s="5">
        <f t="shared" ref="B13:H13" si="13">max(B$1*$I13,$A13*B$17)</f>
        <v>66</v>
      </c>
      <c r="C13" s="5">
        <f t="shared" si="13"/>
        <v>55</v>
      </c>
      <c r="D13" s="5">
        <f t="shared" si="13"/>
        <v>44</v>
      </c>
      <c r="E13" s="5">
        <f t="shared" si="13"/>
        <v>33</v>
      </c>
      <c r="F13" s="5">
        <f t="shared" si="13"/>
        <v>22</v>
      </c>
      <c r="G13" s="5">
        <f t="shared" si="13"/>
        <v>15</v>
      </c>
      <c r="H13" s="5">
        <f t="shared" si="13"/>
        <v>18</v>
      </c>
      <c r="I13" s="17">
        <f t="shared" si="3"/>
        <v>3</v>
      </c>
    </row>
    <row r="14">
      <c r="A14" s="2">
        <v>12.0</v>
      </c>
      <c r="B14" s="5">
        <f t="shared" ref="B14:H14" si="14">max(B$1*$I14,$A14*B$17)</f>
        <v>72</v>
      </c>
      <c r="C14" s="5">
        <f t="shared" si="14"/>
        <v>60</v>
      </c>
      <c r="D14" s="5">
        <f t="shared" si="14"/>
        <v>48</v>
      </c>
      <c r="E14" s="5">
        <f t="shared" si="14"/>
        <v>36</v>
      </c>
      <c r="F14" s="5">
        <f t="shared" si="14"/>
        <v>24</v>
      </c>
      <c r="G14" s="5">
        <f t="shared" si="14"/>
        <v>12</v>
      </c>
      <c r="H14" s="5">
        <f t="shared" si="14"/>
        <v>12</v>
      </c>
      <c r="I14" s="17">
        <f t="shared" si="3"/>
        <v>2</v>
      </c>
    </row>
    <row r="15">
      <c r="A15" s="2">
        <v>13.0</v>
      </c>
      <c r="B15" s="5">
        <f t="shared" ref="B15:H15" si="15">max(B$1*$I15,$A15*B$17)</f>
        <v>78</v>
      </c>
      <c r="C15" s="5">
        <f t="shared" si="15"/>
        <v>65</v>
      </c>
      <c r="D15" s="5">
        <f t="shared" si="15"/>
        <v>52</v>
      </c>
      <c r="E15" s="5">
        <f t="shared" si="15"/>
        <v>39</v>
      </c>
      <c r="F15" s="5">
        <f t="shared" si="15"/>
        <v>26</v>
      </c>
      <c r="G15" s="5">
        <f t="shared" si="15"/>
        <v>13</v>
      </c>
      <c r="H15" s="5">
        <f t="shared" si="15"/>
        <v>6</v>
      </c>
      <c r="I15" s="17">
        <f t="shared" si="3"/>
        <v>1</v>
      </c>
    </row>
    <row r="16">
      <c r="A16" s="2">
        <v>14.0</v>
      </c>
      <c r="B16" s="5">
        <f t="shared" ref="B16:H16" si="16">max(B$1*$I16,$A16*B$17)</f>
        <v>84</v>
      </c>
      <c r="C16" s="5">
        <f t="shared" si="16"/>
        <v>70</v>
      </c>
      <c r="D16" s="5">
        <f t="shared" si="16"/>
        <v>56</v>
      </c>
      <c r="E16" s="5">
        <f t="shared" si="16"/>
        <v>42</v>
      </c>
      <c r="F16" s="5">
        <f t="shared" si="16"/>
        <v>28</v>
      </c>
      <c r="G16" s="5">
        <f t="shared" si="16"/>
        <v>14</v>
      </c>
      <c r="H16" s="5">
        <f t="shared" si="16"/>
        <v>0</v>
      </c>
      <c r="I16" s="17">
        <f t="shared" si="3"/>
        <v>0</v>
      </c>
    </row>
    <row r="17">
      <c r="A17" s="17"/>
      <c r="B17" s="17">
        <f t="shared" ref="B17:H17" si="17">6-B1</f>
        <v>6</v>
      </c>
      <c r="C17" s="17">
        <f t="shared" si="17"/>
        <v>5</v>
      </c>
      <c r="D17" s="17">
        <f t="shared" si="17"/>
        <v>4</v>
      </c>
      <c r="E17" s="17">
        <f t="shared" si="17"/>
        <v>3</v>
      </c>
      <c r="F17" s="17">
        <f t="shared" si="17"/>
        <v>2</v>
      </c>
      <c r="G17" s="17">
        <f t="shared" si="17"/>
        <v>1</v>
      </c>
      <c r="H17" s="17">
        <f t="shared" si="17"/>
        <v>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I18" s="17"/>
    </row>
    <row r="19">
      <c r="A19" s="17"/>
      <c r="B19" s="2">
        <v>0.0</v>
      </c>
      <c r="C19" s="2">
        <v>1.0</v>
      </c>
      <c r="D19" s="2">
        <v>2.0</v>
      </c>
      <c r="E19" s="2">
        <v>3.0</v>
      </c>
      <c r="F19" s="2">
        <v>4.0</v>
      </c>
      <c r="G19" s="2">
        <v>5.0</v>
      </c>
      <c r="H19" s="2">
        <v>6.0</v>
      </c>
      <c r="I19" s="17"/>
    </row>
    <row r="20">
      <c r="A20" s="2">
        <v>0.0</v>
      </c>
      <c r="B20" s="5">
        <f t="shared" ref="B20:H20" si="18">abs(B$1*$I20-$A20*B$17)</f>
        <v>0</v>
      </c>
      <c r="C20" s="5">
        <f t="shared" si="18"/>
        <v>14</v>
      </c>
      <c r="D20" s="5">
        <f t="shared" si="18"/>
        <v>28</v>
      </c>
      <c r="E20" s="5">
        <f t="shared" si="18"/>
        <v>42</v>
      </c>
      <c r="F20" s="5">
        <f t="shared" si="18"/>
        <v>56</v>
      </c>
      <c r="G20" s="5">
        <f t="shared" si="18"/>
        <v>70</v>
      </c>
      <c r="H20" s="5">
        <f t="shared" si="18"/>
        <v>84</v>
      </c>
      <c r="I20" s="17">
        <f t="shared" ref="I20:I34" si="20">14-A20</f>
        <v>14</v>
      </c>
    </row>
    <row r="21">
      <c r="A21" s="2">
        <v>1.0</v>
      </c>
      <c r="B21" s="5">
        <f t="shared" ref="B21:H21" si="19">abs(B$1*$I21-$A21*B$17)</f>
        <v>6</v>
      </c>
      <c r="C21" s="5">
        <f t="shared" si="19"/>
        <v>8</v>
      </c>
      <c r="D21" s="5">
        <f t="shared" si="19"/>
        <v>22</v>
      </c>
      <c r="E21" s="5">
        <f t="shared" si="19"/>
        <v>36</v>
      </c>
      <c r="F21" s="5">
        <f t="shared" si="19"/>
        <v>50</v>
      </c>
      <c r="G21" s="5">
        <f t="shared" si="19"/>
        <v>64</v>
      </c>
      <c r="H21" s="5">
        <f t="shared" si="19"/>
        <v>78</v>
      </c>
      <c r="I21" s="17">
        <f t="shared" si="20"/>
        <v>13</v>
      </c>
    </row>
    <row r="22">
      <c r="A22" s="2">
        <v>2.0</v>
      </c>
      <c r="B22" s="5">
        <f t="shared" ref="B22:H22" si="21">abs(B$1*$I22-$A22*B$17)</f>
        <v>12</v>
      </c>
      <c r="C22" s="5">
        <f t="shared" si="21"/>
        <v>2</v>
      </c>
      <c r="D22" s="5">
        <f t="shared" si="21"/>
        <v>16</v>
      </c>
      <c r="E22" s="5">
        <f t="shared" si="21"/>
        <v>30</v>
      </c>
      <c r="F22" s="5">
        <f t="shared" si="21"/>
        <v>44</v>
      </c>
      <c r="G22" s="5">
        <f t="shared" si="21"/>
        <v>58</v>
      </c>
      <c r="H22" s="5">
        <f t="shared" si="21"/>
        <v>72</v>
      </c>
      <c r="I22" s="17">
        <f t="shared" si="20"/>
        <v>12</v>
      </c>
    </row>
    <row r="23">
      <c r="A23" s="2">
        <v>3.0</v>
      </c>
      <c r="B23" s="5">
        <f t="shared" ref="B23:H23" si="22">abs(B$1*$I23-$A23*B$17)</f>
        <v>18</v>
      </c>
      <c r="C23" s="5">
        <f t="shared" si="22"/>
        <v>4</v>
      </c>
      <c r="D23" s="5">
        <f t="shared" si="22"/>
        <v>10</v>
      </c>
      <c r="E23" s="5">
        <f t="shared" si="22"/>
        <v>24</v>
      </c>
      <c r="F23" s="5">
        <f t="shared" si="22"/>
        <v>38</v>
      </c>
      <c r="G23" s="5">
        <f t="shared" si="22"/>
        <v>52</v>
      </c>
      <c r="H23" s="5">
        <f t="shared" si="22"/>
        <v>66</v>
      </c>
      <c r="I23" s="17">
        <f t="shared" si="20"/>
        <v>11</v>
      </c>
    </row>
    <row r="24">
      <c r="A24" s="2">
        <v>4.0</v>
      </c>
      <c r="B24" s="5">
        <f t="shared" ref="B24:H24" si="23">abs(B$1*$I24-$A24*B$17)</f>
        <v>24</v>
      </c>
      <c r="C24" s="5">
        <f t="shared" si="23"/>
        <v>10</v>
      </c>
      <c r="D24" s="15">
        <f t="shared" si="23"/>
        <v>4</v>
      </c>
      <c r="E24" s="5">
        <f t="shared" si="23"/>
        <v>18</v>
      </c>
      <c r="F24" s="5">
        <f t="shared" si="23"/>
        <v>32</v>
      </c>
      <c r="G24" s="5">
        <f t="shared" si="23"/>
        <v>46</v>
      </c>
      <c r="H24" s="5">
        <f t="shared" si="23"/>
        <v>60</v>
      </c>
      <c r="I24" s="17">
        <f t="shared" si="20"/>
        <v>10</v>
      </c>
    </row>
    <row r="25">
      <c r="A25" s="2">
        <v>5.0</v>
      </c>
      <c r="B25" s="5">
        <f t="shared" ref="B25:H25" si="24">abs(B$1*$I25-$A25*B$17)</f>
        <v>30</v>
      </c>
      <c r="C25" s="5">
        <f t="shared" si="24"/>
        <v>16</v>
      </c>
      <c r="D25" s="5">
        <f t="shared" si="24"/>
        <v>2</v>
      </c>
      <c r="E25" s="5">
        <f t="shared" si="24"/>
        <v>12</v>
      </c>
      <c r="F25" s="5">
        <f t="shared" si="24"/>
        <v>26</v>
      </c>
      <c r="G25" s="5">
        <f t="shared" si="24"/>
        <v>40</v>
      </c>
      <c r="H25" s="5">
        <f t="shared" si="24"/>
        <v>54</v>
      </c>
      <c r="I25" s="17">
        <f t="shared" si="20"/>
        <v>9</v>
      </c>
    </row>
    <row r="26">
      <c r="A26" s="2">
        <v>6.0</v>
      </c>
      <c r="B26" s="5">
        <f t="shared" ref="B26:H26" si="25">abs(B$1*$I26-$A26*B$17)</f>
        <v>36</v>
      </c>
      <c r="C26" s="5">
        <f t="shared" si="25"/>
        <v>22</v>
      </c>
      <c r="D26" s="5">
        <f t="shared" si="25"/>
        <v>8</v>
      </c>
      <c r="E26" s="15">
        <f t="shared" si="25"/>
        <v>6</v>
      </c>
      <c r="F26" s="5">
        <f t="shared" si="25"/>
        <v>20</v>
      </c>
      <c r="G26" s="5">
        <f t="shared" si="25"/>
        <v>34</v>
      </c>
      <c r="H26" s="5">
        <f t="shared" si="25"/>
        <v>48</v>
      </c>
      <c r="I26" s="17">
        <f t="shared" si="20"/>
        <v>8</v>
      </c>
    </row>
    <row r="27">
      <c r="A27" s="2">
        <v>7.0</v>
      </c>
      <c r="B27" s="5">
        <f t="shared" ref="B27:H27" si="26">abs(B$1*$I27-$A27*B$17)</f>
        <v>42</v>
      </c>
      <c r="C27" s="5">
        <f t="shared" si="26"/>
        <v>28</v>
      </c>
      <c r="D27" s="15">
        <f t="shared" si="26"/>
        <v>14</v>
      </c>
      <c r="E27" s="5">
        <f t="shared" si="26"/>
        <v>0</v>
      </c>
      <c r="F27" s="15">
        <f t="shared" si="26"/>
        <v>14</v>
      </c>
      <c r="G27" s="5">
        <f t="shared" si="26"/>
        <v>28</v>
      </c>
      <c r="H27" s="5">
        <f t="shared" si="26"/>
        <v>42</v>
      </c>
      <c r="I27" s="17">
        <f t="shared" si="20"/>
        <v>7</v>
      </c>
    </row>
    <row r="28">
      <c r="A28" s="2">
        <v>8.0</v>
      </c>
      <c r="B28" s="5">
        <f t="shared" ref="B28:H28" si="27">abs(B$1*$I28-$A28*B$17)</f>
        <v>48</v>
      </c>
      <c r="C28" s="5">
        <f t="shared" si="27"/>
        <v>34</v>
      </c>
      <c r="D28" s="5">
        <f t="shared" si="27"/>
        <v>20</v>
      </c>
      <c r="E28" s="15">
        <f t="shared" si="27"/>
        <v>6</v>
      </c>
      <c r="F28" s="5">
        <f t="shared" si="27"/>
        <v>8</v>
      </c>
      <c r="G28" s="5">
        <f t="shared" si="27"/>
        <v>22</v>
      </c>
      <c r="H28" s="5">
        <f t="shared" si="27"/>
        <v>36</v>
      </c>
      <c r="I28" s="17">
        <f t="shared" si="20"/>
        <v>6</v>
      </c>
    </row>
    <row r="29">
      <c r="A29" s="2">
        <v>9.0</v>
      </c>
      <c r="B29" s="5">
        <f t="shared" ref="B29:H29" si="28">abs(B$1*$I29-$A29*B$17)</f>
        <v>54</v>
      </c>
      <c r="C29" s="5">
        <f t="shared" si="28"/>
        <v>40</v>
      </c>
      <c r="D29" s="5">
        <f t="shared" si="28"/>
        <v>26</v>
      </c>
      <c r="E29" s="5">
        <f t="shared" si="28"/>
        <v>12</v>
      </c>
      <c r="F29" s="5">
        <f t="shared" si="28"/>
        <v>2</v>
      </c>
      <c r="G29" s="5">
        <f t="shared" si="28"/>
        <v>16</v>
      </c>
      <c r="H29" s="5">
        <f t="shared" si="28"/>
        <v>30</v>
      </c>
      <c r="I29" s="17">
        <f t="shared" si="20"/>
        <v>5</v>
      </c>
    </row>
    <row r="30">
      <c r="A30" s="2">
        <v>10.0</v>
      </c>
      <c r="B30" s="5">
        <f t="shared" ref="B30:H30" si="29">abs(B$1*$I30-$A30*B$17)</f>
        <v>60</v>
      </c>
      <c r="C30" s="5">
        <f t="shared" si="29"/>
        <v>46</v>
      </c>
      <c r="D30" s="5">
        <f t="shared" si="29"/>
        <v>32</v>
      </c>
      <c r="E30" s="5">
        <f t="shared" si="29"/>
        <v>18</v>
      </c>
      <c r="F30" s="15">
        <f t="shared" si="29"/>
        <v>4</v>
      </c>
      <c r="G30" s="5">
        <f t="shared" si="29"/>
        <v>10</v>
      </c>
      <c r="H30" s="5">
        <f t="shared" si="29"/>
        <v>24</v>
      </c>
      <c r="I30" s="17">
        <f t="shared" si="20"/>
        <v>4</v>
      </c>
    </row>
    <row r="31">
      <c r="A31" s="2">
        <v>11.0</v>
      </c>
      <c r="B31" s="5">
        <f t="shared" ref="B31:H31" si="30">abs(B$1*$I31-$A31*B$17)</f>
        <v>66</v>
      </c>
      <c r="C31" s="5">
        <f t="shared" si="30"/>
        <v>52</v>
      </c>
      <c r="D31" s="5">
        <f t="shared" si="30"/>
        <v>38</v>
      </c>
      <c r="E31" s="5">
        <f t="shared" si="30"/>
        <v>24</v>
      </c>
      <c r="F31" s="5">
        <f t="shared" si="30"/>
        <v>10</v>
      </c>
      <c r="G31" s="5">
        <f t="shared" si="30"/>
        <v>4</v>
      </c>
      <c r="H31" s="5">
        <f t="shared" si="30"/>
        <v>18</v>
      </c>
      <c r="I31" s="17">
        <f t="shared" si="20"/>
        <v>3</v>
      </c>
    </row>
    <row r="32">
      <c r="A32" s="2">
        <v>12.0</v>
      </c>
      <c r="B32" s="5">
        <f t="shared" ref="B32:H32" si="31">abs(B$1*$I32-$A32*B$17)</f>
        <v>72</v>
      </c>
      <c r="C32" s="5">
        <f t="shared" si="31"/>
        <v>58</v>
      </c>
      <c r="D32" s="5">
        <f t="shared" si="31"/>
        <v>44</v>
      </c>
      <c r="E32" s="5">
        <f t="shared" si="31"/>
        <v>30</v>
      </c>
      <c r="F32" s="5">
        <f t="shared" si="31"/>
        <v>16</v>
      </c>
      <c r="G32" s="5">
        <f t="shared" si="31"/>
        <v>2</v>
      </c>
      <c r="H32" s="5">
        <f t="shared" si="31"/>
        <v>12</v>
      </c>
      <c r="I32" s="17">
        <f t="shared" si="20"/>
        <v>2</v>
      </c>
    </row>
    <row r="33">
      <c r="A33" s="2">
        <v>13.0</v>
      </c>
      <c r="B33" s="5">
        <f t="shared" ref="B33:H33" si="32">abs(B$1*$I33-$A33*B$17)</f>
        <v>78</v>
      </c>
      <c r="C33" s="5">
        <f t="shared" si="32"/>
        <v>64</v>
      </c>
      <c r="D33" s="5">
        <f t="shared" si="32"/>
        <v>50</v>
      </c>
      <c r="E33" s="5">
        <f t="shared" si="32"/>
        <v>36</v>
      </c>
      <c r="F33" s="5">
        <f t="shared" si="32"/>
        <v>22</v>
      </c>
      <c r="G33" s="5">
        <f t="shared" si="32"/>
        <v>8</v>
      </c>
      <c r="H33" s="5">
        <f t="shared" si="32"/>
        <v>6</v>
      </c>
      <c r="I33" s="17">
        <f t="shared" si="20"/>
        <v>1</v>
      </c>
    </row>
    <row r="34">
      <c r="A34" s="2">
        <v>14.0</v>
      </c>
      <c r="B34" s="5">
        <f t="shared" ref="B34:H34" si="33">abs(B$1*$I34-$A34*B$17)</f>
        <v>84</v>
      </c>
      <c r="C34" s="5">
        <f t="shared" si="33"/>
        <v>70</v>
      </c>
      <c r="D34" s="5">
        <f t="shared" si="33"/>
        <v>56</v>
      </c>
      <c r="E34" s="5">
        <f t="shared" si="33"/>
        <v>42</v>
      </c>
      <c r="F34" s="5">
        <f t="shared" si="33"/>
        <v>28</v>
      </c>
      <c r="G34" s="5">
        <f t="shared" si="33"/>
        <v>14</v>
      </c>
      <c r="H34" s="5">
        <f t="shared" si="33"/>
        <v>0</v>
      </c>
      <c r="I34" s="17">
        <f t="shared" si="20"/>
        <v>0</v>
      </c>
    </row>
    <row r="35">
      <c r="A35" s="17"/>
      <c r="B35" s="17">
        <f t="shared" ref="B35:H35" si="34">6-B19</f>
        <v>6</v>
      </c>
      <c r="C35" s="17">
        <f t="shared" si="34"/>
        <v>5</v>
      </c>
      <c r="D35" s="17">
        <f t="shared" si="34"/>
        <v>4</v>
      </c>
      <c r="E35" s="17">
        <f t="shared" si="34"/>
        <v>3</v>
      </c>
      <c r="F35" s="17">
        <f t="shared" si="34"/>
        <v>2</v>
      </c>
      <c r="G35" s="17">
        <f t="shared" si="34"/>
        <v>1</v>
      </c>
      <c r="H35" s="17">
        <f t="shared" si="34"/>
        <v>0</v>
      </c>
      <c r="I35" s="17"/>
    </row>
    <row r="36">
      <c r="A36" s="17"/>
      <c r="I36" s="17"/>
    </row>
    <row r="37">
      <c r="A37" s="17"/>
      <c r="I37" s="17"/>
    </row>
    <row r="38">
      <c r="A38" s="17"/>
      <c r="I38" s="17"/>
    </row>
    <row r="39">
      <c r="A39" s="17"/>
      <c r="I39" s="17"/>
    </row>
    <row r="40">
      <c r="A40" s="17"/>
      <c r="I40" s="17"/>
    </row>
    <row r="41">
      <c r="A41" s="17"/>
      <c r="I41" s="17"/>
    </row>
    <row r="42">
      <c r="A42" s="17"/>
      <c r="I42" s="17"/>
    </row>
    <row r="43">
      <c r="A43" s="17"/>
      <c r="I43" s="17"/>
    </row>
    <row r="44">
      <c r="A44" s="17"/>
      <c r="I44" s="17"/>
    </row>
    <row r="45">
      <c r="A45" s="17"/>
      <c r="I45" s="17"/>
    </row>
    <row r="46">
      <c r="A46" s="17"/>
      <c r="I46" s="17"/>
    </row>
    <row r="47">
      <c r="A47" s="17"/>
      <c r="I47" s="17"/>
    </row>
    <row r="48">
      <c r="A48" s="17"/>
      <c r="I48" s="17"/>
    </row>
    <row r="49">
      <c r="A49" s="17"/>
      <c r="I49" s="17"/>
    </row>
    <row r="50">
      <c r="A50" s="17"/>
      <c r="I50" s="17"/>
    </row>
    <row r="51">
      <c r="A51" s="17"/>
      <c r="I51" s="17"/>
    </row>
    <row r="52">
      <c r="A52" s="17"/>
      <c r="I52" s="17"/>
    </row>
    <row r="53">
      <c r="A53" s="17"/>
      <c r="I53" s="17"/>
    </row>
    <row r="54">
      <c r="A54" s="17"/>
      <c r="I54" s="17"/>
    </row>
    <row r="55">
      <c r="A55" s="17"/>
      <c r="I55" s="17"/>
    </row>
    <row r="56">
      <c r="A56" s="17"/>
      <c r="I56" s="17"/>
    </row>
    <row r="57">
      <c r="A57" s="17"/>
      <c r="I57" s="17"/>
    </row>
    <row r="58">
      <c r="A58" s="17"/>
      <c r="I58" s="17"/>
    </row>
    <row r="59">
      <c r="A59" s="17"/>
      <c r="I59" s="17"/>
    </row>
    <row r="60">
      <c r="A60" s="17"/>
      <c r="I60" s="17"/>
    </row>
    <row r="61">
      <c r="A61" s="17"/>
      <c r="I61" s="17"/>
    </row>
    <row r="62">
      <c r="A62" s="17"/>
      <c r="I62" s="17"/>
    </row>
    <row r="63">
      <c r="A63" s="17"/>
      <c r="I63" s="17"/>
    </row>
    <row r="64">
      <c r="A64" s="17"/>
      <c r="I64" s="17"/>
    </row>
    <row r="65">
      <c r="A65" s="17"/>
      <c r="I65" s="17"/>
    </row>
    <row r="66">
      <c r="A66" s="17"/>
      <c r="I66" s="17"/>
    </row>
    <row r="67">
      <c r="A67" s="17"/>
      <c r="I67" s="17"/>
    </row>
    <row r="68">
      <c r="A68" s="17"/>
      <c r="I68" s="17"/>
    </row>
    <row r="69">
      <c r="A69" s="17"/>
      <c r="I69" s="17"/>
    </row>
    <row r="70">
      <c r="A70" s="17"/>
      <c r="I70" s="17"/>
    </row>
    <row r="71">
      <c r="A71" s="17"/>
      <c r="I71" s="17"/>
    </row>
    <row r="72">
      <c r="A72" s="17"/>
      <c r="I72" s="17"/>
    </row>
    <row r="73">
      <c r="A73" s="17"/>
      <c r="I73" s="17"/>
    </row>
    <row r="74">
      <c r="A74" s="17"/>
      <c r="I74" s="17"/>
    </row>
    <row r="75">
      <c r="A75" s="17"/>
      <c r="I75" s="17"/>
    </row>
    <row r="76">
      <c r="A76" s="17"/>
      <c r="I76" s="17"/>
    </row>
    <row r="77">
      <c r="A77" s="17"/>
      <c r="I77" s="17"/>
    </row>
    <row r="78">
      <c r="A78" s="17"/>
      <c r="I78" s="17"/>
    </row>
    <row r="79">
      <c r="A79" s="17"/>
      <c r="I79" s="17"/>
    </row>
    <row r="80">
      <c r="A80" s="17"/>
      <c r="I80" s="17"/>
    </row>
    <row r="81">
      <c r="A81" s="17"/>
      <c r="I81" s="17"/>
    </row>
    <row r="82">
      <c r="A82" s="17"/>
      <c r="I82" s="17"/>
    </row>
    <row r="83">
      <c r="A83" s="17"/>
      <c r="I83" s="17"/>
    </row>
    <row r="84">
      <c r="A84" s="17"/>
      <c r="I84" s="17"/>
    </row>
    <row r="85">
      <c r="A85" s="17"/>
      <c r="I85" s="17"/>
    </row>
    <row r="86">
      <c r="A86" s="17"/>
      <c r="I86" s="17"/>
    </row>
    <row r="87">
      <c r="A87" s="17"/>
      <c r="I87" s="17"/>
    </row>
    <row r="88">
      <c r="A88" s="17"/>
      <c r="I88" s="17"/>
    </row>
    <row r="89">
      <c r="A89" s="17"/>
      <c r="I89" s="17"/>
    </row>
    <row r="90">
      <c r="A90" s="17"/>
      <c r="I90" s="17"/>
    </row>
    <row r="91">
      <c r="A91" s="17"/>
      <c r="I91" s="17"/>
    </row>
    <row r="92">
      <c r="A92" s="17"/>
      <c r="I92" s="17"/>
    </row>
    <row r="93">
      <c r="A93" s="17"/>
      <c r="I93" s="17"/>
    </row>
    <row r="94">
      <c r="A94" s="17"/>
      <c r="I94" s="17"/>
    </row>
    <row r="95">
      <c r="A95" s="17"/>
      <c r="I95" s="17"/>
    </row>
    <row r="96">
      <c r="A96" s="17"/>
      <c r="I96" s="17"/>
    </row>
    <row r="97">
      <c r="A97" s="17"/>
      <c r="I97" s="17"/>
    </row>
    <row r="98">
      <c r="A98" s="17"/>
      <c r="I98" s="17"/>
    </row>
    <row r="99">
      <c r="A99" s="17"/>
      <c r="I99" s="17"/>
    </row>
    <row r="100">
      <c r="A100" s="17"/>
      <c r="I100" s="17"/>
    </row>
    <row r="101">
      <c r="A101" s="17"/>
      <c r="I101" s="17"/>
    </row>
    <row r="102">
      <c r="A102" s="17"/>
      <c r="I102" s="17"/>
    </row>
    <row r="103">
      <c r="A103" s="17"/>
      <c r="I103" s="17"/>
    </row>
    <row r="104">
      <c r="A104" s="17"/>
      <c r="I104" s="17"/>
    </row>
    <row r="105">
      <c r="A105" s="17"/>
      <c r="I105" s="17"/>
    </row>
    <row r="106">
      <c r="A106" s="17"/>
      <c r="I106" s="17"/>
    </row>
    <row r="107">
      <c r="A107" s="17"/>
      <c r="I107" s="17"/>
    </row>
    <row r="108">
      <c r="A108" s="17"/>
      <c r="I108" s="17"/>
    </row>
    <row r="109">
      <c r="A109" s="17"/>
      <c r="I109" s="17"/>
    </row>
    <row r="110">
      <c r="A110" s="17"/>
      <c r="I110" s="17"/>
    </row>
    <row r="111">
      <c r="A111" s="17"/>
      <c r="I111" s="17"/>
    </row>
    <row r="112">
      <c r="A112" s="17"/>
      <c r="I112" s="17"/>
    </row>
    <row r="113">
      <c r="A113" s="17"/>
      <c r="I113" s="17"/>
    </row>
    <row r="114">
      <c r="A114" s="17"/>
      <c r="I114" s="17"/>
    </row>
    <row r="115">
      <c r="A115" s="17"/>
      <c r="I115" s="17"/>
    </row>
    <row r="116">
      <c r="A116" s="17"/>
      <c r="I116" s="17"/>
    </row>
    <row r="117">
      <c r="A117" s="17"/>
      <c r="I117" s="17"/>
    </row>
    <row r="118">
      <c r="A118" s="17"/>
      <c r="I118" s="17"/>
    </row>
    <row r="119">
      <c r="A119" s="17"/>
      <c r="I119" s="17"/>
    </row>
    <row r="120">
      <c r="A120" s="17"/>
      <c r="I120" s="17"/>
    </row>
    <row r="121">
      <c r="A121" s="17"/>
      <c r="I121" s="17"/>
    </row>
    <row r="122">
      <c r="A122" s="17"/>
      <c r="I122" s="17"/>
    </row>
    <row r="123">
      <c r="A123" s="17"/>
      <c r="I123" s="17"/>
    </row>
    <row r="124">
      <c r="A124" s="17"/>
      <c r="I124" s="17"/>
    </row>
    <row r="125">
      <c r="A125" s="17"/>
      <c r="I125" s="17"/>
    </row>
    <row r="126">
      <c r="A126" s="17"/>
      <c r="I126" s="17"/>
    </row>
    <row r="127">
      <c r="A127" s="17"/>
      <c r="I127" s="17"/>
    </row>
    <row r="128">
      <c r="A128" s="17"/>
      <c r="I128" s="17"/>
    </row>
    <row r="129">
      <c r="A129" s="17"/>
      <c r="I129" s="17"/>
    </row>
    <row r="130">
      <c r="A130" s="17"/>
      <c r="I130" s="17"/>
    </row>
    <row r="131">
      <c r="A131" s="17"/>
      <c r="I131" s="17"/>
    </row>
    <row r="132">
      <c r="A132" s="17"/>
      <c r="I132" s="17"/>
    </row>
    <row r="133">
      <c r="A133" s="17"/>
      <c r="I133" s="17"/>
    </row>
    <row r="134">
      <c r="A134" s="17"/>
      <c r="I134" s="17"/>
    </row>
    <row r="135">
      <c r="A135" s="17"/>
      <c r="I135" s="17"/>
    </row>
    <row r="136">
      <c r="A136" s="17"/>
      <c r="I136" s="17"/>
    </row>
    <row r="137">
      <c r="A137" s="17"/>
      <c r="I137" s="17"/>
    </row>
    <row r="138">
      <c r="A138" s="17"/>
      <c r="I138" s="17"/>
    </row>
    <row r="139">
      <c r="A139" s="17"/>
      <c r="I139" s="17"/>
    </row>
    <row r="140">
      <c r="A140" s="17"/>
      <c r="I140" s="17"/>
    </row>
    <row r="141">
      <c r="A141" s="17"/>
      <c r="I141" s="17"/>
    </row>
    <row r="142">
      <c r="A142" s="17"/>
      <c r="I142" s="17"/>
    </row>
    <row r="143">
      <c r="A143" s="17"/>
      <c r="I143" s="17"/>
    </row>
    <row r="144">
      <c r="A144" s="17"/>
      <c r="I144" s="17"/>
    </row>
    <row r="145">
      <c r="A145" s="17"/>
      <c r="I145" s="17"/>
    </row>
    <row r="146">
      <c r="A146" s="17"/>
      <c r="I146" s="17"/>
    </row>
    <row r="147">
      <c r="A147" s="17"/>
      <c r="I147" s="17"/>
    </row>
    <row r="148">
      <c r="A148" s="17"/>
      <c r="I148" s="17"/>
    </row>
    <row r="149">
      <c r="A149" s="17"/>
      <c r="I149" s="17"/>
    </row>
    <row r="150">
      <c r="A150" s="17"/>
      <c r="I150" s="17"/>
    </row>
    <row r="151">
      <c r="A151" s="17"/>
      <c r="I151" s="17"/>
    </row>
    <row r="152">
      <c r="A152" s="17"/>
      <c r="I152" s="17"/>
    </row>
    <row r="153">
      <c r="A153" s="17"/>
      <c r="I153" s="17"/>
    </row>
    <row r="154">
      <c r="A154" s="17"/>
      <c r="I154" s="17"/>
    </row>
    <row r="155">
      <c r="A155" s="17"/>
      <c r="I155" s="17"/>
    </row>
    <row r="156">
      <c r="A156" s="17"/>
      <c r="I156" s="17"/>
    </row>
    <row r="157">
      <c r="A157" s="17"/>
      <c r="I157" s="17"/>
    </row>
    <row r="158">
      <c r="A158" s="17"/>
      <c r="I158" s="17"/>
    </row>
    <row r="159">
      <c r="A159" s="17"/>
      <c r="I159" s="17"/>
    </row>
    <row r="160">
      <c r="A160" s="17"/>
      <c r="I160" s="17"/>
    </row>
    <row r="161">
      <c r="A161" s="17"/>
      <c r="I161" s="17"/>
    </row>
    <row r="162">
      <c r="A162" s="17"/>
      <c r="I162" s="17"/>
    </row>
    <row r="163">
      <c r="A163" s="17"/>
      <c r="I163" s="17"/>
    </row>
    <row r="164">
      <c r="A164" s="17"/>
      <c r="I164" s="17"/>
    </row>
    <row r="165">
      <c r="A165" s="17"/>
      <c r="I165" s="17"/>
    </row>
    <row r="166">
      <c r="A166" s="17"/>
      <c r="I166" s="17"/>
    </row>
    <row r="167">
      <c r="A167" s="17"/>
      <c r="I167" s="17"/>
    </row>
    <row r="168">
      <c r="A168" s="17"/>
      <c r="I168" s="17"/>
    </row>
    <row r="169">
      <c r="A169" s="17"/>
      <c r="I169" s="17"/>
    </row>
    <row r="170">
      <c r="A170" s="17"/>
      <c r="I170" s="17"/>
    </row>
    <row r="171">
      <c r="A171" s="17"/>
      <c r="I171" s="17"/>
    </row>
    <row r="172">
      <c r="A172" s="17"/>
      <c r="I172" s="17"/>
    </row>
    <row r="173">
      <c r="A173" s="17"/>
      <c r="I173" s="17"/>
    </row>
    <row r="174">
      <c r="A174" s="17"/>
      <c r="I174" s="17"/>
    </row>
    <row r="175">
      <c r="A175" s="17"/>
      <c r="I175" s="17"/>
    </row>
    <row r="176">
      <c r="A176" s="17"/>
      <c r="I176" s="17"/>
    </row>
    <row r="177">
      <c r="A177" s="17"/>
      <c r="I177" s="17"/>
    </row>
    <row r="178">
      <c r="A178" s="17"/>
      <c r="I178" s="17"/>
    </row>
    <row r="179">
      <c r="A179" s="17"/>
      <c r="I179" s="17"/>
    </row>
    <row r="180">
      <c r="A180" s="17"/>
      <c r="I180" s="17"/>
    </row>
    <row r="181">
      <c r="A181" s="17"/>
      <c r="I181" s="17"/>
    </row>
    <row r="182">
      <c r="A182" s="17"/>
      <c r="I182" s="17"/>
    </row>
    <row r="183">
      <c r="A183" s="17"/>
      <c r="I183" s="17"/>
    </row>
    <row r="184">
      <c r="A184" s="17"/>
      <c r="I184" s="17"/>
    </row>
    <row r="185">
      <c r="A185" s="17"/>
      <c r="I185" s="17"/>
    </row>
    <row r="186">
      <c r="A186" s="17"/>
      <c r="I186" s="17"/>
    </row>
    <row r="187">
      <c r="A187" s="17"/>
      <c r="I187" s="17"/>
    </row>
    <row r="188">
      <c r="A188" s="17"/>
      <c r="I188" s="17"/>
    </row>
    <row r="189">
      <c r="A189" s="17"/>
      <c r="I189" s="17"/>
    </row>
    <row r="190">
      <c r="A190" s="17"/>
      <c r="I190" s="17"/>
    </row>
    <row r="191">
      <c r="A191" s="17"/>
      <c r="I191" s="17"/>
    </row>
    <row r="192">
      <c r="A192" s="17"/>
      <c r="I192" s="17"/>
    </row>
    <row r="193">
      <c r="A193" s="17"/>
      <c r="I193" s="17"/>
    </row>
    <row r="194">
      <c r="A194" s="17"/>
      <c r="I194" s="17"/>
    </row>
    <row r="195">
      <c r="A195" s="17"/>
      <c r="I195" s="17"/>
    </row>
    <row r="196">
      <c r="A196" s="17"/>
      <c r="I196" s="17"/>
    </row>
    <row r="197">
      <c r="A197" s="17"/>
      <c r="I197" s="17"/>
    </row>
    <row r="198">
      <c r="A198" s="17"/>
      <c r="I198" s="17"/>
    </row>
    <row r="199">
      <c r="A199" s="17"/>
      <c r="I199" s="17"/>
    </row>
    <row r="200">
      <c r="A200" s="17"/>
      <c r="I200" s="17"/>
    </row>
    <row r="201">
      <c r="A201" s="17"/>
      <c r="I201" s="17"/>
    </row>
    <row r="202">
      <c r="A202" s="17"/>
      <c r="I202" s="17"/>
    </row>
    <row r="203">
      <c r="A203" s="17"/>
      <c r="I203" s="17"/>
    </row>
    <row r="204">
      <c r="A204" s="17"/>
      <c r="I204" s="17"/>
    </row>
    <row r="205">
      <c r="A205" s="17"/>
      <c r="I205" s="17"/>
    </row>
    <row r="206">
      <c r="A206" s="17"/>
      <c r="I206" s="17"/>
    </row>
    <row r="207">
      <c r="A207" s="17"/>
      <c r="I207" s="17"/>
    </row>
    <row r="208">
      <c r="A208" s="17"/>
      <c r="I208" s="17"/>
    </row>
    <row r="209">
      <c r="A209" s="17"/>
      <c r="I209" s="17"/>
    </row>
    <row r="210">
      <c r="A210" s="17"/>
      <c r="I210" s="17"/>
    </row>
    <row r="211">
      <c r="A211" s="17"/>
      <c r="I211" s="17"/>
    </row>
    <row r="212">
      <c r="A212" s="17"/>
      <c r="I212" s="17"/>
    </row>
    <row r="213">
      <c r="A213" s="17"/>
      <c r="I213" s="17"/>
    </row>
    <row r="214">
      <c r="A214" s="17"/>
      <c r="I214" s="17"/>
    </row>
    <row r="215">
      <c r="A215" s="17"/>
      <c r="I215" s="17"/>
    </row>
    <row r="216">
      <c r="A216" s="17"/>
      <c r="I216" s="17"/>
    </row>
    <row r="217">
      <c r="A217" s="17"/>
      <c r="I217" s="17"/>
    </row>
    <row r="218">
      <c r="A218" s="17"/>
      <c r="I218" s="17"/>
    </row>
    <row r="219">
      <c r="A219" s="17"/>
      <c r="I219" s="17"/>
    </row>
    <row r="220">
      <c r="A220" s="17"/>
      <c r="I220" s="17"/>
    </row>
    <row r="221">
      <c r="A221" s="17"/>
      <c r="I221" s="17"/>
    </row>
    <row r="222">
      <c r="A222" s="17"/>
      <c r="I222" s="17"/>
    </row>
    <row r="223">
      <c r="A223" s="17"/>
      <c r="I223" s="17"/>
    </row>
    <row r="224">
      <c r="A224" s="17"/>
      <c r="I224" s="17"/>
    </row>
    <row r="225">
      <c r="A225" s="17"/>
      <c r="I225" s="17"/>
    </row>
    <row r="226">
      <c r="A226" s="17"/>
      <c r="I226" s="17"/>
    </row>
    <row r="227">
      <c r="A227" s="17"/>
      <c r="I227" s="17"/>
    </row>
    <row r="228">
      <c r="A228" s="17"/>
      <c r="I228" s="17"/>
    </row>
    <row r="229">
      <c r="A229" s="17"/>
      <c r="I229" s="17"/>
    </row>
    <row r="230">
      <c r="A230" s="17"/>
      <c r="I230" s="17"/>
    </row>
    <row r="231">
      <c r="A231" s="17"/>
      <c r="I231" s="17"/>
    </row>
    <row r="232">
      <c r="A232" s="17"/>
      <c r="I232" s="17"/>
    </row>
    <row r="233">
      <c r="A233" s="17"/>
      <c r="I233" s="17"/>
    </row>
    <row r="234">
      <c r="A234" s="17"/>
      <c r="I234" s="17"/>
    </row>
    <row r="235">
      <c r="A235" s="17"/>
      <c r="I235" s="17"/>
    </row>
    <row r="236">
      <c r="A236" s="17"/>
      <c r="I236" s="17"/>
    </row>
    <row r="237">
      <c r="A237" s="17"/>
      <c r="I237" s="17"/>
    </row>
    <row r="238">
      <c r="A238" s="17"/>
      <c r="I238" s="17"/>
    </row>
    <row r="239">
      <c r="A239" s="17"/>
      <c r="I239" s="17"/>
    </row>
    <row r="240">
      <c r="A240" s="17"/>
      <c r="I240" s="17"/>
    </row>
    <row r="241">
      <c r="A241" s="17"/>
      <c r="I241" s="17"/>
    </row>
    <row r="242">
      <c r="A242" s="17"/>
      <c r="I242" s="17"/>
    </row>
    <row r="243">
      <c r="A243" s="17"/>
      <c r="I243" s="17"/>
    </row>
    <row r="244">
      <c r="A244" s="17"/>
      <c r="I244" s="17"/>
    </row>
    <row r="245">
      <c r="A245" s="17"/>
      <c r="I245" s="17"/>
    </row>
    <row r="246">
      <c r="A246" s="17"/>
      <c r="I246" s="17"/>
    </row>
    <row r="247">
      <c r="A247" s="17"/>
      <c r="I247" s="17"/>
    </row>
    <row r="248">
      <c r="A248" s="17"/>
      <c r="I248" s="17"/>
    </row>
    <row r="249">
      <c r="A249" s="17"/>
      <c r="I249" s="17"/>
    </row>
    <row r="250">
      <c r="A250" s="17"/>
      <c r="I250" s="17"/>
    </row>
    <row r="251">
      <c r="A251" s="17"/>
      <c r="I251" s="17"/>
    </row>
    <row r="252">
      <c r="A252" s="17"/>
      <c r="I252" s="17"/>
    </row>
    <row r="253">
      <c r="A253" s="17"/>
      <c r="I253" s="17"/>
    </row>
    <row r="254">
      <c r="A254" s="17"/>
      <c r="I254" s="17"/>
    </row>
    <row r="255">
      <c r="A255" s="17"/>
      <c r="I255" s="17"/>
    </row>
    <row r="256">
      <c r="A256" s="17"/>
      <c r="I256" s="17"/>
    </row>
    <row r="257">
      <c r="A257" s="17"/>
      <c r="I257" s="17"/>
    </row>
    <row r="258">
      <c r="A258" s="17"/>
      <c r="I258" s="17"/>
    </row>
    <row r="259">
      <c r="A259" s="17"/>
      <c r="I259" s="17"/>
    </row>
    <row r="260">
      <c r="A260" s="17"/>
      <c r="I260" s="17"/>
    </row>
    <row r="261">
      <c r="A261" s="17"/>
      <c r="I261" s="17"/>
    </row>
    <row r="262">
      <c r="A262" s="17"/>
      <c r="I262" s="17"/>
    </row>
    <row r="263">
      <c r="A263" s="17"/>
      <c r="I263" s="17"/>
    </row>
    <row r="264">
      <c r="A264" s="17"/>
      <c r="I264" s="17"/>
    </row>
    <row r="265">
      <c r="A265" s="17"/>
      <c r="I265" s="17"/>
    </row>
    <row r="266">
      <c r="A266" s="17"/>
      <c r="I266" s="17"/>
    </row>
    <row r="267">
      <c r="A267" s="17"/>
      <c r="I267" s="17"/>
    </row>
    <row r="268">
      <c r="A268" s="17"/>
      <c r="I268" s="17"/>
    </row>
    <row r="269">
      <c r="A269" s="17"/>
      <c r="I269" s="17"/>
    </row>
    <row r="270">
      <c r="A270" s="17"/>
      <c r="I270" s="17"/>
    </row>
    <row r="271">
      <c r="A271" s="17"/>
      <c r="I271" s="17"/>
    </row>
    <row r="272">
      <c r="A272" s="17"/>
      <c r="I272" s="17"/>
    </row>
    <row r="273">
      <c r="A273" s="17"/>
      <c r="I273" s="17"/>
    </row>
    <row r="274">
      <c r="A274" s="17"/>
      <c r="I274" s="17"/>
    </row>
    <row r="275">
      <c r="A275" s="17"/>
      <c r="I275" s="17"/>
    </row>
    <row r="276">
      <c r="A276" s="17"/>
      <c r="I276" s="17"/>
    </row>
    <row r="277">
      <c r="A277" s="17"/>
      <c r="I277" s="17"/>
    </row>
    <row r="278">
      <c r="A278" s="17"/>
      <c r="I278" s="17"/>
    </row>
    <row r="279">
      <c r="A279" s="17"/>
      <c r="I279" s="17"/>
    </row>
    <row r="280">
      <c r="A280" s="17"/>
      <c r="I280" s="17"/>
    </row>
    <row r="281">
      <c r="A281" s="17"/>
      <c r="I281" s="17"/>
    </row>
    <row r="282">
      <c r="A282" s="17"/>
      <c r="I282" s="17"/>
    </row>
    <row r="283">
      <c r="A283" s="17"/>
      <c r="I283" s="17"/>
    </row>
    <row r="284">
      <c r="A284" s="17"/>
      <c r="I284" s="17"/>
    </row>
    <row r="285">
      <c r="A285" s="17"/>
      <c r="I285" s="17"/>
    </row>
    <row r="286">
      <c r="A286" s="17"/>
      <c r="I286" s="17"/>
    </row>
    <row r="287">
      <c r="A287" s="17"/>
      <c r="I287" s="17"/>
    </row>
    <row r="288">
      <c r="A288" s="17"/>
      <c r="I288" s="17"/>
    </row>
    <row r="289">
      <c r="A289" s="17"/>
      <c r="I289" s="17"/>
    </row>
    <row r="290">
      <c r="A290" s="17"/>
      <c r="I290" s="17"/>
    </row>
    <row r="291">
      <c r="A291" s="17"/>
      <c r="I291" s="17"/>
    </row>
    <row r="292">
      <c r="A292" s="17"/>
      <c r="I292" s="17"/>
    </row>
    <row r="293">
      <c r="A293" s="17"/>
      <c r="I293" s="17"/>
    </row>
    <row r="294">
      <c r="A294" s="17"/>
      <c r="I294" s="17"/>
    </row>
    <row r="295">
      <c r="A295" s="17"/>
      <c r="I295" s="17"/>
    </row>
    <row r="296">
      <c r="A296" s="17"/>
      <c r="I296" s="17"/>
    </row>
    <row r="297">
      <c r="A297" s="17"/>
      <c r="I297" s="17"/>
    </row>
    <row r="298">
      <c r="A298" s="17"/>
      <c r="I298" s="17"/>
    </row>
    <row r="299">
      <c r="A299" s="17"/>
      <c r="I299" s="17"/>
    </row>
    <row r="300">
      <c r="A300" s="17"/>
      <c r="I300" s="17"/>
    </row>
    <row r="301">
      <c r="A301" s="17"/>
      <c r="I301" s="17"/>
    </row>
    <row r="302">
      <c r="A302" s="17"/>
      <c r="I302" s="17"/>
    </row>
    <row r="303">
      <c r="A303" s="17"/>
      <c r="I303" s="17"/>
    </row>
    <row r="304">
      <c r="A304" s="17"/>
      <c r="I304" s="17"/>
    </row>
    <row r="305">
      <c r="A305" s="17"/>
      <c r="I305" s="17"/>
    </row>
    <row r="306">
      <c r="A306" s="17"/>
      <c r="I306" s="17"/>
    </row>
    <row r="307">
      <c r="A307" s="17"/>
      <c r="I307" s="17"/>
    </row>
    <row r="308">
      <c r="A308" s="17"/>
      <c r="I308" s="17"/>
    </row>
    <row r="309">
      <c r="A309" s="17"/>
      <c r="I309" s="17"/>
    </row>
    <row r="310">
      <c r="A310" s="17"/>
      <c r="I310" s="17"/>
    </row>
    <row r="311">
      <c r="A311" s="17"/>
      <c r="I311" s="17"/>
    </row>
    <row r="312">
      <c r="A312" s="17"/>
      <c r="I312" s="17"/>
    </row>
    <row r="313">
      <c r="A313" s="17"/>
      <c r="I313" s="17"/>
    </row>
    <row r="314">
      <c r="A314" s="17"/>
      <c r="I314" s="17"/>
    </row>
    <row r="315">
      <c r="A315" s="17"/>
      <c r="I315" s="17"/>
    </row>
    <row r="316">
      <c r="A316" s="17"/>
      <c r="I316" s="17"/>
    </row>
    <row r="317">
      <c r="A317" s="17"/>
      <c r="I317" s="17"/>
    </row>
    <row r="318">
      <c r="A318" s="17"/>
      <c r="I318" s="17"/>
    </row>
    <row r="319">
      <c r="A319" s="17"/>
      <c r="I319" s="17"/>
    </row>
    <row r="320">
      <c r="A320" s="17"/>
      <c r="I320" s="17"/>
    </row>
    <row r="321">
      <c r="A321" s="17"/>
      <c r="I321" s="17"/>
    </row>
    <row r="322">
      <c r="A322" s="17"/>
      <c r="I322" s="17"/>
    </row>
    <row r="323">
      <c r="A323" s="17"/>
      <c r="I323" s="17"/>
    </row>
    <row r="324">
      <c r="A324" s="17"/>
      <c r="I324" s="17"/>
    </row>
    <row r="325">
      <c r="A325" s="17"/>
      <c r="I325" s="17"/>
    </row>
    <row r="326">
      <c r="A326" s="17"/>
      <c r="I326" s="17"/>
    </row>
    <row r="327">
      <c r="A327" s="17"/>
      <c r="I327" s="17"/>
    </row>
    <row r="328">
      <c r="A328" s="17"/>
      <c r="I328" s="17"/>
    </row>
    <row r="329">
      <c r="A329" s="17"/>
      <c r="I329" s="17"/>
    </row>
    <row r="330">
      <c r="A330" s="17"/>
      <c r="I330" s="17"/>
    </row>
    <row r="331">
      <c r="A331" s="17"/>
      <c r="I331" s="17"/>
    </row>
    <row r="332">
      <c r="A332" s="17"/>
      <c r="I332" s="17"/>
    </row>
    <row r="333">
      <c r="A333" s="17"/>
      <c r="I333" s="17"/>
    </row>
    <row r="334">
      <c r="A334" s="17"/>
      <c r="I334" s="17"/>
    </row>
    <row r="335">
      <c r="A335" s="17"/>
      <c r="I335" s="17"/>
    </row>
    <row r="336">
      <c r="A336" s="17"/>
      <c r="I336" s="17"/>
    </row>
    <row r="337">
      <c r="A337" s="17"/>
      <c r="I337" s="17"/>
    </row>
    <row r="338">
      <c r="A338" s="17"/>
      <c r="I338" s="17"/>
    </row>
    <row r="339">
      <c r="A339" s="17"/>
      <c r="I339" s="17"/>
    </row>
    <row r="340">
      <c r="A340" s="17"/>
      <c r="I340" s="17"/>
    </row>
    <row r="341">
      <c r="A341" s="17"/>
      <c r="I341" s="17"/>
    </row>
    <row r="342">
      <c r="A342" s="17"/>
      <c r="I342" s="17"/>
    </row>
    <row r="343">
      <c r="A343" s="17"/>
      <c r="I343" s="17"/>
    </row>
    <row r="344">
      <c r="A344" s="17"/>
      <c r="I344" s="17"/>
    </row>
    <row r="345">
      <c r="A345" s="17"/>
      <c r="I345" s="17"/>
    </row>
    <row r="346">
      <c r="A346" s="17"/>
      <c r="I346" s="17"/>
    </row>
    <row r="347">
      <c r="A347" s="17"/>
      <c r="I347" s="17"/>
    </row>
    <row r="348">
      <c r="A348" s="17"/>
      <c r="I348" s="17"/>
    </row>
    <row r="349">
      <c r="A349" s="17"/>
      <c r="I349" s="17"/>
    </row>
    <row r="350">
      <c r="A350" s="17"/>
      <c r="I350" s="17"/>
    </row>
    <row r="351">
      <c r="A351" s="17"/>
      <c r="I351" s="17"/>
    </row>
    <row r="352">
      <c r="A352" s="17"/>
      <c r="I352" s="17"/>
    </row>
    <row r="353">
      <c r="A353" s="17"/>
      <c r="I353" s="17"/>
    </row>
    <row r="354">
      <c r="A354" s="17"/>
      <c r="I354" s="17"/>
    </row>
    <row r="355">
      <c r="A355" s="17"/>
      <c r="I355" s="17"/>
    </row>
    <row r="356">
      <c r="A356" s="17"/>
      <c r="I356" s="17"/>
    </row>
    <row r="357">
      <c r="A357" s="17"/>
      <c r="I357" s="17"/>
    </row>
    <row r="358">
      <c r="A358" s="17"/>
      <c r="I358" s="17"/>
    </row>
    <row r="359">
      <c r="A359" s="17"/>
      <c r="I359" s="17"/>
    </row>
    <row r="360">
      <c r="A360" s="17"/>
      <c r="I360" s="17"/>
    </row>
    <row r="361">
      <c r="A361" s="17"/>
      <c r="I361" s="17"/>
    </row>
    <row r="362">
      <c r="A362" s="17"/>
      <c r="I362" s="17"/>
    </row>
    <row r="363">
      <c r="A363" s="17"/>
      <c r="I363" s="17"/>
    </row>
    <row r="364">
      <c r="A364" s="17"/>
      <c r="I364" s="17"/>
    </row>
    <row r="365">
      <c r="A365" s="17"/>
      <c r="I365" s="17"/>
    </row>
    <row r="366">
      <c r="A366" s="17"/>
      <c r="I366" s="17"/>
    </row>
    <row r="367">
      <c r="A367" s="17"/>
      <c r="I367" s="17"/>
    </row>
    <row r="368">
      <c r="A368" s="17"/>
      <c r="I368" s="17"/>
    </row>
    <row r="369">
      <c r="A369" s="17"/>
      <c r="I369" s="17"/>
    </row>
    <row r="370">
      <c r="A370" s="17"/>
      <c r="I370" s="17"/>
    </row>
    <row r="371">
      <c r="A371" s="17"/>
      <c r="I371" s="17"/>
    </row>
    <row r="372">
      <c r="A372" s="17"/>
      <c r="I372" s="17"/>
    </row>
    <row r="373">
      <c r="A373" s="17"/>
      <c r="I373" s="17"/>
    </row>
    <row r="374">
      <c r="A374" s="17"/>
      <c r="I374" s="17"/>
    </row>
    <row r="375">
      <c r="A375" s="17"/>
      <c r="I375" s="17"/>
    </row>
    <row r="376">
      <c r="A376" s="17"/>
      <c r="I376" s="17"/>
    </row>
    <row r="377">
      <c r="A377" s="17"/>
      <c r="I377" s="17"/>
    </row>
    <row r="378">
      <c r="A378" s="17"/>
      <c r="I378" s="17"/>
    </row>
    <row r="379">
      <c r="A379" s="17"/>
      <c r="I379" s="17"/>
    </row>
    <row r="380">
      <c r="A380" s="17"/>
      <c r="I380" s="17"/>
    </row>
    <row r="381">
      <c r="A381" s="17"/>
      <c r="I381" s="17"/>
    </row>
    <row r="382">
      <c r="A382" s="17"/>
      <c r="I382" s="17"/>
    </row>
    <row r="383">
      <c r="A383" s="17"/>
      <c r="I383" s="17"/>
    </row>
    <row r="384">
      <c r="A384" s="17"/>
      <c r="I384" s="17"/>
    </row>
    <row r="385">
      <c r="A385" s="17"/>
      <c r="I385" s="17"/>
    </row>
    <row r="386">
      <c r="A386" s="17"/>
      <c r="I386" s="17"/>
    </row>
    <row r="387">
      <c r="A387" s="17"/>
      <c r="I387" s="17"/>
    </row>
    <row r="388">
      <c r="A388" s="17"/>
      <c r="I388" s="17"/>
    </row>
    <row r="389">
      <c r="A389" s="17"/>
      <c r="I389" s="17"/>
    </row>
    <row r="390">
      <c r="A390" s="17"/>
      <c r="I390" s="17"/>
    </row>
    <row r="391">
      <c r="A391" s="17"/>
      <c r="I391" s="17"/>
    </row>
    <row r="392">
      <c r="A392" s="17"/>
      <c r="I392" s="17"/>
    </row>
    <row r="393">
      <c r="A393" s="17"/>
      <c r="I393" s="17"/>
    </row>
    <row r="394">
      <c r="A394" s="17"/>
      <c r="I394" s="17"/>
    </row>
    <row r="395">
      <c r="A395" s="17"/>
      <c r="I395" s="17"/>
    </row>
    <row r="396">
      <c r="A396" s="17"/>
      <c r="I396" s="17"/>
    </row>
    <row r="397">
      <c r="A397" s="17"/>
      <c r="I397" s="17"/>
    </row>
    <row r="398">
      <c r="A398" s="17"/>
      <c r="I398" s="17"/>
    </row>
    <row r="399">
      <c r="A399" s="17"/>
      <c r="I399" s="17"/>
    </row>
    <row r="400">
      <c r="A400" s="17"/>
      <c r="I400" s="17"/>
    </row>
    <row r="401">
      <c r="A401" s="17"/>
      <c r="I401" s="17"/>
    </row>
    <row r="402">
      <c r="A402" s="17"/>
      <c r="I402" s="17"/>
    </row>
    <row r="403">
      <c r="A403" s="17"/>
      <c r="I403" s="17"/>
    </row>
    <row r="404">
      <c r="A404" s="17"/>
      <c r="I404" s="17"/>
    </row>
    <row r="405">
      <c r="A405" s="17"/>
      <c r="I405" s="17"/>
    </row>
    <row r="406">
      <c r="A406" s="17"/>
      <c r="I406" s="17"/>
    </row>
    <row r="407">
      <c r="A407" s="17"/>
      <c r="I407" s="17"/>
    </row>
    <row r="408">
      <c r="A408" s="17"/>
      <c r="I408" s="17"/>
    </row>
    <row r="409">
      <c r="A409" s="17"/>
      <c r="I409" s="17"/>
    </row>
    <row r="410">
      <c r="A410" s="17"/>
      <c r="I410" s="17"/>
    </row>
    <row r="411">
      <c r="A411" s="17"/>
      <c r="I411" s="17"/>
    </row>
    <row r="412">
      <c r="A412" s="17"/>
      <c r="I412" s="17"/>
    </row>
    <row r="413">
      <c r="A413" s="17"/>
      <c r="I413" s="17"/>
    </row>
    <row r="414">
      <c r="A414" s="17"/>
      <c r="I414" s="17"/>
    </row>
    <row r="415">
      <c r="A415" s="17"/>
      <c r="I415" s="17"/>
    </row>
    <row r="416">
      <c r="A416" s="17"/>
      <c r="I416" s="17"/>
    </row>
    <row r="417">
      <c r="A417" s="17"/>
      <c r="I417" s="17"/>
    </row>
    <row r="418">
      <c r="A418" s="17"/>
      <c r="I418" s="17"/>
    </row>
    <row r="419">
      <c r="A419" s="17"/>
      <c r="I419" s="17"/>
    </row>
    <row r="420">
      <c r="A420" s="17"/>
      <c r="I420" s="17"/>
    </row>
    <row r="421">
      <c r="A421" s="17"/>
      <c r="I421" s="17"/>
    </row>
    <row r="422">
      <c r="A422" s="17"/>
      <c r="I422" s="17"/>
    </row>
    <row r="423">
      <c r="A423" s="17"/>
      <c r="I423" s="17"/>
    </row>
    <row r="424">
      <c r="A424" s="17"/>
      <c r="I424" s="17"/>
    </row>
    <row r="425">
      <c r="A425" s="17"/>
      <c r="I425" s="17"/>
    </row>
    <row r="426">
      <c r="A426" s="17"/>
      <c r="I426" s="17"/>
    </row>
    <row r="427">
      <c r="A427" s="17"/>
      <c r="I427" s="17"/>
    </row>
    <row r="428">
      <c r="A428" s="17"/>
      <c r="I428" s="17"/>
    </row>
    <row r="429">
      <c r="A429" s="17"/>
      <c r="I429" s="17"/>
    </row>
    <row r="430">
      <c r="A430" s="17"/>
      <c r="I430" s="17"/>
    </row>
    <row r="431">
      <c r="A431" s="17"/>
      <c r="I431" s="17"/>
    </row>
    <row r="432">
      <c r="A432" s="17"/>
      <c r="I432" s="17"/>
    </row>
    <row r="433">
      <c r="A433" s="17"/>
      <c r="I433" s="17"/>
    </row>
    <row r="434">
      <c r="A434" s="17"/>
      <c r="I434" s="17"/>
    </row>
    <row r="435">
      <c r="A435" s="17"/>
      <c r="I435" s="17"/>
    </row>
    <row r="436">
      <c r="A436" s="17"/>
      <c r="I436" s="17"/>
    </row>
    <row r="437">
      <c r="A437" s="17"/>
      <c r="I437" s="17"/>
    </row>
    <row r="438">
      <c r="A438" s="17"/>
      <c r="I438" s="17"/>
    </row>
    <row r="439">
      <c r="A439" s="17"/>
      <c r="I439" s="17"/>
    </row>
    <row r="440">
      <c r="A440" s="17"/>
      <c r="I440" s="17"/>
    </row>
    <row r="441">
      <c r="A441" s="17"/>
      <c r="I441" s="17"/>
    </row>
    <row r="442">
      <c r="A442" s="17"/>
      <c r="I442" s="17"/>
    </row>
    <row r="443">
      <c r="A443" s="17"/>
      <c r="I443" s="17"/>
    </row>
    <row r="444">
      <c r="A444" s="17"/>
      <c r="I444" s="17"/>
    </row>
    <row r="445">
      <c r="A445" s="17"/>
      <c r="I445" s="17"/>
    </row>
    <row r="446">
      <c r="A446" s="17"/>
      <c r="I446" s="17"/>
    </row>
    <row r="447">
      <c r="A447" s="17"/>
      <c r="I447" s="17"/>
    </row>
    <row r="448">
      <c r="A448" s="17"/>
      <c r="I448" s="17"/>
    </row>
    <row r="449">
      <c r="A449" s="17"/>
      <c r="I449" s="17"/>
    </row>
    <row r="450">
      <c r="A450" s="17"/>
      <c r="I450" s="17"/>
    </row>
    <row r="451">
      <c r="A451" s="17"/>
      <c r="I451" s="17"/>
    </row>
    <row r="452">
      <c r="A452" s="17"/>
      <c r="I452" s="17"/>
    </row>
    <row r="453">
      <c r="A453" s="17"/>
      <c r="I453" s="17"/>
    </row>
    <row r="454">
      <c r="A454" s="17"/>
      <c r="I454" s="17"/>
    </row>
    <row r="455">
      <c r="A455" s="17"/>
      <c r="I455" s="17"/>
    </row>
    <row r="456">
      <c r="A456" s="17"/>
      <c r="I456" s="17"/>
    </row>
    <row r="457">
      <c r="A457" s="17"/>
      <c r="I457" s="17"/>
    </row>
    <row r="458">
      <c r="A458" s="17"/>
      <c r="I458" s="17"/>
    </row>
    <row r="459">
      <c r="A459" s="17"/>
      <c r="I459" s="17"/>
    </row>
    <row r="460">
      <c r="A460" s="17"/>
      <c r="I460" s="17"/>
    </row>
    <row r="461">
      <c r="A461" s="17"/>
      <c r="I461" s="17"/>
    </row>
    <row r="462">
      <c r="A462" s="17"/>
      <c r="I462" s="17"/>
    </row>
    <row r="463">
      <c r="A463" s="17"/>
      <c r="I463" s="17"/>
    </row>
    <row r="464">
      <c r="A464" s="17"/>
      <c r="I464" s="17"/>
    </row>
    <row r="465">
      <c r="A465" s="17"/>
      <c r="I465" s="17"/>
    </row>
    <row r="466">
      <c r="A466" s="17"/>
      <c r="I466" s="17"/>
    </row>
    <row r="467">
      <c r="A467" s="17"/>
      <c r="I467" s="17"/>
    </row>
    <row r="468">
      <c r="A468" s="17"/>
      <c r="I468" s="17"/>
    </row>
    <row r="469">
      <c r="A469" s="17"/>
      <c r="I469" s="17"/>
    </row>
    <row r="470">
      <c r="A470" s="17"/>
      <c r="I470" s="17"/>
    </row>
    <row r="471">
      <c r="A471" s="17"/>
      <c r="I471" s="17"/>
    </row>
    <row r="472">
      <c r="A472" s="17"/>
      <c r="I472" s="17"/>
    </row>
    <row r="473">
      <c r="A473" s="17"/>
      <c r="I473" s="17"/>
    </row>
    <row r="474">
      <c r="A474" s="17"/>
      <c r="I474" s="17"/>
    </row>
    <row r="475">
      <c r="A475" s="17"/>
      <c r="I475" s="17"/>
    </row>
    <row r="476">
      <c r="A476" s="17"/>
      <c r="I476" s="17"/>
    </row>
    <row r="477">
      <c r="A477" s="17"/>
      <c r="I477" s="17"/>
    </row>
    <row r="478">
      <c r="A478" s="17"/>
      <c r="I478" s="17"/>
    </row>
    <row r="479">
      <c r="A479" s="17"/>
      <c r="I479" s="17"/>
    </row>
    <row r="480">
      <c r="A480" s="17"/>
      <c r="I480" s="17"/>
    </row>
    <row r="481">
      <c r="A481" s="17"/>
      <c r="I481" s="17"/>
    </row>
    <row r="482">
      <c r="A482" s="17"/>
      <c r="I482" s="17"/>
    </row>
    <row r="483">
      <c r="A483" s="17"/>
      <c r="I483" s="17"/>
    </row>
    <row r="484">
      <c r="A484" s="17"/>
      <c r="I484" s="17"/>
    </row>
    <row r="485">
      <c r="A485" s="17"/>
      <c r="I485" s="17"/>
    </row>
    <row r="486">
      <c r="A486" s="17"/>
      <c r="I486" s="17"/>
    </row>
    <row r="487">
      <c r="A487" s="17"/>
      <c r="I487" s="17"/>
    </row>
    <row r="488">
      <c r="A488" s="17"/>
      <c r="I488" s="17"/>
    </row>
    <row r="489">
      <c r="A489" s="17"/>
      <c r="I489" s="17"/>
    </row>
    <row r="490">
      <c r="A490" s="17"/>
      <c r="I490" s="17"/>
    </row>
    <row r="491">
      <c r="A491" s="17"/>
      <c r="I491" s="17"/>
    </row>
    <row r="492">
      <c r="A492" s="17"/>
      <c r="I492" s="17"/>
    </row>
    <row r="493">
      <c r="A493" s="17"/>
      <c r="I493" s="17"/>
    </row>
    <row r="494">
      <c r="A494" s="17"/>
      <c r="I494" s="17"/>
    </row>
    <row r="495">
      <c r="A495" s="17"/>
      <c r="I495" s="17"/>
    </row>
    <row r="496">
      <c r="A496" s="17"/>
      <c r="I496" s="17"/>
    </row>
    <row r="497">
      <c r="A497" s="17"/>
      <c r="I497" s="17"/>
    </row>
    <row r="498">
      <c r="A498" s="17"/>
      <c r="I498" s="17"/>
    </row>
    <row r="499">
      <c r="A499" s="17"/>
      <c r="I499" s="17"/>
    </row>
    <row r="500">
      <c r="A500" s="17"/>
      <c r="I500" s="17"/>
    </row>
    <row r="501">
      <c r="A501" s="17"/>
      <c r="I501" s="17"/>
    </row>
    <row r="502">
      <c r="A502" s="17"/>
      <c r="I502" s="17"/>
    </row>
    <row r="503">
      <c r="A503" s="17"/>
      <c r="I503" s="17"/>
    </row>
    <row r="504">
      <c r="A504" s="17"/>
      <c r="I504" s="17"/>
    </row>
    <row r="505">
      <c r="A505" s="17"/>
      <c r="I505" s="17"/>
    </row>
    <row r="506">
      <c r="A506" s="17"/>
      <c r="I506" s="17"/>
    </row>
    <row r="507">
      <c r="A507" s="17"/>
      <c r="I507" s="17"/>
    </row>
    <row r="508">
      <c r="A508" s="17"/>
      <c r="I508" s="17"/>
    </row>
    <row r="509">
      <c r="A509" s="17"/>
      <c r="I509" s="17"/>
    </row>
    <row r="510">
      <c r="A510" s="17"/>
      <c r="I510" s="17"/>
    </row>
    <row r="511">
      <c r="A511" s="17"/>
      <c r="I511" s="17"/>
    </row>
    <row r="512">
      <c r="A512" s="17"/>
      <c r="I512" s="17"/>
    </row>
    <row r="513">
      <c r="A513" s="17"/>
      <c r="I513" s="17"/>
    </row>
    <row r="514">
      <c r="A514" s="17"/>
      <c r="I514" s="17"/>
    </row>
    <row r="515">
      <c r="A515" s="17"/>
      <c r="I515" s="17"/>
    </row>
    <row r="516">
      <c r="A516" s="17"/>
      <c r="I516" s="17"/>
    </row>
    <row r="517">
      <c r="A517" s="17"/>
      <c r="I517" s="17"/>
    </row>
    <row r="518">
      <c r="A518" s="17"/>
      <c r="I518" s="17"/>
    </row>
    <row r="519">
      <c r="A519" s="17"/>
      <c r="I519" s="17"/>
    </row>
    <row r="520">
      <c r="A520" s="17"/>
      <c r="I520" s="17"/>
    </row>
    <row r="521">
      <c r="A521" s="17"/>
      <c r="I521" s="17"/>
    </row>
    <row r="522">
      <c r="A522" s="17"/>
      <c r="I522" s="17"/>
    </row>
    <row r="523">
      <c r="A523" s="17"/>
      <c r="I523" s="17"/>
    </row>
    <row r="524">
      <c r="A524" s="17"/>
      <c r="I524" s="17"/>
    </row>
    <row r="525">
      <c r="A525" s="17"/>
      <c r="I525" s="17"/>
    </row>
    <row r="526">
      <c r="A526" s="17"/>
      <c r="I526" s="17"/>
    </row>
    <row r="527">
      <c r="A527" s="17"/>
      <c r="I527" s="17"/>
    </row>
    <row r="528">
      <c r="A528" s="17"/>
      <c r="I528" s="17"/>
    </row>
    <row r="529">
      <c r="A529" s="17"/>
      <c r="I529" s="17"/>
    </row>
    <row r="530">
      <c r="A530" s="17"/>
      <c r="I530" s="17"/>
    </row>
    <row r="531">
      <c r="A531" s="17"/>
      <c r="I531" s="17"/>
    </row>
    <row r="532">
      <c r="A532" s="17"/>
      <c r="I532" s="17"/>
    </row>
    <row r="533">
      <c r="A533" s="17"/>
      <c r="I533" s="17"/>
    </row>
    <row r="534">
      <c r="A534" s="17"/>
      <c r="I534" s="17"/>
    </row>
    <row r="535">
      <c r="A535" s="17"/>
      <c r="I535" s="17"/>
    </row>
    <row r="536">
      <c r="A536" s="17"/>
      <c r="I536" s="17"/>
    </row>
    <row r="537">
      <c r="A537" s="17"/>
      <c r="I537" s="17"/>
    </row>
    <row r="538">
      <c r="A538" s="17"/>
      <c r="I538" s="17"/>
    </row>
    <row r="539">
      <c r="A539" s="17"/>
      <c r="I539" s="17"/>
    </row>
    <row r="540">
      <c r="A540" s="17"/>
      <c r="I540" s="17"/>
    </row>
    <row r="541">
      <c r="A541" s="17"/>
      <c r="I541" s="17"/>
    </row>
    <row r="542">
      <c r="A542" s="17"/>
      <c r="I542" s="17"/>
    </row>
    <row r="543">
      <c r="A543" s="17"/>
      <c r="I543" s="17"/>
    </row>
    <row r="544">
      <c r="A544" s="17"/>
      <c r="I544" s="17"/>
    </row>
    <row r="545">
      <c r="A545" s="17"/>
      <c r="I545" s="17"/>
    </row>
    <row r="546">
      <c r="A546" s="17"/>
      <c r="I546" s="17"/>
    </row>
    <row r="547">
      <c r="A547" s="17"/>
      <c r="I547" s="17"/>
    </row>
    <row r="548">
      <c r="A548" s="17"/>
      <c r="I548" s="17"/>
    </row>
    <row r="549">
      <c r="A549" s="17"/>
      <c r="I549" s="17"/>
    </row>
    <row r="550">
      <c r="A550" s="17"/>
      <c r="I550" s="17"/>
    </row>
    <row r="551">
      <c r="A551" s="17"/>
      <c r="I551" s="17"/>
    </row>
    <row r="552">
      <c r="A552" s="17"/>
      <c r="I552" s="17"/>
    </row>
    <row r="553">
      <c r="A553" s="17"/>
      <c r="I553" s="17"/>
    </row>
    <row r="554">
      <c r="A554" s="17"/>
      <c r="I554" s="17"/>
    </row>
    <row r="555">
      <c r="A555" s="17"/>
      <c r="I555" s="17"/>
    </row>
    <row r="556">
      <c r="A556" s="17"/>
      <c r="I556" s="17"/>
    </row>
    <row r="557">
      <c r="A557" s="17"/>
      <c r="I557" s="17"/>
    </row>
    <row r="558">
      <c r="A558" s="17"/>
      <c r="I558" s="17"/>
    </row>
    <row r="559">
      <c r="A559" s="17"/>
      <c r="I559" s="17"/>
    </row>
    <row r="560">
      <c r="A560" s="17"/>
      <c r="I560" s="17"/>
    </row>
    <row r="561">
      <c r="A561" s="17"/>
      <c r="I561" s="17"/>
    </row>
    <row r="562">
      <c r="A562" s="17"/>
      <c r="I562" s="17"/>
    </row>
    <row r="563">
      <c r="A563" s="17"/>
      <c r="I563" s="17"/>
    </row>
    <row r="564">
      <c r="A564" s="17"/>
      <c r="I564" s="17"/>
    </row>
    <row r="565">
      <c r="A565" s="17"/>
      <c r="I565" s="17"/>
    </row>
    <row r="566">
      <c r="A566" s="17"/>
      <c r="I566" s="17"/>
    </row>
    <row r="567">
      <c r="A567" s="17"/>
      <c r="I567" s="17"/>
    </row>
    <row r="568">
      <c r="A568" s="17"/>
      <c r="I568" s="17"/>
    </row>
    <row r="569">
      <c r="A569" s="17"/>
      <c r="I569" s="17"/>
    </row>
    <row r="570">
      <c r="A570" s="17"/>
      <c r="I570" s="17"/>
    </row>
    <row r="571">
      <c r="A571" s="17"/>
      <c r="I571" s="17"/>
    </row>
    <row r="572">
      <c r="A572" s="17"/>
      <c r="I572" s="17"/>
    </row>
    <row r="573">
      <c r="A573" s="17"/>
      <c r="I573" s="17"/>
    </row>
    <row r="574">
      <c r="A574" s="17"/>
      <c r="I574" s="17"/>
    </row>
    <row r="575">
      <c r="A575" s="17"/>
      <c r="I575" s="17"/>
    </row>
    <row r="576">
      <c r="A576" s="17"/>
      <c r="I576" s="17"/>
    </row>
    <row r="577">
      <c r="A577" s="17"/>
      <c r="I577" s="17"/>
    </row>
    <row r="578">
      <c r="A578" s="17"/>
      <c r="I578" s="17"/>
    </row>
    <row r="579">
      <c r="A579" s="17"/>
      <c r="I579" s="17"/>
    </row>
    <row r="580">
      <c r="A580" s="17"/>
      <c r="I580" s="17"/>
    </row>
    <row r="581">
      <c r="A581" s="17"/>
      <c r="I581" s="17"/>
    </row>
    <row r="582">
      <c r="A582" s="17"/>
      <c r="I582" s="17"/>
    </row>
    <row r="583">
      <c r="A583" s="17"/>
      <c r="I583" s="17"/>
    </row>
    <row r="584">
      <c r="A584" s="17"/>
      <c r="I584" s="17"/>
    </row>
    <row r="585">
      <c r="A585" s="17"/>
      <c r="I585" s="17"/>
    </row>
    <row r="586">
      <c r="A586" s="17"/>
      <c r="I586" s="17"/>
    </row>
    <row r="587">
      <c r="A587" s="17"/>
      <c r="I587" s="17"/>
    </row>
    <row r="588">
      <c r="A588" s="17"/>
      <c r="I588" s="17"/>
    </row>
    <row r="589">
      <c r="A589" s="17"/>
      <c r="I589" s="17"/>
    </row>
    <row r="590">
      <c r="A590" s="17"/>
      <c r="I590" s="17"/>
    </row>
    <row r="591">
      <c r="A591" s="17"/>
      <c r="I591" s="17"/>
    </row>
    <row r="592">
      <c r="A592" s="17"/>
      <c r="I592" s="17"/>
    </row>
    <row r="593">
      <c r="A593" s="17"/>
      <c r="I593" s="17"/>
    </row>
    <row r="594">
      <c r="A594" s="17"/>
      <c r="I594" s="17"/>
    </row>
    <row r="595">
      <c r="A595" s="17"/>
      <c r="I595" s="17"/>
    </row>
    <row r="596">
      <c r="A596" s="17"/>
      <c r="I596" s="17"/>
    </row>
    <row r="597">
      <c r="A597" s="17"/>
      <c r="I597" s="17"/>
    </row>
    <row r="598">
      <c r="A598" s="17"/>
      <c r="I598" s="17"/>
    </row>
    <row r="599">
      <c r="A599" s="17"/>
      <c r="I599" s="17"/>
    </row>
    <row r="600">
      <c r="A600" s="17"/>
      <c r="I600" s="17"/>
    </row>
    <row r="601">
      <c r="A601" s="17"/>
      <c r="I601" s="17"/>
    </row>
    <row r="602">
      <c r="A602" s="17"/>
      <c r="I602" s="17"/>
    </row>
    <row r="603">
      <c r="A603" s="17"/>
      <c r="I603" s="17"/>
    </row>
    <row r="604">
      <c r="A604" s="17"/>
      <c r="I604" s="17"/>
    </row>
    <row r="605">
      <c r="A605" s="17"/>
      <c r="I605" s="17"/>
    </row>
    <row r="606">
      <c r="A606" s="17"/>
      <c r="I606" s="17"/>
    </row>
    <row r="607">
      <c r="A607" s="17"/>
      <c r="I607" s="17"/>
    </row>
    <row r="608">
      <c r="A608" s="17"/>
      <c r="I608" s="17"/>
    </row>
    <row r="609">
      <c r="A609" s="17"/>
      <c r="I609" s="17"/>
    </row>
    <row r="610">
      <c r="A610" s="17"/>
      <c r="I610" s="17"/>
    </row>
    <row r="611">
      <c r="A611" s="17"/>
      <c r="I611" s="17"/>
    </row>
    <row r="612">
      <c r="A612" s="17"/>
      <c r="I612" s="17"/>
    </row>
    <row r="613">
      <c r="A613" s="17"/>
      <c r="I613" s="17"/>
    </row>
    <row r="614">
      <c r="A614" s="17"/>
      <c r="I614" s="17"/>
    </row>
    <row r="615">
      <c r="A615" s="17"/>
      <c r="I615" s="17"/>
    </row>
    <row r="616">
      <c r="A616" s="17"/>
      <c r="I616" s="17"/>
    </row>
    <row r="617">
      <c r="A617" s="17"/>
      <c r="I617" s="17"/>
    </row>
    <row r="618">
      <c r="A618" s="17"/>
      <c r="I618" s="17"/>
    </row>
    <row r="619">
      <c r="A619" s="17"/>
      <c r="I619" s="17"/>
    </row>
    <row r="620">
      <c r="A620" s="17"/>
      <c r="I620" s="17"/>
    </row>
    <row r="621">
      <c r="A621" s="17"/>
      <c r="I621" s="17"/>
    </row>
    <row r="622">
      <c r="A622" s="17"/>
      <c r="I622" s="17"/>
    </row>
    <row r="623">
      <c r="A623" s="17"/>
      <c r="I623" s="17"/>
    </row>
    <row r="624">
      <c r="A624" s="17"/>
      <c r="I624" s="17"/>
    </row>
    <row r="625">
      <c r="A625" s="17"/>
      <c r="I625" s="17"/>
    </row>
    <row r="626">
      <c r="A626" s="17"/>
      <c r="I626" s="17"/>
    </row>
    <row r="627">
      <c r="A627" s="17"/>
      <c r="I627" s="17"/>
    </row>
    <row r="628">
      <c r="A628" s="17"/>
      <c r="I628" s="17"/>
    </row>
    <row r="629">
      <c r="A629" s="17"/>
      <c r="I629" s="17"/>
    </row>
    <row r="630">
      <c r="A630" s="17"/>
      <c r="I630" s="17"/>
    </row>
    <row r="631">
      <c r="A631" s="17"/>
      <c r="I631" s="17"/>
    </row>
    <row r="632">
      <c r="A632" s="17"/>
      <c r="I632" s="17"/>
    </row>
    <row r="633">
      <c r="A633" s="17"/>
      <c r="I633" s="17"/>
    </row>
    <row r="634">
      <c r="A634" s="17"/>
      <c r="I634" s="17"/>
    </row>
    <row r="635">
      <c r="A635" s="17"/>
      <c r="I635" s="17"/>
    </row>
    <row r="636">
      <c r="A636" s="17"/>
      <c r="I636" s="17"/>
    </row>
    <row r="637">
      <c r="A637" s="17"/>
      <c r="I637" s="17"/>
    </row>
    <row r="638">
      <c r="A638" s="17"/>
      <c r="I638" s="17"/>
    </row>
    <row r="639">
      <c r="A639" s="17"/>
      <c r="I639" s="17"/>
    </row>
    <row r="640">
      <c r="A640" s="17"/>
      <c r="I640" s="17"/>
    </row>
    <row r="641">
      <c r="A641" s="17"/>
      <c r="I641" s="17"/>
    </row>
    <row r="642">
      <c r="A642" s="17"/>
      <c r="I642" s="17"/>
    </row>
    <row r="643">
      <c r="A643" s="17"/>
      <c r="I643" s="17"/>
    </row>
    <row r="644">
      <c r="A644" s="17"/>
      <c r="I644" s="17"/>
    </row>
    <row r="645">
      <c r="A645" s="17"/>
      <c r="I645" s="17"/>
    </row>
    <row r="646">
      <c r="A646" s="17"/>
      <c r="I646" s="17"/>
    </row>
    <row r="647">
      <c r="A647" s="17"/>
      <c r="I647" s="17"/>
    </row>
    <row r="648">
      <c r="A648" s="17"/>
      <c r="I648" s="17"/>
    </row>
    <row r="649">
      <c r="A649" s="17"/>
      <c r="I649" s="17"/>
    </row>
    <row r="650">
      <c r="A650" s="17"/>
      <c r="I650" s="17"/>
    </row>
    <row r="651">
      <c r="A651" s="17"/>
      <c r="I651" s="17"/>
    </row>
    <row r="652">
      <c r="A652" s="17"/>
      <c r="I652" s="17"/>
    </row>
    <row r="653">
      <c r="A653" s="17"/>
      <c r="I653" s="17"/>
    </row>
    <row r="654">
      <c r="A654" s="17"/>
      <c r="I654" s="17"/>
    </row>
    <row r="655">
      <c r="A655" s="17"/>
      <c r="I655" s="17"/>
    </row>
    <row r="656">
      <c r="A656" s="17"/>
      <c r="I656" s="17"/>
    </row>
    <row r="657">
      <c r="A657" s="17"/>
      <c r="I657" s="17"/>
    </row>
    <row r="658">
      <c r="A658" s="17"/>
      <c r="I658" s="17"/>
    </row>
    <row r="659">
      <c r="A659" s="17"/>
      <c r="I659" s="17"/>
    </row>
    <row r="660">
      <c r="A660" s="17"/>
      <c r="I660" s="17"/>
    </row>
    <row r="661">
      <c r="A661" s="17"/>
      <c r="I661" s="17"/>
    </row>
    <row r="662">
      <c r="A662" s="17"/>
      <c r="I662" s="17"/>
    </row>
    <row r="663">
      <c r="A663" s="17"/>
      <c r="I663" s="17"/>
    </row>
    <row r="664">
      <c r="A664" s="17"/>
      <c r="I664" s="17"/>
    </row>
    <row r="665">
      <c r="A665" s="17"/>
      <c r="I665" s="17"/>
    </row>
    <row r="666">
      <c r="A666" s="17"/>
      <c r="I666" s="17"/>
    </row>
    <row r="667">
      <c r="A667" s="17"/>
      <c r="I667" s="17"/>
    </row>
    <row r="668">
      <c r="A668" s="17"/>
      <c r="I668" s="17"/>
    </row>
    <row r="669">
      <c r="A669" s="17"/>
      <c r="I669" s="17"/>
    </row>
    <row r="670">
      <c r="A670" s="17"/>
      <c r="I670" s="17"/>
    </row>
    <row r="671">
      <c r="A671" s="17"/>
      <c r="I671" s="17"/>
    </row>
    <row r="672">
      <c r="A672" s="17"/>
      <c r="I672" s="17"/>
    </row>
    <row r="673">
      <c r="A673" s="17"/>
      <c r="I673" s="17"/>
    </row>
    <row r="674">
      <c r="A674" s="17"/>
      <c r="I674" s="17"/>
    </row>
    <row r="675">
      <c r="A675" s="17"/>
      <c r="I675" s="17"/>
    </row>
    <row r="676">
      <c r="A676" s="17"/>
      <c r="I676" s="17"/>
    </row>
    <row r="677">
      <c r="A677" s="17"/>
      <c r="I677" s="17"/>
    </row>
    <row r="678">
      <c r="A678" s="17"/>
      <c r="I678" s="17"/>
    </row>
    <row r="679">
      <c r="A679" s="17"/>
      <c r="I679" s="17"/>
    </row>
    <row r="680">
      <c r="A680" s="17"/>
      <c r="I680" s="17"/>
    </row>
    <row r="681">
      <c r="A681" s="17"/>
      <c r="I681" s="17"/>
    </row>
    <row r="682">
      <c r="A682" s="17"/>
      <c r="I682" s="17"/>
    </row>
    <row r="683">
      <c r="A683" s="17"/>
      <c r="I683" s="17"/>
    </row>
    <row r="684">
      <c r="A684" s="17"/>
      <c r="I684" s="17"/>
    </row>
    <row r="685">
      <c r="A685" s="17"/>
      <c r="I685" s="17"/>
    </row>
    <row r="686">
      <c r="A686" s="17"/>
      <c r="I686" s="17"/>
    </row>
    <row r="687">
      <c r="A687" s="17"/>
      <c r="I687" s="17"/>
    </row>
    <row r="688">
      <c r="A688" s="17"/>
      <c r="I688" s="17"/>
    </row>
    <row r="689">
      <c r="A689" s="17"/>
      <c r="I689" s="17"/>
    </row>
    <row r="690">
      <c r="A690" s="17"/>
      <c r="I690" s="17"/>
    </row>
    <row r="691">
      <c r="A691" s="17"/>
      <c r="I691" s="17"/>
    </row>
    <row r="692">
      <c r="A692" s="17"/>
      <c r="I692" s="17"/>
    </row>
    <row r="693">
      <c r="A693" s="17"/>
      <c r="I693" s="17"/>
    </row>
    <row r="694">
      <c r="A694" s="17"/>
      <c r="I694" s="17"/>
    </row>
    <row r="695">
      <c r="A695" s="17"/>
      <c r="I695" s="17"/>
    </row>
    <row r="696">
      <c r="A696" s="17"/>
      <c r="I696" s="17"/>
    </row>
    <row r="697">
      <c r="A697" s="17"/>
      <c r="I697" s="17"/>
    </row>
    <row r="698">
      <c r="A698" s="17"/>
      <c r="I698" s="17"/>
    </row>
    <row r="699">
      <c r="A699" s="17"/>
      <c r="I699" s="17"/>
    </row>
    <row r="700">
      <c r="A700" s="17"/>
      <c r="I700" s="17"/>
    </row>
    <row r="701">
      <c r="A701" s="17"/>
      <c r="I701" s="17"/>
    </row>
    <row r="702">
      <c r="A702" s="17"/>
      <c r="I702" s="17"/>
    </row>
    <row r="703">
      <c r="A703" s="17"/>
      <c r="I703" s="17"/>
    </row>
    <row r="704">
      <c r="A704" s="17"/>
      <c r="I704" s="17"/>
    </row>
    <row r="705">
      <c r="A705" s="17"/>
      <c r="I705" s="17"/>
    </row>
    <row r="706">
      <c r="A706" s="17"/>
      <c r="I706" s="17"/>
    </row>
    <row r="707">
      <c r="A707" s="17"/>
      <c r="I707" s="17"/>
    </row>
    <row r="708">
      <c r="A708" s="17"/>
      <c r="I708" s="17"/>
    </row>
    <row r="709">
      <c r="A709" s="17"/>
      <c r="I709" s="17"/>
    </row>
    <row r="710">
      <c r="A710" s="17"/>
      <c r="I710" s="17"/>
    </row>
    <row r="711">
      <c r="A711" s="17"/>
      <c r="I711" s="17"/>
    </row>
    <row r="712">
      <c r="A712" s="17"/>
      <c r="I712" s="17"/>
    </row>
    <row r="713">
      <c r="A713" s="17"/>
      <c r="I713" s="17"/>
    </row>
    <row r="714">
      <c r="A714" s="17"/>
      <c r="I714" s="17"/>
    </row>
    <row r="715">
      <c r="A715" s="17"/>
      <c r="I715" s="17"/>
    </row>
    <row r="716">
      <c r="A716" s="17"/>
      <c r="I716" s="17"/>
    </row>
    <row r="717">
      <c r="A717" s="17"/>
      <c r="I717" s="17"/>
    </row>
    <row r="718">
      <c r="A718" s="17"/>
      <c r="I718" s="17"/>
    </row>
    <row r="719">
      <c r="A719" s="17"/>
      <c r="I719" s="17"/>
    </row>
    <row r="720">
      <c r="A720" s="17"/>
      <c r="I720" s="17"/>
    </row>
    <row r="721">
      <c r="A721" s="17"/>
      <c r="I721" s="17"/>
    </row>
    <row r="722">
      <c r="A722" s="17"/>
      <c r="I722" s="17"/>
    </row>
    <row r="723">
      <c r="A723" s="17"/>
      <c r="I723" s="17"/>
    </row>
    <row r="724">
      <c r="A724" s="17"/>
      <c r="I724" s="17"/>
    </row>
    <row r="725">
      <c r="A725" s="17"/>
      <c r="I725" s="17"/>
    </row>
    <row r="726">
      <c r="A726" s="17"/>
      <c r="I726" s="17"/>
    </row>
    <row r="727">
      <c r="A727" s="17"/>
      <c r="I727" s="17"/>
    </row>
    <row r="728">
      <c r="A728" s="17"/>
      <c r="I728" s="17"/>
    </row>
    <row r="729">
      <c r="A729" s="17"/>
      <c r="I729" s="17"/>
    </row>
    <row r="730">
      <c r="A730" s="17"/>
      <c r="I730" s="17"/>
    </row>
    <row r="731">
      <c r="A731" s="17"/>
      <c r="I731" s="17"/>
    </row>
    <row r="732">
      <c r="A732" s="17"/>
      <c r="I732" s="17"/>
    </row>
    <row r="733">
      <c r="A733" s="17"/>
      <c r="I733" s="17"/>
    </row>
    <row r="734">
      <c r="A734" s="17"/>
      <c r="I734" s="17"/>
    </row>
    <row r="735">
      <c r="A735" s="17"/>
      <c r="I735" s="17"/>
    </row>
    <row r="736">
      <c r="A736" s="17"/>
      <c r="I736" s="17"/>
    </row>
    <row r="737">
      <c r="A737" s="17"/>
      <c r="I737" s="17"/>
    </row>
    <row r="738">
      <c r="A738" s="17"/>
      <c r="I738" s="17"/>
    </row>
    <row r="739">
      <c r="A739" s="17"/>
      <c r="I739" s="17"/>
    </row>
    <row r="740">
      <c r="A740" s="17"/>
      <c r="I740" s="17"/>
    </row>
    <row r="741">
      <c r="A741" s="17"/>
      <c r="I741" s="17"/>
    </row>
    <row r="742">
      <c r="A742" s="17"/>
      <c r="I742" s="17"/>
    </row>
    <row r="743">
      <c r="A743" s="17"/>
      <c r="I743" s="17"/>
    </row>
    <row r="744">
      <c r="A744" s="17"/>
      <c r="I744" s="17"/>
    </row>
    <row r="745">
      <c r="A745" s="17"/>
      <c r="I745" s="17"/>
    </row>
    <row r="746">
      <c r="A746" s="17"/>
      <c r="I746" s="17"/>
    </row>
    <row r="747">
      <c r="A747" s="17"/>
      <c r="I747" s="17"/>
    </row>
    <row r="748">
      <c r="A748" s="17"/>
      <c r="I748" s="17"/>
    </row>
    <row r="749">
      <c r="A749" s="17"/>
      <c r="I749" s="17"/>
    </row>
    <row r="750">
      <c r="A750" s="17"/>
      <c r="I750" s="17"/>
    </row>
    <row r="751">
      <c r="A751" s="17"/>
      <c r="I751" s="17"/>
    </row>
    <row r="752">
      <c r="A752" s="17"/>
      <c r="I752" s="17"/>
    </row>
    <row r="753">
      <c r="A753" s="17"/>
      <c r="I753" s="17"/>
    </row>
    <row r="754">
      <c r="A754" s="17"/>
      <c r="I754" s="17"/>
    </row>
    <row r="755">
      <c r="A755" s="17"/>
      <c r="I755" s="17"/>
    </row>
    <row r="756">
      <c r="A756" s="17"/>
      <c r="I756" s="17"/>
    </row>
    <row r="757">
      <c r="A757" s="17"/>
      <c r="I757" s="17"/>
    </row>
    <row r="758">
      <c r="A758" s="17"/>
      <c r="I758" s="17"/>
    </row>
    <row r="759">
      <c r="A759" s="17"/>
      <c r="I759" s="17"/>
    </row>
    <row r="760">
      <c r="A760" s="17"/>
      <c r="I760" s="17"/>
    </row>
    <row r="761">
      <c r="A761" s="17"/>
      <c r="I761" s="17"/>
    </row>
    <row r="762">
      <c r="A762" s="17"/>
      <c r="I762" s="17"/>
    </row>
    <row r="763">
      <c r="A763" s="17"/>
      <c r="I763" s="17"/>
    </row>
    <row r="764">
      <c r="A764" s="17"/>
      <c r="I764" s="17"/>
    </row>
    <row r="765">
      <c r="A765" s="17"/>
      <c r="I765" s="17"/>
    </row>
    <row r="766">
      <c r="A766" s="17"/>
      <c r="I766" s="17"/>
    </row>
    <row r="767">
      <c r="A767" s="17"/>
      <c r="I767" s="17"/>
    </row>
    <row r="768">
      <c r="A768" s="17"/>
      <c r="I768" s="17"/>
    </row>
    <row r="769">
      <c r="A769" s="17"/>
      <c r="I769" s="17"/>
    </row>
    <row r="770">
      <c r="A770" s="17"/>
      <c r="I770" s="17"/>
    </row>
    <row r="771">
      <c r="A771" s="17"/>
      <c r="I771" s="17"/>
    </row>
    <row r="772">
      <c r="A772" s="17"/>
      <c r="I772" s="17"/>
    </row>
    <row r="773">
      <c r="A773" s="17"/>
      <c r="I773" s="17"/>
    </row>
    <row r="774">
      <c r="A774" s="17"/>
      <c r="I774" s="17"/>
    </row>
    <row r="775">
      <c r="A775" s="17"/>
      <c r="I775" s="17"/>
    </row>
    <row r="776">
      <c r="A776" s="17"/>
      <c r="I776" s="17"/>
    </row>
    <row r="777">
      <c r="A777" s="17"/>
      <c r="I777" s="17"/>
    </row>
    <row r="778">
      <c r="A778" s="17"/>
      <c r="I778" s="17"/>
    </row>
    <row r="779">
      <c r="A779" s="17"/>
      <c r="I779" s="17"/>
    </row>
    <row r="780">
      <c r="A780" s="17"/>
      <c r="I780" s="17"/>
    </row>
    <row r="781">
      <c r="A781" s="17"/>
      <c r="I781" s="17"/>
    </row>
    <row r="782">
      <c r="A782" s="17"/>
      <c r="I782" s="17"/>
    </row>
    <row r="783">
      <c r="A783" s="17"/>
      <c r="I783" s="17"/>
    </row>
    <row r="784">
      <c r="A784" s="17"/>
      <c r="I784" s="17"/>
    </row>
    <row r="785">
      <c r="A785" s="17"/>
      <c r="I785" s="17"/>
    </row>
    <row r="786">
      <c r="A786" s="17"/>
      <c r="I786" s="17"/>
    </row>
    <row r="787">
      <c r="A787" s="17"/>
      <c r="I787" s="17"/>
    </row>
    <row r="788">
      <c r="A788" s="17"/>
      <c r="I788" s="17"/>
    </row>
    <row r="789">
      <c r="A789" s="17"/>
      <c r="I789" s="17"/>
    </row>
    <row r="790">
      <c r="A790" s="17"/>
      <c r="I790" s="17"/>
    </row>
    <row r="791">
      <c r="A791" s="17"/>
      <c r="I791" s="17"/>
    </row>
    <row r="792">
      <c r="A792" s="17"/>
      <c r="I792" s="17"/>
    </row>
    <row r="793">
      <c r="A793" s="17"/>
      <c r="I793" s="17"/>
    </row>
    <row r="794">
      <c r="A794" s="17"/>
      <c r="I794" s="17"/>
    </row>
    <row r="795">
      <c r="A795" s="17"/>
      <c r="I795" s="17"/>
    </row>
    <row r="796">
      <c r="A796" s="17"/>
      <c r="I796" s="17"/>
    </row>
    <row r="797">
      <c r="A797" s="17"/>
      <c r="I797" s="17"/>
    </row>
    <row r="798">
      <c r="A798" s="17"/>
      <c r="I798" s="17"/>
    </row>
    <row r="799">
      <c r="A799" s="17"/>
      <c r="I799" s="17"/>
    </row>
    <row r="800">
      <c r="A800" s="17"/>
      <c r="I800" s="17"/>
    </row>
    <row r="801">
      <c r="A801" s="17"/>
      <c r="I801" s="17"/>
    </row>
    <row r="802">
      <c r="A802" s="17"/>
      <c r="I802" s="17"/>
    </row>
    <row r="803">
      <c r="A803" s="17"/>
      <c r="I803" s="17"/>
    </row>
    <row r="804">
      <c r="A804" s="17"/>
      <c r="I804" s="17"/>
    </row>
    <row r="805">
      <c r="A805" s="17"/>
      <c r="I805" s="17"/>
    </row>
    <row r="806">
      <c r="A806" s="17"/>
      <c r="I806" s="17"/>
    </row>
    <row r="807">
      <c r="A807" s="17"/>
      <c r="I807" s="17"/>
    </row>
    <row r="808">
      <c r="A808" s="17"/>
      <c r="I808" s="17"/>
    </row>
    <row r="809">
      <c r="A809" s="17"/>
      <c r="I809" s="17"/>
    </row>
    <row r="810">
      <c r="A810" s="17"/>
      <c r="I810" s="17"/>
    </row>
    <row r="811">
      <c r="A811" s="17"/>
      <c r="I811" s="17"/>
    </row>
    <row r="812">
      <c r="A812" s="17"/>
      <c r="I812" s="17"/>
    </row>
    <row r="813">
      <c r="A813" s="17"/>
      <c r="I813" s="17"/>
    </row>
    <row r="814">
      <c r="A814" s="17"/>
      <c r="I814" s="17"/>
    </row>
    <row r="815">
      <c r="A815" s="17"/>
      <c r="I815" s="17"/>
    </row>
    <row r="816">
      <c r="A816" s="17"/>
      <c r="I816" s="17"/>
    </row>
    <row r="817">
      <c r="A817" s="17"/>
      <c r="I817" s="17"/>
    </row>
    <row r="818">
      <c r="A818" s="17"/>
      <c r="I818" s="17"/>
    </row>
    <row r="819">
      <c r="A819" s="17"/>
      <c r="I819" s="17"/>
    </row>
    <row r="820">
      <c r="A820" s="17"/>
      <c r="I820" s="17"/>
    </row>
    <row r="821">
      <c r="A821" s="17"/>
      <c r="I821" s="17"/>
    </row>
    <row r="822">
      <c r="A822" s="17"/>
      <c r="I822" s="17"/>
    </row>
    <row r="823">
      <c r="A823" s="17"/>
      <c r="I823" s="17"/>
    </row>
    <row r="824">
      <c r="A824" s="17"/>
      <c r="I824" s="17"/>
    </row>
    <row r="825">
      <c r="A825" s="17"/>
      <c r="I825" s="17"/>
    </row>
    <row r="826">
      <c r="A826" s="17"/>
      <c r="I826" s="17"/>
    </row>
    <row r="827">
      <c r="A827" s="17"/>
      <c r="I827" s="17"/>
    </row>
    <row r="828">
      <c r="A828" s="17"/>
      <c r="I828" s="17"/>
    </row>
    <row r="829">
      <c r="A829" s="17"/>
      <c r="I829" s="17"/>
    </row>
    <row r="830">
      <c r="A830" s="17"/>
      <c r="I830" s="17"/>
    </row>
    <row r="831">
      <c r="A831" s="17"/>
      <c r="I831" s="17"/>
    </row>
    <row r="832">
      <c r="A832" s="17"/>
      <c r="I832" s="17"/>
    </row>
    <row r="833">
      <c r="A833" s="17"/>
      <c r="I833" s="17"/>
    </row>
    <row r="834">
      <c r="A834" s="17"/>
      <c r="I834" s="17"/>
    </row>
    <row r="835">
      <c r="A835" s="17"/>
      <c r="I835" s="17"/>
    </row>
    <row r="836">
      <c r="A836" s="17"/>
      <c r="I836" s="17"/>
    </row>
    <row r="837">
      <c r="A837" s="17"/>
      <c r="I837" s="17"/>
    </row>
    <row r="838">
      <c r="A838" s="17"/>
      <c r="I838" s="17"/>
    </row>
    <row r="839">
      <c r="A839" s="17"/>
      <c r="I839" s="17"/>
    </row>
    <row r="840">
      <c r="A840" s="17"/>
      <c r="I840" s="17"/>
    </row>
    <row r="841">
      <c r="A841" s="17"/>
      <c r="I841" s="17"/>
    </row>
    <row r="842">
      <c r="A842" s="17"/>
      <c r="I842" s="17"/>
    </row>
    <row r="843">
      <c r="A843" s="17"/>
      <c r="I843" s="17"/>
    </row>
    <row r="844">
      <c r="A844" s="17"/>
      <c r="I844" s="17"/>
    </row>
    <row r="845">
      <c r="A845" s="17"/>
      <c r="I845" s="17"/>
    </row>
    <row r="846">
      <c r="A846" s="17"/>
      <c r="I846" s="17"/>
    </row>
    <row r="847">
      <c r="A847" s="17"/>
      <c r="I847" s="17"/>
    </row>
    <row r="848">
      <c r="A848" s="17"/>
      <c r="I848" s="17"/>
    </row>
    <row r="849">
      <c r="A849" s="17"/>
      <c r="I849" s="17"/>
    </row>
    <row r="850">
      <c r="A850" s="17"/>
      <c r="I850" s="17"/>
    </row>
    <row r="851">
      <c r="A851" s="17"/>
      <c r="I851" s="17"/>
    </row>
    <row r="852">
      <c r="A852" s="17"/>
      <c r="I852" s="17"/>
    </row>
    <row r="853">
      <c r="A853" s="17"/>
      <c r="I853" s="17"/>
    </row>
    <row r="854">
      <c r="A854" s="17"/>
      <c r="I854" s="17"/>
    </row>
    <row r="855">
      <c r="A855" s="17"/>
      <c r="I855" s="17"/>
    </row>
    <row r="856">
      <c r="A856" s="17"/>
      <c r="I856" s="17"/>
    </row>
    <row r="857">
      <c r="A857" s="17"/>
      <c r="I857" s="17"/>
    </row>
    <row r="858">
      <c r="A858" s="17"/>
      <c r="I858" s="17"/>
    </row>
    <row r="859">
      <c r="A859" s="17"/>
      <c r="I859" s="17"/>
    </row>
    <row r="860">
      <c r="A860" s="17"/>
      <c r="I860" s="17"/>
    </row>
    <row r="861">
      <c r="A861" s="17"/>
      <c r="I861" s="17"/>
    </row>
    <row r="862">
      <c r="A862" s="17"/>
      <c r="I862" s="17"/>
    </row>
    <row r="863">
      <c r="A863" s="17"/>
      <c r="I863" s="17"/>
    </row>
    <row r="864">
      <c r="A864" s="17"/>
      <c r="I864" s="17"/>
    </row>
    <row r="865">
      <c r="A865" s="17"/>
      <c r="I865" s="17"/>
    </row>
    <row r="866">
      <c r="A866" s="17"/>
      <c r="I866" s="17"/>
    </row>
    <row r="867">
      <c r="A867" s="17"/>
      <c r="I867" s="17"/>
    </row>
    <row r="868">
      <c r="A868" s="17"/>
      <c r="I868" s="17"/>
    </row>
    <row r="869">
      <c r="A869" s="17"/>
      <c r="I869" s="17"/>
    </row>
    <row r="870">
      <c r="A870" s="17"/>
      <c r="I870" s="17"/>
    </row>
    <row r="871">
      <c r="A871" s="17"/>
      <c r="I871" s="17"/>
    </row>
    <row r="872">
      <c r="A872" s="17"/>
      <c r="I872" s="17"/>
    </row>
    <row r="873">
      <c r="A873" s="17"/>
      <c r="I873" s="17"/>
    </row>
    <row r="874">
      <c r="A874" s="17"/>
      <c r="I874" s="17"/>
    </row>
    <row r="875">
      <c r="A875" s="17"/>
      <c r="I875" s="17"/>
    </row>
    <row r="876">
      <c r="A876" s="17"/>
      <c r="I876" s="17"/>
    </row>
    <row r="877">
      <c r="A877" s="17"/>
      <c r="I877" s="17"/>
    </row>
    <row r="878">
      <c r="A878" s="17"/>
      <c r="I878" s="17"/>
    </row>
    <row r="879">
      <c r="A879" s="17"/>
      <c r="I879" s="17"/>
    </row>
    <row r="880">
      <c r="A880" s="17"/>
      <c r="I880" s="17"/>
    </row>
    <row r="881">
      <c r="A881" s="17"/>
      <c r="I881" s="17"/>
    </row>
    <row r="882">
      <c r="A882" s="17"/>
      <c r="I882" s="17"/>
    </row>
    <row r="883">
      <c r="A883" s="17"/>
      <c r="I883" s="17"/>
    </row>
    <row r="884">
      <c r="A884" s="17"/>
      <c r="I884" s="17"/>
    </row>
    <row r="885">
      <c r="A885" s="17"/>
      <c r="I885" s="17"/>
    </row>
    <row r="886">
      <c r="A886" s="17"/>
      <c r="I886" s="17"/>
    </row>
    <row r="887">
      <c r="A887" s="17"/>
      <c r="I887" s="17"/>
    </row>
    <row r="888">
      <c r="A888" s="17"/>
      <c r="I888" s="17"/>
    </row>
    <row r="889">
      <c r="A889" s="17"/>
      <c r="I889" s="17"/>
    </row>
    <row r="890">
      <c r="A890" s="17"/>
      <c r="I890" s="17"/>
    </row>
    <row r="891">
      <c r="A891" s="17"/>
      <c r="I891" s="17"/>
    </row>
    <row r="892">
      <c r="A892" s="17"/>
      <c r="I892" s="17"/>
    </row>
    <row r="893">
      <c r="A893" s="17"/>
      <c r="I893" s="17"/>
    </row>
    <row r="894">
      <c r="A894" s="17"/>
      <c r="I894" s="17"/>
    </row>
    <row r="895">
      <c r="A895" s="17"/>
      <c r="I895" s="17"/>
    </row>
    <row r="896">
      <c r="A896" s="17"/>
      <c r="I896" s="17"/>
    </row>
    <row r="897">
      <c r="A897" s="17"/>
      <c r="I897" s="17"/>
    </row>
    <row r="898">
      <c r="A898" s="17"/>
      <c r="I898" s="17"/>
    </row>
    <row r="899">
      <c r="A899" s="17"/>
      <c r="I899" s="17"/>
    </row>
    <row r="900">
      <c r="A900" s="17"/>
      <c r="I900" s="17"/>
    </row>
    <row r="901">
      <c r="A901" s="17"/>
      <c r="I901" s="17"/>
    </row>
    <row r="902">
      <c r="A902" s="17"/>
      <c r="I902" s="17"/>
    </row>
    <row r="903">
      <c r="A903" s="17"/>
      <c r="I903" s="17"/>
    </row>
    <row r="904">
      <c r="A904" s="17"/>
      <c r="I904" s="17"/>
    </row>
    <row r="905">
      <c r="A905" s="17"/>
      <c r="I905" s="17"/>
    </row>
    <row r="906">
      <c r="A906" s="17"/>
      <c r="I906" s="17"/>
    </row>
    <row r="907">
      <c r="A907" s="17"/>
      <c r="I907" s="17"/>
    </row>
    <row r="908">
      <c r="A908" s="17"/>
      <c r="I908" s="17"/>
    </row>
    <row r="909">
      <c r="A909" s="17"/>
      <c r="I909" s="17"/>
    </row>
    <row r="910">
      <c r="A910" s="17"/>
      <c r="I910" s="17"/>
    </row>
    <row r="911">
      <c r="A911" s="17"/>
      <c r="I911" s="17"/>
    </row>
    <row r="912">
      <c r="A912" s="17"/>
      <c r="I912" s="17"/>
    </row>
    <row r="913">
      <c r="A913" s="17"/>
      <c r="I913" s="17"/>
    </row>
    <row r="914">
      <c r="A914" s="17"/>
      <c r="I914" s="17"/>
    </row>
    <row r="915">
      <c r="A915" s="17"/>
      <c r="I915" s="17"/>
    </row>
    <row r="916">
      <c r="A916" s="17"/>
      <c r="I916" s="17"/>
    </row>
    <row r="917">
      <c r="A917" s="17"/>
      <c r="I917" s="17"/>
    </row>
    <row r="918">
      <c r="A918" s="17"/>
      <c r="I918" s="17"/>
    </row>
    <row r="919">
      <c r="A919" s="17"/>
      <c r="I919" s="17"/>
    </row>
    <row r="920">
      <c r="A920" s="17"/>
      <c r="I920" s="17"/>
    </row>
    <row r="921">
      <c r="A921" s="17"/>
      <c r="I921" s="17"/>
    </row>
    <row r="922">
      <c r="A922" s="17"/>
      <c r="I922" s="17"/>
    </row>
    <row r="923">
      <c r="A923" s="17"/>
      <c r="I923" s="17"/>
    </row>
    <row r="924">
      <c r="A924" s="17"/>
      <c r="I924" s="17"/>
    </row>
    <row r="925">
      <c r="A925" s="17"/>
      <c r="I925" s="17"/>
    </row>
    <row r="926">
      <c r="A926" s="17"/>
      <c r="I926" s="17"/>
    </row>
    <row r="927">
      <c r="A927" s="17"/>
      <c r="I927" s="17"/>
    </row>
    <row r="928">
      <c r="A928" s="17"/>
      <c r="I928" s="17"/>
    </row>
    <row r="929">
      <c r="A929" s="17"/>
      <c r="I929" s="17"/>
    </row>
    <row r="930">
      <c r="A930" s="17"/>
      <c r="I930" s="17"/>
    </row>
    <row r="931">
      <c r="A931" s="17"/>
      <c r="I931" s="17"/>
    </row>
    <row r="932">
      <c r="A932" s="17"/>
      <c r="I932" s="17"/>
    </row>
    <row r="933">
      <c r="A933" s="17"/>
      <c r="I933" s="17"/>
    </row>
    <row r="934">
      <c r="A934" s="17"/>
      <c r="I934" s="17"/>
    </row>
    <row r="935">
      <c r="A935" s="17"/>
      <c r="I935" s="17"/>
    </row>
    <row r="936">
      <c r="A936" s="17"/>
      <c r="I936" s="17"/>
    </row>
    <row r="937">
      <c r="A937" s="17"/>
      <c r="I937" s="17"/>
    </row>
    <row r="938">
      <c r="A938" s="17"/>
      <c r="I938" s="17"/>
    </row>
    <row r="939">
      <c r="A939" s="17"/>
      <c r="I939" s="17"/>
    </row>
    <row r="940">
      <c r="A940" s="17"/>
      <c r="I940" s="17"/>
    </row>
    <row r="941">
      <c r="A941" s="17"/>
      <c r="I941" s="17"/>
    </row>
    <row r="942">
      <c r="A942" s="17"/>
      <c r="I942" s="17"/>
    </row>
    <row r="943">
      <c r="A943" s="17"/>
      <c r="I943" s="17"/>
    </row>
    <row r="944">
      <c r="A944" s="17"/>
      <c r="I944" s="17"/>
    </row>
    <row r="945">
      <c r="A945" s="17"/>
      <c r="I945" s="17"/>
    </row>
    <row r="946">
      <c r="A946" s="17"/>
      <c r="I946" s="17"/>
    </row>
    <row r="947">
      <c r="A947" s="17"/>
      <c r="I947" s="17"/>
    </row>
    <row r="948">
      <c r="A948" s="17"/>
      <c r="I948" s="17"/>
    </row>
    <row r="949">
      <c r="A949" s="17"/>
      <c r="I949" s="17"/>
    </row>
    <row r="950">
      <c r="A950" s="17"/>
      <c r="I950" s="17"/>
    </row>
    <row r="951">
      <c r="A951" s="17"/>
      <c r="I951" s="17"/>
    </row>
    <row r="952">
      <c r="A952" s="17"/>
      <c r="I952" s="17"/>
    </row>
    <row r="953">
      <c r="A953" s="17"/>
      <c r="I953" s="17"/>
    </row>
    <row r="954">
      <c r="A954" s="17"/>
      <c r="I954" s="17"/>
    </row>
    <row r="955">
      <c r="A955" s="17"/>
      <c r="I955" s="17"/>
    </row>
    <row r="956">
      <c r="A956" s="17"/>
      <c r="I956" s="17"/>
    </row>
    <row r="957">
      <c r="A957" s="17"/>
      <c r="I957" s="17"/>
    </row>
    <row r="958">
      <c r="A958" s="17"/>
      <c r="I958" s="17"/>
    </row>
    <row r="959">
      <c r="A959" s="17"/>
      <c r="I959" s="17"/>
    </row>
    <row r="960">
      <c r="A960" s="17"/>
      <c r="I960" s="17"/>
    </row>
    <row r="961">
      <c r="A961" s="17"/>
      <c r="I961" s="17"/>
    </row>
    <row r="962">
      <c r="A962" s="17"/>
      <c r="I962" s="17"/>
    </row>
    <row r="963">
      <c r="A963" s="17"/>
      <c r="I963" s="17"/>
    </row>
    <row r="964">
      <c r="A964" s="17"/>
      <c r="I964" s="17"/>
    </row>
    <row r="965">
      <c r="A965" s="17"/>
      <c r="I965" s="17"/>
    </row>
    <row r="966">
      <c r="A966" s="17"/>
      <c r="I966" s="17"/>
    </row>
    <row r="967">
      <c r="A967" s="17"/>
      <c r="I967" s="17"/>
    </row>
    <row r="968">
      <c r="A968" s="17"/>
      <c r="I968" s="17"/>
    </row>
    <row r="969">
      <c r="A969" s="17"/>
      <c r="I969" s="17"/>
    </row>
    <row r="970">
      <c r="A970" s="17"/>
      <c r="I970" s="17"/>
    </row>
    <row r="971">
      <c r="A971" s="17"/>
      <c r="I971" s="17"/>
    </row>
    <row r="972">
      <c r="A972" s="17"/>
      <c r="I972" s="17"/>
    </row>
    <row r="973">
      <c r="A973" s="17"/>
      <c r="I973" s="17"/>
    </row>
    <row r="974">
      <c r="A974" s="17"/>
      <c r="I974" s="17"/>
    </row>
    <row r="975">
      <c r="A975" s="17"/>
      <c r="I975" s="17"/>
    </row>
    <row r="976">
      <c r="A976" s="17"/>
      <c r="I976" s="17"/>
    </row>
    <row r="977">
      <c r="A977" s="17"/>
      <c r="I977" s="17"/>
    </row>
    <row r="978">
      <c r="A978" s="17"/>
      <c r="I978" s="17"/>
    </row>
    <row r="979">
      <c r="A979" s="17"/>
      <c r="I979" s="17"/>
    </row>
    <row r="980">
      <c r="A980" s="17"/>
      <c r="I980" s="17"/>
    </row>
    <row r="981">
      <c r="A981" s="17"/>
      <c r="I981" s="17"/>
    </row>
    <row r="982">
      <c r="A982" s="17"/>
      <c r="I982" s="17"/>
    </row>
    <row r="983">
      <c r="A983" s="17"/>
      <c r="I983" s="17"/>
    </row>
    <row r="984">
      <c r="A984" s="17"/>
      <c r="I984" s="17"/>
    </row>
    <row r="985">
      <c r="A985" s="17"/>
      <c r="I985" s="17"/>
    </row>
    <row r="986">
      <c r="A986" s="17"/>
      <c r="I986" s="17"/>
    </row>
    <row r="987">
      <c r="A987" s="17"/>
      <c r="I987" s="17"/>
    </row>
    <row r="988">
      <c r="A988" s="17"/>
      <c r="I988" s="17"/>
    </row>
    <row r="989">
      <c r="A989" s="17"/>
      <c r="I989" s="17"/>
    </row>
    <row r="990">
      <c r="A990" s="17"/>
      <c r="I990" s="17"/>
    </row>
    <row r="991">
      <c r="A991" s="17"/>
      <c r="I991" s="17"/>
    </row>
    <row r="992">
      <c r="A992" s="17"/>
      <c r="I992" s="17"/>
    </row>
    <row r="993">
      <c r="A993" s="17"/>
      <c r="I993" s="17"/>
    </row>
    <row r="994">
      <c r="A994" s="17"/>
      <c r="I994" s="17"/>
    </row>
    <row r="995">
      <c r="A995" s="17"/>
      <c r="I995" s="17"/>
    </row>
    <row r="996">
      <c r="A996" s="17"/>
      <c r="I996" s="17"/>
    </row>
    <row r="997">
      <c r="A997" s="17"/>
      <c r="I997" s="17"/>
    </row>
    <row r="998">
      <c r="A998" s="17"/>
      <c r="I998" s="17"/>
    </row>
    <row r="999">
      <c r="A999" s="17"/>
      <c r="I999" s="17"/>
    </row>
    <row r="1000">
      <c r="A1000" s="17"/>
      <c r="I1000" s="1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4" width="3.38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17"/>
      <c r="I1" s="17"/>
      <c r="J1" s="17"/>
      <c r="K1" s="2">
        <v>0.0</v>
      </c>
      <c r="L1" s="2">
        <v>1.0</v>
      </c>
      <c r="M1" s="2">
        <v>2.0</v>
      </c>
      <c r="N1" s="2">
        <v>3.0</v>
      </c>
      <c r="O1" s="2">
        <v>4.0</v>
      </c>
      <c r="P1" s="17"/>
      <c r="Q1" s="17"/>
      <c r="R1" s="17"/>
      <c r="S1" s="2">
        <v>0.0</v>
      </c>
      <c r="T1" s="2">
        <v>1.0</v>
      </c>
      <c r="U1" s="2">
        <v>2.0</v>
      </c>
      <c r="V1" s="2">
        <v>3.0</v>
      </c>
      <c r="W1" s="2">
        <v>4.0</v>
      </c>
      <c r="X1" s="2">
        <v>5.0</v>
      </c>
      <c r="Y1" s="2">
        <v>6.0</v>
      </c>
      <c r="Z1" s="17"/>
      <c r="AA1" s="17"/>
      <c r="AB1" s="17"/>
      <c r="AC1" s="2">
        <v>0.0</v>
      </c>
      <c r="AD1" s="2">
        <v>1.0</v>
      </c>
      <c r="AE1" s="2">
        <v>2.0</v>
      </c>
      <c r="AF1" s="2">
        <v>3.0</v>
      </c>
      <c r="AG1" s="2">
        <v>4.0</v>
      </c>
      <c r="AH1" s="17"/>
    </row>
    <row r="2">
      <c r="A2" s="2">
        <v>0.0</v>
      </c>
      <c r="B2" s="28">
        <f t="shared" ref="B2:G2" si="1">max(B$1*$H2,$A2*B$17)</f>
        <v>0</v>
      </c>
      <c r="C2" s="28">
        <f t="shared" si="1"/>
        <v>14</v>
      </c>
      <c r="D2" s="28">
        <f t="shared" si="1"/>
        <v>28</v>
      </c>
      <c r="E2" s="17">
        <f t="shared" si="1"/>
        <v>42</v>
      </c>
      <c r="F2" s="17">
        <f t="shared" si="1"/>
        <v>56</v>
      </c>
      <c r="G2" s="17">
        <f t="shared" si="1"/>
        <v>70</v>
      </c>
      <c r="H2" s="17">
        <f t="shared" ref="H2:H16" si="6">14-A2</f>
        <v>14</v>
      </c>
      <c r="J2" s="2">
        <v>0.0</v>
      </c>
      <c r="K2" s="28">
        <f t="shared" ref="K2:O2" si="2">max(K$1*$H2,$A2*K$17)</f>
        <v>0</v>
      </c>
      <c r="L2" s="28">
        <f t="shared" si="2"/>
        <v>14</v>
      </c>
      <c r="M2" s="17">
        <f t="shared" si="2"/>
        <v>28</v>
      </c>
      <c r="N2" s="17">
        <f t="shared" si="2"/>
        <v>42</v>
      </c>
      <c r="O2" s="17">
        <f t="shared" si="2"/>
        <v>56</v>
      </c>
      <c r="P2" s="17">
        <f t="shared" ref="P2:P16" si="8">14-J2</f>
        <v>14</v>
      </c>
      <c r="R2" s="2">
        <v>0.0</v>
      </c>
      <c r="S2" s="28">
        <f t="shared" ref="S2:Y2" si="3">max(S$1*$Z2,$A2*S$12)</f>
        <v>0</v>
      </c>
      <c r="T2" s="17">
        <f t="shared" si="3"/>
        <v>9</v>
      </c>
      <c r="U2" s="17">
        <f t="shared" si="3"/>
        <v>18</v>
      </c>
      <c r="V2" s="17">
        <f t="shared" si="3"/>
        <v>27</v>
      </c>
      <c r="W2" s="17">
        <f t="shared" si="3"/>
        <v>36</v>
      </c>
      <c r="X2" s="17">
        <f t="shared" si="3"/>
        <v>45</v>
      </c>
      <c r="Y2" s="17">
        <f t="shared" si="3"/>
        <v>54</v>
      </c>
      <c r="Z2" s="17">
        <f t="shared" ref="Z2:Z11" si="10">9-R2</f>
        <v>9</v>
      </c>
      <c r="AA2" s="17"/>
      <c r="AB2" s="2">
        <v>0.0</v>
      </c>
      <c r="AC2" s="30">
        <f t="shared" ref="AC2:AG2" si="4">max(AC$1*$Z2,$A2*AC$12)</f>
        <v>0</v>
      </c>
      <c r="AD2" s="17">
        <f t="shared" si="4"/>
        <v>9</v>
      </c>
      <c r="AE2" s="17">
        <f t="shared" si="4"/>
        <v>18</v>
      </c>
      <c r="AF2" s="17">
        <f t="shared" si="4"/>
        <v>27</v>
      </c>
      <c r="AG2" s="17">
        <f t="shared" si="4"/>
        <v>36</v>
      </c>
      <c r="AH2" s="17">
        <f t="shared" ref="AH2:AH11" si="12">9-AB2</f>
        <v>9</v>
      </c>
    </row>
    <row r="3">
      <c r="A3" s="2">
        <v>1.0</v>
      </c>
      <c r="B3" s="28">
        <f t="shared" ref="B3:G3" si="5">max(B$1*$H3,$A3*B$17)</f>
        <v>5</v>
      </c>
      <c r="C3" s="28">
        <f t="shared" si="5"/>
        <v>13</v>
      </c>
      <c r="D3" s="28">
        <f t="shared" si="5"/>
        <v>26</v>
      </c>
      <c r="E3" s="17">
        <f t="shared" si="5"/>
        <v>39</v>
      </c>
      <c r="F3" s="17">
        <f t="shared" si="5"/>
        <v>52</v>
      </c>
      <c r="G3" s="17">
        <f t="shared" si="5"/>
        <v>65</v>
      </c>
      <c r="H3" s="17">
        <f t="shared" si="6"/>
        <v>13</v>
      </c>
      <c r="J3" s="2">
        <v>1.0</v>
      </c>
      <c r="K3" s="28">
        <f t="shared" ref="K3:O3" si="7">max(K$1*$H3,$A3*K$17)</f>
        <v>4</v>
      </c>
      <c r="L3" s="28">
        <f t="shared" si="7"/>
        <v>13</v>
      </c>
      <c r="M3" s="17">
        <f t="shared" si="7"/>
        <v>26</v>
      </c>
      <c r="N3" s="17">
        <f t="shared" si="7"/>
        <v>39</v>
      </c>
      <c r="O3" s="17">
        <f t="shared" si="7"/>
        <v>52</v>
      </c>
      <c r="P3" s="17">
        <f t="shared" si="8"/>
        <v>13</v>
      </c>
      <c r="R3" s="2">
        <v>1.0</v>
      </c>
      <c r="S3" s="28">
        <f t="shared" ref="S3:Y3" si="9">max(S$1*$Z3,$A3*S$12)</f>
        <v>6</v>
      </c>
      <c r="T3" s="30">
        <f t="shared" si="9"/>
        <v>8</v>
      </c>
      <c r="U3" s="17">
        <f t="shared" si="9"/>
        <v>16</v>
      </c>
      <c r="V3" s="17">
        <f t="shared" si="9"/>
        <v>24</v>
      </c>
      <c r="W3" s="17">
        <f t="shared" si="9"/>
        <v>32</v>
      </c>
      <c r="X3" s="17">
        <f t="shared" si="9"/>
        <v>40</v>
      </c>
      <c r="Y3" s="17">
        <f t="shared" si="9"/>
        <v>48</v>
      </c>
      <c r="Z3" s="17">
        <f t="shared" si="10"/>
        <v>8</v>
      </c>
      <c r="AA3" s="17"/>
      <c r="AB3" s="2">
        <v>1.0</v>
      </c>
      <c r="AC3" s="36">
        <f t="shared" ref="AC3:AG3" si="11">max(AC$1*$Z3,$A3*AC$12)</f>
        <v>4</v>
      </c>
      <c r="AD3" s="17">
        <f t="shared" si="11"/>
        <v>8</v>
      </c>
      <c r="AE3" s="17">
        <f t="shared" si="11"/>
        <v>16</v>
      </c>
      <c r="AF3" s="17">
        <f t="shared" si="11"/>
        <v>24</v>
      </c>
      <c r="AG3" s="17">
        <f t="shared" si="11"/>
        <v>32</v>
      </c>
      <c r="AH3" s="17">
        <f t="shared" si="12"/>
        <v>8</v>
      </c>
    </row>
    <row r="4">
      <c r="A4" s="2">
        <v>2.0</v>
      </c>
      <c r="B4" s="28">
        <f t="shared" ref="B4:G4" si="13">max(B$1*$H4,$A4*B$17)</f>
        <v>10</v>
      </c>
      <c r="C4" s="28">
        <f t="shared" si="13"/>
        <v>12</v>
      </c>
      <c r="D4" s="17">
        <f t="shared" si="13"/>
        <v>24</v>
      </c>
      <c r="E4" s="17">
        <f t="shared" si="13"/>
        <v>36</v>
      </c>
      <c r="F4" s="17">
        <f t="shared" si="13"/>
        <v>48</v>
      </c>
      <c r="G4" s="17">
        <f t="shared" si="13"/>
        <v>60</v>
      </c>
      <c r="H4" s="17">
        <f t="shared" si="6"/>
        <v>12</v>
      </c>
      <c r="J4" s="2">
        <v>2.0</v>
      </c>
      <c r="K4" s="28">
        <f t="shared" ref="K4:O4" si="14">max(K$1*$H4,$A4*K$17)</f>
        <v>8</v>
      </c>
      <c r="L4" s="17">
        <f t="shared" si="14"/>
        <v>12</v>
      </c>
      <c r="M4" s="17">
        <f t="shared" si="14"/>
        <v>24</v>
      </c>
      <c r="N4" s="17">
        <f t="shared" si="14"/>
        <v>36</v>
      </c>
      <c r="O4" s="17">
        <f t="shared" si="14"/>
        <v>48</v>
      </c>
      <c r="P4" s="17">
        <f t="shared" si="8"/>
        <v>12</v>
      </c>
      <c r="R4" s="2">
        <v>2.0</v>
      </c>
      <c r="S4" s="30">
        <f t="shared" ref="S4:Y4" si="15">max(S$1*$Z4,$A4*S$12)</f>
        <v>12</v>
      </c>
      <c r="T4" s="30">
        <f t="shared" si="15"/>
        <v>10</v>
      </c>
      <c r="U4" s="30">
        <f t="shared" si="15"/>
        <v>14</v>
      </c>
      <c r="V4" s="17">
        <f t="shared" si="15"/>
        <v>21</v>
      </c>
      <c r="W4" s="17">
        <f t="shared" si="15"/>
        <v>28</v>
      </c>
      <c r="X4" s="17">
        <f t="shared" si="15"/>
        <v>35</v>
      </c>
      <c r="Y4" s="17">
        <f t="shared" si="15"/>
        <v>42</v>
      </c>
      <c r="Z4" s="17">
        <f t="shared" si="10"/>
        <v>7</v>
      </c>
      <c r="AA4" s="17"/>
      <c r="AB4" s="2">
        <v>2.0</v>
      </c>
      <c r="AC4" s="32">
        <f t="shared" ref="AC4:AG4" si="16">max(AC$1*$Z4,$A4*AC$12)</f>
        <v>8</v>
      </c>
      <c r="AD4" s="17">
        <f t="shared" si="16"/>
        <v>7</v>
      </c>
      <c r="AE4" s="17">
        <f t="shared" si="16"/>
        <v>14</v>
      </c>
      <c r="AF4" s="17">
        <f t="shared" si="16"/>
        <v>21</v>
      </c>
      <c r="AG4" s="17">
        <f t="shared" si="16"/>
        <v>28</v>
      </c>
      <c r="AH4" s="17">
        <f t="shared" si="12"/>
        <v>7</v>
      </c>
    </row>
    <row r="5">
      <c r="A5" s="2">
        <v>3.0</v>
      </c>
      <c r="B5" s="28">
        <f t="shared" ref="B5:G5" si="17">max(B$1*$H5,$A5*B$17)</f>
        <v>15</v>
      </c>
      <c r="C5" s="28">
        <f t="shared" si="17"/>
        <v>12</v>
      </c>
      <c r="D5" s="17">
        <f t="shared" si="17"/>
        <v>22</v>
      </c>
      <c r="E5" s="17">
        <f t="shared" si="17"/>
        <v>33</v>
      </c>
      <c r="F5" s="17">
        <f t="shared" si="17"/>
        <v>44</v>
      </c>
      <c r="G5" s="17">
        <f t="shared" si="17"/>
        <v>55</v>
      </c>
      <c r="H5" s="17">
        <f t="shared" si="6"/>
        <v>11</v>
      </c>
      <c r="J5" s="2">
        <v>3.0</v>
      </c>
      <c r="K5" s="28">
        <f t="shared" ref="K5:O5" si="18">max(K$1*$H5,$A5*K$17)</f>
        <v>12</v>
      </c>
      <c r="L5" s="17">
        <f t="shared" si="18"/>
        <v>11</v>
      </c>
      <c r="M5" s="17">
        <f t="shared" si="18"/>
        <v>22</v>
      </c>
      <c r="N5" s="17">
        <f t="shared" si="18"/>
        <v>33</v>
      </c>
      <c r="O5" s="17">
        <f t="shared" si="18"/>
        <v>44</v>
      </c>
      <c r="P5" s="17">
        <f t="shared" si="8"/>
        <v>11</v>
      </c>
      <c r="R5" s="2">
        <v>3.0</v>
      </c>
      <c r="S5" s="32">
        <f t="shared" ref="S5:Y5" si="19">max(S$1*$Z5,$A5*S$12)</f>
        <v>18</v>
      </c>
      <c r="T5" s="30">
        <f t="shared" si="19"/>
        <v>15</v>
      </c>
      <c r="U5" s="30">
        <f t="shared" si="19"/>
        <v>12</v>
      </c>
      <c r="V5" s="17">
        <f t="shared" si="19"/>
        <v>18</v>
      </c>
      <c r="W5" s="17">
        <f t="shared" si="19"/>
        <v>24</v>
      </c>
      <c r="X5" s="17">
        <f t="shared" si="19"/>
        <v>30</v>
      </c>
      <c r="Y5" s="17">
        <f t="shared" si="19"/>
        <v>36</v>
      </c>
      <c r="Z5" s="17">
        <f t="shared" si="10"/>
        <v>6</v>
      </c>
      <c r="AA5" s="17"/>
      <c r="AB5" s="2">
        <v>3.0</v>
      </c>
      <c r="AC5" s="32">
        <f t="shared" ref="AC5:AG5" si="20">max(AC$1*$Z5,$A5*AC$12)</f>
        <v>12</v>
      </c>
      <c r="AD5" s="5">
        <f t="shared" si="20"/>
        <v>9</v>
      </c>
      <c r="AE5" s="17">
        <f t="shared" si="20"/>
        <v>12</v>
      </c>
      <c r="AF5" s="17">
        <f t="shared" si="20"/>
        <v>18</v>
      </c>
      <c r="AG5" s="17">
        <f t="shared" si="20"/>
        <v>24</v>
      </c>
      <c r="AH5" s="17">
        <f t="shared" si="12"/>
        <v>6</v>
      </c>
    </row>
    <row r="6">
      <c r="A6" s="2">
        <v>4.0</v>
      </c>
      <c r="B6" s="28">
        <f t="shared" ref="B6:G6" si="21">max(B$1*$H6,$A6*B$17)</f>
        <v>20</v>
      </c>
      <c r="C6" s="17">
        <f t="shared" si="21"/>
        <v>16</v>
      </c>
      <c r="D6" s="17">
        <f t="shared" si="21"/>
        <v>20</v>
      </c>
      <c r="E6" s="17">
        <f t="shared" si="21"/>
        <v>30</v>
      </c>
      <c r="F6" s="17">
        <f t="shared" si="21"/>
        <v>40</v>
      </c>
      <c r="G6" s="17">
        <f t="shared" si="21"/>
        <v>50</v>
      </c>
      <c r="H6" s="17">
        <f t="shared" si="6"/>
        <v>10</v>
      </c>
      <c r="J6" s="2">
        <v>4.0</v>
      </c>
      <c r="K6" s="36">
        <f t="shared" ref="K6:O6" si="22">max(K$1*$H6,$A6*K$17)</f>
        <v>16</v>
      </c>
      <c r="L6" s="17">
        <f t="shared" si="22"/>
        <v>12</v>
      </c>
      <c r="M6" s="17">
        <f t="shared" si="22"/>
        <v>20</v>
      </c>
      <c r="N6" s="17">
        <f t="shared" si="22"/>
        <v>30</v>
      </c>
      <c r="O6" s="17">
        <f t="shared" si="22"/>
        <v>40</v>
      </c>
      <c r="P6" s="17">
        <f t="shared" si="8"/>
        <v>10</v>
      </c>
      <c r="R6" s="2">
        <v>4.0</v>
      </c>
      <c r="S6" s="32">
        <f t="shared" ref="S6:Y6" si="23">max(S$1*$Z6,$A6*S$12)</f>
        <v>24</v>
      </c>
      <c r="T6" s="32">
        <f t="shared" si="23"/>
        <v>20</v>
      </c>
      <c r="U6" s="30">
        <f t="shared" si="23"/>
        <v>16</v>
      </c>
      <c r="V6" s="36">
        <f t="shared" si="23"/>
        <v>15</v>
      </c>
      <c r="W6" s="17">
        <f t="shared" si="23"/>
        <v>20</v>
      </c>
      <c r="X6" s="17">
        <f t="shared" si="23"/>
        <v>25</v>
      </c>
      <c r="Y6" s="17">
        <f t="shared" si="23"/>
        <v>30</v>
      </c>
      <c r="Z6" s="17">
        <f t="shared" si="10"/>
        <v>5</v>
      </c>
      <c r="AA6" s="17"/>
      <c r="AB6" s="2">
        <v>4.0</v>
      </c>
      <c r="AC6" s="32">
        <f t="shared" ref="AC6:AG6" si="24">max(AC$1*$Z6,$A6*AC$12)</f>
        <v>16</v>
      </c>
      <c r="AD6" s="5">
        <f t="shared" si="24"/>
        <v>12</v>
      </c>
      <c r="AE6" s="5">
        <f t="shared" si="24"/>
        <v>10</v>
      </c>
      <c r="AF6" s="17">
        <f t="shared" si="24"/>
        <v>15</v>
      </c>
      <c r="AG6" s="17">
        <f t="shared" si="24"/>
        <v>20</v>
      </c>
      <c r="AH6" s="17">
        <f t="shared" si="12"/>
        <v>5</v>
      </c>
    </row>
    <row r="7">
      <c r="A7" s="2">
        <v>5.0</v>
      </c>
      <c r="B7" s="32">
        <f t="shared" ref="B7:G7" si="25">max(B$1*$H7,$A7*B$17)</f>
        <v>25</v>
      </c>
      <c r="C7" s="32">
        <f t="shared" si="25"/>
        <v>20</v>
      </c>
      <c r="D7" s="17">
        <f t="shared" si="25"/>
        <v>18</v>
      </c>
      <c r="E7" s="17">
        <f t="shared" si="25"/>
        <v>27</v>
      </c>
      <c r="F7" s="17">
        <f t="shared" si="25"/>
        <v>36</v>
      </c>
      <c r="G7" s="17">
        <f t="shared" si="25"/>
        <v>45</v>
      </c>
      <c r="H7" s="17">
        <f t="shared" si="6"/>
        <v>9</v>
      </c>
      <c r="J7" s="2">
        <v>5.0</v>
      </c>
      <c r="K7" s="32">
        <f t="shared" ref="K7:O7" si="26">max(K$1*$H7,$A7*K$17)</f>
        <v>20</v>
      </c>
      <c r="L7" s="17">
        <f t="shared" si="26"/>
        <v>15</v>
      </c>
      <c r="M7" s="17">
        <f t="shared" si="26"/>
        <v>18</v>
      </c>
      <c r="N7" s="17">
        <f t="shared" si="26"/>
        <v>27</v>
      </c>
      <c r="O7" s="17">
        <f t="shared" si="26"/>
        <v>36</v>
      </c>
      <c r="P7" s="17">
        <f t="shared" si="8"/>
        <v>9</v>
      </c>
      <c r="R7" s="2">
        <v>5.0</v>
      </c>
      <c r="S7" s="32">
        <f t="shared" ref="S7:Y7" si="27">max(S$1*$Z7,$A7*S$12)</f>
        <v>30</v>
      </c>
      <c r="T7" s="32">
        <f t="shared" si="27"/>
        <v>25</v>
      </c>
      <c r="U7" s="32">
        <f t="shared" si="27"/>
        <v>20</v>
      </c>
      <c r="V7" s="36">
        <f t="shared" si="27"/>
        <v>15</v>
      </c>
      <c r="W7" s="30">
        <f t="shared" si="27"/>
        <v>16</v>
      </c>
      <c r="X7" s="17">
        <f t="shared" si="27"/>
        <v>20</v>
      </c>
      <c r="Y7" s="17">
        <f t="shared" si="27"/>
        <v>24</v>
      </c>
      <c r="Z7" s="17">
        <f t="shared" si="10"/>
        <v>4</v>
      </c>
      <c r="AA7" s="17"/>
      <c r="AB7" s="2">
        <v>5.0</v>
      </c>
      <c r="AC7" s="32">
        <f t="shared" ref="AC7:AG7" si="28">max(AC$1*$Z7,$A7*AC$12)</f>
        <v>20</v>
      </c>
      <c r="AD7" s="32">
        <f t="shared" si="28"/>
        <v>15</v>
      </c>
      <c r="AE7" s="5">
        <f t="shared" si="28"/>
        <v>10</v>
      </c>
      <c r="AF7" s="5">
        <f t="shared" si="28"/>
        <v>12</v>
      </c>
      <c r="AG7" s="17">
        <f t="shared" si="28"/>
        <v>16</v>
      </c>
      <c r="AH7" s="17">
        <f t="shared" si="12"/>
        <v>4</v>
      </c>
    </row>
    <row r="8">
      <c r="A8" s="2">
        <v>6.0</v>
      </c>
      <c r="B8" s="32">
        <f t="shared" ref="B8:G8" si="29">max(B$1*$H8,$A8*B$17)</f>
        <v>30</v>
      </c>
      <c r="C8" s="32">
        <f t="shared" si="29"/>
        <v>24</v>
      </c>
      <c r="D8" s="15">
        <f t="shared" si="29"/>
        <v>18</v>
      </c>
      <c r="E8" s="17">
        <f t="shared" si="29"/>
        <v>24</v>
      </c>
      <c r="F8" s="17">
        <f t="shared" si="29"/>
        <v>32</v>
      </c>
      <c r="G8" s="17">
        <f t="shared" si="29"/>
        <v>40</v>
      </c>
      <c r="H8" s="17">
        <f t="shared" si="6"/>
        <v>8</v>
      </c>
      <c r="J8" s="2">
        <v>6.0</v>
      </c>
      <c r="K8" s="32">
        <f t="shared" ref="K8:O8" si="30">max(K$1*$H8,$A8*K$17)</f>
        <v>24</v>
      </c>
      <c r="L8" s="32">
        <f t="shared" si="30"/>
        <v>18</v>
      </c>
      <c r="M8" s="17">
        <f t="shared" si="30"/>
        <v>16</v>
      </c>
      <c r="N8" s="17">
        <f t="shared" si="30"/>
        <v>24</v>
      </c>
      <c r="O8" s="17">
        <f t="shared" si="30"/>
        <v>32</v>
      </c>
      <c r="P8" s="17">
        <f t="shared" si="8"/>
        <v>8</v>
      </c>
      <c r="R8" s="2">
        <v>6.0</v>
      </c>
      <c r="S8" s="32">
        <f t="shared" ref="S8:Y8" si="31">max(S$1*$Z8,$A8*S$12)</f>
        <v>36</v>
      </c>
      <c r="T8" s="32">
        <f t="shared" si="31"/>
        <v>30</v>
      </c>
      <c r="U8" s="32">
        <f t="shared" si="31"/>
        <v>24</v>
      </c>
      <c r="V8" s="32">
        <f t="shared" si="31"/>
        <v>18</v>
      </c>
      <c r="W8" s="30">
        <f t="shared" si="31"/>
        <v>12</v>
      </c>
      <c r="X8" s="30">
        <f t="shared" si="31"/>
        <v>15</v>
      </c>
      <c r="Y8" s="17">
        <f t="shared" si="31"/>
        <v>18</v>
      </c>
      <c r="Z8" s="17">
        <f t="shared" si="10"/>
        <v>3</v>
      </c>
      <c r="AA8" s="17"/>
      <c r="AB8" s="2">
        <v>6.0</v>
      </c>
      <c r="AC8" s="32">
        <f t="shared" ref="AC8:AG8" si="32">max(AC$1*$Z8,$A8*AC$12)</f>
        <v>24</v>
      </c>
      <c r="AD8" s="32">
        <f t="shared" si="32"/>
        <v>18</v>
      </c>
      <c r="AE8" s="32">
        <f t="shared" si="32"/>
        <v>12</v>
      </c>
      <c r="AF8" s="5">
        <f t="shared" si="32"/>
        <v>9</v>
      </c>
      <c r="AG8" s="17">
        <f t="shared" si="32"/>
        <v>12</v>
      </c>
      <c r="AH8" s="17">
        <f t="shared" si="12"/>
        <v>3</v>
      </c>
    </row>
    <row r="9">
      <c r="A9" s="2">
        <v>7.0</v>
      </c>
      <c r="B9" s="32">
        <f t="shared" ref="B9:G9" si="33">max(B$1*$H9,$A9*B$17)</f>
        <v>35</v>
      </c>
      <c r="C9" s="32">
        <f t="shared" si="33"/>
        <v>28</v>
      </c>
      <c r="D9" s="32">
        <f t="shared" si="33"/>
        <v>21</v>
      </c>
      <c r="E9" s="17">
        <f t="shared" si="33"/>
        <v>21</v>
      </c>
      <c r="F9" s="17">
        <f t="shared" si="33"/>
        <v>28</v>
      </c>
      <c r="G9" s="17">
        <f t="shared" si="33"/>
        <v>35</v>
      </c>
      <c r="H9" s="17">
        <f t="shared" si="6"/>
        <v>7</v>
      </c>
      <c r="J9" s="2">
        <v>7.0</v>
      </c>
      <c r="K9" s="32">
        <f t="shared" ref="K9:O9" si="34">max(K$1*$H9,$A9*K$17)</f>
        <v>28</v>
      </c>
      <c r="L9" s="32">
        <f t="shared" si="34"/>
        <v>21</v>
      </c>
      <c r="M9" s="30">
        <f t="shared" si="34"/>
        <v>14</v>
      </c>
      <c r="N9" s="17">
        <f t="shared" si="34"/>
        <v>21</v>
      </c>
      <c r="O9" s="17">
        <f t="shared" si="34"/>
        <v>28</v>
      </c>
      <c r="P9" s="17">
        <f t="shared" si="8"/>
        <v>7</v>
      </c>
      <c r="R9" s="2">
        <v>7.0</v>
      </c>
      <c r="S9" s="32">
        <f t="shared" ref="S9:Y9" si="35">max(S$1*$Z9,$A9*S$12)</f>
        <v>42</v>
      </c>
      <c r="T9" s="32">
        <f t="shared" si="35"/>
        <v>35</v>
      </c>
      <c r="U9" s="32">
        <f t="shared" si="35"/>
        <v>28</v>
      </c>
      <c r="V9" s="32">
        <f t="shared" si="35"/>
        <v>21</v>
      </c>
      <c r="W9" s="30">
        <f t="shared" si="35"/>
        <v>14</v>
      </c>
      <c r="X9" s="30">
        <f t="shared" si="35"/>
        <v>10</v>
      </c>
      <c r="Y9" s="30">
        <f t="shared" si="35"/>
        <v>12</v>
      </c>
      <c r="Z9" s="17">
        <f t="shared" si="10"/>
        <v>2</v>
      </c>
      <c r="AA9" s="17"/>
      <c r="AB9" s="2">
        <v>7.0</v>
      </c>
      <c r="AC9" s="32">
        <f t="shared" ref="AC9:AG9" si="36">max(AC$1*$Z9,$A9*AC$12)</f>
        <v>28</v>
      </c>
      <c r="AD9" s="32">
        <f t="shared" si="36"/>
        <v>21</v>
      </c>
      <c r="AE9" s="32">
        <f t="shared" si="36"/>
        <v>14</v>
      </c>
      <c r="AF9" s="32">
        <f t="shared" si="36"/>
        <v>7</v>
      </c>
      <c r="AG9" s="17">
        <f t="shared" si="36"/>
        <v>8</v>
      </c>
      <c r="AH9" s="17">
        <f t="shared" si="12"/>
        <v>2</v>
      </c>
    </row>
    <row r="10">
      <c r="A10" s="2">
        <v>8.0</v>
      </c>
      <c r="B10" s="32">
        <f t="shared" ref="B10:G10" si="37">max(B$1*$H10,$A10*B$17)</f>
        <v>40</v>
      </c>
      <c r="C10" s="32">
        <f t="shared" si="37"/>
        <v>32</v>
      </c>
      <c r="D10" s="32">
        <f t="shared" si="37"/>
        <v>24</v>
      </c>
      <c r="E10" s="15">
        <f t="shared" si="37"/>
        <v>18</v>
      </c>
      <c r="F10" s="17">
        <f t="shared" si="37"/>
        <v>24</v>
      </c>
      <c r="G10" s="17">
        <f t="shared" si="37"/>
        <v>30</v>
      </c>
      <c r="H10" s="17">
        <f t="shared" si="6"/>
        <v>6</v>
      </c>
      <c r="J10" s="2">
        <v>8.0</v>
      </c>
      <c r="K10" s="32">
        <f t="shared" ref="K10:O10" si="38">max(K$1*$H10,$A10*K$17)</f>
        <v>32</v>
      </c>
      <c r="L10" s="32">
        <f t="shared" si="38"/>
        <v>24</v>
      </c>
      <c r="M10" s="32">
        <f t="shared" si="38"/>
        <v>16</v>
      </c>
      <c r="N10" s="17">
        <f t="shared" si="38"/>
        <v>18</v>
      </c>
      <c r="O10" s="17">
        <f t="shared" si="38"/>
        <v>24</v>
      </c>
      <c r="P10" s="17">
        <f t="shared" si="8"/>
        <v>6</v>
      </c>
      <c r="R10" s="2">
        <v>8.0</v>
      </c>
      <c r="S10" s="32">
        <f t="shared" ref="S10:Y10" si="39">max(S$1*$Z10,$A10*S$12)</f>
        <v>48</v>
      </c>
      <c r="T10" s="32">
        <f t="shared" si="39"/>
        <v>40</v>
      </c>
      <c r="U10" s="32">
        <f t="shared" si="39"/>
        <v>32</v>
      </c>
      <c r="V10" s="32">
        <f t="shared" si="39"/>
        <v>24</v>
      </c>
      <c r="W10" s="32">
        <f t="shared" si="39"/>
        <v>16</v>
      </c>
      <c r="X10" s="30">
        <f t="shared" si="39"/>
        <v>8</v>
      </c>
      <c r="Y10" s="28">
        <f t="shared" si="39"/>
        <v>6</v>
      </c>
      <c r="Z10" s="17">
        <f t="shared" si="10"/>
        <v>1</v>
      </c>
      <c r="AA10" s="17"/>
      <c r="AB10" s="2">
        <v>8.0</v>
      </c>
      <c r="AC10" s="32">
        <f t="shared" ref="AC10:AG10" si="40">max(AC$1*$Z10,$A10*AC$12)</f>
        <v>32</v>
      </c>
      <c r="AD10" s="32">
        <f t="shared" si="40"/>
        <v>24</v>
      </c>
      <c r="AE10" s="32">
        <f t="shared" si="40"/>
        <v>16</v>
      </c>
      <c r="AF10" s="32">
        <f t="shared" si="40"/>
        <v>8</v>
      </c>
      <c r="AG10" s="36">
        <f t="shared" si="40"/>
        <v>4</v>
      </c>
      <c r="AH10" s="17">
        <f t="shared" si="12"/>
        <v>1</v>
      </c>
    </row>
    <row r="11">
      <c r="A11" s="2">
        <v>9.0</v>
      </c>
      <c r="B11" s="32">
        <f t="shared" ref="B11:G11" si="41">max(B$1*$H11,$A11*B$17)</f>
        <v>45</v>
      </c>
      <c r="C11" s="32">
        <f t="shared" si="41"/>
        <v>36</v>
      </c>
      <c r="D11" s="32">
        <f t="shared" si="41"/>
        <v>27</v>
      </c>
      <c r="E11" s="32">
        <f t="shared" si="41"/>
        <v>18</v>
      </c>
      <c r="F11" s="5">
        <f t="shared" si="41"/>
        <v>20</v>
      </c>
      <c r="G11" s="17">
        <f t="shared" si="41"/>
        <v>25</v>
      </c>
      <c r="H11" s="17">
        <f t="shared" si="6"/>
        <v>5</v>
      </c>
      <c r="J11" s="2">
        <v>9.0</v>
      </c>
      <c r="K11" s="32">
        <f t="shared" ref="K11:O11" si="42">max(K$1*$H11,$A11*K$17)</f>
        <v>36</v>
      </c>
      <c r="L11" s="32">
        <f t="shared" si="42"/>
        <v>27</v>
      </c>
      <c r="M11" s="32">
        <f t="shared" si="42"/>
        <v>18</v>
      </c>
      <c r="N11" s="32">
        <f t="shared" si="42"/>
        <v>15</v>
      </c>
      <c r="O11" s="17">
        <f t="shared" si="42"/>
        <v>20</v>
      </c>
      <c r="P11" s="17">
        <f t="shared" si="8"/>
        <v>5</v>
      </c>
      <c r="R11" s="2">
        <v>9.0</v>
      </c>
      <c r="S11" s="32">
        <f t="shared" ref="S11:Y11" si="43">max(S$1*$Z11,$A11*S$12)</f>
        <v>54</v>
      </c>
      <c r="T11" s="32">
        <f t="shared" si="43"/>
        <v>45</v>
      </c>
      <c r="U11" s="32">
        <f t="shared" si="43"/>
        <v>36</v>
      </c>
      <c r="V11" s="32">
        <f t="shared" si="43"/>
        <v>27</v>
      </c>
      <c r="W11" s="32">
        <f t="shared" si="43"/>
        <v>18</v>
      </c>
      <c r="X11" s="32">
        <f t="shared" si="43"/>
        <v>9</v>
      </c>
      <c r="Y11" s="28">
        <f t="shared" si="43"/>
        <v>0</v>
      </c>
      <c r="Z11" s="17">
        <f t="shared" si="10"/>
        <v>0</v>
      </c>
      <c r="AA11" s="17"/>
      <c r="AB11" s="2">
        <v>9.0</v>
      </c>
      <c r="AC11" s="32">
        <f t="shared" ref="AC11:AG11" si="44">max(AC$1*$Z11,$A11*AC$12)</f>
        <v>36</v>
      </c>
      <c r="AD11" s="32">
        <f t="shared" si="44"/>
        <v>27</v>
      </c>
      <c r="AE11" s="32">
        <f t="shared" si="44"/>
        <v>18</v>
      </c>
      <c r="AF11" s="32">
        <f t="shared" si="44"/>
        <v>9</v>
      </c>
      <c r="AG11" s="30">
        <f t="shared" si="44"/>
        <v>0</v>
      </c>
      <c r="AH11" s="17">
        <f t="shared" si="12"/>
        <v>0</v>
      </c>
    </row>
    <row r="12">
      <c r="A12" s="2">
        <v>10.0</v>
      </c>
      <c r="B12" s="32">
        <f t="shared" ref="B12:G12" si="45">max(B$1*$H12,$A12*B$17)</f>
        <v>50</v>
      </c>
      <c r="C12" s="32">
        <f t="shared" si="45"/>
        <v>40</v>
      </c>
      <c r="D12" s="32">
        <f t="shared" si="45"/>
        <v>30</v>
      </c>
      <c r="E12" s="32">
        <f t="shared" si="45"/>
        <v>20</v>
      </c>
      <c r="F12" s="32">
        <f t="shared" si="45"/>
        <v>16</v>
      </c>
      <c r="G12" s="28">
        <f t="shared" si="45"/>
        <v>20</v>
      </c>
      <c r="H12" s="17">
        <f t="shared" si="6"/>
        <v>4</v>
      </c>
      <c r="J12" s="2">
        <v>10.0</v>
      </c>
      <c r="K12" s="32">
        <f t="shared" ref="K12:O12" si="46">max(K$1*$H12,$A12*K$17)</f>
        <v>40</v>
      </c>
      <c r="L12" s="32">
        <f t="shared" si="46"/>
        <v>30</v>
      </c>
      <c r="M12" s="32">
        <f t="shared" si="46"/>
        <v>20</v>
      </c>
      <c r="N12" s="32">
        <f t="shared" si="46"/>
        <v>12</v>
      </c>
      <c r="O12" s="36">
        <f t="shared" si="46"/>
        <v>16</v>
      </c>
      <c r="P12" s="17">
        <f t="shared" si="8"/>
        <v>4</v>
      </c>
      <c r="R12" s="2"/>
      <c r="S12" s="17">
        <f t="shared" ref="S12:Y12" si="47">6-S1</f>
        <v>6</v>
      </c>
      <c r="T12" s="17">
        <f t="shared" si="47"/>
        <v>5</v>
      </c>
      <c r="U12" s="17">
        <f t="shared" si="47"/>
        <v>4</v>
      </c>
      <c r="V12" s="17">
        <f t="shared" si="47"/>
        <v>3</v>
      </c>
      <c r="W12" s="17">
        <f t="shared" si="47"/>
        <v>2</v>
      </c>
      <c r="X12" s="17">
        <f t="shared" si="47"/>
        <v>1</v>
      </c>
      <c r="Y12" s="17">
        <f t="shared" si="47"/>
        <v>0</v>
      </c>
      <c r="Z12" s="17"/>
      <c r="AA12" s="17"/>
      <c r="AB12" s="2"/>
      <c r="AC12" s="17">
        <f t="shared" ref="AC12:AG12" si="48">4-AC1</f>
        <v>4</v>
      </c>
      <c r="AD12" s="17">
        <f t="shared" si="48"/>
        <v>3</v>
      </c>
      <c r="AE12" s="17">
        <f t="shared" si="48"/>
        <v>2</v>
      </c>
      <c r="AF12" s="17">
        <f t="shared" si="48"/>
        <v>1</v>
      </c>
      <c r="AG12" s="17">
        <f t="shared" si="48"/>
        <v>0</v>
      </c>
      <c r="AH12" s="17"/>
    </row>
    <row r="13">
      <c r="A13" s="2">
        <v>11.0</v>
      </c>
      <c r="B13" s="32">
        <f t="shared" ref="B13:G13" si="49">max(B$1*$H13,$A13*B$17)</f>
        <v>55</v>
      </c>
      <c r="C13" s="32">
        <f t="shared" si="49"/>
        <v>44</v>
      </c>
      <c r="D13" s="32">
        <f t="shared" si="49"/>
        <v>33</v>
      </c>
      <c r="E13" s="32">
        <f t="shared" si="49"/>
        <v>22</v>
      </c>
      <c r="F13" s="28">
        <f t="shared" si="49"/>
        <v>12</v>
      </c>
      <c r="G13" s="28">
        <f t="shared" si="49"/>
        <v>15</v>
      </c>
      <c r="H13" s="17">
        <f t="shared" si="6"/>
        <v>3</v>
      </c>
      <c r="J13" s="2">
        <v>11.0</v>
      </c>
      <c r="K13" s="32">
        <f t="shared" ref="K13:O13" si="50">max(K$1*$H13,$A13*K$17)</f>
        <v>44</v>
      </c>
      <c r="L13" s="32">
        <f t="shared" si="50"/>
        <v>33</v>
      </c>
      <c r="M13" s="32">
        <f t="shared" si="50"/>
        <v>22</v>
      </c>
      <c r="N13" s="32">
        <f t="shared" si="50"/>
        <v>11</v>
      </c>
      <c r="O13" s="28">
        <f t="shared" si="50"/>
        <v>12</v>
      </c>
      <c r="P13" s="17">
        <f t="shared" si="8"/>
        <v>3</v>
      </c>
      <c r="R13" s="2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2">
        <v>12.0</v>
      </c>
      <c r="B14" s="32">
        <f t="shared" ref="B14:G14" si="51">max(B$1*$H14,$A14*B$17)</f>
        <v>60</v>
      </c>
      <c r="C14" s="32">
        <f t="shared" si="51"/>
        <v>48</v>
      </c>
      <c r="D14" s="32">
        <f t="shared" si="51"/>
        <v>36</v>
      </c>
      <c r="E14" s="32">
        <f t="shared" si="51"/>
        <v>24</v>
      </c>
      <c r="F14" s="28">
        <f t="shared" si="51"/>
        <v>12</v>
      </c>
      <c r="G14" s="28">
        <f t="shared" si="51"/>
        <v>10</v>
      </c>
      <c r="H14" s="17">
        <f t="shared" si="6"/>
        <v>2</v>
      </c>
      <c r="J14" s="2">
        <v>12.0</v>
      </c>
      <c r="K14" s="32">
        <f t="shared" ref="K14:O14" si="52">max(K$1*$H14,$A14*K$17)</f>
        <v>48</v>
      </c>
      <c r="L14" s="32">
        <f t="shared" si="52"/>
        <v>36</v>
      </c>
      <c r="M14" s="32">
        <f t="shared" si="52"/>
        <v>24</v>
      </c>
      <c r="N14" s="32">
        <f t="shared" si="52"/>
        <v>12</v>
      </c>
      <c r="O14" s="28">
        <f t="shared" si="52"/>
        <v>8</v>
      </c>
      <c r="P14" s="17">
        <f t="shared" si="8"/>
        <v>2</v>
      </c>
      <c r="R14" s="2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2">
        <v>13.0</v>
      </c>
      <c r="B15" s="32">
        <f t="shared" ref="B15:G15" si="53">max(B$1*$H15,$A15*B$17)</f>
        <v>65</v>
      </c>
      <c r="C15" s="32">
        <f t="shared" si="53"/>
        <v>52</v>
      </c>
      <c r="D15" s="32">
        <f t="shared" si="53"/>
        <v>39</v>
      </c>
      <c r="E15" s="28">
        <f t="shared" si="53"/>
        <v>26</v>
      </c>
      <c r="F15" s="28">
        <f t="shared" si="53"/>
        <v>13</v>
      </c>
      <c r="G15" s="28">
        <f t="shared" si="53"/>
        <v>5</v>
      </c>
      <c r="H15" s="17">
        <f t="shared" si="6"/>
        <v>1</v>
      </c>
      <c r="J15" s="2">
        <v>13.0</v>
      </c>
      <c r="K15" s="32">
        <f t="shared" ref="K15:O15" si="54">max(K$1*$H15,$A15*K$17)</f>
        <v>52</v>
      </c>
      <c r="L15" s="32">
        <f t="shared" si="54"/>
        <v>39</v>
      </c>
      <c r="M15" s="32">
        <f t="shared" si="54"/>
        <v>26</v>
      </c>
      <c r="N15" s="28">
        <f t="shared" si="54"/>
        <v>13</v>
      </c>
      <c r="O15" s="28">
        <f t="shared" si="54"/>
        <v>4</v>
      </c>
      <c r="P15" s="17">
        <f t="shared" si="8"/>
        <v>1</v>
      </c>
      <c r="R15" s="2"/>
      <c r="Z15" s="17"/>
      <c r="AA15" s="17"/>
      <c r="AB15" s="17"/>
      <c r="AC15" s="17"/>
      <c r="AD15" s="17"/>
      <c r="AE15" s="17"/>
      <c r="AF15" s="17"/>
      <c r="AG15" s="17"/>
      <c r="AH15" s="17"/>
    </row>
    <row r="16">
      <c r="A16" s="2">
        <v>14.0</v>
      </c>
      <c r="B16" s="32">
        <f t="shared" ref="B16:G16" si="55">max(B$1*$H16,$A16*B$17)</f>
        <v>70</v>
      </c>
      <c r="C16" s="32">
        <f t="shared" si="55"/>
        <v>56</v>
      </c>
      <c r="D16" s="32">
        <f t="shared" si="55"/>
        <v>42</v>
      </c>
      <c r="E16" s="28">
        <f t="shared" si="55"/>
        <v>28</v>
      </c>
      <c r="F16" s="28">
        <f t="shared" si="55"/>
        <v>14</v>
      </c>
      <c r="G16" s="28">
        <f t="shared" si="55"/>
        <v>0</v>
      </c>
      <c r="H16" s="17">
        <f t="shared" si="6"/>
        <v>0</v>
      </c>
      <c r="J16" s="2">
        <v>14.0</v>
      </c>
      <c r="K16" s="32">
        <f t="shared" ref="K16:O16" si="56">max(K$1*$H16,$A16*K$17)</f>
        <v>56</v>
      </c>
      <c r="L16" s="32">
        <f t="shared" si="56"/>
        <v>42</v>
      </c>
      <c r="M16" s="32">
        <f t="shared" si="56"/>
        <v>28</v>
      </c>
      <c r="N16" s="28">
        <f t="shared" si="56"/>
        <v>14</v>
      </c>
      <c r="O16" s="28">
        <f t="shared" si="56"/>
        <v>0</v>
      </c>
      <c r="P16" s="17">
        <f t="shared" si="8"/>
        <v>0</v>
      </c>
      <c r="R16" s="2"/>
      <c r="Z16" s="17"/>
      <c r="AA16" s="17"/>
      <c r="AB16" s="17"/>
      <c r="AC16" s="17"/>
      <c r="AD16" s="17"/>
      <c r="AE16" s="17"/>
      <c r="AF16" s="17"/>
      <c r="AG16" s="17"/>
      <c r="AH16" s="17"/>
    </row>
    <row r="17">
      <c r="A17" s="17"/>
      <c r="B17" s="17">
        <f t="shared" ref="B17:G17" si="57">5-B1</f>
        <v>5</v>
      </c>
      <c r="C17" s="17">
        <f t="shared" si="57"/>
        <v>4</v>
      </c>
      <c r="D17" s="17">
        <f t="shared" si="57"/>
        <v>3</v>
      </c>
      <c r="E17" s="17">
        <f t="shared" si="57"/>
        <v>2</v>
      </c>
      <c r="F17" s="17">
        <f t="shared" si="57"/>
        <v>1</v>
      </c>
      <c r="G17" s="17">
        <f t="shared" si="57"/>
        <v>0</v>
      </c>
      <c r="H17" s="17"/>
      <c r="I17" s="17"/>
      <c r="J17" s="17"/>
      <c r="K17" s="17">
        <f t="shared" ref="K17:O17" si="58">4-K1</f>
        <v>4</v>
      </c>
      <c r="L17" s="17">
        <f t="shared" si="58"/>
        <v>3</v>
      </c>
      <c r="M17" s="17">
        <f t="shared" si="58"/>
        <v>2</v>
      </c>
      <c r="N17" s="17">
        <f t="shared" si="58"/>
        <v>1</v>
      </c>
      <c r="O17" s="17">
        <f t="shared" si="58"/>
        <v>0</v>
      </c>
      <c r="P17" s="17"/>
      <c r="Q17" s="17"/>
      <c r="R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>
      <c r="A18" s="17"/>
      <c r="H18" s="17"/>
    </row>
    <row r="19">
      <c r="A19" s="17"/>
      <c r="B19" s="2">
        <v>0.0</v>
      </c>
      <c r="C19" s="2">
        <v>1.0</v>
      </c>
      <c r="D19" s="2">
        <v>2.0</v>
      </c>
      <c r="E19" s="2">
        <v>3.0</v>
      </c>
      <c r="F19" s="2">
        <v>4.0</v>
      </c>
      <c r="G19" s="2">
        <v>5.0</v>
      </c>
      <c r="H19" s="17"/>
      <c r="I19" s="17"/>
      <c r="J19" s="17"/>
      <c r="K19" s="2">
        <v>0.0</v>
      </c>
      <c r="L19" s="2">
        <v>1.0</v>
      </c>
      <c r="M19" s="2">
        <v>2.0</v>
      </c>
      <c r="N19" s="2">
        <v>3.0</v>
      </c>
      <c r="O19" s="2">
        <v>4.0</v>
      </c>
      <c r="P19" s="17"/>
      <c r="Q19" s="17"/>
      <c r="R19" s="17"/>
      <c r="S19" s="2">
        <v>0.0</v>
      </c>
      <c r="T19" s="2">
        <v>1.0</v>
      </c>
      <c r="U19" s="2">
        <v>2.0</v>
      </c>
      <c r="V19" s="2">
        <v>3.0</v>
      </c>
      <c r="W19" s="2">
        <v>4.0</v>
      </c>
      <c r="X19" s="2">
        <v>5.0</v>
      </c>
      <c r="Y19" s="2">
        <v>6.0</v>
      </c>
      <c r="Z19" s="17"/>
      <c r="AA19" s="17"/>
      <c r="AB19" s="17"/>
      <c r="AC19" s="2">
        <v>0.0</v>
      </c>
      <c r="AD19" s="2">
        <v>1.0</v>
      </c>
      <c r="AE19" s="2">
        <v>2.0</v>
      </c>
      <c r="AF19" s="2">
        <v>3.0</v>
      </c>
      <c r="AG19" s="2">
        <v>4.0</v>
      </c>
      <c r="AH19" s="17"/>
    </row>
    <row r="20">
      <c r="A20" s="2">
        <v>0.0</v>
      </c>
      <c r="B20" s="28">
        <f t="shared" ref="B20:G20" si="59">abs(B$1*$H20-$A20*B$17)</f>
        <v>0</v>
      </c>
      <c r="C20" s="28">
        <f t="shared" si="59"/>
        <v>14</v>
      </c>
      <c r="D20" s="28">
        <f t="shared" si="59"/>
        <v>28</v>
      </c>
      <c r="E20" s="5">
        <f t="shared" si="59"/>
        <v>42</v>
      </c>
      <c r="F20" s="5">
        <f t="shared" si="59"/>
        <v>56</v>
      </c>
      <c r="G20" s="5">
        <f t="shared" si="59"/>
        <v>70</v>
      </c>
      <c r="H20" s="17">
        <f t="shared" ref="H20:H34" si="64">14-A20</f>
        <v>14</v>
      </c>
      <c r="J20" s="2">
        <v>0.0</v>
      </c>
      <c r="K20" s="28">
        <f t="shared" ref="K20:O20" si="60">abs(K$1*$H20-$A20*K$17)</f>
        <v>0</v>
      </c>
      <c r="L20" s="28">
        <f t="shared" si="60"/>
        <v>14</v>
      </c>
      <c r="M20" s="5">
        <f t="shared" si="60"/>
        <v>28</v>
      </c>
      <c r="N20" s="5">
        <f t="shared" si="60"/>
        <v>42</v>
      </c>
      <c r="O20" s="5">
        <f t="shared" si="60"/>
        <v>56</v>
      </c>
      <c r="P20" s="17">
        <f t="shared" ref="P20:P34" si="66">14-J20</f>
        <v>14</v>
      </c>
      <c r="R20" s="2">
        <v>0.0</v>
      </c>
      <c r="S20" s="28">
        <f t="shared" ref="S20:Y20" si="61">abs(S$1*$Z20-$A20*S$12)</f>
        <v>0</v>
      </c>
      <c r="T20" s="5">
        <f t="shared" si="61"/>
        <v>9</v>
      </c>
      <c r="U20" s="5">
        <f t="shared" si="61"/>
        <v>18</v>
      </c>
      <c r="V20" s="5">
        <f t="shared" si="61"/>
        <v>27</v>
      </c>
      <c r="W20" s="5">
        <f t="shared" si="61"/>
        <v>36</v>
      </c>
      <c r="X20" s="5">
        <f t="shared" si="61"/>
        <v>45</v>
      </c>
      <c r="Y20" s="5">
        <f t="shared" si="61"/>
        <v>54</v>
      </c>
      <c r="Z20" s="17">
        <f t="shared" ref="Z20:Z29" si="68">9-R20</f>
        <v>9</v>
      </c>
      <c r="AA20" s="17"/>
      <c r="AB20" s="2">
        <v>0.0</v>
      </c>
      <c r="AC20" s="5">
        <f t="shared" ref="AC20:AG20" si="62">abs(AC$1*$Z20-$A20*AC$12)</f>
        <v>0</v>
      </c>
      <c r="AD20" s="5">
        <f t="shared" si="62"/>
        <v>9</v>
      </c>
      <c r="AE20" s="5">
        <f t="shared" si="62"/>
        <v>18</v>
      </c>
      <c r="AF20" s="5">
        <f t="shared" si="62"/>
        <v>27</v>
      </c>
      <c r="AG20" s="5">
        <f t="shared" si="62"/>
        <v>36</v>
      </c>
      <c r="AH20" s="17">
        <f t="shared" ref="AH20:AH29" si="70">9-AB20</f>
        <v>9</v>
      </c>
    </row>
    <row r="21">
      <c r="A21" s="2">
        <v>1.0</v>
      </c>
      <c r="B21" s="28">
        <f t="shared" ref="B21:G21" si="63">abs(B$1*$H21-$A21*B$17)</f>
        <v>5</v>
      </c>
      <c r="C21" s="28">
        <f t="shared" si="63"/>
        <v>9</v>
      </c>
      <c r="D21" s="28">
        <f t="shared" si="63"/>
        <v>23</v>
      </c>
      <c r="E21" s="5">
        <f t="shared" si="63"/>
        <v>37</v>
      </c>
      <c r="F21" s="5">
        <f t="shared" si="63"/>
        <v>51</v>
      </c>
      <c r="G21" s="5">
        <f t="shared" si="63"/>
        <v>65</v>
      </c>
      <c r="H21" s="17">
        <f t="shared" si="64"/>
        <v>13</v>
      </c>
      <c r="J21" s="2">
        <v>1.0</v>
      </c>
      <c r="K21" s="28">
        <f t="shared" ref="K21:O21" si="65">abs(K$1*$H21-$A21*K$17)</f>
        <v>4</v>
      </c>
      <c r="L21" s="28">
        <f t="shared" si="65"/>
        <v>10</v>
      </c>
      <c r="M21" s="5">
        <f t="shared" si="65"/>
        <v>24</v>
      </c>
      <c r="N21" s="5">
        <f t="shared" si="65"/>
        <v>38</v>
      </c>
      <c r="O21" s="5">
        <f t="shared" si="65"/>
        <v>52</v>
      </c>
      <c r="P21" s="17">
        <f t="shared" si="66"/>
        <v>13</v>
      </c>
      <c r="R21" s="2">
        <v>1.0</v>
      </c>
      <c r="S21" s="28">
        <f t="shared" ref="S21:Y21" si="67">abs(S$1*$Z21-$A21*S$12)</f>
        <v>6</v>
      </c>
      <c r="T21" s="5">
        <f t="shared" si="67"/>
        <v>3</v>
      </c>
      <c r="U21" s="5">
        <f t="shared" si="67"/>
        <v>12</v>
      </c>
      <c r="V21" s="5">
        <f t="shared" si="67"/>
        <v>21</v>
      </c>
      <c r="W21" s="5">
        <f t="shared" si="67"/>
        <v>30</v>
      </c>
      <c r="X21" s="5">
        <f t="shared" si="67"/>
        <v>39</v>
      </c>
      <c r="Y21" s="5">
        <f t="shared" si="67"/>
        <v>48</v>
      </c>
      <c r="Z21" s="17">
        <f t="shared" si="68"/>
        <v>8</v>
      </c>
      <c r="AA21" s="17"/>
      <c r="AB21" s="2">
        <v>1.0</v>
      </c>
      <c r="AC21" s="15">
        <f t="shared" ref="AC21:AG21" si="69">abs(AC$1*$Z21-$A21*AC$12)</f>
        <v>4</v>
      </c>
      <c r="AD21" s="5">
        <f t="shared" si="69"/>
        <v>5</v>
      </c>
      <c r="AE21" s="5">
        <f t="shared" si="69"/>
        <v>14</v>
      </c>
      <c r="AF21" s="5">
        <f t="shared" si="69"/>
        <v>23</v>
      </c>
      <c r="AG21" s="5">
        <f t="shared" si="69"/>
        <v>32</v>
      </c>
      <c r="AH21" s="17">
        <f t="shared" si="70"/>
        <v>8</v>
      </c>
    </row>
    <row r="22">
      <c r="A22" s="2">
        <v>2.0</v>
      </c>
      <c r="B22" s="28">
        <f t="shared" ref="B22:G22" si="71">abs(B$1*$H22-$A22*B$17)</f>
        <v>10</v>
      </c>
      <c r="C22" s="28">
        <f t="shared" si="71"/>
        <v>4</v>
      </c>
      <c r="D22" s="5">
        <f t="shared" si="71"/>
        <v>18</v>
      </c>
      <c r="E22" s="5">
        <f t="shared" si="71"/>
        <v>32</v>
      </c>
      <c r="F22" s="5">
        <f t="shared" si="71"/>
        <v>46</v>
      </c>
      <c r="G22" s="5">
        <f t="shared" si="71"/>
        <v>60</v>
      </c>
      <c r="H22" s="17">
        <f t="shared" si="64"/>
        <v>12</v>
      </c>
      <c r="J22" s="2">
        <v>2.0</v>
      </c>
      <c r="K22" s="28">
        <f t="shared" ref="K22:O22" si="72">abs(K$1*$H22-$A22*K$17)</f>
        <v>8</v>
      </c>
      <c r="L22" s="5">
        <f t="shared" si="72"/>
        <v>6</v>
      </c>
      <c r="M22" s="5">
        <f t="shared" si="72"/>
        <v>20</v>
      </c>
      <c r="N22" s="5">
        <f t="shared" si="72"/>
        <v>34</v>
      </c>
      <c r="O22" s="5">
        <f t="shared" si="72"/>
        <v>48</v>
      </c>
      <c r="P22" s="17">
        <f t="shared" si="66"/>
        <v>12</v>
      </c>
      <c r="R22" s="2">
        <v>2.0</v>
      </c>
      <c r="S22" s="5">
        <f t="shared" ref="S22:Y22" si="73">abs(S$1*$Z22-$A22*S$12)</f>
        <v>12</v>
      </c>
      <c r="T22" s="5">
        <f t="shared" si="73"/>
        <v>3</v>
      </c>
      <c r="U22" s="5">
        <f t="shared" si="73"/>
        <v>6</v>
      </c>
      <c r="V22" s="5">
        <f t="shared" si="73"/>
        <v>15</v>
      </c>
      <c r="W22" s="5">
        <f t="shared" si="73"/>
        <v>24</v>
      </c>
      <c r="X22" s="5">
        <f t="shared" si="73"/>
        <v>33</v>
      </c>
      <c r="Y22" s="5">
        <f t="shared" si="73"/>
        <v>42</v>
      </c>
      <c r="Z22" s="17">
        <f t="shared" si="68"/>
        <v>7</v>
      </c>
      <c r="AA22" s="17"/>
      <c r="AB22" s="2">
        <v>2.0</v>
      </c>
      <c r="AC22" s="5">
        <f t="shared" ref="AC22:AG22" si="74">abs(AC$1*$Z22-$A22*AC$12)</f>
        <v>8</v>
      </c>
      <c r="AD22" s="5">
        <f t="shared" si="74"/>
        <v>1</v>
      </c>
      <c r="AE22" s="5">
        <f t="shared" si="74"/>
        <v>10</v>
      </c>
      <c r="AF22" s="5">
        <f t="shared" si="74"/>
        <v>19</v>
      </c>
      <c r="AG22" s="5">
        <f t="shared" si="74"/>
        <v>28</v>
      </c>
      <c r="AH22" s="17">
        <f t="shared" si="70"/>
        <v>7</v>
      </c>
    </row>
    <row r="23">
      <c r="A23" s="2">
        <v>3.0</v>
      </c>
      <c r="B23" s="28">
        <f t="shared" ref="B23:G23" si="75">abs(B$1*$H23-$A23*B$17)</f>
        <v>15</v>
      </c>
      <c r="C23" s="28">
        <f t="shared" si="75"/>
        <v>1</v>
      </c>
      <c r="D23" s="5">
        <f t="shared" si="75"/>
        <v>13</v>
      </c>
      <c r="E23" s="5">
        <f t="shared" si="75"/>
        <v>27</v>
      </c>
      <c r="F23" s="5">
        <f t="shared" si="75"/>
        <v>41</v>
      </c>
      <c r="G23" s="5">
        <f t="shared" si="75"/>
        <v>55</v>
      </c>
      <c r="H23" s="17">
        <f t="shared" si="64"/>
        <v>11</v>
      </c>
      <c r="J23" s="2">
        <v>3.0</v>
      </c>
      <c r="K23" s="28">
        <f t="shared" ref="K23:O23" si="76">abs(K$1*$H23-$A23*K$17)</f>
        <v>12</v>
      </c>
      <c r="L23" s="5">
        <f t="shared" si="76"/>
        <v>2</v>
      </c>
      <c r="M23" s="5">
        <f t="shared" si="76"/>
        <v>16</v>
      </c>
      <c r="N23" s="5">
        <f t="shared" si="76"/>
        <v>30</v>
      </c>
      <c r="O23" s="5">
        <f t="shared" si="76"/>
        <v>44</v>
      </c>
      <c r="P23" s="17">
        <f t="shared" si="66"/>
        <v>11</v>
      </c>
      <c r="R23" s="2">
        <v>3.0</v>
      </c>
      <c r="S23" s="5">
        <f t="shared" ref="S23:Y23" si="77">abs(S$1*$Z23-$A23*S$12)</f>
        <v>18</v>
      </c>
      <c r="T23" s="5">
        <f t="shared" si="77"/>
        <v>9</v>
      </c>
      <c r="U23" s="5">
        <f t="shared" si="77"/>
        <v>0</v>
      </c>
      <c r="V23" s="5">
        <f t="shared" si="77"/>
        <v>9</v>
      </c>
      <c r="W23" s="5">
        <f t="shared" si="77"/>
        <v>18</v>
      </c>
      <c r="X23" s="5">
        <f t="shared" si="77"/>
        <v>27</v>
      </c>
      <c r="Y23" s="5">
        <f t="shared" si="77"/>
        <v>36</v>
      </c>
      <c r="Z23" s="17">
        <f t="shared" si="68"/>
        <v>6</v>
      </c>
      <c r="AA23" s="17"/>
      <c r="AB23" s="2">
        <v>3.0</v>
      </c>
      <c r="AC23" s="5">
        <f t="shared" ref="AC23:AG23" si="78">abs(AC$1*$Z23-$A23*AC$12)</f>
        <v>12</v>
      </c>
      <c r="AD23" s="5">
        <f t="shared" si="78"/>
        <v>3</v>
      </c>
      <c r="AE23" s="5">
        <f t="shared" si="78"/>
        <v>6</v>
      </c>
      <c r="AF23" s="5">
        <f t="shared" si="78"/>
        <v>15</v>
      </c>
      <c r="AG23" s="5">
        <f t="shared" si="78"/>
        <v>24</v>
      </c>
      <c r="AH23" s="17">
        <f t="shared" si="70"/>
        <v>6</v>
      </c>
    </row>
    <row r="24">
      <c r="A24" s="2">
        <v>4.0</v>
      </c>
      <c r="B24" s="28">
        <f t="shared" ref="B24:G24" si="79">abs(B$1*$H24-$A24*B$17)</f>
        <v>20</v>
      </c>
      <c r="C24" s="5">
        <f t="shared" si="79"/>
        <v>6</v>
      </c>
      <c r="D24" s="5">
        <f t="shared" si="79"/>
        <v>8</v>
      </c>
      <c r="E24" s="5">
        <f t="shared" si="79"/>
        <v>22</v>
      </c>
      <c r="F24" s="5">
        <f t="shared" si="79"/>
        <v>36</v>
      </c>
      <c r="G24" s="5">
        <f t="shared" si="79"/>
        <v>50</v>
      </c>
      <c r="H24" s="17">
        <f t="shared" si="64"/>
        <v>10</v>
      </c>
      <c r="J24" s="2">
        <v>4.0</v>
      </c>
      <c r="K24" s="15">
        <f t="shared" ref="K24:O24" si="80">abs(K$1*$H24-$A24*K$17)</f>
        <v>16</v>
      </c>
      <c r="L24" s="5">
        <f t="shared" si="80"/>
        <v>2</v>
      </c>
      <c r="M24" s="5">
        <f t="shared" si="80"/>
        <v>12</v>
      </c>
      <c r="N24" s="5">
        <f t="shared" si="80"/>
        <v>26</v>
      </c>
      <c r="O24" s="5">
        <f t="shared" si="80"/>
        <v>40</v>
      </c>
      <c r="P24" s="17">
        <f t="shared" si="66"/>
        <v>10</v>
      </c>
      <c r="R24" s="2">
        <v>4.0</v>
      </c>
      <c r="S24" s="5">
        <f t="shared" ref="S24:Y24" si="81">abs(S$1*$Z24-$A24*S$12)</f>
        <v>24</v>
      </c>
      <c r="T24" s="5">
        <f t="shared" si="81"/>
        <v>15</v>
      </c>
      <c r="U24" s="5">
        <f t="shared" si="81"/>
        <v>6</v>
      </c>
      <c r="V24" s="15">
        <f t="shared" si="81"/>
        <v>3</v>
      </c>
      <c r="W24" s="5">
        <f t="shared" si="81"/>
        <v>12</v>
      </c>
      <c r="X24" s="5">
        <f t="shared" si="81"/>
        <v>21</v>
      </c>
      <c r="Y24" s="5">
        <f t="shared" si="81"/>
        <v>30</v>
      </c>
      <c r="Z24" s="17">
        <f t="shared" si="68"/>
        <v>5</v>
      </c>
      <c r="AA24" s="17"/>
      <c r="AB24" s="2">
        <v>4.0</v>
      </c>
      <c r="AC24" s="5">
        <f t="shared" ref="AC24:AG24" si="82">abs(AC$1*$Z24-$A24*AC$12)</f>
        <v>16</v>
      </c>
      <c r="AD24" s="5">
        <f t="shared" si="82"/>
        <v>7</v>
      </c>
      <c r="AE24" s="5">
        <f t="shared" si="82"/>
        <v>2</v>
      </c>
      <c r="AF24" s="5">
        <f t="shared" si="82"/>
        <v>11</v>
      </c>
      <c r="AG24" s="5">
        <f t="shared" si="82"/>
        <v>20</v>
      </c>
      <c r="AH24" s="17">
        <f t="shared" si="70"/>
        <v>5</v>
      </c>
    </row>
    <row r="25">
      <c r="A25" s="2">
        <v>5.0</v>
      </c>
      <c r="B25" s="5">
        <f t="shared" ref="B25:G25" si="83">abs(B$1*$H25-$A25*B$17)</f>
        <v>25</v>
      </c>
      <c r="C25" s="5">
        <f t="shared" si="83"/>
        <v>11</v>
      </c>
      <c r="D25" s="5">
        <f t="shared" si="83"/>
        <v>3</v>
      </c>
      <c r="E25" s="5">
        <f t="shared" si="83"/>
        <v>17</v>
      </c>
      <c r="F25" s="5">
        <f t="shared" si="83"/>
        <v>31</v>
      </c>
      <c r="G25" s="5">
        <f t="shared" si="83"/>
        <v>45</v>
      </c>
      <c r="H25" s="17">
        <f t="shared" si="64"/>
        <v>9</v>
      </c>
      <c r="J25" s="2">
        <v>5.0</v>
      </c>
      <c r="K25" s="5">
        <f t="shared" ref="K25:O25" si="84">abs(K$1*$H25-$A25*K$17)</f>
        <v>20</v>
      </c>
      <c r="L25" s="5">
        <f t="shared" si="84"/>
        <v>6</v>
      </c>
      <c r="M25" s="5">
        <f t="shared" si="84"/>
        <v>8</v>
      </c>
      <c r="N25" s="5">
        <f t="shared" si="84"/>
        <v>22</v>
      </c>
      <c r="O25" s="5">
        <f t="shared" si="84"/>
        <v>36</v>
      </c>
      <c r="P25" s="17">
        <f t="shared" si="66"/>
        <v>9</v>
      </c>
      <c r="R25" s="2">
        <v>5.0</v>
      </c>
      <c r="S25" s="5">
        <f t="shared" ref="S25:Y25" si="85">abs(S$1*$Z25-$A25*S$12)</f>
        <v>30</v>
      </c>
      <c r="T25" s="5">
        <f t="shared" si="85"/>
        <v>21</v>
      </c>
      <c r="U25" s="5">
        <f t="shared" si="85"/>
        <v>12</v>
      </c>
      <c r="V25" s="15">
        <f t="shared" si="85"/>
        <v>3</v>
      </c>
      <c r="W25" s="5">
        <f t="shared" si="85"/>
        <v>6</v>
      </c>
      <c r="X25" s="5">
        <f t="shared" si="85"/>
        <v>15</v>
      </c>
      <c r="Y25" s="5">
        <f t="shared" si="85"/>
        <v>24</v>
      </c>
      <c r="Z25" s="17">
        <f t="shared" si="68"/>
        <v>4</v>
      </c>
      <c r="AA25" s="17"/>
      <c r="AB25" s="2">
        <v>5.0</v>
      </c>
      <c r="AC25" s="5">
        <f t="shared" ref="AC25:AG25" si="86">abs(AC$1*$Z25-$A25*AC$12)</f>
        <v>20</v>
      </c>
      <c r="AD25" s="5">
        <f t="shared" si="86"/>
        <v>11</v>
      </c>
      <c r="AE25" s="5">
        <f t="shared" si="86"/>
        <v>2</v>
      </c>
      <c r="AF25" s="5">
        <f t="shared" si="86"/>
        <v>7</v>
      </c>
      <c r="AG25" s="5">
        <f t="shared" si="86"/>
        <v>16</v>
      </c>
      <c r="AH25" s="17">
        <f t="shared" si="70"/>
        <v>4</v>
      </c>
    </row>
    <row r="26">
      <c r="A26" s="2">
        <v>6.0</v>
      </c>
      <c r="B26" s="5">
        <f t="shared" ref="B26:G26" si="87">abs(B$1*$H26-$A26*B$17)</f>
        <v>30</v>
      </c>
      <c r="C26" s="5">
        <f t="shared" si="87"/>
        <v>16</v>
      </c>
      <c r="D26" s="15">
        <f t="shared" si="87"/>
        <v>2</v>
      </c>
      <c r="E26" s="5">
        <f t="shared" si="87"/>
        <v>12</v>
      </c>
      <c r="F26" s="5">
        <f t="shared" si="87"/>
        <v>26</v>
      </c>
      <c r="G26" s="5">
        <f t="shared" si="87"/>
        <v>40</v>
      </c>
      <c r="H26" s="17">
        <f t="shared" si="64"/>
        <v>8</v>
      </c>
      <c r="J26" s="2">
        <v>6.0</v>
      </c>
      <c r="K26" s="5">
        <f t="shared" ref="K26:O26" si="88">abs(K$1*$H26-$A26*K$17)</f>
        <v>24</v>
      </c>
      <c r="L26" s="5">
        <f t="shared" si="88"/>
        <v>10</v>
      </c>
      <c r="M26" s="5">
        <f t="shared" si="88"/>
        <v>4</v>
      </c>
      <c r="N26" s="5">
        <f t="shared" si="88"/>
        <v>18</v>
      </c>
      <c r="O26" s="5">
        <f t="shared" si="88"/>
        <v>32</v>
      </c>
      <c r="P26" s="17">
        <f t="shared" si="66"/>
        <v>8</v>
      </c>
      <c r="R26" s="2">
        <v>6.0</v>
      </c>
      <c r="S26" s="5">
        <f t="shared" ref="S26:Y26" si="89">abs(S$1*$Z26-$A26*S$12)</f>
        <v>36</v>
      </c>
      <c r="T26" s="5">
        <f t="shared" si="89"/>
        <v>27</v>
      </c>
      <c r="U26" s="5">
        <f t="shared" si="89"/>
        <v>18</v>
      </c>
      <c r="V26" s="5">
        <f t="shared" si="89"/>
        <v>9</v>
      </c>
      <c r="W26" s="5">
        <f t="shared" si="89"/>
        <v>0</v>
      </c>
      <c r="X26" s="5">
        <f t="shared" si="89"/>
        <v>9</v>
      </c>
      <c r="Y26" s="5">
        <f t="shared" si="89"/>
        <v>18</v>
      </c>
      <c r="Z26" s="17">
        <f t="shared" si="68"/>
        <v>3</v>
      </c>
      <c r="AA26" s="17"/>
      <c r="AB26" s="2">
        <v>6.0</v>
      </c>
      <c r="AC26" s="5">
        <f t="shared" ref="AC26:AG26" si="90">abs(AC$1*$Z26-$A26*AC$12)</f>
        <v>24</v>
      </c>
      <c r="AD26" s="5">
        <f t="shared" si="90"/>
        <v>15</v>
      </c>
      <c r="AE26" s="5">
        <f t="shared" si="90"/>
        <v>6</v>
      </c>
      <c r="AF26" s="5">
        <f t="shared" si="90"/>
        <v>3</v>
      </c>
      <c r="AG26" s="5">
        <f t="shared" si="90"/>
        <v>12</v>
      </c>
      <c r="AH26" s="17">
        <f t="shared" si="70"/>
        <v>3</v>
      </c>
    </row>
    <row r="27">
      <c r="A27" s="2">
        <v>7.0</v>
      </c>
      <c r="B27" s="5">
        <f t="shared" ref="B27:G27" si="91">abs(B$1*$H27-$A27*B$17)</f>
        <v>35</v>
      </c>
      <c r="C27" s="5">
        <f t="shared" si="91"/>
        <v>21</v>
      </c>
      <c r="D27" s="5">
        <f t="shared" si="91"/>
        <v>7</v>
      </c>
      <c r="E27" s="5">
        <f t="shared" si="91"/>
        <v>7</v>
      </c>
      <c r="F27" s="5">
        <f t="shared" si="91"/>
        <v>21</v>
      </c>
      <c r="G27" s="5">
        <f t="shared" si="91"/>
        <v>35</v>
      </c>
      <c r="H27" s="17">
        <f t="shared" si="64"/>
        <v>7</v>
      </c>
      <c r="J27" s="2">
        <v>7.0</v>
      </c>
      <c r="K27" s="5">
        <f t="shared" ref="K27:O27" si="92">abs(K$1*$H27-$A27*K$17)</f>
        <v>28</v>
      </c>
      <c r="L27" s="5">
        <f t="shared" si="92"/>
        <v>14</v>
      </c>
      <c r="M27" s="5">
        <f t="shared" si="92"/>
        <v>0</v>
      </c>
      <c r="N27" s="5">
        <f t="shared" si="92"/>
        <v>14</v>
      </c>
      <c r="O27" s="5">
        <f t="shared" si="92"/>
        <v>28</v>
      </c>
      <c r="P27" s="17">
        <f t="shared" si="66"/>
        <v>7</v>
      </c>
      <c r="R27" s="2">
        <v>7.0</v>
      </c>
      <c r="S27" s="5">
        <f t="shared" ref="S27:Y27" si="93">abs(S$1*$Z27-$A27*S$12)</f>
        <v>42</v>
      </c>
      <c r="T27" s="5">
        <f t="shared" si="93"/>
        <v>33</v>
      </c>
      <c r="U27" s="5">
        <f t="shared" si="93"/>
        <v>24</v>
      </c>
      <c r="V27" s="5">
        <f t="shared" si="93"/>
        <v>15</v>
      </c>
      <c r="W27" s="5">
        <f t="shared" si="93"/>
        <v>6</v>
      </c>
      <c r="X27" s="5">
        <f t="shared" si="93"/>
        <v>3</v>
      </c>
      <c r="Y27" s="5">
        <f t="shared" si="93"/>
        <v>12</v>
      </c>
      <c r="Z27" s="17">
        <f t="shared" si="68"/>
        <v>2</v>
      </c>
      <c r="AA27" s="17"/>
      <c r="AB27" s="2">
        <v>7.0</v>
      </c>
      <c r="AC27" s="5">
        <f t="shared" ref="AC27:AG27" si="94">abs(AC$1*$Z27-$A27*AC$12)</f>
        <v>28</v>
      </c>
      <c r="AD27" s="5">
        <f t="shared" si="94"/>
        <v>19</v>
      </c>
      <c r="AE27" s="5">
        <f t="shared" si="94"/>
        <v>10</v>
      </c>
      <c r="AF27" s="5">
        <f t="shared" si="94"/>
        <v>1</v>
      </c>
      <c r="AG27" s="5">
        <f t="shared" si="94"/>
        <v>8</v>
      </c>
      <c r="AH27" s="17">
        <f t="shared" si="70"/>
        <v>2</v>
      </c>
    </row>
    <row r="28">
      <c r="A28" s="2">
        <v>8.0</v>
      </c>
      <c r="B28" s="5">
        <f t="shared" ref="B28:G28" si="95">abs(B$1*$H28-$A28*B$17)</f>
        <v>40</v>
      </c>
      <c r="C28" s="5">
        <f t="shared" si="95"/>
        <v>26</v>
      </c>
      <c r="D28" s="5">
        <f t="shared" si="95"/>
        <v>12</v>
      </c>
      <c r="E28" s="15">
        <f t="shared" si="95"/>
        <v>2</v>
      </c>
      <c r="F28" s="5">
        <f t="shared" si="95"/>
        <v>16</v>
      </c>
      <c r="G28" s="5">
        <f t="shared" si="95"/>
        <v>30</v>
      </c>
      <c r="H28" s="17">
        <f t="shared" si="64"/>
        <v>6</v>
      </c>
      <c r="J28" s="2">
        <v>8.0</v>
      </c>
      <c r="K28" s="5">
        <f t="shared" ref="K28:O28" si="96">abs(K$1*$H28-$A28*K$17)</f>
        <v>32</v>
      </c>
      <c r="L28" s="5">
        <f t="shared" si="96"/>
        <v>18</v>
      </c>
      <c r="M28" s="5">
        <f t="shared" si="96"/>
        <v>4</v>
      </c>
      <c r="N28" s="5">
        <f t="shared" si="96"/>
        <v>10</v>
      </c>
      <c r="O28" s="5">
        <f t="shared" si="96"/>
        <v>24</v>
      </c>
      <c r="P28" s="17">
        <f t="shared" si="66"/>
        <v>6</v>
      </c>
      <c r="R28" s="2">
        <v>8.0</v>
      </c>
      <c r="S28" s="5">
        <f t="shared" ref="S28:Y28" si="97">abs(S$1*$Z28-$A28*S$12)</f>
        <v>48</v>
      </c>
      <c r="T28" s="5">
        <f t="shared" si="97"/>
        <v>39</v>
      </c>
      <c r="U28" s="5">
        <f t="shared" si="97"/>
        <v>30</v>
      </c>
      <c r="V28" s="5">
        <f t="shared" si="97"/>
        <v>21</v>
      </c>
      <c r="W28" s="5">
        <f t="shared" si="97"/>
        <v>12</v>
      </c>
      <c r="X28" s="5">
        <f t="shared" si="97"/>
        <v>3</v>
      </c>
      <c r="Y28" s="28">
        <f t="shared" si="97"/>
        <v>6</v>
      </c>
      <c r="Z28" s="17">
        <f t="shared" si="68"/>
        <v>1</v>
      </c>
      <c r="AA28" s="17"/>
      <c r="AB28" s="2">
        <v>8.0</v>
      </c>
      <c r="AC28" s="5">
        <f t="shared" ref="AC28:AG28" si="98">abs(AC$1*$Z28-$A28*AC$12)</f>
        <v>32</v>
      </c>
      <c r="AD28" s="5">
        <f t="shared" si="98"/>
        <v>23</v>
      </c>
      <c r="AE28" s="5">
        <f t="shared" si="98"/>
        <v>14</v>
      </c>
      <c r="AF28" s="5">
        <f t="shared" si="98"/>
        <v>5</v>
      </c>
      <c r="AG28" s="15">
        <f t="shared" si="98"/>
        <v>4</v>
      </c>
      <c r="AH28" s="17">
        <f t="shared" si="70"/>
        <v>1</v>
      </c>
    </row>
    <row r="29">
      <c r="A29" s="2">
        <v>9.0</v>
      </c>
      <c r="B29" s="5">
        <f t="shared" ref="B29:G29" si="99">abs(B$1*$H29-$A29*B$17)</f>
        <v>45</v>
      </c>
      <c r="C29" s="5">
        <f t="shared" si="99"/>
        <v>31</v>
      </c>
      <c r="D29" s="5">
        <f t="shared" si="99"/>
        <v>17</v>
      </c>
      <c r="E29" s="5">
        <f t="shared" si="99"/>
        <v>3</v>
      </c>
      <c r="F29" s="5">
        <f t="shared" si="99"/>
        <v>11</v>
      </c>
      <c r="G29" s="5">
        <f t="shared" si="99"/>
        <v>25</v>
      </c>
      <c r="H29" s="17">
        <f t="shared" si="64"/>
        <v>5</v>
      </c>
      <c r="J29" s="2">
        <v>9.0</v>
      </c>
      <c r="K29" s="5">
        <f t="shared" ref="K29:O29" si="100">abs(K$1*$H29-$A29*K$17)</f>
        <v>36</v>
      </c>
      <c r="L29" s="5">
        <f t="shared" si="100"/>
        <v>22</v>
      </c>
      <c r="M29" s="5">
        <f t="shared" si="100"/>
        <v>8</v>
      </c>
      <c r="N29" s="5">
        <f t="shared" si="100"/>
        <v>6</v>
      </c>
      <c r="O29" s="5">
        <f t="shared" si="100"/>
        <v>20</v>
      </c>
      <c r="P29" s="17">
        <f t="shared" si="66"/>
        <v>5</v>
      </c>
      <c r="R29" s="2">
        <v>9.0</v>
      </c>
      <c r="S29" s="5">
        <f t="shared" ref="S29:Y29" si="101">abs(S$1*$Z29-$A29*S$12)</f>
        <v>54</v>
      </c>
      <c r="T29" s="5">
        <f t="shared" si="101"/>
        <v>45</v>
      </c>
      <c r="U29" s="5">
        <f t="shared" si="101"/>
        <v>36</v>
      </c>
      <c r="V29" s="5">
        <f t="shared" si="101"/>
        <v>27</v>
      </c>
      <c r="W29" s="5">
        <f t="shared" si="101"/>
        <v>18</v>
      </c>
      <c r="X29" s="5">
        <f t="shared" si="101"/>
        <v>9</v>
      </c>
      <c r="Y29" s="28">
        <f t="shared" si="101"/>
        <v>0</v>
      </c>
      <c r="Z29" s="17">
        <f t="shared" si="68"/>
        <v>0</v>
      </c>
      <c r="AA29" s="17"/>
      <c r="AB29" s="2">
        <v>9.0</v>
      </c>
      <c r="AC29" s="5">
        <f t="shared" ref="AC29:AG29" si="102">abs(AC$1*$Z29-$A29*AC$12)</f>
        <v>36</v>
      </c>
      <c r="AD29" s="5">
        <f t="shared" si="102"/>
        <v>27</v>
      </c>
      <c r="AE29" s="5">
        <f t="shared" si="102"/>
        <v>18</v>
      </c>
      <c r="AF29" s="5">
        <f t="shared" si="102"/>
        <v>9</v>
      </c>
      <c r="AG29" s="5">
        <f t="shared" si="102"/>
        <v>0</v>
      </c>
      <c r="AH29" s="17">
        <f t="shared" si="70"/>
        <v>0</v>
      </c>
    </row>
    <row r="30">
      <c r="A30" s="2">
        <v>10.0</v>
      </c>
      <c r="B30" s="5">
        <f t="shared" ref="B30:G30" si="103">abs(B$1*$H30-$A30*B$17)</f>
        <v>50</v>
      </c>
      <c r="C30" s="5">
        <f t="shared" si="103"/>
        <v>36</v>
      </c>
      <c r="D30" s="5">
        <f t="shared" si="103"/>
        <v>22</v>
      </c>
      <c r="E30" s="5">
        <f t="shared" si="103"/>
        <v>8</v>
      </c>
      <c r="F30" s="5">
        <f t="shared" si="103"/>
        <v>6</v>
      </c>
      <c r="G30" s="28">
        <f t="shared" si="103"/>
        <v>20</v>
      </c>
      <c r="H30" s="17">
        <f t="shared" si="64"/>
        <v>4</v>
      </c>
      <c r="J30" s="2">
        <v>10.0</v>
      </c>
      <c r="K30" s="5">
        <f t="shared" ref="K30:O30" si="104">abs(K$1*$H30-$A30*K$17)</f>
        <v>40</v>
      </c>
      <c r="L30" s="5">
        <f t="shared" si="104"/>
        <v>26</v>
      </c>
      <c r="M30" s="5">
        <f t="shared" si="104"/>
        <v>12</v>
      </c>
      <c r="N30" s="5">
        <f t="shared" si="104"/>
        <v>2</v>
      </c>
      <c r="O30" s="15">
        <f t="shared" si="104"/>
        <v>16</v>
      </c>
      <c r="P30" s="17">
        <f t="shared" si="66"/>
        <v>4</v>
      </c>
      <c r="R30" s="2"/>
      <c r="S30" s="17">
        <f t="shared" ref="S30:Y30" si="105">6-S19</f>
        <v>6</v>
      </c>
      <c r="T30" s="17">
        <f t="shared" si="105"/>
        <v>5</v>
      </c>
      <c r="U30" s="17">
        <f t="shared" si="105"/>
        <v>4</v>
      </c>
      <c r="V30" s="17">
        <f t="shared" si="105"/>
        <v>3</v>
      </c>
      <c r="W30" s="17">
        <f t="shared" si="105"/>
        <v>2</v>
      </c>
      <c r="X30" s="17">
        <f t="shared" si="105"/>
        <v>1</v>
      </c>
      <c r="Y30" s="17">
        <f t="shared" si="105"/>
        <v>0</v>
      </c>
      <c r="Z30" s="17"/>
      <c r="AA30" s="17"/>
      <c r="AB30" s="2"/>
      <c r="AC30" s="17">
        <f t="shared" ref="AC30:AG30" si="106">4-AC19</f>
        <v>4</v>
      </c>
      <c r="AD30" s="17">
        <f t="shared" si="106"/>
        <v>3</v>
      </c>
      <c r="AE30" s="17">
        <f t="shared" si="106"/>
        <v>2</v>
      </c>
      <c r="AF30" s="17">
        <f t="shared" si="106"/>
        <v>1</v>
      </c>
      <c r="AG30" s="17">
        <f t="shared" si="106"/>
        <v>0</v>
      </c>
      <c r="AH30" s="17"/>
    </row>
    <row r="31">
      <c r="A31" s="2">
        <v>11.0</v>
      </c>
      <c r="B31" s="5">
        <f t="shared" ref="B31:G31" si="107">abs(B$1*$H31-$A31*B$17)</f>
        <v>55</v>
      </c>
      <c r="C31" s="5">
        <f t="shared" si="107"/>
        <v>41</v>
      </c>
      <c r="D31" s="5">
        <f t="shared" si="107"/>
        <v>27</v>
      </c>
      <c r="E31" s="5">
        <f t="shared" si="107"/>
        <v>13</v>
      </c>
      <c r="F31" s="28">
        <f t="shared" si="107"/>
        <v>1</v>
      </c>
      <c r="G31" s="28">
        <f t="shared" si="107"/>
        <v>15</v>
      </c>
      <c r="H31" s="17">
        <f t="shared" si="64"/>
        <v>3</v>
      </c>
      <c r="J31" s="2">
        <v>11.0</v>
      </c>
      <c r="K31" s="5">
        <f t="shared" ref="K31:O31" si="108">abs(K$1*$H31-$A31*K$17)</f>
        <v>44</v>
      </c>
      <c r="L31" s="5">
        <f t="shared" si="108"/>
        <v>30</v>
      </c>
      <c r="M31" s="5">
        <f t="shared" si="108"/>
        <v>16</v>
      </c>
      <c r="N31" s="5">
        <f t="shared" si="108"/>
        <v>2</v>
      </c>
      <c r="O31" s="28">
        <f t="shared" si="108"/>
        <v>12</v>
      </c>
      <c r="P31" s="17">
        <f t="shared" si="66"/>
        <v>3</v>
      </c>
      <c r="R31" s="2"/>
      <c r="Z31" s="17"/>
      <c r="AA31" s="17"/>
      <c r="AB31" s="17"/>
      <c r="AC31" s="17"/>
      <c r="AD31" s="17"/>
      <c r="AE31" s="17"/>
      <c r="AF31" s="17"/>
      <c r="AG31" s="17"/>
      <c r="AH31" s="17"/>
    </row>
    <row r="32">
      <c r="A32" s="2">
        <v>12.0</v>
      </c>
      <c r="B32" s="5">
        <f t="shared" ref="B32:G32" si="109">abs(B$1*$H32-$A32*B$17)</f>
        <v>60</v>
      </c>
      <c r="C32" s="5">
        <f t="shared" si="109"/>
        <v>46</v>
      </c>
      <c r="D32" s="5">
        <f t="shared" si="109"/>
        <v>32</v>
      </c>
      <c r="E32" s="5">
        <f t="shared" si="109"/>
        <v>18</v>
      </c>
      <c r="F32" s="28">
        <f t="shared" si="109"/>
        <v>4</v>
      </c>
      <c r="G32" s="28">
        <f t="shared" si="109"/>
        <v>10</v>
      </c>
      <c r="H32" s="17">
        <f t="shared" si="64"/>
        <v>2</v>
      </c>
      <c r="J32" s="2">
        <v>12.0</v>
      </c>
      <c r="K32" s="5">
        <f t="shared" ref="K32:O32" si="110">abs(K$1*$H32-$A32*K$17)</f>
        <v>48</v>
      </c>
      <c r="L32" s="5">
        <f t="shared" si="110"/>
        <v>34</v>
      </c>
      <c r="M32" s="5">
        <f t="shared" si="110"/>
        <v>20</v>
      </c>
      <c r="N32" s="5">
        <f t="shared" si="110"/>
        <v>6</v>
      </c>
      <c r="O32" s="28">
        <f t="shared" si="110"/>
        <v>8</v>
      </c>
      <c r="P32" s="17">
        <f t="shared" si="66"/>
        <v>2</v>
      </c>
      <c r="R32" s="2"/>
      <c r="Z32" s="17"/>
      <c r="AA32" s="17"/>
      <c r="AB32" s="17"/>
      <c r="AC32" s="17"/>
      <c r="AD32" s="17"/>
      <c r="AE32" s="17"/>
      <c r="AF32" s="17"/>
      <c r="AG32" s="17"/>
      <c r="AH32" s="17"/>
    </row>
    <row r="33">
      <c r="A33" s="2">
        <v>13.0</v>
      </c>
      <c r="B33" s="5">
        <f t="shared" ref="B33:G33" si="111">abs(B$1*$H33-$A33*B$17)</f>
        <v>65</v>
      </c>
      <c r="C33" s="5">
        <f t="shared" si="111"/>
        <v>51</v>
      </c>
      <c r="D33" s="5">
        <f t="shared" si="111"/>
        <v>37</v>
      </c>
      <c r="E33" s="28">
        <f t="shared" si="111"/>
        <v>23</v>
      </c>
      <c r="F33" s="28">
        <f t="shared" si="111"/>
        <v>9</v>
      </c>
      <c r="G33" s="28">
        <f t="shared" si="111"/>
        <v>5</v>
      </c>
      <c r="H33" s="17">
        <f t="shared" si="64"/>
        <v>1</v>
      </c>
      <c r="J33" s="2">
        <v>13.0</v>
      </c>
      <c r="K33" s="5">
        <f t="shared" ref="K33:O33" si="112">abs(K$1*$H33-$A33*K$17)</f>
        <v>52</v>
      </c>
      <c r="L33" s="5">
        <f t="shared" si="112"/>
        <v>38</v>
      </c>
      <c r="M33" s="5">
        <f t="shared" si="112"/>
        <v>24</v>
      </c>
      <c r="N33" s="28">
        <f t="shared" si="112"/>
        <v>10</v>
      </c>
      <c r="O33" s="28">
        <f t="shared" si="112"/>
        <v>4</v>
      </c>
      <c r="P33" s="17">
        <f t="shared" si="66"/>
        <v>1</v>
      </c>
      <c r="R33" s="2"/>
      <c r="Z33" s="17"/>
      <c r="AA33" s="17"/>
      <c r="AB33" s="17"/>
      <c r="AC33" s="17"/>
      <c r="AD33" s="17"/>
      <c r="AE33" s="17"/>
      <c r="AF33" s="17"/>
      <c r="AG33" s="17"/>
      <c r="AH33" s="17"/>
    </row>
    <row r="34">
      <c r="A34" s="2">
        <v>14.0</v>
      </c>
      <c r="B34" s="5">
        <f t="shared" ref="B34:G34" si="113">abs(B$1*$H34-$A34*B$17)</f>
        <v>70</v>
      </c>
      <c r="C34" s="5">
        <f t="shared" si="113"/>
        <v>56</v>
      </c>
      <c r="D34" s="5">
        <f t="shared" si="113"/>
        <v>42</v>
      </c>
      <c r="E34" s="28">
        <f t="shared" si="113"/>
        <v>28</v>
      </c>
      <c r="F34" s="28">
        <f t="shared" si="113"/>
        <v>14</v>
      </c>
      <c r="G34" s="28">
        <f t="shared" si="113"/>
        <v>0</v>
      </c>
      <c r="H34" s="17">
        <f t="shared" si="64"/>
        <v>0</v>
      </c>
      <c r="J34" s="2">
        <v>14.0</v>
      </c>
      <c r="K34" s="5">
        <f t="shared" ref="K34:O34" si="114">abs(K$1*$H34-$A34*K$17)</f>
        <v>56</v>
      </c>
      <c r="L34" s="5">
        <f t="shared" si="114"/>
        <v>42</v>
      </c>
      <c r="M34" s="5">
        <f t="shared" si="114"/>
        <v>28</v>
      </c>
      <c r="N34" s="28">
        <f t="shared" si="114"/>
        <v>14</v>
      </c>
      <c r="O34" s="28">
        <f t="shared" si="114"/>
        <v>0</v>
      </c>
      <c r="P34" s="17">
        <f t="shared" si="66"/>
        <v>0</v>
      </c>
      <c r="R34" s="2"/>
      <c r="Z34" s="17"/>
      <c r="AA34" s="17"/>
      <c r="AB34" s="17"/>
      <c r="AC34" s="17"/>
      <c r="AD34" s="17"/>
      <c r="AE34" s="17"/>
      <c r="AF34" s="17"/>
      <c r="AG34" s="17"/>
      <c r="AH34" s="17"/>
    </row>
    <row r="35">
      <c r="A35" s="17"/>
      <c r="B35" s="17">
        <f t="shared" ref="B35:G35" si="115">5-B19</f>
        <v>5</v>
      </c>
      <c r="C35" s="17">
        <f t="shared" si="115"/>
        <v>4</v>
      </c>
      <c r="D35" s="17">
        <f t="shared" si="115"/>
        <v>3</v>
      </c>
      <c r="E35" s="17">
        <f t="shared" si="115"/>
        <v>2</v>
      </c>
      <c r="F35" s="17">
        <f t="shared" si="115"/>
        <v>1</v>
      </c>
      <c r="G35" s="17">
        <f t="shared" si="115"/>
        <v>0</v>
      </c>
      <c r="H35" s="17"/>
      <c r="I35" s="17"/>
      <c r="J35" s="17"/>
      <c r="K35" s="17">
        <f t="shared" ref="K35:O35" si="116">4-K19</f>
        <v>4</v>
      </c>
      <c r="L35" s="17">
        <f t="shared" si="116"/>
        <v>3</v>
      </c>
      <c r="M35" s="17">
        <f t="shared" si="116"/>
        <v>2</v>
      </c>
      <c r="N35" s="17">
        <f t="shared" si="116"/>
        <v>1</v>
      </c>
      <c r="O35" s="17">
        <f t="shared" si="116"/>
        <v>0</v>
      </c>
      <c r="P35" s="17"/>
      <c r="Q35" s="17"/>
      <c r="R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>
      <c r="A36" s="17"/>
      <c r="H36" s="17"/>
    </row>
    <row r="37">
      <c r="A37" s="17"/>
      <c r="B37" s="2">
        <v>0.0</v>
      </c>
      <c r="C37" s="2">
        <v>1.0</v>
      </c>
      <c r="D37" s="2">
        <v>2.0</v>
      </c>
      <c r="E37" s="2">
        <v>3.0</v>
      </c>
      <c r="F37" s="2">
        <v>4.0</v>
      </c>
      <c r="G37" s="2">
        <v>5.0</v>
      </c>
      <c r="H37" s="17"/>
      <c r="I37" s="17"/>
      <c r="J37" s="17"/>
      <c r="K37" s="2">
        <v>0.0</v>
      </c>
      <c r="L37" s="2">
        <v>1.0</v>
      </c>
      <c r="M37" s="2">
        <v>2.0</v>
      </c>
      <c r="N37" s="2">
        <v>3.0</v>
      </c>
      <c r="O37" s="2">
        <v>4.0</v>
      </c>
      <c r="P37" s="17"/>
      <c r="Q37" s="17"/>
      <c r="R37" s="17"/>
      <c r="S37" s="2">
        <v>0.0</v>
      </c>
      <c r="T37" s="2">
        <v>1.0</v>
      </c>
      <c r="U37" s="2">
        <v>2.0</v>
      </c>
      <c r="V37" s="2">
        <v>3.0</v>
      </c>
      <c r="W37" s="2">
        <v>4.0</v>
      </c>
      <c r="X37" s="2">
        <v>5.0</v>
      </c>
      <c r="Y37" s="2">
        <v>6.0</v>
      </c>
      <c r="Z37" s="17"/>
      <c r="AA37" s="17"/>
      <c r="AB37" s="17"/>
      <c r="AC37" s="2">
        <v>0.0</v>
      </c>
      <c r="AD37" s="2">
        <v>1.0</v>
      </c>
      <c r="AE37" s="2">
        <v>2.0</v>
      </c>
      <c r="AF37" s="2">
        <v>3.0</v>
      </c>
      <c r="AG37" s="2">
        <v>4.0</v>
      </c>
      <c r="AH37" s="17"/>
    </row>
    <row r="38">
      <c r="A38" s="2">
        <v>0.0</v>
      </c>
      <c r="B38" s="28">
        <f t="shared" ref="B38:G38" si="117">abs(B$1*$H38-$A38*B$17)</f>
        <v>0</v>
      </c>
      <c r="C38" s="28">
        <f t="shared" si="117"/>
        <v>14</v>
      </c>
      <c r="D38" s="28">
        <f t="shared" si="117"/>
        <v>28</v>
      </c>
      <c r="E38" s="5">
        <f t="shared" si="117"/>
        <v>42</v>
      </c>
      <c r="F38" s="5">
        <f t="shared" si="117"/>
        <v>56</v>
      </c>
      <c r="G38" s="5">
        <f t="shared" si="117"/>
        <v>70</v>
      </c>
      <c r="H38" s="17">
        <f t="shared" ref="H38:H52" si="122">14-A38</f>
        <v>14</v>
      </c>
      <c r="J38" s="2">
        <v>0.0</v>
      </c>
      <c r="K38" s="28">
        <f t="shared" ref="K38:O38" si="118">abs(K$1*$H38-$A38*K$17)</f>
        <v>0</v>
      </c>
      <c r="L38" s="28">
        <f t="shared" si="118"/>
        <v>14</v>
      </c>
      <c r="M38" s="5">
        <f t="shared" si="118"/>
        <v>28</v>
      </c>
      <c r="N38" s="5">
        <f t="shared" si="118"/>
        <v>42</v>
      </c>
      <c r="O38" s="5">
        <f t="shared" si="118"/>
        <v>56</v>
      </c>
      <c r="P38" s="17">
        <f t="shared" ref="P38:P52" si="124">14-J38</f>
        <v>14</v>
      </c>
      <c r="R38" s="2">
        <v>0.0</v>
      </c>
      <c r="S38" s="28">
        <f t="shared" ref="S38:Y38" si="119">abs(S$1*$Z38-$A38*S$12)</f>
        <v>0</v>
      </c>
      <c r="T38" s="5">
        <f t="shared" si="119"/>
        <v>9</v>
      </c>
      <c r="U38" s="5">
        <f t="shared" si="119"/>
        <v>18</v>
      </c>
      <c r="V38" s="5">
        <f t="shared" si="119"/>
        <v>27</v>
      </c>
      <c r="W38" s="5">
        <f t="shared" si="119"/>
        <v>36</v>
      </c>
      <c r="X38" s="5">
        <f t="shared" si="119"/>
        <v>45</v>
      </c>
      <c r="Y38" s="5">
        <f t="shared" si="119"/>
        <v>54</v>
      </c>
      <c r="Z38" s="17">
        <f t="shared" ref="Z38:Z47" si="126">9-R38</f>
        <v>9</v>
      </c>
      <c r="AA38" s="17"/>
      <c r="AB38" s="2">
        <v>0.0</v>
      </c>
      <c r="AC38" s="5">
        <f t="shared" ref="AC38:AG38" si="120">abs(AC$1*$Z38-$A38*AC$12)</f>
        <v>0</v>
      </c>
      <c r="AD38" s="5">
        <f t="shared" si="120"/>
        <v>9</v>
      </c>
      <c r="AE38" s="5">
        <f t="shared" si="120"/>
        <v>18</v>
      </c>
      <c r="AF38" s="5">
        <f t="shared" si="120"/>
        <v>27</v>
      </c>
      <c r="AG38" s="5">
        <f t="shared" si="120"/>
        <v>36</v>
      </c>
      <c r="AH38" s="17">
        <f t="shared" ref="AH38:AH47" si="128">9-AB38</f>
        <v>9</v>
      </c>
    </row>
    <row r="39">
      <c r="A39" s="2">
        <v>1.0</v>
      </c>
      <c r="B39" s="28">
        <f t="shared" ref="B39:G39" si="121">abs(B$1*$H39-$A39*B$17)</f>
        <v>5</v>
      </c>
      <c r="C39" s="28">
        <f t="shared" si="121"/>
        <v>9</v>
      </c>
      <c r="D39" s="28">
        <f t="shared" si="121"/>
        <v>23</v>
      </c>
      <c r="E39" s="5">
        <f t="shared" si="121"/>
        <v>37</v>
      </c>
      <c r="F39" s="5">
        <f t="shared" si="121"/>
        <v>51</v>
      </c>
      <c r="G39" s="5">
        <f t="shared" si="121"/>
        <v>65</v>
      </c>
      <c r="H39" s="17">
        <f t="shared" si="122"/>
        <v>13</v>
      </c>
      <c r="J39" s="2">
        <v>1.0</v>
      </c>
      <c r="K39" s="28">
        <f t="shared" ref="K39:O39" si="123">abs(K$1*$H39-$A39*K$17)</f>
        <v>4</v>
      </c>
      <c r="L39" s="28">
        <f t="shared" si="123"/>
        <v>10</v>
      </c>
      <c r="M39" s="5">
        <f t="shared" si="123"/>
        <v>24</v>
      </c>
      <c r="N39" s="5">
        <f t="shared" si="123"/>
        <v>38</v>
      </c>
      <c r="O39" s="5">
        <f t="shared" si="123"/>
        <v>52</v>
      </c>
      <c r="P39" s="17">
        <f t="shared" si="124"/>
        <v>13</v>
      </c>
      <c r="R39" s="2">
        <v>1.0</v>
      </c>
      <c r="S39" s="28">
        <f t="shared" ref="S39:Y39" si="125">abs(S$1*$Z39-$A39*S$12)</f>
        <v>6</v>
      </c>
      <c r="T39" s="5">
        <f t="shared" si="125"/>
        <v>3</v>
      </c>
      <c r="U39" s="5">
        <f t="shared" si="125"/>
        <v>12</v>
      </c>
      <c r="V39" s="5">
        <f t="shared" si="125"/>
        <v>21</v>
      </c>
      <c r="W39" s="5">
        <f t="shared" si="125"/>
        <v>30</v>
      </c>
      <c r="X39" s="5">
        <f t="shared" si="125"/>
        <v>39</v>
      </c>
      <c r="Y39" s="5">
        <f t="shared" si="125"/>
        <v>48</v>
      </c>
      <c r="Z39" s="17">
        <f t="shared" si="126"/>
        <v>8</v>
      </c>
      <c r="AA39" s="17"/>
      <c r="AB39" s="2">
        <v>1.0</v>
      </c>
      <c r="AC39" s="15">
        <f t="shared" ref="AC39:AG39" si="127">abs(AC$1*$Z39-$A39*AC$12)</f>
        <v>4</v>
      </c>
      <c r="AD39" s="5">
        <f t="shared" si="127"/>
        <v>5</v>
      </c>
      <c r="AE39" s="5">
        <f t="shared" si="127"/>
        <v>14</v>
      </c>
      <c r="AF39" s="5">
        <f t="shared" si="127"/>
        <v>23</v>
      </c>
      <c r="AG39" s="5">
        <f t="shared" si="127"/>
        <v>32</v>
      </c>
      <c r="AH39" s="17">
        <f t="shared" si="128"/>
        <v>8</v>
      </c>
    </row>
    <row r="40">
      <c r="A40" s="2">
        <v>2.0</v>
      </c>
      <c r="B40" s="28">
        <f t="shared" ref="B40:G40" si="129">abs(B$1*$H40-$A40*B$17)</f>
        <v>10</v>
      </c>
      <c r="C40" s="28">
        <f t="shared" si="129"/>
        <v>4</v>
      </c>
      <c r="D40" s="5">
        <f t="shared" si="129"/>
        <v>18</v>
      </c>
      <c r="E40" s="5">
        <f t="shared" si="129"/>
        <v>32</v>
      </c>
      <c r="F40" s="5">
        <f t="shared" si="129"/>
        <v>46</v>
      </c>
      <c r="G40" s="5">
        <f t="shared" si="129"/>
        <v>60</v>
      </c>
      <c r="H40" s="17">
        <f t="shared" si="122"/>
        <v>12</v>
      </c>
      <c r="J40" s="2">
        <v>2.0</v>
      </c>
      <c r="K40" s="28">
        <f t="shared" ref="K40:O40" si="130">abs(K$1*$H40-$A40*K$17)</f>
        <v>8</v>
      </c>
      <c r="L40" s="5">
        <f t="shared" si="130"/>
        <v>6</v>
      </c>
      <c r="M40" s="5">
        <f t="shared" si="130"/>
        <v>20</v>
      </c>
      <c r="N40" s="5">
        <f t="shared" si="130"/>
        <v>34</v>
      </c>
      <c r="O40" s="5">
        <f t="shared" si="130"/>
        <v>48</v>
      </c>
      <c r="P40" s="17">
        <f t="shared" si="124"/>
        <v>12</v>
      </c>
      <c r="R40" s="2">
        <v>2.0</v>
      </c>
      <c r="S40" s="5">
        <f t="shared" ref="S40:Y40" si="131">abs(S$1*$Z40-$A40*S$12)</f>
        <v>12</v>
      </c>
      <c r="T40" s="5">
        <f t="shared" si="131"/>
        <v>3</v>
      </c>
      <c r="U40" s="5">
        <f t="shared" si="131"/>
        <v>6</v>
      </c>
      <c r="V40" s="5">
        <f t="shared" si="131"/>
        <v>15</v>
      </c>
      <c r="W40" s="5">
        <f t="shared" si="131"/>
        <v>24</v>
      </c>
      <c r="X40" s="5">
        <f t="shared" si="131"/>
        <v>33</v>
      </c>
      <c r="Y40" s="5">
        <f t="shared" si="131"/>
        <v>42</v>
      </c>
      <c r="Z40" s="17">
        <f t="shared" si="126"/>
        <v>7</v>
      </c>
      <c r="AA40" s="17"/>
      <c r="AB40" s="2">
        <v>2.0</v>
      </c>
      <c r="AC40" s="5">
        <f t="shared" ref="AC40:AG40" si="132">abs(AC$1*$Z40-$A40*AC$12)</f>
        <v>8</v>
      </c>
      <c r="AD40" s="5">
        <f t="shared" si="132"/>
        <v>1</v>
      </c>
      <c r="AE40" s="5">
        <f t="shared" si="132"/>
        <v>10</v>
      </c>
      <c r="AF40" s="5">
        <f t="shared" si="132"/>
        <v>19</v>
      </c>
      <c r="AG40" s="5">
        <f t="shared" si="132"/>
        <v>28</v>
      </c>
      <c r="AH40" s="17">
        <f t="shared" si="128"/>
        <v>7</v>
      </c>
    </row>
    <row r="41">
      <c r="A41" s="2">
        <v>3.0</v>
      </c>
      <c r="B41" s="28">
        <f t="shared" ref="B41:G41" si="133">abs(B$1*$H41-$A41*B$17)</f>
        <v>15</v>
      </c>
      <c r="C41" s="28">
        <f t="shared" si="133"/>
        <v>1</v>
      </c>
      <c r="D41" s="5">
        <f t="shared" si="133"/>
        <v>13</v>
      </c>
      <c r="E41" s="5">
        <f t="shared" si="133"/>
        <v>27</v>
      </c>
      <c r="F41" s="5">
        <f t="shared" si="133"/>
        <v>41</v>
      </c>
      <c r="G41" s="5">
        <f t="shared" si="133"/>
        <v>55</v>
      </c>
      <c r="H41" s="17">
        <f t="shared" si="122"/>
        <v>11</v>
      </c>
      <c r="J41" s="2">
        <v>3.0</v>
      </c>
      <c r="K41" s="28">
        <f t="shared" ref="K41:O41" si="134">abs(K$1*$H41-$A41*K$17)</f>
        <v>12</v>
      </c>
      <c r="L41" s="5">
        <f t="shared" si="134"/>
        <v>2</v>
      </c>
      <c r="M41" s="5">
        <f t="shared" si="134"/>
        <v>16</v>
      </c>
      <c r="N41" s="5">
        <f t="shared" si="134"/>
        <v>30</v>
      </c>
      <c r="O41" s="5">
        <f t="shared" si="134"/>
        <v>44</v>
      </c>
      <c r="P41" s="17">
        <f t="shared" si="124"/>
        <v>11</v>
      </c>
      <c r="R41" s="2">
        <v>3.0</v>
      </c>
      <c r="S41" s="5">
        <f t="shared" ref="S41:Y41" si="135">abs(S$1*$Z41-$A41*S$12)</f>
        <v>18</v>
      </c>
      <c r="T41" s="5">
        <f t="shared" si="135"/>
        <v>9</v>
      </c>
      <c r="U41" s="5">
        <f t="shared" si="135"/>
        <v>0</v>
      </c>
      <c r="V41" s="5">
        <f t="shared" si="135"/>
        <v>9</v>
      </c>
      <c r="W41" s="5">
        <f t="shared" si="135"/>
        <v>18</v>
      </c>
      <c r="X41" s="5">
        <f t="shared" si="135"/>
        <v>27</v>
      </c>
      <c r="Y41" s="5">
        <f t="shared" si="135"/>
        <v>36</v>
      </c>
      <c r="Z41" s="17">
        <f t="shared" si="126"/>
        <v>6</v>
      </c>
      <c r="AA41" s="17"/>
      <c r="AB41" s="2">
        <v>3.0</v>
      </c>
      <c r="AC41" s="5">
        <f t="shared" ref="AC41:AG41" si="136">abs(AC$1*$Z41-$A41*AC$12)</f>
        <v>12</v>
      </c>
      <c r="AD41" s="5">
        <f t="shared" si="136"/>
        <v>3</v>
      </c>
      <c r="AE41" s="5">
        <f t="shared" si="136"/>
        <v>6</v>
      </c>
      <c r="AF41" s="5">
        <f t="shared" si="136"/>
        <v>15</v>
      </c>
      <c r="AG41" s="5">
        <f t="shared" si="136"/>
        <v>24</v>
      </c>
      <c r="AH41" s="17">
        <f t="shared" si="128"/>
        <v>6</v>
      </c>
    </row>
    <row r="42">
      <c r="A42" s="2">
        <v>4.0</v>
      </c>
      <c r="B42" s="28">
        <f t="shared" ref="B42:G42" si="137">abs(B$1*$H42-$A42*B$17)</f>
        <v>20</v>
      </c>
      <c r="C42" s="5">
        <f t="shared" si="137"/>
        <v>6</v>
      </c>
      <c r="D42" s="5">
        <f t="shared" si="137"/>
        <v>8</v>
      </c>
      <c r="E42" s="5">
        <f t="shared" si="137"/>
        <v>22</v>
      </c>
      <c r="F42" s="5">
        <f t="shared" si="137"/>
        <v>36</v>
      </c>
      <c r="G42" s="5">
        <f t="shared" si="137"/>
        <v>50</v>
      </c>
      <c r="H42" s="17">
        <f t="shared" si="122"/>
        <v>10</v>
      </c>
      <c r="J42" s="2">
        <v>4.0</v>
      </c>
      <c r="K42" s="15">
        <f t="shared" ref="K42:O42" si="138">abs(K$1*$H42-$A42*K$17)</f>
        <v>16</v>
      </c>
      <c r="L42" s="5">
        <f t="shared" si="138"/>
        <v>2</v>
      </c>
      <c r="M42" s="5">
        <f t="shared" si="138"/>
        <v>12</v>
      </c>
      <c r="N42" s="5">
        <f t="shared" si="138"/>
        <v>26</v>
      </c>
      <c r="O42" s="5">
        <f t="shared" si="138"/>
        <v>40</v>
      </c>
      <c r="P42" s="17">
        <f t="shared" si="124"/>
        <v>10</v>
      </c>
      <c r="R42" s="2">
        <v>4.0</v>
      </c>
      <c r="S42" s="5">
        <f t="shared" ref="S42:Y42" si="139">abs(S$1*$Z42-$A42*S$12)</f>
        <v>24</v>
      </c>
      <c r="T42" s="5">
        <f t="shared" si="139"/>
        <v>15</v>
      </c>
      <c r="U42" s="5">
        <f t="shared" si="139"/>
        <v>6</v>
      </c>
      <c r="V42" s="15">
        <f t="shared" si="139"/>
        <v>3</v>
      </c>
      <c r="W42" s="5">
        <f t="shared" si="139"/>
        <v>12</v>
      </c>
      <c r="X42" s="5">
        <f t="shared" si="139"/>
        <v>21</v>
      </c>
      <c r="Y42" s="5">
        <f t="shared" si="139"/>
        <v>30</v>
      </c>
      <c r="Z42" s="17">
        <f t="shared" si="126"/>
        <v>5</v>
      </c>
      <c r="AA42" s="17"/>
      <c r="AB42" s="2">
        <v>4.0</v>
      </c>
      <c r="AC42" s="5">
        <f t="shared" ref="AC42:AG42" si="140">abs(AC$1*$Z42-$A42*AC$12)</f>
        <v>16</v>
      </c>
      <c r="AD42" s="5">
        <f t="shared" si="140"/>
        <v>7</v>
      </c>
      <c r="AE42" s="5">
        <f t="shared" si="140"/>
        <v>2</v>
      </c>
      <c r="AF42" s="5">
        <f t="shared" si="140"/>
        <v>11</v>
      </c>
      <c r="AG42" s="5">
        <f t="shared" si="140"/>
        <v>20</v>
      </c>
      <c r="AH42" s="17">
        <f t="shared" si="128"/>
        <v>5</v>
      </c>
    </row>
    <row r="43">
      <c r="A43" s="2">
        <v>5.0</v>
      </c>
      <c r="B43" s="5">
        <f t="shared" ref="B43:G43" si="141">abs(B$1*$H43-$A43*B$17)</f>
        <v>25</v>
      </c>
      <c r="C43" s="5">
        <f t="shared" si="141"/>
        <v>11</v>
      </c>
      <c r="D43" s="5">
        <f t="shared" si="141"/>
        <v>3</v>
      </c>
      <c r="E43" s="5">
        <f t="shared" si="141"/>
        <v>17</v>
      </c>
      <c r="F43" s="5">
        <f t="shared" si="141"/>
        <v>31</v>
      </c>
      <c r="G43" s="5">
        <f t="shared" si="141"/>
        <v>45</v>
      </c>
      <c r="H43" s="17">
        <f t="shared" si="122"/>
        <v>9</v>
      </c>
      <c r="J43" s="2">
        <v>5.0</v>
      </c>
      <c r="K43" s="5">
        <f t="shared" ref="K43:O43" si="142">abs(K$1*$H43-$A43*K$17)</f>
        <v>20</v>
      </c>
      <c r="L43" s="5">
        <f t="shared" si="142"/>
        <v>6</v>
      </c>
      <c r="M43" s="5">
        <f t="shared" si="142"/>
        <v>8</v>
      </c>
      <c r="N43" s="5">
        <f t="shared" si="142"/>
        <v>22</v>
      </c>
      <c r="O43" s="5">
        <f t="shared" si="142"/>
        <v>36</v>
      </c>
      <c r="P43" s="17">
        <f t="shared" si="124"/>
        <v>9</v>
      </c>
      <c r="R43" s="2">
        <v>5.0</v>
      </c>
      <c r="S43" s="5">
        <f t="shared" ref="S43:Y43" si="143">abs(S$1*$Z43-$A43*S$12)</f>
        <v>30</v>
      </c>
      <c r="T43" s="5">
        <f t="shared" si="143"/>
        <v>21</v>
      </c>
      <c r="U43" s="5">
        <f t="shared" si="143"/>
        <v>12</v>
      </c>
      <c r="V43" s="15">
        <f t="shared" si="143"/>
        <v>3</v>
      </c>
      <c r="W43" s="5">
        <f t="shared" si="143"/>
        <v>6</v>
      </c>
      <c r="X43" s="5">
        <f t="shared" si="143"/>
        <v>15</v>
      </c>
      <c r="Y43" s="5">
        <f t="shared" si="143"/>
        <v>24</v>
      </c>
      <c r="Z43" s="17">
        <f t="shared" si="126"/>
        <v>4</v>
      </c>
      <c r="AA43" s="17"/>
      <c r="AB43" s="2">
        <v>5.0</v>
      </c>
      <c r="AC43" s="5">
        <f t="shared" ref="AC43:AG43" si="144">abs(AC$1*$Z43-$A43*AC$12)</f>
        <v>20</v>
      </c>
      <c r="AD43" s="5">
        <f t="shared" si="144"/>
        <v>11</v>
      </c>
      <c r="AE43" s="5">
        <f t="shared" si="144"/>
        <v>2</v>
      </c>
      <c r="AF43" s="5">
        <f t="shared" si="144"/>
        <v>7</v>
      </c>
      <c r="AG43" s="5">
        <f t="shared" si="144"/>
        <v>16</v>
      </c>
      <c r="AH43" s="17">
        <f t="shared" si="128"/>
        <v>4</v>
      </c>
    </row>
    <row r="44">
      <c r="A44" s="2">
        <v>6.0</v>
      </c>
      <c r="B44" s="5">
        <f t="shared" ref="B44:G44" si="145">abs(B$1*$H44-$A44*B$17)</f>
        <v>30</v>
      </c>
      <c r="C44" s="5">
        <f t="shared" si="145"/>
        <v>16</v>
      </c>
      <c r="D44" s="15">
        <f t="shared" si="145"/>
        <v>2</v>
      </c>
      <c r="E44" s="5">
        <f t="shared" si="145"/>
        <v>12</v>
      </c>
      <c r="F44" s="5">
        <f t="shared" si="145"/>
        <v>26</v>
      </c>
      <c r="G44" s="5">
        <f t="shared" si="145"/>
        <v>40</v>
      </c>
      <c r="H44" s="17">
        <f t="shared" si="122"/>
        <v>8</v>
      </c>
      <c r="J44" s="2">
        <v>6.0</v>
      </c>
      <c r="K44" s="5">
        <f t="shared" ref="K44:O44" si="146">abs(K$1*$H44-$A44*K$17)</f>
        <v>24</v>
      </c>
      <c r="L44" s="5">
        <f t="shared" si="146"/>
        <v>10</v>
      </c>
      <c r="M44" s="5">
        <f t="shared" si="146"/>
        <v>4</v>
      </c>
      <c r="N44" s="5">
        <f t="shared" si="146"/>
        <v>18</v>
      </c>
      <c r="O44" s="5">
        <f t="shared" si="146"/>
        <v>32</v>
      </c>
      <c r="P44" s="17">
        <f t="shared" si="124"/>
        <v>8</v>
      </c>
      <c r="R44" s="2">
        <v>6.0</v>
      </c>
      <c r="S44" s="5">
        <f t="shared" ref="S44:Y44" si="147">abs(S$1*$Z44-$A44*S$12)</f>
        <v>36</v>
      </c>
      <c r="T44" s="5">
        <f t="shared" si="147"/>
        <v>27</v>
      </c>
      <c r="U44" s="5">
        <f t="shared" si="147"/>
        <v>18</v>
      </c>
      <c r="V44" s="5">
        <f t="shared" si="147"/>
        <v>9</v>
      </c>
      <c r="W44" s="5">
        <f t="shared" si="147"/>
        <v>0</v>
      </c>
      <c r="X44" s="5">
        <f t="shared" si="147"/>
        <v>9</v>
      </c>
      <c r="Y44" s="5">
        <f t="shared" si="147"/>
        <v>18</v>
      </c>
      <c r="Z44" s="17">
        <f t="shared" si="126"/>
        <v>3</v>
      </c>
      <c r="AA44" s="17"/>
      <c r="AB44" s="2">
        <v>6.0</v>
      </c>
      <c r="AC44" s="5">
        <f t="shared" ref="AC44:AG44" si="148">abs(AC$1*$Z44-$A44*AC$12)</f>
        <v>24</v>
      </c>
      <c r="AD44" s="5">
        <f t="shared" si="148"/>
        <v>15</v>
      </c>
      <c r="AE44" s="5">
        <f t="shared" si="148"/>
        <v>6</v>
      </c>
      <c r="AF44" s="5">
        <f t="shared" si="148"/>
        <v>3</v>
      </c>
      <c r="AG44" s="5">
        <f t="shared" si="148"/>
        <v>12</v>
      </c>
      <c r="AH44" s="17">
        <f t="shared" si="128"/>
        <v>3</v>
      </c>
    </row>
    <row r="45">
      <c r="A45" s="2">
        <v>7.0</v>
      </c>
      <c r="B45" s="5">
        <f t="shared" ref="B45:G45" si="149">abs(B$1*$H45-$A45*B$17)</f>
        <v>35</v>
      </c>
      <c r="C45" s="5">
        <f t="shared" si="149"/>
        <v>21</v>
      </c>
      <c r="D45" s="5">
        <f t="shared" si="149"/>
        <v>7</v>
      </c>
      <c r="E45" s="5">
        <f t="shared" si="149"/>
        <v>7</v>
      </c>
      <c r="F45" s="5">
        <f t="shared" si="149"/>
        <v>21</v>
      </c>
      <c r="G45" s="5">
        <f t="shared" si="149"/>
        <v>35</v>
      </c>
      <c r="H45" s="17">
        <f t="shared" si="122"/>
        <v>7</v>
      </c>
      <c r="J45" s="2">
        <v>7.0</v>
      </c>
      <c r="K45" s="5">
        <f t="shared" ref="K45:O45" si="150">abs(K$1*$H45-$A45*K$17)</f>
        <v>28</v>
      </c>
      <c r="L45" s="5">
        <f t="shared" si="150"/>
        <v>14</v>
      </c>
      <c r="M45" s="5">
        <f t="shared" si="150"/>
        <v>0</v>
      </c>
      <c r="N45" s="5">
        <f t="shared" si="150"/>
        <v>14</v>
      </c>
      <c r="O45" s="5">
        <f t="shared" si="150"/>
        <v>28</v>
      </c>
      <c r="P45" s="17">
        <f t="shared" si="124"/>
        <v>7</v>
      </c>
      <c r="R45" s="2">
        <v>7.0</v>
      </c>
      <c r="S45" s="5">
        <f t="shared" ref="S45:Y45" si="151">abs(S$1*$Z45-$A45*S$12)</f>
        <v>42</v>
      </c>
      <c r="T45" s="5">
        <f t="shared" si="151"/>
        <v>33</v>
      </c>
      <c r="U45" s="5">
        <f t="shared" si="151"/>
        <v>24</v>
      </c>
      <c r="V45" s="5">
        <f t="shared" si="151"/>
        <v>15</v>
      </c>
      <c r="W45" s="5">
        <f t="shared" si="151"/>
        <v>6</v>
      </c>
      <c r="X45" s="5">
        <f t="shared" si="151"/>
        <v>3</v>
      </c>
      <c r="Y45" s="5">
        <f t="shared" si="151"/>
        <v>12</v>
      </c>
      <c r="Z45" s="17">
        <f t="shared" si="126"/>
        <v>2</v>
      </c>
      <c r="AA45" s="17"/>
      <c r="AB45" s="2">
        <v>7.0</v>
      </c>
      <c r="AC45" s="5">
        <f t="shared" ref="AC45:AG45" si="152">abs(AC$1*$Z45-$A45*AC$12)</f>
        <v>28</v>
      </c>
      <c r="AD45" s="5">
        <f t="shared" si="152"/>
        <v>19</v>
      </c>
      <c r="AE45" s="5">
        <f t="shared" si="152"/>
        <v>10</v>
      </c>
      <c r="AF45" s="5">
        <f t="shared" si="152"/>
        <v>1</v>
      </c>
      <c r="AG45" s="5">
        <f t="shared" si="152"/>
        <v>8</v>
      </c>
      <c r="AH45" s="17">
        <f t="shared" si="128"/>
        <v>2</v>
      </c>
    </row>
    <row r="46">
      <c r="A46" s="2">
        <v>8.0</v>
      </c>
      <c r="B46" s="5">
        <f t="shared" ref="B46:G46" si="153">abs(B$1*$H46-$A46*B$17)</f>
        <v>40</v>
      </c>
      <c r="C46" s="5">
        <f t="shared" si="153"/>
        <v>26</v>
      </c>
      <c r="D46" s="5">
        <f t="shared" si="153"/>
        <v>12</v>
      </c>
      <c r="E46" s="15">
        <f t="shared" si="153"/>
        <v>2</v>
      </c>
      <c r="F46" s="5">
        <f t="shared" si="153"/>
        <v>16</v>
      </c>
      <c r="G46" s="5">
        <f t="shared" si="153"/>
        <v>30</v>
      </c>
      <c r="H46" s="17">
        <f t="shared" si="122"/>
        <v>6</v>
      </c>
      <c r="J46" s="2">
        <v>8.0</v>
      </c>
      <c r="K46" s="5">
        <f t="shared" ref="K46:O46" si="154">abs(K$1*$H46-$A46*K$17)</f>
        <v>32</v>
      </c>
      <c r="L46" s="5">
        <f t="shared" si="154"/>
        <v>18</v>
      </c>
      <c r="M46" s="5">
        <f t="shared" si="154"/>
        <v>4</v>
      </c>
      <c r="N46" s="5">
        <f t="shared" si="154"/>
        <v>10</v>
      </c>
      <c r="O46" s="5">
        <f t="shared" si="154"/>
        <v>24</v>
      </c>
      <c r="P46" s="17">
        <f t="shared" si="124"/>
        <v>6</v>
      </c>
      <c r="R46" s="2">
        <v>8.0</v>
      </c>
      <c r="S46" s="5">
        <f t="shared" ref="S46:Y46" si="155">abs(S$1*$Z46-$A46*S$12)</f>
        <v>48</v>
      </c>
      <c r="T46" s="5">
        <f t="shared" si="155"/>
        <v>39</v>
      </c>
      <c r="U46" s="5">
        <f t="shared" si="155"/>
        <v>30</v>
      </c>
      <c r="V46" s="5">
        <f t="shared" si="155"/>
        <v>21</v>
      </c>
      <c r="W46" s="5">
        <f t="shared" si="155"/>
        <v>12</v>
      </c>
      <c r="X46" s="5">
        <f t="shared" si="155"/>
        <v>3</v>
      </c>
      <c r="Y46" s="28">
        <f t="shared" si="155"/>
        <v>6</v>
      </c>
      <c r="Z46" s="17">
        <f t="shared" si="126"/>
        <v>1</v>
      </c>
      <c r="AA46" s="17"/>
      <c r="AB46" s="2">
        <v>8.0</v>
      </c>
      <c r="AC46" s="5">
        <f t="shared" ref="AC46:AG46" si="156">abs(AC$1*$Z46-$A46*AC$12)</f>
        <v>32</v>
      </c>
      <c r="AD46" s="5">
        <f t="shared" si="156"/>
        <v>23</v>
      </c>
      <c r="AE46" s="5">
        <f t="shared" si="156"/>
        <v>14</v>
      </c>
      <c r="AF46" s="5">
        <f t="shared" si="156"/>
        <v>5</v>
      </c>
      <c r="AG46" s="15">
        <f t="shared" si="156"/>
        <v>4</v>
      </c>
      <c r="AH46" s="17">
        <f t="shared" si="128"/>
        <v>1</v>
      </c>
    </row>
    <row r="47">
      <c r="A47" s="2">
        <v>9.0</v>
      </c>
      <c r="B47" s="5">
        <f t="shared" ref="B47:G47" si="157">abs(B$1*$H47-$A47*B$17)</f>
        <v>45</v>
      </c>
      <c r="C47" s="5">
        <f t="shared" si="157"/>
        <v>31</v>
      </c>
      <c r="D47" s="5">
        <f t="shared" si="157"/>
        <v>17</v>
      </c>
      <c r="E47" s="5">
        <f t="shared" si="157"/>
        <v>3</v>
      </c>
      <c r="F47" s="5">
        <f t="shared" si="157"/>
        <v>11</v>
      </c>
      <c r="G47" s="5">
        <f t="shared" si="157"/>
        <v>25</v>
      </c>
      <c r="H47" s="17">
        <f t="shared" si="122"/>
        <v>5</v>
      </c>
      <c r="J47" s="2">
        <v>9.0</v>
      </c>
      <c r="K47" s="5">
        <f t="shared" ref="K47:O47" si="158">abs(K$1*$H47-$A47*K$17)</f>
        <v>36</v>
      </c>
      <c r="L47" s="5">
        <f t="shared" si="158"/>
        <v>22</v>
      </c>
      <c r="M47" s="5">
        <f t="shared" si="158"/>
        <v>8</v>
      </c>
      <c r="N47" s="5">
        <f t="shared" si="158"/>
        <v>6</v>
      </c>
      <c r="O47" s="5">
        <f t="shared" si="158"/>
        <v>20</v>
      </c>
      <c r="P47" s="17">
        <f t="shared" si="124"/>
        <v>5</v>
      </c>
      <c r="R47" s="2">
        <v>9.0</v>
      </c>
      <c r="S47" s="5">
        <f t="shared" ref="S47:Y47" si="159">abs(S$1*$Z47-$A47*S$12)</f>
        <v>54</v>
      </c>
      <c r="T47" s="5">
        <f t="shared" si="159"/>
        <v>45</v>
      </c>
      <c r="U47" s="5">
        <f t="shared" si="159"/>
        <v>36</v>
      </c>
      <c r="V47" s="5">
        <f t="shared" si="159"/>
        <v>27</v>
      </c>
      <c r="W47" s="5">
        <f t="shared" si="159"/>
        <v>18</v>
      </c>
      <c r="X47" s="5">
        <f t="shared" si="159"/>
        <v>9</v>
      </c>
      <c r="Y47" s="28">
        <f t="shared" si="159"/>
        <v>0</v>
      </c>
      <c r="Z47" s="17">
        <f t="shared" si="126"/>
        <v>0</v>
      </c>
      <c r="AA47" s="17"/>
      <c r="AB47" s="2">
        <v>9.0</v>
      </c>
      <c r="AC47" s="5">
        <f t="shared" ref="AC47:AG47" si="160">abs(AC$1*$Z47-$A47*AC$12)</f>
        <v>36</v>
      </c>
      <c r="AD47" s="5">
        <f t="shared" si="160"/>
        <v>27</v>
      </c>
      <c r="AE47" s="5">
        <f t="shared" si="160"/>
        <v>18</v>
      </c>
      <c r="AF47" s="5">
        <f t="shared" si="160"/>
        <v>9</v>
      </c>
      <c r="AG47" s="5">
        <f t="shared" si="160"/>
        <v>0</v>
      </c>
      <c r="AH47" s="17">
        <f t="shared" si="128"/>
        <v>0</v>
      </c>
    </row>
    <row r="48">
      <c r="A48" s="2">
        <v>10.0</v>
      </c>
      <c r="B48" s="5">
        <f t="shared" ref="B48:G48" si="161">abs(B$1*$H48-$A48*B$17)</f>
        <v>50</v>
      </c>
      <c r="C48" s="5">
        <f t="shared" si="161"/>
        <v>36</v>
      </c>
      <c r="D48" s="5">
        <f t="shared" si="161"/>
        <v>22</v>
      </c>
      <c r="E48" s="5">
        <f t="shared" si="161"/>
        <v>8</v>
      </c>
      <c r="F48" s="5">
        <f t="shared" si="161"/>
        <v>6</v>
      </c>
      <c r="G48" s="28">
        <f t="shared" si="161"/>
        <v>20</v>
      </c>
      <c r="H48" s="17">
        <f t="shared" si="122"/>
        <v>4</v>
      </c>
      <c r="J48" s="2">
        <v>10.0</v>
      </c>
      <c r="K48" s="5">
        <f t="shared" ref="K48:O48" si="162">abs(K$1*$H48-$A48*K$17)</f>
        <v>40</v>
      </c>
      <c r="L48" s="5">
        <f t="shared" si="162"/>
        <v>26</v>
      </c>
      <c r="M48" s="5">
        <f t="shared" si="162"/>
        <v>12</v>
      </c>
      <c r="N48" s="5">
        <f t="shared" si="162"/>
        <v>2</v>
      </c>
      <c r="O48" s="15">
        <f t="shared" si="162"/>
        <v>16</v>
      </c>
      <c r="P48" s="17">
        <f t="shared" si="124"/>
        <v>4</v>
      </c>
      <c r="R48" s="2"/>
      <c r="S48" s="17">
        <f t="shared" ref="S48:Y48" si="163">6-S37</f>
        <v>6</v>
      </c>
      <c r="T48" s="17">
        <f t="shared" si="163"/>
        <v>5</v>
      </c>
      <c r="U48" s="17">
        <f t="shared" si="163"/>
        <v>4</v>
      </c>
      <c r="V48" s="17">
        <f t="shared" si="163"/>
        <v>3</v>
      </c>
      <c r="W48" s="17">
        <f t="shared" si="163"/>
        <v>2</v>
      </c>
      <c r="X48" s="17">
        <f t="shared" si="163"/>
        <v>1</v>
      </c>
      <c r="Y48" s="17">
        <f t="shared" si="163"/>
        <v>0</v>
      </c>
      <c r="Z48" s="17"/>
      <c r="AA48" s="17"/>
      <c r="AB48" s="2"/>
      <c r="AC48" s="17">
        <f t="shared" ref="AC48:AG48" si="164">4-AC37</f>
        <v>4</v>
      </c>
      <c r="AD48" s="17">
        <f t="shared" si="164"/>
        <v>3</v>
      </c>
      <c r="AE48" s="17">
        <f t="shared" si="164"/>
        <v>2</v>
      </c>
      <c r="AF48" s="17">
        <f t="shared" si="164"/>
        <v>1</v>
      </c>
      <c r="AG48" s="17">
        <f t="shared" si="164"/>
        <v>0</v>
      </c>
      <c r="AH48" s="17"/>
    </row>
    <row r="49">
      <c r="A49" s="2">
        <v>11.0</v>
      </c>
      <c r="B49" s="5">
        <f t="shared" ref="B49:G49" si="165">abs(B$1*$H49-$A49*B$17)</f>
        <v>55</v>
      </c>
      <c r="C49" s="5">
        <f t="shared" si="165"/>
        <v>41</v>
      </c>
      <c r="D49" s="5">
        <f t="shared" si="165"/>
        <v>27</v>
      </c>
      <c r="E49" s="5">
        <f t="shared" si="165"/>
        <v>13</v>
      </c>
      <c r="F49" s="28">
        <f t="shared" si="165"/>
        <v>1</v>
      </c>
      <c r="G49" s="28">
        <f t="shared" si="165"/>
        <v>15</v>
      </c>
      <c r="H49" s="17">
        <f t="shared" si="122"/>
        <v>3</v>
      </c>
      <c r="J49" s="2">
        <v>11.0</v>
      </c>
      <c r="K49" s="5">
        <f t="shared" ref="K49:O49" si="166">abs(K$1*$H49-$A49*K$17)</f>
        <v>44</v>
      </c>
      <c r="L49" s="5">
        <f t="shared" si="166"/>
        <v>30</v>
      </c>
      <c r="M49" s="5">
        <f t="shared" si="166"/>
        <v>16</v>
      </c>
      <c r="N49" s="5">
        <f t="shared" si="166"/>
        <v>2</v>
      </c>
      <c r="O49" s="28">
        <f t="shared" si="166"/>
        <v>12</v>
      </c>
      <c r="P49" s="17">
        <f t="shared" si="124"/>
        <v>3</v>
      </c>
      <c r="R49" s="2"/>
      <c r="Z49" s="17"/>
      <c r="AA49" s="17"/>
      <c r="AB49" s="17"/>
      <c r="AC49" s="17"/>
      <c r="AD49" s="17"/>
      <c r="AE49" s="17"/>
      <c r="AF49" s="17"/>
      <c r="AG49" s="17"/>
      <c r="AH49" s="17"/>
    </row>
    <row r="50">
      <c r="A50" s="2">
        <v>12.0</v>
      </c>
      <c r="B50" s="5">
        <f t="shared" ref="B50:G50" si="167">abs(B$1*$H50-$A50*B$17)</f>
        <v>60</v>
      </c>
      <c r="C50" s="5">
        <f t="shared" si="167"/>
        <v>46</v>
      </c>
      <c r="D50" s="5">
        <f t="shared" si="167"/>
        <v>32</v>
      </c>
      <c r="E50" s="5">
        <f t="shared" si="167"/>
        <v>18</v>
      </c>
      <c r="F50" s="28">
        <f t="shared" si="167"/>
        <v>4</v>
      </c>
      <c r="G50" s="28">
        <f t="shared" si="167"/>
        <v>10</v>
      </c>
      <c r="H50" s="17">
        <f t="shared" si="122"/>
        <v>2</v>
      </c>
      <c r="J50" s="2">
        <v>12.0</v>
      </c>
      <c r="K50" s="5">
        <f t="shared" ref="K50:O50" si="168">abs(K$1*$H50-$A50*K$17)</f>
        <v>48</v>
      </c>
      <c r="L50" s="5">
        <f t="shared" si="168"/>
        <v>34</v>
      </c>
      <c r="M50" s="5">
        <f t="shared" si="168"/>
        <v>20</v>
      </c>
      <c r="N50" s="5">
        <f t="shared" si="168"/>
        <v>6</v>
      </c>
      <c r="O50" s="28">
        <f t="shared" si="168"/>
        <v>8</v>
      </c>
      <c r="P50" s="17">
        <f t="shared" si="124"/>
        <v>2</v>
      </c>
      <c r="R50" s="2"/>
      <c r="Z50" s="17"/>
      <c r="AA50" s="17"/>
      <c r="AB50" s="17"/>
      <c r="AC50" s="17"/>
      <c r="AD50" s="17"/>
      <c r="AE50" s="17"/>
      <c r="AF50" s="17"/>
      <c r="AG50" s="17"/>
      <c r="AH50" s="17"/>
    </row>
    <row r="51">
      <c r="A51" s="2">
        <v>13.0</v>
      </c>
      <c r="B51" s="5">
        <f t="shared" ref="B51:G51" si="169">abs(B$1*$H51-$A51*B$17)</f>
        <v>65</v>
      </c>
      <c r="C51" s="5">
        <f t="shared" si="169"/>
        <v>51</v>
      </c>
      <c r="D51" s="5">
        <f t="shared" si="169"/>
        <v>37</v>
      </c>
      <c r="E51" s="28">
        <f t="shared" si="169"/>
        <v>23</v>
      </c>
      <c r="F51" s="28">
        <f t="shared" si="169"/>
        <v>9</v>
      </c>
      <c r="G51" s="28">
        <f t="shared" si="169"/>
        <v>5</v>
      </c>
      <c r="H51" s="17">
        <f t="shared" si="122"/>
        <v>1</v>
      </c>
      <c r="J51" s="2">
        <v>13.0</v>
      </c>
      <c r="K51" s="5">
        <f t="shared" ref="K51:O51" si="170">abs(K$1*$H51-$A51*K$17)</f>
        <v>52</v>
      </c>
      <c r="L51" s="5">
        <f t="shared" si="170"/>
        <v>38</v>
      </c>
      <c r="M51" s="5">
        <f t="shared" si="170"/>
        <v>24</v>
      </c>
      <c r="N51" s="28">
        <f t="shared" si="170"/>
        <v>10</v>
      </c>
      <c r="O51" s="28">
        <f t="shared" si="170"/>
        <v>4</v>
      </c>
      <c r="P51" s="17">
        <f t="shared" si="124"/>
        <v>1</v>
      </c>
      <c r="R51" s="2"/>
      <c r="Z51" s="17"/>
      <c r="AA51" s="17"/>
      <c r="AB51" s="17"/>
      <c r="AC51" s="17"/>
      <c r="AD51" s="17"/>
      <c r="AE51" s="17"/>
      <c r="AF51" s="17"/>
      <c r="AG51" s="17"/>
      <c r="AH51" s="17"/>
    </row>
    <row r="52">
      <c r="A52" s="2">
        <v>14.0</v>
      </c>
      <c r="B52" s="5">
        <f t="shared" ref="B52:G52" si="171">abs(B$1*$H52-$A52*B$17)</f>
        <v>70</v>
      </c>
      <c r="C52" s="5">
        <f t="shared" si="171"/>
        <v>56</v>
      </c>
      <c r="D52" s="5">
        <f t="shared" si="171"/>
        <v>42</v>
      </c>
      <c r="E52" s="28">
        <f t="shared" si="171"/>
        <v>28</v>
      </c>
      <c r="F52" s="28">
        <f t="shared" si="171"/>
        <v>14</v>
      </c>
      <c r="G52" s="28">
        <f t="shared" si="171"/>
        <v>0</v>
      </c>
      <c r="H52" s="17">
        <f t="shared" si="122"/>
        <v>0</v>
      </c>
      <c r="J52" s="2">
        <v>14.0</v>
      </c>
      <c r="K52" s="5">
        <f t="shared" ref="K52:O52" si="172">abs(K$1*$H52-$A52*K$17)</f>
        <v>56</v>
      </c>
      <c r="L52" s="5">
        <f t="shared" si="172"/>
        <v>42</v>
      </c>
      <c r="M52" s="5">
        <f t="shared" si="172"/>
        <v>28</v>
      </c>
      <c r="N52" s="28">
        <f t="shared" si="172"/>
        <v>14</v>
      </c>
      <c r="O52" s="28">
        <f t="shared" si="172"/>
        <v>0</v>
      </c>
      <c r="P52" s="17">
        <f t="shared" si="124"/>
        <v>0</v>
      </c>
      <c r="R52" s="2"/>
      <c r="Z52" s="17"/>
      <c r="AA52" s="17"/>
      <c r="AB52" s="17"/>
      <c r="AC52" s="17"/>
      <c r="AD52" s="17"/>
      <c r="AE52" s="17"/>
      <c r="AF52" s="17"/>
      <c r="AG52" s="17"/>
      <c r="AH52" s="17"/>
    </row>
    <row r="53">
      <c r="A53" s="17"/>
      <c r="B53" s="17">
        <f t="shared" ref="B53:G53" si="173">5-B37</f>
        <v>5</v>
      </c>
      <c r="C53" s="17">
        <f t="shared" si="173"/>
        <v>4</v>
      </c>
      <c r="D53" s="17">
        <f t="shared" si="173"/>
        <v>3</v>
      </c>
      <c r="E53" s="17">
        <f t="shared" si="173"/>
        <v>2</v>
      </c>
      <c r="F53" s="17">
        <f t="shared" si="173"/>
        <v>1</v>
      </c>
      <c r="G53" s="17">
        <f t="shared" si="173"/>
        <v>0</v>
      </c>
      <c r="H53" s="17"/>
      <c r="I53" s="17"/>
      <c r="J53" s="17"/>
      <c r="K53" s="17">
        <f t="shared" ref="K53:O53" si="174">4-K37</f>
        <v>4</v>
      </c>
      <c r="L53" s="17">
        <f t="shared" si="174"/>
        <v>3</v>
      </c>
      <c r="M53" s="17">
        <f t="shared" si="174"/>
        <v>2</v>
      </c>
      <c r="N53" s="17">
        <f t="shared" si="174"/>
        <v>1</v>
      </c>
      <c r="O53" s="17">
        <f t="shared" si="174"/>
        <v>0</v>
      </c>
      <c r="P53" s="17"/>
      <c r="Q53" s="17"/>
      <c r="R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>
      <c r="A54" s="17"/>
      <c r="H54" s="17"/>
    </row>
    <row r="55">
      <c r="A55" s="17"/>
      <c r="B55" s="2">
        <v>0.0</v>
      </c>
      <c r="C55" s="2">
        <v>1.0</v>
      </c>
      <c r="D55" s="2">
        <v>2.0</v>
      </c>
      <c r="E55" s="2">
        <v>3.0</v>
      </c>
      <c r="F55" s="2">
        <v>4.0</v>
      </c>
      <c r="G55" s="2">
        <v>5.0</v>
      </c>
      <c r="H55" s="17"/>
      <c r="I55" s="17"/>
      <c r="J55" s="17"/>
      <c r="K55" s="2">
        <v>0.0</v>
      </c>
      <c r="L55" s="2">
        <v>1.0</v>
      </c>
      <c r="M55" s="2">
        <v>2.0</v>
      </c>
      <c r="N55" s="2">
        <v>3.0</v>
      </c>
      <c r="O55" s="2">
        <v>4.0</v>
      </c>
      <c r="P55" s="17"/>
      <c r="Q55" s="17"/>
      <c r="R55" s="17"/>
      <c r="S55" s="2">
        <v>0.0</v>
      </c>
      <c r="T55" s="2">
        <v>1.0</v>
      </c>
      <c r="U55" s="2">
        <v>2.0</v>
      </c>
      <c r="V55" s="2">
        <v>3.0</v>
      </c>
      <c r="W55" s="2">
        <v>4.0</v>
      </c>
      <c r="X55" s="2">
        <v>5.0</v>
      </c>
      <c r="Y55" s="2">
        <v>6.0</v>
      </c>
      <c r="Z55" s="17"/>
      <c r="AA55" s="17"/>
      <c r="AB55" s="17"/>
      <c r="AC55" s="2">
        <v>0.0</v>
      </c>
      <c r="AD55" s="2">
        <v>1.0</v>
      </c>
      <c r="AE55" s="2">
        <v>2.0</v>
      </c>
      <c r="AF55" s="2">
        <v>3.0</v>
      </c>
      <c r="AG55" s="2">
        <v>4.0</v>
      </c>
      <c r="AH55" s="17"/>
    </row>
    <row r="56">
      <c r="A56" s="2">
        <v>0.0</v>
      </c>
      <c r="B56" s="28">
        <f t="shared" ref="B56:G56" si="175">MIN(B$1*$H56,$A56*B$17)</f>
        <v>0</v>
      </c>
      <c r="C56" s="28">
        <f t="shared" si="175"/>
        <v>0</v>
      </c>
      <c r="D56" s="28">
        <f t="shared" si="175"/>
        <v>0</v>
      </c>
      <c r="E56" s="17">
        <f t="shared" si="175"/>
        <v>0</v>
      </c>
      <c r="F56" s="17">
        <f t="shared" si="175"/>
        <v>0</v>
      </c>
      <c r="G56" s="17">
        <f t="shared" si="175"/>
        <v>0</v>
      </c>
      <c r="H56" s="17">
        <f t="shared" ref="H56:H70" si="180">14-A56</f>
        <v>14</v>
      </c>
      <c r="J56" s="2">
        <v>0.0</v>
      </c>
      <c r="K56" s="28">
        <f t="shared" ref="K56:O56" si="176">MIN(K$1*$H56,$A56*K$17)</f>
        <v>0</v>
      </c>
      <c r="L56" s="28">
        <f t="shared" si="176"/>
        <v>0</v>
      </c>
      <c r="M56" s="17">
        <f t="shared" si="176"/>
        <v>0</v>
      </c>
      <c r="N56" s="17">
        <f t="shared" si="176"/>
        <v>0</v>
      </c>
      <c r="O56" s="17">
        <f t="shared" si="176"/>
        <v>0</v>
      </c>
      <c r="P56" s="17">
        <f t="shared" ref="P56:P70" si="182">14-J56</f>
        <v>14</v>
      </c>
      <c r="R56" s="2">
        <v>0.0</v>
      </c>
      <c r="S56" s="28">
        <f t="shared" ref="S56:Y56" si="177">MIN(S$1*$Z56,$A56*S$12)</f>
        <v>0</v>
      </c>
      <c r="T56" s="17">
        <f t="shared" si="177"/>
        <v>0</v>
      </c>
      <c r="U56" s="17">
        <f t="shared" si="177"/>
        <v>0</v>
      </c>
      <c r="V56" s="17">
        <f t="shared" si="177"/>
        <v>0</v>
      </c>
      <c r="W56" s="17">
        <f t="shared" si="177"/>
        <v>0</v>
      </c>
      <c r="X56" s="17">
        <f t="shared" si="177"/>
        <v>0</v>
      </c>
      <c r="Y56" s="17">
        <f t="shared" si="177"/>
        <v>0</v>
      </c>
      <c r="Z56" s="17">
        <f t="shared" ref="Z56:Z65" si="184">9-R56</f>
        <v>9</v>
      </c>
      <c r="AA56" s="17"/>
      <c r="AB56" s="2">
        <v>0.0</v>
      </c>
      <c r="AC56" s="37">
        <f t="shared" ref="AC56:AG56" si="178">MIN(AC$1*$Z56,$A56*AC$12)</f>
        <v>0</v>
      </c>
      <c r="AD56" s="17">
        <f t="shared" si="178"/>
        <v>0</v>
      </c>
      <c r="AE56" s="17">
        <f t="shared" si="178"/>
        <v>0</v>
      </c>
      <c r="AF56" s="17">
        <f t="shared" si="178"/>
        <v>0</v>
      </c>
      <c r="AG56" s="17">
        <f t="shared" si="178"/>
        <v>0</v>
      </c>
      <c r="AH56" s="17">
        <f t="shared" ref="AH56:AH65" si="186">9-AB56</f>
        <v>9</v>
      </c>
    </row>
    <row r="57">
      <c r="A57" s="2">
        <v>1.0</v>
      </c>
      <c r="B57" s="28">
        <f t="shared" ref="B57:G57" si="179">MIN(B$1*$H57,$A57*B$17)</f>
        <v>0</v>
      </c>
      <c r="C57" s="28">
        <f t="shared" si="179"/>
        <v>4</v>
      </c>
      <c r="D57" s="28">
        <f t="shared" si="179"/>
        <v>3</v>
      </c>
      <c r="E57" s="17">
        <f t="shared" si="179"/>
        <v>2</v>
      </c>
      <c r="F57" s="17">
        <f t="shared" si="179"/>
        <v>1</v>
      </c>
      <c r="G57" s="17">
        <f t="shared" si="179"/>
        <v>0</v>
      </c>
      <c r="H57" s="17">
        <f t="shared" si="180"/>
        <v>13</v>
      </c>
      <c r="J57" s="2">
        <v>1.0</v>
      </c>
      <c r="K57" s="28">
        <f t="shared" ref="K57:O57" si="181">MIN(K$1*$H57,$A57*K$17)</f>
        <v>0</v>
      </c>
      <c r="L57" s="28">
        <f t="shared" si="181"/>
        <v>3</v>
      </c>
      <c r="M57" s="17">
        <f t="shared" si="181"/>
        <v>2</v>
      </c>
      <c r="N57" s="17">
        <f t="shared" si="181"/>
        <v>1</v>
      </c>
      <c r="O57" s="17">
        <f t="shared" si="181"/>
        <v>0</v>
      </c>
      <c r="P57" s="17">
        <f t="shared" si="182"/>
        <v>13</v>
      </c>
      <c r="R57" s="2">
        <v>1.0</v>
      </c>
      <c r="S57" s="28">
        <f t="shared" ref="S57:Y57" si="183">MIN(S$1*$Z57,$A57*S$12)</f>
        <v>0</v>
      </c>
      <c r="T57" s="30">
        <f t="shared" si="183"/>
        <v>5</v>
      </c>
      <c r="U57" s="17">
        <f t="shared" si="183"/>
        <v>4</v>
      </c>
      <c r="V57" s="17">
        <f t="shared" si="183"/>
        <v>3</v>
      </c>
      <c r="W57" s="17">
        <f t="shared" si="183"/>
        <v>2</v>
      </c>
      <c r="X57" s="17">
        <f t="shared" si="183"/>
        <v>1</v>
      </c>
      <c r="Y57" s="17">
        <f t="shared" si="183"/>
        <v>0</v>
      </c>
      <c r="Z57" s="17">
        <f t="shared" si="184"/>
        <v>8</v>
      </c>
      <c r="AA57" s="17"/>
      <c r="AB57" s="2">
        <v>1.0</v>
      </c>
      <c r="AC57" s="36">
        <f t="shared" ref="AC57:AG57" si="185">MIN(AC$1*$Z57,$A57*AC$12)</f>
        <v>0</v>
      </c>
      <c r="AD57" s="17">
        <f t="shared" si="185"/>
        <v>3</v>
      </c>
      <c r="AE57" s="17">
        <f t="shared" si="185"/>
        <v>2</v>
      </c>
      <c r="AF57" s="17">
        <f t="shared" si="185"/>
        <v>1</v>
      </c>
      <c r="AG57" s="17">
        <f t="shared" si="185"/>
        <v>0</v>
      </c>
      <c r="AH57" s="17">
        <f t="shared" si="186"/>
        <v>8</v>
      </c>
    </row>
    <row r="58">
      <c r="A58" s="2">
        <v>2.0</v>
      </c>
      <c r="B58" s="28">
        <f t="shared" ref="B58:G58" si="187">MIN(B$1*$H58,$A58*B$17)</f>
        <v>0</v>
      </c>
      <c r="C58" s="28">
        <f t="shared" si="187"/>
        <v>8</v>
      </c>
      <c r="D58" s="17">
        <f t="shared" si="187"/>
        <v>6</v>
      </c>
      <c r="E58" s="17">
        <f t="shared" si="187"/>
        <v>4</v>
      </c>
      <c r="F58" s="17">
        <f t="shared" si="187"/>
        <v>2</v>
      </c>
      <c r="G58" s="17">
        <f t="shared" si="187"/>
        <v>0</v>
      </c>
      <c r="H58" s="17">
        <f t="shared" si="180"/>
        <v>12</v>
      </c>
      <c r="J58" s="2">
        <v>2.0</v>
      </c>
      <c r="K58" s="28">
        <f t="shared" ref="K58:O58" si="188">MIN(K$1*$H58,$A58*K$17)</f>
        <v>0</v>
      </c>
      <c r="L58" s="17">
        <f t="shared" si="188"/>
        <v>6</v>
      </c>
      <c r="M58" s="17">
        <f t="shared" si="188"/>
        <v>4</v>
      </c>
      <c r="N58" s="17">
        <f t="shared" si="188"/>
        <v>2</v>
      </c>
      <c r="O58" s="17">
        <f t="shared" si="188"/>
        <v>0</v>
      </c>
      <c r="P58" s="17">
        <f t="shared" si="182"/>
        <v>12</v>
      </c>
      <c r="R58" s="2">
        <v>2.0</v>
      </c>
      <c r="S58" s="30">
        <f t="shared" ref="S58:Y58" si="189">MIN(S$1*$Z58,$A58*S$12)</f>
        <v>0</v>
      </c>
      <c r="T58" s="30">
        <f t="shared" si="189"/>
        <v>7</v>
      </c>
      <c r="U58" s="30">
        <f t="shared" si="189"/>
        <v>8</v>
      </c>
      <c r="V58" s="17">
        <f t="shared" si="189"/>
        <v>6</v>
      </c>
      <c r="W58" s="17">
        <f t="shared" si="189"/>
        <v>4</v>
      </c>
      <c r="X58" s="17">
        <f t="shared" si="189"/>
        <v>2</v>
      </c>
      <c r="Y58" s="17">
        <f t="shared" si="189"/>
        <v>0</v>
      </c>
      <c r="Z58" s="17">
        <f t="shared" si="184"/>
        <v>7</v>
      </c>
      <c r="AA58" s="17"/>
      <c r="AB58" s="2">
        <v>2.0</v>
      </c>
      <c r="AC58" s="32">
        <f t="shared" ref="AC58:AG58" si="190">MIN(AC$1*$Z58,$A58*AC$12)</f>
        <v>0</v>
      </c>
      <c r="AD58" s="17">
        <f t="shared" si="190"/>
        <v>6</v>
      </c>
      <c r="AE58" s="17">
        <f t="shared" si="190"/>
        <v>4</v>
      </c>
      <c r="AF58" s="17">
        <f t="shared" si="190"/>
        <v>2</v>
      </c>
      <c r="AG58" s="17">
        <f t="shared" si="190"/>
        <v>0</v>
      </c>
      <c r="AH58" s="17">
        <f t="shared" si="186"/>
        <v>7</v>
      </c>
    </row>
    <row r="59">
      <c r="A59" s="2">
        <v>3.0</v>
      </c>
      <c r="B59" s="28">
        <f t="shared" ref="B59:G59" si="191">MIN(B$1*$H59,$A59*B$17)</f>
        <v>0</v>
      </c>
      <c r="C59" s="28">
        <f t="shared" si="191"/>
        <v>11</v>
      </c>
      <c r="D59" s="17">
        <f t="shared" si="191"/>
        <v>9</v>
      </c>
      <c r="E59" s="17">
        <f t="shared" si="191"/>
        <v>6</v>
      </c>
      <c r="F59" s="17">
        <f t="shared" si="191"/>
        <v>3</v>
      </c>
      <c r="G59" s="17">
        <f t="shared" si="191"/>
        <v>0</v>
      </c>
      <c r="H59" s="17">
        <f t="shared" si="180"/>
        <v>11</v>
      </c>
      <c r="J59" s="2">
        <v>3.0</v>
      </c>
      <c r="K59" s="28">
        <f t="shared" ref="K59:O59" si="192">MIN(K$1*$H59,$A59*K$17)</f>
        <v>0</v>
      </c>
      <c r="L59" s="17">
        <f t="shared" si="192"/>
        <v>9</v>
      </c>
      <c r="M59" s="17">
        <f t="shared" si="192"/>
        <v>6</v>
      </c>
      <c r="N59" s="17">
        <f t="shared" si="192"/>
        <v>3</v>
      </c>
      <c r="O59" s="17">
        <f t="shared" si="192"/>
        <v>0</v>
      </c>
      <c r="P59" s="17">
        <f t="shared" si="182"/>
        <v>11</v>
      </c>
      <c r="R59" s="2">
        <v>3.0</v>
      </c>
      <c r="S59" s="32">
        <f t="shared" ref="S59:Y59" si="193">MIN(S$1*$Z59,$A59*S$12)</f>
        <v>0</v>
      </c>
      <c r="T59" s="30">
        <f t="shared" si="193"/>
        <v>6</v>
      </c>
      <c r="U59" s="30">
        <f t="shared" si="193"/>
        <v>12</v>
      </c>
      <c r="V59" s="17">
        <f t="shared" si="193"/>
        <v>9</v>
      </c>
      <c r="W59" s="17">
        <f t="shared" si="193"/>
        <v>6</v>
      </c>
      <c r="X59" s="17">
        <f t="shared" si="193"/>
        <v>3</v>
      </c>
      <c r="Y59" s="17">
        <f t="shared" si="193"/>
        <v>0</v>
      </c>
      <c r="Z59" s="17">
        <f t="shared" si="184"/>
        <v>6</v>
      </c>
      <c r="AA59" s="17"/>
      <c r="AB59" s="2">
        <v>3.0</v>
      </c>
      <c r="AC59" s="32">
        <f t="shared" ref="AC59:AG59" si="194">MIN(AC$1*$Z59,$A59*AC$12)</f>
        <v>0</v>
      </c>
      <c r="AD59" s="5">
        <f t="shared" si="194"/>
        <v>6</v>
      </c>
      <c r="AE59" s="17">
        <f t="shared" si="194"/>
        <v>6</v>
      </c>
      <c r="AF59" s="17">
        <f t="shared" si="194"/>
        <v>3</v>
      </c>
      <c r="AG59" s="17">
        <f t="shared" si="194"/>
        <v>0</v>
      </c>
      <c r="AH59" s="17">
        <f t="shared" si="186"/>
        <v>6</v>
      </c>
    </row>
    <row r="60">
      <c r="A60" s="2">
        <v>4.0</v>
      </c>
      <c r="B60" s="28">
        <f t="shared" ref="B60:G60" si="195">MIN(B$1*$H60,$A60*B$17)</f>
        <v>0</v>
      </c>
      <c r="C60" s="17">
        <f t="shared" si="195"/>
        <v>10</v>
      </c>
      <c r="D60" s="17">
        <f t="shared" si="195"/>
        <v>12</v>
      </c>
      <c r="E60" s="17">
        <f t="shared" si="195"/>
        <v>8</v>
      </c>
      <c r="F60" s="17">
        <f t="shared" si="195"/>
        <v>4</v>
      </c>
      <c r="G60" s="17">
        <f t="shared" si="195"/>
        <v>0</v>
      </c>
      <c r="H60" s="17">
        <f t="shared" si="180"/>
        <v>10</v>
      </c>
      <c r="J60" s="2">
        <v>4.0</v>
      </c>
      <c r="K60" s="36">
        <f t="shared" ref="K60:O60" si="196">MIN(K$1*$H60,$A60*K$17)</f>
        <v>0</v>
      </c>
      <c r="L60" s="17">
        <f t="shared" si="196"/>
        <v>10</v>
      </c>
      <c r="M60" s="17">
        <f t="shared" si="196"/>
        <v>8</v>
      </c>
      <c r="N60" s="17">
        <f t="shared" si="196"/>
        <v>4</v>
      </c>
      <c r="O60" s="17">
        <f t="shared" si="196"/>
        <v>0</v>
      </c>
      <c r="P60" s="17">
        <f t="shared" si="182"/>
        <v>10</v>
      </c>
      <c r="R60" s="2">
        <v>4.0</v>
      </c>
      <c r="S60" s="32">
        <f t="shared" ref="S60:Y60" si="197">MIN(S$1*$Z60,$A60*S$12)</f>
        <v>0</v>
      </c>
      <c r="T60" s="32">
        <f t="shared" si="197"/>
        <v>5</v>
      </c>
      <c r="U60" s="30">
        <f t="shared" si="197"/>
        <v>10</v>
      </c>
      <c r="V60" s="36">
        <f t="shared" si="197"/>
        <v>12</v>
      </c>
      <c r="W60" s="17">
        <f t="shared" si="197"/>
        <v>8</v>
      </c>
      <c r="X60" s="17">
        <f t="shared" si="197"/>
        <v>4</v>
      </c>
      <c r="Y60" s="17">
        <f t="shared" si="197"/>
        <v>0</v>
      </c>
      <c r="Z60" s="17">
        <f t="shared" si="184"/>
        <v>5</v>
      </c>
      <c r="AA60" s="17"/>
      <c r="AB60" s="2">
        <v>4.0</v>
      </c>
      <c r="AC60" s="32">
        <f t="shared" ref="AC60:AG60" si="198">MIN(AC$1*$Z60,$A60*AC$12)</f>
        <v>0</v>
      </c>
      <c r="AD60" s="5">
        <f t="shared" si="198"/>
        <v>5</v>
      </c>
      <c r="AE60" s="5">
        <f t="shared" si="198"/>
        <v>8</v>
      </c>
      <c r="AF60" s="17">
        <f t="shared" si="198"/>
        <v>4</v>
      </c>
      <c r="AG60" s="17">
        <f t="shared" si="198"/>
        <v>0</v>
      </c>
      <c r="AH60" s="17">
        <f t="shared" si="186"/>
        <v>5</v>
      </c>
    </row>
    <row r="61">
      <c r="A61" s="2">
        <v>5.0</v>
      </c>
      <c r="B61" s="32">
        <f t="shared" ref="B61:G61" si="199">MIN(B$1*$H61,$A61*B$17)</f>
        <v>0</v>
      </c>
      <c r="C61" s="32">
        <f t="shared" si="199"/>
        <v>9</v>
      </c>
      <c r="D61" s="17">
        <f t="shared" si="199"/>
        <v>15</v>
      </c>
      <c r="E61" s="17">
        <f t="shared" si="199"/>
        <v>10</v>
      </c>
      <c r="F61" s="17">
        <f t="shared" si="199"/>
        <v>5</v>
      </c>
      <c r="G61" s="17">
        <f t="shared" si="199"/>
        <v>0</v>
      </c>
      <c r="H61" s="17">
        <f t="shared" si="180"/>
        <v>9</v>
      </c>
      <c r="J61" s="2">
        <v>5.0</v>
      </c>
      <c r="K61" s="32">
        <f t="shared" ref="K61:O61" si="200">MIN(K$1*$H61,$A61*K$17)</f>
        <v>0</v>
      </c>
      <c r="L61" s="17">
        <f t="shared" si="200"/>
        <v>9</v>
      </c>
      <c r="M61" s="17">
        <f t="shared" si="200"/>
        <v>10</v>
      </c>
      <c r="N61" s="17">
        <f t="shared" si="200"/>
        <v>5</v>
      </c>
      <c r="O61" s="17">
        <f t="shared" si="200"/>
        <v>0</v>
      </c>
      <c r="P61" s="17">
        <f t="shared" si="182"/>
        <v>9</v>
      </c>
      <c r="R61" s="2">
        <v>5.0</v>
      </c>
      <c r="S61" s="32">
        <f t="shared" ref="S61:Y61" si="201">MIN(S$1*$Z61,$A61*S$12)</f>
        <v>0</v>
      </c>
      <c r="T61" s="32">
        <f t="shared" si="201"/>
        <v>4</v>
      </c>
      <c r="U61" s="32">
        <f t="shared" si="201"/>
        <v>8</v>
      </c>
      <c r="V61" s="36">
        <f t="shared" si="201"/>
        <v>12</v>
      </c>
      <c r="W61" s="30">
        <f t="shared" si="201"/>
        <v>10</v>
      </c>
      <c r="X61" s="17">
        <f t="shared" si="201"/>
        <v>5</v>
      </c>
      <c r="Y61" s="17">
        <f t="shared" si="201"/>
        <v>0</v>
      </c>
      <c r="Z61" s="17">
        <f t="shared" si="184"/>
        <v>4</v>
      </c>
      <c r="AA61" s="17"/>
      <c r="AB61" s="2">
        <v>5.0</v>
      </c>
      <c r="AC61" s="32">
        <f t="shared" ref="AC61:AG61" si="202">MIN(AC$1*$Z61,$A61*AC$12)</f>
        <v>0</v>
      </c>
      <c r="AD61" s="32">
        <f t="shared" si="202"/>
        <v>4</v>
      </c>
      <c r="AE61" s="5">
        <f t="shared" si="202"/>
        <v>8</v>
      </c>
      <c r="AF61" s="5">
        <f t="shared" si="202"/>
        <v>5</v>
      </c>
      <c r="AG61" s="17">
        <f t="shared" si="202"/>
        <v>0</v>
      </c>
      <c r="AH61" s="17">
        <f t="shared" si="186"/>
        <v>4</v>
      </c>
    </row>
    <row r="62">
      <c r="A62" s="2">
        <v>6.0</v>
      </c>
      <c r="B62" s="32">
        <f t="shared" ref="B62:G62" si="203">MIN(B$1*$H62,$A62*B$17)</f>
        <v>0</v>
      </c>
      <c r="C62" s="32">
        <f t="shared" si="203"/>
        <v>8</v>
      </c>
      <c r="D62" s="15">
        <f t="shared" si="203"/>
        <v>16</v>
      </c>
      <c r="E62" s="17">
        <f t="shared" si="203"/>
        <v>12</v>
      </c>
      <c r="F62" s="17">
        <f t="shared" si="203"/>
        <v>6</v>
      </c>
      <c r="G62" s="17">
        <f t="shared" si="203"/>
        <v>0</v>
      </c>
      <c r="H62" s="17">
        <f t="shared" si="180"/>
        <v>8</v>
      </c>
      <c r="J62" s="2">
        <v>6.0</v>
      </c>
      <c r="K62" s="32">
        <f t="shared" ref="K62:O62" si="204">MIN(K$1*$H62,$A62*K$17)</f>
        <v>0</v>
      </c>
      <c r="L62" s="32">
        <f t="shared" si="204"/>
        <v>8</v>
      </c>
      <c r="M62" s="17">
        <f t="shared" si="204"/>
        <v>12</v>
      </c>
      <c r="N62" s="17">
        <f t="shared" si="204"/>
        <v>6</v>
      </c>
      <c r="O62" s="17">
        <f t="shared" si="204"/>
        <v>0</v>
      </c>
      <c r="P62" s="17">
        <f t="shared" si="182"/>
        <v>8</v>
      </c>
      <c r="R62" s="2">
        <v>6.0</v>
      </c>
      <c r="S62" s="32">
        <f t="shared" ref="S62:Y62" si="205">MIN(S$1*$Z62,$A62*S$12)</f>
        <v>0</v>
      </c>
      <c r="T62" s="32">
        <f t="shared" si="205"/>
        <v>3</v>
      </c>
      <c r="U62" s="32">
        <f t="shared" si="205"/>
        <v>6</v>
      </c>
      <c r="V62" s="32">
        <f t="shared" si="205"/>
        <v>9</v>
      </c>
      <c r="W62" s="30">
        <f t="shared" si="205"/>
        <v>12</v>
      </c>
      <c r="X62" s="30">
        <f t="shared" si="205"/>
        <v>6</v>
      </c>
      <c r="Y62" s="17">
        <f t="shared" si="205"/>
        <v>0</v>
      </c>
      <c r="Z62" s="17">
        <f t="shared" si="184"/>
        <v>3</v>
      </c>
      <c r="AA62" s="17"/>
      <c r="AB62" s="2">
        <v>6.0</v>
      </c>
      <c r="AC62" s="32">
        <f t="shared" ref="AC62:AG62" si="206">MIN(AC$1*$Z62,$A62*AC$12)</f>
        <v>0</v>
      </c>
      <c r="AD62" s="32">
        <f t="shared" si="206"/>
        <v>3</v>
      </c>
      <c r="AE62" s="32">
        <f t="shared" si="206"/>
        <v>6</v>
      </c>
      <c r="AF62" s="5">
        <f t="shared" si="206"/>
        <v>6</v>
      </c>
      <c r="AG62" s="17">
        <f t="shared" si="206"/>
        <v>0</v>
      </c>
      <c r="AH62" s="17">
        <f t="shared" si="186"/>
        <v>3</v>
      </c>
    </row>
    <row r="63">
      <c r="A63" s="2">
        <v>7.0</v>
      </c>
      <c r="B63" s="32">
        <f t="shared" ref="B63:G63" si="207">MIN(B$1*$H63,$A63*B$17)</f>
        <v>0</v>
      </c>
      <c r="C63" s="32">
        <f t="shared" si="207"/>
        <v>7</v>
      </c>
      <c r="D63" s="32">
        <f t="shared" si="207"/>
        <v>14</v>
      </c>
      <c r="E63" s="17">
        <f t="shared" si="207"/>
        <v>14</v>
      </c>
      <c r="F63" s="17">
        <f t="shared" si="207"/>
        <v>7</v>
      </c>
      <c r="G63" s="17">
        <f t="shared" si="207"/>
        <v>0</v>
      </c>
      <c r="H63" s="17">
        <f t="shared" si="180"/>
        <v>7</v>
      </c>
      <c r="J63" s="2">
        <v>7.0</v>
      </c>
      <c r="K63" s="32">
        <f t="shared" ref="K63:O63" si="208">MIN(K$1*$H63,$A63*K$17)</f>
        <v>0</v>
      </c>
      <c r="L63" s="32">
        <f t="shared" si="208"/>
        <v>7</v>
      </c>
      <c r="M63" s="30">
        <f t="shared" si="208"/>
        <v>14</v>
      </c>
      <c r="N63" s="17">
        <f t="shared" si="208"/>
        <v>7</v>
      </c>
      <c r="O63" s="17">
        <f t="shared" si="208"/>
        <v>0</v>
      </c>
      <c r="P63" s="17">
        <f t="shared" si="182"/>
        <v>7</v>
      </c>
      <c r="R63" s="2">
        <v>7.0</v>
      </c>
      <c r="S63" s="32">
        <f t="shared" ref="S63:Y63" si="209">MIN(S$1*$Z63,$A63*S$12)</f>
        <v>0</v>
      </c>
      <c r="T63" s="32">
        <f t="shared" si="209"/>
        <v>2</v>
      </c>
      <c r="U63" s="32">
        <f t="shared" si="209"/>
        <v>4</v>
      </c>
      <c r="V63" s="32">
        <f t="shared" si="209"/>
        <v>6</v>
      </c>
      <c r="W63" s="30">
        <f t="shared" si="209"/>
        <v>8</v>
      </c>
      <c r="X63" s="30">
        <f t="shared" si="209"/>
        <v>7</v>
      </c>
      <c r="Y63" s="30">
        <f t="shared" si="209"/>
        <v>0</v>
      </c>
      <c r="Z63" s="17">
        <f t="shared" si="184"/>
        <v>2</v>
      </c>
      <c r="AA63" s="17"/>
      <c r="AB63" s="2">
        <v>7.0</v>
      </c>
      <c r="AC63" s="32">
        <f t="shared" ref="AC63:AG63" si="210">MIN(AC$1*$Z63,$A63*AC$12)</f>
        <v>0</v>
      </c>
      <c r="AD63" s="32">
        <f t="shared" si="210"/>
        <v>2</v>
      </c>
      <c r="AE63" s="32">
        <f t="shared" si="210"/>
        <v>4</v>
      </c>
      <c r="AF63" s="32">
        <f t="shared" si="210"/>
        <v>6</v>
      </c>
      <c r="AG63" s="17">
        <f t="shared" si="210"/>
        <v>0</v>
      </c>
      <c r="AH63" s="17">
        <f t="shared" si="186"/>
        <v>2</v>
      </c>
    </row>
    <row r="64">
      <c r="A64" s="2">
        <v>8.0</v>
      </c>
      <c r="B64" s="32">
        <f t="shared" ref="B64:G64" si="211">MIN(B$1*$H64,$A64*B$17)</f>
        <v>0</v>
      </c>
      <c r="C64" s="32">
        <f t="shared" si="211"/>
        <v>6</v>
      </c>
      <c r="D64" s="32">
        <f t="shared" si="211"/>
        <v>12</v>
      </c>
      <c r="E64" s="15">
        <f t="shared" si="211"/>
        <v>16</v>
      </c>
      <c r="F64" s="17">
        <f t="shared" si="211"/>
        <v>8</v>
      </c>
      <c r="G64" s="17">
        <f t="shared" si="211"/>
        <v>0</v>
      </c>
      <c r="H64" s="17">
        <f t="shared" si="180"/>
        <v>6</v>
      </c>
      <c r="J64" s="2">
        <v>8.0</v>
      </c>
      <c r="K64" s="32">
        <f t="shared" ref="K64:O64" si="212">MIN(K$1*$H64,$A64*K$17)</f>
        <v>0</v>
      </c>
      <c r="L64" s="32">
        <f t="shared" si="212"/>
        <v>6</v>
      </c>
      <c r="M64" s="32">
        <f t="shared" si="212"/>
        <v>12</v>
      </c>
      <c r="N64" s="17">
        <f t="shared" si="212"/>
        <v>8</v>
      </c>
      <c r="O64" s="17">
        <f t="shared" si="212"/>
        <v>0</v>
      </c>
      <c r="P64" s="17">
        <f t="shared" si="182"/>
        <v>6</v>
      </c>
      <c r="R64" s="2">
        <v>8.0</v>
      </c>
      <c r="S64" s="32">
        <f t="shared" ref="S64:Y64" si="213">MIN(S$1*$Z64,$A64*S$12)</f>
        <v>0</v>
      </c>
      <c r="T64" s="32">
        <f t="shared" si="213"/>
        <v>1</v>
      </c>
      <c r="U64" s="32">
        <f t="shared" si="213"/>
        <v>2</v>
      </c>
      <c r="V64" s="32">
        <f t="shared" si="213"/>
        <v>3</v>
      </c>
      <c r="W64" s="32">
        <f t="shared" si="213"/>
        <v>4</v>
      </c>
      <c r="X64" s="30">
        <f t="shared" si="213"/>
        <v>5</v>
      </c>
      <c r="Y64" s="28">
        <f t="shared" si="213"/>
        <v>0</v>
      </c>
      <c r="Z64" s="17">
        <f t="shared" si="184"/>
        <v>1</v>
      </c>
      <c r="AA64" s="17"/>
      <c r="AB64" s="2">
        <v>8.0</v>
      </c>
      <c r="AC64" s="32">
        <f t="shared" ref="AC64:AG64" si="214">MIN(AC$1*$Z64,$A64*AC$12)</f>
        <v>0</v>
      </c>
      <c r="AD64" s="32">
        <f t="shared" si="214"/>
        <v>1</v>
      </c>
      <c r="AE64" s="32">
        <f t="shared" si="214"/>
        <v>2</v>
      </c>
      <c r="AF64" s="32">
        <f t="shared" si="214"/>
        <v>3</v>
      </c>
      <c r="AG64" s="36">
        <f t="shared" si="214"/>
        <v>0</v>
      </c>
      <c r="AH64" s="17">
        <f t="shared" si="186"/>
        <v>1</v>
      </c>
    </row>
    <row r="65">
      <c r="A65" s="2">
        <v>9.0</v>
      </c>
      <c r="B65" s="32">
        <f t="shared" ref="B65:G65" si="215">MIN(B$1*$H65,$A65*B$17)</f>
        <v>0</v>
      </c>
      <c r="C65" s="32">
        <f t="shared" si="215"/>
        <v>5</v>
      </c>
      <c r="D65" s="32">
        <f t="shared" si="215"/>
        <v>10</v>
      </c>
      <c r="E65" s="32">
        <f t="shared" si="215"/>
        <v>15</v>
      </c>
      <c r="F65" s="5">
        <f t="shared" si="215"/>
        <v>9</v>
      </c>
      <c r="G65" s="17">
        <f t="shared" si="215"/>
        <v>0</v>
      </c>
      <c r="H65" s="17">
        <f t="shared" si="180"/>
        <v>5</v>
      </c>
      <c r="J65" s="2">
        <v>9.0</v>
      </c>
      <c r="K65" s="32">
        <f t="shared" ref="K65:O65" si="216">MIN(K$1*$H65,$A65*K$17)</f>
        <v>0</v>
      </c>
      <c r="L65" s="32">
        <f t="shared" si="216"/>
        <v>5</v>
      </c>
      <c r="M65" s="32">
        <f t="shared" si="216"/>
        <v>10</v>
      </c>
      <c r="N65" s="32">
        <f t="shared" si="216"/>
        <v>9</v>
      </c>
      <c r="O65" s="17">
        <f t="shared" si="216"/>
        <v>0</v>
      </c>
      <c r="P65" s="17">
        <f t="shared" si="182"/>
        <v>5</v>
      </c>
      <c r="R65" s="2">
        <v>9.0</v>
      </c>
      <c r="S65" s="32">
        <f t="shared" ref="S65:Y65" si="217">MIN(S$1*$Z65,$A65*S$12)</f>
        <v>0</v>
      </c>
      <c r="T65" s="32">
        <f t="shared" si="217"/>
        <v>0</v>
      </c>
      <c r="U65" s="32">
        <f t="shared" si="217"/>
        <v>0</v>
      </c>
      <c r="V65" s="32">
        <f t="shared" si="217"/>
        <v>0</v>
      </c>
      <c r="W65" s="32">
        <f t="shared" si="217"/>
        <v>0</v>
      </c>
      <c r="X65" s="32">
        <f t="shared" si="217"/>
        <v>0</v>
      </c>
      <c r="Y65" s="28">
        <f t="shared" si="217"/>
        <v>0</v>
      </c>
      <c r="Z65" s="17">
        <f t="shared" si="184"/>
        <v>0</v>
      </c>
      <c r="AA65" s="17"/>
      <c r="AB65" s="2">
        <v>9.0</v>
      </c>
      <c r="AC65" s="32">
        <f t="shared" ref="AC65:AG65" si="218">MIN(AC$1*$Z65,$A65*AC$12)</f>
        <v>0</v>
      </c>
      <c r="AD65" s="32">
        <f t="shared" si="218"/>
        <v>0</v>
      </c>
      <c r="AE65" s="32">
        <f t="shared" si="218"/>
        <v>0</v>
      </c>
      <c r="AF65" s="32">
        <f t="shared" si="218"/>
        <v>0</v>
      </c>
      <c r="AG65" s="37">
        <f t="shared" si="218"/>
        <v>0</v>
      </c>
      <c r="AH65" s="17">
        <f t="shared" si="186"/>
        <v>0</v>
      </c>
    </row>
    <row r="66">
      <c r="A66" s="2">
        <v>10.0</v>
      </c>
      <c r="B66" s="32">
        <f t="shared" ref="B66:G66" si="219">MIN(B$1*$H66,$A66*B$17)</f>
        <v>0</v>
      </c>
      <c r="C66" s="32">
        <f t="shared" si="219"/>
        <v>4</v>
      </c>
      <c r="D66" s="32">
        <f t="shared" si="219"/>
        <v>8</v>
      </c>
      <c r="E66" s="32">
        <f t="shared" si="219"/>
        <v>12</v>
      </c>
      <c r="F66" s="32">
        <f t="shared" si="219"/>
        <v>10</v>
      </c>
      <c r="G66" s="28">
        <f t="shared" si="219"/>
        <v>0</v>
      </c>
      <c r="H66" s="17">
        <f t="shared" si="180"/>
        <v>4</v>
      </c>
      <c r="J66" s="2">
        <v>10.0</v>
      </c>
      <c r="K66" s="32">
        <f t="shared" ref="K66:O66" si="220">MIN(K$1*$H66,$A66*K$17)</f>
        <v>0</v>
      </c>
      <c r="L66" s="32">
        <f t="shared" si="220"/>
        <v>4</v>
      </c>
      <c r="M66" s="32">
        <f t="shared" si="220"/>
        <v>8</v>
      </c>
      <c r="N66" s="32">
        <f t="shared" si="220"/>
        <v>10</v>
      </c>
      <c r="O66" s="36">
        <f t="shared" si="220"/>
        <v>0</v>
      </c>
      <c r="P66" s="17">
        <f t="shared" si="182"/>
        <v>4</v>
      </c>
      <c r="R66" s="2"/>
      <c r="S66" s="17">
        <f t="shared" ref="S66:Y66" si="221">6-S55</f>
        <v>6</v>
      </c>
      <c r="T66" s="17">
        <f t="shared" si="221"/>
        <v>5</v>
      </c>
      <c r="U66" s="17">
        <f t="shared" si="221"/>
        <v>4</v>
      </c>
      <c r="V66" s="17">
        <f t="shared" si="221"/>
        <v>3</v>
      </c>
      <c r="W66" s="17">
        <f t="shared" si="221"/>
        <v>2</v>
      </c>
      <c r="X66" s="17">
        <f t="shared" si="221"/>
        <v>1</v>
      </c>
      <c r="Y66" s="17">
        <f t="shared" si="221"/>
        <v>0</v>
      </c>
      <c r="Z66" s="17"/>
      <c r="AA66" s="17"/>
      <c r="AB66" s="2"/>
      <c r="AC66" s="17">
        <f t="shared" ref="AC66:AG66" si="222">4-AC55</f>
        <v>4</v>
      </c>
      <c r="AD66" s="17">
        <f t="shared" si="222"/>
        <v>3</v>
      </c>
      <c r="AE66" s="17">
        <f t="shared" si="222"/>
        <v>2</v>
      </c>
      <c r="AF66" s="17">
        <f t="shared" si="222"/>
        <v>1</v>
      </c>
      <c r="AG66" s="17">
        <f t="shared" si="222"/>
        <v>0</v>
      </c>
      <c r="AH66" s="17"/>
    </row>
    <row r="67">
      <c r="A67" s="2">
        <v>11.0</v>
      </c>
      <c r="B67" s="32">
        <f t="shared" ref="B67:G67" si="223">MIN(B$1*$H67,$A67*B$17)</f>
        <v>0</v>
      </c>
      <c r="C67" s="32">
        <f t="shared" si="223"/>
        <v>3</v>
      </c>
      <c r="D67" s="32">
        <f t="shared" si="223"/>
        <v>6</v>
      </c>
      <c r="E67" s="32">
        <f t="shared" si="223"/>
        <v>9</v>
      </c>
      <c r="F67" s="28">
        <f t="shared" si="223"/>
        <v>11</v>
      </c>
      <c r="G67" s="28">
        <f t="shared" si="223"/>
        <v>0</v>
      </c>
      <c r="H67" s="17">
        <f t="shared" si="180"/>
        <v>3</v>
      </c>
      <c r="J67" s="2">
        <v>11.0</v>
      </c>
      <c r="K67" s="32">
        <f t="shared" ref="K67:O67" si="224">MIN(K$1*$H67,$A67*K$17)</f>
        <v>0</v>
      </c>
      <c r="L67" s="32">
        <f t="shared" si="224"/>
        <v>3</v>
      </c>
      <c r="M67" s="32">
        <f t="shared" si="224"/>
        <v>6</v>
      </c>
      <c r="N67" s="32">
        <f t="shared" si="224"/>
        <v>9</v>
      </c>
      <c r="O67" s="28">
        <f t="shared" si="224"/>
        <v>0</v>
      </c>
      <c r="P67" s="17">
        <f t="shared" si="182"/>
        <v>3</v>
      </c>
      <c r="R67" s="2"/>
      <c r="Z67" s="17"/>
      <c r="AA67" s="17"/>
      <c r="AB67" s="17"/>
      <c r="AC67" s="17"/>
      <c r="AD67" s="17"/>
      <c r="AE67" s="17"/>
      <c r="AF67" s="17"/>
      <c r="AG67" s="17"/>
      <c r="AH67" s="17"/>
    </row>
    <row r="68">
      <c r="A68" s="2">
        <v>12.0</v>
      </c>
      <c r="B68" s="32">
        <f t="shared" ref="B68:G68" si="225">MIN(B$1*$H68,$A68*B$17)</f>
        <v>0</v>
      </c>
      <c r="C68" s="32">
        <f t="shared" si="225"/>
        <v>2</v>
      </c>
      <c r="D68" s="32">
        <f t="shared" si="225"/>
        <v>4</v>
      </c>
      <c r="E68" s="32">
        <f t="shared" si="225"/>
        <v>6</v>
      </c>
      <c r="F68" s="28">
        <f t="shared" si="225"/>
        <v>8</v>
      </c>
      <c r="G68" s="28">
        <f t="shared" si="225"/>
        <v>0</v>
      </c>
      <c r="H68" s="17">
        <f t="shared" si="180"/>
        <v>2</v>
      </c>
      <c r="J68" s="2">
        <v>12.0</v>
      </c>
      <c r="K68" s="32">
        <f t="shared" ref="K68:O68" si="226">MIN(K$1*$H68,$A68*K$17)</f>
        <v>0</v>
      </c>
      <c r="L68" s="32">
        <f t="shared" si="226"/>
        <v>2</v>
      </c>
      <c r="M68" s="32">
        <f t="shared" si="226"/>
        <v>4</v>
      </c>
      <c r="N68" s="32">
        <f t="shared" si="226"/>
        <v>6</v>
      </c>
      <c r="O68" s="28">
        <f t="shared" si="226"/>
        <v>0</v>
      </c>
      <c r="P68" s="17">
        <f t="shared" si="182"/>
        <v>2</v>
      </c>
      <c r="R68" s="2"/>
      <c r="Z68" s="17"/>
      <c r="AA68" s="17"/>
      <c r="AB68" s="17"/>
      <c r="AC68" s="17"/>
      <c r="AD68" s="17"/>
      <c r="AE68" s="17"/>
      <c r="AF68" s="17"/>
      <c r="AG68" s="17"/>
      <c r="AH68" s="17"/>
    </row>
    <row r="69">
      <c r="A69" s="2">
        <v>13.0</v>
      </c>
      <c r="B69" s="32">
        <f t="shared" ref="B69:G69" si="227">MIN(B$1*$H69,$A69*B$17)</f>
        <v>0</v>
      </c>
      <c r="C69" s="32">
        <f t="shared" si="227"/>
        <v>1</v>
      </c>
      <c r="D69" s="32">
        <f t="shared" si="227"/>
        <v>2</v>
      </c>
      <c r="E69" s="28">
        <f t="shared" si="227"/>
        <v>3</v>
      </c>
      <c r="F69" s="28">
        <f t="shared" si="227"/>
        <v>4</v>
      </c>
      <c r="G69" s="28">
        <f t="shared" si="227"/>
        <v>0</v>
      </c>
      <c r="H69" s="17">
        <f t="shared" si="180"/>
        <v>1</v>
      </c>
      <c r="J69" s="2">
        <v>13.0</v>
      </c>
      <c r="K69" s="32">
        <f t="shared" ref="K69:O69" si="228">MIN(K$1*$H69,$A69*K$17)</f>
        <v>0</v>
      </c>
      <c r="L69" s="32">
        <f t="shared" si="228"/>
        <v>1</v>
      </c>
      <c r="M69" s="32">
        <f t="shared" si="228"/>
        <v>2</v>
      </c>
      <c r="N69" s="28">
        <f t="shared" si="228"/>
        <v>3</v>
      </c>
      <c r="O69" s="28">
        <f t="shared" si="228"/>
        <v>0</v>
      </c>
      <c r="P69" s="17">
        <f t="shared" si="182"/>
        <v>1</v>
      </c>
      <c r="R69" s="2"/>
      <c r="Z69" s="17"/>
      <c r="AA69" s="17"/>
      <c r="AB69" s="17"/>
      <c r="AC69" s="17"/>
      <c r="AD69" s="17"/>
      <c r="AE69" s="17"/>
      <c r="AF69" s="17"/>
      <c r="AG69" s="17"/>
      <c r="AH69" s="17"/>
    </row>
    <row r="70">
      <c r="A70" s="2">
        <v>14.0</v>
      </c>
      <c r="B70" s="32">
        <f t="shared" ref="B70:G70" si="229">MIN(B$1*$H70,$A70*B$17)</f>
        <v>0</v>
      </c>
      <c r="C70" s="32">
        <f t="shared" si="229"/>
        <v>0</v>
      </c>
      <c r="D70" s="32">
        <f t="shared" si="229"/>
        <v>0</v>
      </c>
      <c r="E70" s="28">
        <f t="shared" si="229"/>
        <v>0</v>
      </c>
      <c r="F70" s="28">
        <f t="shared" si="229"/>
        <v>0</v>
      </c>
      <c r="G70" s="28">
        <f t="shared" si="229"/>
        <v>0</v>
      </c>
      <c r="H70" s="17">
        <f t="shared" si="180"/>
        <v>0</v>
      </c>
      <c r="J70" s="2">
        <v>14.0</v>
      </c>
      <c r="K70" s="32">
        <f t="shared" ref="K70:O70" si="230">MIN(K$1*$H70,$A70*K$17)</f>
        <v>0</v>
      </c>
      <c r="L70" s="32">
        <f t="shared" si="230"/>
        <v>0</v>
      </c>
      <c r="M70" s="32">
        <f t="shared" si="230"/>
        <v>0</v>
      </c>
      <c r="N70" s="28">
        <f t="shared" si="230"/>
        <v>0</v>
      </c>
      <c r="O70" s="28">
        <f t="shared" si="230"/>
        <v>0</v>
      </c>
      <c r="P70" s="17">
        <f t="shared" si="182"/>
        <v>0</v>
      </c>
      <c r="R70" s="2"/>
      <c r="Z70" s="17"/>
      <c r="AA70" s="17"/>
      <c r="AB70" s="17"/>
      <c r="AC70" s="17"/>
      <c r="AD70" s="17"/>
      <c r="AE70" s="17"/>
      <c r="AF70" s="17"/>
      <c r="AG70" s="17"/>
      <c r="AH70" s="17"/>
    </row>
    <row r="71">
      <c r="A71" s="17"/>
      <c r="B71" s="17">
        <f t="shared" ref="B71:G71" si="231">5-B55</f>
        <v>5</v>
      </c>
      <c r="C71" s="17">
        <f t="shared" si="231"/>
        <v>4</v>
      </c>
      <c r="D71" s="17">
        <f t="shared" si="231"/>
        <v>3</v>
      </c>
      <c r="E71" s="17">
        <f t="shared" si="231"/>
        <v>2</v>
      </c>
      <c r="F71" s="17">
        <f t="shared" si="231"/>
        <v>1</v>
      </c>
      <c r="G71" s="17">
        <f t="shared" si="231"/>
        <v>0</v>
      </c>
      <c r="H71" s="17"/>
      <c r="I71" s="17"/>
      <c r="J71" s="17"/>
      <c r="K71" s="17">
        <f t="shared" ref="K71:O71" si="232">4-K55</f>
        <v>4</v>
      </c>
      <c r="L71" s="17">
        <f t="shared" si="232"/>
        <v>3</v>
      </c>
      <c r="M71" s="17">
        <f t="shared" si="232"/>
        <v>2</v>
      </c>
      <c r="N71" s="17">
        <f t="shared" si="232"/>
        <v>1</v>
      </c>
      <c r="O71" s="17">
        <f t="shared" si="232"/>
        <v>0</v>
      </c>
      <c r="P71" s="17"/>
      <c r="Q71" s="17"/>
      <c r="R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>
      <c r="A72" s="17"/>
      <c r="H72" s="17"/>
    </row>
    <row r="73">
      <c r="A73" s="17"/>
      <c r="B73" s="2">
        <v>0.0</v>
      </c>
      <c r="C73" s="2">
        <v>1.0</v>
      </c>
      <c r="D73" s="2">
        <v>2.0</v>
      </c>
      <c r="E73" s="2">
        <v>3.0</v>
      </c>
      <c r="F73" s="2">
        <v>4.0</v>
      </c>
      <c r="G73" s="2">
        <v>5.0</v>
      </c>
      <c r="H73" s="17"/>
      <c r="I73" s="17"/>
      <c r="J73" s="17"/>
      <c r="K73" s="2">
        <v>0.0</v>
      </c>
      <c r="L73" s="2">
        <v>1.0</v>
      </c>
      <c r="M73" s="2">
        <v>2.0</v>
      </c>
      <c r="N73" s="2">
        <v>3.0</v>
      </c>
      <c r="O73" s="2">
        <v>4.0</v>
      </c>
      <c r="P73" s="17"/>
      <c r="Q73" s="17"/>
      <c r="R73" s="17"/>
      <c r="S73" s="2">
        <v>0.0</v>
      </c>
      <c r="T73" s="2">
        <v>1.0</v>
      </c>
      <c r="U73" s="2">
        <v>2.0</v>
      </c>
      <c r="V73" s="2">
        <v>3.0</v>
      </c>
      <c r="W73" s="2">
        <v>4.0</v>
      </c>
      <c r="X73" s="2">
        <v>5.0</v>
      </c>
      <c r="Y73" s="2">
        <v>6.0</v>
      </c>
      <c r="Z73" s="17"/>
      <c r="AA73" s="17"/>
      <c r="AB73" s="17"/>
      <c r="AC73" s="2">
        <v>0.0</v>
      </c>
      <c r="AD73" s="2">
        <v>1.0</v>
      </c>
      <c r="AE73" s="2">
        <v>2.0</v>
      </c>
      <c r="AF73" s="2">
        <v>3.0</v>
      </c>
      <c r="AG73" s="2">
        <v>4.0</v>
      </c>
      <c r="AH73" s="17"/>
    </row>
    <row r="74">
      <c r="A74" s="2">
        <v>0.0</v>
      </c>
      <c r="B74" s="28">
        <f t="shared" ref="B74:G74" si="233">B$1*$H74+$A74*B$17</f>
        <v>0</v>
      </c>
      <c r="C74" s="28">
        <f t="shared" si="233"/>
        <v>14</v>
      </c>
      <c r="D74" s="28">
        <f t="shared" si="233"/>
        <v>28</v>
      </c>
      <c r="E74" s="17">
        <f t="shared" si="233"/>
        <v>42</v>
      </c>
      <c r="F74" s="17">
        <f t="shared" si="233"/>
        <v>56</v>
      </c>
      <c r="G74" s="17">
        <f t="shared" si="233"/>
        <v>70</v>
      </c>
      <c r="H74" s="17">
        <f t="shared" ref="H74:H88" si="238">14-A74</f>
        <v>14</v>
      </c>
      <c r="J74" s="2">
        <v>0.0</v>
      </c>
      <c r="K74" s="28">
        <f t="shared" ref="K74:O74" si="234">K$1*$H74+$A74*K$17</f>
        <v>0</v>
      </c>
      <c r="L74" s="28">
        <f t="shared" si="234"/>
        <v>14</v>
      </c>
      <c r="M74" s="17">
        <f t="shared" si="234"/>
        <v>28</v>
      </c>
      <c r="N74" s="17">
        <f t="shared" si="234"/>
        <v>42</v>
      </c>
      <c r="O74" s="17">
        <f t="shared" si="234"/>
        <v>56</v>
      </c>
      <c r="P74" s="17">
        <f t="shared" ref="P74:P88" si="240">14-J74</f>
        <v>14</v>
      </c>
      <c r="R74" s="2">
        <v>0.0</v>
      </c>
      <c r="S74" s="28">
        <f t="shared" ref="S74:Y74" si="235">S$1*$Z74+$A74*S$12</f>
        <v>0</v>
      </c>
      <c r="T74" s="17">
        <f t="shared" si="235"/>
        <v>9</v>
      </c>
      <c r="U74" s="17">
        <f t="shared" si="235"/>
        <v>18</v>
      </c>
      <c r="V74" s="17">
        <f t="shared" si="235"/>
        <v>27</v>
      </c>
      <c r="W74" s="17">
        <f t="shared" si="235"/>
        <v>36</v>
      </c>
      <c r="X74" s="17">
        <f t="shared" si="235"/>
        <v>45</v>
      </c>
      <c r="Y74" s="17">
        <f t="shared" si="235"/>
        <v>54</v>
      </c>
      <c r="Z74" s="17">
        <f t="shared" ref="Z74:Z83" si="242">9-R74</f>
        <v>9</v>
      </c>
      <c r="AA74" s="17"/>
      <c r="AB74" s="2">
        <v>0.0</v>
      </c>
      <c r="AC74" s="37">
        <f t="shared" ref="AC74:AG74" si="236">AC$1*$Z74+$A74*AC$12</f>
        <v>0</v>
      </c>
      <c r="AD74" s="17">
        <f t="shared" si="236"/>
        <v>9</v>
      </c>
      <c r="AE74" s="17">
        <f t="shared" si="236"/>
        <v>18</v>
      </c>
      <c r="AF74" s="17">
        <f t="shared" si="236"/>
        <v>27</v>
      </c>
      <c r="AG74" s="17">
        <f t="shared" si="236"/>
        <v>36</v>
      </c>
      <c r="AH74" s="17">
        <f t="shared" ref="AH74:AH83" si="244">9-AB74</f>
        <v>9</v>
      </c>
    </row>
    <row r="75">
      <c r="A75" s="2">
        <v>1.0</v>
      </c>
      <c r="B75" s="28">
        <f t="shared" ref="B75:G75" si="237">B$1*$H75+$A75*B$17</f>
        <v>5</v>
      </c>
      <c r="C75" s="28">
        <f t="shared" si="237"/>
        <v>17</v>
      </c>
      <c r="D75" s="28">
        <f t="shared" si="237"/>
        <v>29</v>
      </c>
      <c r="E75" s="17">
        <f t="shared" si="237"/>
        <v>41</v>
      </c>
      <c r="F75" s="17">
        <f t="shared" si="237"/>
        <v>53</v>
      </c>
      <c r="G75" s="17">
        <f t="shared" si="237"/>
        <v>65</v>
      </c>
      <c r="H75" s="17">
        <f t="shared" si="238"/>
        <v>13</v>
      </c>
      <c r="J75" s="2">
        <v>1.0</v>
      </c>
      <c r="K75" s="28">
        <f t="shared" ref="K75:O75" si="239">K$1*$H75+$A75*K$17</f>
        <v>4</v>
      </c>
      <c r="L75" s="28">
        <f t="shared" si="239"/>
        <v>16</v>
      </c>
      <c r="M75" s="17">
        <f t="shared" si="239"/>
        <v>28</v>
      </c>
      <c r="N75" s="17">
        <f t="shared" si="239"/>
        <v>40</v>
      </c>
      <c r="O75" s="17">
        <f t="shared" si="239"/>
        <v>52</v>
      </c>
      <c r="P75" s="17">
        <f t="shared" si="240"/>
        <v>13</v>
      </c>
      <c r="R75" s="2">
        <v>1.0</v>
      </c>
      <c r="S75" s="28">
        <f t="shared" ref="S75:Y75" si="241">S$1*$Z75+$A75*S$12</f>
        <v>6</v>
      </c>
      <c r="T75" s="30">
        <f t="shared" si="241"/>
        <v>13</v>
      </c>
      <c r="U75" s="17">
        <f t="shared" si="241"/>
        <v>20</v>
      </c>
      <c r="V75" s="17">
        <f t="shared" si="241"/>
        <v>27</v>
      </c>
      <c r="W75" s="17">
        <f t="shared" si="241"/>
        <v>34</v>
      </c>
      <c r="X75" s="17">
        <f t="shared" si="241"/>
        <v>41</v>
      </c>
      <c r="Y75" s="17">
        <f t="shared" si="241"/>
        <v>48</v>
      </c>
      <c r="Z75" s="17">
        <f t="shared" si="242"/>
        <v>8</v>
      </c>
      <c r="AA75" s="17"/>
      <c r="AB75" s="2">
        <v>1.0</v>
      </c>
      <c r="AC75" s="36">
        <f t="shared" ref="AC75:AG75" si="243">AC$1*$Z75+$A75*AC$12</f>
        <v>4</v>
      </c>
      <c r="AD75" s="17">
        <f t="shared" si="243"/>
        <v>11</v>
      </c>
      <c r="AE75" s="17">
        <f t="shared" si="243"/>
        <v>18</v>
      </c>
      <c r="AF75" s="17">
        <f t="shared" si="243"/>
        <v>25</v>
      </c>
      <c r="AG75" s="17">
        <f t="shared" si="243"/>
        <v>32</v>
      </c>
      <c r="AH75" s="17">
        <f t="shared" si="244"/>
        <v>8</v>
      </c>
    </row>
    <row r="76">
      <c r="A76" s="2">
        <v>2.0</v>
      </c>
      <c r="B76" s="28">
        <f t="shared" ref="B76:G76" si="245">B$1*$H76+$A76*B$17</f>
        <v>10</v>
      </c>
      <c r="C76" s="28">
        <f t="shared" si="245"/>
        <v>20</v>
      </c>
      <c r="D76" s="17">
        <f t="shared" si="245"/>
        <v>30</v>
      </c>
      <c r="E76" s="17">
        <f t="shared" si="245"/>
        <v>40</v>
      </c>
      <c r="F76" s="17">
        <f t="shared" si="245"/>
        <v>50</v>
      </c>
      <c r="G76" s="17">
        <f t="shared" si="245"/>
        <v>60</v>
      </c>
      <c r="H76" s="17">
        <f t="shared" si="238"/>
        <v>12</v>
      </c>
      <c r="J76" s="2">
        <v>2.0</v>
      </c>
      <c r="K76" s="28">
        <f t="shared" ref="K76:O76" si="246">K$1*$H76+$A76*K$17</f>
        <v>8</v>
      </c>
      <c r="L76" s="17">
        <f t="shared" si="246"/>
        <v>18</v>
      </c>
      <c r="M76" s="17">
        <f t="shared" si="246"/>
        <v>28</v>
      </c>
      <c r="N76" s="17">
        <f t="shared" si="246"/>
        <v>38</v>
      </c>
      <c r="O76" s="17">
        <f t="shared" si="246"/>
        <v>48</v>
      </c>
      <c r="P76" s="17">
        <f t="shared" si="240"/>
        <v>12</v>
      </c>
      <c r="R76" s="2">
        <v>2.0</v>
      </c>
      <c r="S76" s="30">
        <f t="shared" ref="S76:Y76" si="247">S$1*$Z76+$A76*S$12</f>
        <v>12</v>
      </c>
      <c r="T76" s="30">
        <f t="shared" si="247"/>
        <v>17</v>
      </c>
      <c r="U76" s="30">
        <f t="shared" si="247"/>
        <v>22</v>
      </c>
      <c r="V76" s="17">
        <f t="shared" si="247"/>
        <v>27</v>
      </c>
      <c r="W76" s="17">
        <f t="shared" si="247"/>
        <v>32</v>
      </c>
      <c r="X76" s="17">
        <f t="shared" si="247"/>
        <v>37</v>
      </c>
      <c r="Y76" s="17">
        <f t="shared" si="247"/>
        <v>42</v>
      </c>
      <c r="Z76" s="17">
        <f t="shared" si="242"/>
        <v>7</v>
      </c>
      <c r="AA76" s="17"/>
      <c r="AB76" s="2">
        <v>2.0</v>
      </c>
      <c r="AC76" s="32">
        <f t="shared" ref="AC76:AG76" si="248">AC$1*$Z76+$A76*AC$12</f>
        <v>8</v>
      </c>
      <c r="AD76" s="17">
        <f t="shared" si="248"/>
        <v>13</v>
      </c>
      <c r="AE76" s="17">
        <f t="shared" si="248"/>
        <v>18</v>
      </c>
      <c r="AF76" s="17">
        <f t="shared" si="248"/>
        <v>23</v>
      </c>
      <c r="AG76" s="17">
        <f t="shared" si="248"/>
        <v>28</v>
      </c>
      <c r="AH76" s="17">
        <f t="shared" si="244"/>
        <v>7</v>
      </c>
    </row>
    <row r="77">
      <c r="A77" s="2">
        <v>3.0</v>
      </c>
      <c r="B77" s="28">
        <f t="shared" ref="B77:G77" si="249">B$1*$H77+$A77*B$17</f>
        <v>15</v>
      </c>
      <c r="C77" s="28">
        <f t="shared" si="249"/>
        <v>23</v>
      </c>
      <c r="D77" s="17">
        <f t="shared" si="249"/>
        <v>31</v>
      </c>
      <c r="E77" s="17">
        <f t="shared" si="249"/>
        <v>39</v>
      </c>
      <c r="F77" s="17">
        <f t="shared" si="249"/>
        <v>47</v>
      </c>
      <c r="G77" s="17">
        <f t="shared" si="249"/>
        <v>55</v>
      </c>
      <c r="H77" s="17">
        <f t="shared" si="238"/>
        <v>11</v>
      </c>
      <c r="J77" s="2">
        <v>3.0</v>
      </c>
      <c r="K77" s="28">
        <f t="shared" ref="K77:O77" si="250">K$1*$H77+$A77*K$17</f>
        <v>12</v>
      </c>
      <c r="L77" s="17">
        <f t="shared" si="250"/>
        <v>20</v>
      </c>
      <c r="M77" s="17">
        <f t="shared" si="250"/>
        <v>28</v>
      </c>
      <c r="N77" s="17">
        <f t="shared" si="250"/>
        <v>36</v>
      </c>
      <c r="O77" s="17">
        <f t="shared" si="250"/>
        <v>44</v>
      </c>
      <c r="P77" s="17">
        <f t="shared" si="240"/>
        <v>11</v>
      </c>
      <c r="R77" s="2">
        <v>3.0</v>
      </c>
      <c r="S77" s="32">
        <f t="shared" ref="S77:Y77" si="251">S$1*$Z77+$A77*S$12</f>
        <v>18</v>
      </c>
      <c r="T77" s="30">
        <f t="shared" si="251"/>
        <v>21</v>
      </c>
      <c r="U77" s="30">
        <f t="shared" si="251"/>
        <v>24</v>
      </c>
      <c r="V77" s="17">
        <f t="shared" si="251"/>
        <v>27</v>
      </c>
      <c r="W77" s="17">
        <f t="shared" si="251"/>
        <v>30</v>
      </c>
      <c r="X77" s="17">
        <f t="shared" si="251"/>
        <v>33</v>
      </c>
      <c r="Y77" s="17">
        <f t="shared" si="251"/>
        <v>36</v>
      </c>
      <c r="Z77" s="17">
        <f t="shared" si="242"/>
        <v>6</v>
      </c>
      <c r="AA77" s="17"/>
      <c r="AB77" s="2">
        <v>3.0</v>
      </c>
      <c r="AC77" s="32">
        <f t="shared" ref="AC77:AG77" si="252">AC$1*$Z77+$A77*AC$12</f>
        <v>12</v>
      </c>
      <c r="AD77" s="5">
        <f t="shared" si="252"/>
        <v>15</v>
      </c>
      <c r="AE77" s="17">
        <f t="shared" si="252"/>
        <v>18</v>
      </c>
      <c r="AF77" s="17">
        <f t="shared" si="252"/>
        <v>21</v>
      </c>
      <c r="AG77" s="17">
        <f t="shared" si="252"/>
        <v>24</v>
      </c>
      <c r="AH77" s="17">
        <f t="shared" si="244"/>
        <v>6</v>
      </c>
    </row>
    <row r="78">
      <c r="A78" s="2">
        <v>4.0</v>
      </c>
      <c r="B78" s="28">
        <f t="shared" ref="B78:G78" si="253">B$1*$H78+$A78*B$17</f>
        <v>20</v>
      </c>
      <c r="C78" s="17">
        <f t="shared" si="253"/>
        <v>26</v>
      </c>
      <c r="D78" s="17">
        <f t="shared" si="253"/>
        <v>32</v>
      </c>
      <c r="E78" s="17">
        <f t="shared" si="253"/>
        <v>38</v>
      </c>
      <c r="F78" s="17">
        <f t="shared" si="253"/>
        <v>44</v>
      </c>
      <c r="G78" s="17">
        <f t="shared" si="253"/>
        <v>50</v>
      </c>
      <c r="H78" s="17">
        <f t="shared" si="238"/>
        <v>10</v>
      </c>
      <c r="J78" s="2">
        <v>4.0</v>
      </c>
      <c r="K78" s="36">
        <f t="shared" ref="K78:O78" si="254">K$1*$H78+$A78*K$17</f>
        <v>16</v>
      </c>
      <c r="L78" s="17">
        <f t="shared" si="254"/>
        <v>22</v>
      </c>
      <c r="M78" s="17">
        <f t="shared" si="254"/>
        <v>28</v>
      </c>
      <c r="N78" s="17">
        <f t="shared" si="254"/>
        <v>34</v>
      </c>
      <c r="O78" s="17">
        <f t="shared" si="254"/>
        <v>40</v>
      </c>
      <c r="P78" s="17">
        <f t="shared" si="240"/>
        <v>10</v>
      </c>
      <c r="R78" s="2">
        <v>4.0</v>
      </c>
      <c r="S78" s="32">
        <f t="shared" ref="S78:Y78" si="255">S$1*$Z78+$A78*S$12</f>
        <v>24</v>
      </c>
      <c r="T78" s="32">
        <f t="shared" si="255"/>
        <v>25</v>
      </c>
      <c r="U78" s="30">
        <f t="shared" si="255"/>
        <v>26</v>
      </c>
      <c r="V78" s="36">
        <f t="shared" si="255"/>
        <v>27</v>
      </c>
      <c r="W78" s="17">
        <f t="shared" si="255"/>
        <v>28</v>
      </c>
      <c r="X78" s="17">
        <f t="shared" si="255"/>
        <v>29</v>
      </c>
      <c r="Y78" s="17">
        <f t="shared" si="255"/>
        <v>30</v>
      </c>
      <c r="Z78" s="17">
        <f t="shared" si="242"/>
        <v>5</v>
      </c>
      <c r="AA78" s="17"/>
      <c r="AB78" s="2">
        <v>4.0</v>
      </c>
      <c r="AC78" s="32">
        <f t="shared" ref="AC78:AG78" si="256">AC$1*$Z78+$A78*AC$12</f>
        <v>16</v>
      </c>
      <c r="AD78" s="5">
        <f t="shared" si="256"/>
        <v>17</v>
      </c>
      <c r="AE78" s="5">
        <f t="shared" si="256"/>
        <v>18</v>
      </c>
      <c r="AF78" s="17">
        <f t="shared" si="256"/>
        <v>19</v>
      </c>
      <c r="AG78" s="17">
        <f t="shared" si="256"/>
        <v>20</v>
      </c>
      <c r="AH78" s="17">
        <f t="shared" si="244"/>
        <v>5</v>
      </c>
    </row>
    <row r="79">
      <c r="A79" s="2">
        <v>5.0</v>
      </c>
      <c r="B79" s="32">
        <f t="shared" ref="B79:G79" si="257">B$1*$H79+$A79*B$17</f>
        <v>25</v>
      </c>
      <c r="C79" s="32">
        <f t="shared" si="257"/>
        <v>29</v>
      </c>
      <c r="D79" s="17">
        <f t="shared" si="257"/>
        <v>33</v>
      </c>
      <c r="E79" s="17">
        <f t="shared" si="257"/>
        <v>37</v>
      </c>
      <c r="F79" s="17">
        <f t="shared" si="257"/>
        <v>41</v>
      </c>
      <c r="G79" s="17">
        <f t="shared" si="257"/>
        <v>45</v>
      </c>
      <c r="H79" s="17">
        <f t="shared" si="238"/>
        <v>9</v>
      </c>
      <c r="J79" s="2">
        <v>5.0</v>
      </c>
      <c r="K79" s="32">
        <f t="shared" ref="K79:O79" si="258">K$1*$H79+$A79*K$17</f>
        <v>20</v>
      </c>
      <c r="L79" s="17">
        <f t="shared" si="258"/>
        <v>24</v>
      </c>
      <c r="M79" s="17">
        <f t="shared" si="258"/>
        <v>28</v>
      </c>
      <c r="N79" s="17">
        <f t="shared" si="258"/>
        <v>32</v>
      </c>
      <c r="O79" s="17">
        <f t="shared" si="258"/>
        <v>36</v>
      </c>
      <c r="P79" s="17">
        <f t="shared" si="240"/>
        <v>9</v>
      </c>
      <c r="R79" s="2">
        <v>5.0</v>
      </c>
      <c r="S79" s="32">
        <f t="shared" ref="S79:Y79" si="259">S$1*$Z79+$A79*S$12</f>
        <v>30</v>
      </c>
      <c r="T79" s="32">
        <f t="shared" si="259"/>
        <v>29</v>
      </c>
      <c r="U79" s="32">
        <f t="shared" si="259"/>
        <v>28</v>
      </c>
      <c r="V79" s="36">
        <f t="shared" si="259"/>
        <v>27</v>
      </c>
      <c r="W79" s="30">
        <f t="shared" si="259"/>
        <v>26</v>
      </c>
      <c r="X79" s="17">
        <f t="shared" si="259"/>
        <v>25</v>
      </c>
      <c r="Y79" s="17">
        <f t="shared" si="259"/>
        <v>24</v>
      </c>
      <c r="Z79" s="17">
        <f t="shared" si="242"/>
        <v>4</v>
      </c>
      <c r="AA79" s="17"/>
      <c r="AB79" s="2">
        <v>5.0</v>
      </c>
      <c r="AC79" s="32">
        <f t="shared" ref="AC79:AG79" si="260">AC$1*$Z79+$A79*AC$12</f>
        <v>20</v>
      </c>
      <c r="AD79" s="32">
        <f t="shared" si="260"/>
        <v>19</v>
      </c>
      <c r="AE79" s="5">
        <f t="shared" si="260"/>
        <v>18</v>
      </c>
      <c r="AF79" s="5">
        <f t="shared" si="260"/>
        <v>17</v>
      </c>
      <c r="AG79" s="17">
        <f t="shared" si="260"/>
        <v>16</v>
      </c>
      <c r="AH79" s="17">
        <f t="shared" si="244"/>
        <v>4</v>
      </c>
    </row>
    <row r="80">
      <c r="A80" s="2">
        <v>6.0</v>
      </c>
      <c r="B80" s="32">
        <f t="shared" ref="B80:G80" si="261">B$1*$H80+$A80*B$17</f>
        <v>30</v>
      </c>
      <c r="C80" s="32">
        <f t="shared" si="261"/>
        <v>32</v>
      </c>
      <c r="D80" s="15">
        <f t="shared" si="261"/>
        <v>34</v>
      </c>
      <c r="E80" s="17">
        <f t="shared" si="261"/>
        <v>36</v>
      </c>
      <c r="F80" s="17">
        <f t="shared" si="261"/>
        <v>38</v>
      </c>
      <c r="G80" s="17">
        <f t="shared" si="261"/>
        <v>40</v>
      </c>
      <c r="H80" s="17">
        <f t="shared" si="238"/>
        <v>8</v>
      </c>
      <c r="J80" s="2">
        <v>6.0</v>
      </c>
      <c r="K80" s="32">
        <f t="shared" ref="K80:O80" si="262">K$1*$H80+$A80*K$17</f>
        <v>24</v>
      </c>
      <c r="L80" s="32">
        <f t="shared" si="262"/>
        <v>26</v>
      </c>
      <c r="M80" s="17">
        <f t="shared" si="262"/>
        <v>28</v>
      </c>
      <c r="N80" s="17">
        <f t="shared" si="262"/>
        <v>30</v>
      </c>
      <c r="O80" s="17">
        <f t="shared" si="262"/>
        <v>32</v>
      </c>
      <c r="P80" s="17">
        <f t="shared" si="240"/>
        <v>8</v>
      </c>
      <c r="R80" s="2">
        <v>6.0</v>
      </c>
      <c r="S80" s="32">
        <f t="shared" ref="S80:Y80" si="263">S$1*$Z80+$A80*S$12</f>
        <v>36</v>
      </c>
      <c r="T80" s="32">
        <f t="shared" si="263"/>
        <v>33</v>
      </c>
      <c r="U80" s="32">
        <f t="shared" si="263"/>
        <v>30</v>
      </c>
      <c r="V80" s="32">
        <f t="shared" si="263"/>
        <v>27</v>
      </c>
      <c r="W80" s="30">
        <f t="shared" si="263"/>
        <v>24</v>
      </c>
      <c r="X80" s="30">
        <f t="shared" si="263"/>
        <v>21</v>
      </c>
      <c r="Y80" s="17">
        <f t="shared" si="263"/>
        <v>18</v>
      </c>
      <c r="Z80" s="17">
        <f t="shared" si="242"/>
        <v>3</v>
      </c>
      <c r="AA80" s="17"/>
      <c r="AB80" s="2">
        <v>6.0</v>
      </c>
      <c r="AC80" s="32">
        <f t="shared" ref="AC80:AG80" si="264">AC$1*$Z80+$A80*AC$12</f>
        <v>24</v>
      </c>
      <c r="AD80" s="32">
        <f t="shared" si="264"/>
        <v>21</v>
      </c>
      <c r="AE80" s="32">
        <f t="shared" si="264"/>
        <v>18</v>
      </c>
      <c r="AF80" s="5">
        <f t="shared" si="264"/>
        <v>15</v>
      </c>
      <c r="AG80" s="17">
        <f t="shared" si="264"/>
        <v>12</v>
      </c>
      <c r="AH80" s="17">
        <f t="shared" si="244"/>
        <v>3</v>
      </c>
    </row>
    <row r="81">
      <c r="A81" s="2">
        <v>7.0</v>
      </c>
      <c r="B81" s="32">
        <f t="shared" ref="B81:G81" si="265">B$1*$H81+$A81*B$17</f>
        <v>35</v>
      </c>
      <c r="C81" s="32">
        <f t="shared" si="265"/>
        <v>35</v>
      </c>
      <c r="D81" s="32">
        <f t="shared" si="265"/>
        <v>35</v>
      </c>
      <c r="E81" s="17">
        <f t="shared" si="265"/>
        <v>35</v>
      </c>
      <c r="F81" s="17">
        <f t="shared" si="265"/>
        <v>35</v>
      </c>
      <c r="G81" s="17">
        <f t="shared" si="265"/>
        <v>35</v>
      </c>
      <c r="H81" s="17">
        <f t="shared" si="238"/>
        <v>7</v>
      </c>
      <c r="J81" s="2">
        <v>7.0</v>
      </c>
      <c r="K81" s="32">
        <f t="shared" ref="K81:O81" si="266">K$1*$H81+$A81*K$17</f>
        <v>28</v>
      </c>
      <c r="L81" s="32">
        <f t="shared" si="266"/>
        <v>28</v>
      </c>
      <c r="M81" s="30">
        <f t="shared" si="266"/>
        <v>28</v>
      </c>
      <c r="N81" s="17">
        <f t="shared" si="266"/>
        <v>28</v>
      </c>
      <c r="O81" s="17">
        <f t="shared" si="266"/>
        <v>28</v>
      </c>
      <c r="P81" s="17">
        <f t="shared" si="240"/>
        <v>7</v>
      </c>
      <c r="R81" s="2">
        <v>7.0</v>
      </c>
      <c r="S81" s="32">
        <f t="shared" ref="S81:Y81" si="267">S$1*$Z81+$A81*S$12</f>
        <v>42</v>
      </c>
      <c r="T81" s="32">
        <f t="shared" si="267"/>
        <v>37</v>
      </c>
      <c r="U81" s="32">
        <f t="shared" si="267"/>
        <v>32</v>
      </c>
      <c r="V81" s="32">
        <f t="shared" si="267"/>
        <v>27</v>
      </c>
      <c r="W81" s="30">
        <f t="shared" si="267"/>
        <v>22</v>
      </c>
      <c r="X81" s="30">
        <f t="shared" si="267"/>
        <v>17</v>
      </c>
      <c r="Y81" s="30">
        <f t="shared" si="267"/>
        <v>12</v>
      </c>
      <c r="Z81" s="17">
        <f t="shared" si="242"/>
        <v>2</v>
      </c>
      <c r="AA81" s="17"/>
      <c r="AB81" s="2">
        <v>7.0</v>
      </c>
      <c r="AC81" s="32">
        <f t="shared" ref="AC81:AG81" si="268">AC$1*$Z81+$A81*AC$12</f>
        <v>28</v>
      </c>
      <c r="AD81" s="32">
        <f t="shared" si="268"/>
        <v>23</v>
      </c>
      <c r="AE81" s="32">
        <f t="shared" si="268"/>
        <v>18</v>
      </c>
      <c r="AF81" s="32">
        <f t="shared" si="268"/>
        <v>13</v>
      </c>
      <c r="AG81" s="17">
        <f t="shared" si="268"/>
        <v>8</v>
      </c>
      <c r="AH81" s="17">
        <f t="shared" si="244"/>
        <v>2</v>
      </c>
    </row>
    <row r="82">
      <c r="A82" s="2">
        <v>8.0</v>
      </c>
      <c r="B82" s="32">
        <f t="shared" ref="B82:G82" si="269">B$1*$H82+$A82*B$17</f>
        <v>40</v>
      </c>
      <c r="C82" s="32">
        <f t="shared" si="269"/>
        <v>38</v>
      </c>
      <c r="D82" s="32">
        <f t="shared" si="269"/>
        <v>36</v>
      </c>
      <c r="E82" s="15">
        <f t="shared" si="269"/>
        <v>34</v>
      </c>
      <c r="F82" s="17">
        <f t="shared" si="269"/>
        <v>32</v>
      </c>
      <c r="G82" s="17">
        <f t="shared" si="269"/>
        <v>30</v>
      </c>
      <c r="H82" s="17">
        <f t="shared" si="238"/>
        <v>6</v>
      </c>
      <c r="J82" s="2">
        <v>8.0</v>
      </c>
      <c r="K82" s="32">
        <f t="shared" ref="K82:O82" si="270">K$1*$H82+$A82*K$17</f>
        <v>32</v>
      </c>
      <c r="L82" s="32">
        <f t="shared" si="270"/>
        <v>30</v>
      </c>
      <c r="M82" s="32">
        <f t="shared" si="270"/>
        <v>28</v>
      </c>
      <c r="N82" s="17">
        <f t="shared" si="270"/>
        <v>26</v>
      </c>
      <c r="O82" s="17">
        <f t="shared" si="270"/>
        <v>24</v>
      </c>
      <c r="P82" s="17">
        <f t="shared" si="240"/>
        <v>6</v>
      </c>
      <c r="R82" s="2">
        <v>8.0</v>
      </c>
      <c r="S82" s="32">
        <f t="shared" ref="S82:Y82" si="271">S$1*$Z82+$A82*S$12</f>
        <v>48</v>
      </c>
      <c r="T82" s="32">
        <f t="shared" si="271"/>
        <v>41</v>
      </c>
      <c r="U82" s="32">
        <f t="shared" si="271"/>
        <v>34</v>
      </c>
      <c r="V82" s="32">
        <f t="shared" si="271"/>
        <v>27</v>
      </c>
      <c r="W82" s="32">
        <f t="shared" si="271"/>
        <v>20</v>
      </c>
      <c r="X82" s="30">
        <f t="shared" si="271"/>
        <v>13</v>
      </c>
      <c r="Y82" s="28">
        <f t="shared" si="271"/>
        <v>6</v>
      </c>
      <c r="Z82" s="17">
        <f t="shared" si="242"/>
        <v>1</v>
      </c>
      <c r="AA82" s="17"/>
      <c r="AB82" s="2">
        <v>8.0</v>
      </c>
      <c r="AC82" s="32">
        <f t="shared" ref="AC82:AG82" si="272">AC$1*$Z82+$A82*AC$12</f>
        <v>32</v>
      </c>
      <c r="AD82" s="32">
        <f t="shared" si="272"/>
        <v>25</v>
      </c>
      <c r="AE82" s="32">
        <f t="shared" si="272"/>
        <v>18</v>
      </c>
      <c r="AF82" s="32">
        <f t="shared" si="272"/>
        <v>11</v>
      </c>
      <c r="AG82" s="36">
        <f t="shared" si="272"/>
        <v>4</v>
      </c>
      <c r="AH82" s="17">
        <f t="shared" si="244"/>
        <v>1</v>
      </c>
    </row>
    <row r="83">
      <c r="A83" s="2">
        <v>9.0</v>
      </c>
      <c r="B83" s="32">
        <f t="shared" ref="B83:G83" si="273">B$1*$H83+$A83*B$17</f>
        <v>45</v>
      </c>
      <c r="C83" s="32">
        <f t="shared" si="273"/>
        <v>41</v>
      </c>
      <c r="D83" s="32">
        <f t="shared" si="273"/>
        <v>37</v>
      </c>
      <c r="E83" s="32">
        <f t="shared" si="273"/>
        <v>33</v>
      </c>
      <c r="F83" s="5">
        <f t="shared" si="273"/>
        <v>29</v>
      </c>
      <c r="G83" s="17">
        <f t="shared" si="273"/>
        <v>25</v>
      </c>
      <c r="H83" s="17">
        <f t="shared" si="238"/>
        <v>5</v>
      </c>
      <c r="J83" s="2">
        <v>9.0</v>
      </c>
      <c r="K83" s="32">
        <f t="shared" ref="K83:O83" si="274">K$1*$H83+$A83*K$17</f>
        <v>36</v>
      </c>
      <c r="L83" s="32">
        <f t="shared" si="274"/>
        <v>32</v>
      </c>
      <c r="M83" s="32">
        <f t="shared" si="274"/>
        <v>28</v>
      </c>
      <c r="N83" s="32">
        <f t="shared" si="274"/>
        <v>24</v>
      </c>
      <c r="O83" s="17">
        <f t="shared" si="274"/>
        <v>20</v>
      </c>
      <c r="P83" s="17">
        <f t="shared" si="240"/>
        <v>5</v>
      </c>
      <c r="R83" s="2">
        <v>9.0</v>
      </c>
      <c r="S83" s="32">
        <f t="shared" ref="S83:Y83" si="275">S$1*$Z83+$A83*S$12</f>
        <v>54</v>
      </c>
      <c r="T83" s="32">
        <f t="shared" si="275"/>
        <v>45</v>
      </c>
      <c r="U83" s="32">
        <f t="shared" si="275"/>
        <v>36</v>
      </c>
      <c r="V83" s="32">
        <f t="shared" si="275"/>
        <v>27</v>
      </c>
      <c r="W83" s="32">
        <f t="shared" si="275"/>
        <v>18</v>
      </c>
      <c r="X83" s="32">
        <f t="shared" si="275"/>
        <v>9</v>
      </c>
      <c r="Y83" s="28">
        <f t="shared" si="275"/>
        <v>0</v>
      </c>
      <c r="Z83" s="17">
        <f t="shared" si="242"/>
        <v>0</v>
      </c>
      <c r="AA83" s="17"/>
      <c r="AB83" s="2">
        <v>9.0</v>
      </c>
      <c r="AC83" s="32">
        <f t="shared" ref="AC83:AG83" si="276">AC$1*$Z83+$A83*AC$12</f>
        <v>36</v>
      </c>
      <c r="AD83" s="32">
        <f t="shared" si="276"/>
        <v>27</v>
      </c>
      <c r="AE83" s="32">
        <f t="shared" si="276"/>
        <v>18</v>
      </c>
      <c r="AF83" s="32">
        <f t="shared" si="276"/>
        <v>9</v>
      </c>
      <c r="AG83" s="37">
        <f t="shared" si="276"/>
        <v>0</v>
      </c>
      <c r="AH83" s="17">
        <f t="shared" si="244"/>
        <v>0</v>
      </c>
    </row>
    <row r="84">
      <c r="A84" s="2">
        <v>10.0</v>
      </c>
      <c r="B84" s="32">
        <f t="shared" ref="B84:G84" si="277">B$1*$H84+$A84*B$17</f>
        <v>50</v>
      </c>
      <c r="C84" s="32">
        <f t="shared" si="277"/>
        <v>44</v>
      </c>
      <c r="D84" s="32">
        <f t="shared" si="277"/>
        <v>38</v>
      </c>
      <c r="E84" s="32">
        <f t="shared" si="277"/>
        <v>32</v>
      </c>
      <c r="F84" s="32">
        <f t="shared" si="277"/>
        <v>26</v>
      </c>
      <c r="G84" s="28">
        <f t="shared" si="277"/>
        <v>20</v>
      </c>
      <c r="H84" s="17">
        <f t="shared" si="238"/>
        <v>4</v>
      </c>
      <c r="J84" s="2">
        <v>10.0</v>
      </c>
      <c r="K84" s="32">
        <f t="shared" ref="K84:O84" si="278">K$1*$H84+$A84*K$17</f>
        <v>40</v>
      </c>
      <c r="L84" s="32">
        <f t="shared" si="278"/>
        <v>34</v>
      </c>
      <c r="M84" s="32">
        <f t="shared" si="278"/>
        <v>28</v>
      </c>
      <c r="N84" s="32">
        <f t="shared" si="278"/>
        <v>22</v>
      </c>
      <c r="O84" s="36">
        <f t="shared" si="278"/>
        <v>16</v>
      </c>
      <c r="P84" s="17">
        <f t="shared" si="240"/>
        <v>4</v>
      </c>
      <c r="R84" s="2"/>
      <c r="S84" s="17">
        <f t="shared" ref="S84:Y84" si="279">6-S73</f>
        <v>6</v>
      </c>
      <c r="T84" s="17">
        <f t="shared" si="279"/>
        <v>5</v>
      </c>
      <c r="U84" s="17">
        <f t="shared" si="279"/>
        <v>4</v>
      </c>
      <c r="V84" s="17">
        <f t="shared" si="279"/>
        <v>3</v>
      </c>
      <c r="W84" s="17">
        <f t="shared" si="279"/>
        <v>2</v>
      </c>
      <c r="X84" s="17">
        <f t="shared" si="279"/>
        <v>1</v>
      </c>
      <c r="Y84" s="17">
        <f t="shared" si="279"/>
        <v>0</v>
      </c>
      <c r="Z84" s="17"/>
      <c r="AA84" s="17"/>
      <c r="AB84" s="2"/>
      <c r="AC84" s="17">
        <f t="shared" ref="AC84:AG84" si="280">4-AC73</f>
        <v>4</v>
      </c>
      <c r="AD84" s="17">
        <f t="shared" si="280"/>
        <v>3</v>
      </c>
      <c r="AE84" s="17">
        <f t="shared" si="280"/>
        <v>2</v>
      </c>
      <c r="AF84" s="17">
        <f t="shared" si="280"/>
        <v>1</v>
      </c>
      <c r="AG84" s="17">
        <f t="shared" si="280"/>
        <v>0</v>
      </c>
      <c r="AH84" s="17"/>
    </row>
    <row r="85">
      <c r="A85" s="2">
        <v>11.0</v>
      </c>
      <c r="B85" s="32">
        <f t="shared" ref="B85:G85" si="281">B$1*$H85+$A85*B$17</f>
        <v>55</v>
      </c>
      <c r="C85" s="32">
        <f t="shared" si="281"/>
        <v>47</v>
      </c>
      <c r="D85" s="32">
        <f t="shared" si="281"/>
        <v>39</v>
      </c>
      <c r="E85" s="32">
        <f t="shared" si="281"/>
        <v>31</v>
      </c>
      <c r="F85" s="28">
        <f t="shared" si="281"/>
        <v>23</v>
      </c>
      <c r="G85" s="28">
        <f t="shared" si="281"/>
        <v>15</v>
      </c>
      <c r="H85" s="17">
        <f t="shared" si="238"/>
        <v>3</v>
      </c>
      <c r="J85" s="2">
        <v>11.0</v>
      </c>
      <c r="K85" s="32">
        <f t="shared" ref="K85:O85" si="282">K$1*$H85+$A85*K$17</f>
        <v>44</v>
      </c>
      <c r="L85" s="32">
        <f t="shared" si="282"/>
        <v>36</v>
      </c>
      <c r="M85" s="32">
        <f t="shared" si="282"/>
        <v>28</v>
      </c>
      <c r="N85" s="32">
        <f t="shared" si="282"/>
        <v>20</v>
      </c>
      <c r="O85" s="28">
        <f t="shared" si="282"/>
        <v>12</v>
      </c>
      <c r="P85" s="17">
        <f t="shared" si="240"/>
        <v>3</v>
      </c>
      <c r="R85" s="2"/>
      <c r="Z85" s="17"/>
      <c r="AA85" s="17"/>
      <c r="AB85" s="17"/>
      <c r="AC85" s="17"/>
      <c r="AD85" s="17"/>
      <c r="AE85" s="17"/>
      <c r="AF85" s="17"/>
      <c r="AG85" s="17"/>
      <c r="AH85" s="17"/>
    </row>
    <row r="86">
      <c r="A86" s="2">
        <v>12.0</v>
      </c>
      <c r="B86" s="32">
        <f t="shared" ref="B86:G86" si="283">B$1*$H86+$A86*B$17</f>
        <v>60</v>
      </c>
      <c r="C86" s="32">
        <f t="shared" si="283"/>
        <v>50</v>
      </c>
      <c r="D86" s="32">
        <f t="shared" si="283"/>
        <v>40</v>
      </c>
      <c r="E86" s="32">
        <f t="shared" si="283"/>
        <v>30</v>
      </c>
      <c r="F86" s="28">
        <f t="shared" si="283"/>
        <v>20</v>
      </c>
      <c r="G86" s="28">
        <f t="shared" si="283"/>
        <v>10</v>
      </c>
      <c r="H86" s="17">
        <f t="shared" si="238"/>
        <v>2</v>
      </c>
      <c r="J86" s="2">
        <v>12.0</v>
      </c>
      <c r="K86" s="32">
        <f t="shared" ref="K86:O86" si="284">K$1*$H86+$A86*K$17</f>
        <v>48</v>
      </c>
      <c r="L86" s="32">
        <f t="shared" si="284"/>
        <v>38</v>
      </c>
      <c r="M86" s="32">
        <f t="shared" si="284"/>
        <v>28</v>
      </c>
      <c r="N86" s="32">
        <f t="shared" si="284"/>
        <v>18</v>
      </c>
      <c r="O86" s="28">
        <f t="shared" si="284"/>
        <v>8</v>
      </c>
      <c r="P86" s="17">
        <f t="shared" si="240"/>
        <v>2</v>
      </c>
      <c r="R86" s="2"/>
      <c r="Z86" s="17"/>
      <c r="AA86" s="17"/>
      <c r="AB86" s="17"/>
      <c r="AC86" s="17"/>
      <c r="AD86" s="17"/>
      <c r="AE86" s="17"/>
      <c r="AF86" s="17"/>
      <c r="AG86" s="17"/>
      <c r="AH86" s="17"/>
    </row>
    <row r="87">
      <c r="A87" s="2">
        <v>13.0</v>
      </c>
      <c r="B87" s="32">
        <f t="shared" ref="B87:G87" si="285">B$1*$H87+$A87*B$17</f>
        <v>65</v>
      </c>
      <c r="C87" s="32">
        <f t="shared" si="285"/>
        <v>53</v>
      </c>
      <c r="D87" s="32">
        <f t="shared" si="285"/>
        <v>41</v>
      </c>
      <c r="E87" s="28">
        <f t="shared" si="285"/>
        <v>29</v>
      </c>
      <c r="F87" s="28">
        <f t="shared" si="285"/>
        <v>17</v>
      </c>
      <c r="G87" s="28">
        <f t="shared" si="285"/>
        <v>5</v>
      </c>
      <c r="H87" s="17">
        <f t="shared" si="238"/>
        <v>1</v>
      </c>
      <c r="J87" s="2">
        <v>13.0</v>
      </c>
      <c r="K87" s="32">
        <f t="shared" ref="K87:O87" si="286">K$1*$H87+$A87*K$17</f>
        <v>52</v>
      </c>
      <c r="L87" s="32">
        <f t="shared" si="286"/>
        <v>40</v>
      </c>
      <c r="M87" s="32">
        <f t="shared" si="286"/>
        <v>28</v>
      </c>
      <c r="N87" s="28">
        <f t="shared" si="286"/>
        <v>16</v>
      </c>
      <c r="O87" s="28">
        <f t="shared" si="286"/>
        <v>4</v>
      </c>
      <c r="P87" s="17">
        <f t="shared" si="240"/>
        <v>1</v>
      </c>
      <c r="R87" s="2"/>
      <c r="Z87" s="17"/>
      <c r="AA87" s="17"/>
      <c r="AB87" s="17"/>
      <c r="AC87" s="17"/>
      <c r="AD87" s="17"/>
      <c r="AE87" s="17"/>
      <c r="AF87" s="17"/>
      <c r="AG87" s="17"/>
      <c r="AH87" s="17"/>
    </row>
    <row r="88">
      <c r="A88" s="2">
        <v>14.0</v>
      </c>
      <c r="B88" s="32">
        <f t="shared" ref="B88:G88" si="287">B$1*$H88+$A88*B$17</f>
        <v>70</v>
      </c>
      <c r="C88" s="32">
        <f t="shared" si="287"/>
        <v>56</v>
      </c>
      <c r="D88" s="32">
        <f t="shared" si="287"/>
        <v>42</v>
      </c>
      <c r="E88" s="28">
        <f t="shared" si="287"/>
        <v>28</v>
      </c>
      <c r="F88" s="28">
        <f t="shared" si="287"/>
        <v>14</v>
      </c>
      <c r="G88" s="28">
        <f t="shared" si="287"/>
        <v>0</v>
      </c>
      <c r="H88" s="17">
        <f t="shared" si="238"/>
        <v>0</v>
      </c>
      <c r="J88" s="2">
        <v>14.0</v>
      </c>
      <c r="K88" s="32">
        <f t="shared" ref="K88:O88" si="288">K$1*$H88+$A88*K$17</f>
        <v>56</v>
      </c>
      <c r="L88" s="32">
        <f t="shared" si="288"/>
        <v>42</v>
      </c>
      <c r="M88" s="32">
        <f t="shared" si="288"/>
        <v>28</v>
      </c>
      <c r="N88" s="28">
        <f t="shared" si="288"/>
        <v>14</v>
      </c>
      <c r="O88" s="28">
        <f t="shared" si="288"/>
        <v>0</v>
      </c>
      <c r="P88" s="17">
        <f t="shared" si="240"/>
        <v>0</v>
      </c>
      <c r="R88" s="2"/>
      <c r="Z88" s="17"/>
      <c r="AA88" s="17"/>
      <c r="AB88" s="17"/>
      <c r="AC88" s="17"/>
      <c r="AD88" s="17"/>
      <c r="AE88" s="17"/>
      <c r="AF88" s="17"/>
      <c r="AG88" s="17"/>
      <c r="AH88" s="17"/>
    </row>
    <row r="89">
      <c r="A89" s="17"/>
      <c r="B89" s="17">
        <f t="shared" ref="B89:G89" si="289">5-B73</f>
        <v>5</v>
      </c>
      <c r="C89" s="17">
        <f t="shared" si="289"/>
        <v>4</v>
      </c>
      <c r="D89" s="17">
        <f t="shared" si="289"/>
        <v>3</v>
      </c>
      <c r="E89" s="17">
        <f t="shared" si="289"/>
        <v>2</v>
      </c>
      <c r="F89" s="17">
        <f t="shared" si="289"/>
        <v>1</v>
      </c>
      <c r="G89" s="17">
        <f t="shared" si="289"/>
        <v>0</v>
      </c>
      <c r="H89" s="17"/>
      <c r="I89" s="17"/>
      <c r="J89" s="17"/>
      <c r="K89" s="17">
        <f t="shared" ref="K89:O89" si="290">4-K73</f>
        <v>4</v>
      </c>
      <c r="L89" s="17">
        <f t="shared" si="290"/>
        <v>3</v>
      </c>
      <c r="M89" s="17">
        <f t="shared" si="290"/>
        <v>2</v>
      </c>
      <c r="N89" s="17">
        <f t="shared" si="290"/>
        <v>1</v>
      </c>
      <c r="O89" s="17">
        <f t="shared" si="290"/>
        <v>0</v>
      </c>
      <c r="P89" s="17"/>
      <c r="Q89" s="17"/>
      <c r="R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>
      <c r="A90" s="17"/>
      <c r="H90" s="17"/>
    </row>
    <row r="91">
      <c r="A91" s="17"/>
      <c r="H91" s="17"/>
    </row>
    <row r="92">
      <c r="A92" s="17"/>
      <c r="C92" s="3">
        <v>24.0</v>
      </c>
      <c r="E92" s="3">
        <v>0.0</v>
      </c>
      <c r="G92" s="3">
        <v>12.0</v>
      </c>
      <c r="H92" s="17"/>
      <c r="I92" s="3">
        <v>32.0</v>
      </c>
      <c r="M92" s="5">
        <f t="shared" ref="M92:M94" si="291">sum(C92:I92)</f>
        <v>68</v>
      </c>
    </row>
    <row r="93">
      <c r="A93" s="17"/>
      <c r="C93" s="3">
        <v>18.0</v>
      </c>
      <c r="D93" s="3">
        <v>16.0</v>
      </c>
      <c r="E93" s="3">
        <v>0.0</v>
      </c>
      <c r="F93" s="3">
        <v>16.0</v>
      </c>
      <c r="G93" s="3">
        <v>12.0</v>
      </c>
      <c r="H93" s="2">
        <v>15.0</v>
      </c>
      <c r="I93" s="3">
        <v>4.0</v>
      </c>
      <c r="J93" s="3">
        <v>0.0</v>
      </c>
      <c r="M93" s="5">
        <f t="shared" si="291"/>
        <v>81</v>
      </c>
    </row>
    <row r="94">
      <c r="A94" s="17"/>
      <c r="C94" s="3">
        <v>12.0</v>
      </c>
      <c r="E94" s="3">
        <v>40.0</v>
      </c>
      <c r="G94" s="3">
        <v>15.0</v>
      </c>
      <c r="H94" s="17"/>
      <c r="I94" s="3">
        <v>0.0</v>
      </c>
      <c r="M94" s="5">
        <f t="shared" si="291"/>
        <v>67</v>
      </c>
    </row>
    <row r="95">
      <c r="A95" s="17"/>
      <c r="H95" s="17"/>
    </row>
    <row r="96">
      <c r="A96" s="17"/>
      <c r="H96" s="17"/>
    </row>
    <row r="97">
      <c r="A97" s="17"/>
      <c r="H97" s="17"/>
    </row>
    <row r="98">
      <c r="A98" s="17"/>
      <c r="H98" s="17"/>
    </row>
    <row r="99">
      <c r="A99" s="17"/>
      <c r="H99" s="17"/>
    </row>
    <row r="100">
      <c r="A100" s="17"/>
      <c r="H100" s="17"/>
    </row>
    <row r="101">
      <c r="A101" s="17"/>
      <c r="H101" s="17"/>
    </row>
    <row r="102">
      <c r="A102" s="17"/>
      <c r="H102" s="17"/>
    </row>
    <row r="103">
      <c r="A103" s="17"/>
      <c r="H103" s="17"/>
    </row>
    <row r="104">
      <c r="A104" s="17"/>
      <c r="H104" s="17"/>
    </row>
    <row r="105">
      <c r="A105" s="17"/>
      <c r="H105" s="17"/>
    </row>
    <row r="106">
      <c r="A106" s="17"/>
      <c r="H106" s="17"/>
    </row>
    <row r="107">
      <c r="A107" s="17"/>
      <c r="H107" s="17"/>
    </row>
    <row r="108">
      <c r="A108" s="17"/>
      <c r="H108" s="17"/>
    </row>
    <row r="109">
      <c r="A109" s="17"/>
      <c r="H109" s="17"/>
    </row>
    <row r="110">
      <c r="A110" s="17"/>
      <c r="H110" s="17"/>
    </row>
    <row r="111">
      <c r="A111" s="17"/>
      <c r="H111" s="17"/>
    </row>
    <row r="112">
      <c r="A112" s="17"/>
      <c r="H112" s="17"/>
    </row>
    <row r="113">
      <c r="A113" s="17"/>
      <c r="H113" s="17"/>
    </row>
    <row r="114">
      <c r="A114" s="17"/>
      <c r="H114" s="17"/>
    </row>
    <row r="115">
      <c r="A115" s="17"/>
      <c r="H115" s="17"/>
    </row>
    <row r="116">
      <c r="A116" s="17"/>
      <c r="H116" s="17"/>
    </row>
    <row r="117">
      <c r="A117" s="17"/>
      <c r="H117" s="17"/>
    </row>
    <row r="118">
      <c r="A118" s="17"/>
      <c r="H118" s="17"/>
    </row>
    <row r="119">
      <c r="A119" s="17"/>
      <c r="H119" s="17"/>
    </row>
    <row r="120">
      <c r="A120" s="17"/>
      <c r="H120" s="17"/>
    </row>
    <row r="121">
      <c r="A121" s="17"/>
      <c r="H121" s="17"/>
    </row>
    <row r="122">
      <c r="A122" s="17"/>
      <c r="H122" s="17"/>
    </row>
    <row r="123">
      <c r="A123" s="17"/>
      <c r="H123" s="17"/>
    </row>
    <row r="124">
      <c r="A124" s="17"/>
      <c r="H124" s="17"/>
    </row>
    <row r="125">
      <c r="A125" s="17"/>
      <c r="H125" s="17"/>
    </row>
    <row r="126">
      <c r="A126" s="17"/>
      <c r="H126" s="17"/>
    </row>
    <row r="127">
      <c r="A127" s="17"/>
      <c r="H127" s="17"/>
    </row>
    <row r="128">
      <c r="A128" s="17"/>
      <c r="H128" s="17"/>
    </row>
    <row r="129">
      <c r="A129" s="17"/>
      <c r="H129" s="17"/>
    </row>
    <row r="130">
      <c r="A130" s="17"/>
      <c r="H130" s="17"/>
    </row>
    <row r="131">
      <c r="A131" s="17"/>
      <c r="H131" s="17"/>
    </row>
    <row r="132">
      <c r="A132" s="17"/>
      <c r="H132" s="17"/>
    </row>
    <row r="133">
      <c r="A133" s="17"/>
      <c r="H133" s="17"/>
    </row>
    <row r="134">
      <c r="A134" s="17"/>
      <c r="H134" s="17"/>
    </row>
    <row r="135">
      <c r="A135" s="17"/>
      <c r="H135" s="17"/>
    </row>
    <row r="136">
      <c r="A136" s="17"/>
      <c r="H136" s="17"/>
    </row>
    <row r="137">
      <c r="A137" s="17"/>
      <c r="H137" s="17"/>
    </row>
    <row r="138">
      <c r="A138" s="17"/>
      <c r="H138" s="17"/>
    </row>
    <row r="139">
      <c r="A139" s="17"/>
      <c r="H139" s="17"/>
    </row>
    <row r="140">
      <c r="A140" s="17"/>
      <c r="H140" s="17"/>
    </row>
    <row r="141">
      <c r="A141" s="17"/>
      <c r="H141" s="17"/>
    </row>
    <row r="142">
      <c r="A142" s="17"/>
      <c r="H142" s="17"/>
    </row>
    <row r="143">
      <c r="A143" s="17"/>
      <c r="H143" s="17"/>
    </row>
    <row r="144">
      <c r="A144" s="17"/>
      <c r="H144" s="17"/>
    </row>
    <row r="145">
      <c r="A145" s="17"/>
      <c r="H145" s="17"/>
    </row>
    <row r="146">
      <c r="A146" s="17"/>
      <c r="H146" s="17"/>
    </row>
    <row r="147">
      <c r="A147" s="17"/>
      <c r="H147" s="17"/>
    </row>
    <row r="148">
      <c r="A148" s="17"/>
      <c r="H148" s="17"/>
    </row>
    <row r="149">
      <c r="A149" s="17"/>
      <c r="H149" s="17"/>
    </row>
    <row r="150">
      <c r="A150" s="17"/>
      <c r="H150" s="17"/>
    </row>
    <row r="151">
      <c r="A151" s="17"/>
      <c r="H151" s="17"/>
    </row>
    <row r="152">
      <c r="A152" s="17"/>
      <c r="H152" s="17"/>
    </row>
    <row r="153">
      <c r="A153" s="17"/>
      <c r="H153" s="17"/>
    </row>
    <row r="154">
      <c r="A154" s="17"/>
      <c r="H154" s="17"/>
    </row>
    <row r="155">
      <c r="A155" s="17"/>
      <c r="H155" s="17"/>
    </row>
    <row r="156">
      <c r="A156" s="17"/>
      <c r="H156" s="17"/>
    </row>
    <row r="157">
      <c r="A157" s="17"/>
      <c r="H157" s="17"/>
    </row>
    <row r="158">
      <c r="A158" s="17"/>
      <c r="H158" s="17"/>
    </row>
    <row r="159">
      <c r="A159" s="17"/>
      <c r="H159" s="17"/>
    </row>
    <row r="160">
      <c r="A160" s="17"/>
      <c r="H160" s="17"/>
    </row>
    <row r="161">
      <c r="A161" s="17"/>
      <c r="H161" s="17"/>
    </row>
    <row r="162">
      <c r="A162" s="17"/>
      <c r="H162" s="17"/>
    </row>
    <row r="163">
      <c r="A163" s="17"/>
      <c r="H163" s="17"/>
    </row>
    <row r="164">
      <c r="A164" s="17"/>
      <c r="H164" s="17"/>
    </row>
    <row r="165">
      <c r="A165" s="17"/>
      <c r="H165" s="17"/>
    </row>
    <row r="166">
      <c r="A166" s="17"/>
      <c r="H166" s="17"/>
    </row>
    <row r="167">
      <c r="A167" s="17"/>
      <c r="H167" s="17"/>
    </row>
    <row r="168">
      <c r="A168" s="17"/>
      <c r="H168" s="17"/>
    </row>
    <row r="169">
      <c r="A169" s="17"/>
      <c r="H169" s="17"/>
    </row>
    <row r="170">
      <c r="A170" s="17"/>
      <c r="H170" s="17"/>
    </row>
    <row r="171">
      <c r="A171" s="17"/>
      <c r="H171" s="17"/>
    </row>
    <row r="172">
      <c r="A172" s="17"/>
      <c r="H172" s="17"/>
    </row>
    <row r="173">
      <c r="A173" s="17"/>
      <c r="H173" s="17"/>
    </row>
    <row r="174">
      <c r="A174" s="17"/>
      <c r="H174" s="17"/>
    </row>
    <row r="175">
      <c r="A175" s="17"/>
      <c r="H175" s="17"/>
    </row>
    <row r="176">
      <c r="A176" s="17"/>
      <c r="H176" s="17"/>
    </row>
    <row r="177">
      <c r="A177" s="17"/>
      <c r="H177" s="17"/>
    </row>
    <row r="178">
      <c r="A178" s="17"/>
      <c r="H178" s="17"/>
    </row>
    <row r="179">
      <c r="A179" s="17"/>
      <c r="H179" s="17"/>
    </row>
    <row r="180">
      <c r="A180" s="17"/>
      <c r="H180" s="17"/>
    </row>
    <row r="181">
      <c r="A181" s="17"/>
      <c r="H181" s="17"/>
    </row>
    <row r="182">
      <c r="A182" s="17"/>
      <c r="H182" s="17"/>
    </row>
    <row r="183">
      <c r="A183" s="17"/>
      <c r="H183" s="17"/>
    </row>
    <row r="184">
      <c r="A184" s="17"/>
      <c r="H184" s="17"/>
    </row>
    <row r="185">
      <c r="A185" s="17"/>
      <c r="H185" s="17"/>
    </row>
    <row r="186">
      <c r="A186" s="17"/>
      <c r="H186" s="17"/>
    </row>
    <row r="187">
      <c r="A187" s="17"/>
      <c r="H187" s="17"/>
    </row>
    <row r="188">
      <c r="A188" s="17"/>
      <c r="H188" s="17"/>
    </row>
    <row r="189">
      <c r="A189" s="17"/>
      <c r="H189" s="17"/>
    </row>
    <row r="190">
      <c r="A190" s="17"/>
      <c r="H190" s="17"/>
    </row>
    <row r="191">
      <c r="A191" s="17"/>
      <c r="H191" s="17"/>
    </row>
    <row r="192">
      <c r="A192" s="17"/>
      <c r="H192" s="17"/>
    </row>
    <row r="193">
      <c r="A193" s="17"/>
      <c r="H193" s="17"/>
    </row>
    <row r="194">
      <c r="A194" s="17"/>
      <c r="H194" s="17"/>
    </row>
    <row r="195">
      <c r="A195" s="17"/>
      <c r="H195" s="17"/>
    </row>
    <row r="196">
      <c r="A196" s="17"/>
      <c r="H196" s="17"/>
    </row>
    <row r="197">
      <c r="A197" s="17"/>
      <c r="H197" s="17"/>
    </row>
    <row r="198">
      <c r="A198" s="17"/>
      <c r="H198" s="17"/>
    </row>
    <row r="199">
      <c r="A199" s="17"/>
      <c r="H199" s="17"/>
    </row>
    <row r="200">
      <c r="A200" s="17"/>
      <c r="H200" s="17"/>
    </row>
    <row r="201">
      <c r="A201" s="17"/>
      <c r="H201" s="17"/>
    </row>
    <row r="202">
      <c r="A202" s="17"/>
      <c r="H202" s="17"/>
    </row>
    <row r="203">
      <c r="A203" s="17"/>
      <c r="H203" s="17"/>
    </row>
    <row r="204">
      <c r="A204" s="17"/>
      <c r="H204" s="17"/>
    </row>
    <row r="205">
      <c r="A205" s="17"/>
      <c r="H205" s="17"/>
    </row>
    <row r="206">
      <c r="A206" s="17"/>
      <c r="H206" s="17"/>
    </row>
    <row r="207">
      <c r="A207" s="17"/>
      <c r="H207" s="17"/>
    </row>
    <row r="208">
      <c r="A208" s="17"/>
      <c r="H208" s="17"/>
    </row>
    <row r="209">
      <c r="A209" s="17"/>
      <c r="H209" s="17"/>
    </row>
    <row r="210">
      <c r="A210" s="17"/>
      <c r="H210" s="17"/>
    </row>
    <row r="211">
      <c r="A211" s="17"/>
      <c r="H211" s="17"/>
    </row>
    <row r="212">
      <c r="A212" s="17"/>
      <c r="H212" s="17"/>
    </row>
    <row r="213">
      <c r="A213" s="17"/>
      <c r="H213" s="17"/>
    </row>
    <row r="214">
      <c r="A214" s="17"/>
      <c r="H214" s="17"/>
    </row>
    <row r="215">
      <c r="A215" s="17"/>
      <c r="H215" s="17"/>
    </row>
    <row r="216">
      <c r="A216" s="17"/>
      <c r="H216" s="17"/>
    </row>
    <row r="217">
      <c r="A217" s="17"/>
      <c r="H217" s="17"/>
    </row>
    <row r="218">
      <c r="A218" s="17"/>
      <c r="H218" s="17"/>
    </row>
    <row r="219">
      <c r="A219" s="17"/>
      <c r="H219" s="17"/>
    </row>
    <row r="220">
      <c r="A220" s="17"/>
      <c r="H220" s="17"/>
    </row>
    <row r="221">
      <c r="A221" s="17"/>
      <c r="H221" s="17"/>
    </row>
    <row r="222">
      <c r="A222" s="17"/>
      <c r="H222" s="17"/>
    </row>
    <row r="223">
      <c r="A223" s="17"/>
      <c r="H223" s="17"/>
    </row>
    <row r="224">
      <c r="A224" s="17"/>
      <c r="H224" s="17"/>
    </row>
    <row r="225">
      <c r="A225" s="17"/>
      <c r="H225" s="17"/>
    </row>
    <row r="226">
      <c r="A226" s="17"/>
      <c r="H226" s="17"/>
    </row>
    <row r="227">
      <c r="A227" s="17"/>
      <c r="H227" s="17"/>
    </row>
    <row r="228">
      <c r="A228" s="17"/>
      <c r="H228" s="17"/>
    </row>
    <row r="229">
      <c r="A229" s="17"/>
      <c r="H229" s="17"/>
    </row>
    <row r="230">
      <c r="A230" s="17"/>
      <c r="H230" s="17"/>
    </row>
    <row r="231">
      <c r="A231" s="17"/>
      <c r="H231" s="17"/>
    </row>
    <row r="232">
      <c r="A232" s="17"/>
      <c r="H232" s="17"/>
    </row>
    <row r="233">
      <c r="A233" s="17"/>
      <c r="H233" s="17"/>
    </row>
    <row r="234">
      <c r="A234" s="17"/>
      <c r="H234" s="17"/>
    </row>
    <row r="235">
      <c r="A235" s="17"/>
      <c r="H235" s="17"/>
    </row>
    <row r="236">
      <c r="A236" s="17"/>
      <c r="H236" s="17"/>
    </row>
    <row r="237">
      <c r="A237" s="17"/>
      <c r="H237" s="17"/>
    </row>
    <row r="238">
      <c r="A238" s="17"/>
      <c r="H238" s="17"/>
    </row>
    <row r="239">
      <c r="A239" s="17"/>
      <c r="H239" s="17"/>
    </row>
    <row r="240">
      <c r="A240" s="17"/>
      <c r="H240" s="17"/>
    </row>
    <row r="241">
      <c r="A241" s="17"/>
      <c r="H241" s="17"/>
    </row>
    <row r="242">
      <c r="A242" s="17"/>
      <c r="H242" s="17"/>
    </row>
    <row r="243">
      <c r="A243" s="17"/>
      <c r="H243" s="17"/>
    </row>
    <row r="244">
      <c r="A244" s="17"/>
      <c r="H244" s="17"/>
    </row>
    <row r="245">
      <c r="A245" s="17"/>
      <c r="H245" s="17"/>
    </row>
    <row r="246">
      <c r="A246" s="17"/>
      <c r="H246" s="17"/>
    </row>
    <row r="247">
      <c r="A247" s="17"/>
      <c r="H247" s="17"/>
    </row>
    <row r="248">
      <c r="A248" s="17"/>
      <c r="H248" s="17"/>
    </row>
    <row r="249">
      <c r="A249" s="17"/>
      <c r="H249" s="17"/>
    </row>
    <row r="250">
      <c r="A250" s="17"/>
      <c r="H250" s="17"/>
    </row>
    <row r="251">
      <c r="A251" s="17"/>
      <c r="H251" s="17"/>
    </row>
    <row r="252">
      <c r="A252" s="17"/>
      <c r="H252" s="17"/>
    </row>
    <row r="253">
      <c r="A253" s="17"/>
      <c r="H253" s="17"/>
    </row>
    <row r="254">
      <c r="A254" s="17"/>
      <c r="H254" s="17"/>
    </row>
    <row r="255">
      <c r="A255" s="17"/>
      <c r="H255" s="17"/>
    </row>
    <row r="256">
      <c r="A256" s="17"/>
      <c r="H256" s="17"/>
    </row>
    <row r="257">
      <c r="A257" s="17"/>
      <c r="H257" s="17"/>
    </row>
    <row r="258">
      <c r="A258" s="17"/>
      <c r="H258" s="17"/>
    </row>
    <row r="259">
      <c r="A259" s="17"/>
      <c r="H259" s="17"/>
    </row>
    <row r="260">
      <c r="A260" s="17"/>
      <c r="H260" s="17"/>
    </row>
    <row r="261">
      <c r="A261" s="17"/>
      <c r="H261" s="17"/>
    </row>
    <row r="262">
      <c r="A262" s="17"/>
      <c r="H262" s="17"/>
    </row>
    <row r="263">
      <c r="A263" s="17"/>
      <c r="H263" s="17"/>
    </row>
    <row r="264">
      <c r="A264" s="17"/>
      <c r="H264" s="17"/>
    </row>
    <row r="265">
      <c r="A265" s="17"/>
      <c r="H265" s="17"/>
    </row>
    <row r="266">
      <c r="A266" s="17"/>
      <c r="H266" s="17"/>
    </row>
    <row r="267">
      <c r="A267" s="17"/>
      <c r="H267" s="17"/>
    </row>
    <row r="268">
      <c r="A268" s="17"/>
      <c r="H268" s="17"/>
    </row>
    <row r="269">
      <c r="A269" s="17"/>
      <c r="H269" s="17"/>
    </row>
    <row r="270">
      <c r="A270" s="17"/>
      <c r="H270" s="17"/>
    </row>
    <row r="271">
      <c r="A271" s="17"/>
      <c r="H271" s="17"/>
    </row>
    <row r="272">
      <c r="A272" s="17"/>
      <c r="H272" s="17"/>
    </row>
    <row r="273">
      <c r="A273" s="17"/>
      <c r="H273" s="17"/>
    </row>
    <row r="274">
      <c r="A274" s="17"/>
      <c r="H274" s="17"/>
    </row>
    <row r="275">
      <c r="A275" s="17"/>
      <c r="H275" s="17"/>
    </row>
    <row r="276">
      <c r="A276" s="17"/>
      <c r="H276" s="17"/>
    </row>
    <row r="277">
      <c r="A277" s="17"/>
      <c r="H277" s="17"/>
    </row>
    <row r="278">
      <c r="A278" s="17"/>
      <c r="H278" s="17"/>
    </row>
    <row r="279">
      <c r="A279" s="17"/>
      <c r="H279" s="17"/>
    </row>
    <row r="280">
      <c r="A280" s="17"/>
      <c r="H280" s="17"/>
    </row>
    <row r="281">
      <c r="A281" s="17"/>
      <c r="H281" s="17"/>
    </row>
    <row r="282">
      <c r="A282" s="17"/>
      <c r="H282" s="17"/>
    </row>
    <row r="283">
      <c r="A283" s="17"/>
      <c r="H283" s="17"/>
    </row>
    <row r="284">
      <c r="A284" s="17"/>
      <c r="H284" s="17"/>
    </row>
    <row r="285">
      <c r="A285" s="17"/>
      <c r="H285" s="17"/>
    </row>
    <row r="286">
      <c r="A286" s="17"/>
      <c r="H286" s="17"/>
    </row>
    <row r="287">
      <c r="A287" s="17"/>
      <c r="H287" s="17"/>
    </row>
    <row r="288">
      <c r="A288" s="17"/>
      <c r="H288" s="17"/>
    </row>
    <row r="289">
      <c r="A289" s="17"/>
      <c r="H289" s="17"/>
    </row>
    <row r="290">
      <c r="A290" s="17"/>
      <c r="H290" s="17"/>
    </row>
    <row r="291">
      <c r="A291" s="17"/>
      <c r="H291" s="17"/>
    </row>
    <row r="292">
      <c r="A292" s="17"/>
      <c r="H292" s="17"/>
    </row>
    <row r="293">
      <c r="A293" s="17"/>
      <c r="H293" s="17"/>
    </row>
    <row r="294">
      <c r="A294" s="17"/>
      <c r="H294" s="17"/>
    </row>
    <row r="295">
      <c r="A295" s="17"/>
      <c r="H295" s="17"/>
    </row>
    <row r="296">
      <c r="A296" s="17"/>
      <c r="H296" s="17"/>
    </row>
    <row r="297">
      <c r="A297" s="17"/>
      <c r="H297" s="17"/>
    </row>
    <row r="298">
      <c r="A298" s="17"/>
      <c r="H298" s="17"/>
    </row>
    <row r="299">
      <c r="A299" s="17"/>
      <c r="H299" s="17"/>
    </row>
    <row r="300">
      <c r="A300" s="17"/>
      <c r="H300" s="17"/>
    </row>
    <row r="301">
      <c r="A301" s="17"/>
      <c r="H301" s="17"/>
    </row>
    <row r="302">
      <c r="A302" s="17"/>
      <c r="H302" s="17"/>
    </row>
    <row r="303">
      <c r="A303" s="17"/>
      <c r="H303" s="17"/>
    </row>
    <row r="304">
      <c r="A304" s="17"/>
      <c r="H304" s="17"/>
    </row>
    <row r="305">
      <c r="A305" s="17"/>
      <c r="H305" s="17"/>
    </row>
    <row r="306">
      <c r="A306" s="17"/>
      <c r="H306" s="17"/>
    </row>
    <row r="307">
      <c r="A307" s="17"/>
      <c r="H307" s="17"/>
    </row>
    <row r="308">
      <c r="A308" s="17"/>
      <c r="H308" s="17"/>
    </row>
    <row r="309">
      <c r="A309" s="17"/>
      <c r="H309" s="17"/>
    </row>
    <row r="310">
      <c r="A310" s="17"/>
      <c r="H310" s="17"/>
    </row>
    <row r="311">
      <c r="A311" s="17"/>
      <c r="H311" s="17"/>
    </row>
    <row r="312">
      <c r="A312" s="17"/>
      <c r="H312" s="17"/>
    </row>
    <row r="313">
      <c r="A313" s="17"/>
      <c r="H313" s="17"/>
    </row>
    <row r="314">
      <c r="A314" s="17"/>
      <c r="H314" s="17"/>
    </row>
    <row r="315">
      <c r="A315" s="17"/>
      <c r="H315" s="17"/>
    </row>
    <row r="316">
      <c r="A316" s="17"/>
      <c r="H316" s="17"/>
    </row>
    <row r="317">
      <c r="A317" s="17"/>
      <c r="H317" s="17"/>
    </row>
    <row r="318">
      <c r="A318" s="17"/>
      <c r="H318" s="17"/>
    </row>
    <row r="319">
      <c r="A319" s="17"/>
      <c r="H319" s="17"/>
    </row>
    <row r="320">
      <c r="A320" s="17"/>
      <c r="H320" s="17"/>
    </row>
    <row r="321">
      <c r="A321" s="17"/>
      <c r="H321" s="17"/>
    </row>
    <row r="322">
      <c r="A322" s="17"/>
      <c r="H322" s="17"/>
    </row>
    <row r="323">
      <c r="A323" s="17"/>
      <c r="H323" s="17"/>
    </row>
    <row r="324">
      <c r="A324" s="17"/>
      <c r="H324" s="17"/>
    </row>
    <row r="325">
      <c r="A325" s="17"/>
      <c r="H325" s="17"/>
    </row>
    <row r="326">
      <c r="A326" s="17"/>
      <c r="H326" s="17"/>
    </row>
    <row r="327">
      <c r="A327" s="17"/>
      <c r="H327" s="17"/>
    </row>
    <row r="328">
      <c r="A328" s="17"/>
      <c r="H328" s="17"/>
    </row>
    <row r="329">
      <c r="A329" s="17"/>
      <c r="H329" s="17"/>
    </row>
    <row r="330">
      <c r="A330" s="17"/>
      <c r="H330" s="17"/>
    </row>
    <row r="331">
      <c r="A331" s="17"/>
      <c r="H331" s="17"/>
    </row>
    <row r="332">
      <c r="A332" s="17"/>
      <c r="H332" s="17"/>
    </row>
    <row r="333">
      <c r="A333" s="17"/>
      <c r="H333" s="17"/>
    </row>
    <row r="334">
      <c r="A334" s="17"/>
      <c r="H334" s="17"/>
    </row>
    <row r="335">
      <c r="A335" s="17"/>
      <c r="H335" s="17"/>
    </row>
    <row r="336">
      <c r="A336" s="17"/>
      <c r="H336" s="17"/>
    </row>
    <row r="337">
      <c r="A337" s="17"/>
      <c r="H337" s="17"/>
    </row>
    <row r="338">
      <c r="A338" s="17"/>
      <c r="H338" s="17"/>
    </row>
    <row r="339">
      <c r="A339" s="17"/>
      <c r="H339" s="17"/>
    </row>
    <row r="340">
      <c r="A340" s="17"/>
      <c r="H340" s="17"/>
    </row>
    <row r="341">
      <c r="A341" s="17"/>
      <c r="H341" s="17"/>
    </row>
    <row r="342">
      <c r="A342" s="17"/>
      <c r="H342" s="17"/>
    </row>
    <row r="343">
      <c r="A343" s="17"/>
      <c r="H343" s="17"/>
    </row>
    <row r="344">
      <c r="A344" s="17"/>
      <c r="H344" s="17"/>
    </row>
    <row r="345">
      <c r="A345" s="17"/>
      <c r="H345" s="17"/>
    </row>
    <row r="346">
      <c r="A346" s="17"/>
      <c r="H346" s="17"/>
    </row>
    <row r="347">
      <c r="A347" s="17"/>
      <c r="H347" s="17"/>
    </row>
    <row r="348">
      <c r="A348" s="17"/>
      <c r="H348" s="17"/>
    </row>
    <row r="349">
      <c r="A349" s="17"/>
      <c r="H349" s="17"/>
    </row>
    <row r="350">
      <c r="A350" s="17"/>
      <c r="H350" s="17"/>
    </row>
    <row r="351">
      <c r="A351" s="17"/>
      <c r="H351" s="17"/>
    </row>
    <row r="352">
      <c r="A352" s="17"/>
      <c r="H352" s="17"/>
    </row>
    <row r="353">
      <c r="A353" s="17"/>
      <c r="H353" s="17"/>
    </row>
    <row r="354">
      <c r="A354" s="17"/>
      <c r="H354" s="17"/>
    </row>
    <row r="355">
      <c r="A355" s="17"/>
      <c r="H355" s="17"/>
    </row>
    <row r="356">
      <c r="A356" s="17"/>
      <c r="H356" s="17"/>
    </row>
    <row r="357">
      <c r="A357" s="17"/>
      <c r="H357" s="17"/>
    </row>
    <row r="358">
      <c r="A358" s="17"/>
      <c r="H358" s="17"/>
    </row>
    <row r="359">
      <c r="A359" s="17"/>
      <c r="H359" s="17"/>
    </row>
    <row r="360">
      <c r="A360" s="17"/>
      <c r="H360" s="17"/>
    </row>
    <row r="361">
      <c r="A361" s="17"/>
      <c r="H361" s="17"/>
    </row>
    <row r="362">
      <c r="A362" s="17"/>
      <c r="H362" s="17"/>
    </row>
    <row r="363">
      <c r="A363" s="17"/>
      <c r="H363" s="17"/>
    </row>
    <row r="364">
      <c r="A364" s="17"/>
      <c r="H364" s="17"/>
    </row>
    <row r="365">
      <c r="A365" s="17"/>
      <c r="H365" s="17"/>
    </row>
    <row r="366">
      <c r="A366" s="17"/>
      <c r="H366" s="17"/>
    </row>
    <row r="367">
      <c r="A367" s="17"/>
      <c r="H367" s="17"/>
    </row>
    <row r="368">
      <c r="A368" s="17"/>
      <c r="H368" s="17"/>
    </row>
    <row r="369">
      <c r="A369" s="17"/>
      <c r="H369" s="17"/>
    </row>
    <row r="370">
      <c r="A370" s="17"/>
      <c r="H370" s="17"/>
    </row>
    <row r="371">
      <c r="A371" s="17"/>
      <c r="H371" s="17"/>
    </row>
    <row r="372">
      <c r="A372" s="17"/>
      <c r="H372" s="17"/>
    </row>
    <row r="373">
      <c r="A373" s="17"/>
      <c r="H373" s="17"/>
    </row>
    <row r="374">
      <c r="A374" s="17"/>
      <c r="H374" s="17"/>
    </row>
    <row r="375">
      <c r="A375" s="17"/>
      <c r="H375" s="17"/>
    </row>
    <row r="376">
      <c r="A376" s="17"/>
      <c r="H376" s="17"/>
    </row>
    <row r="377">
      <c r="A377" s="17"/>
      <c r="H377" s="17"/>
    </row>
    <row r="378">
      <c r="A378" s="17"/>
      <c r="H378" s="17"/>
    </row>
    <row r="379">
      <c r="A379" s="17"/>
      <c r="H379" s="17"/>
    </row>
    <row r="380">
      <c r="A380" s="17"/>
      <c r="H380" s="17"/>
    </row>
    <row r="381">
      <c r="A381" s="17"/>
      <c r="H381" s="17"/>
    </row>
    <row r="382">
      <c r="A382" s="17"/>
      <c r="H382" s="17"/>
    </row>
    <row r="383">
      <c r="A383" s="17"/>
      <c r="H383" s="17"/>
    </row>
    <row r="384">
      <c r="A384" s="17"/>
      <c r="H384" s="17"/>
    </row>
    <row r="385">
      <c r="A385" s="17"/>
      <c r="H385" s="17"/>
    </row>
    <row r="386">
      <c r="A386" s="17"/>
      <c r="H386" s="17"/>
    </row>
    <row r="387">
      <c r="A387" s="17"/>
      <c r="H387" s="17"/>
    </row>
    <row r="388">
      <c r="A388" s="17"/>
      <c r="H388" s="17"/>
    </row>
    <row r="389">
      <c r="A389" s="17"/>
      <c r="H389" s="17"/>
    </row>
    <row r="390">
      <c r="A390" s="17"/>
      <c r="H390" s="17"/>
    </row>
    <row r="391">
      <c r="A391" s="17"/>
      <c r="H391" s="17"/>
    </row>
    <row r="392">
      <c r="A392" s="17"/>
      <c r="H392" s="17"/>
    </row>
    <row r="393">
      <c r="A393" s="17"/>
      <c r="H393" s="17"/>
    </row>
    <row r="394">
      <c r="A394" s="17"/>
      <c r="H394" s="17"/>
    </row>
    <row r="395">
      <c r="A395" s="17"/>
      <c r="H395" s="17"/>
    </row>
    <row r="396">
      <c r="A396" s="17"/>
      <c r="H396" s="17"/>
    </row>
    <row r="397">
      <c r="A397" s="17"/>
      <c r="H397" s="17"/>
    </row>
    <row r="398">
      <c r="A398" s="17"/>
      <c r="H398" s="17"/>
    </row>
    <row r="399">
      <c r="A399" s="17"/>
      <c r="H399" s="17"/>
    </row>
    <row r="400">
      <c r="A400" s="17"/>
      <c r="H400" s="17"/>
    </row>
    <row r="401">
      <c r="A401" s="17"/>
      <c r="H401" s="17"/>
    </row>
    <row r="402">
      <c r="A402" s="17"/>
      <c r="H402" s="17"/>
    </row>
    <row r="403">
      <c r="A403" s="17"/>
      <c r="H403" s="17"/>
    </row>
    <row r="404">
      <c r="A404" s="17"/>
      <c r="H404" s="17"/>
    </row>
    <row r="405">
      <c r="A405" s="17"/>
      <c r="H405" s="17"/>
    </row>
    <row r="406">
      <c r="A406" s="17"/>
      <c r="H406" s="17"/>
    </row>
    <row r="407">
      <c r="A407" s="17"/>
      <c r="H407" s="17"/>
    </row>
    <row r="408">
      <c r="A408" s="17"/>
      <c r="H408" s="17"/>
    </row>
    <row r="409">
      <c r="A409" s="17"/>
      <c r="H409" s="17"/>
    </row>
    <row r="410">
      <c r="A410" s="17"/>
      <c r="H410" s="17"/>
    </row>
    <row r="411">
      <c r="A411" s="17"/>
      <c r="H411" s="17"/>
    </row>
    <row r="412">
      <c r="A412" s="17"/>
      <c r="H412" s="17"/>
    </row>
    <row r="413">
      <c r="A413" s="17"/>
      <c r="H413" s="17"/>
    </row>
    <row r="414">
      <c r="A414" s="17"/>
      <c r="H414" s="17"/>
    </row>
    <row r="415">
      <c r="A415" s="17"/>
      <c r="H415" s="17"/>
    </row>
    <row r="416">
      <c r="A416" s="17"/>
      <c r="H416" s="17"/>
    </row>
    <row r="417">
      <c r="A417" s="17"/>
      <c r="H417" s="17"/>
    </row>
    <row r="418">
      <c r="A418" s="17"/>
      <c r="H418" s="17"/>
    </row>
    <row r="419">
      <c r="A419" s="17"/>
      <c r="H419" s="17"/>
    </row>
    <row r="420">
      <c r="A420" s="17"/>
      <c r="H420" s="17"/>
    </row>
    <row r="421">
      <c r="A421" s="17"/>
      <c r="H421" s="17"/>
    </row>
    <row r="422">
      <c r="A422" s="17"/>
      <c r="H422" s="17"/>
    </row>
    <row r="423">
      <c r="A423" s="17"/>
      <c r="H423" s="17"/>
    </row>
    <row r="424">
      <c r="A424" s="17"/>
      <c r="H424" s="17"/>
    </row>
    <row r="425">
      <c r="A425" s="17"/>
      <c r="H425" s="17"/>
    </row>
    <row r="426">
      <c r="A426" s="17"/>
      <c r="H426" s="17"/>
    </row>
    <row r="427">
      <c r="A427" s="17"/>
      <c r="H427" s="17"/>
    </row>
    <row r="428">
      <c r="A428" s="17"/>
      <c r="H428" s="17"/>
    </row>
    <row r="429">
      <c r="A429" s="17"/>
      <c r="H429" s="17"/>
    </row>
    <row r="430">
      <c r="A430" s="17"/>
      <c r="H430" s="17"/>
    </row>
    <row r="431">
      <c r="A431" s="17"/>
      <c r="H431" s="17"/>
    </row>
    <row r="432">
      <c r="A432" s="17"/>
      <c r="H432" s="17"/>
    </row>
    <row r="433">
      <c r="A433" s="17"/>
      <c r="H433" s="17"/>
    </row>
    <row r="434">
      <c r="A434" s="17"/>
      <c r="H434" s="17"/>
    </row>
    <row r="435">
      <c r="A435" s="17"/>
      <c r="H435" s="17"/>
    </row>
    <row r="436">
      <c r="A436" s="17"/>
      <c r="H436" s="17"/>
    </row>
    <row r="437">
      <c r="A437" s="17"/>
      <c r="H437" s="17"/>
    </row>
    <row r="438">
      <c r="A438" s="17"/>
      <c r="H438" s="17"/>
    </row>
    <row r="439">
      <c r="A439" s="17"/>
      <c r="H439" s="17"/>
    </row>
    <row r="440">
      <c r="A440" s="17"/>
      <c r="H440" s="17"/>
    </row>
    <row r="441">
      <c r="A441" s="17"/>
      <c r="H441" s="17"/>
    </row>
    <row r="442">
      <c r="A442" s="17"/>
      <c r="H442" s="17"/>
    </row>
    <row r="443">
      <c r="A443" s="17"/>
      <c r="H443" s="17"/>
    </row>
    <row r="444">
      <c r="A444" s="17"/>
      <c r="H444" s="17"/>
    </row>
    <row r="445">
      <c r="A445" s="17"/>
      <c r="H445" s="17"/>
    </row>
    <row r="446">
      <c r="A446" s="17"/>
      <c r="H446" s="17"/>
    </row>
    <row r="447">
      <c r="A447" s="17"/>
      <c r="H447" s="17"/>
    </row>
    <row r="448">
      <c r="A448" s="17"/>
      <c r="H448" s="17"/>
    </row>
    <row r="449">
      <c r="A449" s="17"/>
      <c r="H449" s="17"/>
    </row>
    <row r="450">
      <c r="A450" s="17"/>
      <c r="H450" s="17"/>
    </row>
    <row r="451">
      <c r="A451" s="17"/>
      <c r="H451" s="17"/>
    </row>
    <row r="452">
      <c r="A452" s="17"/>
      <c r="H452" s="17"/>
    </row>
    <row r="453">
      <c r="A453" s="17"/>
      <c r="H453" s="17"/>
    </row>
    <row r="454">
      <c r="A454" s="17"/>
      <c r="H454" s="17"/>
    </row>
    <row r="455">
      <c r="A455" s="17"/>
      <c r="H455" s="17"/>
    </row>
    <row r="456">
      <c r="A456" s="17"/>
      <c r="H456" s="17"/>
    </row>
    <row r="457">
      <c r="A457" s="17"/>
      <c r="H457" s="17"/>
    </row>
    <row r="458">
      <c r="A458" s="17"/>
      <c r="H458" s="17"/>
    </row>
    <row r="459">
      <c r="A459" s="17"/>
      <c r="H459" s="17"/>
    </row>
    <row r="460">
      <c r="A460" s="17"/>
      <c r="H460" s="17"/>
    </row>
    <row r="461">
      <c r="A461" s="17"/>
      <c r="H461" s="17"/>
    </row>
    <row r="462">
      <c r="A462" s="17"/>
      <c r="H462" s="17"/>
    </row>
    <row r="463">
      <c r="A463" s="17"/>
      <c r="H463" s="17"/>
    </row>
    <row r="464">
      <c r="A464" s="17"/>
      <c r="H464" s="17"/>
    </row>
    <row r="465">
      <c r="A465" s="17"/>
      <c r="H465" s="17"/>
    </row>
    <row r="466">
      <c r="A466" s="17"/>
      <c r="H466" s="17"/>
    </row>
    <row r="467">
      <c r="A467" s="17"/>
      <c r="H467" s="17"/>
    </row>
    <row r="468">
      <c r="A468" s="17"/>
      <c r="H468" s="17"/>
    </row>
    <row r="469">
      <c r="A469" s="17"/>
      <c r="H469" s="17"/>
    </row>
    <row r="470">
      <c r="A470" s="17"/>
      <c r="H470" s="17"/>
    </row>
    <row r="471">
      <c r="A471" s="17"/>
      <c r="H471" s="17"/>
    </row>
    <row r="472">
      <c r="A472" s="17"/>
      <c r="H472" s="17"/>
    </row>
    <row r="473">
      <c r="A473" s="17"/>
      <c r="H473" s="17"/>
    </row>
    <row r="474">
      <c r="A474" s="17"/>
      <c r="H474" s="17"/>
    </row>
    <row r="475">
      <c r="A475" s="17"/>
      <c r="H475" s="17"/>
    </row>
    <row r="476">
      <c r="A476" s="17"/>
      <c r="H476" s="17"/>
    </row>
    <row r="477">
      <c r="A477" s="17"/>
      <c r="H477" s="17"/>
    </row>
    <row r="478">
      <c r="A478" s="17"/>
      <c r="H478" s="17"/>
    </row>
    <row r="479">
      <c r="A479" s="17"/>
      <c r="H479" s="17"/>
    </row>
    <row r="480">
      <c r="A480" s="17"/>
      <c r="H480" s="17"/>
    </row>
    <row r="481">
      <c r="A481" s="17"/>
      <c r="H481" s="17"/>
    </row>
    <row r="482">
      <c r="A482" s="17"/>
      <c r="H482" s="17"/>
    </row>
    <row r="483">
      <c r="A483" s="17"/>
      <c r="H483" s="17"/>
    </row>
    <row r="484">
      <c r="A484" s="17"/>
      <c r="H484" s="17"/>
    </row>
    <row r="485">
      <c r="A485" s="17"/>
      <c r="H485" s="17"/>
    </row>
    <row r="486">
      <c r="A486" s="17"/>
      <c r="H486" s="17"/>
    </row>
    <row r="487">
      <c r="A487" s="17"/>
      <c r="H487" s="17"/>
    </row>
    <row r="488">
      <c r="A488" s="17"/>
      <c r="H488" s="17"/>
    </row>
    <row r="489">
      <c r="A489" s="17"/>
      <c r="H489" s="17"/>
    </row>
    <row r="490">
      <c r="A490" s="17"/>
      <c r="H490" s="17"/>
    </row>
    <row r="491">
      <c r="A491" s="17"/>
      <c r="H491" s="17"/>
    </row>
    <row r="492">
      <c r="A492" s="17"/>
      <c r="H492" s="17"/>
    </row>
    <row r="493">
      <c r="A493" s="17"/>
      <c r="H493" s="17"/>
    </row>
    <row r="494">
      <c r="A494" s="17"/>
      <c r="H494" s="17"/>
    </row>
    <row r="495">
      <c r="A495" s="17"/>
      <c r="H495" s="17"/>
    </row>
    <row r="496">
      <c r="A496" s="17"/>
      <c r="H496" s="17"/>
    </row>
    <row r="497">
      <c r="A497" s="17"/>
      <c r="H497" s="17"/>
    </row>
    <row r="498">
      <c r="A498" s="17"/>
      <c r="H498" s="17"/>
    </row>
    <row r="499">
      <c r="A499" s="17"/>
      <c r="H499" s="17"/>
    </row>
    <row r="500">
      <c r="A500" s="17"/>
      <c r="H500" s="17"/>
    </row>
    <row r="501">
      <c r="A501" s="17"/>
      <c r="H501" s="17"/>
    </row>
    <row r="502">
      <c r="A502" s="17"/>
      <c r="H502" s="17"/>
    </row>
    <row r="503">
      <c r="A503" s="17"/>
      <c r="H503" s="17"/>
    </row>
    <row r="504">
      <c r="A504" s="17"/>
      <c r="H504" s="17"/>
    </row>
    <row r="505">
      <c r="A505" s="17"/>
      <c r="H505" s="17"/>
    </row>
    <row r="506">
      <c r="A506" s="17"/>
      <c r="H506" s="17"/>
    </row>
    <row r="507">
      <c r="A507" s="17"/>
      <c r="H507" s="17"/>
    </row>
    <row r="508">
      <c r="A508" s="17"/>
      <c r="H508" s="17"/>
    </row>
    <row r="509">
      <c r="A509" s="17"/>
      <c r="H509" s="17"/>
    </row>
    <row r="510">
      <c r="A510" s="17"/>
      <c r="H510" s="17"/>
    </row>
    <row r="511">
      <c r="A511" s="17"/>
      <c r="H511" s="17"/>
    </row>
    <row r="512">
      <c r="A512" s="17"/>
      <c r="H512" s="17"/>
    </row>
    <row r="513">
      <c r="A513" s="17"/>
      <c r="H513" s="17"/>
    </row>
    <row r="514">
      <c r="A514" s="17"/>
      <c r="H514" s="17"/>
    </row>
    <row r="515">
      <c r="A515" s="17"/>
      <c r="H515" s="17"/>
    </row>
    <row r="516">
      <c r="A516" s="17"/>
      <c r="H516" s="17"/>
    </row>
    <row r="517">
      <c r="A517" s="17"/>
      <c r="H517" s="17"/>
    </row>
    <row r="518">
      <c r="A518" s="17"/>
      <c r="H518" s="17"/>
    </row>
    <row r="519">
      <c r="A519" s="17"/>
      <c r="H519" s="17"/>
    </row>
    <row r="520">
      <c r="A520" s="17"/>
      <c r="H520" s="17"/>
    </row>
    <row r="521">
      <c r="A521" s="17"/>
      <c r="H521" s="17"/>
    </row>
    <row r="522">
      <c r="A522" s="17"/>
      <c r="H522" s="17"/>
    </row>
    <row r="523">
      <c r="A523" s="17"/>
      <c r="H523" s="17"/>
    </row>
    <row r="524">
      <c r="A524" s="17"/>
      <c r="H524" s="17"/>
    </row>
    <row r="525">
      <c r="A525" s="17"/>
      <c r="H525" s="17"/>
    </row>
    <row r="526">
      <c r="A526" s="17"/>
      <c r="H526" s="17"/>
    </row>
    <row r="527">
      <c r="A527" s="17"/>
      <c r="H527" s="17"/>
    </row>
    <row r="528">
      <c r="A528" s="17"/>
      <c r="H528" s="17"/>
    </row>
    <row r="529">
      <c r="A529" s="17"/>
      <c r="H529" s="17"/>
    </row>
    <row r="530">
      <c r="A530" s="17"/>
      <c r="H530" s="17"/>
    </row>
    <row r="531">
      <c r="A531" s="17"/>
      <c r="H531" s="17"/>
    </row>
    <row r="532">
      <c r="A532" s="17"/>
      <c r="H532" s="17"/>
    </row>
    <row r="533">
      <c r="A533" s="17"/>
      <c r="H533" s="17"/>
    </row>
    <row r="534">
      <c r="A534" s="17"/>
      <c r="H534" s="17"/>
    </row>
    <row r="535">
      <c r="A535" s="17"/>
      <c r="H535" s="17"/>
    </row>
    <row r="536">
      <c r="A536" s="17"/>
      <c r="H536" s="17"/>
    </row>
    <row r="537">
      <c r="A537" s="17"/>
      <c r="H537" s="17"/>
    </row>
    <row r="538">
      <c r="A538" s="17"/>
      <c r="H538" s="17"/>
    </row>
    <row r="539">
      <c r="A539" s="17"/>
      <c r="H539" s="17"/>
    </row>
    <row r="540">
      <c r="A540" s="17"/>
      <c r="H540" s="17"/>
    </row>
    <row r="541">
      <c r="A541" s="17"/>
      <c r="H541" s="17"/>
    </row>
    <row r="542">
      <c r="A542" s="17"/>
      <c r="H542" s="17"/>
    </row>
    <row r="543">
      <c r="A543" s="17"/>
      <c r="H543" s="17"/>
    </row>
    <row r="544">
      <c r="A544" s="17"/>
      <c r="H544" s="17"/>
    </row>
    <row r="545">
      <c r="A545" s="17"/>
      <c r="H545" s="17"/>
    </row>
    <row r="546">
      <c r="A546" s="17"/>
      <c r="H546" s="17"/>
    </row>
    <row r="547">
      <c r="A547" s="17"/>
      <c r="H547" s="17"/>
    </row>
    <row r="548">
      <c r="A548" s="17"/>
      <c r="H548" s="17"/>
    </row>
    <row r="549">
      <c r="A549" s="17"/>
      <c r="H549" s="17"/>
    </row>
    <row r="550">
      <c r="A550" s="17"/>
      <c r="H550" s="17"/>
    </row>
    <row r="551">
      <c r="A551" s="17"/>
      <c r="H551" s="17"/>
    </row>
    <row r="552">
      <c r="A552" s="17"/>
      <c r="H552" s="17"/>
    </row>
    <row r="553">
      <c r="A553" s="17"/>
      <c r="H553" s="17"/>
    </row>
    <row r="554">
      <c r="A554" s="17"/>
      <c r="H554" s="17"/>
    </row>
    <row r="555">
      <c r="A555" s="17"/>
      <c r="H555" s="17"/>
    </row>
    <row r="556">
      <c r="A556" s="17"/>
      <c r="H556" s="17"/>
    </row>
    <row r="557">
      <c r="A557" s="17"/>
      <c r="H557" s="17"/>
    </row>
    <row r="558">
      <c r="A558" s="17"/>
      <c r="H558" s="17"/>
    </row>
    <row r="559">
      <c r="A559" s="17"/>
      <c r="H559" s="17"/>
    </row>
    <row r="560">
      <c r="A560" s="17"/>
      <c r="H560" s="17"/>
    </row>
    <row r="561">
      <c r="A561" s="17"/>
      <c r="H561" s="17"/>
    </row>
    <row r="562">
      <c r="A562" s="17"/>
      <c r="H562" s="17"/>
    </row>
    <row r="563">
      <c r="A563" s="17"/>
      <c r="H563" s="17"/>
    </row>
    <row r="564">
      <c r="A564" s="17"/>
      <c r="H564" s="17"/>
    </row>
    <row r="565">
      <c r="A565" s="17"/>
      <c r="H565" s="17"/>
    </row>
    <row r="566">
      <c r="A566" s="17"/>
      <c r="H566" s="17"/>
    </row>
    <row r="567">
      <c r="A567" s="17"/>
      <c r="H567" s="17"/>
    </row>
    <row r="568">
      <c r="A568" s="17"/>
      <c r="H568" s="17"/>
    </row>
    <row r="569">
      <c r="A569" s="17"/>
      <c r="H569" s="17"/>
    </row>
    <row r="570">
      <c r="A570" s="17"/>
      <c r="H570" s="17"/>
    </row>
    <row r="571">
      <c r="A571" s="17"/>
      <c r="H571" s="17"/>
    </row>
    <row r="572">
      <c r="A572" s="17"/>
      <c r="H572" s="17"/>
    </row>
    <row r="573">
      <c r="A573" s="17"/>
      <c r="H573" s="17"/>
    </row>
    <row r="574">
      <c r="A574" s="17"/>
      <c r="H574" s="17"/>
    </row>
    <row r="575">
      <c r="A575" s="17"/>
      <c r="H575" s="17"/>
    </row>
    <row r="576">
      <c r="A576" s="17"/>
      <c r="H576" s="17"/>
    </row>
    <row r="577">
      <c r="A577" s="17"/>
      <c r="H577" s="17"/>
    </row>
    <row r="578">
      <c r="A578" s="17"/>
      <c r="H578" s="17"/>
    </row>
    <row r="579">
      <c r="A579" s="17"/>
      <c r="H579" s="17"/>
    </row>
    <row r="580">
      <c r="A580" s="17"/>
      <c r="H580" s="17"/>
    </row>
    <row r="581">
      <c r="A581" s="17"/>
      <c r="H581" s="17"/>
    </row>
    <row r="582">
      <c r="A582" s="17"/>
      <c r="H582" s="17"/>
    </row>
    <row r="583">
      <c r="A583" s="17"/>
      <c r="H583" s="17"/>
    </row>
    <row r="584">
      <c r="A584" s="17"/>
      <c r="H584" s="17"/>
    </row>
    <row r="585">
      <c r="A585" s="17"/>
      <c r="H585" s="17"/>
    </row>
    <row r="586">
      <c r="A586" s="17"/>
      <c r="H586" s="17"/>
    </row>
    <row r="587">
      <c r="A587" s="17"/>
      <c r="H587" s="17"/>
    </row>
    <row r="588">
      <c r="A588" s="17"/>
      <c r="H588" s="17"/>
    </row>
    <row r="589">
      <c r="A589" s="17"/>
      <c r="H589" s="17"/>
    </row>
    <row r="590">
      <c r="A590" s="17"/>
      <c r="H590" s="17"/>
    </row>
    <row r="591">
      <c r="A591" s="17"/>
      <c r="H591" s="17"/>
    </row>
    <row r="592">
      <c r="A592" s="17"/>
      <c r="H592" s="17"/>
    </row>
    <row r="593">
      <c r="A593" s="17"/>
      <c r="H593" s="17"/>
    </row>
    <row r="594">
      <c r="A594" s="17"/>
      <c r="H594" s="17"/>
    </row>
    <row r="595">
      <c r="A595" s="17"/>
      <c r="H595" s="17"/>
    </row>
    <row r="596">
      <c r="A596" s="17"/>
      <c r="H596" s="17"/>
    </row>
    <row r="597">
      <c r="A597" s="17"/>
      <c r="H597" s="17"/>
    </row>
    <row r="598">
      <c r="A598" s="17"/>
      <c r="H598" s="17"/>
    </row>
    <row r="599">
      <c r="A599" s="17"/>
      <c r="H599" s="17"/>
    </row>
    <row r="600">
      <c r="A600" s="17"/>
      <c r="H600" s="17"/>
    </row>
    <row r="601">
      <c r="A601" s="17"/>
      <c r="H601" s="17"/>
    </row>
    <row r="602">
      <c r="A602" s="17"/>
      <c r="H602" s="17"/>
    </row>
    <row r="603">
      <c r="A603" s="17"/>
      <c r="H603" s="17"/>
    </row>
    <row r="604">
      <c r="A604" s="17"/>
      <c r="H604" s="17"/>
    </row>
    <row r="605">
      <c r="A605" s="17"/>
      <c r="H605" s="17"/>
    </row>
    <row r="606">
      <c r="A606" s="17"/>
      <c r="H606" s="17"/>
    </row>
    <row r="607">
      <c r="A607" s="17"/>
      <c r="H607" s="17"/>
    </row>
    <row r="608">
      <c r="A608" s="17"/>
      <c r="H608" s="17"/>
    </row>
    <row r="609">
      <c r="A609" s="17"/>
      <c r="H609" s="17"/>
    </row>
    <row r="610">
      <c r="A610" s="17"/>
      <c r="H610" s="17"/>
    </row>
    <row r="611">
      <c r="A611" s="17"/>
      <c r="H611" s="17"/>
    </row>
    <row r="612">
      <c r="A612" s="17"/>
      <c r="H612" s="17"/>
    </row>
    <row r="613">
      <c r="A613" s="17"/>
      <c r="H613" s="17"/>
    </row>
    <row r="614">
      <c r="A614" s="17"/>
      <c r="H614" s="17"/>
    </row>
    <row r="615">
      <c r="A615" s="17"/>
      <c r="H615" s="17"/>
    </row>
    <row r="616">
      <c r="A616" s="17"/>
      <c r="H616" s="17"/>
    </row>
    <row r="617">
      <c r="A617" s="17"/>
      <c r="H617" s="17"/>
    </row>
    <row r="618">
      <c r="A618" s="17"/>
      <c r="H618" s="17"/>
    </row>
    <row r="619">
      <c r="A619" s="17"/>
      <c r="H619" s="17"/>
    </row>
    <row r="620">
      <c r="A620" s="17"/>
      <c r="H620" s="17"/>
    </row>
    <row r="621">
      <c r="A621" s="17"/>
      <c r="H621" s="17"/>
    </row>
    <row r="622">
      <c r="A622" s="17"/>
      <c r="H622" s="17"/>
    </row>
    <row r="623">
      <c r="A623" s="17"/>
      <c r="H623" s="17"/>
    </row>
    <row r="624">
      <c r="A624" s="17"/>
      <c r="H624" s="17"/>
    </row>
    <row r="625">
      <c r="A625" s="17"/>
      <c r="H625" s="17"/>
    </row>
    <row r="626">
      <c r="A626" s="17"/>
      <c r="H626" s="17"/>
    </row>
    <row r="627">
      <c r="A627" s="17"/>
      <c r="H627" s="17"/>
    </row>
    <row r="628">
      <c r="A628" s="17"/>
      <c r="H628" s="17"/>
    </row>
    <row r="629">
      <c r="A629" s="17"/>
      <c r="H629" s="17"/>
    </row>
    <row r="630">
      <c r="A630" s="17"/>
      <c r="H630" s="17"/>
    </row>
    <row r="631">
      <c r="A631" s="17"/>
      <c r="H631" s="17"/>
    </row>
    <row r="632">
      <c r="A632" s="17"/>
      <c r="H632" s="17"/>
    </row>
    <row r="633">
      <c r="A633" s="17"/>
      <c r="H633" s="17"/>
    </row>
    <row r="634">
      <c r="A634" s="17"/>
      <c r="H634" s="17"/>
    </row>
    <row r="635">
      <c r="A635" s="17"/>
      <c r="H635" s="17"/>
    </row>
    <row r="636">
      <c r="A636" s="17"/>
      <c r="H636" s="17"/>
    </row>
    <row r="637">
      <c r="A637" s="17"/>
      <c r="H637" s="17"/>
    </row>
    <row r="638">
      <c r="A638" s="17"/>
      <c r="H638" s="17"/>
    </row>
    <row r="639">
      <c r="A639" s="17"/>
      <c r="H639" s="17"/>
    </row>
    <row r="640">
      <c r="A640" s="17"/>
      <c r="H640" s="17"/>
    </row>
    <row r="641">
      <c r="A641" s="17"/>
      <c r="H641" s="17"/>
    </row>
    <row r="642">
      <c r="A642" s="17"/>
      <c r="H642" s="17"/>
    </row>
    <row r="643">
      <c r="A643" s="17"/>
      <c r="H643" s="17"/>
    </row>
    <row r="644">
      <c r="A644" s="17"/>
      <c r="H644" s="17"/>
    </row>
    <row r="645">
      <c r="A645" s="17"/>
      <c r="H645" s="17"/>
    </row>
    <row r="646">
      <c r="A646" s="17"/>
      <c r="H646" s="17"/>
    </row>
    <row r="647">
      <c r="A647" s="17"/>
      <c r="H647" s="17"/>
    </row>
    <row r="648">
      <c r="A648" s="17"/>
      <c r="H648" s="17"/>
    </row>
    <row r="649">
      <c r="A649" s="17"/>
      <c r="H649" s="17"/>
    </row>
    <row r="650">
      <c r="A650" s="17"/>
      <c r="H650" s="17"/>
    </row>
    <row r="651">
      <c r="A651" s="17"/>
      <c r="H651" s="17"/>
    </row>
    <row r="652">
      <c r="A652" s="17"/>
      <c r="H652" s="17"/>
    </row>
    <row r="653">
      <c r="A653" s="17"/>
      <c r="H653" s="17"/>
    </row>
    <row r="654">
      <c r="A654" s="17"/>
      <c r="H654" s="17"/>
    </row>
    <row r="655">
      <c r="A655" s="17"/>
      <c r="H655" s="17"/>
    </row>
    <row r="656">
      <c r="A656" s="17"/>
      <c r="H656" s="17"/>
    </row>
    <row r="657">
      <c r="A657" s="17"/>
      <c r="H657" s="17"/>
    </row>
    <row r="658">
      <c r="A658" s="17"/>
      <c r="H658" s="17"/>
    </row>
    <row r="659">
      <c r="A659" s="17"/>
      <c r="H659" s="17"/>
    </row>
    <row r="660">
      <c r="A660" s="17"/>
      <c r="H660" s="17"/>
    </row>
    <row r="661">
      <c r="A661" s="17"/>
      <c r="H661" s="17"/>
    </row>
    <row r="662">
      <c r="A662" s="17"/>
      <c r="H662" s="17"/>
    </row>
    <row r="663">
      <c r="A663" s="17"/>
      <c r="H663" s="17"/>
    </row>
    <row r="664">
      <c r="A664" s="17"/>
      <c r="H664" s="17"/>
    </row>
    <row r="665">
      <c r="A665" s="17"/>
      <c r="H665" s="17"/>
    </row>
    <row r="666">
      <c r="A666" s="17"/>
      <c r="H666" s="17"/>
    </row>
    <row r="667">
      <c r="A667" s="17"/>
      <c r="H667" s="17"/>
    </row>
    <row r="668">
      <c r="A668" s="17"/>
      <c r="H668" s="17"/>
    </row>
    <row r="669">
      <c r="A669" s="17"/>
      <c r="H669" s="17"/>
    </row>
    <row r="670">
      <c r="A670" s="17"/>
      <c r="H670" s="17"/>
    </row>
    <row r="671">
      <c r="A671" s="17"/>
      <c r="H671" s="17"/>
    </row>
    <row r="672">
      <c r="A672" s="17"/>
      <c r="H672" s="17"/>
    </row>
    <row r="673">
      <c r="A673" s="17"/>
      <c r="H673" s="17"/>
    </row>
    <row r="674">
      <c r="A674" s="17"/>
      <c r="H674" s="17"/>
    </row>
    <row r="675">
      <c r="A675" s="17"/>
      <c r="H675" s="17"/>
    </row>
    <row r="676">
      <c r="A676" s="17"/>
      <c r="H676" s="17"/>
    </row>
    <row r="677">
      <c r="A677" s="17"/>
      <c r="H677" s="17"/>
    </row>
    <row r="678">
      <c r="A678" s="17"/>
      <c r="H678" s="17"/>
    </row>
    <row r="679">
      <c r="A679" s="17"/>
      <c r="H679" s="17"/>
    </row>
    <row r="680">
      <c r="A680" s="17"/>
      <c r="H680" s="17"/>
    </row>
    <row r="681">
      <c r="A681" s="17"/>
      <c r="H681" s="17"/>
    </row>
    <row r="682">
      <c r="A682" s="17"/>
      <c r="H682" s="17"/>
    </row>
    <row r="683">
      <c r="A683" s="17"/>
      <c r="H683" s="17"/>
    </row>
    <row r="684">
      <c r="A684" s="17"/>
      <c r="H684" s="17"/>
    </row>
    <row r="685">
      <c r="A685" s="17"/>
      <c r="H685" s="17"/>
    </row>
    <row r="686">
      <c r="A686" s="17"/>
      <c r="H686" s="17"/>
    </row>
    <row r="687">
      <c r="A687" s="17"/>
      <c r="H687" s="17"/>
    </row>
    <row r="688">
      <c r="A688" s="17"/>
      <c r="H688" s="17"/>
    </row>
    <row r="689">
      <c r="A689" s="17"/>
      <c r="H689" s="17"/>
    </row>
    <row r="690">
      <c r="A690" s="17"/>
      <c r="H690" s="17"/>
    </row>
    <row r="691">
      <c r="A691" s="17"/>
      <c r="H691" s="17"/>
    </row>
    <row r="692">
      <c r="A692" s="17"/>
      <c r="H692" s="17"/>
    </row>
    <row r="693">
      <c r="A693" s="17"/>
      <c r="H693" s="17"/>
    </row>
    <row r="694">
      <c r="A694" s="17"/>
      <c r="H694" s="17"/>
    </row>
    <row r="695">
      <c r="A695" s="17"/>
      <c r="H695" s="17"/>
    </row>
    <row r="696">
      <c r="A696" s="17"/>
      <c r="H696" s="17"/>
    </row>
    <row r="697">
      <c r="A697" s="17"/>
      <c r="H697" s="17"/>
    </row>
    <row r="698">
      <c r="A698" s="17"/>
      <c r="H698" s="17"/>
    </row>
    <row r="699">
      <c r="A699" s="17"/>
      <c r="H699" s="17"/>
    </row>
    <row r="700">
      <c r="A700" s="17"/>
      <c r="H700" s="17"/>
    </row>
    <row r="701">
      <c r="A701" s="17"/>
      <c r="H701" s="17"/>
    </row>
    <row r="702">
      <c r="A702" s="17"/>
      <c r="H702" s="17"/>
    </row>
    <row r="703">
      <c r="A703" s="17"/>
      <c r="H703" s="17"/>
    </row>
    <row r="704">
      <c r="A704" s="17"/>
      <c r="H704" s="17"/>
    </row>
    <row r="705">
      <c r="A705" s="17"/>
      <c r="H705" s="17"/>
    </row>
    <row r="706">
      <c r="A706" s="17"/>
      <c r="H706" s="17"/>
    </row>
    <row r="707">
      <c r="A707" s="17"/>
      <c r="H707" s="17"/>
    </row>
    <row r="708">
      <c r="A708" s="17"/>
      <c r="H708" s="17"/>
    </row>
    <row r="709">
      <c r="A709" s="17"/>
      <c r="H709" s="17"/>
    </row>
    <row r="710">
      <c r="A710" s="17"/>
      <c r="H710" s="17"/>
    </row>
    <row r="711">
      <c r="A711" s="17"/>
      <c r="H711" s="17"/>
    </row>
    <row r="712">
      <c r="A712" s="17"/>
      <c r="H712" s="17"/>
    </row>
    <row r="713">
      <c r="A713" s="17"/>
      <c r="H713" s="17"/>
    </row>
    <row r="714">
      <c r="A714" s="17"/>
      <c r="H714" s="17"/>
    </row>
    <row r="715">
      <c r="A715" s="17"/>
      <c r="H715" s="17"/>
    </row>
    <row r="716">
      <c r="A716" s="17"/>
      <c r="H716" s="17"/>
    </row>
    <row r="717">
      <c r="A717" s="17"/>
      <c r="H717" s="17"/>
    </row>
    <row r="718">
      <c r="A718" s="17"/>
      <c r="H718" s="17"/>
    </row>
    <row r="719">
      <c r="A719" s="17"/>
      <c r="H719" s="17"/>
    </row>
    <row r="720">
      <c r="A720" s="17"/>
      <c r="H720" s="17"/>
    </row>
    <row r="721">
      <c r="A721" s="17"/>
      <c r="H721" s="17"/>
    </row>
    <row r="722">
      <c r="A722" s="17"/>
      <c r="H722" s="17"/>
    </row>
    <row r="723">
      <c r="A723" s="17"/>
      <c r="H723" s="17"/>
    </row>
    <row r="724">
      <c r="A724" s="17"/>
      <c r="H724" s="17"/>
    </row>
    <row r="725">
      <c r="A725" s="17"/>
      <c r="H725" s="17"/>
    </row>
    <row r="726">
      <c r="A726" s="17"/>
      <c r="H726" s="17"/>
    </row>
    <row r="727">
      <c r="A727" s="17"/>
      <c r="H727" s="17"/>
    </row>
    <row r="728">
      <c r="A728" s="17"/>
      <c r="H728" s="17"/>
    </row>
    <row r="729">
      <c r="A729" s="17"/>
      <c r="H729" s="17"/>
    </row>
    <row r="730">
      <c r="A730" s="17"/>
      <c r="H730" s="17"/>
    </row>
    <row r="731">
      <c r="A731" s="17"/>
      <c r="H731" s="17"/>
    </row>
    <row r="732">
      <c r="A732" s="17"/>
      <c r="H732" s="17"/>
    </row>
    <row r="733">
      <c r="A733" s="17"/>
      <c r="H733" s="17"/>
    </row>
    <row r="734">
      <c r="A734" s="17"/>
      <c r="H734" s="17"/>
    </row>
    <row r="735">
      <c r="A735" s="17"/>
      <c r="H735" s="17"/>
    </row>
    <row r="736">
      <c r="A736" s="17"/>
      <c r="H736" s="17"/>
    </row>
    <row r="737">
      <c r="A737" s="17"/>
      <c r="H737" s="17"/>
    </row>
    <row r="738">
      <c r="A738" s="17"/>
      <c r="H738" s="17"/>
    </row>
    <row r="739">
      <c r="A739" s="17"/>
      <c r="H739" s="17"/>
    </row>
    <row r="740">
      <c r="A740" s="17"/>
      <c r="H740" s="17"/>
    </row>
    <row r="741">
      <c r="A741" s="17"/>
      <c r="H741" s="17"/>
    </row>
    <row r="742">
      <c r="A742" s="17"/>
      <c r="H742" s="17"/>
    </row>
    <row r="743">
      <c r="A743" s="17"/>
      <c r="H743" s="17"/>
    </row>
    <row r="744">
      <c r="A744" s="17"/>
      <c r="H744" s="17"/>
    </row>
    <row r="745">
      <c r="A745" s="17"/>
      <c r="H745" s="17"/>
    </row>
    <row r="746">
      <c r="A746" s="17"/>
      <c r="H746" s="17"/>
    </row>
    <row r="747">
      <c r="A747" s="17"/>
      <c r="H747" s="17"/>
    </row>
    <row r="748">
      <c r="A748" s="17"/>
      <c r="H748" s="17"/>
    </row>
    <row r="749">
      <c r="A749" s="17"/>
      <c r="H749" s="17"/>
    </row>
    <row r="750">
      <c r="A750" s="17"/>
      <c r="H750" s="17"/>
    </row>
    <row r="751">
      <c r="A751" s="17"/>
      <c r="H751" s="17"/>
    </row>
    <row r="752">
      <c r="A752" s="17"/>
      <c r="H752" s="17"/>
    </row>
    <row r="753">
      <c r="A753" s="17"/>
      <c r="H753" s="17"/>
    </row>
    <row r="754">
      <c r="A754" s="17"/>
      <c r="H754" s="17"/>
    </row>
    <row r="755">
      <c r="A755" s="17"/>
      <c r="H755" s="17"/>
    </row>
    <row r="756">
      <c r="A756" s="17"/>
      <c r="H756" s="17"/>
    </row>
    <row r="757">
      <c r="A757" s="17"/>
      <c r="H757" s="17"/>
    </row>
    <row r="758">
      <c r="A758" s="17"/>
      <c r="H758" s="17"/>
    </row>
    <row r="759">
      <c r="A759" s="17"/>
      <c r="H759" s="17"/>
    </row>
    <row r="760">
      <c r="A760" s="17"/>
      <c r="H760" s="17"/>
    </row>
    <row r="761">
      <c r="A761" s="17"/>
      <c r="H761" s="17"/>
    </row>
    <row r="762">
      <c r="A762" s="17"/>
      <c r="H762" s="17"/>
    </row>
    <row r="763">
      <c r="A763" s="17"/>
      <c r="H763" s="17"/>
    </row>
    <row r="764">
      <c r="A764" s="17"/>
      <c r="H764" s="17"/>
    </row>
    <row r="765">
      <c r="A765" s="17"/>
      <c r="H765" s="17"/>
    </row>
    <row r="766">
      <c r="A766" s="17"/>
      <c r="H766" s="17"/>
    </row>
    <row r="767">
      <c r="A767" s="17"/>
      <c r="H767" s="17"/>
    </row>
    <row r="768">
      <c r="A768" s="17"/>
      <c r="H768" s="17"/>
    </row>
    <row r="769">
      <c r="A769" s="17"/>
      <c r="H769" s="17"/>
    </row>
    <row r="770">
      <c r="A770" s="17"/>
      <c r="H770" s="17"/>
    </row>
    <row r="771">
      <c r="A771" s="17"/>
      <c r="H771" s="17"/>
    </row>
    <row r="772">
      <c r="A772" s="17"/>
      <c r="H772" s="17"/>
    </row>
    <row r="773">
      <c r="A773" s="17"/>
      <c r="H773" s="17"/>
    </row>
    <row r="774">
      <c r="A774" s="17"/>
      <c r="H774" s="17"/>
    </row>
    <row r="775">
      <c r="A775" s="17"/>
      <c r="H775" s="17"/>
    </row>
    <row r="776">
      <c r="A776" s="17"/>
      <c r="H776" s="17"/>
    </row>
    <row r="777">
      <c r="A777" s="17"/>
      <c r="H777" s="17"/>
    </row>
    <row r="778">
      <c r="A778" s="17"/>
      <c r="H778" s="17"/>
    </row>
    <row r="779">
      <c r="A779" s="17"/>
      <c r="H779" s="17"/>
    </row>
    <row r="780">
      <c r="A780" s="17"/>
      <c r="H780" s="17"/>
    </row>
    <row r="781">
      <c r="A781" s="17"/>
      <c r="H781" s="17"/>
    </row>
    <row r="782">
      <c r="A782" s="17"/>
      <c r="H782" s="17"/>
    </row>
    <row r="783">
      <c r="A783" s="17"/>
      <c r="H783" s="17"/>
    </row>
    <row r="784">
      <c r="A784" s="17"/>
      <c r="H784" s="17"/>
    </row>
    <row r="785">
      <c r="A785" s="17"/>
      <c r="H785" s="17"/>
    </row>
    <row r="786">
      <c r="A786" s="17"/>
      <c r="H786" s="17"/>
    </row>
    <row r="787">
      <c r="A787" s="17"/>
      <c r="H787" s="17"/>
    </row>
    <row r="788">
      <c r="A788" s="17"/>
      <c r="H788" s="17"/>
    </row>
    <row r="789">
      <c r="A789" s="17"/>
      <c r="H789" s="17"/>
    </row>
    <row r="790">
      <c r="A790" s="17"/>
      <c r="H790" s="17"/>
    </row>
    <row r="791">
      <c r="A791" s="17"/>
      <c r="H791" s="17"/>
    </row>
    <row r="792">
      <c r="A792" s="17"/>
      <c r="H792" s="17"/>
    </row>
    <row r="793">
      <c r="A793" s="17"/>
      <c r="H793" s="17"/>
    </row>
    <row r="794">
      <c r="A794" s="17"/>
      <c r="H794" s="17"/>
    </row>
    <row r="795">
      <c r="A795" s="17"/>
      <c r="H795" s="17"/>
    </row>
    <row r="796">
      <c r="A796" s="17"/>
      <c r="H796" s="17"/>
    </row>
    <row r="797">
      <c r="A797" s="17"/>
      <c r="H797" s="17"/>
    </row>
    <row r="798">
      <c r="A798" s="17"/>
      <c r="H798" s="17"/>
    </row>
    <row r="799">
      <c r="A799" s="17"/>
      <c r="H799" s="17"/>
    </row>
    <row r="800">
      <c r="A800" s="17"/>
      <c r="H800" s="17"/>
    </row>
    <row r="801">
      <c r="A801" s="17"/>
      <c r="H801" s="17"/>
    </row>
    <row r="802">
      <c r="A802" s="17"/>
      <c r="H802" s="17"/>
    </row>
    <row r="803">
      <c r="A803" s="17"/>
      <c r="H803" s="17"/>
    </row>
    <row r="804">
      <c r="A804" s="17"/>
      <c r="H804" s="17"/>
    </row>
    <row r="805">
      <c r="A805" s="17"/>
      <c r="H805" s="17"/>
    </row>
    <row r="806">
      <c r="A806" s="17"/>
      <c r="H806" s="17"/>
    </row>
    <row r="807">
      <c r="A807" s="17"/>
      <c r="H807" s="17"/>
    </row>
    <row r="808">
      <c r="A808" s="17"/>
      <c r="H808" s="17"/>
    </row>
    <row r="809">
      <c r="A809" s="17"/>
      <c r="H809" s="17"/>
    </row>
    <row r="810">
      <c r="A810" s="17"/>
      <c r="H810" s="17"/>
    </row>
    <row r="811">
      <c r="A811" s="17"/>
      <c r="H811" s="17"/>
    </row>
    <row r="812">
      <c r="A812" s="17"/>
      <c r="H812" s="17"/>
    </row>
    <row r="813">
      <c r="A813" s="17"/>
      <c r="H813" s="17"/>
    </row>
    <row r="814">
      <c r="A814" s="17"/>
      <c r="H814" s="17"/>
    </row>
    <row r="815">
      <c r="A815" s="17"/>
      <c r="H815" s="17"/>
    </row>
    <row r="816">
      <c r="A816" s="17"/>
      <c r="H816" s="17"/>
    </row>
    <row r="817">
      <c r="A817" s="17"/>
      <c r="H817" s="17"/>
    </row>
    <row r="818">
      <c r="A818" s="17"/>
      <c r="H818" s="17"/>
    </row>
    <row r="819">
      <c r="A819" s="17"/>
      <c r="H819" s="17"/>
    </row>
    <row r="820">
      <c r="A820" s="17"/>
      <c r="H820" s="17"/>
    </row>
    <row r="821">
      <c r="A821" s="17"/>
      <c r="H821" s="17"/>
    </row>
    <row r="822">
      <c r="A822" s="17"/>
      <c r="H822" s="17"/>
    </row>
    <row r="823">
      <c r="A823" s="17"/>
      <c r="H823" s="17"/>
    </row>
    <row r="824">
      <c r="A824" s="17"/>
      <c r="H824" s="17"/>
    </row>
    <row r="825">
      <c r="A825" s="17"/>
      <c r="H825" s="17"/>
    </row>
    <row r="826">
      <c r="A826" s="17"/>
      <c r="H826" s="17"/>
    </row>
    <row r="827">
      <c r="A827" s="17"/>
      <c r="H827" s="17"/>
    </row>
    <row r="828">
      <c r="A828" s="17"/>
      <c r="H828" s="17"/>
    </row>
    <row r="829">
      <c r="A829" s="17"/>
      <c r="H829" s="17"/>
    </row>
    <row r="830">
      <c r="A830" s="17"/>
      <c r="H830" s="17"/>
    </row>
    <row r="831">
      <c r="A831" s="17"/>
      <c r="H831" s="17"/>
    </row>
    <row r="832">
      <c r="A832" s="17"/>
      <c r="H832" s="17"/>
    </row>
    <row r="833">
      <c r="A833" s="17"/>
      <c r="H833" s="17"/>
    </row>
    <row r="834">
      <c r="A834" s="17"/>
      <c r="H834" s="17"/>
    </row>
    <row r="835">
      <c r="A835" s="17"/>
      <c r="H835" s="17"/>
    </row>
    <row r="836">
      <c r="A836" s="17"/>
      <c r="H836" s="17"/>
    </row>
    <row r="837">
      <c r="A837" s="17"/>
      <c r="H837" s="17"/>
    </row>
    <row r="838">
      <c r="A838" s="17"/>
      <c r="H838" s="17"/>
    </row>
    <row r="839">
      <c r="A839" s="17"/>
      <c r="H839" s="17"/>
    </row>
    <row r="840">
      <c r="A840" s="17"/>
      <c r="H840" s="17"/>
    </row>
    <row r="841">
      <c r="A841" s="17"/>
      <c r="H841" s="17"/>
    </row>
    <row r="842">
      <c r="A842" s="17"/>
      <c r="H842" s="17"/>
    </row>
    <row r="843">
      <c r="A843" s="17"/>
      <c r="H843" s="17"/>
    </row>
    <row r="844">
      <c r="A844" s="17"/>
      <c r="H844" s="17"/>
    </row>
    <row r="845">
      <c r="A845" s="17"/>
      <c r="H845" s="17"/>
    </row>
    <row r="846">
      <c r="A846" s="17"/>
      <c r="H846" s="17"/>
    </row>
    <row r="847">
      <c r="A847" s="17"/>
      <c r="H847" s="17"/>
    </row>
    <row r="848">
      <c r="A848" s="17"/>
      <c r="H848" s="17"/>
    </row>
    <row r="849">
      <c r="A849" s="17"/>
      <c r="H849" s="17"/>
    </row>
    <row r="850">
      <c r="A850" s="17"/>
      <c r="H850" s="17"/>
    </row>
    <row r="851">
      <c r="A851" s="17"/>
      <c r="H851" s="17"/>
    </row>
    <row r="852">
      <c r="A852" s="17"/>
      <c r="H852" s="17"/>
    </row>
    <row r="853">
      <c r="A853" s="17"/>
      <c r="H853" s="17"/>
    </row>
    <row r="854">
      <c r="A854" s="17"/>
      <c r="H854" s="17"/>
    </row>
    <row r="855">
      <c r="A855" s="17"/>
      <c r="H855" s="17"/>
    </row>
    <row r="856">
      <c r="A856" s="17"/>
      <c r="H856" s="17"/>
    </row>
    <row r="857">
      <c r="A857" s="17"/>
      <c r="H857" s="17"/>
    </row>
    <row r="858">
      <c r="A858" s="17"/>
      <c r="H858" s="17"/>
    </row>
    <row r="859">
      <c r="A859" s="17"/>
      <c r="H859" s="17"/>
    </row>
    <row r="860">
      <c r="A860" s="17"/>
      <c r="H860" s="17"/>
    </row>
    <row r="861">
      <c r="A861" s="17"/>
      <c r="H861" s="17"/>
    </row>
    <row r="862">
      <c r="A862" s="17"/>
      <c r="H862" s="17"/>
    </row>
    <row r="863">
      <c r="A863" s="17"/>
      <c r="H863" s="17"/>
    </row>
    <row r="864">
      <c r="A864" s="17"/>
      <c r="H864" s="17"/>
    </row>
    <row r="865">
      <c r="A865" s="17"/>
      <c r="H865" s="17"/>
    </row>
    <row r="866">
      <c r="A866" s="17"/>
      <c r="H866" s="17"/>
    </row>
    <row r="867">
      <c r="A867" s="17"/>
      <c r="H867" s="17"/>
    </row>
    <row r="868">
      <c r="A868" s="17"/>
      <c r="H868" s="17"/>
    </row>
    <row r="869">
      <c r="A869" s="17"/>
      <c r="H869" s="17"/>
    </row>
    <row r="870">
      <c r="A870" s="17"/>
      <c r="H870" s="17"/>
    </row>
    <row r="871">
      <c r="A871" s="17"/>
      <c r="H871" s="17"/>
    </row>
    <row r="872">
      <c r="A872" s="17"/>
      <c r="H872" s="17"/>
    </row>
    <row r="873">
      <c r="A873" s="17"/>
      <c r="H873" s="17"/>
    </row>
    <row r="874">
      <c r="A874" s="17"/>
      <c r="H874" s="17"/>
    </row>
    <row r="875">
      <c r="A875" s="17"/>
      <c r="H875" s="17"/>
    </row>
    <row r="876">
      <c r="A876" s="17"/>
      <c r="H876" s="17"/>
    </row>
    <row r="877">
      <c r="A877" s="17"/>
      <c r="H877" s="17"/>
    </row>
    <row r="878">
      <c r="A878" s="17"/>
      <c r="H878" s="17"/>
    </row>
    <row r="879">
      <c r="A879" s="17"/>
      <c r="H879" s="17"/>
    </row>
    <row r="880">
      <c r="A880" s="17"/>
      <c r="H880" s="17"/>
    </row>
    <row r="881">
      <c r="A881" s="17"/>
      <c r="H881" s="17"/>
    </row>
    <row r="882">
      <c r="A882" s="17"/>
      <c r="H882" s="17"/>
    </row>
    <row r="883">
      <c r="A883" s="17"/>
      <c r="H883" s="17"/>
    </row>
    <row r="884">
      <c r="A884" s="17"/>
      <c r="H884" s="17"/>
    </row>
    <row r="885">
      <c r="A885" s="17"/>
      <c r="H885" s="17"/>
    </row>
    <row r="886">
      <c r="A886" s="17"/>
      <c r="H886" s="17"/>
    </row>
    <row r="887">
      <c r="A887" s="17"/>
      <c r="H887" s="17"/>
    </row>
    <row r="888">
      <c r="A888" s="17"/>
      <c r="H888" s="17"/>
    </row>
    <row r="889">
      <c r="A889" s="17"/>
      <c r="H889" s="17"/>
    </row>
    <row r="890">
      <c r="A890" s="17"/>
      <c r="H890" s="17"/>
    </row>
    <row r="891">
      <c r="A891" s="17"/>
      <c r="H891" s="17"/>
    </row>
    <row r="892">
      <c r="A892" s="17"/>
      <c r="H892" s="17"/>
    </row>
    <row r="893">
      <c r="A893" s="17"/>
      <c r="H893" s="17"/>
    </row>
    <row r="894">
      <c r="A894" s="17"/>
      <c r="H894" s="17"/>
    </row>
    <row r="895">
      <c r="A895" s="17"/>
      <c r="H895" s="17"/>
    </row>
    <row r="896">
      <c r="A896" s="17"/>
      <c r="H896" s="17"/>
    </row>
    <row r="897">
      <c r="A897" s="17"/>
      <c r="H897" s="17"/>
    </row>
    <row r="898">
      <c r="A898" s="17"/>
      <c r="H898" s="17"/>
    </row>
    <row r="899">
      <c r="A899" s="17"/>
      <c r="H899" s="17"/>
    </row>
    <row r="900">
      <c r="A900" s="17"/>
      <c r="H900" s="17"/>
    </row>
    <row r="901">
      <c r="A901" s="17"/>
      <c r="H901" s="17"/>
    </row>
    <row r="902">
      <c r="A902" s="17"/>
      <c r="H902" s="17"/>
    </row>
    <row r="903">
      <c r="A903" s="17"/>
      <c r="H903" s="17"/>
    </row>
    <row r="904">
      <c r="A904" s="17"/>
      <c r="H904" s="17"/>
    </row>
    <row r="905">
      <c r="A905" s="17"/>
      <c r="H905" s="17"/>
    </row>
    <row r="906">
      <c r="A906" s="17"/>
      <c r="H906" s="17"/>
    </row>
    <row r="907">
      <c r="A907" s="17"/>
      <c r="H907" s="17"/>
    </row>
    <row r="908">
      <c r="A908" s="17"/>
      <c r="H908" s="17"/>
    </row>
    <row r="909">
      <c r="A909" s="17"/>
      <c r="H909" s="17"/>
    </row>
    <row r="910">
      <c r="A910" s="17"/>
      <c r="H910" s="17"/>
    </row>
    <row r="911">
      <c r="A911" s="17"/>
      <c r="H911" s="17"/>
    </row>
    <row r="912">
      <c r="A912" s="17"/>
      <c r="H912" s="17"/>
    </row>
    <row r="913">
      <c r="A913" s="17"/>
      <c r="H913" s="17"/>
    </row>
    <row r="914">
      <c r="A914" s="17"/>
      <c r="H914" s="17"/>
    </row>
    <row r="915">
      <c r="A915" s="17"/>
      <c r="H915" s="17"/>
    </row>
    <row r="916">
      <c r="A916" s="17"/>
      <c r="H916" s="17"/>
    </row>
    <row r="917">
      <c r="A917" s="17"/>
      <c r="H917" s="17"/>
    </row>
    <row r="918">
      <c r="A918" s="17"/>
      <c r="H918" s="17"/>
    </row>
    <row r="919">
      <c r="A919" s="17"/>
      <c r="H919" s="17"/>
    </row>
    <row r="920">
      <c r="A920" s="17"/>
      <c r="H920" s="17"/>
    </row>
    <row r="921">
      <c r="A921" s="17"/>
      <c r="H921" s="17"/>
    </row>
    <row r="922">
      <c r="A922" s="17"/>
      <c r="H922" s="17"/>
    </row>
    <row r="923">
      <c r="A923" s="17"/>
      <c r="H923" s="17"/>
    </row>
    <row r="924">
      <c r="A924" s="17"/>
      <c r="H924" s="17"/>
    </row>
    <row r="925">
      <c r="A925" s="17"/>
      <c r="H925" s="17"/>
    </row>
    <row r="926">
      <c r="A926" s="17"/>
      <c r="H926" s="17"/>
    </row>
    <row r="927">
      <c r="A927" s="17"/>
      <c r="H927" s="17"/>
    </row>
    <row r="928">
      <c r="A928" s="17"/>
      <c r="H928" s="17"/>
    </row>
    <row r="929">
      <c r="A929" s="17"/>
      <c r="H929" s="17"/>
    </row>
    <row r="930">
      <c r="A930" s="17"/>
      <c r="H930" s="17"/>
    </row>
    <row r="931">
      <c r="A931" s="17"/>
      <c r="H931" s="17"/>
    </row>
    <row r="932">
      <c r="A932" s="17"/>
      <c r="H932" s="17"/>
    </row>
    <row r="933">
      <c r="A933" s="17"/>
      <c r="H933" s="17"/>
    </row>
    <row r="934">
      <c r="A934" s="17"/>
      <c r="H934" s="17"/>
    </row>
    <row r="935">
      <c r="A935" s="17"/>
      <c r="H935" s="17"/>
    </row>
    <row r="936">
      <c r="A936" s="17"/>
      <c r="H936" s="17"/>
    </row>
    <row r="937">
      <c r="A937" s="17"/>
      <c r="H937" s="17"/>
    </row>
    <row r="938">
      <c r="A938" s="17"/>
      <c r="H938" s="17"/>
    </row>
    <row r="939">
      <c r="A939" s="17"/>
      <c r="H939" s="17"/>
    </row>
    <row r="940">
      <c r="A940" s="17"/>
      <c r="H940" s="17"/>
    </row>
    <row r="941">
      <c r="A941" s="17"/>
      <c r="H941" s="17"/>
    </row>
    <row r="942">
      <c r="A942" s="17"/>
      <c r="H942" s="17"/>
    </row>
    <row r="943">
      <c r="A943" s="17"/>
      <c r="H943" s="17"/>
    </row>
    <row r="944">
      <c r="A944" s="17"/>
      <c r="H944" s="17"/>
    </row>
    <row r="945">
      <c r="A945" s="17"/>
      <c r="H945" s="17"/>
    </row>
    <row r="946">
      <c r="A946" s="17"/>
      <c r="H946" s="17"/>
    </row>
    <row r="947">
      <c r="A947" s="17"/>
      <c r="H947" s="17"/>
    </row>
    <row r="948">
      <c r="A948" s="17"/>
      <c r="H948" s="17"/>
    </row>
    <row r="949">
      <c r="A949" s="17"/>
      <c r="H949" s="17"/>
    </row>
    <row r="950">
      <c r="A950" s="17"/>
      <c r="H950" s="17"/>
    </row>
    <row r="951">
      <c r="A951" s="17"/>
      <c r="H951" s="17"/>
    </row>
    <row r="952">
      <c r="A952" s="17"/>
      <c r="H952" s="17"/>
    </row>
    <row r="953">
      <c r="A953" s="17"/>
      <c r="H953" s="17"/>
    </row>
    <row r="954">
      <c r="A954" s="17"/>
      <c r="H954" s="17"/>
    </row>
    <row r="955">
      <c r="A955" s="17"/>
      <c r="H955" s="17"/>
    </row>
    <row r="956">
      <c r="A956" s="17"/>
      <c r="H956" s="17"/>
    </row>
    <row r="957">
      <c r="A957" s="17"/>
      <c r="H957" s="17"/>
    </row>
    <row r="958">
      <c r="A958" s="17"/>
      <c r="H958" s="17"/>
    </row>
    <row r="959">
      <c r="A959" s="17"/>
      <c r="H959" s="17"/>
    </row>
    <row r="960">
      <c r="A960" s="17"/>
      <c r="H960" s="17"/>
    </row>
    <row r="961">
      <c r="A961" s="17"/>
      <c r="H961" s="17"/>
    </row>
    <row r="962">
      <c r="A962" s="17"/>
      <c r="H962" s="17"/>
    </row>
    <row r="963">
      <c r="A963" s="17"/>
      <c r="H963" s="17"/>
    </row>
    <row r="964">
      <c r="A964" s="17"/>
      <c r="H964" s="17"/>
    </row>
    <row r="965">
      <c r="A965" s="17"/>
      <c r="H965" s="17"/>
    </row>
    <row r="966">
      <c r="A966" s="17"/>
      <c r="H966" s="17"/>
    </row>
    <row r="967">
      <c r="A967" s="17"/>
      <c r="H967" s="17"/>
    </row>
    <row r="968">
      <c r="A968" s="17"/>
      <c r="H968" s="17"/>
    </row>
    <row r="969">
      <c r="A969" s="17"/>
      <c r="H969" s="17"/>
    </row>
    <row r="970">
      <c r="A970" s="17"/>
      <c r="H970" s="17"/>
    </row>
    <row r="971">
      <c r="A971" s="17"/>
      <c r="H971" s="17"/>
    </row>
    <row r="972">
      <c r="A972" s="17"/>
      <c r="H972" s="17"/>
    </row>
    <row r="973">
      <c r="A973" s="17"/>
      <c r="H973" s="17"/>
    </row>
    <row r="974">
      <c r="A974" s="17"/>
      <c r="H974" s="17"/>
    </row>
    <row r="975">
      <c r="A975" s="17"/>
      <c r="H975" s="17"/>
    </row>
    <row r="976">
      <c r="A976" s="17"/>
      <c r="H976" s="17"/>
    </row>
    <row r="977">
      <c r="A977" s="17"/>
      <c r="H977" s="17"/>
    </row>
    <row r="978">
      <c r="A978" s="17"/>
      <c r="H978" s="17"/>
    </row>
    <row r="979">
      <c r="A979" s="17"/>
      <c r="H979" s="17"/>
    </row>
    <row r="980">
      <c r="A980" s="17"/>
      <c r="H980" s="17"/>
    </row>
    <row r="981">
      <c r="A981" s="17"/>
      <c r="H981" s="17"/>
    </row>
    <row r="982">
      <c r="A982" s="17"/>
      <c r="H982" s="17"/>
    </row>
    <row r="983">
      <c r="A983" s="17"/>
      <c r="H983" s="17"/>
    </row>
    <row r="984">
      <c r="A984" s="17"/>
      <c r="H984" s="17"/>
    </row>
    <row r="985">
      <c r="A985" s="17"/>
      <c r="H985" s="17"/>
    </row>
    <row r="986">
      <c r="A986" s="17"/>
      <c r="H986" s="17"/>
    </row>
    <row r="987">
      <c r="A987" s="17"/>
      <c r="H987" s="17"/>
    </row>
    <row r="988">
      <c r="A988" s="17"/>
      <c r="H988" s="17"/>
    </row>
    <row r="989">
      <c r="A989" s="17"/>
      <c r="H989" s="17"/>
    </row>
    <row r="990">
      <c r="A990" s="17"/>
      <c r="H990" s="17"/>
    </row>
    <row r="991">
      <c r="A991" s="17"/>
      <c r="H991" s="17"/>
    </row>
    <row r="992">
      <c r="A992" s="17"/>
      <c r="H992" s="17"/>
    </row>
    <row r="993">
      <c r="A993" s="17"/>
      <c r="H993" s="17"/>
    </row>
    <row r="994">
      <c r="A994" s="17"/>
      <c r="H994" s="17"/>
    </row>
    <row r="995">
      <c r="A995" s="17"/>
      <c r="H995" s="17"/>
    </row>
    <row r="996">
      <c r="A996" s="17"/>
      <c r="H996" s="17"/>
    </row>
    <row r="997">
      <c r="A997" s="17"/>
      <c r="H997" s="17"/>
    </row>
    <row r="998">
      <c r="A998" s="17"/>
      <c r="H998" s="17"/>
    </row>
    <row r="999">
      <c r="A999" s="17"/>
      <c r="H999" s="17"/>
    </row>
    <row r="1000">
      <c r="A1000" s="17"/>
      <c r="H1000" s="1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.63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">
        <v>0.0</v>
      </c>
      <c r="B2" s="5">
        <f t="array" ref="B2:F11">B1:F1*G2:G11</f>
        <v>0</v>
      </c>
      <c r="C2" s="5">
        <v>9.0</v>
      </c>
      <c r="D2" s="5">
        <v>18.0</v>
      </c>
      <c r="E2" s="5">
        <v>27.0</v>
      </c>
      <c r="F2" s="5">
        <v>36.0</v>
      </c>
      <c r="G2" s="17">
        <f t="shared" ref="G2:G11" si="1">9-A2</f>
        <v>9</v>
      </c>
    </row>
    <row r="3">
      <c r="A3" s="2">
        <v>1.0</v>
      </c>
      <c r="B3" s="5">
        <v>0.0</v>
      </c>
      <c r="C3" s="5">
        <v>8.0</v>
      </c>
      <c r="D3" s="5">
        <v>16.0</v>
      </c>
      <c r="E3" s="5">
        <v>24.0</v>
      </c>
      <c r="F3" s="5">
        <v>32.0</v>
      </c>
      <c r="G3" s="17">
        <f t="shared" si="1"/>
        <v>8</v>
      </c>
    </row>
    <row r="4">
      <c r="A4" s="2">
        <v>2.0</v>
      </c>
      <c r="B4" s="5">
        <v>0.0</v>
      </c>
      <c r="C4" s="5">
        <v>7.0</v>
      </c>
      <c r="D4" s="5">
        <v>14.0</v>
      </c>
      <c r="E4" s="5">
        <v>21.0</v>
      </c>
      <c r="F4" s="5">
        <v>28.0</v>
      </c>
      <c r="G4" s="17">
        <f t="shared" si="1"/>
        <v>7</v>
      </c>
    </row>
    <row r="5">
      <c r="A5" s="2">
        <v>3.0</v>
      </c>
      <c r="B5" s="5">
        <v>0.0</v>
      </c>
      <c r="C5" s="5">
        <v>6.0</v>
      </c>
      <c r="D5" s="5">
        <v>12.0</v>
      </c>
      <c r="E5" s="5">
        <v>18.0</v>
      </c>
      <c r="F5" s="5">
        <v>24.0</v>
      </c>
      <c r="G5" s="17">
        <f t="shared" si="1"/>
        <v>6</v>
      </c>
    </row>
    <row r="6">
      <c r="A6" s="2">
        <v>4.0</v>
      </c>
      <c r="B6" s="5">
        <v>0.0</v>
      </c>
      <c r="C6" s="27">
        <v>5.0</v>
      </c>
      <c r="D6" s="5">
        <v>10.0</v>
      </c>
      <c r="E6" s="5">
        <v>15.0</v>
      </c>
      <c r="F6" s="5">
        <v>20.0</v>
      </c>
      <c r="G6" s="17">
        <f t="shared" si="1"/>
        <v>5</v>
      </c>
    </row>
    <row r="7">
      <c r="A7" s="2">
        <v>5.0</v>
      </c>
      <c r="B7" s="5">
        <v>0.0</v>
      </c>
      <c r="C7" s="5">
        <v>4.0</v>
      </c>
      <c r="D7" s="5">
        <v>8.0</v>
      </c>
      <c r="E7" s="27">
        <v>12.0</v>
      </c>
      <c r="F7" s="5">
        <v>16.0</v>
      </c>
      <c r="G7" s="17">
        <f t="shared" si="1"/>
        <v>4</v>
      </c>
    </row>
    <row r="8">
      <c r="A8" s="2">
        <v>6.0</v>
      </c>
      <c r="B8" s="5">
        <v>0.0</v>
      </c>
      <c r="C8" s="5">
        <v>3.0</v>
      </c>
      <c r="D8" s="5">
        <v>6.0</v>
      </c>
      <c r="E8" s="5">
        <v>9.0</v>
      </c>
      <c r="F8" s="5">
        <v>12.0</v>
      </c>
      <c r="G8" s="17">
        <f t="shared" si="1"/>
        <v>3</v>
      </c>
    </row>
    <row r="9">
      <c r="A9" s="2">
        <v>7.0</v>
      </c>
      <c r="B9" s="5">
        <v>0.0</v>
      </c>
      <c r="C9" s="5">
        <v>2.0</v>
      </c>
      <c r="D9" s="5">
        <v>4.0</v>
      </c>
      <c r="E9" s="5">
        <v>6.0</v>
      </c>
      <c r="F9" s="5">
        <v>8.0</v>
      </c>
      <c r="G9" s="17">
        <f t="shared" si="1"/>
        <v>2</v>
      </c>
    </row>
    <row r="10">
      <c r="A10" s="2">
        <v>8.0</v>
      </c>
      <c r="B10" s="5">
        <v>0.0</v>
      </c>
      <c r="C10" s="5">
        <v>1.0</v>
      </c>
      <c r="D10" s="5">
        <v>2.0</v>
      </c>
      <c r="E10" s="5">
        <v>3.0</v>
      </c>
      <c r="F10" s="5">
        <v>4.0</v>
      </c>
      <c r="G10" s="17">
        <f t="shared" si="1"/>
        <v>1</v>
      </c>
    </row>
    <row r="11">
      <c r="A11" s="2">
        <v>9.0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17">
        <f t="shared" si="1"/>
        <v>0</v>
      </c>
    </row>
    <row r="12">
      <c r="A12" s="17"/>
      <c r="B12" s="17">
        <f t="shared" ref="B12:F12" si="2">4-B1</f>
        <v>4</v>
      </c>
      <c r="C12" s="17">
        <f t="shared" si="2"/>
        <v>3</v>
      </c>
      <c r="D12" s="17">
        <f t="shared" si="2"/>
        <v>2</v>
      </c>
      <c r="E12" s="17">
        <f t="shared" si="2"/>
        <v>1</v>
      </c>
      <c r="F12" s="17">
        <f t="shared" si="2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G13" s="17"/>
    </row>
    <row r="14">
      <c r="A14" s="17"/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17"/>
    </row>
    <row r="15">
      <c r="A15" s="2">
        <v>0.0</v>
      </c>
      <c r="B15" s="5">
        <f t="array" ref="B15:F24">A15:A24*B25:F25</f>
        <v>0</v>
      </c>
      <c r="C15" s="5">
        <v>0.0</v>
      </c>
      <c r="D15" s="5">
        <v>0.0</v>
      </c>
      <c r="E15" s="5">
        <v>0.0</v>
      </c>
      <c r="F15" s="5">
        <v>0.0</v>
      </c>
      <c r="G15" s="17">
        <f t="shared" ref="G15:G24" si="3">9-A15</f>
        <v>9</v>
      </c>
    </row>
    <row r="16">
      <c r="A16" s="2">
        <v>1.0</v>
      </c>
      <c r="B16" s="5">
        <v>4.0</v>
      </c>
      <c r="C16" s="5">
        <v>3.0</v>
      </c>
      <c r="D16" s="5">
        <v>2.0</v>
      </c>
      <c r="E16" s="5">
        <v>1.0</v>
      </c>
      <c r="F16" s="5">
        <v>0.0</v>
      </c>
      <c r="G16" s="17">
        <f t="shared" si="3"/>
        <v>8</v>
      </c>
    </row>
    <row r="17">
      <c r="A17" s="2">
        <v>2.0</v>
      </c>
      <c r="B17" s="5">
        <v>8.0</v>
      </c>
      <c r="C17" s="5">
        <v>6.0</v>
      </c>
      <c r="D17" s="5">
        <v>4.0</v>
      </c>
      <c r="E17" s="5">
        <v>2.0</v>
      </c>
      <c r="F17" s="5">
        <v>0.0</v>
      </c>
      <c r="G17" s="17">
        <f t="shared" si="3"/>
        <v>7</v>
      </c>
    </row>
    <row r="18">
      <c r="A18" s="2">
        <v>3.0</v>
      </c>
      <c r="B18" s="5">
        <v>12.0</v>
      </c>
      <c r="C18" s="5">
        <v>9.0</v>
      </c>
      <c r="D18" s="5">
        <v>6.0</v>
      </c>
      <c r="E18" s="5">
        <v>3.0</v>
      </c>
      <c r="F18" s="5">
        <v>0.0</v>
      </c>
      <c r="G18" s="17">
        <f t="shared" si="3"/>
        <v>6</v>
      </c>
    </row>
    <row r="19">
      <c r="A19" s="2">
        <v>4.0</v>
      </c>
      <c r="B19" s="5">
        <v>16.0</v>
      </c>
      <c r="C19" s="27">
        <v>12.0</v>
      </c>
      <c r="D19" s="5">
        <v>8.0</v>
      </c>
      <c r="E19" s="5">
        <v>4.0</v>
      </c>
      <c r="F19" s="5">
        <v>0.0</v>
      </c>
      <c r="G19" s="17">
        <f t="shared" si="3"/>
        <v>5</v>
      </c>
    </row>
    <row r="20">
      <c r="A20" s="2">
        <v>5.0</v>
      </c>
      <c r="B20" s="5">
        <v>20.0</v>
      </c>
      <c r="C20" s="5">
        <v>15.0</v>
      </c>
      <c r="D20" s="5">
        <v>10.0</v>
      </c>
      <c r="E20" s="27">
        <v>5.0</v>
      </c>
      <c r="F20" s="5">
        <v>0.0</v>
      </c>
      <c r="G20" s="17">
        <f t="shared" si="3"/>
        <v>4</v>
      </c>
    </row>
    <row r="21">
      <c r="A21" s="2">
        <v>6.0</v>
      </c>
      <c r="B21" s="5">
        <v>24.0</v>
      </c>
      <c r="C21" s="5">
        <v>18.0</v>
      </c>
      <c r="D21" s="5">
        <v>12.0</v>
      </c>
      <c r="E21" s="5">
        <v>6.0</v>
      </c>
      <c r="F21" s="5">
        <v>0.0</v>
      </c>
      <c r="G21" s="17">
        <f t="shared" si="3"/>
        <v>3</v>
      </c>
    </row>
    <row r="22">
      <c r="A22" s="2">
        <v>7.0</v>
      </c>
      <c r="B22" s="5">
        <v>28.0</v>
      </c>
      <c r="C22" s="5">
        <v>21.0</v>
      </c>
      <c r="D22" s="5">
        <v>14.0</v>
      </c>
      <c r="E22" s="5">
        <v>7.0</v>
      </c>
      <c r="F22" s="5">
        <v>0.0</v>
      </c>
      <c r="G22" s="17">
        <f t="shared" si="3"/>
        <v>2</v>
      </c>
    </row>
    <row r="23">
      <c r="A23" s="2">
        <v>8.0</v>
      </c>
      <c r="B23" s="5">
        <v>32.0</v>
      </c>
      <c r="C23" s="5">
        <v>24.0</v>
      </c>
      <c r="D23" s="5">
        <v>16.0</v>
      </c>
      <c r="E23" s="5">
        <v>8.0</v>
      </c>
      <c r="F23" s="5">
        <v>0.0</v>
      </c>
      <c r="G23" s="17">
        <f t="shared" si="3"/>
        <v>1</v>
      </c>
    </row>
    <row r="24">
      <c r="A24" s="2">
        <v>9.0</v>
      </c>
      <c r="B24" s="5">
        <v>36.0</v>
      </c>
      <c r="C24" s="5">
        <v>27.0</v>
      </c>
      <c r="D24" s="5">
        <v>18.0</v>
      </c>
      <c r="E24" s="5">
        <v>9.0</v>
      </c>
      <c r="F24" s="5">
        <v>0.0</v>
      </c>
      <c r="G24" s="17">
        <f t="shared" si="3"/>
        <v>0</v>
      </c>
    </row>
    <row r="25">
      <c r="A25" s="17"/>
      <c r="B25" s="17">
        <f t="shared" ref="B25:F25" si="4">4-B14</f>
        <v>4</v>
      </c>
      <c r="C25" s="17">
        <f t="shared" si="4"/>
        <v>3</v>
      </c>
      <c r="D25" s="17">
        <f t="shared" si="4"/>
        <v>2</v>
      </c>
      <c r="E25" s="17">
        <f t="shared" si="4"/>
        <v>1</v>
      </c>
      <c r="F25" s="17">
        <f t="shared" si="4"/>
        <v>0</v>
      </c>
      <c r="G25" s="17"/>
    </row>
    <row r="26">
      <c r="A26" s="17"/>
      <c r="G26" s="17"/>
    </row>
    <row r="27">
      <c r="A27" s="17"/>
      <c r="B27" s="2">
        <v>0.0</v>
      </c>
      <c r="C27" s="2">
        <v>1.0</v>
      </c>
      <c r="D27" s="2">
        <v>2.0</v>
      </c>
      <c r="E27" s="2">
        <v>3.0</v>
      </c>
      <c r="F27" s="2">
        <v>4.0</v>
      </c>
      <c r="G27" s="17"/>
    </row>
    <row r="28">
      <c r="A28" s="2">
        <v>0.0</v>
      </c>
      <c r="B28" s="5">
        <f t="array" ref="B28:F37">A28:A37*B38:F38-B27:F27*G28:G37</f>
        <v>0</v>
      </c>
      <c r="C28" s="5">
        <v>-9.0</v>
      </c>
      <c r="D28" s="5">
        <v>-18.0</v>
      </c>
      <c r="E28" s="5">
        <v>-27.0</v>
      </c>
      <c r="F28" s="5">
        <v>-36.0</v>
      </c>
      <c r="G28" s="17">
        <f t="shared" ref="G28:G37" si="5">9-A28</f>
        <v>9</v>
      </c>
    </row>
    <row r="29">
      <c r="A29" s="2">
        <v>1.0</v>
      </c>
      <c r="B29" s="5">
        <v>4.0</v>
      </c>
      <c r="C29" s="5">
        <v>-5.0</v>
      </c>
      <c r="D29" s="5">
        <v>-14.0</v>
      </c>
      <c r="E29" s="5">
        <v>-23.0</v>
      </c>
      <c r="F29" s="5">
        <v>-32.0</v>
      </c>
      <c r="G29" s="17">
        <f t="shared" si="5"/>
        <v>8</v>
      </c>
    </row>
    <row r="30">
      <c r="A30" s="2">
        <v>2.0</v>
      </c>
      <c r="B30" s="5">
        <v>8.0</v>
      </c>
      <c r="C30" s="5">
        <v>-1.0</v>
      </c>
      <c r="D30" s="5">
        <v>-10.0</v>
      </c>
      <c r="E30" s="5">
        <v>-19.0</v>
      </c>
      <c r="F30" s="5">
        <v>-28.0</v>
      </c>
      <c r="G30" s="17">
        <f t="shared" si="5"/>
        <v>7</v>
      </c>
    </row>
    <row r="31">
      <c r="A31" s="2">
        <v>3.0</v>
      </c>
      <c r="B31" s="5">
        <v>12.0</v>
      </c>
      <c r="C31" s="5">
        <v>3.0</v>
      </c>
      <c r="D31" s="5">
        <v>-6.0</v>
      </c>
      <c r="E31" s="5">
        <v>-15.0</v>
      </c>
      <c r="F31" s="5">
        <v>-24.0</v>
      </c>
      <c r="G31" s="17">
        <f t="shared" si="5"/>
        <v>6</v>
      </c>
    </row>
    <row r="32">
      <c r="A32" s="2">
        <v>4.0</v>
      </c>
      <c r="B32" s="5">
        <v>16.0</v>
      </c>
      <c r="C32" s="27">
        <v>7.0</v>
      </c>
      <c r="D32" s="5">
        <v>-2.0</v>
      </c>
      <c r="E32" s="5">
        <v>-11.0</v>
      </c>
      <c r="F32" s="5">
        <v>-20.0</v>
      </c>
      <c r="G32" s="17">
        <f t="shared" si="5"/>
        <v>5</v>
      </c>
    </row>
    <row r="33">
      <c r="A33" s="2">
        <v>5.0</v>
      </c>
      <c r="B33" s="5">
        <v>20.0</v>
      </c>
      <c r="C33" s="5">
        <v>11.0</v>
      </c>
      <c r="D33" s="5">
        <v>2.0</v>
      </c>
      <c r="E33" s="27">
        <v>-7.0</v>
      </c>
      <c r="F33" s="5">
        <v>-16.0</v>
      </c>
      <c r="G33" s="17">
        <f t="shared" si="5"/>
        <v>4</v>
      </c>
    </row>
    <row r="34">
      <c r="A34" s="2">
        <v>6.0</v>
      </c>
      <c r="B34" s="5">
        <v>24.0</v>
      </c>
      <c r="C34" s="5">
        <v>15.0</v>
      </c>
      <c r="D34" s="5">
        <v>6.0</v>
      </c>
      <c r="E34" s="5">
        <v>-3.0</v>
      </c>
      <c r="F34" s="5">
        <v>-12.0</v>
      </c>
      <c r="G34" s="17">
        <f t="shared" si="5"/>
        <v>3</v>
      </c>
    </row>
    <row r="35">
      <c r="A35" s="2">
        <v>7.0</v>
      </c>
      <c r="B35" s="5">
        <v>28.0</v>
      </c>
      <c r="C35" s="5">
        <v>19.0</v>
      </c>
      <c r="D35" s="5">
        <v>10.0</v>
      </c>
      <c r="E35" s="5">
        <v>1.0</v>
      </c>
      <c r="F35" s="5">
        <v>-8.0</v>
      </c>
      <c r="G35" s="17">
        <f t="shared" si="5"/>
        <v>2</v>
      </c>
    </row>
    <row r="36">
      <c r="A36" s="2">
        <v>8.0</v>
      </c>
      <c r="B36" s="5">
        <v>32.0</v>
      </c>
      <c r="C36" s="5">
        <v>23.0</v>
      </c>
      <c r="D36" s="5">
        <v>14.0</v>
      </c>
      <c r="E36" s="5">
        <v>5.0</v>
      </c>
      <c r="F36" s="5">
        <v>-4.0</v>
      </c>
      <c r="G36" s="17">
        <f t="shared" si="5"/>
        <v>1</v>
      </c>
    </row>
    <row r="37">
      <c r="A37" s="2">
        <v>9.0</v>
      </c>
      <c r="B37" s="5">
        <v>36.0</v>
      </c>
      <c r="C37" s="5">
        <v>27.0</v>
      </c>
      <c r="D37" s="5">
        <v>18.0</v>
      </c>
      <c r="E37" s="5">
        <v>9.0</v>
      </c>
      <c r="F37" s="5">
        <v>0.0</v>
      </c>
      <c r="G37" s="17">
        <f t="shared" si="5"/>
        <v>0</v>
      </c>
    </row>
    <row r="38">
      <c r="A38" s="17"/>
      <c r="B38" s="17">
        <f t="shared" ref="B38:F38" si="6">4-B27</f>
        <v>4</v>
      </c>
      <c r="C38" s="17">
        <f t="shared" si="6"/>
        <v>3</v>
      </c>
      <c r="D38" s="17">
        <f t="shared" si="6"/>
        <v>2</v>
      </c>
      <c r="E38" s="17">
        <f t="shared" si="6"/>
        <v>1</v>
      </c>
      <c r="F38" s="17">
        <f t="shared" si="6"/>
        <v>0</v>
      </c>
      <c r="G38" s="17"/>
    </row>
    <row r="39">
      <c r="A39" s="17"/>
      <c r="G39" s="17"/>
    </row>
    <row r="40">
      <c r="A40" s="17"/>
      <c r="G40" s="17"/>
    </row>
    <row r="41">
      <c r="A41" s="17"/>
      <c r="G41" s="17"/>
    </row>
    <row r="42">
      <c r="A42" s="17"/>
      <c r="G42" s="17"/>
    </row>
    <row r="43">
      <c r="A43" s="17"/>
      <c r="G43" s="17"/>
    </row>
    <row r="44">
      <c r="A44" s="17"/>
      <c r="G44" s="17"/>
    </row>
    <row r="45">
      <c r="A45" s="17"/>
      <c r="G45" s="17"/>
    </row>
    <row r="46">
      <c r="A46" s="17"/>
      <c r="G46" s="17"/>
    </row>
    <row r="47">
      <c r="A47" s="17"/>
      <c r="G47" s="17"/>
    </row>
    <row r="48">
      <c r="A48" s="17"/>
      <c r="G48" s="17"/>
    </row>
    <row r="49">
      <c r="A49" s="17"/>
      <c r="G49" s="17"/>
    </row>
    <row r="50">
      <c r="A50" s="17"/>
      <c r="G50" s="17"/>
    </row>
    <row r="51">
      <c r="A51" s="17"/>
      <c r="G51" s="17"/>
    </row>
    <row r="52">
      <c r="A52" s="17"/>
      <c r="G52" s="17"/>
    </row>
    <row r="53">
      <c r="A53" s="17"/>
      <c r="G53" s="17"/>
    </row>
    <row r="54">
      <c r="A54" s="17"/>
      <c r="G54" s="17"/>
    </row>
    <row r="55">
      <c r="A55" s="17"/>
      <c r="G55" s="17"/>
    </row>
    <row r="56">
      <c r="A56" s="17"/>
      <c r="G56" s="17"/>
    </row>
    <row r="57">
      <c r="A57" s="17"/>
      <c r="G57" s="17"/>
    </row>
    <row r="58">
      <c r="A58" s="17"/>
      <c r="G58" s="17"/>
    </row>
    <row r="59">
      <c r="A59" s="17"/>
      <c r="G59" s="17"/>
    </row>
    <row r="60">
      <c r="A60" s="17"/>
      <c r="G60" s="17"/>
    </row>
    <row r="61">
      <c r="A61" s="17"/>
      <c r="G61" s="17"/>
    </row>
    <row r="62">
      <c r="A62" s="17"/>
      <c r="G62" s="17"/>
    </row>
    <row r="63">
      <c r="A63" s="17"/>
      <c r="G63" s="17"/>
    </row>
    <row r="64">
      <c r="A64" s="17"/>
      <c r="G64" s="17"/>
    </row>
    <row r="65">
      <c r="A65" s="17"/>
      <c r="G65" s="17"/>
    </row>
    <row r="66">
      <c r="A66" s="17"/>
      <c r="G66" s="17"/>
    </row>
    <row r="67">
      <c r="A67" s="17"/>
      <c r="G67" s="17"/>
    </row>
    <row r="68">
      <c r="A68" s="17"/>
      <c r="G68" s="17"/>
    </row>
    <row r="69">
      <c r="A69" s="17"/>
      <c r="G69" s="17"/>
    </row>
    <row r="70">
      <c r="A70" s="17"/>
      <c r="G70" s="17"/>
    </row>
    <row r="71">
      <c r="A71" s="17"/>
      <c r="G71" s="17"/>
    </row>
    <row r="72">
      <c r="A72" s="17"/>
      <c r="G72" s="17"/>
    </row>
    <row r="73">
      <c r="A73" s="17"/>
      <c r="G73" s="17"/>
    </row>
    <row r="74">
      <c r="A74" s="17"/>
      <c r="G74" s="17"/>
    </row>
    <row r="75">
      <c r="A75" s="17"/>
      <c r="G75" s="17"/>
    </row>
    <row r="76">
      <c r="A76" s="17"/>
      <c r="G76" s="17"/>
    </row>
    <row r="77">
      <c r="A77" s="17"/>
      <c r="G77" s="17"/>
    </row>
    <row r="78">
      <c r="A78" s="17"/>
      <c r="G78" s="17"/>
    </row>
    <row r="79">
      <c r="A79" s="17"/>
      <c r="G79" s="17"/>
    </row>
    <row r="80">
      <c r="A80" s="17"/>
      <c r="G80" s="17"/>
    </row>
    <row r="81">
      <c r="A81" s="17"/>
      <c r="G81" s="17"/>
    </row>
    <row r="82">
      <c r="A82" s="17"/>
      <c r="G82" s="17"/>
    </row>
    <row r="83">
      <c r="A83" s="17"/>
      <c r="G83" s="17"/>
    </row>
    <row r="84">
      <c r="A84" s="17"/>
      <c r="G84" s="17"/>
    </row>
    <row r="85">
      <c r="A85" s="17"/>
      <c r="G85" s="17"/>
    </row>
    <row r="86">
      <c r="A86" s="17"/>
      <c r="G86" s="17"/>
    </row>
    <row r="87">
      <c r="A87" s="17"/>
      <c r="G87" s="17"/>
    </row>
    <row r="88">
      <c r="A88" s="17"/>
      <c r="G88" s="17"/>
    </row>
    <row r="89">
      <c r="A89" s="17"/>
      <c r="G89" s="17"/>
    </row>
    <row r="90">
      <c r="A90" s="17"/>
      <c r="G90" s="17"/>
    </row>
    <row r="91">
      <c r="A91" s="17"/>
      <c r="G91" s="17"/>
    </row>
    <row r="92">
      <c r="A92" s="17"/>
      <c r="G92" s="17"/>
    </row>
    <row r="93">
      <c r="A93" s="17"/>
      <c r="G93" s="17"/>
    </row>
    <row r="94">
      <c r="A94" s="17"/>
      <c r="G94" s="17"/>
    </row>
    <row r="95">
      <c r="A95" s="17"/>
      <c r="G95" s="17"/>
    </row>
    <row r="96">
      <c r="A96" s="17"/>
      <c r="G96" s="17"/>
    </row>
    <row r="97">
      <c r="A97" s="17"/>
      <c r="G97" s="17"/>
    </row>
    <row r="98">
      <c r="A98" s="17"/>
      <c r="G98" s="17"/>
    </row>
    <row r="99">
      <c r="A99" s="17"/>
      <c r="G99" s="17"/>
    </row>
    <row r="100">
      <c r="A100" s="17"/>
      <c r="G100" s="17"/>
    </row>
    <row r="101">
      <c r="A101" s="17"/>
      <c r="G101" s="17"/>
    </row>
    <row r="102">
      <c r="A102" s="17"/>
      <c r="G102" s="17"/>
    </row>
    <row r="103">
      <c r="A103" s="17"/>
      <c r="G103" s="17"/>
    </row>
    <row r="104">
      <c r="A104" s="17"/>
      <c r="G104" s="17"/>
    </row>
    <row r="105">
      <c r="A105" s="17"/>
      <c r="G105" s="17"/>
    </row>
    <row r="106">
      <c r="A106" s="17"/>
      <c r="G106" s="17"/>
    </row>
    <row r="107">
      <c r="A107" s="17"/>
      <c r="G107" s="17"/>
    </row>
    <row r="108">
      <c r="A108" s="17"/>
      <c r="G108" s="17"/>
    </row>
    <row r="109">
      <c r="A109" s="17"/>
      <c r="G109" s="17"/>
    </row>
    <row r="110">
      <c r="A110" s="17"/>
      <c r="G110" s="17"/>
    </row>
    <row r="111">
      <c r="A111" s="17"/>
      <c r="G111" s="17"/>
    </row>
    <row r="112">
      <c r="A112" s="17"/>
      <c r="G112" s="17"/>
    </row>
    <row r="113">
      <c r="A113" s="17"/>
      <c r="G113" s="17"/>
    </row>
    <row r="114">
      <c r="A114" s="17"/>
      <c r="G114" s="17"/>
    </row>
    <row r="115">
      <c r="A115" s="17"/>
      <c r="G115" s="17"/>
    </row>
    <row r="116">
      <c r="A116" s="17"/>
      <c r="G116" s="17"/>
    </row>
    <row r="117">
      <c r="A117" s="17"/>
      <c r="G117" s="17"/>
    </row>
    <row r="118">
      <c r="A118" s="17"/>
      <c r="G118" s="17"/>
    </row>
    <row r="119">
      <c r="A119" s="17"/>
      <c r="G119" s="17"/>
    </row>
    <row r="120">
      <c r="A120" s="17"/>
      <c r="G120" s="17"/>
    </row>
    <row r="121">
      <c r="A121" s="17"/>
      <c r="G121" s="17"/>
    </row>
    <row r="122">
      <c r="A122" s="17"/>
      <c r="G122" s="17"/>
    </row>
    <row r="123">
      <c r="A123" s="17"/>
      <c r="G123" s="17"/>
    </row>
    <row r="124">
      <c r="A124" s="17"/>
      <c r="G124" s="17"/>
    </row>
    <row r="125">
      <c r="A125" s="17"/>
      <c r="G125" s="17"/>
    </row>
    <row r="126">
      <c r="A126" s="17"/>
      <c r="G126" s="17"/>
    </row>
    <row r="127">
      <c r="A127" s="17"/>
      <c r="G127" s="17"/>
    </row>
    <row r="128">
      <c r="A128" s="17"/>
      <c r="G128" s="17"/>
    </row>
    <row r="129">
      <c r="A129" s="17"/>
      <c r="G129" s="17"/>
    </row>
    <row r="130">
      <c r="A130" s="17"/>
      <c r="G130" s="17"/>
    </row>
    <row r="131">
      <c r="A131" s="17"/>
      <c r="G131" s="17"/>
    </row>
    <row r="132">
      <c r="A132" s="17"/>
      <c r="G132" s="17"/>
    </row>
    <row r="133">
      <c r="A133" s="17"/>
      <c r="G133" s="17"/>
    </row>
    <row r="134">
      <c r="A134" s="17"/>
      <c r="G134" s="17"/>
    </row>
    <row r="135">
      <c r="A135" s="17"/>
      <c r="G135" s="17"/>
    </row>
    <row r="136">
      <c r="A136" s="17"/>
      <c r="G136" s="17"/>
    </row>
    <row r="137">
      <c r="A137" s="17"/>
      <c r="G137" s="17"/>
    </row>
    <row r="138">
      <c r="A138" s="17"/>
      <c r="G138" s="17"/>
    </row>
    <row r="139">
      <c r="A139" s="17"/>
      <c r="G139" s="17"/>
    </row>
    <row r="140">
      <c r="A140" s="17"/>
      <c r="G140" s="17"/>
    </row>
    <row r="141">
      <c r="A141" s="17"/>
      <c r="G141" s="17"/>
    </row>
    <row r="142">
      <c r="A142" s="17"/>
      <c r="G142" s="17"/>
    </row>
    <row r="143">
      <c r="A143" s="17"/>
      <c r="G143" s="17"/>
    </row>
    <row r="144">
      <c r="A144" s="17"/>
      <c r="G144" s="17"/>
    </row>
    <row r="145">
      <c r="A145" s="17"/>
      <c r="G145" s="17"/>
    </row>
    <row r="146">
      <c r="A146" s="17"/>
      <c r="G146" s="17"/>
    </row>
    <row r="147">
      <c r="A147" s="17"/>
      <c r="G147" s="17"/>
    </row>
    <row r="148">
      <c r="A148" s="17"/>
      <c r="G148" s="17"/>
    </row>
    <row r="149">
      <c r="A149" s="17"/>
      <c r="G149" s="17"/>
    </row>
    <row r="150">
      <c r="A150" s="17"/>
      <c r="G150" s="17"/>
    </row>
    <row r="151">
      <c r="A151" s="17"/>
      <c r="G151" s="17"/>
    </row>
    <row r="152">
      <c r="A152" s="17"/>
      <c r="G152" s="17"/>
    </row>
    <row r="153">
      <c r="A153" s="17"/>
      <c r="G153" s="17"/>
    </row>
    <row r="154">
      <c r="A154" s="17"/>
      <c r="G154" s="17"/>
    </row>
    <row r="155">
      <c r="A155" s="17"/>
      <c r="G155" s="17"/>
    </row>
    <row r="156">
      <c r="A156" s="17"/>
      <c r="G156" s="17"/>
    </row>
    <row r="157">
      <c r="A157" s="17"/>
      <c r="G157" s="17"/>
    </row>
    <row r="158">
      <c r="A158" s="17"/>
      <c r="G158" s="17"/>
    </row>
    <row r="159">
      <c r="A159" s="17"/>
      <c r="G159" s="17"/>
    </row>
    <row r="160">
      <c r="A160" s="17"/>
      <c r="G160" s="17"/>
    </row>
    <row r="161">
      <c r="A161" s="17"/>
      <c r="G161" s="17"/>
    </row>
    <row r="162">
      <c r="A162" s="17"/>
      <c r="G162" s="17"/>
    </row>
    <row r="163">
      <c r="A163" s="17"/>
      <c r="G163" s="17"/>
    </row>
    <row r="164">
      <c r="A164" s="17"/>
      <c r="G164" s="17"/>
    </row>
    <row r="165">
      <c r="A165" s="17"/>
      <c r="G165" s="17"/>
    </row>
    <row r="166">
      <c r="A166" s="17"/>
      <c r="G166" s="17"/>
    </row>
    <row r="167">
      <c r="A167" s="17"/>
      <c r="G167" s="17"/>
    </row>
    <row r="168">
      <c r="A168" s="17"/>
      <c r="G168" s="17"/>
    </row>
    <row r="169">
      <c r="A169" s="17"/>
      <c r="G169" s="17"/>
    </row>
    <row r="170">
      <c r="A170" s="17"/>
      <c r="G170" s="17"/>
    </row>
    <row r="171">
      <c r="A171" s="17"/>
      <c r="G171" s="17"/>
    </row>
    <row r="172">
      <c r="A172" s="17"/>
      <c r="G172" s="17"/>
    </row>
    <row r="173">
      <c r="A173" s="17"/>
      <c r="G173" s="17"/>
    </row>
    <row r="174">
      <c r="A174" s="17"/>
      <c r="G174" s="17"/>
    </row>
    <row r="175">
      <c r="A175" s="17"/>
      <c r="G175" s="17"/>
    </row>
    <row r="176">
      <c r="A176" s="17"/>
      <c r="G176" s="17"/>
    </row>
    <row r="177">
      <c r="A177" s="17"/>
      <c r="G177" s="17"/>
    </row>
    <row r="178">
      <c r="A178" s="17"/>
      <c r="G178" s="17"/>
    </row>
    <row r="179">
      <c r="A179" s="17"/>
      <c r="G179" s="17"/>
    </row>
    <row r="180">
      <c r="A180" s="17"/>
      <c r="G180" s="17"/>
    </row>
    <row r="181">
      <c r="A181" s="17"/>
      <c r="G181" s="17"/>
    </row>
    <row r="182">
      <c r="A182" s="17"/>
      <c r="G182" s="17"/>
    </row>
    <row r="183">
      <c r="A183" s="17"/>
      <c r="G183" s="17"/>
    </row>
    <row r="184">
      <c r="A184" s="17"/>
      <c r="G184" s="17"/>
    </row>
    <row r="185">
      <c r="A185" s="17"/>
      <c r="G185" s="17"/>
    </row>
    <row r="186">
      <c r="A186" s="17"/>
      <c r="G186" s="17"/>
    </row>
    <row r="187">
      <c r="A187" s="17"/>
      <c r="G187" s="17"/>
    </row>
    <row r="188">
      <c r="A188" s="17"/>
      <c r="G188" s="17"/>
    </row>
    <row r="189">
      <c r="A189" s="17"/>
      <c r="G189" s="17"/>
    </row>
    <row r="190">
      <c r="A190" s="17"/>
      <c r="G190" s="17"/>
    </row>
    <row r="191">
      <c r="A191" s="17"/>
      <c r="G191" s="17"/>
    </row>
    <row r="192">
      <c r="A192" s="17"/>
      <c r="G192" s="17"/>
    </row>
    <row r="193">
      <c r="A193" s="17"/>
      <c r="G193" s="17"/>
    </row>
    <row r="194">
      <c r="A194" s="17"/>
      <c r="G194" s="17"/>
    </row>
    <row r="195">
      <c r="A195" s="17"/>
      <c r="G195" s="17"/>
    </row>
    <row r="196">
      <c r="A196" s="17"/>
      <c r="G196" s="17"/>
    </row>
    <row r="197">
      <c r="A197" s="17"/>
      <c r="G197" s="17"/>
    </row>
    <row r="198">
      <c r="A198" s="17"/>
      <c r="G198" s="17"/>
    </row>
    <row r="199">
      <c r="A199" s="17"/>
      <c r="G199" s="17"/>
    </row>
    <row r="200">
      <c r="A200" s="17"/>
      <c r="G200" s="17"/>
    </row>
    <row r="201">
      <c r="A201" s="17"/>
      <c r="G201" s="17"/>
    </row>
    <row r="202">
      <c r="A202" s="17"/>
      <c r="G202" s="17"/>
    </row>
    <row r="203">
      <c r="A203" s="17"/>
      <c r="G203" s="17"/>
    </row>
    <row r="204">
      <c r="A204" s="17"/>
      <c r="G204" s="17"/>
    </row>
    <row r="205">
      <c r="A205" s="17"/>
      <c r="G205" s="17"/>
    </row>
    <row r="206">
      <c r="A206" s="17"/>
      <c r="G206" s="17"/>
    </row>
    <row r="207">
      <c r="A207" s="17"/>
      <c r="G207" s="17"/>
    </row>
    <row r="208">
      <c r="A208" s="17"/>
      <c r="G208" s="17"/>
    </row>
    <row r="209">
      <c r="A209" s="17"/>
      <c r="G209" s="17"/>
    </row>
    <row r="210">
      <c r="A210" s="17"/>
      <c r="G210" s="17"/>
    </row>
    <row r="211">
      <c r="A211" s="17"/>
      <c r="G211" s="17"/>
    </row>
    <row r="212">
      <c r="A212" s="17"/>
      <c r="G212" s="17"/>
    </row>
    <row r="213">
      <c r="A213" s="17"/>
      <c r="G213" s="17"/>
    </row>
    <row r="214">
      <c r="A214" s="17"/>
      <c r="G214" s="17"/>
    </row>
    <row r="215">
      <c r="A215" s="17"/>
      <c r="G215" s="17"/>
    </row>
    <row r="216">
      <c r="A216" s="17"/>
      <c r="G216" s="17"/>
    </row>
    <row r="217">
      <c r="A217" s="17"/>
      <c r="G217" s="17"/>
    </row>
    <row r="218">
      <c r="A218" s="17"/>
      <c r="G218" s="17"/>
    </row>
    <row r="219">
      <c r="A219" s="17"/>
      <c r="G219" s="17"/>
    </row>
    <row r="220">
      <c r="A220" s="17"/>
      <c r="G220" s="17"/>
    </row>
    <row r="221">
      <c r="A221" s="17"/>
      <c r="G221" s="17"/>
    </row>
    <row r="222">
      <c r="A222" s="17"/>
      <c r="G222" s="17"/>
    </row>
    <row r="223">
      <c r="A223" s="17"/>
      <c r="G223" s="17"/>
    </row>
    <row r="224">
      <c r="A224" s="17"/>
      <c r="G224" s="17"/>
    </row>
    <row r="225">
      <c r="A225" s="17"/>
      <c r="G225" s="17"/>
    </row>
    <row r="226">
      <c r="A226" s="17"/>
      <c r="G226" s="17"/>
    </row>
    <row r="227">
      <c r="A227" s="17"/>
      <c r="G227" s="17"/>
    </row>
    <row r="228">
      <c r="A228" s="17"/>
      <c r="G228" s="17"/>
    </row>
    <row r="229">
      <c r="A229" s="17"/>
      <c r="G229" s="17"/>
    </row>
    <row r="230">
      <c r="A230" s="17"/>
      <c r="G230" s="17"/>
    </row>
    <row r="231">
      <c r="A231" s="17"/>
      <c r="G231" s="17"/>
    </row>
    <row r="232">
      <c r="A232" s="17"/>
      <c r="G232" s="17"/>
    </row>
    <row r="233">
      <c r="A233" s="17"/>
      <c r="G233" s="17"/>
    </row>
    <row r="234">
      <c r="A234" s="17"/>
      <c r="G234" s="17"/>
    </row>
    <row r="235">
      <c r="A235" s="17"/>
      <c r="G235" s="17"/>
    </row>
    <row r="236">
      <c r="A236" s="17"/>
      <c r="G236" s="17"/>
    </row>
    <row r="237">
      <c r="A237" s="17"/>
      <c r="G237" s="17"/>
    </row>
    <row r="238">
      <c r="A238" s="17"/>
      <c r="G238" s="17"/>
    </row>
    <row r="239">
      <c r="A239" s="17"/>
      <c r="G239" s="17"/>
    </row>
    <row r="240">
      <c r="A240" s="17"/>
      <c r="G240" s="17"/>
    </row>
    <row r="241">
      <c r="A241" s="17"/>
      <c r="G241" s="17"/>
    </row>
    <row r="242">
      <c r="A242" s="17"/>
      <c r="G242" s="17"/>
    </row>
    <row r="243">
      <c r="A243" s="17"/>
      <c r="G243" s="17"/>
    </row>
    <row r="244">
      <c r="A244" s="17"/>
      <c r="G244" s="17"/>
    </row>
    <row r="245">
      <c r="A245" s="17"/>
      <c r="G245" s="17"/>
    </row>
    <row r="246">
      <c r="A246" s="17"/>
      <c r="G246" s="17"/>
    </row>
    <row r="247">
      <c r="A247" s="17"/>
      <c r="G247" s="17"/>
    </row>
    <row r="248">
      <c r="A248" s="17"/>
      <c r="G248" s="17"/>
    </row>
    <row r="249">
      <c r="A249" s="17"/>
      <c r="G249" s="17"/>
    </row>
    <row r="250">
      <c r="A250" s="17"/>
      <c r="G250" s="17"/>
    </row>
    <row r="251">
      <c r="A251" s="17"/>
      <c r="G251" s="17"/>
    </row>
    <row r="252">
      <c r="A252" s="17"/>
      <c r="G252" s="17"/>
    </row>
    <row r="253">
      <c r="A253" s="17"/>
      <c r="G253" s="17"/>
    </row>
    <row r="254">
      <c r="A254" s="17"/>
      <c r="G254" s="17"/>
    </row>
    <row r="255">
      <c r="A255" s="17"/>
      <c r="G255" s="17"/>
    </row>
    <row r="256">
      <c r="A256" s="17"/>
      <c r="G256" s="17"/>
    </row>
    <row r="257">
      <c r="A257" s="17"/>
      <c r="G257" s="17"/>
    </row>
    <row r="258">
      <c r="A258" s="17"/>
      <c r="G258" s="17"/>
    </row>
    <row r="259">
      <c r="A259" s="17"/>
      <c r="G259" s="17"/>
    </row>
    <row r="260">
      <c r="A260" s="17"/>
      <c r="G260" s="17"/>
    </row>
    <row r="261">
      <c r="A261" s="17"/>
      <c r="G261" s="17"/>
    </row>
    <row r="262">
      <c r="A262" s="17"/>
      <c r="G262" s="17"/>
    </row>
    <row r="263">
      <c r="A263" s="17"/>
      <c r="G263" s="17"/>
    </row>
    <row r="264">
      <c r="A264" s="17"/>
      <c r="G264" s="17"/>
    </row>
    <row r="265">
      <c r="A265" s="17"/>
      <c r="G265" s="17"/>
    </row>
    <row r="266">
      <c r="A266" s="17"/>
      <c r="G266" s="17"/>
    </row>
    <row r="267">
      <c r="A267" s="17"/>
      <c r="G267" s="17"/>
    </row>
    <row r="268">
      <c r="A268" s="17"/>
      <c r="G268" s="17"/>
    </row>
    <row r="269">
      <c r="A269" s="17"/>
      <c r="G269" s="17"/>
    </row>
    <row r="270">
      <c r="A270" s="17"/>
      <c r="G270" s="17"/>
    </row>
    <row r="271">
      <c r="A271" s="17"/>
      <c r="G271" s="17"/>
    </row>
    <row r="272">
      <c r="A272" s="17"/>
      <c r="G272" s="17"/>
    </row>
    <row r="273">
      <c r="A273" s="17"/>
      <c r="G273" s="17"/>
    </row>
    <row r="274">
      <c r="A274" s="17"/>
      <c r="G274" s="17"/>
    </row>
    <row r="275">
      <c r="A275" s="17"/>
      <c r="G275" s="17"/>
    </row>
    <row r="276">
      <c r="A276" s="17"/>
      <c r="G276" s="17"/>
    </row>
    <row r="277">
      <c r="A277" s="17"/>
      <c r="G277" s="17"/>
    </row>
    <row r="278">
      <c r="A278" s="17"/>
      <c r="G278" s="17"/>
    </row>
    <row r="279">
      <c r="A279" s="17"/>
      <c r="G279" s="17"/>
    </row>
    <row r="280">
      <c r="A280" s="17"/>
      <c r="G280" s="17"/>
    </row>
    <row r="281">
      <c r="A281" s="17"/>
      <c r="G281" s="17"/>
    </row>
    <row r="282">
      <c r="A282" s="17"/>
      <c r="G282" s="17"/>
    </row>
    <row r="283">
      <c r="A283" s="17"/>
      <c r="G283" s="17"/>
    </row>
    <row r="284">
      <c r="A284" s="17"/>
      <c r="G284" s="17"/>
    </row>
    <row r="285">
      <c r="A285" s="17"/>
      <c r="G285" s="17"/>
    </row>
    <row r="286">
      <c r="A286" s="17"/>
      <c r="G286" s="17"/>
    </row>
    <row r="287">
      <c r="A287" s="17"/>
      <c r="G287" s="17"/>
    </row>
    <row r="288">
      <c r="A288" s="17"/>
      <c r="G288" s="17"/>
    </row>
    <row r="289">
      <c r="A289" s="17"/>
      <c r="G289" s="17"/>
    </row>
    <row r="290">
      <c r="A290" s="17"/>
      <c r="G290" s="17"/>
    </row>
    <row r="291">
      <c r="A291" s="17"/>
      <c r="G291" s="17"/>
    </row>
    <row r="292">
      <c r="A292" s="17"/>
      <c r="G292" s="17"/>
    </row>
    <row r="293">
      <c r="A293" s="17"/>
      <c r="G293" s="17"/>
    </row>
    <row r="294">
      <c r="A294" s="17"/>
      <c r="G294" s="17"/>
    </row>
    <row r="295">
      <c r="A295" s="17"/>
      <c r="G295" s="17"/>
    </row>
    <row r="296">
      <c r="A296" s="17"/>
      <c r="G296" s="17"/>
    </row>
    <row r="297">
      <c r="A297" s="17"/>
      <c r="G297" s="17"/>
    </row>
    <row r="298">
      <c r="A298" s="17"/>
      <c r="G298" s="17"/>
    </row>
    <row r="299">
      <c r="A299" s="17"/>
      <c r="G299" s="17"/>
    </row>
    <row r="300">
      <c r="A300" s="17"/>
      <c r="G300" s="17"/>
    </row>
    <row r="301">
      <c r="A301" s="17"/>
      <c r="G301" s="17"/>
    </row>
    <row r="302">
      <c r="A302" s="17"/>
      <c r="G302" s="17"/>
    </row>
    <row r="303">
      <c r="A303" s="17"/>
      <c r="G303" s="17"/>
    </row>
    <row r="304">
      <c r="A304" s="17"/>
      <c r="G304" s="17"/>
    </row>
    <row r="305">
      <c r="A305" s="17"/>
      <c r="G305" s="17"/>
    </row>
    <row r="306">
      <c r="A306" s="17"/>
      <c r="G306" s="17"/>
    </row>
    <row r="307">
      <c r="A307" s="17"/>
      <c r="G307" s="17"/>
    </row>
    <row r="308">
      <c r="A308" s="17"/>
      <c r="G308" s="17"/>
    </row>
    <row r="309">
      <c r="A309" s="17"/>
      <c r="G309" s="17"/>
    </row>
    <row r="310">
      <c r="A310" s="17"/>
      <c r="G310" s="17"/>
    </row>
    <row r="311">
      <c r="A311" s="17"/>
      <c r="G311" s="17"/>
    </row>
    <row r="312">
      <c r="A312" s="17"/>
      <c r="G312" s="17"/>
    </row>
    <row r="313">
      <c r="A313" s="17"/>
      <c r="G313" s="17"/>
    </row>
    <row r="314">
      <c r="A314" s="17"/>
      <c r="G314" s="17"/>
    </row>
    <row r="315">
      <c r="A315" s="17"/>
      <c r="G315" s="17"/>
    </row>
    <row r="316">
      <c r="A316" s="17"/>
      <c r="G316" s="17"/>
    </row>
    <row r="317">
      <c r="A317" s="17"/>
      <c r="G317" s="17"/>
    </row>
    <row r="318">
      <c r="A318" s="17"/>
      <c r="G318" s="17"/>
    </row>
    <row r="319">
      <c r="A319" s="17"/>
      <c r="G319" s="17"/>
    </row>
    <row r="320">
      <c r="A320" s="17"/>
      <c r="G320" s="17"/>
    </row>
    <row r="321">
      <c r="A321" s="17"/>
      <c r="G321" s="17"/>
    </row>
    <row r="322">
      <c r="A322" s="17"/>
      <c r="G322" s="17"/>
    </row>
    <row r="323">
      <c r="A323" s="17"/>
      <c r="G323" s="17"/>
    </row>
    <row r="324">
      <c r="A324" s="17"/>
      <c r="G324" s="17"/>
    </row>
    <row r="325">
      <c r="A325" s="17"/>
      <c r="G325" s="17"/>
    </row>
    <row r="326">
      <c r="A326" s="17"/>
      <c r="G326" s="17"/>
    </row>
    <row r="327">
      <c r="A327" s="17"/>
      <c r="G327" s="17"/>
    </row>
    <row r="328">
      <c r="A328" s="17"/>
      <c r="G328" s="17"/>
    </row>
    <row r="329">
      <c r="A329" s="17"/>
      <c r="G329" s="17"/>
    </row>
    <row r="330">
      <c r="A330" s="17"/>
      <c r="G330" s="17"/>
    </row>
    <row r="331">
      <c r="A331" s="17"/>
      <c r="G331" s="17"/>
    </row>
    <row r="332">
      <c r="A332" s="17"/>
      <c r="G332" s="17"/>
    </row>
    <row r="333">
      <c r="A333" s="17"/>
      <c r="G333" s="17"/>
    </row>
    <row r="334">
      <c r="A334" s="17"/>
      <c r="G334" s="17"/>
    </row>
    <row r="335">
      <c r="A335" s="17"/>
      <c r="G335" s="17"/>
    </row>
    <row r="336">
      <c r="A336" s="17"/>
      <c r="G336" s="17"/>
    </row>
    <row r="337">
      <c r="A337" s="17"/>
      <c r="G337" s="17"/>
    </row>
    <row r="338">
      <c r="A338" s="17"/>
      <c r="G338" s="17"/>
    </row>
    <row r="339">
      <c r="A339" s="17"/>
      <c r="G339" s="17"/>
    </row>
    <row r="340">
      <c r="A340" s="17"/>
      <c r="G340" s="17"/>
    </row>
    <row r="341">
      <c r="A341" s="17"/>
      <c r="G341" s="17"/>
    </row>
    <row r="342">
      <c r="A342" s="17"/>
      <c r="G342" s="17"/>
    </row>
    <row r="343">
      <c r="A343" s="17"/>
      <c r="G343" s="17"/>
    </row>
    <row r="344">
      <c r="A344" s="17"/>
      <c r="G344" s="17"/>
    </row>
    <row r="345">
      <c r="A345" s="17"/>
      <c r="G345" s="17"/>
    </row>
    <row r="346">
      <c r="A346" s="17"/>
      <c r="G346" s="17"/>
    </row>
    <row r="347">
      <c r="A347" s="17"/>
      <c r="G347" s="17"/>
    </row>
    <row r="348">
      <c r="A348" s="17"/>
      <c r="G348" s="17"/>
    </row>
    <row r="349">
      <c r="A349" s="17"/>
      <c r="G349" s="17"/>
    </row>
    <row r="350">
      <c r="A350" s="17"/>
      <c r="G350" s="17"/>
    </row>
    <row r="351">
      <c r="A351" s="17"/>
      <c r="G351" s="17"/>
    </row>
    <row r="352">
      <c r="A352" s="17"/>
      <c r="G352" s="17"/>
    </row>
    <row r="353">
      <c r="A353" s="17"/>
      <c r="G353" s="17"/>
    </row>
    <row r="354">
      <c r="A354" s="17"/>
      <c r="G354" s="17"/>
    </row>
    <row r="355">
      <c r="A355" s="17"/>
      <c r="G355" s="17"/>
    </row>
    <row r="356">
      <c r="A356" s="17"/>
      <c r="G356" s="17"/>
    </row>
    <row r="357">
      <c r="A357" s="17"/>
      <c r="G357" s="17"/>
    </row>
    <row r="358">
      <c r="A358" s="17"/>
      <c r="G358" s="17"/>
    </row>
    <row r="359">
      <c r="A359" s="17"/>
      <c r="G359" s="17"/>
    </row>
    <row r="360">
      <c r="A360" s="17"/>
      <c r="G360" s="17"/>
    </row>
    <row r="361">
      <c r="A361" s="17"/>
      <c r="G361" s="17"/>
    </row>
    <row r="362">
      <c r="A362" s="17"/>
      <c r="G362" s="17"/>
    </row>
    <row r="363">
      <c r="A363" s="17"/>
      <c r="G363" s="17"/>
    </row>
    <row r="364">
      <c r="A364" s="17"/>
      <c r="G364" s="17"/>
    </row>
    <row r="365">
      <c r="A365" s="17"/>
      <c r="G365" s="17"/>
    </row>
    <row r="366">
      <c r="A366" s="17"/>
      <c r="G366" s="17"/>
    </row>
    <row r="367">
      <c r="A367" s="17"/>
      <c r="G367" s="17"/>
    </row>
    <row r="368">
      <c r="A368" s="17"/>
      <c r="G368" s="17"/>
    </row>
    <row r="369">
      <c r="A369" s="17"/>
      <c r="G369" s="17"/>
    </row>
    <row r="370">
      <c r="A370" s="17"/>
      <c r="G370" s="17"/>
    </row>
    <row r="371">
      <c r="A371" s="17"/>
      <c r="G371" s="17"/>
    </row>
    <row r="372">
      <c r="A372" s="17"/>
      <c r="G372" s="17"/>
    </row>
    <row r="373">
      <c r="A373" s="17"/>
      <c r="G373" s="17"/>
    </row>
    <row r="374">
      <c r="A374" s="17"/>
      <c r="G374" s="17"/>
    </row>
    <row r="375">
      <c r="A375" s="17"/>
      <c r="G375" s="17"/>
    </row>
    <row r="376">
      <c r="A376" s="17"/>
      <c r="G376" s="17"/>
    </row>
    <row r="377">
      <c r="A377" s="17"/>
      <c r="G377" s="17"/>
    </row>
    <row r="378">
      <c r="A378" s="17"/>
      <c r="G378" s="17"/>
    </row>
    <row r="379">
      <c r="A379" s="17"/>
      <c r="G379" s="17"/>
    </row>
    <row r="380">
      <c r="A380" s="17"/>
      <c r="G380" s="17"/>
    </row>
    <row r="381">
      <c r="A381" s="17"/>
      <c r="G381" s="17"/>
    </row>
    <row r="382">
      <c r="A382" s="17"/>
      <c r="G382" s="17"/>
    </row>
    <row r="383">
      <c r="A383" s="17"/>
      <c r="G383" s="17"/>
    </row>
    <row r="384">
      <c r="A384" s="17"/>
      <c r="G384" s="17"/>
    </row>
    <row r="385">
      <c r="A385" s="17"/>
      <c r="G385" s="17"/>
    </row>
    <row r="386">
      <c r="A386" s="17"/>
      <c r="G386" s="17"/>
    </row>
    <row r="387">
      <c r="A387" s="17"/>
      <c r="G387" s="17"/>
    </row>
    <row r="388">
      <c r="A388" s="17"/>
      <c r="G388" s="17"/>
    </row>
    <row r="389">
      <c r="A389" s="17"/>
      <c r="G389" s="17"/>
    </row>
    <row r="390">
      <c r="A390" s="17"/>
      <c r="G390" s="17"/>
    </row>
    <row r="391">
      <c r="A391" s="17"/>
      <c r="G391" s="17"/>
    </row>
    <row r="392">
      <c r="A392" s="17"/>
      <c r="G392" s="17"/>
    </row>
    <row r="393">
      <c r="A393" s="17"/>
      <c r="G393" s="17"/>
    </row>
    <row r="394">
      <c r="A394" s="17"/>
      <c r="G394" s="17"/>
    </row>
    <row r="395">
      <c r="A395" s="17"/>
      <c r="G395" s="17"/>
    </row>
    <row r="396">
      <c r="A396" s="17"/>
      <c r="G396" s="17"/>
    </row>
    <row r="397">
      <c r="A397" s="17"/>
      <c r="G397" s="17"/>
    </row>
    <row r="398">
      <c r="A398" s="17"/>
      <c r="G398" s="17"/>
    </row>
    <row r="399">
      <c r="A399" s="17"/>
      <c r="G399" s="17"/>
    </row>
    <row r="400">
      <c r="A400" s="17"/>
      <c r="G400" s="17"/>
    </row>
    <row r="401">
      <c r="A401" s="17"/>
      <c r="G401" s="17"/>
    </row>
    <row r="402">
      <c r="A402" s="17"/>
      <c r="G402" s="17"/>
    </row>
    <row r="403">
      <c r="A403" s="17"/>
      <c r="G403" s="17"/>
    </row>
    <row r="404">
      <c r="A404" s="17"/>
      <c r="G404" s="17"/>
    </row>
    <row r="405">
      <c r="A405" s="17"/>
      <c r="G405" s="17"/>
    </row>
    <row r="406">
      <c r="A406" s="17"/>
      <c r="G406" s="17"/>
    </row>
    <row r="407">
      <c r="A407" s="17"/>
      <c r="G407" s="17"/>
    </row>
    <row r="408">
      <c r="A408" s="17"/>
      <c r="G408" s="17"/>
    </row>
    <row r="409">
      <c r="A409" s="17"/>
      <c r="G409" s="17"/>
    </row>
    <row r="410">
      <c r="A410" s="17"/>
      <c r="G410" s="17"/>
    </row>
    <row r="411">
      <c r="A411" s="17"/>
      <c r="G411" s="17"/>
    </row>
    <row r="412">
      <c r="A412" s="17"/>
      <c r="G412" s="17"/>
    </row>
    <row r="413">
      <c r="A413" s="17"/>
      <c r="G413" s="17"/>
    </row>
    <row r="414">
      <c r="A414" s="17"/>
      <c r="G414" s="17"/>
    </row>
    <row r="415">
      <c r="A415" s="17"/>
      <c r="G415" s="17"/>
    </row>
    <row r="416">
      <c r="A416" s="17"/>
      <c r="G416" s="17"/>
    </row>
    <row r="417">
      <c r="A417" s="17"/>
      <c r="G417" s="17"/>
    </row>
    <row r="418">
      <c r="A418" s="17"/>
      <c r="G418" s="17"/>
    </row>
    <row r="419">
      <c r="A419" s="17"/>
      <c r="G419" s="17"/>
    </row>
    <row r="420">
      <c r="A420" s="17"/>
      <c r="G420" s="17"/>
    </row>
    <row r="421">
      <c r="A421" s="17"/>
      <c r="G421" s="17"/>
    </row>
    <row r="422">
      <c r="A422" s="17"/>
      <c r="G422" s="17"/>
    </row>
    <row r="423">
      <c r="A423" s="17"/>
      <c r="G423" s="17"/>
    </row>
    <row r="424">
      <c r="A424" s="17"/>
      <c r="G424" s="17"/>
    </row>
    <row r="425">
      <c r="A425" s="17"/>
      <c r="G425" s="17"/>
    </row>
    <row r="426">
      <c r="A426" s="17"/>
      <c r="G426" s="17"/>
    </row>
    <row r="427">
      <c r="A427" s="17"/>
      <c r="G427" s="17"/>
    </row>
    <row r="428">
      <c r="A428" s="17"/>
      <c r="G428" s="17"/>
    </row>
    <row r="429">
      <c r="A429" s="17"/>
      <c r="G429" s="17"/>
    </row>
    <row r="430">
      <c r="A430" s="17"/>
      <c r="G430" s="17"/>
    </row>
    <row r="431">
      <c r="A431" s="17"/>
      <c r="G431" s="17"/>
    </row>
    <row r="432">
      <c r="A432" s="17"/>
      <c r="G432" s="17"/>
    </row>
    <row r="433">
      <c r="A433" s="17"/>
      <c r="G433" s="17"/>
    </row>
    <row r="434">
      <c r="A434" s="17"/>
      <c r="G434" s="17"/>
    </row>
    <row r="435">
      <c r="A435" s="17"/>
      <c r="G435" s="17"/>
    </row>
    <row r="436">
      <c r="A436" s="17"/>
      <c r="G436" s="17"/>
    </row>
    <row r="437">
      <c r="A437" s="17"/>
      <c r="G437" s="17"/>
    </row>
    <row r="438">
      <c r="A438" s="17"/>
      <c r="G438" s="17"/>
    </row>
    <row r="439">
      <c r="A439" s="17"/>
      <c r="G439" s="17"/>
    </row>
    <row r="440">
      <c r="A440" s="17"/>
      <c r="G440" s="17"/>
    </row>
    <row r="441">
      <c r="A441" s="17"/>
      <c r="G441" s="17"/>
    </row>
    <row r="442">
      <c r="A442" s="17"/>
      <c r="G442" s="17"/>
    </row>
    <row r="443">
      <c r="A443" s="17"/>
      <c r="G443" s="17"/>
    </row>
    <row r="444">
      <c r="A444" s="17"/>
      <c r="G444" s="17"/>
    </row>
    <row r="445">
      <c r="A445" s="17"/>
      <c r="G445" s="17"/>
    </row>
    <row r="446">
      <c r="A446" s="17"/>
      <c r="G446" s="17"/>
    </row>
    <row r="447">
      <c r="A447" s="17"/>
      <c r="G447" s="17"/>
    </row>
    <row r="448">
      <c r="A448" s="17"/>
      <c r="G448" s="17"/>
    </row>
    <row r="449">
      <c r="A449" s="17"/>
      <c r="G449" s="17"/>
    </row>
    <row r="450">
      <c r="A450" s="17"/>
      <c r="G450" s="17"/>
    </row>
    <row r="451">
      <c r="A451" s="17"/>
      <c r="G451" s="17"/>
    </row>
    <row r="452">
      <c r="A452" s="17"/>
      <c r="G452" s="17"/>
    </row>
    <row r="453">
      <c r="A453" s="17"/>
      <c r="G453" s="17"/>
    </row>
    <row r="454">
      <c r="A454" s="17"/>
      <c r="G454" s="17"/>
    </row>
    <row r="455">
      <c r="A455" s="17"/>
      <c r="G455" s="17"/>
    </row>
    <row r="456">
      <c r="A456" s="17"/>
      <c r="G456" s="17"/>
    </row>
    <row r="457">
      <c r="A457" s="17"/>
      <c r="G457" s="17"/>
    </row>
    <row r="458">
      <c r="A458" s="17"/>
      <c r="G458" s="17"/>
    </row>
    <row r="459">
      <c r="A459" s="17"/>
      <c r="G459" s="17"/>
    </row>
    <row r="460">
      <c r="A460" s="17"/>
      <c r="G460" s="17"/>
    </row>
    <row r="461">
      <c r="A461" s="17"/>
      <c r="G461" s="17"/>
    </row>
    <row r="462">
      <c r="A462" s="17"/>
      <c r="G462" s="17"/>
    </row>
    <row r="463">
      <c r="A463" s="17"/>
      <c r="G463" s="17"/>
    </row>
    <row r="464">
      <c r="A464" s="17"/>
      <c r="G464" s="17"/>
    </row>
    <row r="465">
      <c r="A465" s="17"/>
      <c r="G465" s="17"/>
    </row>
    <row r="466">
      <c r="A466" s="17"/>
      <c r="G466" s="17"/>
    </row>
    <row r="467">
      <c r="A467" s="17"/>
      <c r="G467" s="17"/>
    </row>
    <row r="468">
      <c r="A468" s="17"/>
      <c r="G468" s="17"/>
    </row>
    <row r="469">
      <c r="A469" s="17"/>
      <c r="G469" s="17"/>
    </row>
    <row r="470">
      <c r="A470" s="17"/>
      <c r="G470" s="17"/>
    </row>
    <row r="471">
      <c r="A471" s="17"/>
      <c r="G471" s="17"/>
    </row>
    <row r="472">
      <c r="A472" s="17"/>
      <c r="G472" s="17"/>
    </row>
    <row r="473">
      <c r="A473" s="17"/>
      <c r="G473" s="17"/>
    </row>
    <row r="474">
      <c r="A474" s="17"/>
      <c r="G474" s="17"/>
    </row>
    <row r="475">
      <c r="A475" s="17"/>
      <c r="G475" s="17"/>
    </row>
    <row r="476">
      <c r="A476" s="17"/>
      <c r="G476" s="17"/>
    </row>
    <row r="477">
      <c r="A477" s="17"/>
      <c r="G477" s="17"/>
    </row>
    <row r="478">
      <c r="A478" s="17"/>
      <c r="G478" s="17"/>
    </row>
    <row r="479">
      <c r="A479" s="17"/>
      <c r="G479" s="17"/>
    </row>
    <row r="480">
      <c r="A480" s="17"/>
      <c r="G480" s="17"/>
    </row>
    <row r="481">
      <c r="A481" s="17"/>
      <c r="G481" s="17"/>
    </row>
    <row r="482">
      <c r="A482" s="17"/>
      <c r="G482" s="17"/>
    </row>
    <row r="483">
      <c r="A483" s="17"/>
      <c r="G483" s="17"/>
    </row>
    <row r="484">
      <c r="A484" s="17"/>
      <c r="G484" s="17"/>
    </row>
    <row r="485">
      <c r="A485" s="17"/>
      <c r="G485" s="17"/>
    </row>
    <row r="486">
      <c r="A486" s="17"/>
      <c r="G486" s="17"/>
    </row>
    <row r="487">
      <c r="A487" s="17"/>
      <c r="G487" s="17"/>
    </row>
    <row r="488">
      <c r="A488" s="17"/>
      <c r="G488" s="17"/>
    </row>
    <row r="489">
      <c r="A489" s="17"/>
      <c r="G489" s="17"/>
    </row>
    <row r="490">
      <c r="A490" s="17"/>
      <c r="G490" s="17"/>
    </row>
    <row r="491">
      <c r="A491" s="17"/>
      <c r="G491" s="17"/>
    </row>
    <row r="492">
      <c r="A492" s="17"/>
      <c r="G492" s="17"/>
    </row>
    <row r="493">
      <c r="A493" s="17"/>
      <c r="G493" s="17"/>
    </row>
    <row r="494">
      <c r="A494" s="17"/>
      <c r="G494" s="17"/>
    </row>
    <row r="495">
      <c r="A495" s="17"/>
      <c r="G495" s="17"/>
    </row>
    <row r="496">
      <c r="A496" s="17"/>
      <c r="G496" s="17"/>
    </row>
    <row r="497">
      <c r="A497" s="17"/>
      <c r="G497" s="17"/>
    </row>
    <row r="498">
      <c r="A498" s="17"/>
      <c r="G498" s="17"/>
    </row>
    <row r="499">
      <c r="A499" s="17"/>
      <c r="G499" s="17"/>
    </row>
    <row r="500">
      <c r="A500" s="17"/>
      <c r="G500" s="17"/>
    </row>
    <row r="501">
      <c r="A501" s="17"/>
      <c r="G501" s="17"/>
    </row>
    <row r="502">
      <c r="A502" s="17"/>
      <c r="G502" s="17"/>
    </row>
    <row r="503">
      <c r="A503" s="17"/>
      <c r="G503" s="17"/>
    </row>
    <row r="504">
      <c r="A504" s="17"/>
      <c r="G504" s="17"/>
    </row>
    <row r="505">
      <c r="A505" s="17"/>
      <c r="G505" s="17"/>
    </row>
    <row r="506">
      <c r="A506" s="17"/>
      <c r="G506" s="17"/>
    </row>
    <row r="507">
      <c r="A507" s="17"/>
      <c r="G507" s="17"/>
    </row>
    <row r="508">
      <c r="A508" s="17"/>
      <c r="G508" s="17"/>
    </row>
    <row r="509">
      <c r="A509" s="17"/>
      <c r="G509" s="17"/>
    </row>
    <row r="510">
      <c r="A510" s="17"/>
      <c r="G510" s="17"/>
    </row>
    <row r="511">
      <c r="A511" s="17"/>
      <c r="G511" s="17"/>
    </row>
    <row r="512">
      <c r="A512" s="17"/>
      <c r="G512" s="17"/>
    </row>
    <row r="513">
      <c r="A513" s="17"/>
      <c r="G513" s="17"/>
    </row>
    <row r="514">
      <c r="A514" s="17"/>
      <c r="G514" s="17"/>
    </row>
    <row r="515">
      <c r="A515" s="17"/>
      <c r="G515" s="17"/>
    </row>
    <row r="516">
      <c r="A516" s="17"/>
      <c r="G516" s="17"/>
    </row>
    <row r="517">
      <c r="A517" s="17"/>
      <c r="G517" s="17"/>
    </row>
    <row r="518">
      <c r="A518" s="17"/>
      <c r="G518" s="17"/>
    </row>
    <row r="519">
      <c r="A519" s="17"/>
      <c r="G519" s="17"/>
    </row>
    <row r="520">
      <c r="A520" s="17"/>
      <c r="G520" s="17"/>
    </row>
    <row r="521">
      <c r="A521" s="17"/>
      <c r="G521" s="17"/>
    </row>
    <row r="522">
      <c r="A522" s="17"/>
      <c r="G522" s="17"/>
    </row>
    <row r="523">
      <c r="A523" s="17"/>
      <c r="G523" s="17"/>
    </row>
    <row r="524">
      <c r="A524" s="17"/>
      <c r="G524" s="17"/>
    </row>
    <row r="525">
      <c r="A525" s="17"/>
      <c r="G525" s="17"/>
    </row>
    <row r="526">
      <c r="A526" s="17"/>
      <c r="G526" s="17"/>
    </row>
    <row r="527">
      <c r="A527" s="17"/>
      <c r="G527" s="17"/>
    </row>
    <row r="528">
      <c r="A528" s="17"/>
      <c r="G528" s="17"/>
    </row>
    <row r="529">
      <c r="A529" s="17"/>
      <c r="G529" s="17"/>
    </row>
    <row r="530">
      <c r="A530" s="17"/>
      <c r="G530" s="17"/>
    </row>
    <row r="531">
      <c r="A531" s="17"/>
      <c r="G531" s="17"/>
    </row>
    <row r="532">
      <c r="A532" s="17"/>
      <c r="G532" s="17"/>
    </row>
    <row r="533">
      <c r="A533" s="17"/>
      <c r="G533" s="17"/>
    </row>
    <row r="534">
      <c r="A534" s="17"/>
      <c r="G534" s="17"/>
    </row>
    <row r="535">
      <c r="A535" s="17"/>
      <c r="G535" s="17"/>
    </row>
    <row r="536">
      <c r="A536" s="17"/>
      <c r="G536" s="17"/>
    </row>
    <row r="537">
      <c r="A537" s="17"/>
      <c r="G537" s="17"/>
    </row>
    <row r="538">
      <c r="A538" s="17"/>
      <c r="G538" s="17"/>
    </row>
    <row r="539">
      <c r="A539" s="17"/>
      <c r="G539" s="17"/>
    </row>
    <row r="540">
      <c r="A540" s="17"/>
      <c r="G540" s="17"/>
    </row>
    <row r="541">
      <c r="A541" s="17"/>
      <c r="G541" s="17"/>
    </row>
    <row r="542">
      <c r="A542" s="17"/>
      <c r="G542" s="17"/>
    </row>
    <row r="543">
      <c r="A543" s="17"/>
      <c r="G543" s="17"/>
    </row>
    <row r="544">
      <c r="A544" s="17"/>
      <c r="G544" s="17"/>
    </row>
    <row r="545">
      <c r="A545" s="17"/>
      <c r="G545" s="17"/>
    </row>
    <row r="546">
      <c r="A546" s="17"/>
      <c r="G546" s="17"/>
    </row>
    <row r="547">
      <c r="A547" s="17"/>
      <c r="G547" s="17"/>
    </row>
    <row r="548">
      <c r="A548" s="17"/>
      <c r="G548" s="17"/>
    </row>
    <row r="549">
      <c r="A549" s="17"/>
      <c r="G549" s="17"/>
    </row>
    <row r="550">
      <c r="A550" s="17"/>
      <c r="G550" s="17"/>
    </row>
    <row r="551">
      <c r="A551" s="17"/>
      <c r="G551" s="17"/>
    </row>
    <row r="552">
      <c r="A552" s="17"/>
      <c r="G552" s="17"/>
    </row>
    <row r="553">
      <c r="A553" s="17"/>
      <c r="G553" s="17"/>
    </row>
    <row r="554">
      <c r="A554" s="17"/>
      <c r="G554" s="17"/>
    </row>
    <row r="555">
      <c r="A555" s="17"/>
      <c r="G555" s="17"/>
    </row>
    <row r="556">
      <c r="A556" s="17"/>
      <c r="G556" s="17"/>
    </row>
    <row r="557">
      <c r="A557" s="17"/>
      <c r="G557" s="17"/>
    </row>
    <row r="558">
      <c r="A558" s="17"/>
      <c r="G558" s="17"/>
    </row>
    <row r="559">
      <c r="A559" s="17"/>
      <c r="G559" s="17"/>
    </row>
    <row r="560">
      <c r="A560" s="17"/>
      <c r="G560" s="17"/>
    </row>
    <row r="561">
      <c r="A561" s="17"/>
      <c r="G561" s="17"/>
    </row>
    <row r="562">
      <c r="A562" s="17"/>
      <c r="G562" s="17"/>
    </row>
    <row r="563">
      <c r="A563" s="17"/>
      <c r="G563" s="17"/>
    </row>
    <row r="564">
      <c r="A564" s="17"/>
      <c r="G564" s="17"/>
    </row>
    <row r="565">
      <c r="A565" s="17"/>
      <c r="G565" s="17"/>
    </row>
    <row r="566">
      <c r="A566" s="17"/>
      <c r="G566" s="17"/>
    </row>
    <row r="567">
      <c r="A567" s="17"/>
      <c r="G567" s="17"/>
    </row>
    <row r="568">
      <c r="A568" s="17"/>
      <c r="G568" s="17"/>
    </row>
    <row r="569">
      <c r="A569" s="17"/>
      <c r="G569" s="17"/>
    </row>
    <row r="570">
      <c r="A570" s="17"/>
      <c r="G570" s="17"/>
    </row>
    <row r="571">
      <c r="A571" s="17"/>
      <c r="G571" s="17"/>
    </row>
    <row r="572">
      <c r="A572" s="17"/>
      <c r="G572" s="17"/>
    </row>
    <row r="573">
      <c r="A573" s="17"/>
      <c r="G573" s="17"/>
    </row>
    <row r="574">
      <c r="A574" s="17"/>
      <c r="G574" s="17"/>
    </row>
    <row r="575">
      <c r="A575" s="17"/>
      <c r="G575" s="17"/>
    </row>
    <row r="576">
      <c r="A576" s="17"/>
      <c r="G576" s="17"/>
    </row>
    <row r="577">
      <c r="A577" s="17"/>
      <c r="G577" s="17"/>
    </row>
    <row r="578">
      <c r="A578" s="17"/>
      <c r="G578" s="17"/>
    </row>
    <row r="579">
      <c r="A579" s="17"/>
      <c r="G579" s="17"/>
    </row>
    <row r="580">
      <c r="A580" s="17"/>
      <c r="G580" s="17"/>
    </row>
    <row r="581">
      <c r="A581" s="17"/>
      <c r="G581" s="17"/>
    </row>
    <row r="582">
      <c r="A582" s="17"/>
      <c r="G582" s="17"/>
    </row>
    <row r="583">
      <c r="A583" s="17"/>
      <c r="G583" s="17"/>
    </row>
    <row r="584">
      <c r="A584" s="17"/>
      <c r="G584" s="17"/>
    </row>
    <row r="585">
      <c r="A585" s="17"/>
      <c r="G585" s="17"/>
    </row>
    <row r="586">
      <c r="A586" s="17"/>
      <c r="G586" s="17"/>
    </row>
    <row r="587">
      <c r="A587" s="17"/>
      <c r="G587" s="17"/>
    </row>
    <row r="588">
      <c r="A588" s="17"/>
      <c r="G588" s="17"/>
    </row>
    <row r="589">
      <c r="A589" s="17"/>
      <c r="G589" s="17"/>
    </row>
    <row r="590">
      <c r="A590" s="17"/>
      <c r="G590" s="17"/>
    </row>
    <row r="591">
      <c r="A591" s="17"/>
      <c r="G591" s="17"/>
    </row>
    <row r="592">
      <c r="A592" s="17"/>
      <c r="G592" s="17"/>
    </row>
    <row r="593">
      <c r="A593" s="17"/>
      <c r="G593" s="17"/>
    </row>
    <row r="594">
      <c r="A594" s="17"/>
      <c r="G594" s="17"/>
    </row>
    <row r="595">
      <c r="A595" s="17"/>
      <c r="G595" s="17"/>
    </row>
    <row r="596">
      <c r="A596" s="17"/>
      <c r="G596" s="17"/>
    </row>
    <row r="597">
      <c r="A597" s="17"/>
      <c r="G597" s="17"/>
    </row>
    <row r="598">
      <c r="A598" s="17"/>
      <c r="G598" s="17"/>
    </row>
    <row r="599">
      <c r="A599" s="17"/>
      <c r="G599" s="17"/>
    </row>
    <row r="600">
      <c r="A600" s="17"/>
      <c r="G600" s="17"/>
    </row>
    <row r="601">
      <c r="A601" s="17"/>
      <c r="G601" s="17"/>
    </row>
    <row r="602">
      <c r="A602" s="17"/>
      <c r="G602" s="17"/>
    </row>
    <row r="603">
      <c r="A603" s="17"/>
      <c r="G603" s="17"/>
    </row>
    <row r="604">
      <c r="A604" s="17"/>
      <c r="G604" s="17"/>
    </row>
    <row r="605">
      <c r="A605" s="17"/>
      <c r="G605" s="17"/>
    </row>
    <row r="606">
      <c r="A606" s="17"/>
      <c r="G606" s="17"/>
    </row>
    <row r="607">
      <c r="A607" s="17"/>
      <c r="G607" s="17"/>
    </row>
    <row r="608">
      <c r="A608" s="17"/>
      <c r="G608" s="17"/>
    </row>
    <row r="609">
      <c r="A609" s="17"/>
      <c r="G609" s="17"/>
    </row>
    <row r="610">
      <c r="A610" s="17"/>
      <c r="G610" s="17"/>
    </row>
    <row r="611">
      <c r="A611" s="17"/>
      <c r="G611" s="17"/>
    </row>
    <row r="612">
      <c r="A612" s="17"/>
      <c r="G612" s="17"/>
    </row>
    <row r="613">
      <c r="A613" s="17"/>
      <c r="G613" s="17"/>
    </row>
    <row r="614">
      <c r="A614" s="17"/>
      <c r="G614" s="17"/>
    </row>
    <row r="615">
      <c r="A615" s="17"/>
      <c r="G615" s="17"/>
    </row>
    <row r="616">
      <c r="A616" s="17"/>
      <c r="G616" s="17"/>
    </row>
    <row r="617">
      <c r="A617" s="17"/>
      <c r="G617" s="17"/>
    </row>
    <row r="618">
      <c r="A618" s="17"/>
      <c r="G618" s="17"/>
    </row>
    <row r="619">
      <c r="A619" s="17"/>
      <c r="G619" s="17"/>
    </row>
    <row r="620">
      <c r="A620" s="17"/>
      <c r="G620" s="17"/>
    </row>
    <row r="621">
      <c r="A621" s="17"/>
      <c r="G621" s="17"/>
    </row>
    <row r="622">
      <c r="A622" s="17"/>
      <c r="G622" s="17"/>
    </row>
    <row r="623">
      <c r="A623" s="17"/>
      <c r="G623" s="17"/>
    </row>
    <row r="624">
      <c r="A624" s="17"/>
      <c r="G624" s="17"/>
    </row>
    <row r="625">
      <c r="A625" s="17"/>
      <c r="G625" s="17"/>
    </row>
    <row r="626">
      <c r="A626" s="17"/>
      <c r="G626" s="17"/>
    </row>
    <row r="627">
      <c r="A627" s="17"/>
      <c r="G627" s="17"/>
    </row>
    <row r="628">
      <c r="A628" s="17"/>
      <c r="G628" s="17"/>
    </row>
    <row r="629">
      <c r="A629" s="17"/>
      <c r="G629" s="17"/>
    </row>
    <row r="630">
      <c r="A630" s="17"/>
      <c r="G630" s="17"/>
    </row>
    <row r="631">
      <c r="A631" s="17"/>
      <c r="G631" s="17"/>
    </row>
    <row r="632">
      <c r="A632" s="17"/>
      <c r="G632" s="17"/>
    </row>
    <row r="633">
      <c r="A633" s="17"/>
      <c r="G633" s="17"/>
    </row>
    <row r="634">
      <c r="A634" s="17"/>
      <c r="G634" s="17"/>
    </row>
    <row r="635">
      <c r="A635" s="17"/>
      <c r="G635" s="17"/>
    </row>
    <row r="636">
      <c r="A636" s="17"/>
      <c r="G636" s="17"/>
    </row>
    <row r="637">
      <c r="A637" s="17"/>
      <c r="G637" s="17"/>
    </row>
    <row r="638">
      <c r="A638" s="17"/>
      <c r="G638" s="17"/>
    </row>
    <row r="639">
      <c r="A639" s="17"/>
      <c r="G639" s="17"/>
    </row>
    <row r="640">
      <c r="A640" s="17"/>
      <c r="G640" s="17"/>
    </row>
    <row r="641">
      <c r="A641" s="17"/>
      <c r="G641" s="17"/>
    </row>
    <row r="642">
      <c r="A642" s="17"/>
      <c r="G642" s="17"/>
    </row>
    <row r="643">
      <c r="A643" s="17"/>
      <c r="G643" s="17"/>
    </row>
    <row r="644">
      <c r="A644" s="17"/>
      <c r="G644" s="17"/>
    </row>
    <row r="645">
      <c r="A645" s="17"/>
      <c r="G645" s="17"/>
    </row>
    <row r="646">
      <c r="A646" s="17"/>
      <c r="G646" s="17"/>
    </row>
    <row r="647">
      <c r="A647" s="17"/>
      <c r="G647" s="17"/>
    </row>
    <row r="648">
      <c r="A648" s="17"/>
      <c r="G648" s="17"/>
    </row>
    <row r="649">
      <c r="A649" s="17"/>
      <c r="G649" s="17"/>
    </row>
    <row r="650">
      <c r="A650" s="17"/>
      <c r="G650" s="17"/>
    </row>
    <row r="651">
      <c r="A651" s="17"/>
      <c r="G651" s="17"/>
    </row>
    <row r="652">
      <c r="A652" s="17"/>
      <c r="G652" s="17"/>
    </row>
    <row r="653">
      <c r="A653" s="17"/>
      <c r="G653" s="17"/>
    </row>
    <row r="654">
      <c r="A654" s="17"/>
      <c r="G654" s="17"/>
    </row>
    <row r="655">
      <c r="A655" s="17"/>
      <c r="G655" s="17"/>
    </row>
    <row r="656">
      <c r="A656" s="17"/>
      <c r="G656" s="17"/>
    </row>
    <row r="657">
      <c r="A657" s="17"/>
      <c r="G657" s="17"/>
    </row>
    <row r="658">
      <c r="A658" s="17"/>
      <c r="G658" s="17"/>
    </row>
    <row r="659">
      <c r="A659" s="17"/>
      <c r="G659" s="17"/>
    </row>
    <row r="660">
      <c r="A660" s="17"/>
      <c r="G660" s="17"/>
    </row>
    <row r="661">
      <c r="A661" s="17"/>
      <c r="G661" s="17"/>
    </row>
    <row r="662">
      <c r="A662" s="17"/>
      <c r="G662" s="17"/>
    </row>
    <row r="663">
      <c r="A663" s="17"/>
      <c r="G663" s="17"/>
    </row>
    <row r="664">
      <c r="A664" s="17"/>
      <c r="G664" s="17"/>
    </row>
    <row r="665">
      <c r="A665" s="17"/>
      <c r="G665" s="17"/>
    </row>
    <row r="666">
      <c r="A666" s="17"/>
      <c r="G666" s="17"/>
    </row>
    <row r="667">
      <c r="A667" s="17"/>
      <c r="G667" s="17"/>
    </row>
    <row r="668">
      <c r="A668" s="17"/>
      <c r="G668" s="17"/>
    </row>
    <row r="669">
      <c r="A669" s="17"/>
      <c r="G669" s="17"/>
    </row>
    <row r="670">
      <c r="A670" s="17"/>
      <c r="G670" s="17"/>
    </row>
    <row r="671">
      <c r="A671" s="17"/>
      <c r="G671" s="17"/>
    </row>
    <row r="672">
      <c r="A672" s="17"/>
      <c r="G672" s="17"/>
    </row>
    <row r="673">
      <c r="A673" s="17"/>
      <c r="G673" s="17"/>
    </row>
    <row r="674">
      <c r="A674" s="17"/>
      <c r="G674" s="17"/>
    </row>
    <row r="675">
      <c r="A675" s="17"/>
      <c r="G675" s="17"/>
    </row>
    <row r="676">
      <c r="A676" s="17"/>
      <c r="G676" s="17"/>
    </row>
    <row r="677">
      <c r="A677" s="17"/>
      <c r="G677" s="17"/>
    </row>
    <row r="678">
      <c r="A678" s="17"/>
      <c r="G678" s="17"/>
    </row>
    <row r="679">
      <c r="A679" s="17"/>
      <c r="G679" s="17"/>
    </row>
    <row r="680">
      <c r="A680" s="17"/>
      <c r="G680" s="17"/>
    </row>
    <row r="681">
      <c r="A681" s="17"/>
      <c r="G681" s="17"/>
    </row>
    <row r="682">
      <c r="A682" s="17"/>
      <c r="G682" s="17"/>
    </row>
    <row r="683">
      <c r="A683" s="17"/>
      <c r="G683" s="17"/>
    </row>
    <row r="684">
      <c r="A684" s="17"/>
      <c r="G684" s="17"/>
    </row>
    <row r="685">
      <c r="A685" s="17"/>
      <c r="G685" s="17"/>
    </row>
    <row r="686">
      <c r="A686" s="17"/>
      <c r="G686" s="17"/>
    </row>
    <row r="687">
      <c r="A687" s="17"/>
      <c r="G687" s="17"/>
    </row>
    <row r="688">
      <c r="A688" s="17"/>
      <c r="G688" s="17"/>
    </row>
    <row r="689">
      <c r="A689" s="17"/>
      <c r="G689" s="17"/>
    </row>
    <row r="690">
      <c r="A690" s="17"/>
      <c r="G690" s="17"/>
    </row>
    <row r="691">
      <c r="A691" s="17"/>
      <c r="G691" s="17"/>
    </row>
    <row r="692">
      <c r="A692" s="17"/>
      <c r="G692" s="17"/>
    </row>
    <row r="693">
      <c r="A693" s="17"/>
      <c r="G693" s="17"/>
    </row>
    <row r="694">
      <c r="A694" s="17"/>
      <c r="G694" s="17"/>
    </row>
    <row r="695">
      <c r="A695" s="17"/>
      <c r="G695" s="17"/>
    </row>
    <row r="696">
      <c r="A696" s="17"/>
      <c r="G696" s="17"/>
    </row>
    <row r="697">
      <c r="A697" s="17"/>
      <c r="G697" s="17"/>
    </row>
    <row r="698">
      <c r="A698" s="17"/>
      <c r="G698" s="17"/>
    </row>
    <row r="699">
      <c r="A699" s="17"/>
      <c r="G699" s="17"/>
    </row>
    <row r="700">
      <c r="A700" s="17"/>
      <c r="G700" s="17"/>
    </row>
    <row r="701">
      <c r="A701" s="17"/>
      <c r="G701" s="17"/>
    </row>
    <row r="702">
      <c r="A702" s="17"/>
      <c r="G702" s="17"/>
    </row>
    <row r="703">
      <c r="A703" s="17"/>
      <c r="G703" s="17"/>
    </row>
    <row r="704">
      <c r="A704" s="17"/>
      <c r="G704" s="17"/>
    </row>
    <row r="705">
      <c r="A705" s="17"/>
      <c r="G705" s="17"/>
    </row>
    <row r="706">
      <c r="A706" s="17"/>
      <c r="G706" s="17"/>
    </row>
    <row r="707">
      <c r="A707" s="17"/>
      <c r="G707" s="17"/>
    </row>
    <row r="708">
      <c r="A708" s="17"/>
      <c r="G708" s="17"/>
    </row>
    <row r="709">
      <c r="A709" s="17"/>
      <c r="G709" s="17"/>
    </row>
    <row r="710">
      <c r="A710" s="17"/>
      <c r="G710" s="17"/>
    </row>
    <row r="711">
      <c r="A711" s="17"/>
      <c r="G711" s="17"/>
    </row>
    <row r="712">
      <c r="A712" s="17"/>
      <c r="G712" s="17"/>
    </row>
    <row r="713">
      <c r="A713" s="17"/>
      <c r="G713" s="17"/>
    </row>
    <row r="714">
      <c r="A714" s="17"/>
      <c r="G714" s="17"/>
    </row>
    <row r="715">
      <c r="A715" s="17"/>
      <c r="G715" s="17"/>
    </row>
    <row r="716">
      <c r="A716" s="17"/>
      <c r="G716" s="17"/>
    </row>
    <row r="717">
      <c r="A717" s="17"/>
      <c r="G717" s="17"/>
    </row>
    <row r="718">
      <c r="A718" s="17"/>
      <c r="G718" s="17"/>
    </row>
    <row r="719">
      <c r="A719" s="17"/>
      <c r="G719" s="17"/>
    </row>
    <row r="720">
      <c r="A720" s="17"/>
      <c r="G720" s="17"/>
    </row>
    <row r="721">
      <c r="A721" s="17"/>
      <c r="G721" s="17"/>
    </row>
    <row r="722">
      <c r="A722" s="17"/>
      <c r="G722" s="17"/>
    </row>
    <row r="723">
      <c r="A723" s="17"/>
      <c r="G723" s="17"/>
    </row>
    <row r="724">
      <c r="A724" s="17"/>
      <c r="G724" s="17"/>
    </row>
    <row r="725">
      <c r="A725" s="17"/>
      <c r="G725" s="17"/>
    </row>
    <row r="726">
      <c r="A726" s="17"/>
      <c r="G726" s="17"/>
    </row>
    <row r="727">
      <c r="A727" s="17"/>
      <c r="G727" s="17"/>
    </row>
    <row r="728">
      <c r="A728" s="17"/>
      <c r="G728" s="17"/>
    </row>
    <row r="729">
      <c r="A729" s="17"/>
      <c r="G729" s="17"/>
    </row>
    <row r="730">
      <c r="A730" s="17"/>
      <c r="G730" s="17"/>
    </row>
    <row r="731">
      <c r="A731" s="17"/>
      <c r="G731" s="17"/>
    </row>
    <row r="732">
      <c r="A732" s="17"/>
      <c r="G732" s="17"/>
    </row>
    <row r="733">
      <c r="A733" s="17"/>
      <c r="G733" s="17"/>
    </row>
    <row r="734">
      <c r="A734" s="17"/>
      <c r="G734" s="17"/>
    </row>
    <row r="735">
      <c r="A735" s="17"/>
      <c r="G735" s="17"/>
    </row>
    <row r="736">
      <c r="A736" s="17"/>
      <c r="G736" s="17"/>
    </row>
    <row r="737">
      <c r="A737" s="17"/>
      <c r="G737" s="17"/>
    </row>
    <row r="738">
      <c r="A738" s="17"/>
      <c r="G738" s="17"/>
    </row>
    <row r="739">
      <c r="A739" s="17"/>
      <c r="G739" s="17"/>
    </row>
    <row r="740">
      <c r="A740" s="17"/>
      <c r="G740" s="17"/>
    </row>
    <row r="741">
      <c r="A741" s="17"/>
      <c r="G741" s="17"/>
    </row>
    <row r="742">
      <c r="A742" s="17"/>
      <c r="G742" s="17"/>
    </row>
    <row r="743">
      <c r="A743" s="17"/>
      <c r="G743" s="17"/>
    </row>
    <row r="744">
      <c r="A744" s="17"/>
      <c r="G744" s="17"/>
    </row>
    <row r="745">
      <c r="A745" s="17"/>
      <c r="G745" s="17"/>
    </row>
    <row r="746">
      <c r="A746" s="17"/>
      <c r="G746" s="17"/>
    </row>
    <row r="747">
      <c r="A747" s="17"/>
      <c r="G747" s="17"/>
    </row>
    <row r="748">
      <c r="A748" s="17"/>
      <c r="G748" s="17"/>
    </row>
    <row r="749">
      <c r="A749" s="17"/>
      <c r="G749" s="17"/>
    </row>
    <row r="750">
      <c r="A750" s="17"/>
      <c r="G750" s="17"/>
    </row>
    <row r="751">
      <c r="A751" s="17"/>
      <c r="G751" s="17"/>
    </row>
    <row r="752">
      <c r="A752" s="17"/>
      <c r="G752" s="17"/>
    </row>
    <row r="753">
      <c r="A753" s="17"/>
      <c r="G753" s="17"/>
    </row>
    <row r="754">
      <c r="A754" s="17"/>
      <c r="G754" s="17"/>
    </row>
    <row r="755">
      <c r="A755" s="17"/>
      <c r="G755" s="17"/>
    </row>
    <row r="756">
      <c r="A756" s="17"/>
      <c r="G756" s="17"/>
    </row>
    <row r="757">
      <c r="A757" s="17"/>
      <c r="G757" s="17"/>
    </row>
    <row r="758">
      <c r="A758" s="17"/>
      <c r="G758" s="17"/>
    </row>
    <row r="759">
      <c r="A759" s="17"/>
      <c r="G759" s="17"/>
    </row>
    <row r="760">
      <c r="A760" s="17"/>
      <c r="G760" s="17"/>
    </row>
    <row r="761">
      <c r="A761" s="17"/>
      <c r="G761" s="17"/>
    </row>
    <row r="762">
      <c r="A762" s="17"/>
      <c r="G762" s="17"/>
    </row>
    <row r="763">
      <c r="A763" s="17"/>
      <c r="G763" s="17"/>
    </row>
    <row r="764">
      <c r="A764" s="17"/>
      <c r="G764" s="17"/>
    </row>
    <row r="765">
      <c r="A765" s="17"/>
      <c r="G765" s="17"/>
    </row>
    <row r="766">
      <c r="A766" s="17"/>
      <c r="G766" s="17"/>
    </row>
    <row r="767">
      <c r="A767" s="17"/>
      <c r="G767" s="17"/>
    </row>
    <row r="768">
      <c r="A768" s="17"/>
      <c r="G768" s="17"/>
    </row>
    <row r="769">
      <c r="A769" s="17"/>
      <c r="G769" s="17"/>
    </row>
    <row r="770">
      <c r="A770" s="17"/>
      <c r="G770" s="17"/>
    </row>
    <row r="771">
      <c r="A771" s="17"/>
      <c r="G771" s="17"/>
    </row>
    <row r="772">
      <c r="A772" s="17"/>
      <c r="G772" s="17"/>
    </row>
    <row r="773">
      <c r="A773" s="17"/>
      <c r="G773" s="17"/>
    </row>
    <row r="774">
      <c r="A774" s="17"/>
      <c r="G774" s="17"/>
    </row>
    <row r="775">
      <c r="A775" s="17"/>
      <c r="G775" s="17"/>
    </row>
    <row r="776">
      <c r="A776" s="17"/>
      <c r="G776" s="17"/>
    </row>
    <row r="777">
      <c r="A777" s="17"/>
      <c r="G777" s="17"/>
    </row>
    <row r="778">
      <c r="A778" s="17"/>
      <c r="G778" s="17"/>
    </row>
    <row r="779">
      <c r="A779" s="17"/>
      <c r="G779" s="17"/>
    </row>
    <row r="780">
      <c r="A780" s="17"/>
      <c r="G780" s="17"/>
    </row>
    <row r="781">
      <c r="A781" s="17"/>
      <c r="G781" s="17"/>
    </row>
    <row r="782">
      <c r="A782" s="17"/>
      <c r="G782" s="17"/>
    </row>
    <row r="783">
      <c r="A783" s="17"/>
      <c r="G783" s="17"/>
    </row>
    <row r="784">
      <c r="A784" s="17"/>
      <c r="G784" s="17"/>
    </row>
    <row r="785">
      <c r="A785" s="17"/>
      <c r="G785" s="17"/>
    </row>
    <row r="786">
      <c r="A786" s="17"/>
      <c r="G786" s="17"/>
    </row>
    <row r="787">
      <c r="A787" s="17"/>
      <c r="G787" s="17"/>
    </row>
    <row r="788">
      <c r="A788" s="17"/>
      <c r="G788" s="17"/>
    </row>
    <row r="789">
      <c r="A789" s="17"/>
      <c r="G789" s="17"/>
    </row>
    <row r="790">
      <c r="A790" s="17"/>
      <c r="G790" s="17"/>
    </row>
    <row r="791">
      <c r="A791" s="17"/>
      <c r="G791" s="17"/>
    </row>
    <row r="792">
      <c r="A792" s="17"/>
      <c r="G792" s="17"/>
    </row>
    <row r="793">
      <c r="A793" s="17"/>
      <c r="G793" s="17"/>
    </row>
    <row r="794">
      <c r="A794" s="17"/>
      <c r="G794" s="17"/>
    </row>
    <row r="795">
      <c r="A795" s="17"/>
      <c r="G795" s="17"/>
    </row>
    <row r="796">
      <c r="A796" s="17"/>
      <c r="G796" s="17"/>
    </row>
    <row r="797">
      <c r="A797" s="17"/>
      <c r="G797" s="17"/>
    </row>
    <row r="798">
      <c r="A798" s="17"/>
      <c r="G798" s="17"/>
    </row>
    <row r="799">
      <c r="A799" s="17"/>
      <c r="G799" s="17"/>
    </row>
    <row r="800">
      <c r="A800" s="17"/>
      <c r="G800" s="17"/>
    </row>
    <row r="801">
      <c r="A801" s="17"/>
      <c r="G801" s="17"/>
    </row>
    <row r="802">
      <c r="A802" s="17"/>
      <c r="G802" s="17"/>
    </row>
    <row r="803">
      <c r="A803" s="17"/>
      <c r="G803" s="17"/>
    </row>
    <row r="804">
      <c r="A804" s="17"/>
      <c r="G804" s="17"/>
    </row>
    <row r="805">
      <c r="A805" s="17"/>
      <c r="G805" s="17"/>
    </row>
    <row r="806">
      <c r="A806" s="17"/>
      <c r="G806" s="17"/>
    </row>
    <row r="807">
      <c r="A807" s="17"/>
      <c r="G807" s="17"/>
    </row>
    <row r="808">
      <c r="A808" s="17"/>
      <c r="G808" s="17"/>
    </row>
    <row r="809">
      <c r="A809" s="17"/>
      <c r="G809" s="17"/>
    </row>
    <row r="810">
      <c r="A810" s="17"/>
      <c r="G810" s="17"/>
    </row>
    <row r="811">
      <c r="A811" s="17"/>
      <c r="G811" s="17"/>
    </row>
    <row r="812">
      <c r="A812" s="17"/>
      <c r="G812" s="17"/>
    </row>
    <row r="813">
      <c r="A813" s="17"/>
      <c r="G813" s="17"/>
    </row>
    <row r="814">
      <c r="A814" s="17"/>
      <c r="G814" s="17"/>
    </row>
    <row r="815">
      <c r="A815" s="17"/>
      <c r="G815" s="17"/>
    </row>
    <row r="816">
      <c r="A816" s="17"/>
      <c r="G816" s="17"/>
    </row>
    <row r="817">
      <c r="A817" s="17"/>
      <c r="G817" s="17"/>
    </row>
    <row r="818">
      <c r="A818" s="17"/>
      <c r="G818" s="17"/>
    </row>
    <row r="819">
      <c r="A819" s="17"/>
      <c r="G819" s="17"/>
    </row>
    <row r="820">
      <c r="A820" s="17"/>
      <c r="G820" s="17"/>
    </row>
    <row r="821">
      <c r="A821" s="17"/>
      <c r="G821" s="17"/>
    </row>
    <row r="822">
      <c r="A822" s="17"/>
      <c r="G822" s="17"/>
    </row>
    <row r="823">
      <c r="A823" s="17"/>
      <c r="G823" s="17"/>
    </row>
    <row r="824">
      <c r="A824" s="17"/>
      <c r="G824" s="17"/>
    </row>
    <row r="825">
      <c r="A825" s="17"/>
      <c r="G825" s="17"/>
    </row>
    <row r="826">
      <c r="A826" s="17"/>
      <c r="G826" s="17"/>
    </row>
    <row r="827">
      <c r="A827" s="17"/>
      <c r="G827" s="17"/>
    </row>
    <row r="828">
      <c r="A828" s="17"/>
      <c r="G828" s="17"/>
    </row>
    <row r="829">
      <c r="A829" s="17"/>
      <c r="G829" s="17"/>
    </row>
    <row r="830">
      <c r="A830" s="17"/>
      <c r="G830" s="17"/>
    </row>
    <row r="831">
      <c r="A831" s="17"/>
      <c r="G831" s="17"/>
    </row>
    <row r="832">
      <c r="A832" s="17"/>
      <c r="G832" s="17"/>
    </row>
    <row r="833">
      <c r="A833" s="17"/>
      <c r="G833" s="17"/>
    </row>
    <row r="834">
      <c r="A834" s="17"/>
      <c r="G834" s="17"/>
    </row>
    <row r="835">
      <c r="A835" s="17"/>
      <c r="G835" s="17"/>
    </row>
    <row r="836">
      <c r="A836" s="17"/>
      <c r="G836" s="17"/>
    </row>
    <row r="837">
      <c r="A837" s="17"/>
      <c r="G837" s="17"/>
    </row>
    <row r="838">
      <c r="A838" s="17"/>
      <c r="G838" s="17"/>
    </row>
    <row r="839">
      <c r="A839" s="17"/>
      <c r="G839" s="17"/>
    </row>
    <row r="840">
      <c r="A840" s="17"/>
      <c r="G840" s="17"/>
    </row>
    <row r="841">
      <c r="A841" s="17"/>
      <c r="G841" s="17"/>
    </row>
    <row r="842">
      <c r="A842" s="17"/>
      <c r="G842" s="17"/>
    </row>
    <row r="843">
      <c r="A843" s="17"/>
      <c r="G843" s="17"/>
    </row>
    <row r="844">
      <c r="A844" s="17"/>
      <c r="G844" s="17"/>
    </row>
    <row r="845">
      <c r="A845" s="17"/>
      <c r="G845" s="17"/>
    </row>
    <row r="846">
      <c r="A846" s="17"/>
      <c r="G846" s="17"/>
    </row>
    <row r="847">
      <c r="A847" s="17"/>
      <c r="G847" s="17"/>
    </row>
    <row r="848">
      <c r="A848" s="17"/>
      <c r="G848" s="17"/>
    </row>
    <row r="849">
      <c r="A849" s="17"/>
      <c r="G849" s="17"/>
    </row>
    <row r="850">
      <c r="A850" s="17"/>
      <c r="G850" s="17"/>
    </row>
    <row r="851">
      <c r="A851" s="17"/>
      <c r="G851" s="17"/>
    </row>
    <row r="852">
      <c r="A852" s="17"/>
      <c r="G852" s="17"/>
    </row>
    <row r="853">
      <c r="A853" s="17"/>
      <c r="G853" s="17"/>
    </row>
    <row r="854">
      <c r="A854" s="17"/>
      <c r="G854" s="17"/>
    </row>
    <row r="855">
      <c r="A855" s="17"/>
      <c r="G855" s="17"/>
    </row>
    <row r="856">
      <c r="A856" s="17"/>
      <c r="G856" s="17"/>
    </row>
    <row r="857">
      <c r="A857" s="17"/>
      <c r="G857" s="17"/>
    </row>
    <row r="858">
      <c r="A858" s="17"/>
      <c r="G858" s="17"/>
    </row>
    <row r="859">
      <c r="A859" s="17"/>
      <c r="G859" s="17"/>
    </row>
    <row r="860">
      <c r="A860" s="17"/>
      <c r="G860" s="17"/>
    </row>
    <row r="861">
      <c r="A861" s="17"/>
      <c r="G861" s="17"/>
    </row>
    <row r="862">
      <c r="A862" s="17"/>
      <c r="G862" s="17"/>
    </row>
    <row r="863">
      <c r="A863" s="17"/>
      <c r="G863" s="17"/>
    </row>
    <row r="864">
      <c r="A864" s="17"/>
      <c r="G864" s="17"/>
    </row>
    <row r="865">
      <c r="A865" s="17"/>
      <c r="G865" s="17"/>
    </row>
    <row r="866">
      <c r="A866" s="17"/>
      <c r="G866" s="17"/>
    </row>
    <row r="867">
      <c r="A867" s="17"/>
      <c r="G867" s="17"/>
    </row>
    <row r="868">
      <c r="A868" s="17"/>
      <c r="G868" s="17"/>
    </row>
    <row r="869">
      <c r="A869" s="17"/>
      <c r="G869" s="17"/>
    </row>
    <row r="870">
      <c r="A870" s="17"/>
      <c r="G870" s="17"/>
    </row>
    <row r="871">
      <c r="A871" s="17"/>
      <c r="G871" s="17"/>
    </row>
    <row r="872">
      <c r="A872" s="17"/>
      <c r="G872" s="17"/>
    </row>
    <row r="873">
      <c r="A873" s="17"/>
      <c r="G873" s="17"/>
    </row>
    <row r="874">
      <c r="A874" s="17"/>
      <c r="G874" s="17"/>
    </row>
    <row r="875">
      <c r="A875" s="17"/>
      <c r="G875" s="17"/>
    </row>
    <row r="876">
      <c r="A876" s="17"/>
      <c r="G876" s="17"/>
    </row>
    <row r="877">
      <c r="A877" s="17"/>
      <c r="G877" s="17"/>
    </row>
    <row r="878">
      <c r="A878" s="17"/>
      <c r="G878" s="17"/>
    </row>
    <row r="879">
      <c r="A879" s="17"/>
      <c r="G879" s="17"/>
    </row>
    <row r="880">
      <c r="A880" s="17"/>
      <c r="G880" s="17"/>
    </row>
    <row r="881">
      <c r="A881" s="17"/>
      <c r="G881" s="17"/>
    </row>
    <row r="882">
      <c r="A882" s="17"/>
      <c r="G882" s="17"/>
    </row>
    <row r="883">
      <c r="A883" s="17"/>
      <c r="G883" s="17"/>
    </row>
    <row r="884">
      <c r="A884" s="17"/>
      <c r="G884" s="17"/>
    </row>
    <row r="885">
      <c r="A885" s="17"/>
      <c r="G885" s="17"/>
    </row>
    <row r="886">
      <c r="A886" s="17"/>
      <c r="G886" s="17"/>
    </row>
    <row r="887">
      <c r="A887" s="17"/>
      <c r="G887" s="17"/>
    </row>
    <row r="888">
      <c r="A888" s="17"/>
      <c r="G888" s="17"/>
    </row>
    <row r="889">
      <c r="A889" s="17"/>
      <c r="G889" s="17"/>
    </row>
    <row r="890">
      <c r="A890" s="17"/>
      <c r="G890" s="17"/>
    </row>
    <row r="891">
      <c r="A891" s="17"/>
      <c r="G891" s="17"/>
    </row>
    <row r="892">
      <c r="A892" s="17"/>
      <c r="G892" s="17"/>
    </row>
    <row r="893">
      <c r="A893" s="17"/>
      <c r="G893" s="17"/>
    </row>
    <row r="894">
      <c r="A894" s="17"/>
      <c r="G894" s="17"/>
    </row>
    <row r="895">
      <c r="A895" s="17"/>
      <c r="G895" s="17"/>
    </row>
    <row r="896">
      <c r="A896" s="17"/>
      <c r="G896" s="17"/>
    </row>
    <row r="897">
      <c r="A897" s="17"/>
      <c r="G897" s="17"/>
    </row>
    <row r="898">
      <c r="A898" s="17"/>
      <c r="G898" s="17"/>
    </row>
    <row r="899">
      <c r="A899" s="17"/>
      <c r="G899" s="17"/>
    </row>
    <row r="900">
      <c r="A900" s="17"/>
      <c r="G900" s="17"/>
    </row>
    <row r="901">
      <c r="A901" s="17"/>
      <c r="G901" s="17"/>
    </row>
    <row r="902">
      <c r="A902" s="17"/>
      <c r="G902" s="17"/>
    </row>
    <row r="903">
      <c r="A903" s="17"/>
      <c r="G903" s="17"/>
    </row>
    <row r="904">
      <c r="A904" s="17"/>
      <c r="G904" s="17"/>
    </row>
    <row r="905">
      <c r="A905" s="17"/>
      <c r="G905" s="17"/>
    </row>
    <row r="906">
      <c r="A906" s="17"/>
      <c r="G906" s="17"/>
    </row>
    <row r="907">
      <c r="A907" s="17"/>
      <c r="G907" s="17"/>
    </row>
    <row r="908">
      <c r="A908" s="17"/>
      <c r="G908" s="17"/>
    </row>
    <row r="909">
      <c r="A909" s="17"/>
      <c r="G909" s="17"/>
    </row>
    <row r="910">
      <c r="A910" s="17"/>
      <c r="G910" s="17"/>
    </row>
    <row r="911">
      <c r="A911" s="17"/>
      <c r="G911" s="17"/>
    </row>
    <row r="912">
      <c r="A912" s="17"/>
      <c r="G912" s="17"/>
    </row>
    <row r="913">
      <c r="A913" s="17"/>
      <c r="G913" s="17"/>
    </row>
    <row r="914">
      <c r="A914" s="17"/>
      <c r="G914" s="17"/>
    </row>
    <row r="915">
      <c r="A915" s="17"/>
      <c r="G915" s="17"/>
    </row>
    <row r="916">
      <c r="A916" s="17"/>
      <c r="G916" s="17"/>
    </row>
    <row r="917">
      <c r="A917" s="17"/>
      <c r="G917" s="17"/>
    </row>
    <row r="918">
      <c r="A918" s="17"/>
      <c r="G918" s="17"/>
    </row>
    <row r="919">
      <c r="A919" s="17"/>
      <c r="G919" s="17"/>
    </row>
    <row r="920">
      <c r="A920" s="17"/>
      <c r="G920" s="17"/>
    </row>
    <row r="921">
      <c r="A921" s="17"/>
      <c r="G921" s="17"/>
    </row>
    <row r="922">
      <c r="A922" s="17"/>
      <c r="G922" s="17"/>
    </row>
    <row r="923">
      <c r="A923" s="17"/>
      <c r="G923" s="17"/>
    </row>
    <row r="924">
      <c r="A924" s="17"/>
      <c r="G924" s="17"/>
    </row>
    <row r="925">
      <c r="A925" s="17"/>
      <c r="G925" s="17"/>
    </row>
    <row r="926">
      <c r="A926" s="17"/>
      <c r="G926" s="17"/>
    </row>
    <row r="927">
      <c r="A927" s="17"/>
      <c r="G927" s="17"/>
    </row>
    <row r="928">
      <c r="A928" s="17"/>
      <c r="G928" s="17"/>
    </row>
    <row r="929">
      <c r="A929" s="17"/>
      <c r="G929" s="17"/>
    </row>
    <row r="930">
      <c r="A930" s="17"/>
      <c r="G930" s="17"/>
    </row>
    <row r="931">
      <c r="A931" s="17"/>
      <c r="G931" s="17"/>
    </row>
    <row r="932">
      <c r="A932" s="17"/>
      <c r="G932" s="17"/>
    </row>
    <row r="933">
      <c r="A933" s="17"/>
      <c r="G933" s="17"/>
    </row>
    <row r="934">
      <c r="A934" s="17"/>
      <c r="G934" s="17"/>
    </row>
    <row r="935">
      <c r="A935" s="17"/>
      <c r="G935" s="17"/>
    </row>
    <row r="936">
      <c r="A936" s="17"/>
      <c r="G936" s="17"/>
    </row>
    <row r="937">
      <c r="A937" s="17"/>
      <c r="G937" s="17"/>
    </row>
    <row r="938">
      <c r="A938" s="17"/>
      <c r="G938" s="17"/>
    </row>
    <row r="939">
      <c r="A939" s="17"/>
      <c r="G939" s="17"/>
    </row>
    <row r="940">
      <c r="A940" s="17"/>
      <c r="G940" s="17"/>
    </row>
    <row r="941">
      <c r="A941" s="17"/>
      <c r="G941" s="17"/>
    </row>
    <row r="942">
      <c r="A942" s="17"/>
      <c r="G942" s="17"/>
    </row>
    <row r="943">
      <c r="A943" s="17"/>
      <c r="G943" s="17"/>
    </row>
    <row r="944">
      <c r="A944" s="17"/>
      <c r="G944" s="17"/>
    </row>
    <row r="945">
      <c r="A945" s="17"/>
      <c r="G945" s="17"/>
    </row>
    <row r="946">
      <c r="A946" s="17"/>
      <c r="G946" s="17"/>
    </row>
    <row r="947">
      <c r="A947" s="17"/>
      <c r="G947" s="17"/>
    </row>
    <row r="948">
      <c r="A948" s="17"/>
      <c r="G948" s="17"/>
    </row>
    <row r="949">
      <c r="A949" s="17"/>
      <c r="G949" s="17"/>
    </row>
    <row r="950">
      <c r="A950" s="17"/>
      <c r="G950" s="17"/>
    </row>
    <row r="951">
      <c r="A951" s="17"/>
      <c r="G951" s="17"/>
    </row>
    <row r="952">
      <c r="A952" s="17"/>
      <c r="G952" s="17"/>
    </row>
    <row r="953">
      <c r="A953" s="17"/>
      <c r="G953" s="17"/>
    </row>
    <row r="954">
      <c r="A954" s="17"/>
      <c r="G954" s="17"/>
    </row>
    <row r="955">
      <c r="A955" s="17"/>
      <c r="G955" s="17"/>
    </row>
    <row r="956">
      <c r="A956" s="17"/>
      <c r="G956" s="17"/>
    </row>
    <row r="957">
      <c r="A957" s="17"/>
      <c r="G957" s="17"/>
    </row>
    <row r="958">
      <c r="A958" s="17"/>
      <c r="G958" s="17"/>
    </row>
    <row r="959">
      <c r="A959" s="17"/>
      <c r="G959" s="17"/>
    </row>
    <row r="960">
      <c r="A960" s="17"/>
      <c r="G960" s="17"/>
    </row>
    <row r="961">
      <c r="A961" s="17"/>
      <c r="G961" s="17"/>
    </row>
    <row r="962">
      <c r="A962" s="17"/>
      <c r="G962" s="17"/>
    </row>
    <row r="963">
      <c r="A963" s="17"/>
      <c r="G963" s="17"/>
    </row>
    <row r="964">
      <c r="A964" s="17"/>
      <c r="G964" s="17"/>
    </row>
    <row r="965">
      <c r="A965" s="17"/>
      <c r="G965" s="17"/>
    </row>
    <row r="966">
      <c r="A966" s="17"/>
      <c r="G966" s="17"/>
    </row>
    <row r="967">
      <c r="A967" s="17"/>
      <c r="G967" s="17"/>
    </row>
    <row r="968">
      <c r="A968" s="17"/>
      <c r="G968" s="17"/>
    </row>
    <row r="969">
      <c r="A969" s="17"/>
      <c r="G969" s="17"/>
    </row>
    <row r="970">
      <c r="A970" s="17"/>
      <c r="G970" s="17"/>
    </row>
    <row r="971">
      <c r="A971" s="17"/>
      <c r="G971" s="17"/>
    </row>
    <row r="972">
      <c r="A972" s="17"/>
      <c r="G972" s="17"/>
    </row>
    <row r="973">
      <c r="A973" s="17"/>
      <c r="G973" s="17"/>
    </row>
    <row r="974">
      <c r="A974" s="17"/>
      <c r="G974" s="17"/>
    </row>
    <row r="975">
      <c r="A975" s="17"/>
      <c r="G975" s="17"/>
    </row>
    <row r="976">
      <c r="A976" s="17"/>
      <c r="G976" s="17"/>
    </row>
    <row r="977">
      <c r="A977" s="17"/>
      <c r="G977" s="17"/>
    </row>
    <row r="978">
      <c r="A978" s="17"/>
      <c r="G978" s="17"/>
    </row>
    <row r="979">
      <c r="A979" s="17"/>
      <c r="G979" s="17"/>
    </row>
    <row r="980">
      <c r="A980" s="17"/>
      <c r="G980" s="17"/>
    </row>
    <row r="981">
      <c r="A981" s="17"/>
      <c r="G981" s="17"/>
    </row>
    <row r="982">
      <c r="A982" s="17"/>
      <c r="G982" s="17"/>
    </row>
    <row r="983">
      <c r="A983" s="17"/>
      <c r="G983" s="17"/>
    </row>
    <row r="984">
      <c r="A984" s="17"/>
      <c r="G984" s="17"/>
    </row>
    <row r="985">
      <c r="A985" s="17"/>
      <c r="G985" s="17"/>
    </row>
    <row r="986">
      <c r="A986" s="17"/>
      <c r="G986" s="17"/>
    </row>
    <row r="987">
      <c r="A987" s="17"/>
      <c r="G987" s="17"/>
    </row>
    <row r="988">
      <c r="A988" s="17"/>
      <c r="G988" s="17"/>
    </row>
    <row r="989">
      <c r="A989" s="17"/>
      <c r="G989" s="17"/>
    </row>
    <row r="990">
      <c r="A990" s="17"/>
      <c r="G990" s="17"/>
    </row>
    <row r="991">
      <c r="A991" s="17"/>
      <c r="G991" s="17"/>
    </row>
    <row r="992">
      <c r="A992" s="17"/>
      <c r="G992" s="17"/>
    </row>
    <row r="993">
      <c r="A993" s="17"/>
      <c r="G993" s="17"/>
    </row>
    <row r="994">
      <c r="A994" s="17"/>
      <c r="G994" s="17"/>
    </row>
    <row r="995">
      <c r="A995" s="17"/>
      <c r="G995" s="17"/>
    </row>
    <row r="996">
      <c r="A996" s="17"/>
      <c r="G996" s="17"/>
    </row>
    <row r="997">
      <c r="A997" s="17"/>
      <c r="G997" s="17"/>
    </row>
    <row r="998">
      <c r="A998" s="17"/>
      <c r="G998" s="17"/>
    </row>
    <row r="999">
      <c r="A999" s="17"/>
      <c r="G999" s="17"/>
    </row>
    <row r="1000">
      <c r="A1000" s="17"/>
      <c r="G1000" s="1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3.63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2">
        <v>0.0</v>
      </c>
      <c r="B2" s="5">
        <f t="array" ref="B2:E11">B1:E1*F2:F11</f>
        <v>0</v>
      </c>
      <c r="C2" s="5">
        <v>9.0</v>
      </c>
      <c r="D2" s="5">
        <v>18.0</v>
      </c>
      <c r="E2" s="5">
        <v>27.0</v>
      </c>
      <c r="F2" s="17">
        <f t="shared" ref="F2:F11" si="1">9-A2</f>
        <v>9</v>
      </c>
    </row>
    <row r="3">
      <c r="A3" s="2">
        <v>1.0</v>
      </c>
      <c r="B3" s="5">
        <v>0.0</v>
      </c>
      <c r="C3" s="5">
        <v>8.0</v>
      </c>
      <c r="D3" s="5">
        <v>16.0</v>
      </c>
      <c r="E3" s="5">
        <v>24.0</v>
      </c>
      <c r="F3" s="17">
        <f t="shared" si="1"/>
        <v>8</v>
      </c>
    </row>
    <row r="4">
      <c r="A4" s="2">
        <v>2.0</v>
      </c>
      <c r="B4" s="5">
        <v>0.0</v>
      </c>
      <c r="C4" s="5">
        <v>7.0</v>
      </c>
      <c r="D4" s="5">
        <v>14.0</v>
      </c>
      <c r="E4" s="5">
        <v>21.0</v>
      </c>
      <c r="F4" s="17">
        <f t="shared" si="1"/>
        <v>7</v>
      </c>
    </row>
    <row r="5">
      <c r="A5" s="2">
        <v>3.0</v>
      </c>
      <c r="B5" s="5">
        <v>0.0</v>
      </c>
      <c r="C5" s="5">
        <v>6.0</v>
      </c>
      <c r="D5" s="5">
        <v>12.0</v>
      </c>
      <c r="E5" s="5">
        <v>18.0</v>
      </c>
      <c r="F5" s="17">
        <f t="shared" si="1"/>
        <v>6</v>
      </c>
    </row>
    <row r="6">
      <c r="A6" s="2">
        <v>4.0</v>
      </c>
      <c r="B6" s="5">
        <v>0.0</v>
      </c>
      <c r="C6" s="57">
        <v>5.0</v>
      </c>
      <c r="D6" s="15">
        <v>10.0</v>
      </c>
      <c r="E6" s="5">
        <v>15.0</v>
      </c>
      <c r="F6" s="17">
        <f t="shared" si="1"/>
        <v>5</v>
      </c>
    </row>
    <row r="7">
      <c r="A7" s="2">
        <v>5.0</v>
      </c>
      <c r="B7" s="5">
        <v>0.0</v>
      </c>
      <c r="C7" s="15">
        <v>4.0</v>
      </c>
      <c r="D7" s="5">
        <v>8.0</v>
      </c>
      <c r="E7" s="57">
        <v>12.0</v>
      </c>
      <c r="F7" s="17">
        <f t="shared" si="1"/>
        <v>4</v>
      </c>
    </row>
    <row r="8">
      <c r="A8" s="2">
        <v>6.0</v>
      </c>
      <c r="B8" s="5">
        <v>0.0</v>
      </c>
      <c r="C8" s="5">
        <v>3.0</v>
      </c>
      <c r="D8" s="5">
        <v>6.0</v>
      </c>
      <c r="E8" s="5">
        <v>9.0</v>
      </c>
      <c r="F8" s="17">
        <f t="shared" si="1"/>
        <v>3</v>
      </c>
    </row>
    <row r="9">
      <c r="A9" s="2">
        <v>7.0</v>
      </c>
      <c r="B9" s="5">
        <v>0.0</v>
      </c>
      <c r="C9" s="5">
        <v>2.0</v>
      </c>
      <c r="D9" s="5">
        <v>4.0</v>
      </c>
      <c r="E9" s="5">
        <v>6.0</v>
      </c>
      <c r="F9" s="17">
        <f t="shared" si="1"/>
        <v>2</v>
      </c>
    </row>
    <row r="10">
      <c r="A10" s="2">
        <v>8.0</v>
      </c>
      <c r="B10" s="5">
        <v>0.0</v>
      </c>
      <c r="C10" s="5">
        <v>1.0</v>
      </c>
      <c r="D10" s="5">
        <v>2.0</v>
      </c>
      <c r="E10" s="5">
        <v>3.0</v>
      </c>
      <c r="F10" s="17">
        <f t="shared" si="1"/>
        <v>1</v>
      </c>
    </row>
    <row r="11">
      <c r="A11" s="2">
        <v>9.0</v>
      </c>
      <c r="B11" s="5">
        <v>0.0</v>
      </c>
      <c r="C11" s="5">
        <v>0.0</v>
      </c>
      <c r="D11" s="5">
        <v>0.0</v>
      </c>
      <c r="E11" s="5">
        <v>0.0</v>
      </c>
      <c r="F11" s="17">
        <f t="shared" si="1"/>
        <v>0</v>
      </c>
    </row>
    <row r="12">
      <c r="A12" s="17"/>
      <c r="B12" s="17">
        <f t="array" ref="B12:E12">3-B1:E1</f>
        <v>3</v>
      </c>
      <c r="C12" s="17">
        <v>2.0</v>
      </c>
      <c r="D12" s="17">
        <v>1.0</v>
      </c>
      <c r="E12" s="17">
        <v>0.0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F13" s="17"/>
    </row>
    <row r="14">
      <c r="A14" s="17"/>
      <c r="B14" s="2">
        <v>0.0</v>
      </c>
      <c r="C14" s="2">
        <v>1.0</v>
      </c>
      <c r="D14" s="2">
        <v>2.0</v>
      </c>
      <c r="E14" s="2">
        <v>3.0</v>
      </c>
      <c r="F14" s="17"/>
    </row>
    <row r="15">
      <c r="A15" s="2">
        <v>0.0</v>
      </c>
      <c r="B15" s="5">
        <f t="array" ref="B15:E24">if(B14:E14*F15:F24&gt;A15:A24*B25:E25,B14:E14*F15:F24,A15:A24*B25:E25)</f>
        <v>0</v>
      </c>
      <c r="C15" s="5">
        <v>9.0</v>
      </c>
      <c r="D15" s="5">
        <v>18.0</v>
      </c>
      <c r="E15" s="5">
        <v>27.0</v>
      </c>
      <c r="F15" s="17">
        <f t="shared" ref="F15:F24" si="2">9-A15</f>
        <v>9</v>
      </c>
    </row>
    <row r="16">
      <c r="A16" s="2">
        <v>1.0</v>
      </c>
      <c r="B16" s="5">
        <v>3.0</v>
      </c>
      <c r="C16" s="5">
        <v>8.0</v>
      </c>
      <c r="D16" s="5">
        <v>16.0</v>
      </c>
      <c r="E16" s="5">
        <v>24.0</v>
      </c>
      <c r="F16" s="17">
        <f t="shared" si="2"/>
        <v>8</v>
      </c>
    </row>
    <row r="17">
      <c r="A17" s="2">
        <v>2.0</v>
      </c>
      <c r="B17" s="5">
        <v>6.0</v>
      </c>
      <c r="C17" s="5">
        <v>7.0</v>
      </c>
      <c r="D17" s="5">
        <v>14.0</v>
      </c>
      <c r="E17" s="5">
        <v>21.0</v>
      </c>
      <c r="F17" s="17">
        <f t="shared" si="2"/>
        <v>7</v>
      </c>
    </row>
    <row r="18">
      <c r="A18" s="2">
        <v>3.0</v>
      </c>
      <c r="B18" s="5">
        <v>9.0</v>
      </c>
      <c r="C18" s="5">
        <v>6.0</v>
      </c>
      <c r="D18" s="5">
        <v>12.0</v>
      </c>
      <c r="E18" s="5">
        <v>18.0</v>
      </c>
      <c r="F18" s="17">
        <f t="shared" si="2"/>
        <v>6</v>
      </c>
    </row>
    <row r="19">
      <c r="A19" s="2">
        <v>4.0</v>
      </c>
      <c r="B19" s="5">
        <v>12.0</v>
      </c>
      <c r="C19" s="57">
        <v>8.0</v>
      </c>
      <c r="D19" s="15">
        <v>10.0</v>
      </c>
      <c r="E19" s="5">
        <v>15.0</v>
      </c>
      <c r="F19" s="17">
        <f t="shared" si="2"/>
        <v>5</v>
      </c>
    </row>
    <row r="20">
      <c r="A20" s="2">
        <v>5.0</v>
      </c>
      <c r="B20" s="5">
        <v>15.0</v>
      </c>
      <c r="C20" s="15">
        <v>10.0</v>
      </c>
      <c r="D20" s="5">
        <v>8.0</v>
      </c>
      <c r="E20" s="57">
        <v>12.0</v>
      </c>
      <c r="F20" s="17">
        <f t="shared" si="2"/>
        <v>4</v>
      </c>
    </row>
    <row r="21">
      <c r="A21" s="2">
        <v>6.0</v>
      </c>
      <c r="B21" s="5">
        <v>18.0</v>
      </c>
      <c r="C21" s="5">
        <v>12.0</v>
      </c>
      <c r="D21" s="5">
        <v>6.0</v>
      </c>
      <c r="E21" s="5">
        <v>9.0</v>
      </c>
      <c r="F21" s="17">
        <f t="shared" si="2"/>
        <v>3</v>
      </c>
    </row>
    <row r="22">
      <c r="A22" s="2">
        <v>7.0</v>
      </c>
      <c r="B22" s="5">
        <v>21.0</v>
      </c>
      <c r="C22" s="5">
        <v>14.0</v>
      </c>
      <c r="D22" s="5">
        <v>7.0</v>
      </c>
      <c r="E22" s="5">
        <v>6.0</v>
      </c>
      <c r="F22" s="17">
        <f t="shared" si="2"/>
        <v>2</v>
      </c>
    </row>
    <row r="23">
      <c r="A23" s="2">
        <v>8.0</v>
      </c>
      <c r="B23" s="5">
        <v>24.0</v>
      </c>
      <c r="C23" s="5">
        <v>16.0</v>
      </c>
      <c r="D23" s="5">
        <v>8.0</v>
      </c>
      <c r="E23" s="5">
        <v>3.0</v>
      </c>
      <c r="F23" s="17">
        <f t="shared" si="2"/>
        <v>1</v>
      </c>
    </row>
    <row r="24">
      <c r="A24" s="2">
        <v>9.0</v>
      </c>
      <c r="B24" s="5">
        <v>27.0</v>
      </c>
      <c r="C24" s="5">
        <v>18.0</v>
      </c>
      <c r="D24" s="5">
        <v>9.0</v>
      </c>
      <c r="E24" s="5">
        <v>0.0</v>
      </c>
      <c r="F24" s="17">
        <f t="shared" si="2"/>
        <v>0</v>
      </c>
    </row>
    <row r="25">
      <c r="A25" s="17"/>
      <c r="B25" s="17">
        <f t="array" ref="B25:E25">3-B14:E14</f>
        <v>3</v>
      </c>
      <c r="C25" s="17">
        <v>2.0</v>
      </c>
      <c r="D25" s="17">
        <v>1.0</v>
      </c>
      <c r="E25" s="17">
        <v>0.0</v>
      </c>
      <c r="F25" s="17"/>
    </row>
    <row r="26">
      <c r="A26" s="17"/>
      <c r="F26" s="17"/>
    </row>
    <row r="27">
      <c r="A27" s="17"/>
      <c r="F27" s="17"/>
    </row>
    <row r="28">
      <c r="A28" s="17"/>
      <c r="F28" s="17"/>
    </row>
    <row r="29">
      <c r="A29" s="17"/>
      <c r="F29" s="17"/>
    </row>
    <row r="30">
      <c r="A30" s="17"/>
      <c r="F30" s="17"/>
    </row>
    <row r="31">
      <c r="A31" s="17"/>
      <c r="F31" s="17"/>
    </row>
    <row r="32">
      <c r="A32" s="17"/>
      <c r="F32" s="17"/>
    </row>
    <row r="33">
      <c r="A33" s="17"/>
      <c r="F33" s="17"/>
    </row>
    <row r="34">
      <c r="A34" s="17"/>
      <c r="F34" s="17"/>
    </row>
    <row r="35">
      <c r="A35" s="17"/>
      <c r="F35" s="17"/>
    </row>
    <row r="36">
      <c r="A36" s="17"/>
      <c r="F36" s="17"/>
    </row>
    <row r="37">
      <c r="A37" s="17"/>
      <c r="F37" s="17"/>
    </row>
    <row r="38">
      <c r="A38" s="17"/>
      <c r="F38" s="17"/>
    </row>
    <row r="39">
      <c r="A39" s="17"/>
      <c r="F39" s="17"/>
    </row>
    <row r="40">
      <c r="A40" s="17"/>
      <c r="F40" s="17"/>
    </row>
    <row r="41">
      <c r="A41" s="17"/>
      <c r="F41" s="17"/>
    </row>
    <row r="42">
      <c r="A42" s="17"/>
      <c r="F42" s="17"/>
    </row>
    <row r="43">
      <c r="A43" s="17"/>
      <c r="F43" s="17"/>
    </row>
    <row r="44">
      <c r="A44" s="17"/>
      <c r="F44" s="17"/>
    </row>
    <row r="45">
      <c r="A45" s="17"/>
      <c r="F45" s="17"/>
    </row>
    <row r="46">
      <c r="A46" s="17"/>
      <c r="F46" s="17"/>
    </row>
    <row r="47">
      <c r="A47" s="17"/>
      <c r="F47" s="17"/>
    </row>
    <row r="48">
      <c r="A48" s="17"/>
      <c r="F48" s="17"/>
    </row>
    <row r="49">
      <c r="A49" s="17"/>
      <c r="F49" s="17"/>
    </row>
    <row r="50">
      <c r="A50" s="17"/>
      <c r="F50" s="17"/>
    </row>
    <row r="51">
      <c r="A51" s="17"/>
      <c r="F51" s="17"/>
    </row>
    <row r="52">
      <c r="A52" s="17"/>
      <c r="F52" s="17"/>
    </row>
    <row r="53">
      <c r="A53" s="17"/>
      <c r="F53" s="17"/>
    </row>
    <row r="54">
      <c r="A54" s="17"/>
      <c r="F54" s="17"/>
    </row>
    <row r="55">
      <c r="A55" s="17"/>
      <c r="F55" s="17"/>
    </row>
    <row r="56">
      <c r="A56" s="17"/>
      <c r="F56" s="17"/>
    </row>
    <row r="57">
      <c r="A57" s="17"/>
      <c r="F57" s="17"/>
    </row>
    <row r="58">
      <c r="A58" s="17"/>
      <c r="F58" s="17"/>
    </row>
    <row r="59">
      <c r="A59" s="17"/>
      <c r="F59" s="17"/>
    </row>
    <row r="60">
      <c r="A60" s="17"/>
      <c r="F60" s="17"/>
    </row>
    <row r="61">
      <c r="A61" s="17"/>
      <c r="F61" s="17"/>
    </row>
    <row r="62">
      <c r="A62" s="17"/>
      <c r="F62" s="17"/>
    </row>
    <row r="63">
      <c r="A63" s="17"/>
      <c r="F63" s="17"/>
    </row>
    <row r="64">
      <c r="A64" s="17"/>
      <c r="F64" s="17"/>
    </row>
    <row r="65">
      <c r="A65" s="17"/>
      <c r="F65" s="17"/>
    </row>
    <row r="66">
      <c r="A66" s="17"/>
      <c r="F66" s="17"/>
    </row>
    <row r="67">
      <c r="A67" s="17"/>
      <c r="F67" s="17"/>
    </row>
    <row r="68">
      <c r="A68" s="17"/>
      <c r="F68" s="17"/>
    </row>
    <row r="69">
      <c r="A69" s="17"/>
      <c r="F69" s="17"/>
    </row>
    <row r="70">
      <c r="A70" s="17"/>
      <c r="F70" s="17"/>
    </row>
    <row r="71">
      <c r="A71" s="17"/>
      <c r="F71" s="17"/>
    </row>
    <row r="72">
      <c r="A72" s="17"/>
      <c r="F72" s="17"/>
    </row>
    <row r="73">
      <c r="A73" s="17"/>
      <c r="F73" s="17"/>
    </row>
    <row r="74">
      <c r="A74" s="17"/>
      <c r="F74" s="17"/>
    </row>
    <row r="75">
      <c r="A75" s="17"/>
      <c r="F75" s="17"/>
    </row>
    <row r="76">
      <c r="A76" s="17"/>
      <c r="F76" s="17"/>
    </row>
    <row r="77">
      <c r="A77" s="17"/>
      <c r="F77" s="17"/>
    </row>
    <row r="78">
      <c r="A78" s="17"/>
      <c r="F78" s="17"/>
    </row>
    <row r="79">
      <c r="A79" s="17"/>
      <c r="F79" s="17"/>
    </row>
    <row r="80">
      <c r="A80" s="17"/>
      <c r="F80" s="17"/>
    </row>
    <row r="81">
      <c r="A81" s="17"/>
      <c r="F81" s="17"/>
    </row>
    <row r="82">
      <c r="A82" s="17"/>
      <c r="F82" s="17"/>
    </row>
    <row r="83">
      <c r="A83" s="17"/>
      <c r="F83" s="17"/>
    </row>
    <row r="84">
      <c r="A84" s="17"/>
      <c r="F84" s="17"/>
    </row>
    <row r="85">
      <c r="A85" s="17"/>
      <c r="F85" s="17"/>
    </row>
    <row r="86">
      <c r="A86" s="17"/>
      <c r="F86" s="17"/>
    </row>
    <row r="87">
      <c r="A87" s="17"/>
      <c r="F87" s="17"/>
    </row>
    <row r="88">
      <c r="A88" s="17"/>
      <c r="F88" s="17"/>
    </row>
    <row r="89">
      <c r="A89" s="17"/>
      <c r="F89" s="17"/>
    </row>
    <row r="90">
      <c r="A90" s="17"/>
      <c r="F90" s="17"/>
    </row>
    <row r="91">
      <c r="A91" s="17"/>
      <c r="F91" s="17"/>
    </row>
    <row r="92">
      <c r="A92" s="17"/>
      <c r="F92" s="17"/>
    </row>
    <row r="93">
      <c r="A93" s="17"/>
      <c r="F93" s="17"/>
    </row>
    <row r="94">
      <c r="A94" s="17"/>
      <c r="F94" s="17"/>
    </row>
    <row r="95">
      <c r="A95" s="17"/>
      <c r="F95" s="17"/>
    </row>
    <row r="96">
      <c r="A96" s="17"/>
      <c r="F96" s="17"/>
    </row>
    <row r="97">
      <c r="A97" s="17"/>
      <c r="F97" s="17"/>
    </row>
    <row r="98">
      <c r="A98" s="17"/>
      <c r="F98" s="17"/>
    </row>
    <row r="99">
      <c r="A99" s="17"/>
      <c r="F99" s="17"/>
    </row>
    <row r="100">
      <c r="A100" s="17"/>
      <c r="F100" s="17"/>
    </row>
    <row r="101">
      <c r="A101" s="17"/>
      <c r="F101" s="17"/>
    </row>
    <row r="102">
      <c r="A102" s="17"/>
      <c r="F102" s="17"/>
    </row>
    <row r="103">
      <c r="A103" s="17"/>
      <c r="F103" s="17"/>
    </row>
    <row r="104">
      <c r="A104" s="17"/>
      <c r="F104" s="17"/>
    </row>
    <row r="105">
      <c r="A105" s="17"/>
      <c r="F105" s="17"/>
    </row>
    <row r="106">
      <c r="A106" s="17"/>
      <c r="F106" s="17"/>
    </row>
    <row r="107">
      <c r="A107" s="17"/>
      <c r="F107" s="17"/>
    </row>
    <row r="108">
      <c r="A108" s="17"/>
      <c r="F108" s="17"/>
    </row>
    <row r="109">
      <c r="A109" s="17"/>
      <c r="F109" s="17"/>
    </row>
    <row r="110">
      <c r="A110" s="17"/>
      <c r="F110" s="17"/>
    </row>
    <row r="111">
      <c r="A111" s="17"/>
      <c r="F111" s="17"/>
    </row>
    <row r="112">
      <c r="A112" s="17"/>
      <c r="F112" s="17"/>
    </row>
    <row r="113">
      <c r="A113" s="17"/>
      <c r="F113" s="17"/>
    </row>
    <row r="114">
      <c r="A114" s="17"/>
      <c r="F114" s="17"/>
    </row>
    <row r="115">
      <c r="A115" s="17"/>
      <c r="F115" s="17"/>
    </row>
    <row r="116">
      <c r="A116" s="17"/>
      <c r="F116" s="17"/>
    </row>
    <row r="117">
      <c r="A117" s="17"/>
      <c r="F117" s="17"/>
    </row>
    <row r="118">
      <c r="A118" s="17"/>
      <c r="F118" s="17"/>
    </row>
    <row r="119">
      <c r="A119" s="17"/>
      <c r="F119" s="17"/>
    </row>
    <row r="120">
      <c r="A120" s="17"/>
      <c r="F120" s="17"/>
    </row>
    <row r="121">
      <c r="A121" s="17"/>
      <c r="F121" s="17"/>
    </row>
    <row r="122">
      <c r="A122" s="17"/>
      <c r="F122" s="17"/>
    </row>
    <row r="123">
      <c r="A123" s="17"/>
      <c r="F123" s="17"/>
    </row>
    <row r="124">
      <c r="A124" s="17"/>
      <c r="F124" s="17"/>
    </row>
    <row r="125">
      <c r="A125" s="17"/>
      <c r="F125" s="17"/>
    </row>
    <row r="126">
      <c r="A126" s="17"/>
      <c r="F126" s="17"/>
    </row>
    <row r="127">
      <c r="A127" s="17"/>
      <c r="F127" s="17"/>
    </row>
    <row r="128">
      <c r="A128" s="17"/>
      <c r="F128" s="17"/>
    </row>
    <row r="129">
      <c r="A129" s="17"/>
      <c r="F129" s="17"/>
    </row>
    <row r="130">
      <c r="A130" s="17"/>
      <c r="F130" s="17"/>
    </row>
    <row r="131">
      <c r="A131" s="17"/>
      <c r="F131" s="17"/>
    </row>
    <row r="132">
      <c r="A132" s="17"/>
      <c r="F132" s="17"/>
    </row>
    <row r="133">
      <c r="A133" s="17"/>
      <c r="F133" s="17"/>
    </row>
    <row r="134">
      <c r="A134" s="17"/>
      <c r="F134" s="17"/>
    </row>
    <row r="135">
      <c r="A135" s="17"/>
      <c r="F135" s="17"/>
    </row>
    <row r="136">
      <c r="A136" s="17"/>
      <c r="F136" s="17"/>
    </row>
    <row r="137">
      <c r="A137" s="17"/>
      <c r="F137" s="17"/>
    </row>
    <row r="138">
      <c r="A138" s="17"/>
      <c r="F138" s="17"/>
    </row>
    <row r="139">
      <c r="A139" s="17"/>
      <c r="F139" s="17"/>
    </row>
    <row r="140">
      <c r="A140" s="17"/>
      <c r="F140" s="17"/>
    </row>
    <row r="141">
      <c r="A141" s="17"/>
      <c r="F141" s="17"/>
    </row>
    <row r="142">
      <c r="A142" s="17"/>
      <c r="F142" s="17"/>
    </row>
    <row r="143">
      <c r="A143" s="17"/>
      <c r="F143" s="17"/>
    </row>
    <row r="144">
      <c r="A144" s="17"/>
      <c r="F144" s="17"/>
    </row>
    <row r="145">
      <c r="A145" s="17"/>
      <c r="F145" s="17"/>
    </row>
    <row r="146">
      <c r="A146" s="17"/>
      <c r="F146" s="17"/>
    </row>
    <row r="147">
      <c r="A147" s="17"/>
      <c r="F147" s="17"/>
    </row>
    <row r="148">
      <c r="A148" s="17"/>
      <c r="F148" s="17"/>
    </row>
    <row r="149">
      <c r="A149" s="17"/>
      <c r="F149" s="17"/>
    </row>
    <row r="150">
      <c r="A150" s="17"/>
      <c r="F150" s="17"/>
    </row>
    <row r="151">
      <c r="A151" s="17"/>
      <c r="F151" s="17"/>
    </row>
    <row r="152">
      <c r="A152" s="17"/>
      <c r="F152" s="17"/>
    </row>
    <row r="153">
      <c r="A153" s="17"/>
      <c r="F153" s="17"/>
    </row>
    <row r="154">
      <c r="A154" s="17"/>
      <c r="F154" s="17"/>
    </row>
    <row r="155">
      <c r="A155" s="17"/>
      <c r="F155" s="17"/>
    </row>
    <row r="156">
      <c r="A156" s="17"/>
      <c r="F156" s="17"/>
    </row>
    <row r="157">
      <c r="A157" s="17"/>
      <c r="F157" s="17"/>
    </row>
    <row r="158">
      <c r="A158" s="17"/>
      <c r="F158" s="17"/>
    </row>
    <row r="159">
      <c r="A159" s="17"/>
      <c r="F159" s="17"/>
    </row>
    <row r="160">
      <c r="A160" s="17"/>
      <c r="F160" s="17"/>
    </row>
    <row r="161">
      <c r="A161" s="17"/>
      <c r="F161" s="17"/>
    </row>
    <row r="162">
      <c r="A162" s="17"/>
      <c r="F162" s="17"/>
    </row>
    <row r="163">
      <c r="A163" s="17"/>
      <c r="F163" s="17"/>
    </row>
    <row r="164">
      <c r="A164" s="17"/>
      <c r="F164" s="17"/>
    </row>
    <row r="165">
      <c r="A165" s="17"/>
      <c r="F165" s="17"/>
    </row>
    <row r="166">
      <c r="A166" s="17"/>
      <c r="F166" s="17"/>
    </row>
    <row r="167">
      <c r="A167" s="17"/>
      <c r="F167" s="17"/>
    </row>
    <row r="168">
      <c r="A168" s="17"/>
      <c r="F168" s="17"/>
    </row>
    <row r="169">
      <c r="A169" s="17"/>
      <c r="F169" s="17"/>
    </row>
    <row r="170">
      <c r="A170" s="17"/>
      <c r="F170" s="17"/>
    </row>
    <row r="171">
      <c r="A171" s="17"/>
      <c r="F171" s="17"/>
    </row>
    <row r="172">
      <c r="A172" s="17"/>
      <c r="F172" s="17"/>
    </row>
    <row r="173">
      <c r="A173" s="17"/>
      <c r="F173" s="17"/>
    </row>
    <row r="174">
      <c r="A174" s="17"/>
      <c r="F174" s="17"/>
    </row>
    <row r="175">
      <c r="A175" s="17"/>
      <c r="F175" s="17"/>
    </row>
    <row r="176">
      <c r="A176" s="17"/>
      <c r="F176" s="17"/>
    </row>
    <row r="177">
      <c r="A177" s="17"/>
      <c r="F177" s="17"/>
    </row>
    <row r="178">
      <c r="A178" s="17"/>
      <c r="F178" s="17"/>
    </row>
    <row r="179">
      <c r="A179" s="17"/>
      <c r="F179" s="17"/>
    </row>
    <row r="180">
      <c r="A180" s="17"/>
      <c r="F180" s="17"/>
    </row>
    <row r="181">
      <c r="A181" s="17"/>
      <c r="F181" s="17"/>
    </row>
    <row r="182">
      <c r="A182" s="17"/>
      <c r="F182" s="17"/>
    </row>
    <row r="183">
      <c r="A183" s="17"/>
      <c r="F183" s="17"/>
    </row>
    <row r="184">
      <c r="A184" s="17"/>
      <c r="F184" s="17"/>
    </row>
    <row r="185">
      <c r="A185" s="17"/>
      <c r="F185" s="17"/>
    </row>
    <row r="186">
      <c r="A186" s="17"/>
      <c r="F186" s="17"/>
    </row>
    <row r="187">
      <c r="A187" s="17"/>
      <c r="F187" s="17"/>
    </row>
    <row r="188">
      <c r="A188" s="17"/>
      <c r="F188" s="17"/>
    </row>
    <row r="189">
      <c r="A189" s="17"/>
      <c r="F189" s="17"/>
    </row>
    <row r="190">
      <c r="A190" s="17"/>
      <c r="F190" s="17"/>
    </row>
    <row r="191">
      <c r="A191" s="17"/>
      <c r="F191" s="17"/>
    </row>
    <row r="192">
      <c r="A192" s="17"/>
      <c r="F192" s="17"/>
    </row>
    <row r="193">
      <c r="A193" s="17"/>
      <c r="F193" s="17"/>
    </row>
    <row r="194">
      <c r="A194" s="17"/>
      <c r="F194" s="17"/>
    </row>
    <row r="195">
      <c r="A195" s="17"/>
      <c r="F195" s="17"/>
    </row>
    <row r="196">
      <c r="A196" s="17"/>
      <c r="F196" s="17"/>
    </row>
    <row r="197">
      <c r="A197" s="17"/>
      <c r="F197" s="17"/>
    </row>
    <row r="198">
      <c r="A198" s="17"/>
      <c r="F198" s="17"/>
    </row>
    <row r="199">
      <c r="A199" s="17"/>
      <c r="F199" s="17"/>
    </row>
    <row r="200">
      <c r="A200" s="17"/>
      <c r="F200" s="17"/>
    </row>
    <row r="201">
      <c r="A201" s="17"/>
      <c r="F201" s="17"/>
    </row>
    <row r="202">
      <c r="A202" s="17"/>
      <c r="F202" s="17"/>
    </row>
    <row r="203">
      <c r="A203" s="17"/>
      <c r="F203" s="17"/>
    </row>
    <row r="204">
      <c r="A204" s="17"/>
      <c r="F204" s="17"/>
    </row>
    <row r="205">
      <c r="A205" s="17"/>
      <c r="F205" s="17"/>
    </row>
    <row r="206">
      <c r="A206" s="17"/>
      <c r="F206" s="17"/>
    </row>
    <row r="207">
      <c r="A207" s="17"/>
      <c r="F207" s="17"/>
    </row>
    <row r="208">
      <c r="A208" s="17"/>
      <c r="F208" s="17"/>
    </row>
    <row r="209">
      <c r="A209" s="17"/>
      <c r="F209" s="17"/>
    </row>
    <row r="210">
      <c r="A210" s="17"/>
      <c r="F210" s="17"/>
    </row>
    <row r="211">
      <c r="A211" s="17"/>
      <c r="F211" s="17"/>
    </row>
    <row r="212">
      <c r="A212" s="17"/>
      <c r="F212" s="17"/>
    </row>
    <row r="213">
      <c r="A213" s="17"/>
      <c r="F213" s="17"/>
    </row>
    <row r="214">
      <c r="A214" s="17"/>
      <c r="F214" s="17"/>
    </row>
    <row r="215">
      <c r="A215" s="17"/>
      <c r="F215" s="17"/>
    </row>
    <row r="216">
      <c r="A216" s="17"/>
      <c r="F216" s="17"/>
    </row>
    <row r="217">
      <c r="A217" s="17"/>
      <c r="F217" s="17"/>
    </row>
    <row r="218">
      <c r="A218" s="17"/>
      <c r="F218" s="17"/>
    </row>
    <row r="219">
      <c r="A219" s="17"/>
      <c r="F219" s="17"/>
    </row>
    <row r="220">
      <c r="A220" s="17"/>
      <c r="F220" s="17"/>
    </row>
    <row r="221">
      <c r="A221" s="17"/>
      <c r="F221" s="17"/>
    </row>
    <row r="222">
      <c r="A222" s="17"/>
      <c r="F222" s="17"/>
    </row>
    <row r="223">
      <c r="A223" s="17"/>
      <c r="F223" s="17"/>
    </row>
    <row r="224">
      <c r="A224" s="17"/>
      <c r="F224" s="17"/>
    </row>
    <row r="225">
      <c r="A225" s="17"/>
      <c r="F225" s="17"/>
    </row>
    <row r="226">
      <c r="A226" s="17"/>
      <c r="F226" s="17"/>
    </row>
    <row r="227">
      <c r="A227" s="17"/>
      <c r="F227" s="17"/>
    </row>
    <row r="228">
      <c r="A228" s="17"/>
      <c r="F228" s="17"/>
    </row>
    <row r="229">
      <c r="A229" s="17"/>
      <c r="F229" s="17"/>
    </row>
    <row r="230">
      <c r="A230" s="17"/>
      <c r="F230" s="17"/>
    </row>
    <row r="231">
      <c r="A231" s="17"/>
      <c r="F231" s="17"/>
    </row>
    <row r="232">
      <c r="A232" s="17"/>
      <c r="F232" s="17"/>
    </row>
    <row r="233">
      <c r="A233" s="17"/>
      <c r="F233" s="17"/>
    </row>
    <row r="234">
      <c r="A234" s="17"/>
      <c r="F234" s="17"/>
    </row>
    <row r="235">
      <c r="A235" s="17"/>
      <c r="F235" s="17"/>
    </row>
    <row r="236">
      <c r="A236" s="17"/>
      <c r="F236" s="17"/>
    </row>
    <row r="237">
      <c r="A237" s="17"/>
      <c r="F237" s="17"/>
    </row>
    <row r="238">
      <c r="A238" s="17"/>
      <c r="F238" s="17"/>
    </row>
    <row r="239">
      <c r="A239" s="17"/>
      <c r="F239" s="17"/>
    </row>
    <row r="240">
      <c r="A240" s="17"/>
      <c r="F240" s="17"/>
    </row>
    <row r="241">
      <c r="A241" s="17"/>
      <c r="F241" s="17"/>
    </row>
    <row r="242">
      <c r="A242" s="17"/>
      <c r="F242" s="17"/>
    </row>
    <row r="243">
      <c r="A243" s="17"/>
      <c r="F243" s="17"/>
    </row>
    <row r="244">
      <c r="A244" s="17"/>
      <c r="F244" s="17"/>
    </row>
    <row r="245">
      <c r="A245" s="17"/>
      <c r="F245" s="17"/>
    </row>
    <row r="246">
      <c r="A246" s="17"/>
      <c r="F246" s="17"/>
    </row>
    <row r="247">
      <c r="A247" s="17"/>
      <c r="F247" s="17"/>
    </row>
    <row r="248">
      <c r="A248" s="17"/>
      <c r="F248" s="17"/>
    </row>
    <row r="249">
      <c r="A249" s="17"/>
      <c r="F249" s="17"/>
    </row>
    <row r="250">
      <c r="A250" s="17"/>
      <c r="F250" s="17"/>
    </row>
    <row r="251">
      <c r="A251" s="17"/>
      <c r="F251" s="17"/>
    </row>
    <row r="252">
      <c r="A252" s="17"/>
      <c r="F252" s="17"/>
    </row>
    <row r="253">
      <c r="A253" s="17"/>
      <c r="F253" s="17"/>
    </row>
    <row r="254">
      <c r="A254" s="17"/>
      <c r="F254" s="17"/>
    </row>
    <row r="255">
      <c r="A255" s="17"/>
      <c r="F255" s="17"/>
    </row>
    <row r="256">
      <c r="A256" s="17"/>
      <c r="F256" s="17"/>
    </row>
    <row r="257">
      <c r="A257" s="17"/>
      <c r="F257" s="17"/>
    </row>
    <row r="258">
      <c r="A258" s="17"/>
      <c r="F258" s="17"/>
    </row>
    <row r="259">
      <c r="A259" s="17"/>
      <c r="F259" s="17"/>
    </row>
    <row r="260">
      <c r="A260" s="17"/>
      <c r="F260" s="17"/>
    </row>
    <row r="261">
      <c r="A261" s="17"/>
      <c r="F261" s="17"/>
    </row>
    <row r="262">
      <c r="A262" s="17"/>
      <c r="F262" s="17"/>
    </row>
    <row r="263">
      <c r="A263" s="17"/>
      <c r="F263" s="17"/>
    </row>
    <row r="264">
      <c r="A264" s="17"/>
      <c r="F264" s="17"/>
    </row>
    <row r="265">
      <c r="A265" s="17"/>
      <c r="F265" s="17"/>
    </row>
    <row r="266">
      <c r="A266" s="17"/>
      <c r="F266" s="17"/>
    </row>
    <row r="267">
      <c r="A267" s="17"/>
      <c r="F267" s="17"/>
    </row>
    <row r="268">
      <c r="A268" s="17"/>
      <c r="F268" s="17"/>
    </row>
    <row r="269">
      <c r="A269" s="17"/>
      <c r="F269" s="17"/>
    </row>
    <row r="270">
      <c r="A270" s="17"/>
      <c r="F270" s="17"/>
    </row>
    <row r="271">
      <c r="A271" s="17"/>
      <c r="F271" s="17"/>
    </row>
    <row r="272">
      <c r="A272" s="17"/>
      <c r="F272" s="17"/>
    </row>
    <row r="273">
      <c r="A273" s="17"/>
      <c r="F273" s="17"/>
    </row>
    <row r="274">
      <c r="A274" s="17"/>
      <c r="F274" s="17"/>
    </row>
    <row r="275">
      <c r="A275" s="17"/>
      <c r="F275" s="17"/>
    </row>
    <row r="276">
      <c r="A276" s="17"/>
      <c r="F276" s="17"/>
    </row>
    <row r="277">
      <c r="A277" s="17"/>
      <c r="F277" s="17"/>
    </row>
    <row r="278">
      <c r="A278" s="17"/>
      <c r="F278" s="17"/>
    </row>
    <row r="279">
      <c r="A279" s="17"/>
      <c r="F279" s="17"/>
    </row>
    <row r="280">
      <c r="A280" s="17"/>
      <c r="F280" s="17"/>
    </row>
    <row r="281">
      <c r="A281" s="17"/>
      <c r="F281" s="17"/>
    </row>
    <row r="282">
      <c r="A282" s="17"/>
      <c r="F282" s="17"/>
    </row>
    <row r="283">
      <c r="A283" s="17"/>
      <c r="F283" s="17"/>
    </row>
    <row r="284">
      <c r="A284" s="17"/>
      <c r="F284" s="17"/>
    </row>
    <row r="285">
      <c r="A285" s="17"/>
      <c r="F285" s="17"/>
    </row>
    <row r="286">
      <c r="A286" s="17"/>
      <c r="F286" s="17"/>
    </row>
    <row r="287">
      <c r="A287" s="17"/>
      <c r="F287" s="17"/>
    </row>
    <row r="288">
      <c r="A288" s="17"/>
      <c r="F288" s="17"/>
    </row>
    <row r="289">
      <c r="A289" s="17"/>
      <c r="F289" s="17"/>
    </row>
    <row r="290">
      <c r="A290" s="17"/>
      <c r="F290" s="17"/>
    </row>
    <row r="291">
      <c r="A291" s="17"/>
      <c r="F291" s="17"/>
    </row>
    <row r="292">
      <c r="A292" s="17"/>
      <c r="F292" s="17"/>
    </row>
    <row r="293">
      <c r="A293" s="17"/>
      <c r="F293" s="17"/>
    </row>
    <row r="294">
      <c r="A294" s="17"/>
      <c r="F294" s="17"/>
    </row>
    <row r="295">
      <c r="A295" s="17"/>
      <c r="F295" s="17"/>
    </row>
    <row r="296">
      <c r="A296" s="17"/>
      <c r="F296" s="17"/>
    </row>
    <row r="297">
      <c r="A297" s="17"/>
      <c r="F297" s="17"/>
    </row>
    <row r="298">
      <c r="A298" s="17"/>
      <c r="F298" s="17"/>
    </row>
    <row r="299">
      <c r="A299" s="17"/>
      <c r="F299" s="17"/>
    </row>
    <row r="300">
      <c r="A300" s="17"/>
      <c r="F300" s="17"/>
    </row>
    <row r="301">
      <c r="A301" s="17"/>
      <c r="F301" s="17"/>
    </row>
    <row r="302">
      <c r="A302" s="17"/>
      <c r="F302" s="17"/>
    </row>
    <row r="303">
      <c r="A303" s="17"/>
      <c r="F303" s="17"/>
    </row>
    <row r="304">
      <c r="A304" s="17"/>
      <c r="F304" s="17"/>
    </row>
    <row r="305">
      <c r="A305" s="17"/>
      <c r="F305" s="17"/>
    </row>
    <row r="306">
      <c r="A306" s="17"/>
      <c r="F306" s="17"/>
    </row>
    <row r="307">
      <c r="A307" s="17"/>
      <c r="F307" s="17"/>
    </row>
    <row r="308">
      <c r="A308" s="17"/>
      <c r="F308" s="17"/>
    </row>
    <row r="309">
      <c r="A309" s="17"/>
      <c r="F309" s="17"/>
    </row>
    <row r="310">
      <c r="A310" s="17"/>
      <c r="F310" s="17"/>
    </row>
    <row r="311">
      <c r="A311" s="17"/>
      <c r="F311" s="17"/>
    </row>
    <row r="312">
      <c r="A312" s="17"/>
      <c r="F312" s="17"/>
    </row>
    <row r="313">
      <c r="A313" s="17"/>
      <c r="F313" s="17"/>
    </row>
    <row r="314">
      <c r="A314" s="17"/>
      <c r="F314" s="17"/>
    </row>
    <row r="315">
      <c r="A315" s="17"/>
      <c r="F315" s="17"/>
    </row>
    <row r="316">
      <c r="A316" s="17"/>
      <c r="F316" s="17"/>
    </row>
    <row r="317">
      <c r="A317" s="17"/>
      <c r="F317" s="17"/>
    </row>
    <row r="318">
      <c r="A318" s="17"/>
      <c r="F318" s="17"/>
    </row>
    <row r="319">
      <c r="A319" s="17"/>
      <c r="F319" s="17"/>
    </row>
    <row r="320">
      <c r="A320" s="17"/>
      <c r="F320" s="17"/>
    </row>
    <row r="321">
      <c r="A321" s="17"/>
      <c r="F321" s="17"/>
    </row>
    <row r="322">
      <c r="A322" s="17"/>
      <c r="F322" s="17"/>
    </row>
    <row r="323">
      <c r="A323" s="17"/>
      <c r="F323" s="17"/>
    </row>
    <row r="324">
      <c r="A324" s="17"/>
      <c r="F324" s="17"/>
    </row>
    <row r="325">
      <c r="A325" s="17"/>
      <c r="F325" s="17"/>
    </row>
    <row r="326">
      <c r="A326" s="17"/>
      <c r="F326" s="17"/>
    </row>
    <row r="327">
      <c r="A327" s="17"/>
      <c r="F327" s="17"/>
    </row>
    <row r="328">
      <c r="A328" s="17"/>
      <c r="F328" s="17"/>
    </row>
    <row r="329">
      <c r="A329" s="17"/>
      <c r="F329" s="17"/>
    </row>
    <row r="330">
      <c r="A330" s="17"/>
      <c r="F330" s="17"/>
    </row>
    <row r="331">
      <c r="A331" s="17"/>
      <c r="F331" s="17"/>
    </row>
    <row r="332">
      <c r="A332" s="17"/>
      <c r="F332" s="17"/>
    </row>
    <row r="333">
      <c r="A333" s="17"/>
      <c r="F333" s="17"/>
    </row>
    <row r="334">
      <c r="A334" s="17"/>
      <c r="F334" s="17"/>
    </row>
    <row r="335">
      <c r="A335" s="17"/>
      <c r="F335" s="17"/>
    </row>
    <row r="336">
      <c r="A336" s="17"/>
      <c r="F336" s="17"/>
    </row>
    <row r="337">
      <c r="A337" s="17"/>
      <c r="F337" s="17"/>
    </row>
    <row r="338">
      <c r="A338" s="17"/>
      <c r="F338" s="17"/>
    </row>
    <row r="339">
      <c r="A339" s="17"/>
      <c r="F339" s="17"/>
    </row>
    <row r="340">
      <c r="A340" s="17"/>
      <c r="F340" s="17"/>
    </row>
    <row r="341">
      <c r="A341" s="17"/>
      <c r="F341" s="17"/>
    </row>
    <row r="342">
      <c r="A342" s="17"/>
      <c r="F342" s="17"/>
    </row>
    <row r="343">
      <c r="A343" s="17"/>
      <c r="F343" s="17"/>
    </row>
    <row r="344">
      <c r="A344" s="17"/>
      <c r="F344" s="17"/>
    </row>
    <row r="345">
      <c r="A345" s="17"/>
      <c r="F345" s="17"/>
    </row>
    <row r="346">
      <c r="A346" s="17"/>
      <c r="F346" s="17"/>
    </row>
    <row r="347">
      <c r="A347" s="17"/>
      <c r="F347" s="17"/>
    </row>
    <row r="348">
      <c r="A348" s="17"/>
      <c r="F348" s="17"/>
    </row>
    <row r="349">
      <c r="A349" s="17"/>
      <c r="F349" s="17"/>
    </row>
    <row r="350">
      <c r="A350" s="17"/>
      <c r="F350" s="17"/>
    </row>
    <row r="351">
      <c r="A351" s="17"/>
      <c r="F351" s="17"/>
    </row>
    <row r="352">
      <c r="A352" s="17"/>
      <c r="F352" s="17"/>
    </row>
    <row r="353">
      <c r="A353" s="17"/>
      <c r="F353" s="17"/>
    </row>
    <row r="354">
      <c r="A354" s="17"/>
      <c r="F354" s="17"/>
    </row>
    <row r="355">
      <c r="A355" s="17"/>
      <c r="F355" s="17"/>
    </row>
    <row r="356">
      <c r="A356" s="17"/>
      <c r="F356" s="17"/>
    </row>
    <row r="357">
      <c r="A357" s="17"/>
      <c r="F357" s="17"/>
    </row>
    <row r="358">
      <c r="A358" s="17"/>
      <c r="F358" s="17"/>
    </row>
    <row r="359">
      <c r="A359" s="17"/>
      <c r="F359" s="17"/>
    </row>
    <row r="360">
      <c r="A360" s="17"/>
      <c r="F360" s="17"/>
    </row>
    <row r="361">
      <c r="A361" s="17"/>
      <c r="F361" s="17"/>
    </row>
    <row r="362">
      <c r="A362" s="17"/>
      <c r="F362" s="17"/>
    </row>
    <row r="363">
      <c r="A363" s="17"/>
      <c r="F363" s="17"/>
    </row>
    <row r="364">
      <c r="A364" s="17"/>
      <c r="F364" s="17"/>
    </row>
    <row r="365">
      <c r="A365" s="17"/>
      <c r="F365" s="17"/>
    </row>
    <row r="366">
      <c r="A366" s="17"/>
      <c r="F366" s="17"/>
    </row>
    <row r="367">
      <c r="A367" s="17"/>
      <c r="F367" s="17"/>
    </row>
    <row r="368">
      <c r="A368" s="17"/>
      <c r="F368" s="17"/>
    </row>
    <row r="369">
      <c r="A369" s="17"/>
      <c r="F369" s="17"/>
    </row>
    <row r="370">
      <c r="A370" s="17"/>
      <c r="F370" s="17"/>
    </row>
    <row r="371">
      <c r="A371" s="17"/>
      <c r="F371" s="17"/>
    </row>
    <row r="372">
      <c r="A372" s="17"/>
      <c r="F372" s="17"/>
    </row>
    <row r="373">
      <c r="A373" s="17"/>
      <c r="F373" s="17"/>
    </row>
    <row r="374">
      <c r="A374" s="17"/>
      <c r="F374" s="17"/>
    </row>
    <row r="375">
      <c r="A375" s="17"/>
      <c r="F375" s="17"/>
    </row>
    <row r="376">
      <c r="A376" s="17"/>
      <c r="F376" s="17"/>
    </row>
    <row r="377">
      <c r="A377" s="17"/>
      <c r="F377" s="17"/>
    </row>
    <row r="378">
      <c r="A378" s="17"/>
      <c r="F378" s="17"/>
    </row>
    <row r="379">
      <c r="A379" s="17"/>
      <c r="F379" s="17"/>
    </row>
    <row r="380">
      <c r="A380" s="17"/>
      <c r="F380" s="17"/>
    </row>
    <row r="381">
      <c r="A381" s="17"/>
      <c r="F381" s="17"/>
    </row>
    <row r="382">
      <c r="A382" s="17"/>
      <c r="F382" s="17"/>
    </row>
    <row r="383">
      <c r="A383" s="17"/>
      <c r="F383" s="17"/>
    </row>
    <row r="384">
      <c r="A384" s="17"/>
      <c r="F384" s="17"/>
    </row>
    <row r="385">
      <c r="A385" s="17"/>
      <c r="F385" s="17"/>
    </row>
    <row r="386">
      <c r="A386" s="17"/>
      <c r="F386" s="17"/>
    </row>
    <row r="387">
      <c r="A387" s="17"/>
      <c r="F387" s="17"/>
    </row>
    <row r="388">
      <c r="A388" s="17"/>
      <c r="F388" s="17"/>
    </row>
    <row r="389">
      <c r="A389" s="17"/>
      <c r="F389" s="17"/>
    </row>
    <row r="390">
      <c r="A390" s="17"/>
      <c r="F390" s="17"/>
    </row>
    <row r="391">
      <c r="A391" s="17"/>
      <c r="F391" s="17"/>
    </row>
    <row r="392">
      <c r="A392" s="17"/>
      <c r="F392" s="17"/>
    </row>
    <row r="393">
      <c r="A393" s="17"/>
      <c r="F393" s="17"/>
    </row>
    <row r="394">
      <c r="A394" s="17"/>
      <c r="F394" s="17"/>
    </row>
    <row r="395">
      <c r="A395" s="17"/>
      <c r="F395" s="17"/>
    </row>
    <row r="396">
      <c r="A396" s="17"/>
      <c r="F396" s="17"/>
    </row>
    <row r="397">
      <c r="A397" s="17"/>
      <c r="F397" s="17"/>
    </row>
    <row r="398">
      <c r="A398" s="17"/>
      <c r="F398" s="17"/>
    </row>
    <row r="399">
      <c r="A399" s="17"/>
      <c r="F399" s="17"/>
    </row>
    <row r="400">
      <c r="A400" s="17"/>
      <c r="F400" s="17"/>
    </row>
    <row r="401">
      <c r="A401" s="17"/>
      <c r="F401" s="17"/>
    </row>
    <row r="402">
      <c r="A402" s="17"/>
      <c r="F402" s="17"/>
    </row>
    <row r="403">
      <c r="A403" s="17"/>
      <c r="F403" s="17"/>
    </row>
    <row r="404">
      <c r="A404" s="17"/>
      <c r="F404" s="17"/>
    </row>
    <row r="405">
      <c r="A405" s="17"/>
      <c r="F405" s="17"/>
    </row>
    <row r="406">
      <c r="A406" s="17"/>
      <c r="F406" s="17"/>
    </row>
    <row r="407">
      <c r="A407" s="17"/>
      <c r="F407" s="17"/>
    </row>
    <row r="408">
      <c r="A408" s="17"/>
      <c r="F408" s="17"/>
    </row>
    <row r="409">
      <c r="A409" s="17"/>
      <c r="F409" s="17"/>
    </row>
    <row r="410">
      <c r="A410" s="17"/>
      <c r="F410" s="17"/>
    </row>
    <row r="411">
      <c r="A411" s="17"/>
      <c r="F411" s="17"/>
    </row>
    <row r="412">
      <c r="A412" s="17"/>
      <c r="F412" s="17"/>
    </row>
    <row r="413">
      <c r="A413" s="17"/>
      <c r="F413" s="17"/>
    </row>
    <row r="414">
      <c r="A414" s="17"/>
      <c r="F414" s="17"/>
    </row>
    <row r="415">
      <c r="A415" s="17"/>
      <c r="F415" s="17"/>
    </row>
    <row r="416">
      <c r="A416" s="17"/>
      <c r="F416" s="17"/>
    </row>
    <row r="417">
      <c r="A417" s="17"/>
      <c r="F417" s="17"/>
    </row>
    <row r="418">
      <c r="A418" s="17"/>
      <c r="F418" s="17"/>
    </row>
    <row r="419">
      <c r="A419" s="17"/>
      <c r="F419" s="17"/>
    </row>
    <row r="420">
      <c r="A420" s="17"/>
      <c r="F420" s="17"/>
    </row>
    <row r="421">
      <c r="A421" s="17"/>
      <c r="F421" s="17"/>
    </row>
    <row r="422">
      <c r="A422" s="17"/>
      <c r="F422" s="17"/>
    </row>
    <row r="423">
      <c r="A423" s="17"/>
      <c r="F423" s="17"/>
    </row>
    <row r="424">
      <c r="A424" s="17"/>
      <c r="F424" s="17"/>
    </row>
    <row r="425">
      <c r="A425" s="17"/>
      <c r="F425" s="17"/>
    </row>
    <row r="426">
      <c r="A426" s="17"/>
      <c r="F426" s="17"/>
    </row>
    <row r="427">
      <c r="A427" s="17"/>
      <c r="F427" s="17"/>
    </row>
    <row r="428">
      <c r="A428" s="17"/>
      <c r="F428" s="17"/>
    </row>
    <row r="429">
      <c r="A429" s="17"/>
      <c r="F429" s="17"/>
    </row>
    <row r="430">
      <c r="A430" s="17"/>
      <c r="F430" s="17"/>
    </row>
    <row r="431">
      <c r="A431" s="17"/>
      <c r="F431" s="17"/>
    </row>
    <row r="432">
      <c r="A432" s="17"/>
      <c r="F432" s="17"/>
    </row>
    <row r="433">
      <c r="A433" s="17"/>
      <c r="F433" s="17"/>
    </row>
    <row r="434">
      <c r="A434" s="17"/>
      <c r="F434" s="17"/>
    </row>
    <row r="435">
      <c r="A435" s="17"/>
      <c r="F435" s="17"/>
    </row>
    <row r="436">
      <c r="A436" s="17"/>
      <c r="F436" s="17"/>
    </row>
    <row r="437">
      <c r="A437" s="17"/>
      <c r="F437" s="17"/>
    </row>
    <row r="438">
      <c r="A438" s="17"/>
      <c r="F438" s="17"/>
    </row>
    <row r="439">
      <c r="A439" s="17"/>
      <c r="F439" s="17"/>
    </row>
    <row r="440">
      <c r="A440" s="17"/>
      <c r="F440" s="17"/>
    </row>
    <row r="441">
      <c r="A441" s="17"/>
      <c r="F441" s="17"/>
    </row>
    <row r="442">
      <c r="A442" s="17"/>
      <c r="F442" s="17"/>
    </row>
    <row r="443">
      <c r="A443" s="17"/>
      <c r="F443" s="17"/>
    </row>
    <row r="444">
      <c r="A444" s="17"/>
      <c r="F444" s="17"/>
    </row>
    <row r="445">
      <c r="A445" s="17"/>
      <c r="F445" s="17"/>
    </row>
    <row r="446">
      <c r="A446" s="17"/>
      <c r="F446" s="17"/>
    </row>
    <row r="447">
      <c r="A447" s="17"/>
      <c r="F447" s="17"/>
    </row>
    <row r="448">
      <c r="A448" s="17"/>
      <c r="F448" s="17"/>
    </row>
    <row r="449">
      <c r="A449" s="17"/>
      <c r="F449" s="17"/>
    </row>
    <row r="450">
      <c r="A450" s="17"/>
      <c r="F450" s="17"/>
    </row>
    <row r="451">
      <c r="A451" s="17"/>
      <c r="F451" s="17"/>
    </row>
    <row r="452">
      <c r="A452" s="17"/>
      <c r="F452" s="17"/>
    </row>
    <row r="453">
      <c r="A453" s="17"/>
      <c r="F453" s="17"/>
    </row>
    <row r="454">
      <c r="A454" s="17"/>
      <c r="F454" s="17"/>
    </row>
    <row r="455">
      <c r="A455" s="17"/>
      <c r="F455" s="17"/>
    </row>
    <row r="456">
      <c r="A456" s="17"/>
      <c r="F456" s="17"/>
    </row>
    <row r="457">
      <c r="A457" s="17"/>
      <c r="F457" s="17"/>
    </row>
    <row r="458">
      <c r="A458" s="17"/>
      <c r="F458" s="17"/>
    </row>
    <row r="459">
      <c r="A459" s="17"/>
      <c r="F459" s="17"/>
    </row>
    <row r="460">
      <c r="A460" s="17"/>
      <c r="F460" s="17"/>
    </row>
    <row r="461">
      <c r="A461" s="17"/>
      <c r="F461" s="17"/>
    </row>
    <row r="462">
      <c r="A462" s="17"/>
      <c r="F462" s="17"/>
    </row>
    <row r="463">
      <c r="A463" s="17"/>
      <c r="F463" s="17"/>
    </row>
    <row r="464">
      <c r="A464" s="17"/>
      <c r="F464" s="17"/>
    </row>
    <row r="465">
      <c r="A465" s="17"/>
      <c r="F465" s="17"/>
    </row>
    <row r="466">
      <c r="A466" s="17"/>
      <c r="F466" s="17"/>
    </row>
    <row r="467">
      <c r="A467" s="17"/>
      <c r="F467" s="17"/>
    </row>
    <row r="468">
      <c r="A468" s="17"/>
      <c r="F468" s="17"/>
    </row>
    <row r="469">
      <c r="A469" s="17"/>
      <c r="F469" s="17"/>
    </row>
    <row r="470">
      <c r="A470" s="17"/>
      <c r="F470" s="17"/>
    </row>
    <row r="471">
      <c r="A471" s="17"/>
      <c r="F471" s="17"/>
    </row>
    <row r="472">
      <c r="A472" s="17"/>
      <c r="F472" s="17"/>
    </row>
    <row r="473">
      <c r="A473" s="17"/>
      <c r="F473" s="17"/>
    </row>
    <row r="474">
      <c r="A474" s="17"/>
      <c r="F474" s="17"/>
    </row>
    <row r="475">
      <c r="A475" s="17"/>
      <c r="F475" s="17"/>
    </row>
    <row r="476">
      <c r="A476" s="17"/>
      <c r="F476" s="17"/>
    </row>
    <row r="477">
      <c r="A477" s="17"/>
      <c r="F477" s="17"/>
    </row>
    <row r="478">
      <c r="A478" s="17"/>
      <c r="F478" s="17"/>
    </row>
    <row r="479">
      <c r="A479" s="17"/>
      <c r="F479" s="17"/>
    </row>
    <row r="480">
      <c r="A480" s="17"/>
      <c r="F480" s="17"/>
    </row>
    <row r="481">
      <c r="A481" s="17"/>
      <c r="F481" s="17"/>
    </row>
    <row r="482">
      <c r="A482" s="17"/>
      <c r="F482" s="17"/>
    </row>
    <row r="483">
      <c r="A483" s="17"/>
      <c r="F483" s="17"/>
    </row>
    <row r="484">
      <c r="A484" s="17"/>
      <c r="F484" s="17"/>
    </row>
    <row r="485">
      <c r="A485" s="17"/>
      <c r="F485" s="17"/>
    </row>
    <row r="486">
      <c r="A486" s="17"/>
      <c r="F486" s="17"/>
    </row>
    <row r="487">
      <c r="A487" s="17"/>
      <c r="F487" s="17"/>
    </row>
    <row r="488">
      <c r="A488" s="17"/>
      <c r="F488" s="17"/>
    </row>
    <row r="489">
      <c r="A489" s="17"/>
      <c r="F489" s="17"/>
    </row>
    <row r="490">
      <c r="A490" s="17"/>
      <c r="F490" s="17"/>
    </row>
    <row r="491">
      <c r="A491" s="17"/>
      <c r="F491" s="17"/>
    </row>
    <row r="492">
      <c r="A492" s="17"/>
      <c r="F492" s="17"/>
    </row>
    <row r="493">
      <c r="A493" s="17"/>
      <c r="F493" s="17"/>
    </row>
    <row r="494">
      <c r="A494" s="17"/>
      <c r="F494" s="17"/>
    </row>
    <row r="495">
      <c r="A495" s="17"/>
      <c r="F495" s="17"/>
    </row>
    <row r="496">
      <c r="A496" s="17"/>
      <c r="F496" s="17"/>
    </row>
    <row r="497">
      <c r="A497" s="17"/>
      <c r="F497" s="17"/>
    </row>
    <row r="498">
      <c r="A498" s="17"/>
      <c r="F498" s="17"/>
    </row>
    <row r="499">
      <c r="A499" s="17"/>
      <c r="F499" s="17"/>
    </row>
    <row r="500">
      <c r="A500" s="17"/>
      <c r="F500" s="17"/>
    </row>
    <row r="501">
      <c r="A501" s="17"/>
      <c r="F501" s="17"/>
    </row>
    <row r="502">
      <c r="A502" s="17"/>
      <c r="F502" s="17"/>
    </row>
    <row r="503">
      <c r="A503" s="17"/>
      <c r="F503" s="17"/>
    </row>
    <row r="504">
      <c r="A504" s="17"/>
      <c r="F504" s="17"/>
    </row>
    <row r="505">
      <c r="A505" s="17"/>
      <c r="F505" s="17"/>
    </row>
    <row r="506">
      <c r="A506" s="17"/>
      <c r="F506" s="17"/>
    </row>
    <row r="507">
      <c r="A507" s="17"/>
      <c r="F507" s="17"/>
    </row>
    <row r="508">
      <c r="A508" s="17"/>
      <c r="F508" s="17"/>
    </row>
    <row r="509">
      <c r="A509" s="17"/>
      <c r="F509" s="17"/>
    </row>
    <row r="510">
      <c r="A510" s="17"/>
      <c r="F510" s="17"/>
    </row>
    <row r="511">
      <c r="A511" s="17"/>
      <c r="F511" s="17"/>
    </row>
    <row r="512">
      <c r="A512" s="17"/>
      <c r="F512" s="17"/>
    </row>
    <row r="513">
      <c r="A513" s="17"/>
      <c r="F513" s="17"/>
    </row>
    <row r="514">
      <c r="A514" s="17"/>
      <c r="F514" s="17"/>
    </row>
    <row r="515">
      <c r="A515" s="17"/>
      <c r="F515" s="17"/>
    </row>
    <row r="516">
      <c r="A516" s="17"/>
      <c r="F516" s="17"/>
    </row>
    <row r="517">
      <c r="A517" s="17"/>
      <c r="F517" s="17"/>
    </row>
    <row r="518">
      <c r="A518" s="17"/>
      <c r="F518" s="17"/>
    </row>
    <row r="519">
      <c r="A519" s="17"/>
      <c r="F519" s="17"/>
    </row>
    <row r="520">
      <c r="A520" s="17"/>
      <c r="F520" s="17"/>
    </row>
    <row r="521">
      <c r="A521" s="17"/>
      <c r="F521" s="17"/>
    </row>
    <row r="522">
      <c r="A522" s="17"/>
      <c r="F522" s="17"/>
    </row>
    <row r="523">
      <c r="A523" s="17"/>
      <c r="F523" s="17"/>
    </row>
    <row r="524">
      <c r="A524" s="17"/>
      <c r="F524" s="17"/>
    </row>
    <row r="525">
      <c r="A525" s="17"/>
      <c r="F525" s="17"/>
    </row>
    <row r="526">
      <c r="A526" s="17"/>
      <c r="F526" s="17"/>
    </row>
    <row r="527">
      <c r="A527" s="17"/>
      <c r="F527" s="17"/>
    </row>
    <row r="528">
      <c r="A528" s="17"/>
      <c r="F528" s="17"/>
    </row>
    <row r="529">
      <c r="A529" s="17"/>
      <c r="F529" s="17"/>
    </row>
    <row r="530">
      <c r="A530" s="17"/>
      <c r="F530" s="17"/>
    </row>
    <row r="531">
      <c r="A531" s="17"/>
      <c r="F531" s="17"/>
    </row>
    <row r="532">
      <c r="A532" s="17"/>
      <c r="F532" s="17"/>
    </row>
    <row r="533">
      <c r="A533" s="17"/>
      <c r="F533" s="17"/>
    </row>
    <row r="534">
      <c r="A534" s="17"/>
      <c r="F534" s="17"/>
    </row>
    <row r="535">
      <c r="A535" s="17"/>
      <c r="F535" s="17"/>
    </row>
    <row r="536">
      <c r="A536" s="17"/>
      <c r="F536" s="17"/>
    </row>
    <row r="537">
      <c r="A537" s="17"/>
      <c r="F537" s="17"/>
    </row>
    <row r="538">
      <c r="A538" s="17"/>
      <c r="F538" s="17"/>
    </row>
    <row r="539">
      <c r="A539" s="17"/>
      <c r="F539" s="17"/>
    </row>
    <row r="540">
      <c r="A540" s="17"/>
      <c r="F540" s="17"/>
    </row>
    <row r="541">
      <c r="A541" s="17"/>
      <c r="F541" s="17"/>
    </row>
    <row r="542">
      <c r="A542" s="17"/>
      <c r="F542" s="17"/>
    </row>
    <row r="543">
      <c r="A543" s="17"/>
      <c r="F543" s="17"/>
    </row>
    <row r="544">
      <c r="A544" s="17"/>
      <c r="F544" s="17"/>
    </row>
    <row r="545">
      <c r="A545" s="17"/>
      <c r="F545" s="17"/>
    </row>
    <row r="546">
      <c r="A546" s="17"/>
      <c r="F546" s="17"/>
    </row>
    <row r="547">
      <c r="A547" s="17"/>
      <c r="F547" s="17"/>
    </row>
    <row r="548">
      <c r="A548" s="17"/>
      <c r="F548" s="17"/>
    </row>
    <row r="549">
      <c r="A549" s="17"/>
      <c r="F549" s="17"/>
    </row>
    <row r="550">
      <c r="A550" s="17"/>
      <c r="F550" s="17"/>
    </row>
    <row r="551">
      <c r="A551" s="17"/>
      <c r="F551" s="17"/>
    </row>
    <row r="552">
      <c r="A552" s="17"/>
      <c r="F552" s="17"/>
    </row>
    <row r="553">
      <c r="A553" s="17"/>
      <c r="F553" s="17"/>
    </row>
    <row r="554">
      <c r="A554" s="17"/>
      <c r="F554" s="17"/>
    </row>
    <row r="555">
      <c r="A555" s="17"/>
      <c r="F555" s="17"/>
    </row>
    <row r="556">
      <c r="A556" s="17"/>
      <c r="F556" s="17"/>
    </row>
    <row r="557">
      <c r="A557" s="17"/>
      <c r="F557" s="17"/>
    </row>
    <row r="558">
      <c r="A558" s="17"/>
      <c r="F558" s="17"/>
    </row>
    <row r="559">
      <c r="A559" s="17"/>
      <c r="F559" s="17"/>
    </row>
    <row r="560">
      <c r="A560" s="17"/>
      <c r="F560" s="17"/>
    </row>
    <row r="561">
      <c r="A561" s="17"/>
      <c r="F561" s="17"/>
    </row>
    <row r="562">
      <c r="A562" s="17"/>
      <c r="F562" s="17"/>
    </row>
    <row r="563">
      <c r="A563" s="17"/>
      <c r="F563" s="17"/>
    </row>
    <row r="564">
      <c r="A564" s="17"/>
      <c r="F564" s="17"/>
    </row>
    <row r="565">
      <c r="A565" s="17"/>
      <c r="F565" s="17"/>
    </row>
    <row r="566">
      <c r="A566" s="17"/>
      <c r="F566" s="17"/>
    </row>
    <row r="567">
      <c r="A567" s="17"/>
      <c r="F567" s="17"/>
    </row>
    <row r="568">
      <c r="A568" s="17"/>
      <c r="F568" s="17"/>
    </row>
    <row r="569">
      <c r="A569" s="17"/>
      <c r="F569" s="17"/>
    </row>
    <row r="570">
      <c r="A570" s="17"/>
      <c r="F570" s="17"/>
    </row>
    <row r="571">
      <c r="A571" s="17"/>
      <c r="F571" s="17"/>
    </row>
    <row r="572">
      <c r="A572" s="17"/>
      <c r="F572" s="17"/>
    </row>
    <row r="573">
      <c r="A573" s="17"/>
      <c r="F573" s="17"/>
    </row>
    <row r="574">
      <c r="A574" s="17"/>
      <c r="F574" s="17"/>
    </row>
    <row r="575">
      <c r="A575" s="17"/>
      <c r="F575" s="17"/>
    </row>
    <row r="576">
      <c r="A576" s="17"/>
      <c r="F576" s="17"/>
    </row>
    <row r="577">
      <c r="A577" s="17"/>
      <c r="F577" s="17"/>
    </row>
    <row r="578">
      <c r="A578" s="17"/>
      <c r="F578" s="17"/>
    </row>
    <row r="579">
      <c r="A579" s="17"/>
      <c r="F579" s="17"/>
    </row>
    <row r="580">
      <c r="A580" s="17"/>
      <c r="F580" s="17"/>
    </row>
    <row r="581">
      <c r="A581" s="17"/>
      <c r="F581" s="17"/>
    </row>
    <row r="582">
      <c r="A582" s="17"/>
      <c r="F582" s="17"/>
    </row>
    <row r="583">
      <c r="A583" s="17"/>
      <c r="F583" s="17"/>
    </row>
    <row r="584">
      <c r="A584" s="17"/>
      <c r="F584" s="17"/>
    </row>
    <row r="585">
      <c r="A585" s="17"/>
      <c r="F585" s="17"/>
    </row>
    <row r="586">
      <c r="A586" s="17"/>
      <c r="F586" s="17"/>
    </row>
    <row r="587">
      <c r="A587" s="17"/>
      <c r="F587" s="17"/>
    </row>
    <row r="588">
      <c r="A588" s="17"/>
      <c r="F588" s="17"/>
    </row>
    <row r="589">
      <c r="A589" s="17"/>
      <c r="F589" s="17"/>
    </row>
    <row r="590">
      <c r="A590" s="17"/>
      <c r="F590" s="17"/>
    </row>
    <row r="591">
      <c r="A591" s="17"/>
      <c r="F591" s="17"/>
    </row>
    <row r="592">
      <c r="A592" s="17"/>
      <c r="F592" s="17"/>
    </row>
    <row r="593">
      <c r="A593" s="17"/>
      <c r="F593" s="17"/>
    </row>
    <row r="594">
      <c r="A594" s="17"/>
      <c r="F594" s="17"/>
    </row>
    <row r="595">
      <c r="A595" s="17"/>
      <c r="F595" s="17"/>
    </row>
    <row r="596">
      <c r="A596" s="17"/>
      <c r="F596" s="17"/>
    </row>
    <row r="597">
      <c r="A597" s="17"/>
      <c r="F597" s="17"/>
    </row>
    <row r="598">
      <c r="A598" s="17"/>
      <c r="F598" s="17"/>
    </row>
    <row r="599">
      <c r="A599" s="17"/>
      <c r="F599" s="17"/>
    </row>
    <row r="600">
      <c r="A600" s="17"/>
      <c r="F600" s="17"/>
    </row>
    <row r="601">
      <c r="A601" s="17"/>
      <c r="F601" s="17"/>
    </row>
    <row r="602">
      <c r="A602" s="17"/>
      <c r="F602" s="17"/>
    </row>
    <row r="603">
      <c r="A603" s="17"/>
      <c r="F603" s="17"/>
    </row>
    <row r="604">
      <c r="A604" s="17"/>
      <c r="F604" s="17"/>
    </row>
    <row r="605">
      <c r="A605" s="17"/>
      <c r="F605" s="17"/>
    </row>
    <row r="606">
      <c r="A606" s="17"/>
      <c r="F606" s="17"/>
    </row>
    <row r="607">
      <c r="A607" s="17"/>
      <c r="F607" s="17"/>
    </row>
    <row r="608">
      <c r="A608" s="17"/>
      <c r="F608" s="17"/>
    </row>
    <row r="609">
      <c r="A609" s="17"/>
      <c r="F609" s="17"/>
    </row>
    <row r="610">
      <c r="A610" s="17"/>
      <c r="F610" s="17"/>
    </row>
    <row r="611">
      <c r="A611" s="17"/>
      <c r="F611" s="17"/>
    </row>
    <row r="612">
      <c r="A612" s="17"/>
      <c r="F612" s="17"/>
    </row>
    <row r="613">
      <c r="A613" s="17"/>
      <c r="F613" s="17"/>
    </row>
    <row r="614">
      <c r="A614" s="17"/>
      <c r="F614" s="17"/>
    </row>
    <row r="615">
      <c r="A615" s="17"/>
      <c r="F615" s="17"/>
    </row>
    <row r="616">
      <c r="A616" s="17"/>
      <c r="F616" s="17"/>
    </row>
    <row r="617">
      <c r="A617" s="17"/>
      <c r="F617" s="17"/>
    </row>
    <row r="618">
      <c r="A618" s="17"/>
      <c r="F618" s="17"/>
    </row>
    <row r="619">
      <c r="A619" s="17"/>
      <c r="F619" s="17"/>
    </row>
    <row r="620">
      <c r="A620" s="17"/>
      <c r="F620" s="17"/>
    </row>
    <row r="621">
      <c r="A621" s="17"/>
      <c r="F621" s="17"/>
    </row>
    <row r="622">
      <c r="A622" s="17"/>
      <c r="F622" s="17"/>
    </row>
    <row r="623">
      <c r="A623" s="17"/>
      <c r="F623" s="17"/>
    </row>
    <row r="624">
      <c r="A624" s="17"/>
      <c r="F624" s="17"/>
    </row>
    <row r="625">
      <c r="A625" s="17"/>
      <c r="F625" s="17"/>
    </row>
    <row r="626">
      <c r="A626" s="17"/>
      <c r="F626" s="17"/>
    </row>
    <row r="627">
      <c r="A627" s="17"/>
      <c r="F627" s="17"/>
    </row>
    <row r="628">
      <c r="A628" s="17"/>
      <c r="F628" s="17"/>
    </row>
    <row r="629">
      <c r="A629" s="17"/>
      <c r="F629" s="17"/>
    </row>
    <row r="630">
      <c r="A630" s="17"/>
      <c r="F630" s="17"/>
    </row>
    <row r="631">
      <c r="A631" s="17"/>
      <c r="F631" s="17"/>
    </row>
    <row r="632">
      <c r="A632" s="17"/>
      <c r="F632" s="17"/>
    </row>
    <row r="633">
      <c r="A633" s="17"/>
      <c r="F633" s="17"/>
    </row>
    <row r="634">
      <c r="A634" s="17"/>
      <c r="F634" s="17"/>
    </row>
    <row r="635">
      <c r="A635" s="17"/>
      <c r="F635" s="17"/>
    </row>
    <row r="636">
      <c r="A636" s="17"/>
      <c r="F636" s="17"/>
    </row>
    <row r="637">
      <c r="A637" s="17"/>
      <c r="F637" s="17"/>
    </row>
    <row r="638">
      <c r="A638" s="17"/>
      <c r="F638" s="17"/>
    </row>
    <row r="639">
      <c r="A639" s="17"/>
      <c r="F639" s="17"/>
    </row>
    <row r="640">
      <c r="A640" s="17"/>
      <c r="F640" s="17"/>
    </row>
    <row r="641">
      <c r="A641" s="17"/>
      <c r="F641" s="17"/>
    </row>
    <row r="642">
      <c r="A642" s="17"/>
      <c r="F642" s="17"/>
    </row>
    <row r="643">
      <c r="A643" s="17"/>
      <c r="F643" s="17"/>
    </row>
    <row r="644">
      <c r="A644" s="17"/>
      <c r="F644" s="17"/>
    </row>
    <row r="645">
      <c r="A645" s="17"/>
      <c r="F645" s="17"/>
    </row>
    <row r="646">
      <c r="A646" s="17"/>
      <c r="F646" s="17"/>
    </row>
    <row r="647">
      <c r="A647" s="17"/>
      <c r="F647" s="17"/>
    </row>
    <row r="648">
      <c r="A648" s="17"/>
      <c r="F648" s="17"/>
    </row>
    <row r="649">
      <c r="A649" s="17"/>
      <c r="F649" s="17"/>
    </row>
    <row r="650">
      <c r="A650" s="17"/>
      <c r="F650" s="17"/>
    </row>
    <row r="651">
      <c r="A651" s="17"/>
      <c r="F651" s="17"/>
    </row>
    <row r="652">
      <c r="A652" s="17"/>
      <c r="F652" s="17"/>
    </row>
    <row r="653">
      <c r="A653" s="17"/>
      <c r="F653" s="17"/>
    </row>
    <row r="654">
      <c r="A654" s="17"/>
      <c r="F654" s="17"/>
    </row>
    <row r="655">
      <c r="A655" s="17"/>
      <c r="F655" s="17"/>
    </row>
    <row r="656">
      <c r="A656" s="17"/>
      <c r="F656" s="17"/>
    </row>
    <row r="657">
      <c r="A657" s="17"/>
      <c r="F657" s="17"/>
    </row>
    <row r="658">
      <c r="A658" s="17"/>
      <c r="F658" s="17"/>
    </row>
    <row r="659">
      <c r="A659" s="17"/>
      <c r="F659" s="17"/>
    </row>
    <row r="660">
      <c r="A660" s="17"/>
      <c r="F660" s="17"/>
    </row>
    <row r="661">
      <c r="A661" s="17"/>
      <c r="F661" s="17"/>
    </row>
    <row r="662">
      <c r="A662" s="17"/>
      <c r="F662" s="17"/>
    </row>
    <row r="663">
      <c r="A663" s="17"/>
      <c r="F663" s="17"/>
    </row>
    <row r="664">
      <c r="A664" s="17"/>
      <c r="F664" s="17"/>
    </row>
    <row r="665">
      <c r="A665" s="17"/>
      <c r="F665" s="17"/>
    </row>
    <row r="666">
      <c r="A666" s="17"/>
      <c r="F666" s="17"/>
    </row>
    <row r="667">
      <c r="A667" s="17"/>
      <c r="F667" s="17"/>
    </row>
    <row r="668">
      <c r="A668" s="17"/>
      <c r="F668" s="17"/>
    </row>
    <row r="669">
      <c r="A669" s="17"/>
      <c r="F669" s="17"/>
    </row>
    <row r="670">
      <c r="A670" s="17"/>
      <c r="F670" s="17"/>
    </row>
    <row r="671">
      <c r="A671" s="17"/>
      <c r="F671" s="17"/>
    </row>
    <row r="672">
      <c r="A672" s="17"/>
      <c r="F672" s="17"/>
    </row>
    <row r="673">
      <c r="A673" s="17"/>
      <c r="F673" s="17"/>
    </row>
    <row r="674">
      <c r="A674" s="17"/>
      <c r="F674" s="17"/>
    </row>
    <row r="675">
      <c r="A675" s="17"/>
      <c r="F675" s="17"/>
    </row>
    <row r="676">
      <c r="A676" s="17"/>
      <c r="F676" s="17"/>
    </row>
    <row r="677">
      <c r="A677" s="17"/>
      <c r="F677" s="17"/>
    </row>
    <row r="678">
      <c r="A678" s="17"/>
      <c r="F678" s="17"/>
    </row>
    <row r="679">
      <c r="A679" s="17"/>
      <c r="F679" s="17"/>
    </row>
    <row r="680">
      <c r="A680" s="17"/>
      <c r="F680" s="17"/>
    </row>
    <row r="681">
      <c r="A681" s="17"/>
      <c r="F681" s="17"/>
    </row>
    <row r="682">
      <c r="A682" s="17"/>
      <c r="F682" s="17"/>
    </row>
    <row r="683">
      <c r="A683" s="17"/>
      <c r="F683" s="17"/>
    </row>
    <row r="684">
      <c r="A684" s="17"/>
      <c r="F684" s="17"/>
    </row>
    <row r="685">
      <c r="A685" s="17"/>
      <c r="F685" s="17"/>
    </row>
    <row r="686">
      <c r="A686" s="17"/>
      <c r="F686" s="17"/>
    </row>
    <row r="687">
      <c r="A687" s="17"/>
      <c r="F687" s="17"/>
    </row>
    <row r="688">
      <c r="A688" s="17"/>
      <c r="F688" s="17"/>
    </row>
    <row r="689">
      <c r="A689" s="17"/>
      <c r="F689" s="17"/>
    </row>
    <row r="690">
      <c r="A690" s="17"/>
      <c r="F690" s="17"/>
    </row>
    <row r="691">
      <c r="A691" s="17"/>
      <c r="F691" s="17"/>
    </row>
    <row r="692">
      <c r="A692" s="17"/>
      <c r="F692" s="17"/>
    </row>
    <row r="693">
      <c r="A693" s="17"/>
      <c r="F693" s="17"/>
    </row>
    <row r="694">
      <c r="A694" s="17"/>
      <c r="F694" s="17"/>
    </row>
    <row r="695">
      <c r="A695" s="17"/>
      <c r="F695" s="17"/>
    </row>
    <row r="696">
      <c r="A696" s="17"/>
      <c r="F696" s="17"/>
    </row>
    <row r="697">
      <c r="A697" s="17"/>
      <c r="F697" s="17"/>
    </row>
    <row r="698">
      <c r="A698" s="17"/>
      <c r="F698" s="17"/>
    </row>
    <row r="699">
      <c r="A699" s="17"/>
      <c r="F699" s="17"/>
    </row>
    <row r="700">
      <c r="A700" s="17"/>
      <c r="F700" s="17"/>
    </row>
    <row r="701">
      <c r="A701" s="17"/>
      <c r="F701" s="17"/>
    </row>
    <row r="702">
      <c r="A702" s="17"/>
      <c r="F702" s="17"/>
    </row>
    <row r="703">
      <c r="A703" s="17"/>
      <c r="F703" s="17"/>
    </row>
    <row r="704">
      <c r="A704" s="17"/>
      <c r="F704" s="17"/>
    </row>
    <row r="705">
      <c r="A705" s="17"/>
      <c r="F705" s="17"/>
    </row>
    <row r="706">
      <c r="A706" s="17"/>
      <c r="F706" s="17"/>
    </row>
    <row r="707">
      <c r="A707" s="17"/>
      <c r="F707" s="17"/>
    </row>
    <row r="708">
      <c r="A708" s="17"/>
      <c r="F708" s="17"/>
    </row>
    <row r="709">
      <c r="A709" s="17"/>
      <c r="F709" s="17"/>
    </row>
    <row r="710">
      <c r="A710" s="17"/>
      <c r="F710" s="17"/>
    </row>
    <row r="711">
      <c r="A711" s="17"/>
      <c r="F711" s="17"/>
    </row>
    <row r="712">
      <c r="A712" s="17"/>
      <c r="F712" s="17"/>
    </row>
    <row r="713">
      <c r="A713" s="17"/>
      <c r="F713" s="17"/>
    </row>
    <row r="714">
      <c r="A714" s="17"/>
      <c r="F714" s="17"/>
    </row>
    <row r="715">
      <c r="A715" s="17"/>
      <c r="F715" s="17"/>
    </row>
    <row r="716">
      <c r="A716" s="17"/>
      <c r="F716" s="17"/>
    </row>
    <row r="717">
      <c r="A717" s="17"/>
      <c r="F717" s="17"/>
    </row>
    <row r="718">
      <c r="A718" s="17"/>
      <c r="F718" s="17"/>
    </row>
    <row r="719">
      <c r="A719" s="17"/>
      <c r="F719" s="17"/>
    </row>
    <row r="720">
      <c r="A720" s="17"/>
      <c r="F720" s="17"/>
    </row>
    <row r="721">
      <c r="A721" s="17"/>
      <c r="F721" s="17"/>
    </row>
    <row r="722">
      <c r="A722" s="17"/>
      <c r="F722" s="17"/>
    </row>
    <row r="723">
      <c r="A723" s="17"/>
      <c r="F723" s="17"/>
    </row>
    <row r="724">
      <c r="A724" s="17"/>
      <c r="F724" s="17"/>
    </row>
    <row r="725">
      <c r="A725" s="17"/>
      <c r="F725" s="17"/>
    </row>
    <row r="726">
      <c r="A726" s="17"/>
      <c r="F726" s="17"/>
    </row>
    <row r="727">
      <c r="A727" s="17"/>
      <c r="F727" s="17"/>
    </row>
    <row r="728">
      <c r="A728" s="17"/>
      <c r="F728" s="17"/>
    </row>
    <row r="729">
      <c r="A729" s="17"/>
      <c r="F729" s="17"/>
    </row>
    <row r="730">
      <c r="A730" s="17"/>
      <c r="F730" s="17"/>
    </row>
    <row r="731">
      <c r="A731" s="17"/>
      <c r="F731" s="17"/>
    </row>
    <row r="732">
      <c r="A732" s="17"/>
      <c r="F732" s="17"/>
    </row>
    <row r="733">
      <c r="A733" s="17"/>
      <c r="F733" s="17"/>
    </row>
    <row r="734">
      <c r="A734" s="17"/>
      <c r="F734" s="17"/>
    </row>
    <row r="735">
      <c r="A735" s="17"/>
      <c r="F735" s="17"/>
    </row>
    <row r="736">
      <c r="A736" s="17"/>
      <c r="F736" s="17"/>
    </row>
    <row r="737">
      <c r="A737" s="17"/>
      <c r="F737" s="17"/>
    </row>
    <row r="738">
      <c r="A738" s="17"/>
      <c r="F738" s="17"/>
    </row>
    <row r="739">
      <c r="A739" s="17"/>
      <c r="F739" s="17"/>
    </row>
    <row r="740">
      <c r="A740" s="17"/>
      <c r="F740" s="17"/>
    </row>
    <row r="741">
      <c r="A741" s="17"/>
      <c r="F741" s="17"/>
    </row>
    <row r="742">
      <c r="A742" s="17"/>
      <c r="F742" s="17"/>
    </row>
    <row r="743">
      <c r="A743" s="17"/>
      <c r="F743" s="17"/>
    </row>
    <row r="744">
      <c r="A744" s="17"/>
      <c r="F744" s="17"/>
    </row>
    <row r="745">
      <c r="A745" s="17"/>
      <c r="F745" s="17"/>
    </row>
    <row r="746">
      <c r="A746" s="17"/>
      <c r="F746" s="17"/>
    </row>
    <row r="747">
      <c r="A747" s="17"/>
      <c r="F747" s="17"/>
    </row>
    <row r="748">
      <c r="A748" s="17"/>
      <c r="F748" s="17"/>
    </row>
    <row r="749">
      <c r="A749" s="17"/>
      <c r="F749" s="17"/>
    </row>
    <row r="750">
      <c r="A750" s="17"/>
      <c r="F750" s="17"/>
    </row>
    <row r="751">
      <c r="A751" s="17"/>
      <c r="F751" s="17"/>
    </row>
    <row r="752">
      <c r="A752" s="17"/>
      <c r="F752" s="17"/>
    </row>
    <row r="753">
      <c r="A753" s="17"/>
      <c r="F753" s="17"/>
    </row>
    <row r="754">
      <c r="A754" s="17"/>
      <c r="F754" s="17"/>
    </row>
    <row r="755">
      <c r="A755" s="17"/>
      <c r="F755" s="17"/>
    </row>
    <row r="756">
      <c r="A756" s="17"/>
      <c r="F756" s="17"/>
    </row>
    <row r="757">
      <c r="A757" s="17"/>
      <c r="F757" s="17"/>
    </row>
    <row r="758">
      <c r="A758" s="17"/>
      <c r="F758" s="17"/>
    </row>
    <row r="759">
      <c r="A759" s="17"/>
      <c r="F759" s="17"/>
    </row>
    <row r="760">
      <c r="A760" s="17"/>
      <c r="F760" s="17"/>
    </row>
    <row r="761">
      <c r="A761" s="17"/>
      <c r="F761" s="17"/>
    </row>
    <row r="762">
      <c r="A762" s="17"/>
      <c r="F762" s="17"/>
    </row>
    <row r="763">
      <c r="A763" s="17"/>
      <c r="F763" s="17"/>
    </row>
    <row r="764">
      <c r="A764" s="17"/>
      <c r="F764" s="17"/>
    </row>
    <row r="765">
      <c r="A765" s="17"/>
      <c r="F765" s="17"/>
    </row>
    <row r="766">
      <c r="A766" s="17"/>
      <c r="F766" s="17"/>
    </row>
    <row r="767">
      <c r="A767" s="17"/>
      <c r="F767" s="17"/>
    </row>
    <row r="768">
      <c r="A768" s="17"/>
      <c r="F768" s="17"/>
    </row>
    <row r="769">
      <c r="A769" s="17"/>
      <c r="F769" s="17"/>
    </row>
    <row r="770">
      <c r="A770" s="17"/>
      <c r="F770" s="17"/>
    </row>
    <row r="771">
      <c r="A771" s="17"/>
      <c r="F771" s="17"/>
    </row>
    <row r="772">
      <c r="A772" s="17"/>
      <c r="F772" s="17"/>
    </row>
    <row r="773">
      <c r="A773" s="17"/>
      <c r="F773" s="17"/>
    </row>
    <row r="774">
      <c r="A774" s="17"/>
      <c r="F774" s="17"/>
    </row>
    <row r="775">
      <c r="A775" s="17"/>
      <c r="F775" s="17"/>
    </row>
    <row r="776">
      <c r="A776" s="17"/>
      <c r="F776" s="17"/>
    </row>
    <row r="777">
      <c r="A777" s="17"/>
      <c r="F777" s="17"/>
    </row>
    <row r="778">
      <c r="A778" s="17"/>
      <c r="F778" s="17"/>
    </row>
    <row r="779">
      <c r="A779" s="17"/>
      <c r="F779" s="17"/>
    </row>
    <row r="780">
      <c r="A780" s="17"/>
      <c r="F780" s="17"/>
    </row>
    <row r="781">
      <c r="A781" s="17"/>
      <c r="F781" s="17"/>
    </row>
    <row r="782">
      <c r="A782" s="17"/>
      <c r="F782" s="17"/>
    </row>
    <row r="783">
      <c r="A783" s="17"/>
      <c r="F783" s="17"/>
    </row>
    <row r="784">
      <c r="A784" s="17"/>
      <c r="F784" s="17"/>
    </row>
    <row r="785">
      <c r="A785" s="17"/>
      <c r="F785" s="17"/>
    </row>
    <row r="786">
      <c r="A786" s="17"/>
      <c r="F786" s="17"/>
    </row>
    <row r="787">
      <c r="A787" s="17"/>
      <c r="F787" s="17"/>
    </row>
    <row r="788">
      <c r="A788" s="17"/>
      <c r="F788" s="17"/>
    </row>
    <row r="789">
      <c r="A789" s="17"/>
      <c r="F789" s="17"/>
    </row>
    <row r="790">
      <c r="A790" s="17"/>
      <c r="F790" s="17"/>
    </row>
    <row r="791">
      <c r="A791" s="17"/>
      <c r="F791" s="17"/>
    </row>
    <row r="792">
      <c r="A792" s="17"/>
      <c r="F792" s="17"/>
    </row>
    <row r="793">
      <c r="A793" s="17"/>
      <c r="F793" s="17"/>
    </row>
    <row r="794">
      <c r="A794" s="17"/>
      <c r="F794" s="17"/>
    </row>
    <row r="795">
      <c r="A795" s="17"/>
      <c r="F795" s="17"/>
    </row>
    <row r="796">
      <c r="A796" s="17"/>
      <c r="F796" s="17"/>
    </row>
    <row r="797">
      <c r="A797" s="17"/>
      <c r="F797" s="17"/>
    </row>
    <row r="798">
      <c r="A798" s="17"/>
      <c r="F798" s="17"/>
    </row>
    <row r="799">
      <c r="A799" s="17"/>
      <c r="F799" s="17"/>
    </row>
    <row r="800">
      <c r="A800" s="17"/>
      <c r="F800" s="17"/>
    </row>
    <row r="801">
      <c r="A801" s="17"/>
      <c r="F801" s="17"/>
    </row>
    <row r="802">
      <c r="A802" s="17"/>
      <c r="F802" s="17"/>
    </row>
    <row r="803">
      <c r="A803" s="17"/>
      <c r="F803" s="17"/>
    </row>
    <row r="804">
      <c r="A804" s="17"/>
      <c r="F804" s="17"/>
    </row>
    <row r="805">
      <c r="A805" s="17"/>
      <c r="F805" s="17"/>
    </row>
    <row r="806">
      <c r="A806" s="17"/>
      <c r="F806" s="17"/>
    </row>
    <row r="807">
      <c r="A807" s="17"/>
      <c r="F807" s="17"/>
    </row>
    <row r="808">
      <c r="A808" s="17"/>
      <c r="F808" s="17"/>
    </row>
    <row r="809">
      <c r="A809" s="17"/>
      <c r="F809" s="17"/>
    </row>
    <row r="810">
      <c r="A810" s="17"/>
      <c r="F810" s="17"/>
    </row>
    <row r="811">
      <c r="A811" s="17"/>
      <c r="F811" s="17"/>
    </row>
    <row r="812">
      <c r="A812" s="17"/>
      <c r="F812" s="17"/>
    </row>
    <row r="813">
      <c r="A813" s="17"/>
      <c r="F813" s="17"/>
    </row>
    <row r="814">
      <c r="A814" s="17"/>
      <c r="F814" s="17"/>
    </row>
    <row r="815">
      <c r="A815" s="17"/>
      <c r="F815" s="17"/>
    </row>
    <row r="816">
      <c r="A816" s="17"/>
      <c r="F816" s="17"/>
    </row>
    <row r="817">
      <c r="A817" s="17"/>
      <c r="F817" s="17"/>
    </row>
    <row r="818">
      <c r="A818" s="17"/>
      <c r="F818" s="17"/>
    </row>
    <row r="819">
      <c r="A819" s="17"/>
      <c r="F819" s="17"/>
    </row>
    <row r="820">
      <c r="A820" s="17"/>
      <c r="F820" s="17"/>
    </row>
    <row r="821">
      <c r="A821" s="17"/>
      <c r="F821" s="17"/>
    </row>
    <row r="822">
      <c r="A822" s="17"/>
      <c r="F822" s="17"/>
    </row>
    <row r="823">
      <c r="A823" s="17"/>
      <c r="F823" s="17"/>
    </row>
    <row r="824">
      <c r="A824" s="17"/>
      <c r="F824" s="17"/>
    </row>
    <row r="825">
      <c r="A825" s="17"/>
      <c r="F825" s="17"/>
    </row>
    <row r="826">
      <c r="A826" s="17"/>
      <c r="F826" s="17"/>
    </row>
    <row r="827">
      <c r="A827" s="17"/>
      <c r="F827" s="17"/>
    </row>
    <row r="828">
      <c r="A828" s="17"/>
      <c r="F828" s="17"/>
    </row>
    <row r="829">
      <c r="A829" s="17"/>
      <c r="F829" s="17"/>
    </row>
    <row r="830">
      <c r="A830" s="17"/>
      <c r="F830" s="17"/>
    </row>
    <row r="831">
      <c r="A831" s="17"/>
      <c r="F831" s="17"/>
    </row>
    <row r="832">
      <c r="A832" s="17"/>
      <c r="F832" s="17"/>
    </row>
    <row r="833">
      <c r="A833" s="17"/>
      <c r="F833" s="17"/>
    </row>
    <row r="834">
      <c r="A834" s="17"/>
      <c r="F834" s="17"/>
    </row>
    <row r="835">
      <c r="A835" s="17"/>
      <c r="F835" s="17"/>
    </row>
    <row r="836">
      <c r="A836" s="17"/>
      <c r="F836" s="17"/>
    </row>
    <row r="837">
      <c r="A837" s="17"/>
      <c r="F837" s="17"/>
    </row>
    <row r="838">
      <c r="A838" s="17"/>
      <c r="F838" s="17"/>
    </row>
    <row r="839">
      <c r="A839" s="17"/>
      <c r="F839" s="17"/>
    </row>
    <row r="840">
      <c r="A840" s="17"/>
      <c r="F840" s="17"/>
    </row>
    <row r="841">
      <c r="A841" s="17"/>
      <c r="F841" s="17"/>
    </row>
    <row r="842">
      <c r="A842" s="17"/>
      <c r="F842" s="17"/>
    </row>
    <row r="843">
      <c r="A843" s="17"/>
      <c r="F843" s="17"/>
    </row>
    <row r="844">
      <c r="A844" s="17"/>
      <c r="F844" s="17"/>
    </row>
    <row r="845">
      <c r="A845" s="17"/>
      <c r="F845" s="17"/>
    </row>
    <row r="846">
      <c r="A846" s="17"/>
      <c r="F846" s="17"/>
    </row>
    <row r="847">
      <c r="A847" s="17"/>
      <c r="F847" s="17"/>
    </row>
    <row r="848">
      <c r="A848" s="17"/>
      <c r="F848" s="17"/>
    </row>
    <row r="849">
      <c r="A849" s="17"/>
      <c r="F849" s="17"/>
    </row>
    <row r="850">
      <c r="A850" s="17"/>
      <c r="F850" s="17"/>
    </row>
    <row r="851">
      <c r="A851" s="17"/>
      <c r="F851" s="17"/>
    </row>
    <row r="852">
      <c r="A852" s="17"/>
      <c r="F852" s="17"/>
    </row>
    <row r="853">
      <c r="A853" s="17"/>
      <c r="F853" s="17"/>
    </row>
    <row r="854">
      <c r="A854" s="17"/>
      <c r="F854" s="17"/>
    </row>
    <row r="855">
      <c r="A855" s="17"/>
      <c r="F855" s="17"/>
    </row>
    <row r="856">
      <c r="A856" s="17"/>
      <c r="F856" s="17"/>
    </row>
    <row r="857">
      <c r="A857" s="17"/>
      <c r="F857" s="17"/>
    </row>
    <row r="858">
      <c r="A858" s="17"/>
      <c r="F858" s="17"/>
    </row>
    <row r="859">
      <c r="A859" s="17"/>
      <c r="F859" s="17"/>
    </row>
    <row r="860">
      <c r="A860" s="17"/>
      <c r="F860" s="17"/>
    </row>
    <row r="861">
      <c r="A861" s="17"/>
      <c r="F861" s="17"/>
    </row>
    <row r="862">
      <c r="A862" s="17"/>
      <c r="F862" s="17"/>
    </row>
    <row r="863">
      <c r="A863" s="17"/>
      <c r="F863" s="17"/>
    </row>
    <row r="864">
      <c r="A864" s="17"/>
      <c r="F864" s="17"/>
    </row>
    <row r="865">
      <c r="A865" s="17"/>
      <c r="F865" s="17"/>
    </row>
    <row r="866">
      <c r="A866" s="17"/>
      <c r="F866" s="17"/>
    </row>
    <row r="867">
      <c r="A867" s="17"/>
      <c r="F867" s="17"/>
    </row>
    <row r="868">
      <c r="A868" s="17"/>
      <c r="F868" s="17"/>
    </row>
    <row r="869">
      <c r="A869" s="17"/>
      <c r="F869" s="17"/>
    </row>
    <row r="870">
      <c r="A870" s="17"/>
      <c r="F870" s="17"/>
    </row>
    <row r="871">
      <c r="A871" s="17"/>
      <c r="F871" s="17"/>
    </row>
    <row r="872">
      <c r="A872" s="17"/>
      <c r="F872" s="17"/>
    </row>
    <row r="873">
      <c r="A873" s="17"/>
      <c r="F873" s="17"/>
    </row>
    <row r="874">
      <c r="A874" s="17"/>
      <c r="F874" s="17"/>
    </row>
    <row r="875">
      <c r="A875" s="17"/>
      <c r="F875" s="17"/>
    </row>
    <row r="876">
      <c r="A876" s="17"/>
      <c r="F876" s="17"/>
    </row>
    <row r="877">
      <c r="A877" s="17"/>
      <c r="F877" s="17"/>
    </row>
    <row r="878">
      <c r="A878" s="17"/>
      <c r="F878" s="17"/>
    </row>
    <row r="879">
      <c r="A879" s="17"/>
      <c r="F879" s="17"/>
    </row>
    <row r="880">
      <c r="A880" s="17"/>
      <c r="F880" s="17"/>
    </row>
    <row r="881">
      <c r="A881" s="17"/>
      <c r="F881" s="17"/>
    </row>
    <row r="882">
      <c r="A882" s="17"/>
      <c r="F882" s="17"/>
    </row>
    <row r="883">
      <c r="A883" s="17"/>
      <c r="F883" s="17"/>
    </row>
    <row r="884">
      <c r="A884" s="17"/>
      <c r="F884" s="17"/>
    </row>
    <row r="885">
      <c r="A885" s="17"/>
      <c r="F885" s="17"/>
    </row>
    <row r="886">
      <c r="A886" s="17"/>
      <c r="F886" s="17"/>
    </row>
    <row r="887">
      <c r="A887" s="17"/>
      <c r="F887" s="17"/>
    </row>
    <row r="888">
      <c r="A888" s="17"/>
      <c r="F888" s="17"/>
    </row>
    <row r="889">
      <c r="A889" s="17"/>
      <c r="F889" s="17"/>
    </row>
    <row r="890">
      <c r="A890" s="17"/>
      <c r="F890" s="17"/>
    </row>
    <row r="891">
      <c r="A891" s="17"/>
      <c r="F891" s="17"/>
    </row>
    <row r="892">
      <c r="A892" s="17"/>
      <c r="F892" s="17"/>
    </row>
    <row r="893">
      <c r="A893" s="17"/>
      <c r="F893" s="17"/>
    </row>
    <row r="894">
      <c r="A894" s="17"/>
      <c r="F894" s="17"/>
    </row>
    <row r="895">
      <c r="A895" s="17"/>
      <c r="F895" s="17"/>
    </row>
    <row r="896">
      <c r="A896" s="17"/>
      <c r="F896" s="17"/>
    </row>
    <row r="897">
      <c r="A897" s="17"/>
      <c r="F897" s="17"/>
    </row>
    <row r="898">
      <c r="A898" s="17"/>
      <c r="F898" s="17"/>
    </row>
    <row r="899">
      <c r="A899" s="17"/>
      <c r="F899" s="17"/>
    </row>
    <row r="900">
      <c r="A900" s="17"/>
      <c r="F900" s="17"/>
    </row>
    <row r="901">
      <c r="A901" s="17"/>
      <c r="F901" s="17"/>
    </row>
    <row r="902">
      <c r="A902" s="17"/>
      <c r="F902" s="17"/>
    </row>
    <row r="903">
      <c r="A903" s="17"/>
      <c r="F903" s="17"/>
    </row>
    <row r="904">
      <c r="A904" s="17"/>
      <c r="F904" s="17"/>
    </row>
    <row r="905">
      <c r="A905" s="17"/>
      <c r="F905" s="17"/>
    </row>
    <row r="906">
      <c r="A906" s="17"/>
      <c r="F906" s="17"/>
    </row>
    <row r="907">
      <c r="A907" s="17"/>
      <c r="F907" s="17"/>
    </row>
    <row r="908">
      <c r="A908" s="17"/>
      <c r="F908" s="17"/>
    </row>
    <row r="909">
      <c r="A909" s="17"/>
      <c r="F909" s="17"/>
    </row>
    <row r="910">
      <c r="A910" s="17"/>
      <c r="F910" s="17"/>
    </row>
    <row r="911">
      <c r="A911" s="17"/>
      <c r="F911" s="17"/>
    </row>
    <row r="912">
      <c r="A912" s="17"/>
      <c r="F912" s="17"/>
    </row>
    <row r="913">
      <c r="A913" s="17"/>
      <c r="F913" s="17"/>
    </row>
    <row r="914">
      <c r="A914" s="17"/>
      <c r="F914" s="17"/>
    </row>
    <row r="915">
      <c r="A915" s="17"/>
      <c r="F915" s="17"/>
    </row>
    <row r="916">
      <c r="A916" s="17"/>
      <c r="F916" s="17"/>
    </row>
    <row r="917">
      <c r="A917" s="17"/>
      <c r="F917" s="17"/>
    </row>
    <row r="918">
      <c r="A918" s="17"/>
      <c r="F918" s="17"/>
    </row>
    <row r="919">
      <c r="A919" s="17"/>
      <c r="F919" s="17"/>
    </row>
    <row r="920">
      <c r="A920" s="17"/>
      <c r="F920" s="17"/>
    </row>
    <row r="921">
      <c r="A921" s="17"/>
      <c r="F921" s="17"/>
    </row>
    <row r="922">
      <c r="A922" s="17"/>
      <c r="F922" s="17"/>
    </row>
    <row r="923">
      <c r="A923" s="17"/>
      <c r="F923" s="17"/>
    </row>
    <row r="924">
      <c r="A924" s="17"/>
      <c r="F924" s="17"/>
    </row>
    <row r="925">
      <c r="A925" s="17"/>
      <c r="F925" s="17"/>
    </row>
    <row r="926">
      <c r="A926" s="17"/>
      <c r="F926" s="17"/>
    </row>
    <row r="927">
      <c r="A927" s="17"/>
      <c r="F927" s="17"/>
    </row>
    <row r="928">
      <c r="A928" s="17"/>
      <c r="F928" s="17"/>
    </row>
    <row r="929">
      <c r="A929" s="17"/>
      <c r="F929" s="17"/>
    </row>
    <row r="930">
      <c r="A930" s="17"/>
      <c r="F930" s="17"/>
    </row>
    <row r="931">
      <c r="A931" s="17"/>
      <c r="F931" s="17"/>
    </row>
    <row r="932">
      <c r="A932" s="17"/>
      <c r="F932" s="17"/>
    </row>
    <row r="933">
      <c r="A933" s="17"/>
      <c r="F933" s="17"/>
    </row>
    <row r="934">
      <c r="A934" s="17"/>
      <c r="F934" s="17"/>
    </row>
    <row r="935">
      <c r="A935" s="17"/>
      <c r="F935" s="17"/>
    </row>
    <row r="936">
      <c r="A936" s="17"/>
      <c r="F936" s="17"/>
    </row>
    <row r="937">
      <c r="A937" s="17"/>
      <c r="F937" s="17"/>
    </row>
    <row r="938">
      <c r="A938" s="17"/>
      <c r="F938" s="17"/>
    </row>
    <row r="939">
      <c r="A939" s="17"/>
      <c r="F939" s="17"/>
    </row>
    <row r="940">
      <c r="A940" s="17"/>
      <c r="F940" s="17"/>
    </row>
    <row r="941">
      <c r="A941" s="17"/>
      <c r="F941" s="17"/>
    </row>
    <row r="942">
      <c r="A942" s="17"/>
      <c r="F942" s="17"/>
    </row>
    <row r="943">
      <c r="A943" s="17"/>
      <c r="F943" s="17"/>
    </row>
    <row r="944">
      <c r="A944" s="17"/>
      <c r="F944" s="17"/>
    </row>
    <row r="945">
      <c r="A945" s="17"/>
      <c r="F945" s="17"/>
    </row>
    <row r="946">
      <c r="A946" s="17"/>
      <c r="F946" s="17"/>
    </row>
    <row r="947">
      <c r="A947" s="17"/>
      <c r="F947" s="17"/>
    </row>
    <row r="948">
      <c r="A948" s="17"/>
      <c r="F948" s="17"/>
    </row>
    <row r="949">
      <c r="A949" s="17"/>
      <c r="F949" s="17"/>
    </row>
    <row r="950">
      <c r="A950" s="17"/>
      <c r="F950" s="17"/>
    </row>
    <row r="951">
      <c r="A951" s="17"/>
      <c r="F951" s="17"/>
    </row>
    <row r="952">
      <c r="A952" s="17"/>
      <c r="F952" s="17"/>
    </row>
    <row r="953">
      <c r="A953" s="17"/>
      <c r="F953" s="17"/>
    </row>
    <row r="954">
      <c r="A954" s="17"/>
      <c r="F954" s="17"/>
    </row>
    <row r="955">
      <c r="A955" s="17"/>
      <c r="F955" s="17"/>
    </row>
    <row r="956">
      <c r="A956" s="17"/>
      <c r="F956" s="17"/>
    </row>
    <row r="957">
      <c r="A957" s="17"/>
      <c r="F957" s="17"/>
    </row>
    <row r="958">
      <c r="A958" s="17"/>
      <c r="F958" s="17"/>
    </row>
    <row r="959">
      <c r="A959" s="17"/>
      <c r="F959" s="17"/>
    </row>
    <row r="960">
      <c r="A960" s="17"/>
      <c r="F960" s="17"/>
    </row>
    <row r="961">
      <c r="A961" s="17"/>
      <c r="F961" s="17"/>
    </row>
    <row r="962">
      <c r="A962" s="17"/>
      <c r="F962" s="17"/>
    </row>
    <row r="963">
      <c r="A963" s="17"/>
      <c r="F963" s="17"/>
    </row>
    <row r="964">
      <c r="A964" s="17"/>
      <c r="F964" s="17"/>
    </row>
    <row r="965">
      <c r="A965" s="17"/>
      <c r="F965" s="17"/>
    </row>
    <row r="966">
      <c r="A966" s="17"/>
      <c r="F966" s="17"/>
    </row>
    <row r="967">
      <c r="A967" s="17"/>
      <c r="F967" s="17"/>
    </row>
    <row r="968">
      <c r="A968" s="17"/>
      <c r="F968" s="17"/>
    </row>
    <row r="969">
      <c r="A969" s="17"/>
      <c r="F969" s="17"/>
    </row>
    <row r="970">
      <c r="A970" s="17"/>
      <c r="F970" s="17"/>
    </row>
    <row r="971">
      <c r="A971" s="17"/>
      <c r="F971" s="17"/>
    </row>
    <row r="972">
      <c r="A972" s="17"/>
      <c r="F972" s="17"/>
    </row>
    <row r="973">
      <c r="A973" s="17"/>
      <c r="F973" s="17"/>
    </row>
    <row r="974">
      <c r="A974" s="17"/>
      <c r="F974" s="17"/>
    </row>
    <row r="975">
      <c r="A975" s="17"/>
      <c r="F975" s="17"/>
    </row>
    <row r="976">
      <c r="A976" s="17"/>
      <c r="F976" s="17"/>
    </row>
    <row r="977">
      <c r="A977" s="17"/>
      <c r="F977" s="17"/>
    </row>
    <row r="978">
      <c r="A978" s="17"/>
      <c r="F978" s="17"/>
    </row>
    <row r="979">
      <c r="A979" s="17"/>
      <c r="F979" s="17"/>
    </row>
    <row r="980">
      <c r="A980" s="17"/>
      <c r="F980" s="17"/>
    </row>
    <row r="981">
      <c r="A981" s="17"/>
      <c r="F981" s="17"/>
    </row>
    <row r="982">
      <c r="A982" s="17"/>
      <c r="F982" s="17"/>
    </row>
    <row r="983">
      <c r="A983" s="17"/>
      <c r="F983" s="17"/>
    </row>
    <row r="984">
      <c r="A984" s="17"/>
      <c r="F984" s="1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0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">
        <v>0.0</v>
      </c>
      <c r="B2" s="5">
        <f t="array" ref="B2:G8">if(B1:G1*H2:H8&gt;A2:A8*B9:G9,B1:G1*H2:H8,A2:A8*B9:G9)</f>
        <v>0</v>
      </c>
      <c r="C2" s="5">
        <v>6.0</v>
      </c>
      <c r="D2" s="5">
        <v>12.0</v>
      </c>
      <c r="E2" s="5">
        <v>18.0</v>
      </c>
      <c r="F2" s="5">
        <v>24.0</v>
      </c>
      <c r="G2" s="5">
        <v>30.0</v>
      </c>
      <c r="H2" s="17">
        <f t="array" ref="H2:H8">6-A2:A8</f>
        <v>6</v>
      </c>
    </row>
    <row r="3">
      <c r="A3" s="2">
        <v>1.0</v>
      </c>
      <c r="B3" s="5">
        <v>5.0</v>
      </c>
      <c r="C3" s="5">
        <v>5.0</v>
      </c>
      <c r="D3" s="5">
        <v>10.0</v>
      </c>
      <c r="E3" s="5">
        <v>15.0</v>
      </c>
      <c r="F3" s="5">
        <v>20.0</v>
      </c>
      <c r="G3" s="5">
        <v>25.0</v>
      </c>
      <c r="H3" s="17">
        <v>5.0</v>
      </c>
    </row>
    <row r="4">
      <c r="A4" s="2">
        <v>2.0</v>
      </c>
      <c r="B4" s="5">
        <v>10.0</v>
      </c>
      <c r="C4" s="5">
        <v>8.0</v>
      </c>
      <c r="D4" s="5">
        <v>8.0</v>
      </c>
      <c r="E4" s="15">
        <v>12.0</v>
      </c>
      <c r="F4" s="5">
        <v>16.0</v>
      </c>
      <c r="G4" s="5">
        <v>20.0</v>
      </c>
      <c r="H4" s="17">
        <v>4.0</v>
      </c>
    </row>
    <row r="5">
      <c r="A5" s="2">
        <v>3.0</v>
      </c>
      <c r="B5" s="5">
        <v>15.0</v>
      </c>
      <c r="C5" s="5">
        <v>12.0</v>
      </c>
      <c r="D5" s="5">
        <v>9.0</v>
      </c>
      <c r="E5" s="5">
        <v>9.0</v>
      </c>
      <c r="F5" s="5">
        <v>12.0</v>
      </c>
      <c r="G5" s="5">
        <v>15.0</v>
      </c>
      <c r="H5" s="17">
        <v>3.0</v>
      </c>
    </row>
    <row r="6">
      <c r="A6" s="2">
        <v>4.0</v>
      </c>
      <c r="B6" s="5">
        <v>20.0</v>
      </c>
      <c r="C6" s="5">
        <v>16.0</v>
      </c>
      <c r="D6" s="15">
        <v>12.0</v>
      </c>
      <c r="E6" s="5">
        <v>8.0</v>
      </c>
      <c r="F6" s="5">
        <v>8.0</v>
      </c>
      <c r="G6" s="5">
        <v>10.0</v>
      </c>
      <c r="H6" s="17">
        <v>2.0</v>
      </c>
    </row>
    <row r="7">
      <c r="A7" s="2">
        <v>5.0</v>
      </c>
      <c r="B7" s="5">
        <v>25.0</v>
      </c>
      <c r="C7" s="5">
        <v>20.0</v>
      </c>
      <c r="D7" s="5">
        <v>15.0</v>
      </c>
      <c r="E7" s="5">
        <v>10.0</v>
      </c>
      <c r="F7" s="5">
        <v>5.0</v>
      </c>
      <c r="G7" s="5">
        <v>5.0</v>
      </c>
      <c r="H7" s="17">
        <v>1.0</v>
      </c>
    </row>
    <row r="8">
      <c r="A8" s="2">
        <v>6.0</v>
      </c>
      <c r="B8" s="5">
        <v>30.0</v>
      </c>
      <c r="C8" s="5">
        <v>24.0</v>
      </c>
      <c r="D8" s="5">
        <v>18.0</v>
      </c>
      <c r="E8" s="5">
        <v>12.0</v>
      </c>
      <c r="F8" s="5">
        <v>6.0</v>
      </c>
      <c r="G8" s="5">
        <v>0.0</v>
      </c>
      <c r="H8" s="17">
        <v>0.0</v>
      </c>
    </row>
    <row r="9">
      <c r="A9" s="17"/>
      <c r="B9" s="17">
        <f t="array" ref="B9:G9">5-B1:G1</f>
        <v>5</v>
      </c>
      <c r="C9" s="17">
        <v>4.0</v>
      </c>
      <c r="D9" s="17">
        <v>3.0</v>
      </c>
      <c r="E9" s="17">
        <v>2.0</v>
      </c>
      <c r="F9" s="17">
        <v>1.0</v>
      </c>
      <c r="G9" s="17">
        <v>0.0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H10" s="17"/>
    </row>
    <row r="11">
      <c r="A11" s="17"/>
      <c r="B11" s="2">
        <v>0.0</v>
      </c>
      <c r="C11" s="2">
        <v>1.0</v>
      </c>
      <c r="D11" s="2">
        <v>2.0</v>
      </c>
      <c r="E11" s="2">
        <v>3.0</v>
      </c>
      <c r="F11" s="2">
        <v>4.0</v>
      </c>
      <c r="G11" s="2">
        <v>5.0</v>
      </c>
      <c r="H11" s="17"/>
    </row>
    <row r="12">
      <c r="A12" s="2">
        <v>0.0</v>
      </c>
      <c r="B12" s="5">
        <f t="array" ref="B12:G18">abs(B11:G11*H12:H18-A12:A18*B19:G19)</f>
        <v>0</v>
      </c>
      <c r="C12" s="5">
        <v>6.0</v>
      </c>
      <c r="D12" s="5">
        <v>12.0</v>
      </c>
      <c r="E12" s="5">
        <v>18.0</v>
      </c>
      <c r="F12" s="5">
        <v>24.0</v>
      </c>
      <c r="G12" s="5">
        <v>30.0</v>
      </c>
      <c r="H12" s="17">
        <f t="array" ref="H12:H18">6-A12:A18</f>
        <v>6</v>
      </c>
    </row>
    <row r="13">
      <c r="A13" s="2">
        <v>1.0</v>
      </c>
      <c r="B13" s="5">
        <v>5.0</v>
      </c>
      <c r="C13" s="5">
        <v>1.0</v>
      </c>
      <c r="D13" s="5">
        <v>7.0</v>
      </c>
      <c r="E13" s="5">
        <v>13.0</v>
      </c>
      <c r="F13" s="5">
        <v>19.0</v>
      </c>
      <c r="G13" s="5">
        <v>25.0</v>
      </c>
      <c r="H13" s="17">
        <v>5.0</v>
      </c>
    </row>
    <row r="14">
      <c r="A14" s="2">
        <v>2.0</v>
      </c>
      <c r="B14" s="5">
        <v>10.0</v>
      </c>
      <c r="C14" s="5">
        <v>4.0</v>
      </c>
      <c r="D14" s="5">
        <v>2.0</v>
      </c>
      <c r="E14" s="15">
        <v>8.0</v>
      </c>
      <c r="F14" s="5">
        <v>14.0</v>
      </c>
      <c r="G14" s="5">
        <v>20.0</v>
      </c>
      <c r="H14" s="17">
        <v>4.0</v>
      </c>
    </row>
    <row r="15">
      <c r="A15" s="2">
        <v>3.0</v>
      </c>
      <c r="B15" s="5">
        <v>15.0</v>
      </c>
      <c r="C15" s="5">
        <v>9.0</v>
      </c>
      <c r="D15" s="5">
        <v>3.0</v>
      </c>
      <c r="E15" s="5">
        <v>3.0</v>
      </c>
      <c r="F15" s="5">
        <v>9.0</v>
      </c>
      <c r="G15" s="5">
        <v>15.0</v>
      </c>
      <c r="H15" s="17">
        <v>3.0</v>
      </c>
    </row>
    <row r="16">
      <c r="A16" s="2">
        <v>4.0</v>
      </c>
      <c r="B16" s="5">
        <v>20.0</v>
      </c>
      <c r="C16" s="5">
        <v>14.0</v>
      </c>
      <c r="D16" s="15">
        <v>8.0</v>
      </c>
      <c r="E16" s="5">
        <v>2.0</v>
      </c>
      <c r="F16" s="5">
        <v>4.0</v>
      </c>
      <c r="G16" s="5">
        <v>10.0</v>
      </c>
      <c r="H16" s="17">
        <v>2.0</v>
      </c>
    </row>
    <row r="17">
      <c r="A17" s="2">
        <v>5.0</v>
      </c>
      <c r="B17" s="5">
        <v>25.0</v>
      </c>
      <c r="C17" s="5">
        <v>19.0</v>
      </c>
      <c r="D17" s="5">
        <v>13.0</v>
      </c>
      <c r="E17" s="5">
        <v>7.0</v>
      </c>
      <c r="F17" s="5">
        <v>1.0</v>
      </c>
      <c r="G17" s="5">
        <v>5.0</v>
      </c>
      <c r="H17" s="17">
        <v>1.0</v>
      </c>
    </row>
    <row r="18">
      <c r="A18" s="2">
        <v>6.0</v>
      </c>
      <c r="B18" s="5">
        <v>30.0</v>
      </c>
      <c r="C18" s="5">
        <v>24.0</v>
      </c>
      <c r="D18" s="5">
        <v>18.0</v>
      </c>
      <c r="E18" s="5">
        <v>12.0</v>
      </c>
      <c r="F18" s="5">
        <v>6.0</v>
      </c>
      <c r="G18" s="5">
        <v>0.0</v>
      </c>
      <c r="H18" s="17">
        <v>0.0</v>
      </c>
    </row>
    <row r="19">
      <c r="A19" s="17"/>
      <c r="B19" s="17">
        <f t="array" ref="B19:G19">5-B11:G11</f>
        <v>5</v>
      </c>
      <c r="C19" s="17">
        <v>4.0</v>
      </c>
      <c r="D19" s="17">
        <v>3.0</v>
      </c>
      <c r="E19" s="17">
        <v>2.0</v>
      </c>
      <c r="F19" s="17">
        <v>1.0</v>
      </c>
      <c r="G19" s="17">
        <v>0.0</v>
      </c>
      <c r="H19" s="17"/>
    </row>
    <row r="20">
      <c r="A20" s="17"/>
      <c r="H20" s="17"/>
    </row>
    <row r="21">
      <c r="A21" s="17"/>
      <c r="H21" s="17"/>
    </row>
    <row r="22">
      <c r="A22" s="17"/>
      <c r="H22" s="17"/>
    </row>
    <row r="23">
      <c r="A23" s="17"/>
      <c r="H23" s="17"/>
    </row>
    <row r="24">
      <c r="A24" s="17"/>
      <c r="H24" s="17"/>
    </row>
    <row r="25">
      <c r="A25" s="17"/>
      <c r="H25" s="17"/>
    </row>
    <row r="26">
      <c r="A26" s="17"/>
      <c r="H26" s="17"/>
    </row>
    <row r="27">
      <c r="A27" s="17"/>
      <c r="H27" s="17"/>
    </row>
    <row r="28">
      <c r="A28" s="17"/>
      <c r="H28" s="17"/>
    </row>
    <row r="29">
      <c r="A29" s="17"/>
      <c r="H29" s="17"/>
    </row>
    <row r="30">
      <c r="A30" s="17"/>
      <c r="H30" s="17"/>
    </row>
    <row r="31">
      <c r="A31" s="17"/>
      <c r="H31" s="17"/>
    </row>
    <row r="32">
      <c r="A32" s="17"/>
      <c r="H32" s="17"/>
    </row>
    <row r="33">
      <c r="A33" s="17"/>
      <c r="H33" s="17"/>
    </row>
    <row r="34">
      <c r="A34" s="17"/>
      <c r="H34" s="17"/>
    </row>
    <row r="35">
      <c r="A35" s="17"/>
      <c r="H35" s="17"/>
    </row>
    <row r="36">
      <c r="A36" s="17"/>
      <c r="H36" s="17"/>
    </row>
    <row r="37">
      <c r="A37" s="17"/>
      <c r="H37" s="17"/>
    </row>
    <row r="38">
      <c r="A38" s="17"/>
      <c r="H38" s="17"/>
    </row>
    <row r="39">
      <c r="A39" s="17"/>
      <c r="H39" s="17"/>
    </row>
    <row r="40">
      <c r="A40" s="17"/>
      <c r="H40" s="17"/>
    </row>
    <row r="41">
      <c r="A41" s="17"/>
      <c r="H41" s="17"/>
    </row>
    <row r="42">
      <c r="A42" s="17"/>
      <c r="H42" s="17"/>
    </row>
    <row r="43">
      <c r="A43" s="17"/>
      <c r="H43" s="17"/>
    </row>
    <row r="44">
      <c r="A44" s="17"/>
      <c r="H44" s="17"/>
    </row>
    <row r="45">
      <c r="A45" s="17"/>
      <c r="H45" s="17"/>
    </row>
    <row r="46">
      <c r="A46" s="17"/>
      <c r="H46" s="17"/>
    </row>
    <row r="47">
      <c r="A47" s="17"/>
      <c r="H47" s="17"/>
    </row>
    <row r="48">
      <c r="A48" s="17"/>
      <c r="H48" s="17"/>
    </row>
    <row r="49">
      <c r="A49" s="17"/>
      <c r="H49" s="17"/>
    </row>
    <row r="50">
      <c r="A50" s="17"/>
      <c r="H50" s="17"/>
    </row>
    <row r="51">
      <c r="A51" s="17"/>
      <c r="H51" s="17"/>
    </row>
    <row r="52">
      <c r="A52" s="17"/>
      <c r="H52" s="17"/>
    </row>
    <row r="53">
      <c r="A53" s="17"/>
      <c r="H53" s="17"/>
    </row>
    <row r="54">
      <c r="A54" s="17"/>
      <c r="H54" s="17"/>
    </row>
    <row r="55">
      <c r="A55" s="17"/>
      <c r="H55" s="17"/>
    </row>
    <row r="56">
      <c r="A56" s="17"/>
      <c r="H56" s="17"/>
    </row>
    <row r="57">
      <c r="A57" s="17"/>
      <c r="H57" s="17"/>
    </row>
    <row r="58">
      <c r="A58" s="17"/>
      <c r="H58" s="17"/>
    </row>
    <row r="59">
      <c r="A59" s="17"/>
      <c r="H59" s="17"/>
    </row>
    <row r="60">
      <c r="A60" s="17"/>
      <c r="H60" s="17"/>
    </row>
    <row r="61">
      <c r="A61" s="17"/>
      <c r="H61" s="17"/>
    </row>
    <row r="62">
      <c r="A62" s="17"/>
      <c r="H62" s="17"/>
    </row>
    <row r="63">
      <c r="A63" s="17"/>
      <c r="H63" s="17"/>
    </row>
    <row r="64">
      <c r="A64" s="17"/>
      <c r="H64" s="17"/>
    </row>
    <row r="65">
      <c r="A65" s="17"/>
      <c r="H65" s="17"/>
    </row>
    <row r="66">
      <c r="A66" s="17"/>
      <c r="H66" s="17"/>
    </row>
    <row r="67">
      <c r="A67" s="17"/>
      <c r="H67" s="17"/>
    </row>
    <row r="68">
      <c r="A68" s="17"/>
      <c r="H68" s="17"/>
    </row>
    <row r="69">
      <c r="A69" s="17"/>
      <c r="H69" s="17"/>
    </row>
    <row r="70">
      <c r="A70" s="17"/>
      <c r="H70" s="17"/>
    </row>
    <row r="71">
      <c r="A71" s="17"/>
      <c r="H71" s="17"/>
    </row>
    <row r="72">
      <c r="A72" s="17"/>
      <c r="H72" s="17"/>
    </row>
    <row r="73">
      <c r="A73" s="17"/>
      <c r="H73" s="17"/>
    </row>
    <row r="74">
      <c r="A74" s="17"/>
      <c r="H74" s="17"/>
    </row>
    <row r="75">
      <c r="A75" s="17"/>
      <c r="H75" s="17"/>
    </row>
    <row r="76">
      <c r="A76" s="17"/>
      <c r="H76" s="17"/>
    </row>
    <row r="77">
      <c r="A77" s="17"/>
      <c r="H77" s="17"/>
    </row>
    <row r="78">
      <c r="A78" s="17"/>
      <c r="H78" s="17"/>
    </row>
    <row r="79">
      <c r="A79" s="17"/>
      <c r="H79" s="17"/>
    </row>
    <row r="80">
      <c r="A80" s="17"/>
      <c r="H80" s="17"/>
    </row>
    <row r="81">
      <c r="A81" s="17"/>
      <c r="H81" s="17"/>
    </row>
    <row r="82">
      <c r="A82" s="17"/>
      <c r="H82" s="17"/>
    </row>
    <row r="83">
      <c r="A83" s="17"/>
      <c r="H83" s="17"/>
    </row>
    <row r="84">
      <c r="A84" s="17"/>
      <c r="H84" s="17"/>
    </row>
    <row r="85">
      <c r="A85" s="17"/>
      <c r="H85" s="17"/>
    </row>
    <row r="86">
      <c r="A86" s="17"/>
      <c r="H86" s="17"/>
    </row>
    <row r="87">
      <c r="A87" s="17"/>
      <c r="H87" s="17"/>
    </row>
    <row r="88">
      <c r="A88" s="17"/>
      <c r="H88" s="17"/>
    </row>
    <row r="89">
      <c r="A89" s="17"/>
      <c r="H89" s="17"/>
    </row>
    <row r="90">
      <c r="A90" s="17"/>
      <c r="H90" s="17"/>
    </row>
    <row r="91">
      <c r="A91" s="17"/>
      <c r="H91" s="17"/>
    </row>
    <row r="92">
      <c r="A92" s="17"/>
      <c r="H92" s="17"/>
    </row>
    <row r="93">
      <c r="A93" s="17"/>
      <c r="H93" s="17"/>
    </row>
    <row r="94">
      <c r="A94" s="17"/>
      <c r="H94" s="17"/>
    </row>
    <row r="95">
      <c r="A95" s="17"/>
      <c r="H95" s="17"/>
    </row>
    <row r="96">
      <c r="A96" s="17"/>
      <c r="H96" s="17"/>
    </row>
    <row r="97">
      <c r="A97" s="17"/>
      <c r="H97" s="17"/>
    </row>
    <row r="98">
      <c r="A98" s="17"/>
      <c r="H98" s="17"/>
    </row>
    <row r="99">
      <c r="A99" s="17"/>
      <c r="H99" s="17"/>
    </row>
    <row r="100">
      <c r="A100" s="17"/>
      <c r="H100" s="17"/>
    </row>
    <row r="101">
      <c r="A101" s="17"/>
      <c r="H101" s="17"/>
    </row>
    <row r="102">
      <c r="A102" s="17"/>
      <c r="H102" s="17"/>
    </row>
    <row r="103">
      <c r="A103" s="17"/>
      <c r="H103" s="17"/>
    </row>
    <row r="104">
      <c r="A104" s="17"/>
      <c r="H104" s="17"/>
    </row>
    <row r="105">
      <c r="A105" s="17"/>
      <c r="H105" s="17"/>
    </row>
    <row r="106">
      <c r="A106" s="17"/>
      <c r="H106" s="17"/>
    </row>
    <row r="107">
      <c r="A107" s="17"/>
      <c r="H107" s="17"/>
    </row>
    <row r="108">
      <c r="A108" s="17"/>
      <c r="H108" s="17"/>
    </row>
    <row r="109">
      <c r="A109" s="17"/>
      <c r="H109" s="17"/>
    </row>
    <row r="110">
      <c r="A110" s="17"/>
      <c r="H110" s="17"/>
    </row>
    <row r="111">
      <c r="A111" s="17"/>
      <c r="H111" s="17"/>
    </row>
    <row r="112">
      <c r="A112" s="17"/>
      <c r="H112" s="17"/>
    </row>
    <row r="113">
      <c r="A113" s="17"/>
      <c r="H113" s="17"/>
    </row>
    <row r="114">
      <c r="A114" s="17"/>
      <c r="H114" s="17"/>
    </row>
    <row r="115">
      <c r="A115" s="17"/>
      <c r="H115" s="17"/>
    </row>
    <row r="116">
      <c r="A116" s="17"/>
      <c r="H116" s="17"/>
    </row>
    <row r="117">
      <c r="A117" s="17"/>
      <c r="H117" s="17"/>
    </row>
    <row r="118">
      <c r="A118" s="17"/>
      <c r="H118" s="17"/>
    </row>
    <row r="119">
      <c r="A119" s="17"/>
      <c r="H119" s="17"/>
    </row>
    <row r="120">
      <c r="A120" s="17"/>
      <c r="H120" s="17"/>
    </row>
    <row r="121">
      <c r="A121" s="17"/>
      <c r="H121" s="17"/>
    </row>
    <row r="122">
      <c r="A122" s="17"/>
      <c r="H122" s="17"/>
    </row>
    <row r="123">
      <c r="A123" s="17"/>
      <c r="H123" s="17"/>
    </row>
    <row r="124">
      <c r="A124" s="17"/>
      <c r="H124" s="17"/>
    </row>
    <row r="125">
      <c r="A125" s="17"/>
      <c r="H125" s="17"/>
    </row>
    <row r="126">
      <c r="A126" s="17"/>
      <c r="H126" s="17"/>
    </row>
    <row r="127">
      <c r="A127" s="17"/>
      <c r="H127" s="17"/>
    </row>
    <row r="128">
      <c r="A128" s="17"/>
      <c r="H128" s="17"/>
    </row>
    <row r="129">
      <c r="A129" s="17"/>
      <c r="H129" s="17"/>
    </row>
    <row r="130">
      <c r="A130" s="17"/>
      <c r="H130" s="17"/>
    </row>
    <row r="131">
      <c r="A131" s="17"/>
      <c r="H131" s="17"/>
    </row>
    <row r="132">
      <c r="A132" s="17"/>
      <c r="H132" s="17"/>
    </row>
    <row r="133">
      <c r="A133" s="17"/>
      <c r="H133" s="17"/>
    </row>
    <row r="134">
      <c r="A134" s="17"/>
      <c r="H134" s="17"/>
    </row>
    <row r="135">
      <c r="A135" s="17"/>
      <c r="H135" s="17"/>
    </row>
    <row r="136">
      <c r="A136" s="17"/>
      <c r="H136" s="17"/>
    </row>
    <row r="137">
      <c r="A137" s="17"/>
      <c r="H137" s="17"/>
    </row>
    <row r="138">
      <c r="A138" s="17"/>
      <c r="H138" s="17"/>
    </row>
    <row r="139">
      <c r="A139" s="17"/>
      <c r="H139" s="17"/>
    </row>
    <row r="140">
      <c r="A140" s="17"/>
      <c r="H140" s="17"/>
    </row>
    <row r="141">
      <c r="A141" s="17"/>
      <c r="H141" s="17"/>
    </row>
    <row r="142">
      <c r="A142" s="17"/>
      <c r="H142" s="17"/>
    </row>
    <row r="143">
      <c r="A143" s="17"/>
      <c r="H143" s="17"/>
    </row>
    <row r="144">
      <c r="A144" s="17"/>
      <c r="H144" s="17"/>
    </row>
    <row r="145">
      <c r="A145" s="17"/>
      <c r="H145" s="17"/>
    </row>
    <row r="146">
      <c r="A146" s="17"/>
      <c r="H146" s="17"/>
    </row>
    <row r="147">
      <c r="A147" s="17"/>
      <c r="H147" s="17"/>
    </row>
    <row r="148">
      <c r="A148" s="17"/>
      <c r="H148" s="17"/>
    </row>
    <row r="149">
      <c r="A149" s="17"/>
      <c r="H149" s="17"/>
    </row>
    <row r="150">
      <c r="A150" s="17"/>
      <c r="H150" s="17"/>
    </row>
    <row r="151">
      <c r="A151" s="17"/>
      <c r="H151" s="17"/>
    </row>
    <row r="152">
      <c r="A152" s="17"/>
      <c r="H152" s="17"/>
    </row>
    <row r="153">
      <c r="A153" s="17"/>
      <c r="H153" s="17"/>
    </row>
    <row r="154">
      <c r="A154" s="17"/>
      <c r="H154" s="17"/>
    </row>
    <row r="155">
      <c r="A155" s="17"/>
      <c r="H155" s="17"/>
    </row>
    <row r="156">
      <c r="A156" s="17"/>
      <c r="H156" s="17"/>
    </row>
    <row r="157">
      <c r="A157" s="17"/>
      <c r="H157" s="17"/>
    </row>
    <row r="158">
      <c r="A158" s="17"/>
      <c r="H158" s="17"/>
    </row>
    <row r="159">
      <c r="A159" s="17"/>
      <c r="H159" s="17"/>
    </row>
    <row r="160">
      <c r="A160" s="17"/>
      <c r="H160" s="17"/>
    </row>
    <row r="161">
      <c r="A161" s="17"/>
      <c r="H161" s="17"/>
    </row>
    <row r="162">
      <c r="A162" s="17"/>
      <c r="H162" s="17"/>
    </row>
    <row r="163">
      <c r="A163" s="17"/>
      <c r="H163" s="17"/>
    </row>
    <row r="164">
      <c r="A164" s="17"/>
      <c r="H164" s="17"/>
    </row>
    <row r="165">
      <c r="A165" s="17"/>
      <c r="H165" s="17"/>
    </row>
    <row r="166">
      <c r="A166" s="17"/>
      <c r="H166" s="17"/>
    </row>
    <row r="167">
      <c r="A167" s="17"/>
      <c r="H167" s="17"/>
    </row>
    <row r="168">
      <c r="A168" s="17"/>
      <c r="H168" s="17"/>
    </row>
    <row r="169">
      <c r="A169" s="17"/>
      <c r="H169" s="17"/>
    </row>
    <row r="170">
      <c r="A170" s="17"/>
      <c r="H170" s="17"/>
    </row>
    <row r="171">
      <c r="A171" s="17"/>
      <c r="H171" s="17"/>
    </row>
    <row r="172">
      <c r="A172" s="17"/>
      <c r="H172" s="17"/>
    </row>
    <row r="173">
      <c r="A173" s="17"/>
      <c r="H173" s="17"/>
    </row>
    <row r="174">
      <c r="A174" s="17"/>
      <c r="H174" s="17"/>
    </row>
    <row r="175">
      <c r="A175" s="17"/>
      <c r="H175" s="17"/>
    </row>
    <row r="176">
      <c r="A176" s="17"/>
      <c r="H176" s="17"/>
    </row>
    <row r="177">
      <c r="A177" s="17"/>
      <c r="H177" s="17"/>
    </row>
    <row r="178">
      <c r="A178" s="17"/>
      <c r="H178" s="17"/>
    </row>
    <row r="179">
      <c r="A179" s="17"/>
      <c r="H179" s="17"/>
    </row>
    <row r="180">
      <c r="A180" s="17"/>
      <c r="H180" s="17"/>
    </row>
    <row r="181">
      <c r="A181" s="17"/>
      <c r="H181" s="17"/>
    </row>
    <row r="182">
      <c r="A182" s="17"/>
      <c r="H182" s="17"/>
    </row>
    <row r="183">
      <c r="A183" s="17"/>
      <c r="H183" s="17"/>
    </row>
    <row r="184">
      <c r="A184" s="17"/>
      <c r="H184" s="17"/>
    </row>
    <row r="185">
      <c r="A185" s="17"/>
      <c r="H185" s="17"/>
    </row>
    <row r="186">
      <c r="A186" s="17"/>
      <c r="H186" s="17"/>
    </row>
    <row r="187">
      <c r="A187" s="17"/>
      <c r="H187" s="17"/>
    </row>
    <row r="188">
      <c r="A188" s="17"/>
      <c r="H188" s="17"/>
    </row>
    <row r="189">
      <c r="A189" s="17"/>
      <c r="H189" s="17"/>
    </row>
    <row r="190">
      <c r="A190" s="17"/>
      <c r="H190" s="17"/>
    </row>
    <row r="191">
      <c r="A191" s="17"/>
      <c r="H191" s="17"/>
    </row>
    <row r="192">
      <c r="A192" s="17"/>
      <c r="H192" s="17"/>
    </row>
    <row r="193">
      <c r="A193" s="17"/>
      <c r="H193" s="17"/>
    </row>
    <row r="194">
      <c r="A194" s="17"/>
      <c r="H194" s="17"/>
    </row>
    <row r="195">
      <c r="A195" s="17"/>
      <c r="H195" s="17"/>
    </row>
    <row r="196">
      <c r="A196" s="17"/>
      <c r="H196" s="17"/>
    </row>
    <row r="197">
      <c r="A197" s="17"/>
      <c r="H197" s="17"/>
    </row>
    <row r="198">
      <c r="A198" s="17"/>
      <c r="H198" s="17"/>
    </row>
    <row r="199">
      <c r="A199" s="17"/>
      <c r="H199" s="17"/>
    </row>
    <row r="200">
      <c r="A200" s="17"/>
      <c r="H200" s="17"/>
    </row>
    <row r="201">
      <c r="A201" s="17"/>
      <c r="H201" s="17"/>
    </row>
    <row r="202">
      <c r="A202" s="17"/>
      <c r="H202" s="17"/>
    </row>
    <row r="203">
      <c r="A203" s="17"/>
      <c r="H203" s="17"/>
    </row>
    <row r="204">
      <c r="A204" s="17"/>
      <c r="H204" s="17"/>
    </row>
    <row r="205">
      <c r="A205" s="17"/>
      <c r="H205" s="17"/>
    </row>
    <row r="206">
      <c r="A206" s="17"/>
      <c r="H206" s="17"/>
    </row>
    <row r="207">
      <c r="A207" s="17"/>
      <c r="H207" s="17"/>
    </row>
    <row r="208">
      <c r="A208" s="17"/>
      <c r="H208" s="17"/>
    </row>
    <row r="209">
      <c r="A209" s="17"/>
      <c r="H209" s="17"/>
    </row>
    <row r="210">
      <c r="A210" s="17"/>
      <c r="H210" s="17"/>
    </row>
    <row r="211">
      <c r="A211" s="17"/>
      <c r="H211" s="17"/>
    </row>
    <row r="212">
      <c r="A212" s="17"/>
      <c r="H212" s="17"/>
    </row>
    <row r="213">
      <c r="A213" s="17"/>
      <c r="H213" s="17"/>
    </row>
    <row r="214">
      <c r="A214" s="17"/>
      <c r="H214" s="17"/>
    </row>
    <row r="215">
      <c r="A215" s="17"/>
      <c r="H215" s="17"/>
    </row>
    <row r="216">
      <c r="A216" s="17"/>
      <c r="H216" s="17"/>
    </row>
    <row r="217">
      <c r="A217" s="17"/>
      <c r="H217" s="17"/>
    </row>
    <row r="218">
      <c r="A218" s="17"/>
      <c r="H218" s="17"/>
    </row>
    <row r="219">
      <c r="A219" s="17"/>
      <c r="H219" s="17"/>
    </row>
    <row r="220">
      <c r="A220" s="17"/>
      <c r="H220" s="17"/>
    </row>
    <row r="221">
      <c r="A221" s="17"/>
      <c r="H221" s="17"/>
    </row>
    <row r="222">
      <c r="A222" s="17"/>
      <c r="H222" s="17"/>
    </row>
    <row r="223">
      <c r="A223" s="17"/>
      <c r="H223" s="17"/>
    </row>
    <row r="224">
      <c r="A224" s="17"/>
      <c r="H224" s="17"/>
    </row>
    <row r="225">
      <c r="A225" s="17"/>
      <c r="H225" s="17"/>
    </row>
    <row r="226">
      <c r="A226" s="17"/>
      <c r="H226" s="17"/>
    </row>
    <row r="227">
      <c r="A227" s="17"/>
      <c r="H227" s="17"/>
    </row>
    <row r="228">
      <c r="A228" s="17"/>
      <c r="H228" s="17"/>
    </row>
    <row r="229">
      <c r="A229" s="17"/>
      <c r="H229" s="17"/>
    </row>
    <row r="230">
      <c r="A230" s="17"/>
      <c r="H230" s="17"/>
    </row>
    <row r="231">
      <c r="A231" s="17"/>
      <c r="H231" s="17"/>
    </row>
    <row r="232">
      <c r="A232" s="17"/>
      <c r="H232" s="17"/>
    </row>
    <row r="233">
      <c r="A233" s="17"/>
      <c r="H233" s="17"/>
    </row>
    <row r="234">
      <c r="A234" s="17"/>
      <c r="H234" s="17"/>
    </row>
    <row r="235">
      <c r="A235" s="17"/>
      <c r="H235" s="17"/>
    </row>
    <row r="236">
      <c r="A236" s="17"/>
      <c r="H236" s="17"/>
    </row>
    <row r="237">
      <c r="A237" s="17"/>
      <c r="H237" s="17"/>
    </row>
    <row r="238">
      <c r="A238" s="17"/>
      <c r="H238" s="17"/>
    </row>
    <row r="239">
      <c r="A239" s="17"/>
      <c r="H239" s="17"/>
    </row>
    <row r="240">
      <c r="A240" s="17"/>
      <c r="H240" s="17"/>
    </row>
    <row r="241">
      <c r="A241" s="17"/>
      <c r="H241" s="17"/>
    </row>
    <row r="242">
      <c r="A242" s="17"/>
      <c r="H242" s="17"/>
    </row>
    <row r="243">
      <c r="A243" s="17"/>
      <c r="H243" s="17"/>
    </row>
    <row r="244">
      <c r="A244" s="17"/>
      <c r="H244" s="17"/>
    </row>
    <row r="245">
      <c r="A245" s="17"/>
      <c r="H245" s="17"/>
    </row>
    <row r="246">
      <c r="A246" s="17"/>
      <c r="H246" s="17"/>
    </row>
    <row r="247">
      <c r="A247" s="17"/>
      <c r="H247" s="17"/>
    </row>
    <row r="248">
      <c r="A248" s="17"/>
      <c r="H248" s="17"/>
    </row>
    <row r="249">
      <c r="A249" s="17"/>
      <c r="H249" s="17"/>
    </row>
    <row r="250">
      <c r="A250" s="17"/>
      <c r="H250" s="17"/>
    </row>
    <row r="251">
      <c r="A251" s="17"/>
      <c r="H251" s="17"/>
    </row>
    <row r="252">
      <c r="A252" s="17"/>
      <c r="H252" s="17"/>
    </row>
    <row r="253">
      <c r="A253" s="17"/>
      <c r="H253" s="17"/>
    </row>
    <row r="254">
      <c r="A254" s="17"/>
      <c r="H254" s="17"/>
    </row>
    <row r="255">
      <c r="A255" s="17"/>
      <c r="H255" s="17"/>
    </row>
    <row r="256">
      <c r="A256" s="17"/>
      <c r="H256" s="17"/>
    </row>
    <row r="257">
      <c r="A257" s="17"/>
      <c r="H257" s="17"/>
    </row>
    <row r="258">
      <c r="A258" s="17"/>
      <c r="H258" s="17"/>
    </row>
    <row r="259">
      <c r="A259" s="17"/>
      <c r="H259" s="17"/>
    </row>
    <row r="260">
      <c r="A260" s="17"/>
      <c r="H260" s="17"/>
    </row>
    <row r="261">
      <c r="A261" s="17"/>
      <c r="H261" s="17"/>
    </row>
    <row r="262">
      <c r="A262" s="17"/>
      <c r="H262" s="17"/>
    </row>
    <row r="263">
      <c r="A263" s="17"/>
      <c r="H263" s="17"/>
    </row>
    <row r="264">
      <c r="A264" s="17"/>
      <c r="H264" s="17"/>
    </row>
    <row r="265">
      <c r="A265" s="17"/>
      <c r="H265" s="17"/>
    </row>
    <row r="266">
      <c r="A266" s="17"/>
      <c r="H266" s="17"/>
    </row>
    <row r="267">
      <c r="A267" s="17"/>
      <c r="H267" s="17"/>
    </row>
    <row r="268">
      <c r="A268" s="17"/>
      <c r="H268" s="17"/>
    </row>
    <row r="269">
      <c r="A269" s="17"/>
      <c r="H269" s="17"/>
    </row>
    <row r="270">
      <c r="A270" s="17"/>
      <c r="H270" s="17"/>
    </row>
    <row r="271">
      <c r="A271" s="17"/>
      <c r="H271" s="17"/>
    </row>
    <row r="272">
      <c r="A272" s="17"/>
      <c r="H272" s="17"/>
    </row>
    <row r="273">
      <c r="A273" s="17"/>
      <c r="H273" s="17"/>
    </row>
    <row r="274">
      <c r="A274" s="17"/>
      <c r="H274" s="17"/>
    </row>
    <row r="275">
      <c r="A275" s="17"/>
      <c r="H275" s="17"/>
    </row>
    <row r="276">
      <c r="A276" s="17"/>
      <c r="H276" s="17"/>
    </row>
    <row r="277">
      <c r="A277" s="17"/>
      <c r="H277" s="17"/>
    </row>
    <row r="278">
      <c r="A278" s="17"/>
      <c r="H278" s="17"/>
    </row>
    <row r="279">
      <c r="A279" s="17"/>
      <c r="H279" s="17"/>
    </row>
    <row r="280">
      <c r="A280" s="17"/>
      <c r="H280" s="17"/>
    </row>
    <row r="281">
      <c r="A281" s="17"/>
      <c r="H281" s="17"/>
    </row>
    <row r="282">
      <c r="A282" s="17"/>
      <c r="H282" s="17"/>
    </row>
    <row r="283">
      <c r="A283" s="17"/>
      <c r="H283" s="17"/>
    </row>
    <row r="284">
      <c r="A284" s="17"/>
      <c r="H284" s="17"/>
    </row>
    <row r="285">
      <c r="A285" s="17"/>
      <c r="H285" s="17"/>
    </row>
    <row r="286">
      <c r="A286" s="17"/>
      <c r="H286" s="17"/>
    </row>
    <row r="287">
      <c r="A287" s="17"/>
      <c r="H287" s="17"/>
    </row>
    <row r="288">
      <c r="A288" s="17"/>
      <c r="H288" s="17"/>
    </row>
    <row r="289">
      <c r="A289" s="17"/>
      <c r="H289" s="17"/>
    </row>
    <row r="290">
      <c r="A290" s="17"/>
      <c r="H290" s="17"/>
    </row>
    <row r="291">
      <c r="A291" s="17"/>
      <c r="H291" s="17"/>
    </row>
    <row r="292">
      <c r="A292" s="17"/>
      <c r="H292" s="17"/>
    </row>
    <row r="293">
      <c r="A293" s="17"/>
      <c r="H293" s="17"/>
    </row>
    <row r="294">
      <c r="A294" s="17"/>
      <c r="H294" s="17"/>
    </row>
    <row r="295">
      <c r="A295" s="17"/>
      <c r="H295" s="17"/>
    </row>
    <row r="296">
      <c r="A296" s="17"/>
      <c r="H296" s="17"/>
    </row>
    <row r="297">
      <c r="A297" s="17"/>
      <c r="H297" s="17"/>
    </row>
    <row r="298">
      <c r="A298" s="17"/>
      <c r="H298" s="17"/>
    </row>
    <row r="299">
      <c r="A299" s="17"/>
      <c r="H299" s="17"/>
    </row>
    <row r="300">
      <c r="A300" s="17"/>
      <c r="H300" s="17"/>
    </row>
    <row r="301">
      <c r="A301" s="17"/>
      <c r="H301" s="17"/>
    </row>
    <row r="302">
      <c r="A302" s="17"/>
      <c r="H302" s="17"/>
    </row>
    <row r="303">
      <c r="A303" s="17"/>
      <c r="H303" s="17"/>
    </row>
    <row r="304">
      <c r="A304" s="17"/>
      <c r="H304" s="17"/>
    </row>
    <row r="305">
      <c r="A305" s="17"/>
      <c r="H305" s="17"/>
    </row>
    <row r="306">
      <c r="A306" s="17"/>
      <c r="H306" s="17"/>
    </row>
    <row r="307">
      <c r="A307" s="17"/>
      <c r="H307" s="17"/>
    </row>
    <row r="308">
      <c r="A308" s="17"/>
      <c r="H308" s="17"/>
    </row>
    <row r="309">
      <c r="A309" s="17"/>
      <c r="H309" s="17"/>
    </row>
    <row r="310">
      <c r="A310" s="17"/>
      <c r="H310" s="17"/>
    </row>
    <row r="311">
      <c r="A311" s="17"/>
      <c r="H311" s="17"/>
    </row>
    <row r="312">
      <c r="A312" s="17"/>
      <c r="H312" s="17"/>
    </row>
    <row r="313">
      <c r="A313" s="17"/>
      <c r="H313" s="17"/>
    </row>
    <row r="314">
      <c r="A314" s="17"/>
      <c r="H314" s="17"/>
    </row>
    <row r="315">
      <c r="A315" s="17"/>
      <c r="H315" s="17"/>
    </row>
    <row r="316">
      <c r="A316" s="17"/>
      <c r="H316" s="17"/>
    </row>
    <row r="317">
      <c r="A317" s="17"/>
      <c r="H317" s="17"/>
    </row>
    <row r="318">
      <c r="A318" s="17"/>
      <c r="H318" s="17"/>
    </row>
    <row r="319">
      <c r="A319" s="17"/>
      <c r="H319" s="17"/>
    </row>
    <row r="320">
      <c r="A320" s="17"/>
      <c r="H320" s="17"/>
    </row>
    <row r="321">
      <c r="A321" s="17"/>
      <c r="H321" s="17"/>
    </row>
    <row r="322">
      <c r="A322" s="17"/>
      <c r="H322" s="17"/>
    </row>
    <row r="323">
      <c r="A323" s="17"/>
      <c r="H323" s="17"/>
    </row>
    <row r="324">
      <c r="A324" s="17"/>
      <c r="H324" s="17"/>
    </row>
    <row r="325">
      <c r="A325" s="17"/>
      <c r="H325" s="17"/>
    </row>
    <row r="326">
      <c r="A326" s="17"/>
      <c r="H326" s="17"/>
    </row>
    <row r="327">
      <c r="A327" s="17"/>
      <c r="H327" s="17"/>
    </row>
    <row r="328">
      <c r="A328" s="17"/>
      <c r="H328" s="17"/>
    </row>
    <row r="329">
      <c r="A329" s="17"/>
      <c r="H329" s="17"/>
    </row>
    <row r="330">
      <c r="A330" s="17"/>
      <c r="H330" s="17"/>
    </row>
    <row r="331">
      <c r="A331" s="17"/>
      <c r="H331" s="17"/>
    </row>
    <row r="332">
      <c r="A332" s="17"/>
      <c r="H332" s="17"/>
    </row>
    <row r="333">
      <c r="A333" s="17"/>
      <c r="H333" s="17"/>
    </row>
    <row r="334">
      <c r="A334" s="17"/>
      <c r="H334" s="17"/>
    </row>
    <row r="335">
      <c r="A335" s="17"/>
      <c r="H335" s="17"/>
    </row>
    <row r="336">
      <c r="A336" s="17"/>
      <c r="H336" s="17"/>
    </row>
    <row r="337">
      <c r="A337" s="17"/>
      <c r="H337" s="17"/>
    </row>
    <row r="338">
      <c r="A338" s="17"/>
      <c r="H338" s="17"/>
    </row>
    <row r="339">
      <c r="A339" s="17"/>
      <c r="H339" s="17"/>
    </row>
    <row r="340">
      <c r="A340" s="17"/>
      <c r="H340" s="17"/>
    </row>
    <row r="341">
      <c r="A341" s="17"/>
      <c r="H341" s="17"/>
    </row>
    <row r="342">
      <c r="A342" s="17"/>
      <c r="H342" s="17"/>
    </row>
    <row r="343">
      <c r="A343" s="17"/>
      <c r="H343" s="17"/>
    </row>
    <row r="344">
      <c r="A344" s="17"/>
      <c r="H344" s="17"/>
    </row>
    <row r="345">
      <c r="A345" s="17"/>
      <c r="H345" s="17"/>
    </row>
    <row r="346">
      <c r="A346" s="17"/>
      <c r="H346" s="17"/>
    </row>
    <row r="347">
      <c r="A347" s="17"/>
      <c r="H347" s="17"/>
    </row>
    <row r="348">
      <c r="A348" s="17"/>
      <c r="H348" s="17"/>
    </row>
    <row r="349">
      <c r="A349" s="17"/>
      <c r="H349" s="17"/>
    </row>
    <row r="350">
      <c r="A350" s="17"/>
      <c r="H350" s="17"/>
    </row>
    <row r="351">
      <c r="A351" s="17"/>
      <c r="H351" s="17"/>
    </row>
    <row r="352">
      <c r="A352" s="17"/>
      <c r="H352" s="17"/>
    </row>
    <row r="353">
      <c r="A353" s="17"/>
      <c r="H353" s="17"/>
    </row>
    <row r="354">
      <c r="A354" s="17"/>
      <c r="H354" s="17"/>
    </row>
    <row r="355">
      <c r="A355" s="17"/>
      <c r="H355" s="17"/>
    </row>
    <row r="356">
      <c r="A356" s="17"/>
      <c r="H356" s="17"/>
    </row>
    <row r="357">
      <c r="A357" s="17"/>
      <c r="H357" s="17"/>
    </row>
    <row r="358">
      <c r="A358" s="17"/>
      <c r="H358" s="17"/>
    </row>
    <row r="359">
      <c r="A359" s="17"/>
      <c r="H359" s="17"/>
    </row>
    <row r="360">
      <c r="A360" s="17"/>
      <c r="H360" s="17"/>
    </row>
    <row r="361">
      <c r="A361" s="17"/>
      <c r="H361" s="17"/>
    </row>
    <row r="362">
      <c r="A362" s="17"/>
      <c r="H362" s="17"/>
    </row>
    <row r="363">
      <c r="A363" s="17"/>
      <c r="H363" s="17"/>
    </row>
    <row r="364">
      <c r="A364" s="17"/>
      <c r="H364" s="17"/>
    </row>
    <row r="365">
      <c r="A365" s="17"/>
      <c r="H365" s="17"/>
    </row>
    <row r="366">
      <c r="A366" s="17"/>
      <c r="H366" s="17"/>
    </row>
    <row r="367">
      <c r="A367" s="17"/>
      <c r="H367" s="17"/>
    </row>
    <row r="368">
      <c r="A368" s="17"/>
      <c r="H368" s="17"/>
    </row>
    <row r="369">
      <c r="A369" s="17"/>
      <c r="H369" s="17"/>
    </row>
    <row r="370">
      <c r="A370" s="17"/>
      <c r="H370" s="17"/>
    </row>
    <row r="371">
      <c r="A371" s="17"/>
      <c r="H371" s="17"/>
    </row>
    <row r="372">
      <c r="A372" s="17"/>
      <c r="H372" s="17"/>
    </row>
    <row r="373">
      <c r="A373" s="17"/>
      <c r="H373" s="17"/>
    </row>
    <row r="374">
      <c r="A374" s="17"/>
      <c r="H374" s="17"/>
    </row>
    <row r="375">
      <c r="A375" s="17"/>
      <c r="H375" s="17"/>
    </row>
    <row r="376">
      <c r="A376" s="17"/>
      <c r="H376" s="17"/>
    </row>
    <row r="377">
      <c r="A377" s="17"/>
      <c r="H377" s="17"/>
    </row>
    <row r="378">
      <c r="A378" s="17"/>
      <c r="H378" s="17"/>
    </row>
    <row r="379">
      <c r="A379" s="17"/>
      <c r="H379" s="17"/>
    </row>
    <row r="380">
      <c r="A380" s="17"/>
      <c r="H380" s="17"/>
    </row>
    <row r="381">
      <c r="A381" s="17"/>
      <c r="H381" s="17"/>
    </row>
    <row r="382">
      <c r="A382" s="17"/>
      <c r="H382" s="17"/>
    </row>
    <row r="383">
      <c r="A383" s="17"/>
      <c r="H383" s="17"/>
    </row>
    <row r="384">
      <c r="A384" s="17"/>
      <c r="H384" s="17"/>
    </row>
    <row r="385">
      <c r="A385" s="17"/>
      <c r="H385" s="17"/>
    </row>
    <row r="386">
      <c r="A386" s="17"/>
      <c r="H386" s="17"/>
    </row>
    <row r="387">
      <c r="A387" s="17"/>
      <c r="H387" s="17"/>
    </row>
    <row r="388">
      <c r="A388" s="17"/>
      <c r="H388" s="17"/>
    </row>
    <row r="389">
      <c r="A389" s="17"/>
      <c r="H389" s="17"/>
    </row>
    <row r="390">
      <c r="A390" s="17"/>
      <c r="H390" s="17"/>
    </row>
    <row r="391">
      <c r="A391" s="17"/>
      <c r="H391" s="17"/>
    </row>
    <row r="392">
      <c r="A392" s="17"/>
      <c r="H392" s="17"/>
    </row>
    <row r="393">
      <c r="A393" s="17"/>
      <c r="H393" s="17"/>
    </row>
    <row r="394">
      <c r="A394" s="17"/>
      <c r="H394" s="17"/>
    </row>
    <row r="395">
      <c r="A395" s="17"/>
      <c r="H395" s="17"/>
    </row>
    <row r="396">
      <c r="A396" s="17"/>
      <c r="H396" s="17"/>
    </row>
    <row r="397">
      <c r="A397" s="17"/>
      <c r="H397" s="17"/>
    </row>
    <row r="398">
      <c r="A398" s="17"/>
      <c r="H398" s="17"/>
    </row>
    <row r="399">
      <c r="A399" s="17"/>
      <c r="H399" s="17"/>
    </row>
    <row r="400">
      <c r="A400" s="17"/>
      <c r="H400" s="17"/>
    </row>
    <row r="401">
      <c r="A401" s="17"/>
      <c r="H401" s="17"/>
    </row>
    <row r="402">
      <c r="A402" s="17"/>
      <c r="H402" s="17"/>
    </row>
    <row r="403">
      <c r="A403" s="17"/>
      <c r="H403" s="17"/>
    </row>
    <row r="404">
      <c r="A404" s="17"/>
      <c r="H404" s="17"/>
    </row>
    <row r="405">
      <c r="A405" s="17"/>
      <c r="H405" s="17"/>
    </row>
    <row r="406">
      <c r="A406" s="17"/>
      <c r="H406" s="17"/>
    </row>
    <row r="407">
      <c r="A407" s="17"/>
      <c r="H407" s="17"/>
    </row>
    <row r="408">
      <c r="A408" s="17"/>
      <c r="H408" s="17"/>
    </row>
    <row r="409">
      <c r="A409" s="17"/>
      <c r="H409" s="17"/>
    </row>
    <row r="410">
      <c r="A410" s="17"/>
      <c r="H410" s="17"/>
    </row>
    <row r="411">
      <c r="A411" s="17"/>
      <c r="H411" s="17"/>
    </row>
    <row r="412">
      <c r="A412" s="17"/>
      <c r="H412" s="17"/>
    </row>
    <row r="413">
      <c r="A413" s="17"/>
      <c r="H413" s="17"/>
    </row>
    <row r="414">
      <c r="A414" s="17"/>
      <c r="H414" s="17"/>
    </row>
    <row r="415">
      <c r="A415" s="17"/>
      <c r="H415" s="17"/>
    </row>
    <row r="416">
      <c r="A416" s="17"/>
      <c r="H416" s="17"/>
    </row>
    <row r="417">
      <c r="A417" s="17"/>
      <c r="H417" s="17"/>
    </row>
    <row r="418">
      <c r="A418" s="17"/>
      <c r="H418" s="17"/>
    </row>
    <row r="419">
      <c r="A419" s="17"/>
      <c r="H419" s="17"/>
    </row>
    <row r="420">
      <c r="A420" s="17"/>
      <c r="H420" s="17"/>
    </row>
    <row r="421">
      <c r="A421" s="17"/>
      <c r="H421" s="17"/>
    </row>
    <row r="422">
      <c r="A422" s="17"/>
      <c r="H422" s="17"/>
    </row>
    <row r="423">
      <c r="A423" s="17"/>
      <c r="H423" s="17"/>
    </row>
    <row r="424">
      <c r="A424" s="17"/>
      <c r="H424" s="17"/>
    </row>
    <row r="425">
      <c r="A425" s="17"/>
      <c r="H425" s="17"/>
    </row>
    <row r="426">
      <c r="A426" s="17"/>
      <c r="H426" s="17"/>
    </row>
    <row r="427">
      <c r="A427" s="17"/>
      <c r="H427" s="17"/>
    </row>
    <row r="428">
      <c r="A428" s="17"/>
      <c r="H428" s="17"/>
    </row>
    <row r="429">
      <c r="A429" s="17"/>
      <c r="H429" s="17"/>
    </row>
    <row r="430">
      <c r="A430" s="17"/>
      <c r="H430" s="17"/>
    </row>
    <row r="431">
      <c r="A431" s="17"/>
      <c r="H431" s="17"/>
    </row>
    <row r="432">
      <c r="A432" s="17"/>
      <c r="H432" s="17"/>
    </row>
    <row r="433">
      <c r="A433" s="17"/>
      <c r="H433" s="17"/>
    </row>
    <row r="434">
      <c r="A434" s="17"/>
      <c r="H434" s="17"/>
    </row>
    <row r="435">
      <c r="A435" s="17"/>
      <c r="H435" s="17"/>
    </row>
    <row r="436">
      <c r="A436" s="17"/>
      <c r="H436" s="17"/>
    </row>
    <row r="437">
      <c r="A437" s="17"/>
      <c r="H437" s="17"/>
    </row>
    <row r="438">
      <c r="A438" s="17"/>
      <c r="H438" s="17"/>
    </row>
    <row r="439">
      <c r="A439" s="17"/>
      <c r="H439" s="17"/>
    </row>
    <row r="440">
      <c r="A440" s="17"/>
      <c r="H440" s="17"/>
    </row>
    <row r="441">
      <c r="A441" s="17"/>
      <c r="H441" s="17"/>
    </row>
    <row r="442">
      <c r="A442" s="17"/>
      <c r="H442" s="17"/>
    </row>
    <row r="443">
      <c r="A443" s="17"/>
      <c r="H443" s="17"/>
    </row>
    <row r="444">
      <c r="A444" s="17"/>
      <c r="H444" s="17"/>
    </row>
    <row r="445">
      <c r="A445" s="17"/>
      <c r="H445" s="17"/>
    </row>
    <row r="446">
      <c r="A446" s="17"/>
      <c r="H446" s="17"/>
    </row>
    <row r="447">
      <c r="A447" s="17"/>
      <c r="H447" s="17"/>
    </row>
    <row r="448">
      <c r="A448" s="17"/>
      <c r="H448" s="17"/>
    </row>
    <row r="449">
      <c r="A449" s="17"/>
      <c r="H449" s="17"/>
    </row>
    <row r="450">
      <c r="A450" s="17"/>
      <c r="H450" s="17"/>
    </row>
    <row r="451">
      <c r="A451" s="17"/>
      <c r="H451" s="17"/>
    </row>
    <row r="452">
      <c r="A452" s="17"/>
      <c r="H452" s="17"/>
    </row>
    <row r="453">
      <c r="A453" s="17"/>
      <c r="H453" s="17"/>
    </row>
    <row r="454">
      <c r="A454" s="17"/>
      <c r="H454" s="17"/>
    </row>
    <row r="455">
      <c r="A455" s="17"/>
      <c r="H455" s="17"/>
    </row>
    <row r="456">
      <c r="A456" s="17"/>
      <c r="H456" s="17"/>
    </row>
    <row r="457">
      <c r="A457" s="17"/>
      <c r="H457" s="17"/>
    </row>
    <row r="458">
      <c r="A458" s="17"/>
      <c r="H458" s="17"/>
    </row>
    <row r="459">
      <c r="A459" s="17"/>
      <c r="H459" s="17"/>
    </row>
    <row r="460">
      <c r="A460" s="17"/>
      <c r="H460" s="17"/>
    </row>
    <row r="461">
      <c r="A461" s="17"/>
      <c r="H461" s="17"/>
    </row>
    <row r="462">
      <c r="A462" s="17"/>
      <c r="H462" s="17"/>
    </row>
    <row r="463">
      <c r="A463" s="17"/>
      <c r="H463" s="17"/>
    </row>
    <row r="464">
      <c r="A464" s="17"/>
      <c r="H464" s="17"/>
    </row>
    <row r="465">
      <c r="A465" s="17"/>
      <c r="H465" s="17"/>
    </row>
    <row r="466">
      <c r="A466" s="17"/>
      <c r="H466" s="17"/>
    </row>
    <row r="467">
      <c r="A467" s="17"/>
      <c r="H467" s="17"/>
    </row>
    <row r="468">
      <c r="A468" s="17"/>
      <c r="H468" s="17"/>
    </row>
    <row r="469">
      <c r="A469" s="17"/>
      <c r="H469" s="17"/>
    </row>
    <row r="470">
      <c r="A470" s="17"/>
      <c r="H470" s="17"/>
    </row>
    <row r="471">
      <c r="A471" s="17"/>
      <c r="H471" s="17"/>
    </row>
    <row r="472">
      <c r="A472" s="17"/>
      <c r="H472" s="17"/>
    </row>
    <row r="473">
      <c r="A473" s="17"/>
      <c r="H473" s="17"/>
    </row>
    <row r="474">
      <c r="A474" s="17"/>
      <c r="H474" s="17"/>
    </row>
    <row r="475">
      <c r="A475" s="17"/>
      <c r="H475" s="17"/>
    </row>
    <row r="476">
      <c r="A476" s="17"/>
      <c r="H476" s="17"/>
    </row>
    <row r="477">
      <c r="A477" s="17"/>
      <c r="H477" s="17"/>
    </row>
    <row r="478">
      <c r="A478" s="17"/>
      <c r="H478" s="17"/>
    </row>
    <row r="479">
      <c r="A479" s="17"/>
      <c r="H479" s="17"/>
    </row>
    <row r="480">
      <c r="A480" s="17"/>
      <c r="H480" s="17"/>
    </row>
    <row r="481">
      <c r="A481" s="17"/>
      <c r="H481" s="17"/>
    </row>
    <row r="482">
      <c r="A482" s="17"/>
      <c r="H482" s="17"/>
    </row>
    <row r="483">
      <c r="A483" s="17"/>
      <c r="H483" s="17"/>
    </row>
    <row r="484">
      <c r="A484" s="17"/>
      <c r="H484" s="17"/>
    </row>
    <row r="485">
      <c r="A485" s="17"/>
      <c r="H485" s="17"/>
    </row>
    <row r="486">
      <c r="A486" s="17"/>
      <c r="H486" s="17"/>
    </row>
    <row r="487">
      <c r="A487" s="17"/>
      <c r="H487" s="17"/>
    </row>
    <row r="488">
      <c r="A488" s="17"/>
      <c r="H488" s="17"/>
    </row>
    <row r="489">
      <c r="A489" s="17"/>
      <c r="H489" s="17"/>
    </row>
    <row r="490">
      <c r="A490" s="17"/>
      <c r="H490" s="17"/>
    </row>
    <row r="491">
      <c r="A491" s="17"/>
      <c r="H491" s="17"/>
    </row>
    <row r="492">
      <c r="A492" s="17"/>
      <c r="H492" s="17"/>
    </row>
    <row r="493">
      <c r="A493" s="17"/>
      <c r="H493" s="17"/>
    </row>
    <row r="494">
      <c r="A494" s="17"/>
      <c r="H494" s="17"/>
    </row>
    <row r="495">
      <c r="A495" s="17"/>
      <c r="H495" s="17"/>
    </row>
    <row r="496">
      <c r="A496" s="17"/>
      <c r="H496" s="17"/>
    </row>
    <row r="497">
      <c r="A497" s="17"/>
      <c r="H497" s="17"/>
    </row>
    <row r="498">
      <c r="A498" s="17"/>
      <c r="H498" s="17"/>
    </row>
    <row r="499">
      <c r="A499" s="17"/>
      <c r="H499" s="17"/>
    </row>
    <row r="500">
      <c r="A500" s="17"/>
      <c r="H500" s="17"/>
    </row>
    <row r="501">
      <c r="A501" s="17"/>
      <c r="H501" s="17"/>
    </row>
    <row r="502">
      <c r="A502" s="17"/>
      <c r="H502" s="17"/>
    </row>
    <row r="503">
      <c r="A503" s="17"/>
      <c r="H503" s="17"/>
    </row>
    <row r="504">
      <c r="A504" s="17"/>
      <c r="H504" s="17"/>
    </row>
    <row r="505">
      <c r="A505" s="17"/>
      <c r="H505" s="17"/>
    </row>
    <row r="506">
      <c r="A506" s="17"/>
      <c r="H506" s="17"/>
    </row>
    <row r="507">
      <c r="A507" s="17"/>
      <c r="H507" s="17"/>
    </row>
    <row r="508">
      <c r="A508" s="17"/>
      <c r="H508" s="17"/>
    </row>
    <row r="509">
      <c r="A509" s="17"/>
      <c r="H509" s="17"/>
    </row>
    <row r="510">
      <c r="A510" s="17"/>
      <c r="H510" s="17"/>
    </row>
    <row r="511">
      <c r="A511" s="17"/>
      <c r="H511" s="17"/>
    </row>
    <row r="512">
      <c r="A512" s="17"/>
      <c r="H512" s="17"/>
    </row>
    <row r="513">
      <c r="A513" s="17"/>
      <c r="H513" s="17"/>
    </row>
    <row r="514">
      <c r="A514" s="17"/>
      <c r="H514" s="17"/>
    </row>
    <row r="515">
      <c r="A515" s="17"/>
      <c r="H515" s="17"/>
    </row>
    <row r="516">
      <c r="A516" s="17"/>
      <c r="H516" s="17"/>
    </row>
    <row r="517">
      <c r="A517" s="17"/>
      <c r="H517" s="17"/>
    </row>
    <row r="518">
      <c r="A518" s="17"/>
      <c r="H518" s="17"/>
    </row>
    <row r="519">
      <c r="A519" s="17"/>
      <c r="H519" s="17"/>
    </row>
    <row r="520">
      <c r="A520" s="17"/>
      <c r="H520" s="17"/>
    </row>
    <row r="521">
      <c r="A521" s="17"/>
      <c r="H521" s="17"/>
    </row>
    <row r="522">
      <c r="A522" s="17"/>
      <c r="H522" s="17"/>
    </row>
    <row r="523">
      <c r="A523" s="17"/>
      <c r="H523" s="17"/>
    </row>
    <row r="524">
      <c r="A524" s="17"/>
      <c r="H524" s="17"/>
    </row>
    <row r="525">
      <c r="A525" s="17"/>
      <c r="H525" s="17"/>
    </row>
    <row r="526">
      <c r="A526" s="17"/>
      <c r="H526" s="17"/>
    </row>
    <row r="527">
      <c r="A527" s="17"/>
      <c r="H527" s="17"/>
    </row>
    <row r="528">
      <c r="A528" s="17"/>
      <c r="H528" s="17"/>
    </row>
    <row r="529">
      <c r="A529" s="17"/>
      <c r="H529" s="17"/>
    </row>
    <row r="530">
      <c r="A530" s="17"/>
      <c r="H530" s="17"/>
    </row>
    <row r="531">
      <c r="A531" s="17"/>
      <c r="H531" s="17"/>
    </row>
    <row r="532">
      <c r="A532" s="17"/>
      <c r="H532" s="17"/>
    </row>
    <row r="533">
      <c r="A533" s="17"/>
      <c r="H533" s="17"/>
    </row>
    <row r="534">
      <c r="A534" s="17"/>
      <c r="H534" s="17"/>
    </row>
    <row r="535">
      <c r="A535" s="17"/>
      <c r="H535" s="17"/>
    </row>
    <row r="536">
      <c r="A536" s="17"/>
      <c r="H536" s="17"/>
    </row>
    <row r="537">
      <c r="A537" s="17"/>
      <c r="H537" s="17"/>
    </row>
    <row r="538">
      <c r="A538" s="17"/>
      <c r="H538" s="17"/>
    </row>
    <row r="539">
      <c r="A539" s="17"/>
      <c r="H539" s="17"/>
    </row>
    <row r="540">
      <c r="A540" s="17"/>
      <c r="H540" s="17"/>
    </row>
    <row r="541">
      <c r="A541" s="17"/>
      <c r="H541" s="17"/>
    </row>
    <row r="542">
      <c r="A542" s="17"/>
      <c r="H542" s="17"/>
    </row>
    <row r="543">
      <c r="A543" s="17"/>
      <c r="H543" s="17"/>
    </row>
    <row r="544">
      <c r="A544" s="17"/>
      <c r="H544" s="17"/>
    </row>
    <row r="545">
      <c r="A545" s="17"/>
      <c r="H545" s="17"/>
    </row>
    <row r="546">
      <c r="A546" s="17"/>
      <c r="H546" s="17"/>
    </row>
    <row r="547">
      <c r="A547" s="17"/>
      <c r="H547" s="17"/>
    </row>
    <row r="548">
      <c r="A548" s="17"/>
      <c r="H548" s="17"/>
    </row>
    <row r="549">
      <c r="A549" s="17"/>
      <c r="H549" s="17"/>
    </row>
    <row r="550">
      <c r="A550" s="17"/>
      <c r="H550" s="17"/>
    </row>
    <row r="551">
      <c r="A551" s="17"/>
      <c r="H551" s="17"/>
    </row>
    <row r="552">
      <c r="A552" s="17"/>
      <c r="H552" s="17"/>
    </row>
    <row r="553">
      <c r="A553" s="17"/>
      <c r="H553" s="17"/>
    </row>
    <row r="554">
      <c r="A554" s="17"/>
      <c r="H554" s="17"/>
    </row>
    <row r="555">
      <c r="A555" s="17"/>
      <c r="H555" s="17"/>
    </row>
    <row r="556">
      <c r="A556" s="17"/>
      <c r="H556" s="17"/>
    </row>
    <row r="557">
      <c r="A557" s="17"/>
      <c r="H557" s="17"/>
    </row>
    <row r="558">
      <c r="A558" s="17"/>
      <c r="H558" s="17"/>
    </row>
    <row r="559">
      <c r="A559" s="17"/>
      <c r="H559" s="17"/>
    </row>
    <row r="560">
      <c r="A560" s="17"/>
      <c r="H560" s="17"/>
    </row>
    <row r="561">
      <c r="A561" s="17"/>
      <c r="H561" s="17"/>
    </row>
    <row r="562">
      <c r="A562" s="17"/>
      <c r="H562" s="17"/>
    </row>
    <row r="563">
      <c r="A563" s="17"/>
      <c r="H563" s="17"/>
    </row>
    <row r="564">
      <c r="A564" s="17"/>
      <c r="H564" s="17"/>
    </row>
    <row r="565">
      <c r="A565" s="17"/>
      <c r="H565" s="17"/>
    </row>
    <row r="566">
      <c r="A566" s="17"/>
      <c r="H566" s="17"/>
    </row>
    <row r="567">
      <c r="A567" s="17"/>
      <c r="H567" s="17"/>
    </row>
    <row r="568">
      <c r="A568" s="17"/>
      <c r="H568" s="17"/>
    </row>
    <row r="569">
      <c r="A569" s="17"/>
      <c r="H569" s="17"/>
    </row>
    <row r="570">
      <c r="A570" s="17"/>
      <c r="H570" s="17"/>
    </row>
    <row r="571">
      <c r="A571" s="17"/>
      <c r="H571" s="17"/>
    </row>
    <row r="572">
      <c r="A572" s="17"/>
      <c r="H572" s="17"/>
    </row>
    <row r="573">
      <c r="A573" s="17"/>
      <c r="H573" s="17"/>
    </row>
    <row r="574">
      <c r="A574" s="17"/>
      <c r="H574" s="17"/>
    </row>
    <row r="575">
      <c r="A575" s="17"/>
      <c r="H575" s="17"/>
    </row>
    <row r="576">
      <c r="A576" s="17"/>
      <c r="H576" s="17"/>
    </row>
    <row r="577">
      <c r="A577" s="17"/>
      <c r="H577" s="17"/>
    </row>
    <row r="578">
      <c r="A578" s="17"/>
      <c r="H578" s="17"/>
    </row>
    <row r="579">
      <c r="A579" s="17"/>
      <c r="H579" s="17"/>
    </row>
    <row r="580">
      <c r="A580" s="17"/>
      <c r="H580" s="17"/>
    </row>
    <row r="581">
      <c r="A581" s="17"/>
      <c r="H581" s="17"/>
    </row>
    <row r="582">
      <c r="A582" s="17"/>
      <c r="H582" s="17"/>
    </row>
    <row r="583">
      <c r="A583" s="17"/>
      <c r="H583" s="17"/>
    </row>
    <row r="584">
      <c r="A584" s="17"/>
      <c r="H584" s="17"/>
    </row>
    <row r="585">
      <c r="A585" s="17"/>
      <c r="H585" s="17"/>
    </row>
    <row r="586">
      <c r="A586" s="17"/>
      <c r="H586" s="17"/>
    </row>
    <row r="587">
      <c r="A587" s="17"/>
      <c r="H587" s="17"/>
    </row>
    <row r="588">
      <c r="A588" s="17"/>
      <c r="H588" s="17"/>
    </row>
    <row r="589">
      <c r="A589" s="17"/>
      <c r="H589" s="17"/>
    </row>
    <row r="590">
      <c r="A590" s="17"/>
      <c r="H590" s="17"/>
    </row>
    <row r="591">
      <c r="A591" s="17"/>
      <c r="H591" s="17"/>
    </row>
    <row r="592">
      <c r="A592" s="17"/>
      <c r="H592" s="17"/>
    </row>
    <row r="593">
      <c r="A593" s="17"/>
      <c r="H593" s="17"/>
    </row>
    <row r="594">
      <c r="A594" s="17"/>
      <c r="H594" s="17"/>
    </row>
    <row r="595">
      <c r="A595" s="17"/>
      <c r="H595" s="17"/>
    </row>
    <row r="596">
      <c r="A596" s="17"/>
      <c r="H596" s="17"/>
    </row>
    <row r="597">
      <c r="A597" s="17"/>
      <c r="H597" s="17"/>
    </row>
    <row r="598">
      <c r="A598" s="17"/>
      <c r="H598" s="17"/>
    </row>
    <row r="599">
      <c r="A599" s="17"/>
      <c r="H599" s="17"/>
    </row>
    <row r="600">
      <c r="A600" s="17"/>
      <c r="H600" s="17"/>
    </row>
    <row r="601">
      <c r="A601" s="17"/>
      <c r="H601" s="17"/>
    </row>
    <row r="602">
      <c r="A602" s="17"/>
      <c r="H602" s="17"/>
    </row>
    <row r="603">
      <c r="A603" s="17"/>
      <c r="H603" s="17"/>
    </row>
    <row r="604">
      <c r="A604" s="17"/>
      <c r="H604" s="17"/>
    </row>
    <row r="605">
      <c r="A605" s="17"/>
      <c r="H605" s="17"/>
    </row>
    <row r="606">
      <c r="A606" s="17"/>
      <c r="H606" s="17"/>
    </row>
    <row r="607">
      <c r="A607" s="17"/>
      <c r="H607" s="17"/>
    </row>
    <row r="608">
      <c r="A608" s="17"/>
      <c r="H608" s="17"/>
    </row>
    <row r="609">
      <c r="A609" s="17"/>
      <c r="H609" s="17"/>
    </row>
    <row r="610">
      <c r="A610" s="17"/>
      <c r="H610" s="17"/>
    </row>
    <row r="611">
      <c r="A611" s="17"/>
      <c r="H611" s="17"/>
    </row>
    <row r="612">
      <c r="A612" s="17"/>
      <c r="H612" s="17"/>
    </row>
    <row r="613">
      <c r="A613" s="17"/>
      <c r="H613" s="17"/>
    </row>
    <row r="614">
      <c r="A614" s="17"/>
      <c r="H614" s="17"/>
    </row>
    <row r="615">
      <c r="A615" s="17"/>
      <c r="H615" s="17"/>
    </row>
    <row r="616">
      <c r="A616" s="17"/>
      <c r="H616" s="17"/>
    </row>
    <row r="617">
      <c r="A617" s="17"/>
      <c r="H617" s="17"/>
    </row>
    <row r="618">
      <c r="A618" s="17"/>
      <c r="H618" s="17"/>
    </row>
    <row r="619">
      <c r="A619" s="17"/>
      <c r="H619" s="17"/>
    </row>
    <row r="620">
      <c r="A620" s="17"/>
      <c r="H620" s="17"/>
    </row>
    <row r="621">
      <c r="A621" s="17"/>
      <c r="H621" s="17"/>
    </row>
    <row r="622">
      <c r="A622" s="17"/>
      <c r="H622" s="17"/>
    </row>
    <row r="623">
      <c r="A623" s="17"/>
      <c r="H623" s="17"/>
    </row>
    <row r="624">
      <c r="A624" s="17"/>
      <c r="H624" s="17"/>
    </row>
    <row r="625">
      <c r="A625" s="17"/>
      <c r="H625" s="17"/>
    </row>
    <row r="626">
      <c r="A626" s="17"/>
      <c r="H626" s="17"/>
    </row>
    <row r="627">
      <c r="A627" s="17"/>
      <c r="H627" s="17"/>
    </row>
    <row r="628">
      <c r="A628" s="17"/>
      <c r="H628" s="17"/>
    </row>
    <row r="629">
      <c r="A629" s="17"/>
      <c r="H629" s="17"/>
    </row>
    <row r="630">
      <c r="A630" s="17"/>
      <c r="H630" s="17"/>
    </row>
    <row r="631">
      <c r="A631" s="17"/>
      <c r="H631" s="17"/>
    </row>
    <row r="632">
      <c r="A632" s="17"/>
      <c r="H632" s="17"/>
    </row>
    <row r="633">
      <c r="A633" s="17"/>
      <c r="H633" s="17"/>
    </row>
    <row r="634">
      <c r="A634" s="17"/>
      <c r="H634" s="17"/>
    </row>
    <row r="635">
      <c r="A635" s="17"/>
      <c r="H635" s="17"/>
    </row>
    <row r="636">
      <c r="A636" s="17"/>
      <c r="H636" s="17"/>
    </row>
    <row r="637">
      <c r="A637" s="17"/>
      <c r="H637" s="17"/>
    </row>
    <row r="638">
      <c r="A638" s="17"/>
      <c r="H638" s="17"/>
    </row>
    <row r="639">
      <c r="A639" s="17"/>
      <c r="H639" s="17"/>
    </row>
    <row r="640">
      <c r="A640" s="17"/>
      <c r="H640" s="17"/>
    </row>
    <row r="641">
      <c r="A641" s="17"/>
      <c r="H641" s="17"/>
    </row>
    <row r="642">
      <c r="A642" s="17"/>
      <c r="H642" s="17"/>
    </row>
    <row r="643">
      <c r="A643" s="17"/>
      <c r="H643" s="17"/>
    </row>
    <row r="644">
      <c r="A644" s="17"/>
      <c r="H644" s="17"/>
    </row>
    <row r="645">
      <c r="A645" s="17"/>
      <c r="H645" s="17"/>
    </row>
    <row r="646">
      <c r="A646" s="17"/>
      <c r="H646" s="17"/>
    </row>
    <row r="647">
      <c r="A647" s="17"/>
      <c r="H647" s="17"/>
    </row>
    <row r="648">
      <c r="A648" s="17"/>
      <c r="H648" s="17"/>
    </row>
    <row r="649">
      <c r="A649" s="17"/>
      <c r="H649" s="17"/>
    </row>
    <row r="650">
      <c r="A650" s="17"/>
      <c r="H650" s="17"/>
    </row>
    <row r="651">
      <c r="A651" s="17"/>
      <c r="H651" s="17"/>
    </row>
    <row r="652">
      <c r="A652" s="17"/>
      <c r="H652" s="17"/>
    </row>
    <row r="653">
      <c r="A653" s="17"/>
      <c r="H653" s="17"/>
    </row>
    <row r="654">
      <c r="A654" s="17"/>
      <c r="H654" s="17"/>
    </row>
    <row r="655">
      <c r="A655" s="17"/>
      <c r="H655" s="17"/>
    </row>
    <row r="656">
      <c r="A656" s="17"/>
      <c r="H656" s="17"/>
    </row>
    <row r="657">
      <c r="A657" s="17"/>
      <c r="H657" s="17"/>
    </row>
    <row r="658">
      <c r="A658" s="17"/>
      <c r="H658" s="17"/>
    </row>
    <row r="659">
      <c r="A659" s="17"/>
      <c r="H659" s="17"/>
    </row>
    <row r="660">
      <c r="A660" s="17"/>
      <c r="H660" s="17"/>
    </row>
    <row r="661">
      <c r="A661" s="17"/>
      <c r="H661" s="17"/>
    </row>
    <row r="662">
      <c r="A662" s="17"/>
      <c r="H662" s="17"/>
    </row>
    <row r="663">
      <c r="A663" s="17"/>
      <c r="H663" s="17"/>
    </row>
    <row r="664">
      <c r="A664" s="17"/>
      <c r="H664" s="17"/>
    </row>
    <row r="665">
      <c r="A665" s="17"/>
      <c r="H665" s="17"/>
    </row>
    <row r="666">
      <c r="A666" s="17"/>
      <c r="H666" s="17"/>
    </row>
    <row r="667">
      <c r="A667" s="17"/>
      <c r="H667" s="17"/>
    </row>
    <row r="668">
      <c r="A668" s="17"/>
      <c r="H668" s="17"/>
    </row>
    <row r="669">
      <c r="A669" s="17"/>
      <c r="H669" s="17"/>
    </row>
    <row r="670">
      <c r="A670" s="17"/>
      <c r="H670" s="17"/>
    </row>
    <row r="671">
      <c r="A671" s="17"/>
      <c r="H671" s="17"/>
    </row>
    <row r="672">
      <c r="A672" s="17"/>
      <c r="H672" s="17"/>
    </row>
    <row r="673">
      <c r="A673" s="17"/>
      <c r="H673" s="17"/>
    </row>
    <row r="674">
      <c r="A674" s="17"/>
      <c r="H674" s="17"/>
    </row>
    <row r="675">
      <c r="A675" s="17"/>
      <c r="H675" s="17"/>
    </row>
    <row r="676">
      <c r="A676" s="17"/>
      <c r="H676" s="17"/>
    </row>
    <row r="677">
      <c r="A677" s="17"/>
      <c r="H677" s="17"/>
    </row>
    <row r="678">
      <c r="A678" s="17"/>
      <c r="H678" s="17"/>
    </row>
    <row r="679">
      <c r="A679" s="17"/>
      <c r="H679" s="17"/>
    </row>
    <row r="680">
      <c r="A680" s="17"/>
      <c r="H680" s="17"/>
    </row>
    <row r="681">
      <c r="A681" s="17"/>
      <c r="H681" s="17"/>
    </row>
    <row r="682">
      <c r="A682" s="17"/>
      <c r="H682" s="17"/>
    </row>
    <row r="683">
      <c r="A683" s="17"/>
      <c r="H683" s="17"/>
    </row>
    <row r="684">
      <c r="A684" s="17"/>
      <c r="H684" s="17"/>
    </row>
    <row r="685">
      <c r="A685" s="17"/>
      <c r="H685" s="17"/>
    </row>
    <row r="686">
      <c r="A686" s="17"/>
      <c r="H686" s="17"/>
    </row>
    <row r="687">
      <c r="A687" s="17"/>
      <c r="H687" s="17"/>
    </row>
    <row r="688">
      <c r="A688" s="17"/>
      <c r="H688" s="17"/>
    </row>
    <row r="689">
      <c r="A689" s="17"/>
      <c r="H689" s="17"/>
    </row>
    <row r="690">
      <c r="A690" s="17"/>
      <c r="H690" s="17"/>
    </row>
    <row r="691">
      <c r="A691" s="17"/>
      <c r="H691" s="17"/>
    </row>
    <row r="692">
      <c r="A692" s="17"/>
      <c r="H692" s="17"/>
    </row>
    <row r="693">
      <c r="A693" s="17"/>
      <c r="H693" s="17"/>
    </row>
    <row r="694">
      <c r="A694" s="17"/>
      <c r="H694" s="17"/>
    </row>
    <row r="695">
      <c r="A695" s="17"/>
      <c r="H695" s="17"/>
    </row>
    <row r="696">
      <c r="A696" s="17"/>
      <c r="H696" s="17"/>
    </row>
    <row r="697">
      <c r="A697" s="17"/>
      <c r="H697" s="17"/>
    </row>
    <row r="698">
      <c r="A698" s="17"/>
      <c r="H698" s="17"/>
    </row>
    <row r="699">
      <c r="A699" s="17"/>
      <c r="H699" s="17"/>
    </row>
    <row r="700">
      <c r="A700" s="17"/>
      <c r="H700" s="17"/>
    </row>
    <row r="701">
      <c r="A701" s="17"/>
      <c r="H701" s="17"/>
    </row>
    <row r="702">
      <c r="A702" s="17"/>
      <c r="H702" s="17"/>
    </row>
    <row r="703">
      <c r="A703" s="17"/>
      <c r="H703" s="17"/>
    </row>
    <row r="704">
      <c r="A704" s="17"/>
      <c r="H704" s="17"/>
    </row>
    <row r="705">
      <c r="A705" s="17"/>
      <c r="H705" s="17"/>
    </row>
    <row r="706">
      <c r="A706" s="17"/>
      <c r="H706" s="17"/>
    </row>
    <row r="707">
      <c r="A707" s="17"/>
      <c r="H707" s="17"/>
    </row>
    <row r="708">
      <c r="A708" s="17"/>
      <c r="H708" s="17"/>
    </row>
    <row r="709">
      <c r="A709" s="17"/>
      <c r="H709" s="17"/>
    </row>
    <row r="710">
      <c r="A710" s="17"/>
      <c r="H710" s="17"/>
    </row>
    <row r="711">
      <c r="A711" s="17"/>
      <c r="H711" s="17"/>
    </row>
    <row r="712">
      <c r="A712" s="17"/>
      <c r="H712" s="17"/>
    </row>
    <row r="713">
      <c r="A713" s="17"/>
      <c r="H713" s="17"/>
    </row>
    <row r="714">
      <c r="A714" s="17"/>
      <c r="H714" s="17"/>
    </row>
    <row r="715">
      <c r="A715" s="17"/>
      <c r="H715" s="17"/>
    </row>
    <row r="716">
      <c r="A716" s="17"/>
      <c r="H716" s="17"/>
    </row>
    <row r="717">
      <c r="A717" s="17"/>
      <c r="H717" s="17"/>
    </row>
    <row r="718">
      <c r="A718" s="17"/>
      <c r="H718" s="17"/>
    </row>
    <row r="719">
      <c r="A719" s="17"/>
      <c r="H719" s="17"/>
    </row>
    <row r="720">
      <c r="A720" s="17"/>
      <c r="H720" s="17"/>
    </row>
    <row r="721">
      <c r="A721" s="17"/>
      <c r="H721" s="17"/>
    </row>
    <row r="722">
      <c r="A722" s="17"/>
      <c r="H722" s="17"/>
    </row>
    <row r="723">
      <c r="A723" s="17"/>
      <c r="H723" s="17"/>
    </row>
    <row r="724">
      <c r="A724" s="17"/>
      <c r="H724" s="17"/>
    </row>
    <row r="725">
      <c r="A725" s="17"/>
      <c r="H725" s="17"/>
    </row>
    <row r="726">
      <c r="A726" s="17"/>
      <c r="H726" s="17"/>
    </row>
    <row r="727">
      <c r="A727" s="17"/>
      <c r="H727" s="17"/>
    </row>
    <row r="728">
      <c r="A728" s="17"/>
      <c r="H728" s="17"/>
    </row>
    <row r="729">
      <c r="A729" s="17"/>
      <c r="H729" s="17"/>
    </row>
    <row r="730">
      <c r="A730" s="17"/>
      <c r="H730" s="17"/>
    </row>
    <row r="731">
      <c r="A731" s="17"/>
      <c r="H731" s="17"/>
    </row>
    <row r="732">
      <c r="A732" s="17"/>
      <c r="H732" s="17"/>
    </row>
    <row r="733">
      <c r="A733" s="17"/>
      <c r="H733" s="17"/>
    </row>
    <row r="734">
      <c r="A734" s="17"/>
      <c r="H734" s="17"/>
    </row>
    <row r="735">
      <c r="A735" s="17"/>
      <c r="H735" s="17"/>
    </row>
    <row r="736">
      <c r="A736" s="17"/>
      <c r="H736" s="17"/>
    </row>
    <row r="737">
      <c r="A737" s="17"/>
      <c r="H737" s="17"/>
    </row>
    <row r="738">
      <c r="A738" s="17"/>
      <c r="H738" s="17"/>
    </row>
    <row r="739">
      <c r="A739" s="17"/>
      <c r="H739" s="17"/>
    </row>
    <row r="740">
      <c r="A740" s="17"/>
      <c r="H740" s="17"/>
    </row>
    <row r="741">
      <c r="A741" s="17"/>
      <c r="H741" s="17"/>
    </row>
    <row r="742">
      <c r="A742" s="17"/>
      <c r="H742" s="17"/>
    </row>
    <row r="743">
      <c r="A743" s="17"/>
      <c r="H743" s="17"/>
    </row>
    <row r="744">
      <c r="A744" s="17"/>
      <c r="H744" s="17"/>
    </row>
    <row r="745">
      <c r="A745" s="17"/>
      <c r="H745" s="17"/>
    </row>
    <row r="746">
      <c r="A746" s="17"/>
      <c r="H746" s="17"/>
    </row>
    <row r="747">
      <c r="A747" s="17"/>
      <c r="H747" s="17"/>
    </row>
    <row r="748">
      <c r="A748" s="17"/>
      <c r="H748" s="17"/>
    </row>
    <row r="749">
      <c r="A749" s="17"/>
      <c r="H749" s="17"/>
    </row>
    <row r="750">
      <c r="A750" s="17"/>
      <c r="H750" s="17"/>
    </row>
    <row r="751">
      <c r="A751" s="17"/>
      <c r="H751" s="17"/>
    </row>
    <row r="752">
      <c r="A752" s="17"/>
      <c r="H752" s="17"/>
    </row>
    <row r="753">
      <c r="A753" s="17"/>
      <c r="H753" s="17"/>
    </row>
    <row r="754">
      <c r="A754" s="17"/>
      <c r="H754" s="17"/>
    </row>
    <row r="755">
      <c r="A755" s="17"/>
      <c r="H755" s="17"/>
    </row>
    <row r="756">
      <c r="A756" s="17"/>
      <c r="H756" s="17"/>
    </row>
    <row r="757">
      <c r="A757" s="17"/>
      <c r="H757" s="17"/>
    </row>
    <row r="758">
      <c r="A758" s="17"/>
      <c r="H758" s="17"/>
    </row>
    <row r="759">
      <c r="A759" s="17"/>
      <c r="H759" s="17"/>
    </row>
    <row r="760">
      <c r="A760" s="17"/>
      <c r="H760" s="17"/>
    </row>
    <row r="761">
      <c r="A761" s="17"/>
      <c r="H761" s="17"/>
    </row>
    <row r="762">
      <c r="A762" s="17"/>
      <c r="H762" s="17"/>
    </row>
    <row r="763">
      <c r="A763" s="17"/>
      <c r="H763" s="17"/>
    </row>
    <row r="764">
      <c r="A764" s="17"/>
      <c r="H764" s="17"/>
    </row>
    <row r="765">
      <c r="A765" s="17"/>
      <c r="H765" s="17"/>
    </row>
    <row r="766">
      <c r="A766" s="17"/>
      <c r="H766" s="17"/>
    </row>
    <row r="767">
      <c r="A767" s="17"/>
      <c r="H767" s="17"/>
    </row>
    <row r="768">
      <c r="A768" s="17"/>
      <c r="H768" s="17"/>
    </row>
    <row r="769">
      <c r="A769" s="17"/>
      <c r="H769" s="17"/>
    </row>
    <row r="770">
      <c r="A770" s="17"/>
      <c r="H770" s="17"/>
    </row>
    <row r="771">
      <c r="A771" s="17"/>
      <c r="H771" s="17"/>
    </row>
    <row r="772">
      <c r="A772" s="17"/>
      <c r="H772" s="17"/>
    </row>
    <row r="773">
      <c r="A773" s="17"/>
      <c r="H773" s="17"/>
    </row>
    <row r="774">
      <c r="A774" s="17"/>
      <c r="H774" s="17"/>
    </row>
    <row r="775">
      <c r="A775" s="17"/>
      <c r="H775" s="17"/>
    </row>
    <row r="776">
      <c r="A776" s="17"/>
      <c r="H776" s="17"/>
    </row>
    <row r="777">
      <c r="A777" s="17"/>
      <c r="H777" s="17"/>
    </row>
    <row r="778">
      <c r="A778" s="17"/>
      <c r="H778" s="17"/>
    </row>
    <row r="779">
      <c r="A779" s="17"/>
      <c r="H779" s="17"/>
    </row>
    <row r="780">
      <c r="A780" s="17"/>
      <c r="H780" s="17"/>
    </row>
    <row r="781">
      <c r="A781" s="17"/>
      <c r="H781" s="17"/>
    </row>
    <row r="782">
      <c r="A782" s="17"/>
      <c r="H782" s="17"/>
    </row>
    <row r="783">
      <c r="A783" s="17"/>
      <c r="H783" s="17"/>
    </row>
    <row r="784">
      <c r="A784" s="17"/>
      <c r="H784" s="17"/>
    </row>
    <row r="785">
      <c r="A785" s="17"/>
      <c r="H785" s="17"/>
    </row>
    <row r="786">
      <c r="A786" s="17"/>
      <c r="H786" s="17"/>
    </row>
    <row r="787">
      <c r="A787" s="17"/>
      <c r="H787" s="17"/>
    </row>
    <row r="788">
      <c r="A788" s="17"/>
      <c r="H788" s="17"/>
    </row>
    <row r="789">
      <c r="A789" s="17"/>
      <c r="H789" s="17"/>
    </row>
    <row r="790">
      <c r="A790" s="17"/>
      <c r="H790" s="17"/>
    </row>
    <row r="791">
      <c r="A791" s="17"/>
      <c r="H791" s="17"/>
    </row>
    <row r="792">
      <c r="A792" s="17"/>
      <c r="H792" s="17"/>
    </row>
    <row r="793">
      <c r="A793" s="17"/>
      <c r="H793" s="17"/>
    </row>
    <row r="794">
      <c r="A794" s="17"/>
      <c r="H794" s="17"/>
    </row>
    <row r="795">
      <c r="A795" s="17"/>
      <c r="H795" s="17"/>
    </row>
    <row r="796">
      <c r="A796" s="17"/>
      <c r="H796" s="17"/>
    </row>
    <row r="797">
      <c r="A797" s="17"/>
      <c r="H797" s="17"/>
    </row>
    <row r="798">
      <c r="A798" s="17"/>
      <c r="H798" s="17"/>
    </row>
    <row r="799">
      <c r="A799" s="17"/>
      <c r="H799" s="17"/>
    </row>
    <row r="800">
      <c r="A800" s="17"/>
      <c r="H800" s="17"/>
    </row>
    <row r="801">
      <c r="A801" s="17"/>
      <c r="H801" s="17"/>
    </row>
    <row r="802">
      <c r="A802" s="17"/>
      <c r="H802" s="17"/>
    </row>
    <row r="803">
      <c r="A803" s="17"/>
      <c r="H803" s="17"/>
    </row>
    <row r="804">
      <c r="A804" s="17"/>
      <c r="H804" s="17"/>
    </row>
    <row r="805">
      <c r="A805" s="17"/>
      <c r="H805" s="17"/>
    </row>
    <row r="806">
      <c r="A806" s="17"/>
      <c r="H806" s="17"/>
    </row>
    <row r="807">
      <c r="A807" s="17"/>
      <c r="H807" s="17"/>
    </row>
    <row r="808">
      <c r="A808" s="17"/>
      <c r="H808" s="17"/>
    </row>
    <row r="809">
      <c r="A809" s="17"/>
      <c r="H809" s="17"/>
    </row>
    <row r="810">
      <c r="A810" s="17"/>
      <c r="H810" s="17"/>
    </row>
    <row r="811">
      <c r="A811" s="17"/>
      <c r="H811" s="17"/>
    </row>
    <row r="812">
      <c r="A812" s="17"/>
      <c r="H812" s="17"/>
    </row>
    <row r="813">
      <c r="A813" s="17"/>
      <c r="H813" s="17"/>
    </row>
    <row r="814">
      <c r="A814" s="17"/>
      <c r="H814" s="17"/>
    </row>
    <row r="815">
      <c r="A815" s="17"/>
      <c r="H815" s="17"/>
    </row>
    <row r="816">
      <c r="A816" s="17"/>
      <c r="H816" s="17"/>
    </row>
    <row r="817">
      <c r="A817" s="17"/>
      <c r="H817" s="17"/>
    </row>
    <row r="818">
      <c r="A818" s="17"/>
      <c r="H818" s="17"/>
    </row>
    <row r="819">
      <c r="A819" s="17"/>
      <c r="H819" s="17"/>
    </row>
    <row r="820">
      <c r="A820" s="17"/>
      <c r="H820" s="17"/>
    </row>
    <row r="821">
      <c r="A821" s="17"/>
      <c r="H821" s="17"/>
    </row>
    <row r="822">
      <c r="A822" s="17"/>
      <c r="H822" s="17"/>
    </row>
    <row r="823">
      <c r="A823" s="17"/>
      <c r="H823" s="17"/>
    </row>
    <row r="824">
      <c r="A824" s="17"/>
      <c r="H824" s="17"/>
    </row>
    <row r="825">
      <c r="A825" s="17"/>
      <c r="H825" s="17"/>
    </row>
    <row r="826">
      <c r="A826" s="17"/>
      <c r="H826" s="17"/>
    </row>
    <row r="827">
      <c r="A827" s="17"/>
      <c r="H827" s="17"/>
    </row>
    <row r="828">
      <c r="A828" s="17"/>
      <c r="H828" s="17"/>
    </row>
    <row r="829">
      <c r="A829" s="17"/>
      <c r="H829" s="17"/>
    </row>
    <row r="830">
      <c r="A830" s="17"/>
      <c r="H830" s="17"/>
    </row>
    <row r="831">
      <c r="A831" s="17"/>
      <c r="H831" s="17"/>
    </row>
    <row r="832">
      <c r="A832" s="17"/>
      <c r="H832" s="17"/>
    </row>
    <row r="833">
      <c r="A833" s="17"/>
      <c r="H833" s="17"/>
    </row>
    <row r="834">
      <c r="A834" s="17"/>
      <c r="H834" s="17"/>
    </row>
    <row r="835">
      <c r="A835" s="17"/>
      <c r="H835" s="17"/>
    </row>
    <row r="836">
      <c r="A836" s="17"/>
      <c r="H836" s="17"/>
    </row>
    <row r="837">
      <c r="A837" s="17"/>
      <c r="H837" s="17"/>
    </row>
    <row r="838">
      <c r="A838" s="17"/>
      <c r="H838" s="17"/>
    </row>
    <row r="839">
      <c r="A839" s="17"/>
      <c r="H839" s="17"/>
    </row>
    <row r="840">
      <c r="A840" s="17"/>
      <c r="H840" s="17"/>
    </row>
    <row r="841">
      <c r="A841" s="17"/>
      <c r="H841" s="17"/>
    </row>
    <row r="842">
      <c r="A842" s="17"/>
      <c r="H842" s="17"/>
    </row>
    <row r="843">
      <c r="A843" s="17"/>
      <c r="H843" s="17"/>
    </row>
    <row r="844">
      <c r="A844" s="17"/>
      <c r="H844" s="17"/>
    </row>
    <row r="845">
      <c r="A845" s="17"/>
      <c r="H845" s="17"/>
    </row>
    <row r="846">
      <c r="A846" s="17"/>
      <c r="H846" s="17"/>
    </row>
    <row r="847">
      <c r="A847" s="17"/>
      <c r="H847" s="17"/>
    </row>
    <row r="848">
      <c r="A848" s="17"/>
      <c r="H848" s="17"/>
    </row>
    <row r="849">
      <c r="A849" s="17"/>
      <c r="H849" s="17"/>
    </row>
    <row r="850">
      <c r="A850" s="17"/>
      <c r="H850" s="17"/>
    </row>
    <row r="851">
      <c r="A851" s="17"/>
      <c r="H851" s="17"/>
    </row>
    <row r="852">
      <c r="A852" s="17"/>
      <c r="H852" s="17"/>
    </row>
    <row r="853">
      <c r="A853" s="17"/>
      <c r="H853" s="17"/>
    </row>
    <row r="854">
      <c r="A854" s="17"/>
      <c r="H854" s="17"/>
    </row>
    <row r="855">
      <c r="A855" s="17"/>
      <c r="H855" s="17"/>
    </row>
    <row r="856">
      <c r="A856" s="17"/>
      <c r="H856" s="17"/>
    </row>
    <row r="857">
      <c r="A857" s="17"/>
      <c r="H857" s="17"/>
    </row>
    <row r="858">
      <c r="A858" s="17"/>
      <c r="H858" s="17"/>
    </row>
    <row r="859">
      <c r="A859" s="17"/>
      <c r="H859" s="17"/>
    </row>
    <row r="860">
      <c r="A860" s="17"/>
      <c r="H860" s="17"/>
    </row>
    <row r="861">
      <c r="A861" s="17"/>
      <c r="H861" s="17"/>
    </row>
    <row r="862">
      <c r="A862" s="17"/>
      <c r="H862" s="17"/>
    </row>
    <row r="863">
      <c r="A863" s="17"/>
      <c r="H863" s="17"/>
    </row>
    <row r="864">
      <c r="A864" s="17"/>
      <c r="H864" s="17"/>
    </row>
    <row r="865">
      <c r="A865" s="17"/>
      <c r="H865" s="17"/>
    </row>
    <row r="866">
      <c r="A866" s="17"/>
      <c r="H866" s="17"/>
    </row>
    <row r="867">
      <c r="A867" s="17"/>
      <c r="H867" s="17"/>
    </row>
    <row r="868">
      <c r="A868" s="17"/>
      <c r="H868" s="17"/>
    </row>
    <row r="869">
      <c r="A869" s="17"/>
      <c r="H869" s="17"/>
    </row>
    <row r="870">
      <c r="A870" s="17"/>
      <c r="H870" s="17"/>
    </row>
    <row r="871">
      <c r="A871" s="17"/>
      <c r="H871" s="17"/>
    </row>
    <row r="872">
      <c r="A872" s="17"/>
      <c r="H872" s="17"/>
    </row>
    <row r="873">
      <c r="A873" s="17"/>
      <c r="H873" s="17"/>
    </row>
    <row r="874">
      <c r="A874" s="17"/>
      <c r="H874" s="17"/>
    </row>
    <row r="875">
      <c r="A875" s="17"/>
      <c r="H875" s="17"/>
    </row>
    <row r="876">
      <c r="A876" s="17"/>
      <c r="H876" s="17"/>
    </row>
    <row r="877">
      <c r="A877" s="17"/>
      <c r="H877" s="17"/>
    </row>
    <row r="878">
      <c r="A878" s="17"/>
      <c r="H878" s="17"/>
    </row>
    <row r="879">
      <c r="A879" s="17"/>
      <c r="H879" s="17"/>
    </row>
    <row r="880">
      <c r="A880" s="17"/>
      <c r="H880" s="17"/>
    </row>
    <row r="881">
      <c r="A881" s="17"/>
      <c r="H881" s="17"/>
    </row>
    <row r="882">
      <c r="A882" s="17"/>
      <c r="H882" s="17"/>
    </row>
    <row r="883">
      <c r="A883" s="17"/>
      <c r="H883" s="17"/>
    </row>
    <row r="884">
      <c r="A884" s="17"/>
      <c r="H884" s="17"/>
    </row>
    <row r="885">
      <c r="A885" s="17"/>
      <c r="H885" s="17"/>
    </row>
    <row r="886">
      <c r="A886" s="17"/>
      <c r="H886" s="17"/>
    </row>
    <row r="887">
      <c r="A887" s="17"/>
      <c r="H887" s="17"/>
    </row>
    <row r="888">
      <c r="A888" s="17"/>
      <c r="H888" s="17"/>
    </row>
    <row r="889">
      <c r="A889" s="17"/>
      <c r="H889" s="17"/>
    </row>
    <row r="890">
      <c r="A890" s="17"/>
      <c r="H890" s="17"/>
    </row>
    <row r="891">
      <c r="A891" s="17"/>
      <c r="H891" s="17"/>
    </row>
    <row r="892">
      <c r="A892" s="17"/>
      <c r="H892" s="17"/>
    </row>
    <row r="893">
      <c r="A893" s="17"/>
      <c r="H893" s="17"/>
    </row>
    <row r="894">
      <c r="A894" s="17"/>
      <c r="H894" s="17"/>
    </row>
    <row r="895">
      <c r="A895" s="17"/>
      <c r="H895" s="17"/>
    </row>
    <row r="896">
      <c r="A896" s="17"/>
      <c r="H896" s="17"/>
    </row>
    <row r="897">
      <c r="A897" s="17"/>
      <c r="H897" s="17"/>
    </row>
    <row r="898">
      <c r="A898" s="17"/>
      <c r="H898" s="17"/>
    </row>
    <row r="899">
      <c r="A899" s="17"/>
      <c r="H899" s="17"/>
    </row>
    <row r="900">
      <c r="A900" s="17"/>
      <c r="H900" s="17"/>
    </row>
    <row r="901">
      <c r="A901" s="17"/>
      <c r="H901" s="17"/>
    </row>
    <row r="902">
      <c r="A902" s="17"/>
      <c r="H902" s="17"/>
    </row>
    <row r="903">
      <c r="A903" s="17"/>
      <c r="H903" s="17"/>
    </row>
    <row r="904">
      <c r="A904" s="17"/>
      <c r="H904" s="17"/>
    </row>
    <row r="905">
      <c r="A905" s="17"/>
      <c r="H905" s="17"/>
    </row>
    <row r="906">
      <c r="A906" s="17"/>
      <c r="H906" s="17"/>
    </row>
    <row r="907">
      <c r="A907" s="17"/>
      <c r="H907" s="17"/>
    </row>
    <row r="908">
      <c r="A908" s="17"/>
      <c r="H908" s="17"/>
    </row>
    <row r="909">
      <c r="A909" s="17"/>
      <c r="H909" s="17"/>
    </row>
    <row r="910">
      <c r="A910" s="17"/>
      <c r="H910" s="17"/>
    </row>
    <row r="911">
      <c r="A911" s="17"/>
      <c r="H911" s="17"/>
    </row>
    <row r="912">
      <c r="A912" s="17"/>
      <c r="H912" s="17"/>
    </row>
    <row r="913">
      <c r="A913" s="17"/>
      <c r="H913" s="17"/>
    </row>
    <row r="914">
      <c r="A914" s="17"/>
      <c r="H914" s="17"/>
    </row>
    <row r="915">
      <c r="A915" s="17"/>
      <c r="H915" s="17"/>
    </row>
    <row r="916">
      <c r="A916" s="17"/>
      <c r="H916" s="17"/>
    </row>
    <row r="917">
      <c r="A917" s="17"/>
      <c r="H917" s="17"/>
    </row>
    <row r="918">
      <c r="A918" s="17"/>
      <c r="H918" s="17"/>
    </row>
    <row r="919">
      <c r="A919" s="17"/>
      <c r="H919" s="17"/>
    </row>
    <row r="920">
      <c r="A920" s="17"/>
      <c r="H920" s="17"/>
    </row>
    <row r="921">
      <c r="A921" s="17"/>
      <c r="H921" s="17"/>
    </row>
    <row r="922">
      <c r="A922" s="17"/>
      <c r="H922" s="17"/>
    </row>
    <row r="923">
      <c r="A923" s="17"/>
      <c r="H923" s="17"/>
    </row>
    <row r="924">
      <c r="A924" s="17"/>
      <c r="H924" s="17"/>
    </row>
    <row r="925">
      <c r="A925" s="17"/>
      <c r="H925" s="17"/>
    </row>
    <row r="926">
      <c r="A926" s="17"/>
      <c r="H926" s="17"/>
    </row>
    <row r="927">
      <c r="A927" s="17"/>
      <c r="H927" s="17"/>
    </row>
    <row r="928">
      <c r="A928" s="17"/>
      <c r="H928" s="17"/>
    </row>
    <row r="929">
      <c r="A929" s="17"/>
      <c r="H929" s="17"/>
    </row>
    <row r="930">
      <c r="A930" s="17"/>
      <c r="H930" s="17"/>
    </row>
    <row r="931">
      <c r="A931" s="17"/>
      <c r="H931" s="17"/>
    </row>
    <row r="932">
      <c r="A932" s="17"/>
      <c r="H932" s="17"/>
    </row>
    <row r="933">
      <c r="A933" s="17"/>
      <c r="H933" s="17"/>
    </row>
    <row r="934">
      <c r="A934" s="17"/>
      <c r="H934" s="17"/>
    </row>
    <row r="935">
      <c r="A935" s="17"/>
      <c r="H935" s="17"/>
    </row>
    <row r="936">
      <c r="A936" s="17"/>
      <c r="H936" s="17"/>
    </row>
    <row r="937">
      <c r="A937" s="17"/>
      <c r="H937" s="17"/>
    </row>
    <row r="938">
      <c r="A938" s="17"/>
      <c r="H938" s="17"/>
    </row>
    <row r="939">
      <c r="A939" s="17"/>
      <c r="H939" s="17"/>
    </row>
    <row r="940">
      <c r="A940" s="17"/>
      <c r="H940" s="17"/>
    </row>
    <row r="941">
      <c r="A941" s="17"/>
      <c r="H941" s="17"/>
    </row>
    <row r="942">
      <c r="A942" s="17"/>
      <c r="H942" s="17"/>
    </row>
    <row r="943">
      <c r="A943" s="17"/>
      <c r="H943" s="17"/>
    </row>
    <row r="944">
      <c r="A944" s="17"/>
      <c r="H944" s="17"/>
    </row>
    <row r="945">
      <c r="A945" s="17"/>
      <c r="H945" s="17"/>
    </row>
    <row r="946">
      <c r="A946" s="17"/>
      <c r="H946" s="17"/>
    </row>
    <row r="947">
      <c r="A947" s="17"/>
      <c r="H947" s="17"/>
    </row>
    <row r="948">
      <c r="A948" s="17"/>
      <c r="H948" s="17"/>
    </row>
    <row r="949">
      <c r="A949" s="17"/>
      <c r="H949" s="17"/>
    </row>
    <row r="950">
      <c r="A950" s="17"/>
      <c r="H950" s="17"/>
    </row>
    <row r="951">
      <c r="A951" s="17"/>
      <c r="H951" s="17"/>
    </row>
    <row r="952">
      <c r="A952" s="17"/>
      <c r="H952" s="17"/>
    </row>
    <row r="953">
      <c r="A953" s="17"/>
      <c r="H953" s="17"/>
    </row>
    <row r="954">
      <c r="A954" s="17"/>
      <c r="H954" s="17"/>
    </row>
    <row r="955">
      <c r="A955" s="17"/>
      <c r="H955" s="17"/>
    </row>
    <row r="956">
      <c r="A956" s="17"/>
      <c r="H956" s="17"/>
    </row>
    <row r="957">
      <c r="A957" s="17"/>
      <c r="H957" s="17"/>
    </row>
    <row r="958">
      <c r="A958" s="17"/>
      <c r="H958" s="17"/>
    </row>
    <row r="959">
      <c r="A959" s="17"/>
      <c r="H959" s="17"/>
    </row>
    <row r="960">
      <c r="A960" s="17"/>
      <c r="H960" s="17"/>
    </row>
    <row r="961">
      <c r="A961" s="17"/>
      <c r="H961" s="17"/>
    </row>
    <row r="962">
      <c r="A962" s="17"/>
      <c r="H962" s="17"/>
    </row>
    <row r="963">
      <c r="A963" s="17"/>
      <c r="H963" s="17"/>
    </row>
    <row r="964">
      <c r="A964" s="17"/>
      <c r="H964" s="17"/>
    </row>
    <row r="965">
      <c r="A965" s="17"/>
      <c r="H965" s="17"/>
    </row>
    <row r="966">
      <c r="A966" s="17"/>
      <c r="H966" s="17"/>
    </row>
    <row r="967">
      <c r="A967" s="17"/>
      <c r="H967" s="17"/>
    </row>
    <row r="968">
      <c r="A968" s="17"/>
      <c r="H968" s="17"/>
    </row>
    <row r="969">
      <c r="A969" s="17"/>
      <c r="H969" s="17"/>
    </row>
    <row r="970">
      <c r="A970" s="17"/>
      <c r="H970" s="17"/>
    </row>
    <row r="971">
      <c r="A971" s="17"/>
      <c r="H971" s="17"/>
    </row>
    <row r="972">
      <c r="A972" s="17"/>
      <c r="H972" s="17"/>
    </row>
    <row r="973">
      <c r="A973" s="17"/>
      <c r="H973" s="17"/>
    </row>
    <row r="974">
      <c r="A974" s="17"/>
      <c r="H974" s="17"/>
    </row>
    <row r="975">
      <c r="A975" s="17"/>
      <c r="H975" s="17"/>
    </row>
    <row r="976">
      <c r="A976" s="17"/>
      <c r="H976" s="17"/>
    </row>
    <row r="977">
      <c r="A977" s="17"/>
      <c r="H977" s="17"/>
    </row>
    <row r="978">
      <c r="A978" s="17"/>
      <c r="H978" s="17"/>
    </row>
    <row r="979">
      <c r="A979" s="17"/>
      <c r="H979" s="17"/>
    </row>
    <row r="980">
      <c r="A980" s="17"/>
      <c r="H980" s="17"/>
    </row>
    <row r="981">
      <c r="A981" s="17"/>
      <c r="H981" s="17"/>
    </row>
    <row r="982">
      <c r="A982" s="17"/>
      <c r="H982" s="17"/>
    </row>
    <row r="983">
      <c r="A983" s="17"/>
      <c r="H983" s="17"/>
    </row>
    <row r="984">
      <c r="A984" s="17"/>
      <c r="H984" s="17"/>
    </row>
    <row r="985">
      <c r="A985" s="17"/>
      <c r="H985" s="17"/>
    </row>
    <row r="986">
      <c r="A986" s="17"/>
      <c r="H986" s="17"/>
    </row>
    <row r="987">
      <c r="A987" s="17"/>
      <c r="H987" s="17"/>
    </row>
    <row r="988">
      <c r="A988" s="17"/>
      <c r="H988" s="17"/>
    </row>
    <row r="989">
      <c r="A989" s="17"/>
      <c r="H989" s="17"/>
    </row>
    <row r="990">
      <c r="A990" s="17"/>
      <c r="H990" s="17"/>
    </row>
    <row r="991">
      <c r="A991" s="17"/>
      <c r="H991" s="17"/>
    </row>
    <row r="992">
      <c r="A992" s="17"/>
      <c r="H992" s="17"/>
    </row>
    <row r="993">
      <c r="A993" s="17"/>
      <c r="H993" s="17"/>
    </row>
    <row r="994">
      <c r="A994" s="17"/>
      <c r="H994" s="17"/>
    </row>
    <row r="995">
      <c r="A995" s="17"/>
      <c r="H995" s="17"/>
    </row>
    <row r="996">
      <c r="A996" s="17"/>
      <c r="H996" s="17"/>
    </row>
    <row r="997">
      <c r="A997" s="17"/>
      <c r="H997" s="17"/>
    </row>
    <row r="998">
      <c r="A998" s="17"/>
      <c r="H998" s="17"/>
    </row>
    <row r="999">
      <c r="A999" s="17"/>
      <c r="H999" s="17"/>
    </row>
    <row r="1000">
      <c r="A1000" s="17"/>
      <c r="H1000" s="1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63"/>
  </cols>
  <sheetData>
    <row r="1">
      <c r="A1" s="17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">
        <v>0.0</v>
      </c>
      <c r="B2" s="5">
        <f t="array" ref="B2:F7">B1:F1*G2:G7</f>
        <v>0</v>
      </c>
      <c r="C2" s="5">
        <v>5.0</v>
      </c>
      <c r="D2" s="5">
        <v>10.0</v>
      </c>
      <c r="E2" s="5">
        <v>15.0</v>
      </c>
      <c r="F2" s="5">
        <v>20.0</v>
      </c>
      <c r="G2" s="17">
        <f t="array" ref="G2:G7">5-A2:A7</f>
        <v>5</v>
      </c>
    </row>
    <row r="3">
      <c r="A3" s="2">
        <v>1.0</v>
      </c>
      <c r="B3" s="5">
        <v>0.0</v>
      </c>
      <c r="C3" s="5">
        <v>4.0</v>
      </c>
      <c r="D3" s="15">
        <v>8.0</v>
      </c>
      <c r="E3" s="5">
        <v>12.0</v>
      </c>
      <c r="F3" s="5">
        <v>16.0</v>
      </c>
      <c r="G3" s="17">
        <v>4.0</v>
      </c>
    </row>
    <row r="4">
      <c r="A4" s="2">
        <v>2.0</v>
      </c>
      <c r="B4" s="5">
        <v>0.0</v>
      </c>
      <c r="C4" s="5">
        <v>3.0</v>
      </c>
      <c r="D4" s="5">
        <v>6.0</v>
      </c>
      <c r="E4" s="5">
        <v>9.0</v>
      </c>
      <c r="F4" s="5">
        <v>12.0</v>
      </c>
      <c r="G4" s="17">
        <v>3.0</v>
      </c>
    </row>
    <row r="5">
      <c r="A5" s="2">
        <v>3.0</v>
      </c>
      <c r="B5" s="5">
        <v>0.0</v>
      </c>
      <c r="C5" s="5">
        <v>2.0</v>
      </c>
      <c r="D5" s="5">
        <v>4.0</v>
      </c>
      <c r="E5" s="5">
        <v>6.0</v>
      </c>
      <c r="F5" s="5">
        <v>8.0</v>
      </c>
      <c r="G5" s="17">
        <v>2.0</v>
      </c>
    </row>
    <row r="6">
      <c r="A6" s="2">
        <v>4.0</v>
      </c>
      <c r="B6" s="5">
        <v>0.0</v>
      </c>
      <c r="C6" s="5">
        <v>1.0</v>
      </c>
      <c r="D6" s="15">
        <v>2.0</v>
      </c>
      <c r="E6" s="5">
        <v>3.0</v>
      </c>
      <c r="F6" s="5">
        <v>4.0</v>
      </c>
      <c r="G6" s="17">
        <v>1.0</v>
      </c>
    </row>
    <row r="7">
      <c r="A7" s="2">
        <v>5.0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17">
        <v>0.0</v>
      </c>
    </row>
    <row r="8">
      <c r="A8" s="17"/>
      <c r="B8" s="17">
        <f t="array" ref="B8:F8">4-B1:F1</f>
        <v>4</v>
      </c>
      <c r="C8" s="17">
        <v>3.0</v>
      </c>
      <c r="D8" s="17">
        <v>2.0</v>
      </c>
      <c r="E8" s="17">
        <v>1.0</v>
      </c>
      <c r="F8" s="17">
        <v>0.0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G9" s="17"/>
    </row>
    <row r="10">
      <c r="A10" s="17"/>
      <c r="B10" s="2">
        <v>0.0</v>
      </c>
      <c r="C10" s="2">
        <v>1.0</v>
      </c>
      <c r="D10" s="2">
        <v>2.0</v>
      </c>
      <c r="E10" s="2">
        <v>3.0</v>
      </c>
      <c r="F10" s="2">
        <v>4.0</v>
      </c>
      <c r="G10" s="17"/>
    </row>
    <row r="11">
      <c r="A11" s="2">
        <v>0.0</v>
      </c>
      <c r="B11" s="5">
        <f t="array" ref="B11:F16">B10:F10*G11:G16</f>
        <v>0</v>
      </c>
      <c r="C11" s="5">
        <v>5.0</v>
      </c>
      <c r="D11" s="5">
        <v>10.0</v>
      </c>
      <c r="E11" s="5">
        <v>15.0</v>
      </c>
      <c r="F11" s="5">
        <v>20.0</v>
      </c>
      <c r="G11" s="17">
        <f t="array" ref="G11:G16">5-A11:A16</f>
        <v>5</v>
      </c>
    </row>
    <row r="12">
      <c r="A12" s="2">
        <v>1.0</v>
      </c>
      <c r="B12" s="5">
        <v>0.0</v>
      </c>
      <c r="C12" s="5">
        <v>4.0</v>
      </c>
      <c r="D12" s="15">
        <v>8.0</v>
      </c>
      <c r="E12" s="5">
        <v>12.0</v>
      </c>
      <c r="F12" s="5">
        <v>16.0</v>
      </c>
      <c r="G12" s="17">
        <v>4.0</v>
      </c>
    </row>
    <row r="13">
      <c r="A13" s="2">
        <v>2.0</v>
      </c>
      <c r="B13" s="5">
        <v>0.0</v>
      </c>
      <c r="C13" s="5">
        <v>3.0</v>
      </c>
      <c r="D13" s="5">
        <v>6.0</v>
      </c>
      <c r="E13" s="5">
        <v>9.0</v>
      </c>
      <c r="F13" s="5">
        <v>12.0</v>
      </c>
      <c r="G13" s="17">
        <v>3.0</v>
      </c>
    </row>
    <row r="14">
      <c r="A14" s="2">
        <v>3.0</v>
      </c>
      <c r="B14" s="5">
        <v>0.0</v>
      </c>
      <c r="C14" s="5">
        <v>2.0</v>
      </c>
      <c r="D14" s="5">
        <v>4.0</v>
      </c>
      <c r="E14" s="5">
        <v>6.0</v>
      </c>
      <c r="F14" s="5">
        <v>8.0</v>
      </c>
      <c r="G14" s="17">
        <v>2.0</v>
      </c>
    </row>
    <row r="15">
      <c r="A15" s="2">
        <v>4.0</v>
      </c>
      <c r="B15" s="5">
        <v>0.0</v>
      </c>
      <c r="C15" s="5">
        <v>1.0</v>
      </c>
      <c r="D15" s="15">
        <v>2.0</v>
      </c>
      <c r="E15" s="5">
        <v>3.0</v>
      </c>
      <c r="F15" s="5">
        <v>4.0</v>
      </c>
      <c r="G15" s="17">
        <v>1.0</v>
      </c>
    </row>
    <row r="16">
      <c r="A16" s="2">
        <v>5.0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17">
        <v>0.0</v>
      </c>
    </row>
    <row r="17">
      <c r="A17" s="17"/>
      <c r="B17" s="17">
        <f t="array" ref="B17:F17">4-B10:F10</f>
        <v>4</v>
      </c>
      <c r="C17" s="17">
        <v>3.0</v>
      </c>
      <c r="D17" s="17">
        <v>2.0</v>
      </c>
      <c r="E17" s="17">
        <v>1.0</v>
      </c>
      <c r="F17" s="17">
        <v>0.0</v>
      </c>
      <c r="G17" s="17"/>
    </row>
    <row r="18">
      <c r="A18" s="17"/>
      <c r="G18" s="17"/>
    </row>
    <row r="19">
      <c r="A19" s="17"/>
      <c r="G19" s="17"/>
    </row>
    <row r="20">
      <c r="A20" s="17"/>
      <c r="G20" s="17"/>
    </row>
    <row r="21">
      <c r="A21" s="17"/>
      <c r="G21" s="17"/>
    </row>
    <row r="22">
      <c r="A22" s="17"/>
      <c r="G22" s="17"/>
    </row>
    <row r="23">
      <c r="A23" s="17"/>
      <c r="G23" s="17"/>
    </row>
    <row r="24">
      <c r="A24" s="17"/>
      <c r="G24" s="17"/>
    </row>
    <row r="25">
      <c r="A25" s="17"/>
      <c r="G25" s="17"/>
    </row>
    <row r="26">
      <c r="A26" s="17"/>
      <c r="G26" s="17"/>
    </row>
    <row r="27">
      <c r="A27" s="17"/>
      <c r="G27" s="17"/>
    </row>
    <row r="28">
      <c r="A28" s="17"/>
      <c r="G28" s="17"/>
    </row>
    <row r="29">
      <c r="A29" s="17"/>
      <c r="G29" s="17"/>
    </row>
    <row r="30">
      <c r="A30" s="17"/>
      <c r="G30" s="17"/>
    </row>
    <row r="31">
      <c r="A31" s="17"/>
      <c r="G31" s="17"/>
    </row>
    <row r="32">
      <c r="A32" s="17"/>
      <c r="G32" s="17"/>
    </row>
    <row r="33">
      <c r="A33" s="17"/>
      <c r="G33" s="17"/>
    </row>
    <row r="34">
      <c r="A34" s="17"/>
      <c r="G34" s="17"/>
    </row>
    <row r="35">
      <c r="A35" s="17"/>
      <c r="G35" s="17"/>
    </row>
    <row r="36">
      <c r="A36" s="17"/>
      <c r="G36" s="17"/>
    </row>
    <row r="37">
      <c r="A37" s="17"/>
      <c r="G37" s="17"/>
    </row>
    <row r="38">
      <c r="A38" s="17"/>
      <c r="G38" s="17"/>
    </row>
    <row r="39">
      <c r="A39" s="17"/>
      <c r="G39" s="17"/>
    </row>
    <row r="40">
      <c r="A40" s="17"/>
      <c r="G40" s="17"/>
    </row>
    <row r="41">
      <c r="A41" s="17"/>
      <c r="G41" s="17"/>
    </row>
    <row r="42">
      <c r="A42" s="17"/>
      <c r="G42" s="17"/>
    </row>
    <row r="43">
      <c r="A43" s="17"/>
      <c r="G43" s="17"/>
    </row>
    <row r="44">
      <c r="A44" s="17"/>
      <c r="G44" s="17"/>
    </row>
    <row r="45">
      <c r="A45" s="17"/>
      <c r="G45" s="17"/>
    </row>
    <row r="46">
      <c r="A46" s="17"/>
      <c r="G46" s="17"/>
    </row>
    <row r="47">
      <c r="A47" s="17"/>
      <c r="G47" s="17"/>
    </row>
    <row r="48">
      <c r="A48" s="17"/>
      <c r="G48" s="17"/>
    </row>
    <row r="49">
      <c r="A49" s="17"/>
      <c r="G49" s="17"/>
    </row>
    <row r="50">
      <c r="A50" s="17"/>
      <c r="G50" s="17"/>
    </row>
    <row r="51">
      <c r="A51" s="17"/>
      <c r="G51" s="17"/>
    </row>
    <row r="52">
      <c r="A52" s="17"/>
      <c r="G52" s="17"/>
    </row>
    <row r="53">
      <c r="A53" s="17"/>
      <c r="G53" s="17"/>
    </row>
    <row r="54">
      <c r="A54" s="17"/>
      <c r="G54" s="17"/>
    </row>
    <row r="55">
      <c r="A55" s="17"/>
      <c r="G55" s="17"/>
    </row>
    <row r="56">
      <c r="A56" s="17"/>
      <c r="G56" s="17"/>
    </row>
    <row r="57">
      <c r="A57" s="17"/>
      <c r="G57" s="17"/>
    </row>
    <row r="58">
      <c r="A58" s="17"/>
      <c r="G58" s="17"/>
    </row>
    <row r="59">
      <c r="A59" s="17"/>
      <c r="G59" s="17"/>
    </row>
    <row r="60">
      <c r="A60" s="17"/>
      <c r="G60" s="17"/>
    </row>
    <row r="61">
      <c r="A61" s="17"/>
      <c r="G61" s="17"/>
    </row>
    <row r="62">
      <c r="A62" s="17"/>
      <c r="G62" s="17"/>
    </row>
    <row r="63">
      <c r="A63" s="17"/>
      <c r="G63" s="17"/>
    </row>
    <row r="64">
      <c r="A64" s="17"/>
      <c r="G64" s="17"/>
    </row>
    <row r="65">
      <c r="A65" s="17"/>
      <c r="G65" s="17"/>
    </row>
    <row r="66">
      <c r="A66" s="17"/>
      <c r="G66" s="17"/>
    </row>
    <row r="67">
      <c r="A67" s="17"/>
      <c r="G67" s="17"/>
    </row>
    <row r="68">
      <c r="A68" s="17"/>
      <c r="G68" s="17"/>
    </row>
    <row r="69">
      <c r="A69" s="17"/>
      <c r="G69" s="17"/>
    </row>
    <row r="70">
      <c r="A70" s="17"/>
      <c r="G70" s="17"/>
    </row>
    <row r="71">
      <c r="A71" s="17"/>
      <c r="G71" s="17"/>
    </row>
    <row r="72">
      <c r="A72" s="17"/>
      <c r="G72" s="17"/>
    </row>
    <row r="73">
      <c r="A73" s="17"/>
      <c r="G73" s="17"/>
    </row>
    <row r="74">
      <c r="A74" s="17"/>
      <c r="G74" s="17"/>
    </row>
    <row r="75">
      <c r="A75" s="17"/>
      <c r="G75" s="17"/>
    </row>
    <row r="76">
      <c r="A76" s="17"/>
      <c r="G76" s="17"/>
    </row>
    <row r="77">
      <c r="A77" s="17"/>
      <c r="G77" s="17"/>
    </row>
    <row r="78">
      <c r="A78" s="17"/>
      <c r="G78" s="17"/>
    </row>
    <row r="79">
      <c r="A79" s="17"/>
      <c r="G79" s="17"/>
    </row>
    <row r="80">
      <c r="A80" s="17"/>
      <c r="G80" s="17"/>
    </row>
    <row r="81">
      <c r="A81" s="17"/>
      <c r="G81" s="17"/>
    </row>
    <row r="82">
      <c r="A82" s="17"/>
      <c r="G82" s="17"/>
    </row>
    <row r="83">
      <c r="A83" s="17"/>
      <c r="G83" s="17"/>
    </row>
    <row r="84">
      <c r="A84" s="17"/>
      <c r="G84" s="17"/>
    </row>
    <row r="85">
      <c r="A85" s="17"/>
      <c r="G85" s="17"/>
    </row>
    <row r="86">
      <c r="A86" s="17"/>
      <c r="G86" s="17"/>
    </row>
    <row r="87">
      <c r="A87" s="17"/>
      <c r="G87" s="17"/>
    </row>
    <row r="88">
      <c r="A88" s="17"/>
      <c r="G88" s="17"/>
    </row>
    <row r="89">
      <c r="A89" s="17"/>
      <c r="G89" s="17"/>
    </row>
    <row r="90">
      <c r="A90" s="17"/>
      <c r="G90" s="17"/>
    </row>
    <row r="91">
      <c r="A91" s="17"/>
      <c r="G91" s="17"/>
    </row>
    <row r="92">
      <c r="A92" s="17"/>
      <c r="G92" s="17"/>
    </row>
    <row r="93">
      <c r="A93" s="17"/>
      <c r="G93" s="17"/>
    </row>
    <row r="94">
      <c r="A94" s="17"/>
      <c r="G94" s="17"/>
    </row>
    <row r="95">
      <c r="A95" s="17"/>
      <c r="G95" s="17"/>
    </row>
    <row r="96">
      <c r="A96" s="17"/>
      <c r="G96" s="17"/>
    </row>
    <row r="97">
      <c r="A97" s="17"/>
      <c r="G97" s="17"/>
    </row>
    <row r="98">
      <c r="A98" s="17"/>
      <c r="G98" s="17"/>
    </row>
    <row r="99">
      <c r="A99" s="17"/>
      <c r="G99" s="17"/>
    </row>
    <row r="100">
      <c r="A100" s="17"/>
      <c r="G100" s="17"/>
    </row>
    <row r="101">
      <c r="A101" s="17"/>
      <c r="G101" s="17"/>
    </row>
    <row r="102">
      <c r="A102" s="17"/>
      <c r="G102" s="17"/>
    </row>
    <row r="103">
      <c r="A103" s="17"/>
      <c r="G103" s="17"/>
    </row>
    <row r="104">
      <c r="A104" s="17"/>
      <c r="G104" s="17"/>
    </row>
    <row r="105">
      <c r="A105" s="17"/>
      <c r="G105" s="17"/>
    </row>
    <row r="106">
      <c r="A106" s="17"/>
      <c r="G106" s="17"/>
    </row>
    <row r="107">
      <c r="A107" s="17"/>
      <c r="G107" s="17"/>
    </row>
    <row r="108">
      <c r="A108" s="17"/>
      <c r="G108" s="17"/>
    </row>
    <row r="109">
      <c r="A109" s="17"/>
      <c r="G109" s="17"/>
    </row>
    <row r="110">
      <c r="A110" s="17"/>
      <c r="G110" s="17"/>
    </row>
    <row r="111">
      <c r="A111" s="17"/>
      <c r="G111" s="17"/>
    </row>
    <row r="112">
      <c r="A112" s="17"/>
      <c r="G112" s="17"/>
    </row>
    <row r="113">
      <c r="A113" s="17"/>
      <c r="G113" s="17"/>
    </row>
    <row r="114">
      <c r="A114" s="17"/>
      <c r="G114" s="17"/>
    </row>
    <row r="115">
      <c r="A115" s="17"/>
      <c r="G115" s="17"/>
    </row>
    <row r="116">
      <c r="A116" s="17"/>
      <c r="G116" s="17"/>
    </row>
    <row r="117">
      <c r="A117" s="17"/>
      <c r="G117" s="17"/>
    </row>
    <row r="118">
      <c r="A118" s="17"/>
      <c r="G118" s="17"/>
    </row>
    <row r="119">
      <c r="A119" s="17"/>
      <c r="G119" s="17"/>
    </row>
    <row r="120">
      <c r="A120" s="17"/>
      <c r="G120" s="17"/>
    </row>
    <row r="121">
      <c r="A121" s="17"/>
      <c r="G121" s="17"/>
    </row>
    <row r="122">
      <c r="A122" s="17"/>
      <c r="G122" s="17"/>
    </row>
    <row r="123">
      <c r="A123" s="17"/>
      <c r="G123" s="17"/>
    </row>
    <row r="124">
      <c r="A124" s="17"/>
      <c r="G124" s="17"/>
    </row>
    <row r="125">
      <c r="A125" s="17"/>
      <c r="G125" s="17"/>
    </row>
    <row r="126">
      <c r="A126" s="17"/>
      <c r="G126" s="17"/>
    </row>
    <row r="127">
      <c r="A127" s="17"/>
      <c r="G127" s="17"/>
    </row>
    <row r="128">
      <c r="A128" s="17"/>
      <c r="G128" s="17"/>
    </row>
    <row r="129">
      <c r="A129" s="17"/>
      <c r="G129" s="17"/>
    </row>
    <row r="130">
      <c r="A130" s="17"/>
      <c r="G130" s="17"/>
    </row>
    <row r="131">
      <c r="A131" s="17"/>
      <c r="G131" s="17"/>
    </row>
    <row r="132">
      <c r="A132" s="17"/>
      <c r="G132" s="17"/>
    </row>
    <row r="133">
      <c r="A133" s="17"/>
      <c r="G133" s="17"/>
    </row>
    <row r="134">
      <c r="A134" s="17"/>
      <c r="G134" s="17"/>
    </row>
    <row r="135">
      <c r="A135" s="17"/>
      <c r="G135" s="17"/>
    </row>
    <row r="136">
      <c r="A136" s="17"/>
      <c r="G136" s="17"/>
    </row>
    <row r="137">
      <c r="A137" s="17"/>
      <c r="G137" s="17"/>
    </row>
    <row r="138">
      <c r="A138" s="17"/>
      <c r="G138" s="17"/>
    </row>
    <row r="139">
      <c r="A139" s="17"/>
      <c r="G139" s="17"/>
    </row>
    <row r="140">
      <c r="A140" s="17"/>
      <c r="G140" s="17"/>
    </row>
    <row r="141">
      <c r="A141" s="17"/>
      <c r="G141" s="17"/>
    </row>
    <row r="142">
      <c r="A142" s="17"/>
      <c r="G142" s="17"/>
    </row>
    <row r="143">
      <c r="A143" s="17"/>
      <c r="G143" s="17"/>
    </row>
    <row r="144">
      <c r="A144" s="17"/>
      <c r="G144" s="17"/>
    </row>
    <row r="145">
      <c r="A145" s="17"/>
      <c r="G145" s="17"/>
    </row>
    <row r="146">
      <c r="A146" s="17"/>
      <c r="G146" s="17"/>
    </row>
    <row r="147">
      <c r="A147" s="17"/>
      <c r="G147" s="17"/>
    </row>
    <row r="148">
      <c r="A148" s="17"/>
      <c r="G148" s="17"/>
    </row>
    <row r="149">
      <c r="A149" s="17"/>
      <c r="G149" s="17"/>
    </row>
    <row r="150">
      <c r="A150" s="17"/>
      <c r="G150" s="17"/>
    </row>
    <row r="151">
      <c r="A151" s="17"/>
      <c r="G151" s="17"/>
    </row>
    <row r="152">
      <c r="A152" s="17"/>
      <c r="G152" s="17"/>
    </row>
    <row r="153">
      <c r="A153" s="17"/>
      <c r="G153" s="17"/>
    </row>
    <row r="154">
      <c r="A154" s="17"/>
      <c r="G154" s="17"/>
    </row>
    <row r="155">
      <c r="A155" s="17"/>
      <c r="G155" s="17"/>
    </row>
    <row r="156">
      <c r="A156" s="17"/>
      <c r="G156" s="17"/>
    </row>
    <row r="157">
      <c r="A157" s="17"/>
      <c r="G157" s="17"/>
    </row>
    <row r="158">
      <c r="A158" s="17"/>
      <c r="G158" s="17"/>
    </row>
    <row r="159">
      <c r="A159" s="17"/>
      <c r="G159" s="17"/>
    </row>
    <row r="160">
      <c r="A160" s="17"/>
      <c r="G160" s="17"/>
    </row>
    <row r="161">
      <c r="A161" s="17"/>
      <c r="G161" s="17"/>
    </row>
    <row r="162">
      <c r="A162" s="17"/>
      <c r="G162" s="17"/>
    </row>
    <row r="163">
      <c r="A163" s="17"/>
      <c r="G163" s="17"/>
    </row>
    <row r="164">
      <c r="A164" s="17"/>
      <c r="G164" s="17"/>
    </row>
    <row r="165">
      <c r="A165" s="17"/>
      <c r="G165" s="17"/>
    </row>
    <row r="166">
      <c r="A166" s="17"/>
      <c r="G166" s="17"/>
    </row>
    <row r="167">
      <c r="A167" s="17"/>
      <c r="G167" s="17"/>
    </row>
    <row r="168">
      <c r="A168" s="17"/>
      <c r="G168" s="17"/>
    </row>
    <row r="169">
      <c r="A169" s="17"/>
      <c r="G169" s="17"/>
    </row>
    <row r="170">
      <c r="A170" s="17"/>
      <c r="G170" s="17"/>
    </row>
    <row r="171">
      <c r="A171" s="17"/>
      <c r="G171" s="17"/>
    </row>
    <row r="172">
      <c r="A172" s="17"/>
      <c r="G172" s="17"/>
    </row>
    <row r="173">
      <c r="A173" s="17"/>
      <c r="G173" s="17"/>
    </row>
    <row r="174">
      <c r="A174" s="17"/>
      <c r="G174" s="17"/>
    </row>
    <row r="175">
      <c r="A175" s="17"/>
      <c r="G175" s="17"/>
    </row>
    <row r="176">
      <c r="A176" s="17"/>
      <c r="G176" s="17"/>
    </row>
    <row r="177">
      <c r="A177" s="17"/>
      <c r="G177" s="17"/>
    </row>
    <row r="178">
      <c r="A178" s="17"/>
      <c r="G178" s="17"/>
    </row>
    <row r="179">
      <c r="A179" s="17"/>
      <c r="G179" s="17"/>
    </row>
    <row r="180">
      <c r="A180" s="17"/>
      <c r="G180" s="17"/>
    </row>
    <row r="181">
      <c r="A181" s="17"/>
      <c r="G181" s="17"/>
    </row>
    <row r="182">
      <c r="A182" s="17"/>
      <c r="G182" s="17"/>
    </row>
    <row r="183">
      <c r="A183" s="17"/>
      <c r="G183" s="17"/>
    </row>
    <row r="184">
      <c r="A184" s="17"/>
      <c r="G184" s="17"/>
    </row>
    <row r="185">
      <c r="A185" s="17"/>
      <c r="G185" s="17"/>
    </row>
    <row r="186">
      <c r="A186" s="17"/>
      <c r="G186" s="17"/>
    </row>
    <row r="187">
      <c r="A187" s="17"/>
      <c r="G187" s="17"/>
    </row>
    <row r="188">
      <c r="A188" s="17"/>
      <c r="G188" s="17"/>
    </row>
    <row r="189">
      <c r="A189" s="17"/>
      <c r="G189" s="17"/>
    </row>
    <row r="190">
      <c r="A190" s="17"/>
      <c r="G190" s="17"/>
    </row>
    <row r="191">
      <c r="A191" s="17"/>
      <c r="G191" s="17"/>
    </row>
    <row r="192">
      <c r="A192" s="17"/>
      <c r="G192" s="17"/>
    </row>
    <row r="193">
      <c r="A193" s="17"/>
      <c r="G193" s="17"/>
    </row>
    <row r="194">
      <c r="A194" s="17"/>
      <c r="G194" s="17"/>
    </row>
    <row r="195">
      <c r="A195" s="17"/>
      <c r="G195" s="17"/>
    </row>
    <row r="196">
      <c r="A196" s="17"/>
      <c r="G196" s="17"/>
    </row>
    <row r="197">
      <c r="A197" s="17"/>
      <c r="G197" s="17"/>
    </row>
    <row r="198">
      <c r="A198" s="17"/>
      <c r="G198" s="17"/>
    </row>
    <row r="199">
      <c r="A199" s="17"/>
      <c r="G199" s="17"/>
    </row>
    <row r="200">
      <c r="A200" s="17"/>
      <c r="G200" s="17"/>
    </row>
    <row r="201">
      <c r="A201" s="17"/>
      <c r="G201" s="17"/>
    </row>
    <row r="202">
      <c r="A202" s="17"/>
      <c r="G202" s="17"/>
    </row>
    <row r="203">
      <c r="A203" s="17"/>
      <c r="G203" s="17"/>
    </row>
    <row r="204">
      <c r="A204" s="17"/>
      <c r="G204" s="17"/>
    </row>
    <row r="205">
      <c r="A205" s="17"/>
      <c r="G205" s="17"/>
    </row>
    <row r="206">
      <c r="A206" s="17"/>
      <c r="G206" s="17"/>
    </row>
    <row r="207">
      <c r="A207" s="17"/>
      <c r="G207" s="17"/>
    </row>
    <row r="208">
      <c r="A208" s="17"/>
      <c r="G208" s="17"/>
    </row>
    <row r="209">
      <c r="A209" s="17"/>
      <c r="G209" s="17"/>
    </row>
    <row r="210">
      <c r="A210" s="17"/>
      <c r="G210" s="17"/>
    </row>
    <row r="211">
      <c r="A211" s="17"/>
      <c r="G211" s="17"/>
    </row>
    <row r="212">
      <c r="A212" s="17"/>
      <c r="G212" s="17"/>
    </row>
    <row r="213">
      <c r="A213" s="17"/>
      <c r="G213" s="17"/>
    </row>
    <row r="214">
      <c r="A214" s="17"/>
      <c r="G214" s="17"/>
    </row>
    <row r="215">
      <c r="A215" s="17"/>
      <c r="G215" s="17"/>
    </row>
    <row r="216">
      <c r="A216" s="17"/>
      <c r="G216" s="17"/>
    </row>
    <row r="217">
      <c r="A217" s="17"/>
      <c r="G217" s="17"/>
    </row>
    <row r="218">
      <c r="A218" s="17"/>
      <c r="G218" s="17"/>
    </row>
    <row r="219">
      <c r="A219" s="17"/>
      <c r="G219" s="17"/>
    </row>
    <row r="220">
      <c r="A220" s="17"/>
      <c r="G220" s="17"/>
    </row>
    <row r="221">
      <c r="A221" s="17"/>
      <c r="G221" s="17"/>
    </row>
    <row r="222">
      <c r="A222" s="17"/>
      <c r="G222" s="17"/>
    </row>
    <row r="223">
      <c r="A223" s="17"/>
      <c r="G223" s="17"/>
    </row>
    <row r="224">
      <c r="A224" s="17"/>
      <c r="G224" s="17"/>
    </row>
    <row r="225">
      <c r="A225" s="17"/>
      <c r="G225" s="17"/>
    </row>
    <row r="226">
      <c r="A226" s="17"/>
      <c r="G226" s="17"/>
    </row>
    <row r="227">
      <c r="A227" s="17"/>
      <c r="G227" s="17"/>
    </row>
    <row r="228">
      <c r="A228" s="17"/>
      <c r="G228" s="17"/>
    </row>
    <row r="229">
      <c r="A229" s="17"/>
      <c r="G229" s="17"/>
    </row>
    <row r="230">
      <c r="A230" s="17"/>
      <c r="G230" s="17"/>
    </row>
    <row r="231">
      <c r="A231" s="17"/>
      <c r="G231" s="17"/>
    </row>
    <row r="232">
      <c r="A232" s="17"/>
      <c r="G232" s="17"/>
    </row>
    <row r="233">
      <c r="A233" s="17"/>
      <c r="G233" s="17"/>
    </row>
    <row r="234">
      <c r="A234" s="17"/>
      <c r="G234" s="17"/>
    </row>
    <row r="235">
      <c r="A235" s="17"/>
      <c r="G235" s="17"/>
    </row>
    <row r="236">
      <c r="A236" s="17"/>
      <c r="G236" s="17"/>
    </row>
    <row r="237">
      <c r="A237" s="17"/>
      <c r="G237" s="17"/>
    </row>
    <row r="238">
      <c r="A238" s="17"/>
      <c r="G238" s="17"/>
    </row>
    <row r="239">
      <c r="A239" s="17"/>
      <c r="G239" s="17"/>
    </row>
    <row r="240">
      <c r="A240" s="17"/>
      <c r="G240" s="17"/>
    </row>
    <row r="241">
      <c r="A241" s="17"/>
      <c r="G241" s="17"/>
    </row>
    <row r="242">
      <c r="A242" s="17"/>
      <c r="G242" s="17"/>
    </row>
    <row r="243">
      <c r="A243" s="17"/>
      <c r="G243" s="17"/>
    </row>
    <row r="244">
      <c r="A244" s="17"/>
      <c r="G244" s="17"/>
    </row>
    <row r="245">
      <c r="A245" s="17"/>
      <c r="G245" s="17"/>
    </row>
    <row r="246">
      <c r="A246" s="17"/>
      <c r="G246" s="17"/>
    </row>
    <row r="247">
      <c r="A247" s="17"/>
      <c r="G247" s="17"/>
    </row>
    <row r="248">
      <c r="A248" s="17"/>
      <c r="G248" s="17"/>
    </row>
    <row r="249">
      <c r="A249" s="17"/>
      <c r="G249" s="17"/>
    </row>
    <row r="250">
      <c r="A250" s="17"/>
      <c r="G250" s="17"/>
    </row>
    <row r="251">
      <c r="A251" s="17"/>
      <c r="G251" s="17"/>
    </row>
    <row r="252">
      <c r="A252" s="17"/>
      <c r="G252" s="17"/>
    </row>
    <row r="253">
      <c r="A253" s="17"/>
      <c r="G253" s="17"/>
    </row>
    <row r="254">
      <c r="A254" s="17"/>
      <c r="G254" s="17"/>
    </row>
    <row r="255">
      <c r="A255" s="17"/>
      <c r="G255" s="17"/>
    </row>
    <row r="256">
      <c r="A256" s="17"/>
      <c r="G256" s="17"/>
    </row>
    <row r="257">
      <c r="A257" s="17"/>
      <c r="G257" s="17"/>
    </row>
    <row r="258">
      <c r="A258" s="17"/>
      <c r="G258" s="17"/>
    </row>
    <row r="259">
      <c r="A259" s="17"/>
      <c r="G259" s="17"/>
    </row>
    <row r="260">
      <c r="A260" s="17"/>
      <c r="G260" s="17"/>
    </row>
    <row r="261">
      <c r="A261" s="17"/>
      <c r="G261" s="17"/>
    </row>
    <row r="262">
      <c r="A262" s="17"/>
      <c r="G262" s="17"/>
    </row>
    <row r="263">
      <c r="A263" s="17"/>
      <c r="G263" s="17"/>
    </row>
    <row r="264">
      <c r="A264" s="17"/>
      <c r="G264" s="17"/>
    </row>
    <row r="265">
      <c r="A265" s="17"/>
      <c r="G265" s="17"/>
    </row>
    <row r="266">
      <c r="A266" s="17"/>
      <c r="G266" s="17"/>
    </row>
    <row r="267">
      <c r="A267" s="17"/>
      <c r="G267" s="17"/>
    </row>
    <row r="268">
      <c r="A268" s="17"/>
      <c r="G268" s="17"/>
    </row>
    <row r="269">
      <c r="A269" s="17"/>
      <c r="G269" s="17"/>
    </row>
    <row r="270">
      <c r="A270" s="17"/>
      <c r="G270" s="17"/>
    </row>
    <row r="271">
      <c r="A271" s="17"/>
      <c r="G271" s="17"/>
    </row>
    <row r="272">
      <c r="A272" s="17"/>
      <c r="G272" s="17"/>
    </row>
    <row r="273">
      <c r="A273" s="17"/>
      <c r="G273" s="17"/>
    </row>
    <row r="274">
      <c r="A274" s="17"/>
      <c r="G274" s="17"/>
    </row>
    <row r="275">
      <c r="A275" s="17"/>
      <c r="G275" s="17"/>
    </row>
    <row r="276">
      <c r="A276" s="17"/>
      <c r="G276" s="17"/>
    </row>
    <row r="277">
      <c r="A277" s="17"/>
      <c r="G277" s="17"/>
    </row>
    <row r="278">
      <c r="A278" s="17"/>
      <c r="G278" s="17"/>
    </row>
    <row r="279">
      <c r="A279" s="17"/>
      <c r="G279" s="17"/>
    </row>
    <row r="280">
      <c r="A280" s="17"/>
      <c r="G280" s="17"/>
    </row>
    <row r="281">
      <c r="A281" s="17"/>
      <c r="G281" s="17"/>
    </row>
    <row r="282">
      <c r="A282" s="17"/>
      <c r="G282" s="17"/>
    </row>
    <row r="283">
      <c r="A283" s="17"/>
      <c r="G283" s="17"/>
    </row>
    <row r="284">
      <c r="A284" s="17"/>
      <c r="G284" s="17"/>
    </row>
    <row r="285">
      <c r="A285" s="17"/>
      <c r="G285" s="17"/>
    </row>
    <row r="286">
      <c r="A286" s="17"/>
      <c r="G286" s="17"/>
    </row>
    <row r="287">
      <c r="A287" s="17"/>
      <c r="G287" s="17"/>
    </row>
    <row r="288">
      <c r="A288" s="17"/>
      <c r="G288" s="17"/>
    </row>
    <row r="289">
      <c r="A289" s="17"/>
      <c r="G289" s="17"/>
    </row>
    <row r="290">
      <c r="A290" s="17"/>
      <c r="G290" s="17"/>
    </row>
    <row r="291">
      <c r="A291" s="17"/>
      <c r="G291" s="17"/>
    </row>
    <row r="292">
      <c r="A292" s="17"/>
      <c r="G292" s="17"/>
    </row>
    <row r="293">
      <c r="A293" s="17"/>
      <c r="G293" s="17"/>
    </row>
    <row r="294">
      <c r="A294" s="17"/>
      <c r="G294" s="17"/>
    </row>
    <row r="295">
      <c r="A295" s="17"/>
      <c r="G295" s="17"/>
    </row>
    <row r="296">
      <c r="A296" s="17"/>
      <c r="G296" s="17"/>
    </row>
    <row r="297">
      <c r="A297" s="17"/>
      <c r="G297" s="17"/>
    </row>
    <row r="298">
      <c r="A298" s="17"/>
      <c r="G298" s="17"/>
    </row>
    <row r="299">
      <c r="A299" s="17"/>
      <c r="G299" s="17"/>
    </row>
    <row r="300">
      <c r="A300" s="17"/>
      <c r="G300" s="17"/>
    </row>
    <row r="301">
      <c r="A301" s="17"/>
      <c r="G301" s="17"/>
    </row>
    <row r="302">
      <c r="A302" s="17"/>
      <c r="G302" s="17"/>
    </row>
    <row r="303">
      <c r="A303" s="17"/>
      <c r="G303" s="17"/>
    </row>
    <row r="304">
      <c r="A304" s="17"/>
      <c r="G304" s="17"/>
    </row>
    <row r="305">
      <c r="A305" s="17"/>
      <c r="G305" s="17"/>
    </row>
    <row r="306">
      <c r="A306" s="17"/>
      <c r="G306" s="17"/>
    </row>
    <row r="307">
      <c r="A307" s="17"/>
      <c r="G307" s="17"/>
    </row>
    <row r="308">
      <c r="A308" s="17"/>
      <c r="G308" s="17"/>
    </row>
    <row r="309">
      <c r="A309" s="17"/>
      <c r="G309" s="17"/>
    </row>
    <row r="310">
      <c r="A310" s="17"/>
      <c r="G310" s="17"/>
    </row>
    <row r="311">
      <c r="A311" s="17"/>
      <c r="G311" s="17"/>
    </row>
    <row r="312">
      <c r="A312" s="17"/>
      <c r="G312" s="17"/>
    </row>
    <row r="313">
      <c r="A313" s="17"/>
      <c r="G313" s="17"/>
    </row>
    <row r="314">
      <c r="A314" s="17"/>
      <c r="G314" s="17"/>
    </row>
    <row r="315">
      <c r="A315" s="17"/>
      <c r="G315" s="17"/>
    </row>
    <row r="316">
      <c r="A316" s="17"/>
      <c r="G316" s="17"/>
    </row>
    <row r="317">
      <c r="A317" s="17"/>
      <c r="G317" s="17"/>
    </row>
    <row r="318">
      <c r="A318" s="17"/>
      <c r="G318" s="17"/>
    </row>
    <row r="319">
      <c r="A319" s="17"/>
      <c r="G319" s="17"/>
    </row>
    <row r="320">
      <c r="A320" s="17"/>
      <c r="G320" s="17"/>
    </row>
    <row r="321">
      <c r="A321" s="17"/>
      <c r="G321" s="17"/>
    </row>
    <row r="322">
      <c r="A322" s="17"/>
      <c r="G322" s="17"/>
    </row>
    <row r="323">
      <c r="A323" s="17"/>
      <c r="G323" s="17"/>
    </row>
    <row r="324">
      <c r="A324" s="17"/>
      <c r="G324" s="17"/>
    </row>
    <row r="325">
      <c r="A325" s="17"/>
      <c r="G325" s="17"/>
    </row>
    <row r="326">
      <c r="A326" s="17"/>
      <c r="G326" s="17"/>
    </row>
    <row r="327">
      <c r="A327" s="17"/>
      <c r="G327" s="17"/>
    </row>
    <row r="328">
      <c r="A328" s="17"/>
      <c r="G328" s="17"/>
    </row>
    <row r="329">
      <c r="A329" s="17"/>
      <c r="G329" s="17"/>
    </row>
    <row r="330">
      <c r="A330" s="17"/>
      <c r="G330" s="17"/>
    </row>
    <row r="331">
      <c r="A331" s="17"/>
      <c r="G331" s="17"/>
    </row>
    <row r="332">
      <c r="A332" s="17"/>
      <c r="G332" s="17"/>
    </row>
    <row r="333">
      <c r="A333" s="17"/>
      <c r="G333" s="17"/>
    </row>
    <row r="334">
      <c r="A334" s="17"/>
      <c r="G334" s="17"/>
    </row>
    <row r="335">
      <c r="A335" s="17"/>
      <c r="G335" s="17"/>
    </row>
    <row r="336">
      <c r="A336" s="17"/>
      <c r="G336" s="17"/>
    </row>
    <row r="337">
      <c r="A337" s="17"/>
      <c r="G337" s="17"/>
    </row>
    <row r="338">
      <c r="A338" s="17"/>
      <c r="G338" s="17"/>
    </row>
    <row r="339">
      <c r="A339" s="17"/>
      <c r="G339" s="17"/>
    </row>
    <row r="340">
      <c r="A340" s="17"/>
      <c r="G340" s="17"/>
    </row>
    <row r="341">
      <c r="A341" s="17"/>
      <c r="G341" s="17"/>
    </row>
    <row r="342">
      <c r="A342" s="17"/>
      <c r="G342" s="17"/>
    </row>
    <row r="343">
      <c r="A343" s="17"/>
      <c r="G343" s="17"/>
    </row>
    <row r="344">
      <c r="A344" s="17"/>
      <c r="G344" s="17"/>
    </row>
    <row r="345">
      <c r="A345" s="17"/>
      <c r="G345" s="17"/>
    </row>
    <row r="346">
      <c r="A346" s="17"/>
      <c r="G346" s="17"/>
    </row>
    <row r="347">
      <c r="A347" s="17"/>
      <c r="G347" s="17"/>
    </row>
    <row r="348">
      <c r="A348" s="17"/>
      <c r="G348" s="17"/>
    </row>
    <row r="349">
      <c r="A349" s="17"/>
      <c r="G349" s="17"/>
    </row>
    <row r="350">
      <c r="A350" s="17"/>
      <c r="G350" s="17"/>
    </row>
    <row r="351">
      <c r="A351" s="17"/>
      <c r="G351" s="17"/>
    </row>
    <row r="352">
      <c r="A352" s="17"/>
      <c r="G352" s="17"/>
    </row>
    <row r="353">
      <c r="A353" s="17"/>
      <c r="G353" s="17"/>
    </row>
    <row r="354">
      <c r="A354" s="17"/>
      <c r="G354" s="17"/>
    </row>
    <row r="355">
      <c r="A355" s="17"/>
      <c r="G355" s="17"/>
    </row>
    <row r="356">
      <c r="A356" s="17"/>
      <c r="G356" s="17"/>
    </row>
    <row r="357">
      <c r="A357" s="17"/>
      <c r="G357" s="17"/>
    </row>
    <row r="358">
      <c r="A358" s="17"/>
      <c r="G358" s="17"/>
    </row>
    <row r="359">
      <c r="A359" s="17"/>
      <c r="G359" s="17"/>
    </row>
    <row r="360">
      <c r="A360" s="17"/>
      <c r="G360" s="17"/>
    </row>
    <row r="361">
      <c r="A361" s="17"/>
      <c r="G361" s="17"/>
    </row>
    <row r="362">
      <c r="A362" s="17"/>
      <c r="G362" s="17"/>
    </row>
    <row r="363">
      <c r="A363" s="17"/>
      <c r="G363" s="17"/>
    </row>
    <row r="364">
      <c r="A364" s="17"/>
      <c r="G364" s="17"/>
    </row>
    <row r="365">
      <c r="A365" s="17"/>
      <c r="G365" s="17"/>
    </row>
    <row r="366">
      <c r="A366" s="17"/>
      <c r="G366" s="17"/>
    </row>
    <row r="367">
      <c r="A367" s="17"/>
      <c r="G367" s="17"/>
    </row>
    <row r="368">
      <c r="A368" s="17"/>
      <c r="G368" s="17"/>
    </row>
    <row r="369">
      <c r="A369" s="17"/>
      <c r="G369" s="17"/>
    </row>
    <row r="370">
      <c r="A370" s="17"/>
      <c r="G370" s="17"/>
    </row>
    <row r="371">
      <c r="A371" s="17"/>
      <c r="G371" s="17"/>
    </row>
    <row r="372">
      <c r="A372" s="17"/>
      <c r="G372" s="17"/>
    </row>
    <row r="373">
      <c r="A373" s="17"/>
      <c r="G373" s="17"/>
    </row>
    <row r="374">
      <c r="A374" s="17"/>
      <c r="G374" s="17"/>
    </row>
    <row r="375">
      <c r="A375" s="17"/>
      <c r="G375" s="17"/>
    </row>
    <row r="376">
      <c r="A376" s="17"/>
      <c r="G376" s="17"/>
    </row>
    <row r="377">
      <c r="A377" s="17"/>
      <c r="G377" s="17"/>
    </row>
    <row r="378">
      <c r="A378" s="17"/>
      <c r="G378" s="17"/>
    </row>
    <row r="379">
      <c r="A379" s="17"/>
      <c r="G379" s="17"/>
    </row>
    <row r="380">
      <c r="A380" s="17"/>
      <c r="G380" s="17"/>
    </row>
    <row r="381">
      <c r="A381" s="17"/>
      <c r="G381" s="17"/>
    </row>
    <row r="382">
      <c r="A382" s="17"/>
      <c r="G382" s="17"/>
    </row>
    <row r="383">
      <c r="A383" s="17"/>
      <c r="G383" s="17"/>
    </row>
    <row r="384">
      <c r="A384" s="17"/>
      <c r="G384" s="17"/>
    </row>
    <row r="385">
      <c r="A385" s="17"/>
      <c r="G385" s="17"/>
    </row>
    <row r="386">
      <c r="A386" s="17"/>
      <c r="G386" s="17"/>
    </row>
    <row r="387">
      <c r="A387" s="17"/>
      <c r="G387" s="17"/>
    </row>
    <row r="388">
      <c r="A388" s="17"/>
      <c r="G388" s="17"/>
    </row>
    <row r="389">
      <c r="A389" s="17"/>
      <c r="G389" s="17"/>
    </row>
    <row r="390">
      <c r="A390" s="17"/>
      <c r="G390" s="17"/>
    </row>
    <row r="391">
      <c r="A391" s="17"/>
      <c r="G391" s="17"/>
    </row>
    <row r="392">
      <c r="A392" s="17"/>
      <c r="G392" s="17"/>
    </row>
    <row r="393">
      <c r="A393" s="17"/>
      <c r="G393" s="17"/>
    </row>
    <row r="394">
      <c r="A394" s="17"/>
      <c r="G394" s="17"/>
    </row>
    <row r="395">
      <c r="A395" s="17"/>
      <c r="G395" s="17"/>
    </row>
    <row r="396">
      <c r="A396" s="17"/>
      <c r="G396" s="17"/>
    </row>
    <row r="397">
      <c r="A397" s="17"/>
      <c r="G397" s="17"/>
    </row>
    <row r="398">
      <c r="A398" s="17"/>
      <c r="G398" s="17"/>
    </row>
    <row r="399">
      <c r="A399" s="17"/>
      <c r="G399" s="17"/>
    </row>
    <row r="400">
      <c r="A400" s="17"/>
      <c r="G400" s="17"/>
    </row>
    <row r="401">
      <c r="A401" s="17"/>
      <c r="G401" s="17"/>
    </row>
    <row r="402">
      <c r="A402" s="17"/>
      <c r="G402" s="17"/>
    </row>
    <row r="403">
      <c r="A403" s="17"/>
      <c r="G403" s="17"/>
    </row>
    <row r="404">
      <c r="A404" s="17"/>
      <c r="G404" s="17"/>
    </row>
    <row r="405">
      <c r="A405" s="17"/>
      <c r="G405" s="17"/>
    </row>
    <row r="406">
      <c r="A406" s="17"/>
      <c r="G406" s="17"/>
    </row>
    <row r="407">
      <c r="A407" s="17"/>
      <c r="G407" s="17"/>
    </row>
    <row r="408">
      <c r="A408" s="17"/>
      <c r="G408" s="17"/>
    </row>
    <row r="409">
      <c r="A409" s="17"/>
      <c r="G409" s="17"/>
    </row>
    <row r="410">
      <c r="A410" s="17"/>
      <c r="G410" s="17"/>
    </row>
    <row r="411">
      <c r="A411" s="17"/>
      <c r="G411" s="17"/>
    </row>
    <row r="412">
      <c r="A412" s="17"/>
      <c r="G412" s="17"/>
    </row>
    <row r="413">
      <c r="A413" s="17"/>
      <c r="G413" s="17"/>
    </row>
    <row r="414">
      <c r="A414" s="17"/>
      <c r="G414" s="17"/>
    </row>
    <row r="415">
      <c r="A415" s="17"/>
      <c r="G415" s="17"/>
    </row>
    <row r="416">
      <c r="A416" s="17"/>
      <c r="G416" s="17"/>
    </row>
    <row r="417">
      <c r="A417" s="17"/>
      <c r="G417" s="17"/>
    </row>
    <row r="418">
      <c r="A418" s="17"/>
      <c r="G418" s="17"/>
    </row>
    <row r="419">
      <c r="A419" s="17"/>
      <c r="G419" s="17"/>
    </row>
    <row r="420">
      <c r="A420" s="17"/>
      <c r="G420" s="17"/>
    </row>
    <row r="421">
      <c r="A421" s="17"/>
      <c r="G421" s="17"/>
    </row>
    <row r="422">
      <c r="A422" s="17"/>
      <c r="G422" s="17"/>
    </row>
    <row r="423">
      <c r="A423" s="17"/>
      <c r="G423" s="17"/>
    </row>
    <row r="424">
      <c r="A424" s="17"/>
      <c r="G424" s="17"/>
    </row>
    <row r="425">
      <c r="A425" s="17"/>
      <c r="G425" s="17"/>
    </row>
    <row r="426">
      <c r="A426" s="17"/>
      <c r="G426" s="17"/>
    </row>
    <row r="427">
      <c r="A427" s="17"/>
      <c r="G427" s="17"/>
    </row>
    <row r="428">
      <c r="A428" s="17"/>
      <c r="G428" s="17"/>
    </row>
    <row r="429">
      <c r="A429" s="17"/>
      <c r="G429" s="17"/>
    </row>
    <row r="430">
      <c r="A430" s="17"/>
      <c r="G430" s="17"/>
    </row>
    <row r="431">
      <c r="A431" s="17"/>
      <c r="G431" s="17"/>
    </row>
    <row r="432">
      <c r="A432" s="17"/>
      <c r="G432" s="17"/>
    </row>
    <row r="433">
      <c r="A433" s="17"/>
      <c r="G433" s="17"/>
    </row>
    <row r="434">
      <c r="A434" s="17"/>
      <c r="G434" s="17"/>
    </row>
    <row r="435">
      <c r="A435" s="17"/>
      <c r="G435" s="17"/>
    </row>
    <row r="436">
      <c r="A436" s="17"/>
      <c r="G436" s="17"/>
    </row>
    <row r="437">
      <c r="A437" s="17"/>
      <c r="G437" s="17"/>
    </row>
    <row r="438">
      <c r="A438" s="17"/>
      <c r="G438" s="17"/>
    </row>
    <row r="439">
      <c r="A439" s="17"/>
      <c r="G439" s="17"/>
    </row>
    <row r="440">
      <c r="A440" s="17"/>
      <c r="G440" s="17"/>
    </row>
    <row r="441">
      <c r="A441" s="17"/>
      <c r="G441" s="17"/>
    </row>
    <row r="442">
      <c r="A442" s="17"/>
      <c r="G442" s="17"/>
    </row>
    <row r="443">
      <c r="A443" s="17"/>
      <c r="G443" s="17"/>
    </row>
    <row r="444">
      <c r="A444" s="17"/>
      <c r="G444" s="17"/>
    </row>
    <row r="445">
      <c r="A445" s="17"/>
      <c r="G445" s="17"/>
    </row>
    <row r="446">
      <c r="A446" s="17"/>
      <c r="G446" s="17"/>
    </row>
    <row r="447">
      <c r="A447" s="17"/>
      <c r="G447" s="17"/>
    </row>
    <row r="448">
      <c r="A448" s="17"/>
      <c r="G448" s="17"/>
    </row>
    <row r="449">
      <c r="A449" s="17"/>
      <c r="G449" s="17"/>
    </row>
    <row r="450">
      <c r="A450" s="17"/>
      <c r="G450" s="17"/>
    </row>
    <row r="451">
      <c r="A451" s="17"/>
      <c r="G451" s="17"/>
    </row>
    <row r="452">
      <c r="A452" s="17"/>
      <c r="G452" s="17"/>
    </row>
    <row r="453">
      <c r="A453" s="17"/>
      <c r="G453" s="17"/>
    </row>
    <row r="454">
      <c r="A454" s="17"/>
      <c r="G454" s="17"/>
    </row>
    <row r="455">
      <c r="A455" s="17"/>
      <c r="G455" s="17"/>
    </row>
    <row r="456">
      <c r="A456" s="17"/>
      <c r="G456" s="17"/>
    </row>
    <row r="457">
      <c r="A457" s="17"/>
      <c r="G457" s="17"/>
    </row>
    <row r="458">
      <c r="A458" s="17"/>
      <c r="G458" s="17"/>
    </row>
    <row r="459">
      <c r="A459" s="17"/>
      <c r="G459" s="17"/>
    </row>
    <row r="460">
      <c r="A460" s="17"/>
      <c r="G460" s="17"/>
    </row>
    <row r="461">
      <c r="A461" s="17"/>
      <c r="G461" s="17"/>
    </row>
    <row r="462">
      <c r="A462" s="17"/>
      <c r="G462" s="17"/>
    </row>
    <row r="463">
      <c r="A463" s="17"/>
      <c r="G463" s="17"/>
    </row>
    <row r="464">
      <c r="A464" s="17"/>
      <c r="G464" s="17"/>
    </row>
    <row r="465">
      <c r="A465" s="17"/>
      <c r="G465" s="17"/>
    </row>
    <row r="466">
      <c r="A466" s="17"/>
      <c r="G466" s="17"/>
    </row>
    <row r="467">
      <c r="A467" s="17"/>
      <c r="G467" s="17"/>
    </row>
    <row r="468">
      <c r="A468" s="17"/>
      <c r="G468" s="17"/>
    </row>
    <row r="469">
      <c r="A469" s="17"/>
      <c r="G469" s="17"/>
    </row>
    <row r="470">
      <c r="A470" s="17"/>
      <c r="G470" s="17"/>
    </row>
    <row r="471">
      <c r="A471" s="17"/>
      <c r="G471" s="17"/>
    </row>
    <row r="472">
      <c r="A472" s="17"/>
      <c r="G472" s="17"/>
    </row>
    <row r="473">
      <c r="A473" s="17"/>
      <c r="G473" s="17"/>
    </row>
    <row r="474">
      <c r="A474" s="17"/>
      <c r="G474" s="17"/>
    </row>
    <row r="475">
      <c r="A475" s="17"/>
      <c r="G475" s="17"/>
    </row>
    <row r="476">
      <c r="A476" s="17"/>
      <c r="G476" s="17"/>
    </row>
    <row r="477">
      <c r="A477" s="17"/>
      <c r="G477" s="17"/>
    </row>
    <row r="478">
      <c r="A478" s="17"/>
      <c r="G478" s="17"/>
    </row>
    <row r="479">
      <c r="A479" s="17"/>
      <c r="G479" s="17"/>
    </row>
    <row r="480">
      <c r="A480" s="17"/>
      <c r="G480" s="17"/>
    </row>
    <row r="481">
      <c r="A481" s="17"/>
      <c r="G481" s="17"/>
    </row>
    <row r="482">
      <c r="A482" s="17"/>
      <c r="G482" s="17"/>
    </row>
    <row r="483">
      <c r="A483" s="17"/>
      <c r="G483" s="17"/>
    </row>
    <row r="484">
      <c r="A484" s="17"/>
      <c r="G484" s="17"/>
    </row>
    <row r="485">
      <c r="A485" s="17"/>
      <c r="G485" s="17"/>
    </row>
    <row r="486">
      <c r="A486" s="17"/>
      <c r="G486" s="17"/>
    </row>
    <row r="487">
      <c r="A487" s="17"/>
      <c r="G487" s="17"/>
    </row>
    <row r="488">
      <c r="A488" s="17"/>
      <c r="G488" s="17"/>
    </row>
    <row r="489">
      <c r="A489" s="17"/>
      <c r="G489" s="17"/>
    </row>
    <row r="490">
      <c r="A490" s="17"/>
      <c r="G490" s="17"/>
    </row>
    <row r="491">
      <c r="A491" s="17"/>
      <c r="G491" s="17"/>
    </row>
    <row r="492">
      <c r="A492" s="17"/>
      <c r="G492" s="17"/>
    </row>
    <row r="493">
      <c r="A493" s="17"/>
      <c r="G493" s="17"/>
    </row>
    <row r="494">
      <c r="A494" s="17"/>
      <c r="G494" s="17"/>
    </row>
    <row r="495">
      <c r="A495" s="17"/>
      <c r="G495" s="17"/>
    </row>
    <row r="496">
      <c r="A496" s="17"/>
      <c r="G496" s="17"/>
    </row>
    <row r="497">
      <c r="A497" s="17"/>
      <c r="G497" s="17"/>
    </row>
    <row r="498">
      <c r="A498" s="17"/>
      <c r="G498" s="17"/>
    </row>
    <row r="499">
      <c r="A499" s="17"/>
      <c r="G499" s="17"/>
    </row>
    <row r="500">
      <c r="A500" s="17"/>
      <c r="G500" s="17"/>
    </row>
    <row r="501">
      <c r="A501" s="17"/>
      <c r="G501" s="17"/>
    </row>
    <row r="502">
      <c r="A502" s="17"/>
      <c r="G502" s="17"/>
    </row>
    <row r="503">
      <c r="A503" s="17"/>
      <c r="G503" s="17"/>
    </row>
    <row r="504">
      <c r="A504" s="17"/>
      <c r="G504" s="17"/>
    </row>
    <row r="505">
      <c r="A505" s="17"/>
      <c r="G505" s="17"/>
    </row>
    <row r="506">
      <c r="A506" s="17"/>
      <c r="G506" s="17"/>
    </row>
    <row r="507">
      <c r="A507" s="17"/>
      <c r="G507" s="17"/>
    </row>
    <row r="508">
      <c r="A508" s="17"/>
      <c r="G508" s="17"/>
    </row>
    <row r="509">
      <c r="A509" s="17"/>
      <c r="G509" s="17"/>
    </row>
    <row r="510">
      <c r="A510" s="17"/>
      <c r="G510" s="17"/>
    </row>
    <row r="511">
      <c r="A511" s="17"/>
      <c r="G511" s="17"/>
    </row>
    <row r="512">
      <c r="A512" s="17"/>
      <c r="G512" s="17"/>
    </row>
    <row r="513">
      <c r="A513" s="17"/>
      <c r="G513" s="17"/>
    </row>
    <row r="514">
      <c r="A514" s="17"/>
      <c r="G514" s="17"/>
    </row>
    <row r="515">
      <c r="A515" s="17"/>
      <c r="G515" s="17"/>
    </row>
    <row r="516">
      <c r="A516" s="17"/>
      <c r="G516" s="17"/>
    </row>
    <row r="517">
      <c r="A517" s="17"/>
      <c r="G517" s="17"/>
    </row>
    <row r="518">
      <c r="A518" s="17"/>
      <c r="G518" s="17"/>
    </row>
    <row r="519">
      <c r="A519" s="17"/>
      <c r="G519" s="17"/>
    </row>
    <row r="520">
      <c r="A520" s="17"/>
      <c r="G520" s="17"/>
    </row>
    <row r="521">
      <c r="A521" s="17"/>
      <c r="G521" s="17"/>
    </row>
    <row r="522">
      <c r="A522" s="17"/>
      <c r="G522" s="17"/>
    </row>
    <row r="523">
      <c r="A523" s="17"/>
      <c r="G523" s="17"/>
    </row>
    <row r="524">
      <c r="A524" s="17"/>
      <c r="G524" s="17"/>
    </row>
    <row r="525">
      <c r="A525" s="17"/>
      <c r="G525" s="17"/>
    </row>
    <row r="526">
      <c r="A526" s="17"/>
      <c r="G526" s="17"/>
    </row>
    <row r="527">
      <c r="A527" s="17"/>
      <c r="G527" s="17"/>
    </row>
    <row r="528">
      <c r="A528" s="17"/>
      <c r="G528" s="17"/>
    </row>
    <row r="529">
      <c r="A529" s="17"/>
      <c r="G529" s="17"/>
    </row>
    <row r="530">
      <c r="A530" s="17"/>
      <c r="G530" s="17"/>
    </row>
    <row r="531">
      <c r="A531" s="17"/>
      <c r="G531" s="17"/>
    </row>
    <row r="532">
      <c r="A532" s="17"/>
      <c r="G532" s="17"/>
    </row>
    <row r="533">
      <c r="A533" s="17"/>
      <c r="G533" s="17"/>
    </row>
    <row r="534">
      <c r="A534" s="17"/>
      <c r="G534" s="17"/>
    </row>
    <row r="535">
      <c r="A535" s="17"/>
      <c r="G535" s="17"/>
    </row>
    <row r="536">
      <c r="A536" s="17"/>
      <c r="G536" s="17"/>
    </row>
    <row r="537">
      <c r="A537" s="17"/>
      <c r="G537" s="17"/>
    </row>
    <row r="538">
      <c r="A538" s="17"/>
      <c r="G538" s="17"/>
    </row>
    <row r="539">
      <c r="A539" s="17"/>
      <c r="G539" s="17"/>
    </row>
    <row r="540">
      <c r="A540" s="17"/>
      <c r="G540" s="17"/>
    </row>
    <row r="541">
      <c r="A541" s="17"/>
      <c r="G541" s="17"/>
    </row>
    <row r="542">
      <c r="A542" s="17"/>
      <c r="G542" s="17"/>
    </row>
    <row r="543">
      <c r="A543" s="17"/>
      <c r="G543" s="17"/>
    </row>
    <row r="544">
      <c r="A544" s="17"/>
      <c r="G544" s="17"/>
    </row>
    <row r="545">
      <c r="A545" s="17"/>
      <c r="G545" s="17"/>
    </row>
    <row r="546">
      <c r="A546" s="17"/>
      <c r="G546" s="17"/>
    </row>
    <row r="547">
      <c r="A547" s="17"/>
      <c r="G547" s="17"/>
    </row>
    <row r="548">
      <c r="A548" s="17"/>
      <c r="G548" s="17"/>
    </row>
    <row r="549">
      <c r="A549" s="17"/>
      <c r="G549" s="17"/>
    </row>
    <row r="550">
      <c r="A550" s="17"/>
      <c r="G550" s="17"/>
    </row>
    <row r="551">
      <c r="A551" s="17"/>
      <c r="G551" s="17"/>
    </row>
    <row r="552">
      <c r="A552" s="17"/>
      <c r="G552" s="17"/>
    </row>
    <row r="553">
      <c r="A553" s="17"/>
      <c r="G553" s="17"/>
    </row>
    <row r="554">
      <c r="A554" s="17"/>
      <c r="G554" s="17"/>
    </row>
    <row r="555">
      <c r="A555" s="17"/>
      <c r="G555" s="17"/>
    </row>
    <row r="556">
      <c r="A556" s="17"/>
      <c r="G556" s="17"/>
    </row>
    <row r="557">
      <c r="A557" s="17"/>
      <c r="G557" s="17"/>
    </row>
    <row r="558">
      <c r="A558" s="17"/>
      <c r="G558" s="17"/>
    </row>
    <row r="559">
      <c r="A559" s="17"/>
      <c r="G559" s="17"/>
    </row>
    <row r="560">
      <c r="A560" s="17"/>
      <c r="G560" s="17"/>
    </row>
    <row r="561">
      <c r="A561" s="17"/>
      <c r="G561" s="17"/>
    </row>
    <row r="562">
      <c r="A562" s="17"/>
      <c r="G562" s="17"/>
    </row>
    <row r="563">
      <c r="A563" s="17"/>
      <c r="G563" s="17"/>
    </row>
    <row r="564">
      <c r="A564" s="17"/>
      <c r="G564" s="17"/>
    </row>
    <row r="565">
      <c r="A565" s="17"/>
      <c r="G565" s="17"/>
    </row>
    <row r="566">
      <c r="A566" s="17"/>
      <c r="G566" s="17"/>
    </row>
    <row r="567">
      <c r="A567" s="17"/>
      <c r="G567" s="17"/>
    </row>
    <row r="568">
      <c r="A568" s="17"/>
      <c r="G568" s="17"/>
    </row>
    <row r="569">
      <c r="A569" s="17"/>
      <c r="G569" s="17"/>
    </row>
    <row r="570">
      <c r="A570" s="17"/>
      <c r="G570" s="17"/>
    </row>
    <row r="571">
      <c r="A571" s="17"/>
      <c r="G571" s="17"/>
    </row>
    <row r="572">
      <c r="A572" s="17"/>
      <c r="G572" s="17"/>
    </row>
    <row r="573">
      <c r="A573" s="17"/>
      <c r="G573" s="17"/>
    </row>
    <row r="574">
      <c r="A574" s="17"/>
      <c r="G574" s="17"/>
    </row>
    <row r="575">
      <c r="A575" s="17"/>
      <c r="G575" s="17"/>
    </row>
    <row r="576">
      <c r="A576" s="17"/>
      <c r="G576" s="17"/>
    </row>
    <row r="577">
      <c r="A577" s="17"/>
      <c r="G577" s="17"/>
    </row>
    <row r="578">
      <c r="A578" s="17"/>
      <c r="G578" s="17"/>
    </row>
    <row r="579">
      <c r="A579" s="17"/>
      <c r="G579" s="17"/>
    </row>
    <row r="580">
      <c r="A580" s="17"/>
      <c r="G580" s="17"/>
    </row>
    <row r="581">
      <c r="A581" s="17"/>
      <c r="G581" s="17"/>
    </row>
    <row r="582">
      <c r="A582" s="17"/>
      <c r="G582" s="17"/>
    </row>
    <row r="583">
      <c r="A583" s="17"/>
      <c r="G583" s="17"/>
    </row>
    <row r="584">
      <c r="A584" s="17"/>
      <c r="G584" s="17"/>
    </row>
    <row r="585">
      <c r="A585" s="17"/>
      <c r="G585" s="17"/>
    </row>
    <row r="586">
      <c r="A586" s="17"/>
      <c r="G586" s="17"/>
    </row>
    <row r="587">
      <c r="A587" s="17"/>
      <c r="G587" s="17"/>
    </row>
    <row r="588">
      <c r="A588" s="17"/>
      <c r="G588" s="17"/>
    </row>
    <row r="589">
      <c r="A589" s="17"/>
      <c r="G589" s="17"/>
    </row>
    <row r="590">
      <c r="A590" s="17"/>
      <c r="G590" s="17"/>
    </row>
    <row r="591">
      <c r="A591" s="17"/>
      <c r="G591" s="17"/>
    </row>
    <row r="592">
      <c r="A592" s="17"/>
      <c r="G592" s="17"/>
    </row>
    <row r="593">
      <c r="A593" s="17"/>
      <c r="G593" s="17"/>
    </row>
    <row r="594">
      <c r="A594" s="17"/>
      <c r="G594" s="17"/>
    </row>
    <row r="595">
      <c r="A595" s="17"/>
      <c r="G595" s="17"/>
    </row>
    <row r="596">
      <c r="A596" s="17"/>
      <c r="G596" s="17"/>
    </row>
    <row r="597">
      <c r="A597" s="17"/>
      <c r="G597" s="17"/>
    </row>
    <row r="598">
      <c r="A598" s="17"/>
      <c r="G598" s="17"/>
    </row>
    <row r="599">
      <c r="A599" s="17"/>
      <c r="G599" s="17"/>
    </row>
    <row r="600">
      <c r="A600" s="17"/>
      <c r="G600" s="17"/>
    </row>
    <row r="601">
      <c r="A601" s="17"/>
      <c r="G601" s="17"/>
    </row>
    <row r="602">
      <c r="A602" s="17"/>
      <c r="G602" s="17"/>
    </row>
    <row r="603">
      <c r="A603" s="17"/>
      <c r="G603" s="17"/>
    </row>
    <row r="604">
      <c r="A604" s="17"/>
      <c r="G604" s="17"/>
    </row>
    <row r="605">
      <c r="A605" s="17"/>
      <c r="G605" s="17"/>
    </row>
    <row r="606">
      <c r="A606" s="17"/>
      <c r="G606" s="17"/>
    </row>
    <row r="607">
      <c r="A607" s="17"/>
      <c r="G607" s="17"/>
    </row>
    <row r="608">
      <c r="A608" s="17"/>
      <c r="G608" s="17"/>
    </row>
    <row r="609">
      <c r="A609" s="17"/>
      <c r="G609" s="17"/>
    </row>
    <row r="610">
      <c r="A610" s="17"/>
      <c r="G610" s="17"/>
    </row>
    <row r="611">
      <c r="A611" s="17"/>
      <c r="G611" s="17"/>
    </row>
    <row r="612">
      <c r="A612" s="17"/>
      <c r="G612" s="17"/>
    </row>
    <row r="613">
      <c r="A613" s="17"/>
      <c r="G613" s="17"/>
    </row>
    <row r="614">
      <c r="A614" s="17"/>
      <c r="G614" s="17"/>
    </row>
    <row r="615">
      <c r="A615" s="17"/>
      <c r="G615" s="17"/>
    </row>
    <row r="616">
      <c r="A616" s="17"/>
      <c r="G616" s="17"/>
    </row>
    <row r="617">
      <c r="A617" s="17"/>
      <c r="G617" s="17"/>
    </row>
    <row r="618">
      <c r="A618" s="17"/>
      <c r="G618" s="17"/>
    </row>
    <row r="619">
      <c r="A619" s="17"/>
      <c r="G619" s="17"/>
    </row>
    <row r="620">
      <c r="A620" s="17"/>
      <c r="G620" s="17"/>
    </row>
    <row r="621">
      <c r="A621" s="17"/>
      <c r="G621" s="17"/>
    </row>
    <row r="622">
      <c r="A622" s="17"/>
      <c r="G622" s="17"/>
    </row>
    <row r="623">
      <c r="A623" s="17"/>
      <c r="G623" s="17"/>
    </row>
    <row r="624">
      <c r="A624" s="17"/>
      <c r="G624" s="17"/>
    </row>
    <row r="625">
      <c r="A625" s="17"/>
      <c r="G625" s="17"/>
    </row>
    <row r="626">
      <c r="A626" s="17"/>
      <c r="G626" s="17"/>
    </row>
    <row r="627">
      <c r="A627" s="17"/>
      <c r="G627" s="17"/>
    </row>
    <row r="628">
      <c r="A628" s="17"/>
      <c r="G628" s="17"/>
    </row>
    <row r="629">
      <c r="A629" s="17"/>
      <c r="G629" s="17"/>
    </row>
    <row r="630">
      <c r="A630" s="17"/>
      <c r="G630" s="17"/>
    </row>
    <row r="631">
      <c r="A631" s="17"/>
      <c r="G631" s="17"/>
    </row>
    <row r="632">
      <c r="A632" s="17"/>
      <c r="G632" s="17"/>
    </row>
    <row r="633">
      <c r="A633" s="17"/>
      <c r="G633" s="17"/>
    </row>
    <row r="634">
      <c r="A634" s="17"/>
      <c r="G634" s="17"/>
    </row>
    <row r="635">
      <c r="A635" s="17"/>
      <c r="G635" s="17"/>
    </row>
    <row r="636">
      <c r="A636" s="17"/>
      <c r="G636" s="17"/>
    </row>
    <row r="637">
      <c r="A637" s="17"/>
      <c r="G637" s="17"/>
    </row>
    <row r="638">
      <c r="A638" s="17"/>
      <c r="G638" s="17"/>
    </row>
    <row r="639">
      <c r="A639" s="17"/>
      <c r="G639" s="17"/>
    </row>
    <row r="640">
      <c r="A640" s="17"/>
      <c r="G640" s="17"/>
    </row>
    <row r="641">
      <c r="A641" s="17"/>
      <c r="G641" s="17"/>
    </row>
    <row r="642">
      <c r="A642" s="17"/>
      <c r="G642" s="17"/>
    </row>
    <row r="643">
      <c r="A643" s="17"/>
      <c r="G643" s="17"/>
    </row>
    <row r="644">
      <c r="A644" s="17"/>
      <c r="G644" s="17"/>
    </row>
    <row r="645">
      <c r="A645" s="17"/>
      <c r="G645" s="17"/>
    </row>
    <row r="646">
      <c r="A646" s="17"/>
      <c r="G646" s="17"/>
    </row>
    <row r="647">
      <c r="A647" s="17"/>
      <c r="G647" s="17"/>
    </row>
    <row r="648">
      <c r="A648" s="17"/>
      <c r="G648" s="17"/>
    </row>
    <row r="649">
      <c r="A649" s="17"/>
      <c r="G649" s="17"/>
    </row>
    <row r="650">
      <c r="A650" s="17"/>
      <c r="G650" s="17"/>
    </row>
    <row r="651">
      <c r="A651" s="17"/>
      <c r="G651" s="17"/>
    </row>
    <row r="652">
      <c r="A652" s="17"/>
      <c r="G652" s="17"/>
    </row>
    <row r="653">
      <c r="A653" s="17"/>
      <c r="G653" s="17"/>
    </row>
    <row r="654">
      <c r="A654" s="17"/>
      <c r="G654" s="17"/>
    </row>
    <row r="655">
      <c r="A655" s="17"/>
      <c r="G655" s="17"/>
    </row>
    <row r="656">
      <c r="A656" s="17"/>
      <c r="G656" s="17"/>
    </row>
    <row r="657">
      <c r="A657" s="17"/>
      <c r="G657" s="17"/>
    </row>
    <row r="658">
      <c r="A658" s="17"/>
      <c r="G658" s="17"/>
    </row>
    <row r="659">
      <c r="A659" s="17"/>
      <c r="G659" s="17"/>
    </row>
    <row r="660">
      <c r="A660" s="17"/>
      <c r="G660" s="17"/>
    </row>
    <row r="661">
      <c r="A661" s="17"/>
      <c r="G661" s="17"/>
    </row>
    <row r="662">
      <c r="A662" s="17"/>
      <c r="G662" s="17"/>
    </row>
    <row r="663">
      <c r="A663" s="17"/>
      <c r="G663" s="17"/>
    </row>
    <row r="664">
      <c r="A664" s="17"/>
      <c r="G664" s="17"/>
    </row>
    <row r="665">
      <c r="A665" s="17"/>
      <c r="G665" s="17"/>
    </row>
    <row r="666">
      <c r="A666" s="17"/>
      <c r="G666" s="17"/>
    </row>
    <row r="667">
      <c r="A667" s="17"/>
      <c r="G667" s="17"/>
    </row>
    <row r="668">
      <c r="A668" s="17"/>
      <c r="G668" s="17"/>
    </row>
    <row r="669">
      <c r="A669" s="17"/>
      <c r="G669" s="17"/>
    </row>
    <row r="670">
      <c r="A670" s="17"/>
      <c r="G670" s="17"/>
    </row>
    <row r="671">
      <c r="A671" s="17"/>
      <c r="G671" s="17"/>
    </row>
    <row r="672">
      <c r="A672" s="17"/>
      <c r="G672" s="17"/>
    </row>
    <row r="673">
      <c r="A673" s="17"/>
      <c r="G673" s="17"/>
    </row>
    <row r="674">
      <c r="A674" s="17"/>
      <c r="G674" s="17"/>
    </row>
    <row r="675">
      <c r="A675" s="17"/>
      <c r="G675" s="17"/>
    </row>
    <row r="676">
      <c r="A676" s="17"/>
      <c r="G676" s="17"/>
    </row>
    <row r="677">
      <c r="A677" s="17"/>
      <c r="G677" s="17"/>
    </row>
    <row r="678">
      <c r="A678" s="17"/>
      <c r="G678" s="17"/>
    </row>
    <row r="679">
      <c r="A679" s="17"/>
      <c r="G679" s="17"/>
    </row>
    <row r="680">
      <c r="A680" s="17"/>
      <c r="G680" s="17"/>
    </row>
    <row r="681">
      <c r="A681" s="17"/>
      <c r="G681" s="17"/>
    </row>
    <row r="682">
      <c r="A682" s="17"/>
      <c r="G682" s="17"/>
    </row>
    <row r="683">
      <c r="A683" s="17"/>
      <c r="G683" s="17"/>
    </row>
    <row r="684">
      <c r="A684" s="17"/>
      <c r="G684" s="17"/>
    </row>
    <row r="685">
      <c r="A685" s="17"/>
      <c r="G685" s="17"/>
    </row>
    <row r="686">
      <c r="A686" s="17"/>
      <c r="G686" s="17"/>
    </row>
    <row r="687">
      <c r="A687" s="17"/>
      <c r="G687" s="17"/>
    </row>
    <row r="688">
      <c r="A688" s="17"/>
      <c r="G688" s="17"/>
    </row>
    <row r="689">
      <c r="A689" s="17"/>
      <c r="G689" s="17"/>
    </row>
    <row r="690">
      <c r="A690" s="17"/>
      <c r="G690" s="17"/>
    </row>
    <row r="691">
      <c r="A691" s="17"/>
      <c r="G691" s="17"/>
    </row>
    <row r="692">
      <c r="A692" s="17"/>
      <c r="G692" s="17"/>
    </row>
    <row r="693">
      <c r="A693" s="17"/>
      <c r="G693" s="17"/>
    </row>
    <row r="694">
      <c r="A694" s="17"/>
      <c r="G694" s="17"/>
    </row>
    <row r="695">
      <c r="A695" s="17"/>
      <c r="G695" s="17"/>
    </row>
    <row r="696">
      <c r="A696" s="17"/>
      <c r="G696" s="17"/>
    </row>
    <row r="697">
      <c r="A697" s="17"/>
      <c r="G697" s="17"/>
    </row>
    <row r="698">
      <c r="A698" s="17"/>
      <c r="G698" s="17"/>
    </row>
    <row r="699">
      <c r="A699" s="17"/>
      <c r="G699" s="17"/>
    </row>
    <row r="700">
      <c r="A700" s="17"/>
      <c r="G700" s="17"/>
    </row>
    <row r="701">
      <c r="A701" s="17"/>
      <c r="G701" s="17"/>
    </row>
    <row r="702">
      <c r="A702" s="17"/>
      <c r="G702" s="17"/>
    </row>
    <row r="703">
      <c r="A703" s="17"/>
      <c r="G703" s="17"/>
    </row>
    <row r="704">
      <c r="A704" s="17"/>
      <c r="G704" s="17"/>
    </row>
    <row r="705">
      <c r="A705" s="17"/>
      <c r="G705" s="17"/>
    </row>
    <row r="706">
      <c r="A706" s="17"/>
      <c r="G706" s="17"/>
    </row>
    <row r="707">
      <c r="A707" s="17"/>
      <c r="G707" s="17"/>
    </row>
    <row r="708">
      <c r="A708" s="17"/>
      <c r="G708" s="17"/>
    </row>
    <row r="709">
      <c r="A709" s="17"/>
      <c r="G709" s="17"/>
    </row>
    <row r="710">
      <c r="A710" s="17"/>
      <c r="G710" s="17"/>
    </row>
    <row r="711">
      <c r="A711" s="17"/>
      <c r="G711" s="17"/>
    </row>
    <row r="712">
      <c r="A712" s="17"/>
      <c r="G712" s="17"/>
    </row>
    <row r="713">
      <c r="A713" s="17"/>
      <c r="G713" s="17"/>
    </row>
    <row r="714">
      <c r="A714" s="17"/>
      <c r="G714" s="17"/>
    </row>
    <row r="715">
      <c r="A715" s="17"/>
      <c r="G715" s="17"/>
    </row>
    <row r="716">
      <c r="A716" s="17"/>
      <c r="G716" s="17"/>
    </row>
    <row r="717">
      <c r="A717" s="17"/>
      <c r="G717" s="17"/>
    </row>
    <row r="718">
      <c r="A718" s="17"/>
      <c r="G718" s="17"/>
    </row>
    <row r="719">
      <c r="A719" s="17"/>
      <c r="G719" s="17"/>
    </row>
    <row r="720">
      <c r="A720" s="17"/>
      <c r="G720" s="17"/>
    </row>
    <row r="721">
      <c r="A721" s="17"/>
      <c r="G721" s="17"/>
    </row>
    <row r="722">
      <c r="A722" s="17"/>
      <c r="G722" s="17"/>
    </row>
    <row r="723">
      <c r="A723" s="17"/>
      <c r="G723" s="17"/>
    </row>
    <row r="724">
      <c r="A724" s="17"/>
      <c r="G724" s="17"/>
    </row>
    <row r="725">
      <c r="A725" s="17"/>
      <c r="G725" s="17"/>
    </row>
    <row r="726">
      <c r="A726" s="17"/>
      <c r="G726" s="17"/>
    </row>
    <row r="727">
      <c r="A727" s="17"/>
      <c r="G727" s="17"/>
    </row>
    <row r="728">
      <c r="A728" s="17"/>
      <c r="G728" s="17"/>
    </row>
    <row r="729">
      <c r="A729" s="17"/>
      <c r="G729" s="17"/>
    </row>
    <row r="730">
      <c r="A730" s="17"/>
      <c r="G730" s="17"/>
    </row>
    <row r="731">
      <c r="A731" s="17"/>
      <c r="G731" s="17"/>
    </row>
    <row r="732">
      <c r="A732" s="17"/>
      <c r="G732" s="17"/>
    </row>
    <row r="733">
      <c r="A733" s="17"/>
      <c r="G733" s="17"/>
    </row>
    <row r="734">
      <c r="A734" s="17"/>
      <c r="G734" s="17"/>
    </row>
    <row r="735">
      <c r="A735" s="17"/>
      <c r="G735" s="17"/>
    </row>
    <row r="736">
      <c r="A736" s="17"/>
      <c r="G736" s="17"/>
    </row>
    <row r="737">
      <c r="A737" s="17"/>
      <c r="G737" s="17"/>
    </row>
    <row r="738">
      <c r="A738" s="17"/>
      <c r="G738" s="17"/>
    </row>
    <row r="739">
      <c r="A739" s="17"/>
      <c r="G739" s="17"/>
    </row>
    <row r="740">
      <c r="A740" s="17"/>
      <c r="G740" s="17"/>
    </row>
    <row r="741">
      <c r="A741" s="17"/>
      <c r="G741" s="17"/>
    </row>
    <row r="742">
      <c r="A742" s="17"/>
      <c r="G742" s="17"/>
    </row>
    <row r="743">
      <c r="A743" s="17"/>
      <c r="G743" s="17"/>
    </row>
    <row r="744">
      <c r="A744" s="17"/>
      <c r="G744" s="17"/>
    </row>
    <row r="745">
      <c r="A745" s="17"/>
      <c r="G745" s="17"/>
    </row>
    <row r="746">
      <c r="A746" s="17"/>
      <c r="G746" s="17"/>
    </row>
    <row r="747">
      <c r="A747" s="17"/>
      <c r="G747" s="17"/>
    </row>
    <row r="748">
      <c r="A748" s="17"/>
      <c r="G748" s="17"/>
    </row>
    <row r="749">
      <c r="A749" s="17"/>
      <c r="G749" s="17"/>
    </row>
    <row r="750">
      <c r="A750" s="17"/>
      <c r="G750" s="17"/>
    </row>
    <row r="751">
      <c r="A751" s="17"/>
      <c r="G751" s="17"/>
    </row>
    <row r="752">
      <c r="A752" s="17"/>
      <c r="G752" s="17"/>
    </row>
    <row r="753">
      <c r="A753" s="17"/>
      <c r="G753" s="17"/>
    </row>
    <row r="754">
      <c r="A754" s="17"/>
      <c r="G754" s="17"/>
    </row>
    <row r="755">
      <c r="A755" s="17"/>
      <c r="G755" s="17"/>
    </row>
    <row r="756">
      <c r="A756" s="17"/>
      <c r="G756" s="17"/>
    </row>
    <row r="757">
      <c r="A757" s="17"/>
      <c r="G757" s="17"/>
    </row>
    <row r="758">
      <c r="A758" s="17"/>
      <c r="G758" s="17"/>
    </row>
    <row r="759">
      <c r="A759" s="17"/>
      <c r="G759" s="17"/>
    </row>
    <row r="760">
      <c r="A760" s="17"/>
      <c r="G760" s="17"/>
    </row>
    <row r="761">
      <c r="A761" s="17"/>
      <c r="G761" s="17"/>
    </row>
    <row r="762">
      <c r="A762" s="17"/>
      <c r="G762" s="17"/>
    </row>
    <row r="763">
      <c r="A763" s="17"/>
      <c r="G763" s="17"/>
    </row>
    <row r="764">
      <c r="A764" s="17"/>
      <c r="G764" s="17"/>
    </row>
    <row r="765">
      <c r="A765" s="17"/>
      <c r="G765" s="17"/>
    </row>
    <row r="766">
      <c r="A766" s="17"/>
      <c r="G766" s="17"/>
    </row>
    <row r="767">
      <c r="A767" s="17"/>
      <c r="G767" s="17"/>
    </row>
    <row r="768">
      <c r="A768" s="17"/>
      <c r="G768" s="17"/>
    </row>
    <row r="769">
      <c r="A769" s="17"/>
      <c r="G769" s="17"/>
    </row>
    <row r="770">
      <c r="A770" s="17"/>
      <c r="G770" s="17"/>
    </row>
    <row r="771">
      <c r="A771" s="17"/>
      <c r="G771" s="17"/>
    </row>
    <row r="772">
      <c r="A772" s="17"/>
      <c r="G772" s="17"/>
    </row>
    <row r="773">
      <c r="A773" s="17"/>
      <c r="G773" s="17"/>
    </row>
    <row r="774">
      <c r="A774" s="17"/>
      <c r="G774" s="17"/>
    </row>
    <row r="775">
      <c r="A775" s="17"/>
      <c r="G775" s="17"/>
    </row>
    <row r="776">
      <c r="A776" s="17"/>
      <c r="G776" s="17"/>
    </row>
    <row r="777">
      <c r="A777" s="17"/>
      <c r="G777" s="17"/>
    </row>
    <row r="778">
      <c r="A778" s="17"/>
      <c r="G778" s="17"/>
    </row>
    <row r="779">
      <c r="A779" s="17"/>
      <c r="G779" s="17"/>
    </row>
    <row r="780">
      <c r="A780" s="17"/>
      <c r="G780" s="17"/>
    </row>
    <row r="781">
      <c r="A781" s="17"/>
      <c r="G781" s="17"/>
    </row>
    <row r="782">
      <c r="A782" s="17"/>
      <c r="G782" s="17"/>
    </row>
    <row r="783">
      <c r="A783" s="17"/>
      <c r="G783" s="17"/>
    </row>
    <row r="784">
      <c r="A784" s="17"/>
      <c r="G784" s="17"/>
    </row>
    <row r="785">
      <c r="A785" s="17"/>
      <c r="G785" s="17"/>
    </row>
    <row r="786">
      <c r="A786" s="17"/>
      <c r="G786" s="17"/>
    </row>
    <row r="787">
      <c r="A787" s="17"/>
      <c r="G787" s="17"/>
    </row>
    <row r="788">
      <c r="A788" s="17"/>
      <c r="G788" s="17"/>
    </row>
    <row r="789">
      <c r="A789" s="17"/>
      <c r="G789" s="17"/>
    </row>
    <row r="790">
      <c r="A790" s="17"/>
      <c r="G790" s="17"/>
    </row>
    <row r="791">
      <c r="A791" s="17"/>
      <c r="G791" s="17"/>
    </row>
    <row r="792">
      <c r="A792" s="17"/>
      <c r="G792" s="17"/>
    </row>
    <row r="793">
      <c r="A793" s="17"/>
      <c r="G793" s="17"/>
    </row>
    <row r="794">
      <c r="A794" s="17"/>
      <c r="G794" s="17"/>
    </row>
    <row r="795">
      <c r="A795" s="17"/>
      <c r="G795" s="17"/>
    </row>
    <row r="796">
      <c r="A796" s="17"/>
      <c r="G796" s="17"/>
    </row>
    <row r="797">
      <c r="A797" s="17"/>
      <c r="G797" s="17"/>
    </row>
    <row r="798">
      <c r="A798" s="17"/>
      <c r="G798" s="17"/>
    </row>
    <row r="799">
      <c r="A799" s="17"/>
      <c r="G799" s="17"/>
    </row>
    <row r="800">
      <c r="A800" s="17"/>
      <c r="G800" s="17"/>
    </row>
    <row r="801">
      <c r="A801" s="17"/>
      <c r="G801" s="17"/>
    </row>
    <row r="802">
      <c r="A802" s="17"/>
      <c r="G802" s="17"/>
    </row>
    <row r="803">
      <c r="A803" s="17"/>
      <c r="G803" s="17"/>
    </row>
    <row r="804">
      <c r="A804" s="17"/>
      <c r="G804" s="17"/>
    </row>
    <row r="805">
      <c r="A805" s="17"/>
      <c r="G805" s="17"/>
    </row>
    <row r="806">
      <c r="A806" s="17"/>
      <c r="G806" s="17"/>
    </row>
    <row r="807">
      <c r="A807" s="17"/>
      <c r="G807" s="17"/>
    </row>
    <row r="808">
      <c r="A808" s="17"/>
      <c r="G808" s="17"/>
    </row>
    <row r="809">
      <c r="A809" s="17"/>
      <c r="G809" s="17"/>
    </row>
    <row r="810">
      <c r="A810" s="17"/>
      <c r="G810" s="17"/>
    </row>
    <row r="811">
      <c r="A811" s="17"/>
      <c r="G811" s="17"/>
    </row>
    <row r="812">
      <c r="A812" s="17"/>
      <c r="G812" s="17"/>
    </row>
    <row r="813">
      <c r="A813" s="17"/>
      <c r="G813" s="17"/>
    </row>
    <row r="814">
      <c r="A814" s="17"/>
      <c r="G814" s="17"/>
    </row>
    <row r="815">
      <c r="A815" s="17"/>
      <c r="G815" s="17"/>
    </row>
    <row r="816">
      <c r="A816" s="17"/>
      <c r="G816" s="17"/>
    </row>
    <row r="817">
      <c r="A817" s="17"/>
      <c r="G817" s="17"/>
    </row>
    <row r="818">
      <c r="A818" s="17"/>
      <c r="G818" s="17"/>
    </row>
    <row r="819">
      <c r="A819" s="17"/>
      <c r="G819" s="17"/>
    </row>
    <row r="820">
      <c r="A820" s="17"/>
      <c r="G820" s="17"/>
    </row>
    <row r="821">
      <c r="A821" s="17"/>
      <c r="G821" s="17"/>
    </row>
    <row r="822">
      <c r="A822" s="17"/>
      <c r="G822" s="17"/>
    </row>
    <row r="823">
      <c r="A823" s="17"/>
      <c r="G823" s="17"/>
    </row>
    <row r="824">
      <c r="A824" s="17"/>
      <c r="G824" s="17"/>
    </row>
    <row r="825">
      <c r="A825" s="17"/>
      <c r="G825" s="17"/>
    </row>
    <row r="826">
      <c r="A826" s="17"/>
      <c r="G826" s="17"/>
    </row>
    <row r="827">
      <c r="A827" s="17"/>
      <c r="G827" s="17"/>
    </row>
    <row r="828">
      <c r="A828" s="17"/>
      <c r="G828" s="17"/>
    </row>
    <row r="829">
      <c r="A829" s="17"/>
      <c r="G829" s="17"/>
    </row>
    <row r="830">
      <c r="A830" s="17"/>
      <c r="G830" s="17"/>
    </row>
    <row r="831">
      <c r="A831" s="17"/>
      <c r="G831" s="17"/>
    </row>
    <row r="832">
      <c r="A832" s="17"/>
      <c r="G832" s="17"/>
    </row>
    <row r="833">
      <c r="A833" s="17"/>
      <c r="G833" s="17"/>
    </row>
    <row r="834">
      <c r="A834" s="17"/>
      <c r="G834" s="17"/>
    </row>
    <row r="835">
      <c r="A835" s="17"/>
      <c r="G835" s="17"/>
    </row>
    <row r="836">
      <c r="A836" s="17"/>
      <c r="G836" s="17"/>
    </row>
    <row r="837">
      <c r="A837" s="17"/>
      <c r="G837" s="17"/>
    </row>
    <row r="838">
      <c r="A838" s="17"/>
      <c r="G838" s="17"/>
    </row>
    <row r="839">
      <c r="A839" s="17"/>
      <c r="G839" s="17"/>
    </row>
    <row r="840">
      <c r="A840" s="17"/>
      <c r="G840" s="17"/>
    </row>
    <row r="841">
      <c r="A841" s="17"/>
      <c r="G841" s="17"/>
    </row>
    <row r="842">
      <c r="A842" s="17"/>
      <c r="G842" s="17"/>
    </row>
    <row r="843">
      <c r="A843" s="17"/>
      <c r="G843" s="17"/>
    </row>
    <row r="844">
      <c r="A844" s="17"/>
      <c r="G844" s="17"/>
    </row>
    <row r="845">
      <c r="A845" s="17"/>
      <c r="G845" s="17"/>
    </row>
    <row r="846">
      <c r="A846" s="17"/>
      <c r="G846" s="17"/>
    </row>
    <row r="847">
      <c r="A847" s="17"/>
      <c r="G847" s="17"/>
    </row>
    <row r="848">
      <c r="A848" s="17"/>
      <c r="G848" s="17"/>
    </row>
    <row r="849">
      <c r="A849" s="17"/>
      <c r="G849" s="17"/>
    </row>
    <row r="850">
      <c r="A850" s="17"/>
      <c r="G850" s="17"/>
    </row>
    <row r="851">
      <c r="A851" s="17"/>
      <c r="G851" s="17"/>
    </row>
    <row r="852">
      <c r="A852" s="17"/>
      <c r="G852" s="17"/>
    </row>
    <row r="853">
      <c r="A853" s="17"/>
      <c r="G853" s="17"/>
    </row>
    <row r="854">
      <c r="A854" s="17"/>
      <c r="G854" s="17"/>
    </row>
    <row r="855">
      <c r="A855" s="17"/>
      <c r="G855" s="17"/>
    </row>
    <row r="856">
      <c r="A856" s="17"/>
      <c r="G856" s="17"/>
    </row>
    <row r="857">
      <c r="A857" s="17"/>
      <c r="G857" s="17"/>
    </row>
    <row r="858">
      <c r="A858" s="17"/>
      <c r="G858" s="17"/>
    </row>
    <row r="859">
      <c r="A859" s="17"/>
      <c r="G859" s="17"/>
    </row>
    <row r="860">
      <c r="A860" s="17"/>
      <c r="G860" s="17"/>
    </row>
    <row r="861">
      <c r="A861" s="17"/>
      <c r="G861" s="17"/>
    </row>
    <row r="862">
      <c r="A862" s="17"/>
      <c r="G862" s="17"/>
    </row>
    <row r="863">
      <c r="A863" s="17"/>
      <c r="G863" s="17"/>
    </row>
    <row r="864">
      <c r="A864" s="17"/>
      <c r="G864" s="17"/>
    </row>
    <row r="865">
      <c r="A865" s="17"/>
      <c r="G865" s="17"/>
    </row>
    <row r="866">
      <c r="A866" s="17"/>
      <c r="G866" s="17"/>
    </row>
    <row r="867">
      <c r="A867" s="17"/>
      <c r="G867" s="17"/>
    </row>
    <row r="868">
      <c r="A868" s="17"/>
      <c r="G868" s="17"/>
    </row>
    <row r="869">
      <c r="A869" s="17"/>
      <c r="G869" s="17"/>
    </row>
    <row r="870">
      <c r="A870" s="17"/>
      <c r="G870" s="17"/>
    </row>
    <row r="871">
      <c r="A871" s="17"/>
      <c r="G871" s="17"/>
    </row>
    <row r="872">
      <c r="A872" s="17"/>
      <c r="G872" s="17"/>
    </row>
    <row r="873">
      <c r="A873" s="17"/>
      <c r="G873" s="17"/>
    </row>
    <row r="874">
      <c r="A874" s="17"/>
      <c r="G874" s="17"/>
    </row>
    <row r="875">
      <c r="A875" s="17"/>
      <c r="G875" s="17"/>
    </row>
    <row r="876">
      <c r="A876" s="17"/>
      <c r="G876" s="17"/>
    </row>
    <row r="877">
      <c r="A877" s="17"/>
      <c r="G877" s="17"/>
    </row>
    <row r="878">
      <c r="A878" s="17"/>
      <c r="G878" s="17"/>
    </row>
    <row r="879">
      <c r="A879" s="17"/>
      <c r="G879" s="17"/>
    </row>
    <row r="880">
      <c r="A880" s="17"/>
      <c r="G880" s="17"/>
    </row>
    <row r="881">
      <c r="A881" s="17"/>
      <c r="G881" s="17"/>
    </row>
    <row r="882">
      <c r="A882" s="17"/>
      <c r="G882" s="17"/>
    </row>
    <row r="883">
      <c r="A883" s="17"/>
      <c r="G883" s="17"/>
    </row>
    <row r="884">
      <c r="A884" s="17"/>
      <c r="G884" s="17"/>
    </row>
    <row r="885">
      <c r="A885" s="17"/>
      <c r="G885" s="17"/>
    </row>
    <row r="886">
      <c r="A886" s="17"/>
      <c r="G886" s="17"/>
    </row>
    <row r="887">
      <c r="A887" s="17"/>
      <c r="G887" s="17"/>
    </row>
    <row r="888">
      <c r="A888" s="17"/>
      <c r="G888" s="17"/>
    </row>
    <row r="889">
      <c r="A889" s="17"/>
      <c r="G889" s="17"/>
    </row>
    <row r="890">
      <c r="A890" s="17"/>
      <c r="G890" s="17"/>
    </row>
    <row r="891">
      <c r="A891" s="17"/>
      <c r="G891" s="17"/>
    </row>
    <row r="892">
      <c r="A892" s="17"/>
      <c r="G892" s="17"/>
    </row>
    <row r="893">
      <c r="A893" s="17"/>
      <c r="G893" s="17"/>
    </row>
    <row r="894">
      <c r="A894" s="17"/>
      <c r="G894" s="17"/>
    </row>
    <row r="895">
      <c r="A895" s="17"/>
      <c r="G895" s="17"/>
    </row>
    <row r="896">
      <c r="A896" s="17"/>
      <c r="G896" s="17"/>
    </row>
    <row r="897">
      <c r="A897" s="17"/>
      <c r="G897" s="17"/>
    </row>
    <row r="898">
      <c r="A898" s="17"/>
      <c r="G898" s="17"/>
    </row>
    <row r="899">
      <c r="A899" s="17"/>
      <c r="G899" s="17"/>
    </row>
    <row r="900">
      <c r="A900" s="17"/>
      <c r="G900" s="17"/>
    </row>
    <row r="901">
      <c r="A901" s="17"/>
      <c r="G901" s="17"/>
    </row>
    <row r="902">
      <c r="A902" s="17"/>
      <c r="G902" s="17"/>
    </row>
    <row r="903">
      <c r="A903" s="17"/>
      <c r="G903" s="17"/>
    </row>
    <row r="904">
      <c r="A904" s="17"/>
      <c r="G904" s="17"/>
    </row>
    <row r="905">
      <c r="A905" s="17"/>
      <c r="G905" s="17"/>
    </row>
    <row r="906">
      <c r="A906" s="17"/>
      <c r="G906" s="17"/>
    </row>
    <row r="907">
      <c r="A907" s="17"/>
      <c r="G907" s="17"/>
    </row>
    <row r="908">
      <c r="A908" s="17"/>
      <c r="G908" s="17"/>
    </row>
    <row r="909">
      <c r="A909" s="17"/>
      <c r="G909" s="17"/>
    </row>
    <row r="910">
      <c r="A910" s="17"/>
      <c r="G910" s="17"/>
    </row>
    <row r="911">
      <c r="A911" s="17"/>
      <c r="G911" s="17"/>
    </row>
    <row r="912">
      <c r="A912" s="17"/>
      <c r="G912" s="17"/>
    </row>
    <row r="913">
      <c r="A913" s="17"/>
      <c r="G913" s="17"/>
    </row>
    <row r="914">
      <c r="A914" s="17"/>
      <c r="G914" s="17"/>
    </row>
    <row r="915">
      <c r="A915" s="17"/>
      <c r="G915" s="17"/>
    </row>
    <row r="916">
      <c r="A916" s="17"/>
      <c r="G916" s="17"/>
    </row>
    <row r="917">
      <c r="A917" s="17"/>
      <c r="G917" s="17"/>
    </row>
    <row r="918">
      <c r="A918" s="17"/>
      <c r="G918" s="17"/>
    </row>
    <row r="919">
      <c r="A919" s="17"/>
      <c r="G919" s="17"/>
    </row>
    <row r="920">
      <c r="A920" s="17"/>
      <c r="G920" s="17"/>
    </row>
    <row r="921">
      <c r="A921" s="17"/>
      <c r="G921" s="17"/>
    </row>
    <row r="922">
      <c r="A922" s="17"/>
      <c r="G922" s="17"/>
    </row>
    <row r="923">
      <c r="A923" s="17"/>
      <c r="G923" s="17"/>
    </row>
    <row r="924">
      <c r="A924" s="17"/>
      <c r="G924" s="17"/>
    </row>
    <row r="925">
      <c r="A925" s="17"/>
      <c r="G925" s="17"/>
    </row>
    <row r="926">
      <c r="A926" s="17"/>
      <c r="G926" s="17"/>
    </row>
    <row r="927">
      <c r="A927" s="17"/>
      <c r="G927" s="17"/>
    </row>
    <row r="928">
      <c r="A928" s="17"/>
      <c r="G928" s="17"/>
    </row>
    <row r="929">
      <c r="A929" s="17"/>
      <c r="G929" s="17"/>
    </row>
    <row r="930">
      <c r="A930" s="17"/>
      <c r="G930" s="17"/>
    </row>
    <row r="931">
      <c r="A931" s="17"/>
      <c r="G931" s="17"/>
    </row>
    <row r="932">
      <c r="A932" s="17"/>
      <c r="G932" s="17"/>
    </row>
    <row r="933">
      <c r="A933" s="17"/>
      <c r="G933" s="17"/>
    </row>
    <row r="934">
      <c r="A934" s="17"/>
      <c r="G934" s="17"/>
    </row>
    <row r="935">
      <c r="A935" s="17"/>
      <c r="G935" s="17"/>
    </row>
    <row r="936">
      <c r="A936" s="17"/>
      <c r="G936" s="17"/>
    </row>
    <row r="937">
      <c r="A937" s="17"/>
      <c r="G937" s="17"/>
    </row>
    <row r="938">
      <c r="A938" s="17"/>
      <c r="G938" s="17"/>
    </row>
    <row r="939">
      <c r="A939" s="17"/>
      <c r="G939" s="17"/>
    </row>
    <row r="940">
      <c r="A940" s="17"/>
      <c r="G940" s="17"/>
    </row>
    <row r="941">
      <c r="A941" s="17"/>
      <c r="G941" s="17"/>
    </row>
    <row r="942">
      <c r="A942" s="17"/>
      <c r="G942" s="17"/>
    </row>
    <row r="943">
      <c r="A943" s="17"/>
      <c r="G943" s="17"/>
    </row>
    <row r="944">
      <c r="A944" s="17"/>
      <c r="G944" s="17"/>
    </row>
    <row r="945">
      <c r="A945" s="17"/>
      <c r="G945" s="17"/>
    </row>
    <row r="946">
      <c r="A946" s="17"/>
      <c r="G946" s="17"/>
    </row>
    <row r="947">
      <c r="A947" s="17"/>
      <c r="G947" s="17"/>
    </row>
    <row r="948">
      <c r="A948" s="17"/>
      <c r="G948" s="17"/>
    </row>
    <row r="949">
      <c r="A949" s="17"/>
      <c r="G949" s="17"/>
    </row>
    <row r="950">
      <c r="A950" s="17"/>
      <c r="G950" s="17"/>
    </row>
    <row r="951">
      <c r="A951" s="17"/>
      <c r="G951" s="17"/>
    </row>
    <row r="952">
      <c r="A952" s="17"/>
      <c r="G952" s="17"/>
    </row>
    <row r="953">
      <c r="A953" s="17"/>
      <c r="G953" s="17"/>
    </row>
    <row r="954">
      <c r="A954" s="17"/>
      <c r="G954" s="17"/>
    </row>
    <row r="955">
      <c r="A955" s="17"/>
      <c r="G955" s="17"/>
    </row>
    <row r="956">
      <c r="A956" s="17"/>
      <c r="G956" s="17"/>
    </row>
    <row r="957">
      <c r="A957" s="17"/>
      <c r="G957" s="17"/>
    </row>
    <row r="958">
      <c r="A958" s="17"/>
      <c r="G958" s="17"/>
    </row>
    <row r="959">
      <c r="A959" s="17"/>
      <c r="G959" s="17"/>
    </row>
    <row r="960">
      <c r="A960" s="17"/>
      <c r="G960" s="17"/>
    </row>
    <row r="961">
      <c r="A961" s="17"/>
      <c r="G961" s="17"/>
    </row>
    <row r="962">
      <c r="A962" s="17"/>
      <c r="G962" s="17"/>
    </row>
    <row r="963">
      <c r="A963" s="17"/>
      <c r="G963" s="17"/>
    </row>
    <row r="964">
      <c r="A964" s="17"/>
      <c r="G964" s="17"/>
    </row>
    <row r="965">
      <c r="A965" s="17"/>
      <c r="G965" s="17"/>
    </row>
    <row r="966">
      <c r="A966" s="17"/>
      <c r="G966" s="17"/>
    </row>
    <row r="967">
      <c r="A967" s="17"/>
      <c r="G967" s="17"/>
    </row>
    <row r="968">
      <c r="A968" s="17"/>
      <c r="G968" s="17"/>
    </row>
    <row r="969">
      <c r="A969" s="17"/>
      <c r="G969" s="17"/>
    </row>
    <row r="970">
      <c r="A970" s="17"/>
      <c r="G970" s="17"/>
    </row>
    <row r="971">
      <c r="A971" s="17"/>
      <c r="G971" s="17"/>
    </row>
    <row r="972">
      <c r="A972" s="17"/>
      <c r="G972" s="17"/>
    </row>
    <row r="973">
      <c r="A973" s="17"/>
      <c r="G973" s="17"/>
    </row>
    <row r="974">
      <c r="A974" s="17"/>
      <c r="G974" s="17"/>
    </row>
    <row r="975">
      <c r="A975" s="17"/>
      <c r="G975" s="17"/>
    </row>
    <row r="976">
      <c r="A976" s="17"/>
      <c r="G976" s="17"/>
    </row>
    <row r="977">
      <c r="A977" s="17"/>
      <c r="G977" s="17"/>
    </row>
    <row r="978">
      <c r="A978" s="17"/>
      <c r="G978" s="17"/>
    </row>
    <row r="979">
      <c r="A979" s="17"/>
      <c r="G979" s="17"/>
    </row>
    <row r="980">
      <c r="A980" s="17"/>
      <c r="G980" s="17"/>
    </row>
    <row r="981">
      <c r="A981" s="17"/>
      <c r="G981" s="17"/>
    </row>
    <row r="982">
      <c r="A982" s="17"/>
      <c r="G982" s="17"/>
    </row>
    <row r="983">
      <c r="A983" s="17"/>
      <c r="G983" s="17"/>
    </row>
    <row r="984">
      <c r="A984" s="17"/>
      <c r="G984" s="17"/>
    </row>
    <row r="985">
      <c r="A985" s="17"/>
      <c r="G985" s="17"/>
    </row>
    <row r="986">
      <c r="A986" s="17"/>
      <c r="G986" s="17"/>
    </row>
    <row r="987">
      <c r="A987" s="17"/>
      <c r="G987" s="17"/>
    </row>
    <row r="988">
      <c r="A988" s="17"/>
      <c r="G988" s="17"/>
    </row>
    <row r="989">
      <c r="A989" s="17"/>
      <c r="G989" s="17"/>
    </row>
    <row r="990">
      <c r="A990" s="17"/>
      <c r="G990" s="17"/>
    </row>
    <row r="991">
      <c r="A991" s="17"/>
      <c r="G991" s="17"/>
    </row>
    <row r="992">
      <c r="A992" s="17"/>
      <c r="G992" s="17"/>
    </row>
    <row r="993">
      <c r="A993" s="17"/>
      <c r="G993" s="17"/>
    </row>
    <row r="994">
      <c r="A994" s="17"/>
      <c r="G994" s="17"/>
    </row>
    <row r="995">
      <c r="A995" s="17"/>
      <c r="G995" s="17"/>
    </row>
    <row r="996">
      <c r="A996" s="17"/>
      <c r="G996" s="17"/>
    </row>
    <row r="997">
      <c r="A997" s="17"/>
      <c r="G997" s="17"/>
    </row>
    <row r="998">
      <c r="A998" s="17"/>
      <c r="G998" s="17"/>
    </row>
    <row r="999">
      <c r="A999" s="17"/>
      <c r="G999" s="17"/>
    </row>
    <row r="1000">
      <c r="A1000" s="17"/>
      <c r="G1000" s="1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55" width="3.5"/>
  </cols>
  <sheetData>
    <row r="1">
      <c r="A1" s="58" t="s">
        <v>64</v>
      </c>
    </row>
    <row r="2">
      <c r="A2" s="58" t="s">
        <v>65</v>
      </c>
    </row>
    <row r="3">
      <c r="A3" s="58" t="s">
        <v>66</v>
      </c>
    </row>
    <row r="4">
      <c r="A4" s="58"/>
    </row>
    <row r="5">
      <c r="A5" s="58"/>
      <c r="B5" s="17">
        <f t="array" ref="B5:S5">SEQUENCE(1,18,0,1)</f>
        <v>0</v>
      </c>
      <c r="C5" s="17">
        <v>1.0</v>
      </c>
      <c r="D5" s="17">
        <v>2.0</v>
      </c>
      <c r="E5" s="17">
        <v>3.0</v>
      </c>
      <c r="F5" s="17">
        <v>4.0</v>
      </c>
      <c r="G5" s="17">
        <v>5.0</v>
      </c>
      <c r="H5" s="17">
        <v>6.0</v>
      </c>
      <c r="I5" s="17">
        <v>7.0</v>
      </c>
      <c r="J5" s="17">
        <v>8.0</v>
      </c>
      <c r="K5" s="17">
        <v>9.0</v>
      </c>
      <c r="L5" s="17">
        <v>10.0</v>
      </c>
      <c r="M5" s="17">
        <v>11.0</v>
      </c>
      <c r="N5" s="17">
        <v>12.0</v>
      </c>
      <c r="O5" s="17">
        <v>13.0</v>
      </c>
      <c r="P5" s="17">
        <v>14.0</v>
      </c>
      <c r="Q5" s="17">
        <v>15.0</v>
      </c>
      <c r="R5" s="17">
        <v>16.0</v>
      </c>
      <c r="S5" s="17">
        <v>17.0</v>
      </c>
      <c r="T5" s="17"/>
      <c r="U5" s="17"/>
      <c r="V5" s="17"/>
      <c r="W5" s="17">
        <f t="array" ref="W5:AT5">SEQUENCE(1,24,0,1)</f>
        <v>0</v>
      </c>
      <c r="X5" s="17">
        <v>1.0</v>
      </c>
      <c r="Y5" s="17">
        <v>2.0</v>
      </c>
      <c r="Z5" s="17">
        <v>3.0</v>
      </c>
      <c r="AA5" s="17">
        <v>4.0</v>
      </c>
      <c r="AB5" s="17">
        <v>5.0</v>
      </c>
      <c r="AC5" s="17">
        <v>6.0</v>
      </c>
      <c r="AD5" s="17">
        <v>7.0</v>
      </c>
      <c r="AE5" s="17">
        <v>8.0</v>
      </c>
      <c r="AF5" s="17">
        <v>9.0</v>
      </c>
      <c r="AG5" s="17">
        <v>10.0</v>
      </c>
      <c r="AH5" s="17">
        <v>11.0</v>
      </c>
      <c r="AI5" s="17">
        <v>12.0</v>
      </c>
      <c r="AJ5" s="17">
        <v>13.0</v>
      </c>
      <c r="AK5" s="17">
        <v>14.0</v>
      </c>
      <c r="AL5" s="17">
        <v>15.0</v>
      </c>
      <c r="AM5" s="17">
        <v>16.0</v>
      </c>
      <c r="AN5" s="17">
        <v>17.0</v>
      </c>
      <c r="AO5" s="17">
        <v>18.0</v>
      </c>
      <c r="AP5" s="17">
        <v>19.0</v>
      </c>
      <c r="AQ5" s="17">
        <v>20.0</v>
      </c>
      <c r="AR5" s="17">
        <v>21.0</v>
      </c>
      <c r="AS5" s="17">
        <v>22.0</v>
      </c>
      <c r="AT5" s="17">
        <v>23.0</v>
      </c>
      <c r="AU5" s="17"/>
      <c r="AV5" s="17"/>
      <c r="AW5" s="17"/>
      <c r="AX5" s="17"/>
      <c r="AY5" s="17"/>
      <c r="AZ5" s="17"/>
      <c r="BA5" s="17"/>
      <c r="BB5" s="17"/>
      <c r="BC5" s="17"/>
    </row>
    <row r="6">
      <c r="A6" s="58">
        <f t="array" ref="A6:A51">SEQUENCE(46,1,0)</f>
        <v>0</v>
      </c>
      <c r="B6" s="59">
        <f t="array" ref="B6:S51">B5:S5*T6:T51+B52:S52*A6:A51</f>
        <v>0</v>
      </c>
      <c r="C6" s="59">
        <v>45.0</v>
      </c>
      <c r="D6" s="59">
        <v>90.0</v>
      </c>
      <c r="E6" s="59">
        <v>135.0</v>
      </c>
      <c r="F6" s="59">
        <v>180.0</v>
      </c>
      <c r="G6" s="59">
        <v>225.0</v>
      </c>
      <c r="H6" s="59">
        <v>270.0</v>
      </c>
      <c r="I6" s="59">
        <v>315.0</v>
      </c>
      <c r="J6" s="59">
        <v>360.0</v>
      </c>
      <c r="K6" s="59">
        <v>405.0</v>
      </c>
      <c r="L6" s="59">
        <v>450.0</v>
      </c>
      <c r="M6" s="59">
        <v>495.0</v>
      </c>
      <c r="N6" s="59">
        <v>540.0</v>
      </c>
      <c r="O6" s="59">
        <v>585.0</v>
      </c>
      <c r="P6" s="59">
        <v>630.0</v>
      </c>
      <c r="Q6" s="59">
        <v>675.0</v>
      </c>
      <c r="R6" s="59">
        <v>720.0</v>
      </c>
      <c r="S6" s="59">
        <v>765.0</v>
      </c>
      <c r="T6" s="17">
        <f t="array" ref="T6:T51">45-A6:A51</f>
        <v>45</v>
      </c>
      <c r="V6" s="58">
        <f t="array" ref="V6:V37">SEQUENCE(32,1,0)</f>
        <v>0</v>
      </c>
      <c r="W6" s="59">
        <f t="array" ref="W6:AT37">W5:AT5*AU6:AU37+W38:AT38*V6:V37</f>
        <v>0</v>
      </c>
      <c r="X6" s="59">
        <v>31.0</v>
      </c>
      <c r="Y6" s="59">
        <v>62.0</v>
      </c>
      <c r="Z6" s="59">
        <v>93.0</v>
      </c>
      <c r="AA6" s="59">
        <v>124.0</v>
      </c>
      <c r="AB6" s="59">
        <v>155.0</v>
      </c>
      <c r="AC6" s="59">
        <v>186.0</v>
      </c>
      <c r="AD6" s="59">
        <v>217.0</v>
      </c>
      <c r="AE6" s="59">
        <v>248.0</v>
      </c>
      <c r="AF6" s="59">
        <v>279.0</v>
      </c>
      <c r="AG6" s="59">
        <v>310.0</v>
      </c>
      <c r="AH6" s="59">
        <v>341.0</v>
      </c>
      <c r="AI6" s="59">
        <v>372.0</v>
      </c>
      <c r="AJ6" s="59">
        <v>403.0</v>
      </c>
      <c r="AK6" s="59">
        <v>434.0</v>
      </c>
      <c r="AL6" s="59">
        <v>465.0</v>
      </c>
      <c r="AM6" s="59">
        <v>496.0</v>
      </c>
      <c r="AN6" s="59">
        <v>527.0</v>
      </c>
      <c r="AO6" s="59">
        <v>558.0</v>
      </c>
      <c r="AP6" s="59">
        <v>589.0</v>
      </c>
      <c r="AQ6" s="59">
        <v>620.0</v>
      </c>
      <c r="AR6" s="59">
        <v>651.0</v>
      </c>
      <c r="AS6" s="59">
        <v>682.0</v>
      </c>
      <c r="AT6" s="59">
        <v>713.0</v>
      </c>
      <c r="AU6" s="17">
        <f t="array" ref="AU6:AU37">31-V6:V37</f>
        <v>31</v>
      </c>
    </row>
    <row r="7">
      <c r="A7" s="58">
        <v>1.0</v>
      </c>
      <c r="B7" s="59">
        <v>17.0</v>
      </c>
      <c r="C7" s="59">
        <v>60.0</v>
      </c>
      <c r="D7" s="59">
        <v>103.0</v>
      </c>
      <c r="E7" s="59">
        <v>146.0</v>
      </c>
      <c r="F7" s="59">
        <v>189.0</v>
      </c>
      <c r="G7" s="59">
        <v>232.0</v>
      </c>
      <c r="H7" s="59">
        <v>275.0</v>
      </c>
      <c r="I7" s="59">
        <v>318.0</v>
      </c>
      <c r="J7" s="59">
        <v>361.0</v>
      </c>
      <c r="K7" s="59">
        <v>404.0</v>
      </c>
      <c r="L7" s="59">
        <v>447.0</v>
      </c>
      <c r="M7" s="59">
        <v>490.0</v>
      </c>
      <c r="N7" s="59">
        <v>533.0</v>
      </c>
      <c r="O7" s="59">
        <v>576.0</v>
      </c>
      <c r="P7" s="59">
        <v>619.0</v>
      </c>
      <c r="Q7" s="59">
        <v>662.0</v>
      </c>
      <c r="R7" s="59">
        <v>705.0</v>
      </c>
      <c r="S7" s="59">
        <v>748.0</v>
      </c>
      <c r="T7" s="17">
        <v>44.0</v>
      </c>
      <c r="V7" s="17">
        <v>1.0</v>
      </c>
      <c r="W7" s="59">
        <v>23.0</v>
      </c>
      <c r="X7" s="59">
        <v>52.0</v>
      </c>
      <c r="Y7" s="59">
        <v>81.0</v>
      </c>
      <c r="Z7" s="59">
        <v>110.0</v>
      </c>
      <c r="AA7" s="59">
        <v>139.0</v>
      </c>
      <c r="AB7" s="59">
        <v>168.0</v>
      </c>
      <c r="AC7" s="59">
        <v>197.0</v>
      </c>
      <c r="AD7" s="59">
        <v>226.0</v>
      </c>
      <c r="AE7" s="59">
        <v>255.0</v>
      </c>
      <c r="AF7" s="59">
        <v>284.0</v>
      </c>
      <c r="AG7" s="59">
        <v>313.0</v>
      </c>
      <c r="AH7" s="59">
        <v>342.0</v>
      </c>
      <c r="AI7" s="59">
        <v>371.0</v>
      </c>
      <c r="AJ7" s="59">
        <v>400.0</v>
      </c>
      <c r="AK7" s="59">
        <v>429.0</v>
      </c>
      <c r="AL7" s="59">
        <v>458.0</v>
      </c>
      <c r="AM7" s="59">
        <v>487.0</v>
      </c>
      <c r="AN7" s="59">
        <v>516.0</v>
      </c>
      <c r="AO7" s="59">
        <v>545.0</v>
      </c>
      <c r="AP7" s="59">
        <v>574.0</v>
      </c>
      <c r="AQ7" s="59">
        <v>603.0</v>
      </c>
      <c r="AR7" s="59">
        <v>632.0</v>
      </c>
      <c r="AS7" s="59">
        <v>661.0</v>
      </c>
      <c r="AT7" s="59">
        <v>690.0</v>
      </c>
      <c r="AU7" s="17">
        <v>30.0</v>
      </c>
    </row>
    <row r="8">
      <c r="A8" s="58">
        <v>2.0</v>
      </c>
      <c r="B8" s="59">
        <v>34.0</v>
      </c>
      <c r="C8" s="59">
        <v>75.0</v>
      </c>
      <c r="D8" s="59">
        <v>116.0</v>
      </c>
      <c r="E8" s="59">
        <v>157.0</v>
      </c>
      <c r="F8" s="59">
        <v>198.0</v>
      </c>
      <c r="G8" s="59">
        <v>239.0</v>
      </c>
      <c r="H8" s="59">
        <v>280.0</v>
      </c>
      <c r="I8" s="59">
        <v>321.0</v>
      </c>
      <c r="J8" s="59">
        <v>362.0</v>
      </c>
      <c r="K8" s="59">
        <v>403.0</v>
      </c>
      <c r="L8" s="59">
        <v>444.0</v>
      </c>
      <c r="M8" s="59">
        <v>485.0</v>
      </c>
      <c r="N8" s="59">
        <v>526.0</v>
      </c>
      <c r="O8" s="59">
        <v>567.0</v>
      </c>
      <c r="P8" s="59">
        <v>608.0</v>
      </c>
      <c r="Q8" s="59">
        <v>649.0</v>
      </c>
      <c r="R8" s="59">
        <v>690.0</v>
      </c>
      <c r="S8" s="59">
        <v>731.0</v>
      </c>
      <c r="T8" s="17">
        <v>43.0</v>
      </c>
      <c r="V8" s="17">
        <v>2.0</v>
      </c>
      <c r="W8" s="59">
        <v>46.0</v>
      </c>
      <c r="X8" s="59">
        <v>73.0</v>
      </c>
      <c r="Y8" s="59">
        <v>100.0</v>
      </c>
      <c r="Z8" s="59">
        <v>127.0</v>
      </c>
      <c r="AA8" s="59">
        <v>154.0</v>
      </c>
      <c r="AB8" s="59">
        <v>181.0</v>
      </c>
      <c r="AC8" s="59">
        <v>208.0</v>
      </c>
      <c r="AD8" s="59">
        <v>235.0</v>
      </c>
      <c r="AE8" s="59">
        <v>262.0</v>
      </c>
      <c r="AF8" s="59">
        <v>289.0</v>
      </c>
      <c r="AG8" s="59">
        <v>316.0</v>
      </c>
      <c r="AH8" s="24">
        <v>343.0</v>
      </c>
      <c r="AI8" s="24">
        <v>370.0</v>
      </c>
      <c r="AJ8" s="59">
        <v>397.0</v>
      </c>
      <c r="AK8" s="59">
        <v>424.0</v>
      </c>
      <c r="AL8" s="59">
        <v>451.0</v>
      </c>
      <c r="AM8" s="59">
        <v>478.0</v>
      </c>
      <c r="AN8" s="59">
        <v>505.0</v>
      </c>
      <c r="AO8" s="59">
        <v>532.0</v>
      </c>
      <c r="AP8" s="59">
        <v>559.0</v>
      </c>
      <c r="AQ8" s="59">
        <v>586.0</v>
      </c>
      <c r="AR8" s="59">
        <v>613.0</v>
      </c>
      <c r="AS8" s="59">
        <v>640.0</v>
      </c>
      <c r="AT8" s="59">
        <v>667.0</v>
      </c>
      <c r="AU8" s="17">
        <v>29.0</v>
      </c>
    </row>
    <row r="9">
      <c r="A9" s="58">
        <v>3.0</v>
      </c>
      <c r="B9" s="59">
        <v>51.0</v>
      </c>
      <c r="C9" s="59">
        <v>90.0</v>
      </c>
      <c r="D9" s="59">
        <v>129.0</v>
      </c>
      <c r="E9" s="59">
        <v>168.0</v>
      </c>
      <c r="F9" s="59">
        <v>207.0</v>
      </c>
      <c r="G9" s="59">
        <v>246.0</v>
      </c>
      <c r="H9" s="59">
        <v>285.0</v>
      </c>
      <c r="I9" s="59">
        <v>324.0</v>
      </c>
      <c r="J9" s="59">
        <v>363.0</v>
      </c>
      <c r="K9" s="59">
        <v>402.0</v>
      </c>
      <c r="L9" s="59">
        <v>441.0</v>
      </c>
      <c r="M9" s="59">
        <v>480.0</v>
      </c>
      <c r="N9" s="59">
        <v>519.0</v>
      </c>
      <c r="O9" s="59">
        <v>558.0</v>
      </c>
      <c r="P9" s="59">
        <v>597.0</v>
      </c>
      <c r="Q9" s="59">
        <v>636.0</v>
      </c>
      <c r="R9" s="59">
        <v>675.0</v>
      </c>
      <c r="S9" s="59">
        <v>714.0</v>
      </c>
      <c r="T9" s="17">
        <v>42.0</v>
      </c>
      <c r="V9" s="17">
        <v>3.0</v>
      </c>
      <c r="W9" s="59">
        <v>69.0</v>
      </c>
      <c r="X9" s="59">
        <v>94.0</v>
      </c>
      <c r="Y9" s="59">
        <v>119.0</v>
      </c>
      <c r="Z9" s="59">
        <v>144.0</v>
      </c>
      <c r="AA9" s="59">
        <v>169.0</v>
      </c>
      <c r="AB9" s="59">
        <v>194.0</v>
      </c>
      <c r="AC9" s="59">
        <v>219.0</v>
      </c>
      <c r="AD9" s="59">
        <v>244.0</v>
      </c>
      <c r="AE9" s="59">
        <v>269.0</v>
      </c>
      <c r="AF9" s="59">
        <v>294.0</v>
      </c>
      <c r="AG9" s="59">
        <v>319.0</v>
      </c>
      <c r="AH9" s="5">
        <v>344.0</v>
      </c>
      <c r="AI9" s="5">
        <v>369.0</v>
      </c>
      <c r="AJ9" s="59">
        <v>394.0</v>
      </c>
      <c r="AK9" s="59">
        <v>419.0</v>
      </c>
      <c r="AL9" s="59">
        <v>444.0</v>
      </c>
      <c r="AM9" s="59">
        <v>469.0</v>
      </c>
      <c r="AN9" s="59">
        <v>494.0</v>
      </c>
      <c r="AO9" s="59">
        <v>519.0</v>
      </c>
      <c r="AP9" s="59">
        <v>544.0</v>
      </c>
      <c r="AQ9" s="59">
        <v>569.0</v>
      </c>
      <c r="AR9" s="59">
        <v>594.0</v>
      </c>
      <c r="AS9" s="59">
        <v>619.0</v>
      </c>
      <c r="AT9" s="59">
        <v>644.0</v>
      </c>
      <c r="AU9" s="17">
        <v>28.0</v>
      </c>
    </row>
    <row r="10">
      <c r="A10" s="58">
        <v>4.0</v>
      </c>
      <c r="B10" s="59">
        <v>68.0</v>
      </c>
      <c r="C10" s="59">
        <v>105.0</v>
      </c>
      <c r="D10" s="59">
        <v>142.0</v>
      </c>
      <c r="E10" s="59">
        <v>179.0</v>
      </c>
      <c r="F10" s="59">
        <v>216.0</v>
      </c>
      <c r="G10" s="59">
        <v>253.0</v>
      </c>
      <c r="H10" s="59">
        <v>290.0</v>
      </c>
      <c r="I10" s="59">
        <v>327.0</v>
      </c>
      <c r="J10" s="59">
        <v>364.0</v>
      </c>
      <c r="K10" s="59">
        <v>401.0</v>
      </c>
      <c r="L10" s="59">
        <v>438.0</v>
      </c>
      <c r="M10" s="59">
        <v>475.0</v>
      </c>
      <c r="N10" s="59">
        <v>512.0</v>
      </c>
      <c r="O10" s="59">
        <v>549.0</v>
      </c>
      <c r="P10" s="59">
        <v>586.0</v>
      </c>
      <c r="Q10" s="59">
        <v>623.0</v>
      </c>
      <c r="R10" s="59">
        <v>660.0</v>
      </c>
      <c r="S10" s="59">
        <v>697.0</v>
      </c>
      <c r="T10" s="17">
        <v>41.0</v>
      </c>
      <c r="V10" s="17">
        <v>4.0</v>
      </c>
      <c r="W10" s="59">
        <v>92.0</v>
      </c>
      <c r="X10" s="59">
        <v>115.0</v>
      </c>
      <c r="Y10" s="59">
        <v>138.0</v>
      </c>
      <c r="Z10" s="59">
        <v>161.0</v>
      </c>
      <c r="AA10" s="59">
        <v>184.0</v>
      </c>
      <c r="AB10" s="59">
        <v>207.0</v>
      </c>
      <c r="AC10" s="59">
        <v>230.0</v>
      </c>
      <c r="AD10" s="59">
        <v>253.0</v>
      </c>
      <c r="AE10" s="59">
        <v>276.0</v>
      </c>
      <c r="AF10" s="59">
        <v>299.0</v>
      </c>
      <c r="AG10" s="24">
        <v>322.0</v>
      </c>
      <c r="AH10" s="5">
        <v>345.0</v>
      </c>
      <c r="AI10" s="5">
        <v>368.0</v>
      </c>
      <c r="AJ10" s="24">
        <v>391.0</v>
      </c>
      <c r="AK10" s="59">
        <v>414.0</v>
      </c>
      <c r="AL10" s="59">
        <v>437.0</v>
      </c>
      <c r="AM10" s="59">
        <v>460.0</v>
      </c>
      <c r="AN10" s="59">
        <v>483.0</v>
      </c>
      <c r="AO10" s="59">
        <v>506.0</v>
      </c>
      <c r="AP10" s="59">
        <v>529.0</v>
      </c>
      <c r="AQ10" s="59">
        <v>552.0</v>
      </c>
      <c r="AR10" s="59">
        <v>575.0</v>
      </c>
      <c r="AS10" s="59">
        <v>598.0</v>
      </c>
      <c r="AT10" s="59">
        <v>621.0</v>
      </c>
      <c r="AU10" s="17">
        <v>27.0</v>
      </c>
    </row>
    <row r="11">
      <c r="A11" s="58">
        <v>5.0</v>
      </c>
      <c r="B11" s="59">
        <v>85.0</v>
      </c>
      <c r="C11" s="59">
        <v>120.0</v>
      </c>
      <c r="D11" s="59">
        <v>155.0</v>
      </c>
      <c r="E11" s="59">
        <v>190.0</v>
      </c>
      <c r="F11" s="59">
        <v>225.0</v>
      </c>
      <c r="G11" s="59">
        <v>260.0</v>
      </c>
      <c r="H11" s="59">
        <v>295.0</v>
      </c>
      <c r="I11" s="59">
        <v>330.0</v>
      </c>
      <c r="J11" s="59">
        <v>365.0</v>
      </c>
      <c r="K11" s="59">
        <v>400.0</v>
      </c>
      <c r="L11" s="59">
        <v>435.0</v>
      </c>
      <c r="M11" s="59">
        <v>470.0</v>
      </c>
      <c r="N11" s="59">
        <v>505.0</v>
      </c>
      <c r="O11" s="59">
        <v>540.0</v>
      </c>
      <c r="P11" s="59">
        <v>575.0</v>
      </c>
      <c r="Q11" s="59">
        <v>610.0</v>
      </c>
      <c r="R11" s="59">
        <v>645.0</v>
      </c>
      <c r="S11" s="59">
        <v>680.0</v>
      </c>
      <c r="T11" s="17">
        <v>40.0</v>
      </c>
      <c r="V11" s="17">
        <v>5.0</v>
      </c>
      <c r="W11" s="59">
        <v>115.0</v>
      </c>
      <c r="X11" s="59">
        <v>136.0</v>
      </c>
      <c r="Y11" s="59">
        <v>157.0</v>
      </c>
      <c r="Z11" s="59">
        <v>178.0</v>
      </c>
      <c r="AA11" s="59">
        <v>199.0</v>
      </c>
      <c r="AB11" s="59">
        <v>220.0</v>
      </c>
      <c r="AC11" s="59">
        <v>241.0</v>
      </c>
      <c r="AD11" s="59">
        <v>262.0</v>
      </c>
      <c r="AE11" s="59">
        <v>283.0</v>
      </c>
      <c r="AF11" s="59">
        <v>304.0</v>
      </c>
      <c r="AG11" s="5">
        <v>325.0</v>
      </c>
      <c r="AH11" s="5">
        <v>346.0</v>
      </c>
      <c r="AI11" s="5">
        <v>367.0</v>
      </c>
      <c r="AJ11" s="5">
        <v>388.0</v>
      </c>
      <c r="AK11" s="59">
        <v>409.0</v>
      </c>
      <c r="AL11" s="59">
        <v>430.0</v>
      </c>
      <c r="AM11" s="59">
        <v>451.0</v>
      </c>
      <c r="AN11" s="59">
        <v>472.0</v>
      </c>
      <c r="AO11" s="59">
        <v>493.0</v>
      </c>
      <c r="AP11" s="59">
        <v>514.0</v>
      </c>
      <c r="AQ11" s="59">
        <v>535.0</v>
      </c>
      <c r="AR11" s="59">
        <v>556.0</v>
      </c>
      <c r="AS11" s="59">
        <v>577.0</v>
      </c>
      <c r="AT11" s="59">
        <v>598.0</v>
      </c>
      <c r="AU11" s="17">
        <v>26.0</v>
      </c>
    </row>
    <row r="12">
      <c r="A12" s="58">
        <v>6.0</v>
      </c>
      <c r="B12" s="59">
        <v>102.0</v>
      </c>
      <c r="C12" s="59">
        <v>135.0</v>
      </c>
      <c r="D12" s="59">
        <v>168.0</v>
      </c>
      <c r="E12" s="59">
        <v>201.0</v>
      </c>
      <c r="F12" s="59">
        <v>234.0</v>
      </c>
      <c r="G12" s="59">
        <v>267.0</v>
      </c>
      <c r="H12" s="59">
        <v>300.0</v>
      </c>
      <c r="I12" s="59">
        <v>333.0</v>
      </c>
      <c r="J12" s="59">
        <v>366.0</v>
      </c>
      <c r="K12" s="59">
        <v>399.0</v>
      </c>
      <c r="L12" s="59">
        <v>432.0</v>
      </c>
      <c r="M12" s="59">
        <v>465.0</v>
      </c>
      <c r="N12" s="59">
        <v>498.0</v>
      </c>
      <c r="O12" s="59">
        <v>531.0</v>
      </c>
      <c r="P12" s="59">
        <v>564.0</v>
      </c>
      <c r="Q12" s="59">
        <v>597.0</v>
      </c>
      <c r="R12" s="59">
        <v>630.0</v>
      </c>
      <c r="S12" s="59">
        <v>663.0</v>
      </c>
      <c r="T12" s="17">
        <v>39.0</v>
      </c>
      <c r="V12" s="17">
        <v>6.0</v>
      </c>
      <c r="W12" s="59">
        <v>138.0</v>
      </c>
      <c r="X12" s="59">
        <v>157.0</v>
      </c>
      <c r="Y12" s="59">
        <v>176.0</v>
      </c>
      <c r="Z12" s="59">
        <v>195.0</v>
      </c>
      <c r="AA12" s="59">
        <v>214.0</v>
      </c>
      <c r="AB12" s="59">
        <v>233.0</v>
      </c>
      <c r="AC12" s="59">
        <v>252.0</v>
      </c>
      <c r="AD12" s="59">
        <v>271.0</v>
      </c>
      <c r="AE12" s="59">
        <v>290.0</v>
      </c>
      <c r="AF12" s="24">
        <v>309.0</v>
      </c>
      <c r="AG12" s="5">
        <v>328.0</v>
      </c>
      <c r="AH12" s="5">
        <v>347.0</v>
      </c>
      <c r="AI12" s="5">
        <v>366.0</v>
      </c>
      <c r="AJ12" s="5">
        <v>385.0</v>
      </c>
      <c r="AK12" s="24">
        <v>404.0</v>
      </c>
      <c r="AL12" s="59">
        <v>423.0</v>
      </c>
      <c r="AM12" s="59">
        <v>442.0</v>
      </c>
      <c r="AN12" s="59">
        <v>461.0</v>
      </c>
      <c r="AO12" s="59">
        <v>480.0</v>
      </c>
      <c r="AP12" s="59">
        <v>499.0</v>
      </c>
      <c r="AQ12" s="59">
        <v>518.0</v>
      </c>
      <c r="AR12" s="59">
        <v>537.0</v>
      </c>
      <c r="AS12" s="59">
        <v>556.0</v>
      </c>
      <c r="AT12" s="59">
        <v>575.0</v>
      </c>
      <c r="AU12" s="17">
        <v>25.0</v>
      </c>
    </row>
    <row r="13">
      <c r="A13" s="58">
        <v>7.0</v>
      </c>
      <c r="B13" s="59">
        <v>119.0</v>
      </c>
      <c r="C13" s="59">
        <v>150.0</v>
      </c>
      <c r="D13" s="59">
        <v>181.0</v>
      </c>
      <c r="E13" s="59">
        <v>212.0</v>
      </c>
      <c r="F13" s="59">
        <v>243.0</v>
      </c>
      <c r="G13" s="59">
        <v>274.0</v>
      </c>
      <c r="H13" s="59">
        <v>305.0</v>
      </c>
      <c r="I13" s="59">
        <v>336.0</v>
      </c>
      <c r="J13" s="59">
        <v>367.0</v>
      </c>
      <c r="K13" s="59">
        <v>398.0</v>
      </c>
      <c r="L13" s="59">
        <v>429.0</v>
      </c>
      <c r="M13" s="59">
        <v>460.0</v>
      </c>
      <c r="N13" s="59">
        <v>491.0</v>
      </c>
      <c r="O13" s="59">
        <v>522.0</v>
      </c>
      <c r="P13" s="59">
        <v>553.0</v>
      </c>
      <c r="Q13" s="59">
        <v>584.0</v>
      </c>
      <c r="R13" s="59">
        <v>615.0</v>
      </c>
      <c r="S13" s="59">
        <v>646.0</v>
      </c>
      <c r="T13" s="17">
        <v>38.0</v>
      </c>
      <c r="V13" s="17">
        <v>7.0</v>
      </c>
      <c r="W13" s="59">
        <v>161.0</v>
      </c>
      <c r="X13" s="59">
        <v>178.0</v>
      </c>
      <c r="Y13" s="59">
        <v>195.0</v>
      </c>
      <c r="Z13" s="59">
        <v>212.0</v>
      </c>
      <c r="AA13" s="59">
        <v>229.0</v>
      </c>
      <c r="AB13" s="59">
        <v>246.0</v>
      </c>
      <c r="AC13" s="59">
        <v>263.0</v>
      </c>
      <c r="AD13" s="59">
        <v>280.0</v>
      </c>
      <c r="AE13" s="24">
        <v>297.0</v>
      </c>
      <c r="AF13" s="5">
        <v>314.0</v>
      </c>
      <c r="AG13" s="5">
        <v>331.0</v>
      </c>
      <c r="AH13" s="5">
        <v>348.0</v>
      </c>
      <c r="AI13" s="5">
        <v>365.0</v>
      </c>
      <c r="AJ13" s="5">
        <v>382.0</v>
      </c>
      <c r="AK13" s="5">
        <v>399.0</v>
      </c>
      <c r="AL13" s="24">
        <v>416.0</v>
      </c>
      <c r="AM13" s="59">
        <v>433.0</v>
      </c>
      <c r="AN13" s="59">
        <v>450.0</v>
      </c>
      <c r="AO13" s="59">
        <v>467.0</v>
      </c>
      <c r="AP13" s="59">
        <v>484.0</v>
      </c>
      <c r="AQ13" s="59">
        <v>501.0</v>
      </c>
      <c r="AR13" s="59">
        <v>518.0</v>
      </c>
      <c r="AS13" s="59">
        <v>535.0</v>
      </c>
      <c r="AT13" s="59">
        <v>552.0</v>
      </c>
      <c r="AU13" s="17">
        <v>24.0</v>
      </c>
    </row>
    <row r="14">
      <c r="A14" s="58">
        <v>8.0</v>
      </c>
      <c r="B14" s="59">
        <v>136.0</v>
      </c>
      <c r="C14" s="59">
        <v>165.0</v>
      </c>
      <c r="D14" s="59">
        <v>194.0</v>
      </c>
      <c r="E14" s="59">
        <v>223.0</v>
      </c>
      <c r="F14" s="59">
        <v>252.0</v>
      </c>
      <c r="G14" s="59">
        <v>281.0</v>
      </c>
      <c r="H14" s="59">
        <v>310.0</v>
      </c>
      <c r="I14" s="59">
        <v>339.0</v>
      </c>
      <c r="J14" s="59">
        <v>368.0</v>
      </c>
      <c r="K14" s="59">
        <v>397.0</v>
      </c>
      <c r="L14" s="59">
        <v>426.0</v>
      </c>
      <c r="M14" s="59">
        <v>455.0</v>
      </c>
      <c r="N14" s="59">
        <v>484.0</v>
      </c>
      <c r="O14" s="59">
        <v>513.0</v>
      </c>
      <c r="P14" s="59">
        <v>542.0</v>
      </c>
      <c r="Q14" s="59">
        <v>571.0</v>
      </c>
      <c r="R14" s="59">
        <v>600.0</v>
      </c>
      <c r="S14" s="59">
        <v>629.0</v>
      </c>
      <c r="T14" s="17">
        <v>37.0</v>
      </c>
      <c r="V14" s="17">
        <v>8.0</v>
      </c>
      <c r="W14" s="59">
        <v>184.0</v>
      </c>
      <c r="X14" s="59">
        <v>199.0</v>
      </c>
      <c r="Y14" s="59">
        <v>214.0</v>
      </c>
      <c r="Z14" s="59">
        <v>229.0</v>
      </c>
      <c r="AA14" s="59">
        <v>244.0</v>
      </c>
      <c r="AB14" s="59">
        <v>259.0</v>
      </c>
      <c r="AC14" s="59">
        <v>274.0</v>
      </c>
      <c r="AD14" s="59">
        <v>289.0</v>
      </c>
      <c r="AE14" s="5">
        <v>304.0</v>
      </c>
      <c r="AF14" s="5">
        <v>319.0</v>
      </c>
      <c r="AG14" s="5">
        <v>334.0</v>
      </c>
      <c r="AH14" s="5">
        <v>349.0</v>
      </c>
      <c r="AI14" s="5">
        <v>364.0</v>
      </c>
      <c r="AJ14" s="5">
        <v>379.0</v>
      </c>
      <c r="AK14" s="5">
        <v>394.0</v>
      </c>
      <c r="AL14" s="5">
        <v>409.0</v>
      </c>
      <c r="AM14" s="59">
        <v>424.0</v>
      </c>
      <c r="AN14" s="59">
        <v>439.0</v>
      </c>
      <c r="AO14" s="59">
        <v>454.0</v>
      </c>
      <c r="AP14" s="59">
        <v>469.0</v>
      </c>
      <c r="AQ14" s="59">
        <v>484.0</v>
      </c>
      <c r="AR14" s="59">
        <v>499.0</v>
      </c>
      <c r="AS14" s="59">
        <v>514.0</v>
      </c>
      <c r="AT14" s="59">
        <v>529.0</v>
      </c>
      <c r="AU14" s="17">
        <v>23.0</v>
      </c>
    </row>
    <row r="15">
      <c r="A15" s="58">
        <v>9.0</v>
      </c>
      <c r="B15" s="59">
        <v>153.0</v>
      </c>
      <c r="C15" s="59">
        <v>180.0</v>
      </c>
      <c r="D15" s="59">
        <v>207.0</v>
      </c>
      <c r="E15" s="59">
        <v>234.0</v>
      </c>
      <c r="F15" s="59">
        <v>261.0</v>
      </c>
      <c r="G15" s="59">
        <v>288.0</v>
      </c>
      <c r="H15" s="59">
        <v>315.0</v>
      </c>
      <c r="I15" s="59">
        <v>342.0</v>
      </c>
      <c r="J15" s="24">
        <v>369.0</v>
      </c>
      <c r="K15" s="24">
        <v>396.0</v>
      </c>
      <c r="L15" s="59">
        <v>423.0</v>
      </c>
      <c r="M15" s="59">
        <v>450.0</v>
      </c>
      <c r="N15" s="59">
        <v>477.0</v>
      </c>
      <c r="O15" s="59">
        <v>504.0</v>
      </c>
      <c r="P15" s="59">
        <v>531.0</v>
      </c>
      <c r="Q15" s="59">
        <v>558.0</v>
      </c>
      <c r="R15" s="59">
        <v>585.0</v>
      </c>
      <c r="S15" s="59">
        <v>612.0</v>
      </c>
      <c r="T15" s="17">
        <v>36.0</v>
      </c>
      <c r="V15" s="17">
        <v>9.0</v>
      </c>
      <c r="W15" s="59">
        <v>207.0</v>
      </c>
      <c r="X15" s="59">
        <v>220.0</v>
      </c>
      <c r="Y15" s="59">
        <v>233.0</v>
      </c>
      <c r="Z15" s="59">
        <v>246.0</v>
      </c>
      <c r="AA15" s="59">
        <v>259.0</v>
      </c>
      <c r="AB15" s="59">
        <v>272.0</v>
      </c>
      <c r="AC15" s="59">
        <v>285.0</v>
      </c>
      <c r="AD15" s="24">
        <v>298.0</v>
      </c>
      <c r="AE15" s="5">
        <v>311.0</v>
      </c>
      <c r="AF15" s="5">
        <v>324.0</v>
      </c>
      <c r="AG15" s="5">
        <v>337.0</v>
      </c>
      <c r="AH15" s="5">
        <v>350.0</v>
      </c>
      <c r="AI15" s="5">
        <v>363.0</v>
      </c>
      <c r="AJ15" s="5">
        <v>376.0</v>
      </c>
      <c r="AK15" s="5">
        <v>389.0</v>
      </c>
      <c r="AL15" s="5">
        <v>402.0</v>
      </c>
      <c r="AM15" s="24">
        <v>415.0</v>
      </c>
      <c r="AN15" s="59">
        <v>428.0</v>
      </c>
      <c r="AO15" s="59">
        <v>441.0</v>
      </c>
      <c r="AP15" s="59">
        <v>454.0</v>
      </c>
      <c r="AQ15" s="59">
        <v>467.0</v>
      </c>
      <c r="AR15" s="59">
        <v>480.0</v>
      </c>
      <c r="AS15" s="59">
        <v>493.0</v>
      </c>
      <c r="AT15" s="59">
        <v>506.0</v>
      </c>
      <c r="AU15" s="17">
        <v>22.0</v>
      </c>
    </row>
    <row r="16">
      <c r="A16" s="58">
        <v>10.0</v>
      </c>
      <c r="B16" s="59">
        <v>170.0</v>
      </c>
      <c r="C16" s="59">
        <v>195.0</v>
      </c>
      <c r="D16" s="59">
        <v>220.0</v>
      </c>
      <c r="E16" s="59">
        <v>245.0</v>
      </c>
      <c r="F16" s="59">
        <v>270.0</v>
      </c>
      <c r="G16" s="59">
        <v>295.0</v>
      </c>
      <c r="H16" s="59">
        <v>320.0</v>
      </c>
      <c r="I16" s="59">
        <v>345.0</v>
      </c>
      <c r="J16" s="5">
        <v>370.0</v>
      </c>
      <c r="K16" s="5">
        <v>395.0</v>
      </c>
      <c r="L16" s="59">
        <v>420.0</v>
      </c>
      <c r="M16" s="59">
        <v>445.0</v>
      </c>
      <c r="N16" s="59">
        <v>470.0</v>
      </c>
      <c r="O16" s="59">
        <v>495.0</v>
      </c>
      <c r="P16" s="59">
        <v>520.0</v>
      </c>
      <c r="Q16" s="59">
        <v>545.0</v>
      </c>
      <c r="R16" s="59">
        <v>570.0</v>
      </c>
      <c r="S16" s="59">
        <v>595.0</v>
      </c>
      <c r="T16" s="17">
        <v>35.0</v>
      </c>
      <c r="V16" s="17">
        <v>10.0</v>
      </c>
      <c r="W16" s="59">
        <v>230.0</v>
      </c>
      <c r="X16" s="59">
        <v>241.0</v>
      </c>
      <c r="Y16" s="59">
        <v>252.0</v>
      </c>
      <c r="Z16" s="59">
        <v>263.0</v>
      </c>
      <c r="AA16" s="59">
        <v>274.0</v>
      </c>
      <c r="AB16" s="59">
        <v>285.0</v>
      </c>
      <c r="AC16" s="15">
        <v>296.0</v>
      </c>
      <c r="AD16" s="5">
        <v>307.0</v>
      </c>
      <c r="AE16" s="5">
        <v>318.0</v>
      </c>
      <c r="AF16" s="5">
        <v>329.0</v>
      </c>
      <c r="AG16" s="5">
        <v>340.0</v>
      </c>
      <c r="AH16" s="5">
        <v>351.0</v>
      </c>
      <c r="AI16" s="5">
        <v>362.0</v>
      </c>
      <c r="AJ16" s="5">
        <v>373.0</v>
      </c>
      <c r="AK16" s="5">
        <v>384.0</v>
      </c>
      <c r="AL16" s="5">
        <v>395.0</v>
      </c>
      <c r="AM16" s="5">
        <v>406.0</v>
      </c>
      <c r="AN16" s="24">
        <v>417.0</v>
      </c>
      <c r="AO16" s="59">
        <v>428.0</v>
      </c>
      <c r="AP16" s="59">
        <v>439.0</v>
      </c>
      <c r="AQ16" s="59">
        <v>450.0</v>
      </c>
      <c r="AR16" s="59">
        <v>461.0</v>
      </c>
      <c r="AS16" s="59">
        <v>472.0</v>
      </c>
      <c r="AT16" s="59">
        <v>483.0</v>
      </c>
      <c r="AU16" s="17">
        <v>21.0</v>
      </c>
    </row>
    <row r="17">
      <c r="A17" s="58">
        <v>11.0</v>
      </c>
      <c r="B17" s="59">
        <v>187.0</v>
      </c>
      <c r="C17" s="59">
        <v>210.0</v>
      </c>
      <c r="D17" s="59">
        <v>233.0</v>
      </c>
      <c r="E17" s="59">
        <v>256.0</v>
      </c>
      <c r="F17" s="59">
        <v>279.0</v>
      </c>
      <c r="G17" s="59">
        <v>302.0</v>
      </c>
      <c r="H17" s="59">
        <v>325.0</v>
      </c>
      <c r="I17" s="59">
        <v>348.0</v>
      </c>
      <c r="J17" s="5">
        <v>371.0</v>
      </c>
      <c r="K17" s="5">
        <v>394.0</v>
      </c>
      <c r="L17" s="59">
        <v>417.0</v>
      </c>
      <c r="M17" s="59">
        <v>440.0</v>
      </c>
      <c r="N17" s="59">
        <v>463.0</v>
      </c>
      <c r="O17" s="59">
        <v>486.0</v>
      </c>
      <c r="P17" s="59">
        <v>509.0</v>
      </c>
      <c r="Q17" s="59">
        <v>532.0</v>
      </c>
      <c r="R17" s="59">
        <v>555.0</v>
      </c>
      <c r="S17" s="59">
        <v>578.0</v>
      </c>
      <c r="T17" s="17">
        <v>34.0</v>
      </c>
      <c r="V17" s="17">
        <v>11.0</v>
      </c>
      <c r="W17" s="59">
        <v>253.0</v>
      </c>
      <c r="X17" s="59">
        <v>262.0</v>
      </c>
      <c r="Y17" s="59">
        <v>271.0</v>
      </c>
      <c r="Z17" s="59">
        <v>280.0</v>
      </c>
      <c r="AA17" s="59">
        <v>289.0</v>
      </c>
      <c r="AB17" s="24">
        <v>298.0</v>
      </c>
      <c r="AC17" s="5">
        <v>307.0</v>
      </c>
      <c r="AD17" s="5">
        <v>316.0</v>
      </c>
      <c r="AE17" s="5">
        <v>325.0</v>
      </c>
      <c r="AF17" s="5">
        <v>334.0</v>
      </c>
      <c r="AG17" s="5">
        <v>343.0</v>
      </c>
      <c r="AH17" s="5">
        <v>352.0</v>
      </c>
      <c r="AI17" s="5">
        <v>361.0</v>
      </c>
      <c r="AJ17" s="5">
        <v>370.0</v>
      </c>
      <c r="AK17" s="5">
        <v>379.0</v>
      </c>
      <c r="AL17" s="5">
        <v>388.0</v>
      </c>
      <c r="AM17" s="5">
        <v>397.0</v>
      </c>
      <c r="AN17" s="5">
        <v>406.0</v>
      </c>
      <c r="AO17" s="24">
        <v>415.0</v>
      </c>
      <c r="AP17" s="59">
        <v>424.0</v>
      </c>
      <c r="AQ17" s="59">
        <v>433.0</v>
      </c>
      <c r="AR17" s="59">
        <v>442.0</v>
      </c>
      <c r="AS17" s="59">
        <v>451.0</v>
      </c>
      <c r="AT17" s="59">
        <v>460.0</v>
      </c>
      <c r="AU17" s="17">
        <v>20.0</v>
      </c>
    </row>
    <row r="18">
      <c r="A18" s="58">
        <v>12.0</v>
      </c>
      <c r="B18" s="59">
        <v>204.0</v>
      </c>
      <c r="C18" s="59">
        <v>225.0</v>
      </c>
      <c r="D18" s="59">
        <v>246.0</v>
      </c>
      <c r="E18" s="59">
        <v>267.0</v>
      </c>
      <c r="F18" s="59">
        <v>288.0</v>
      </c>
      <c r="G18" s="59">
        <v>309.0</v>
      </c>
      <c r="H18" s="59">
        <v>330.0</v>
      </c>
      <c r="I18" s="24">
        <v>351.0</v>
      </c>
      <c r="J18" s="5">
        <v>372.0</v>
      </c>
      <c r="K18" s="5">
        <v>393.0</v>
      </c>
      <c r="L18" s="24">
        <v>414.0</v>
      </c>
      <c r="M18" s="59">
        <v>435.0</v>
      </c>
      <c r="N18" s="59">
        <v>456.0</v>
      </c>
      <c r="O18" s="59">
        <v>477.0</v>
      </c>
      <c r="P18" s="59">
        <v>498.0</v>
      </c>
      <c r="Q18" s="59">
        <v>519.0</v>
      </c>
      <c r="R18" s="59">
        <v>540.0</v>
      </c>
      <c r="S18" s="59">
        <v>561.0</v>
      </c>
      <c r="T18" s="17">
        <v>33.0</v>
      </c>
      <c r="V18" s="17">
        <v>12.0</v>
      </c>
      <c r="W18" s="59">
        <v>276.0</v>
      </c>
      <c r="X18" s="59">
        <v>283.0</v>
      </c>
      <c r="Y18" s="59">
        <v>290.0</v>
      </c>
      <c r="Z18" s="59">
        <v>297.0</v>
      </c>
      <c r="AA18" s="24">
        <v>304.0</v>
      </c>
      <c r="AB18" s="5">
        <v>311.0</v>
      </c>
      <c r="AC18" s="5">
        <v>318.0</v>
      </c>
      <c r="AD18" s="5">
        <v>325.0</v>
      </c>
      <c r="AE18" s="5">
        <v>332.0</v>
      </c>
      <c r="AF18" s="5">
        <v>339.0</v>
      </c>
      <c r="AG18" s="5">
        <v>346.0</v>
      </c>
      <c r="AH18" s="5">
        <v>353.0</v>
      </c>
      <c r="AI18" s="5">
        <v>360.0</v>
      </c>
      <c r="AJ18" s="5">
        <v>367.0</v>
      </c>
      <c r="AK18" s="5">
        <v>374.0</v>
      </c>
      <c r="AL18" s="5">
        <v>381.0</v>
      </c>
      <c r="AM18" s="5">
        <v>388.0</v>
      </c>
      <c r="AN18" s="5">
        <v>395.0</v>
      </c>
      <c r="AO18" s="5">
        <v>402.0</v>
      </c>
      <c r="AP18" s="24">
        <v>409.0</v>
      </c>
      <c r="AQ18" s="59">
        <v>416.0</v>
      </c>
      <c r="AR18" s="59">
        <v>423.0</v>
      </c>
      <c r="AS18" s="59">
        <v>430.0</v>
      </c>
      <c r="AT18" s="59">
        <v>437.0</v>
      </c>
      <c r="AU18" s="17">
        <v>19.0</v>
      </c>
    </row>
    <row r="19">
      <c r="A19" s="58">
        <v>13.0</v>
      </c>
      <c r="B19" s="59">
        <v>221.0</v>
      </c>
      <c r="C19" s="59">
        <v>240.0</v>
      </c>
      <c r="D19" s="59">
        <v>259.0</v>
      </c>
      <c r="E19" s="59">
        <v>278.0</v>
      </c>
      <c r="F19" s="59">
        <v>297.0</v>
      </c>
      <c r="G19" s="59">
        <v>316.0</v>
      </c>
      <c r="H19" s="59">
        <v>335.0</v>
      </c>
      <c r="I19" s="5">
        <v>354.0</v>
      </c>
      <c r="J19" s="5">
        <v>373.0</v>
      </c>
      <c r="K19" s="5">
        <v>392.0</v>
      </c>
      <c r="L19" s="5">
        <v>411.0</v>
      </c>
      <c r="M19" s="59">
        <v>430.0</v>
      </c>
      <c r="N19" s="59">
        <v>449.0</v>
      </c>
      <c r="O19" s="59">
        <v>468.0</v>
      </c>
      <c r="P19" s="59">
        <v>487.0</v>
      </c>
      <c r="Q19" s="59">
        <v>506.0</v>
      </c>
      <c r="R19" s="59">
        <v>525.0</v>
      </c>
      <c r="S19" s="59">
        <v>544.0</v>
      </c>
      <c r="T19" s="17">
        <v>32.0</v>
      </c>
      <c r="V19" s="17">
        <v>13.0</v>
      </c>
      <c r="W19" s="59">
        <v>299.0</v>
      </c>
      <c r="X19" s="59">
        <v>304.0</v>
      </c>
      <c r="Y19" s="59">
        <v>309.0</v>
      </c>
      <c r="Z19" s="24">
        <v>314.0</v>
      </c>
      <c r="AA19" s="5">
        <v>319.0</v>
      </c>
      <c r="AB19" s="5">
        <v>324.0</v>
      </c>
      <c r="AC19" s="5">
        <v>329.0</v>
      </c>
      <c r="AD19" s="5">
        <v>334.0</v>
      </c>
      <c r="AE19" s="5">
        <v>339.0</v>
      </c>
      <c r="AF19" s="5">
        <v>344.0</v>
      </c>
      <c r="AG19" s="5">
        <v>349.0</v>
      </c>
      <c r="AH19" s="5">
        <v>354.0</v>
      </c>
      <c r="AI19" s="5">
        <v>359.0</v>
      </c>
      <c r="AJ19" s="5">
        <v>364.0</v>
      </c>
      <c r="AK19" s="5">
        <v>369.0</v>
      </c>
      <c r="AL19" s="5">
        <v>374.0</v>
      </c>
      <c r="AM19" s="5">
        <v>379.0</v>
      </c>
      <c r="AN19" s="5">
        <v>384.0</v>
      </c>
      <c r="AO19" s="5">
        <v>389.0</v>
      </c>
      <c r="AP19" s="5">
        <v>394.0</v>
      </c>
      <c r="AQ19" s="24">
        <v>399.0</v>
      </c>
      <c r="AR19" s="59">
        <v>404.0</v>
      </c>
      <c r="AS19" s="59">
        <v>409.0</v>
      </c>
      <c r="AT19" s="59">
        <v>414.0</v>
      </c>
      <c r="AU19" s="17">
        <v>18.0</v>
      </c>
    </row>
    <row r="20">
      <c r="A20" s="58">
        <v>14.0</v>
      </c>
      <c r="B20" s="59">
        <v>238.0</v>
      </c>
      <c r="C20" s="59">
        <v>255.0</v>
      </c>
      <c r="D20" s="59">
        <v>272.0</v>
      </c>
      <c r="E20" s="59">
        <v>289.0</v>
      </c>
      <c r="F20" s="59">
        <v>306.0</v>
      </c>
      <c r="G20" s="59">
        <v>323.0</v>
      </c>
      <c r="H20" s="24">
        <v>340.0</v>
      </c>
      <c r="I20" s="5">
        <v>357.0</v>
      </c>
      <c r="J20" s="5">
        <v>374.0</v>
      </c>
      <c r="K20" s="5">
        <v>391.0</v>
      </c>
      <c r="L20" s="5">
        <v>408.0</v>
      </c>
      <c r="M20" s="24">
        <v>425.0</v>
      </c>
      <c r="N20" s="59">
        <v>442.0</v>
      </c>
      <c r="O20" s="59">
        <v>459.0</v>
      </c>
      <c r="P20" s="59">
        <v>476.0</v>
      </c>
      <c r="Q20" s="59">
        <v>493.0</v>
      </c>
      <c r="R20" s="59">
        <v>510.0</v>
      </c>
      <c r="S20" s="59">
        <v>527.0</v>
      </c>
      <c r="T20" s="17">
        <v>31.0</v>
      </c>
      <c r="V20" s="17">
        <v>14.0</v>
      </c>
      <c r="W20" s="59">
        <v>322.0</v>
      </c>
      <c r="X20" s="59">
        <v>325.0</v>
      </c>
      <c r="Y20" s="24">
        <v>328.0</v>
      </c>
      <c r="Z20" s="5">
        <v>331.0</v>
      </c>
      <c r="AA20" s="5">
        <v>334.0</v>
      </c>
      <c r="AB20" s="5">
        <v>337.0</v>
      </c>
      <c r="AC20" s="5">
        <v>340.0</v>
      </c>
      <c r="AD20" s="5">
        <v>343.0</v>
      </c>
      <c r="AE20" s="5">
        <v>346.0</v>
      </c>
      <c r="AF20" s="5">
        <v>349.0</v>
      </c>
      <c r="AG20" s="5">
        <v>352.0</v>
      </c>
      <c r="AH20" s="5">
        <v>355.0</v>
      </c>
      <c r="AI20" s="5">
        <v>358.0</v>
      </c>
      <c r="AJ20" s="5">
        <v>361.0</v>
      </c>
      <c r="AK20" s="5">
        <v>364.0</v>
      </c>
      <c r="AL20" s="5">
        <v>367.0</v>
      </c>
      <c r="AM20" s="5">
        <v>370.0</v>
      </c>
      <c r="AN20" s="5">
        <v>373.0</v>
      </c>
      <c r="AO20" s="5">
        <v>376.0</v>
      </c>
      <c r="AP20" s="5">
        <v>379.0</v>
      </c>
      <c r="AQ20" s="5">
        <v>382.0</v>
      </c>
      <c r="AR20" s="24">
        <v>385.0</v>
      </c>
      <c r="AS20" s="59">
        <v>388.0</v>
      </c>
      <c r="AT20" s="59">
        <v>391.0</v>
      </c>
      <c r="AU20" s="17">
        <v>17.0</v>
      </c>
    </row>
    <row r="21">
      <c r="A21" s="58">
        <v>15.0</v>
      </c>
      <c r="B21" s="59">
        <v>255.0</v>
      </c>
      <c r="C21" s="59">
        <v>270.0</v>
      </c>
      <c r="D21" s="59">
        <v>285.0</v>
      </c>
      <c r="E21" s="59">
        <v>300.0</v>
      </c>
      <c r="F21" s="59">
        <v>315.0</v>
      </c>
      <c r="G21" s="59">
        <v>330.0</v>
      </c>
      <c r="H21" s="5">
        <v>345.0</v>
      </c>
      <c r="I21" s="5">
        <v>360.0</v>
      </c>
      <c r="J21" s="5">
        <v>375.0</v>
      </c>
      <c r="K21" s="5">
        <v>390.0</v>
      </c>
      <c r="L21" s="5">
        <v>405.0</v>
      </c>
      <c r="M21" s="5">
        <v>420.0</v>
      </c>
      <c r="N21" s="59">
        <v>435.0</v>
      </c>
      <c r="O21" s="59">
        <v>450.0</v>
      </c>
      <c r="P21" s="59">
        <v>465.0</v>
      </c>
      <c r="Q21" s="59">
        <v>480.0</v>
      </c>
      <c r="R21" s="59">
        <v>495.0</v>
      </c>
      <c r="S21" s="59">
        <v>510.0</v>
      </c>
      <c r="T21" s="17">
        <v>30.0</v>
      </c>
      <c r="V21" s="17">
        <v>15.0</v>
      </c>
      <c r="W21" s="59">
        <v>345.0</v>
      </c>
      <c r="X21" s="24">
        <v>346.0</v>
      </c>
      <c r="Y21" s="5">
        <v>347.0</v>
      </c>
      <c r="Z21" s="5">
        <v>348.0</v>
      </c>
      <c r="AA21" s="5">
        <v>349.0</v>
      </c>
      <c r="AB21" s="5">
        <v>350.0</v>
      </c>
      <c r="AC21" s="5">
        <v>351.0</v>
      </c>
      <c r="AD21" s="5">
        <v>352.0</v>
      </c>
      <c r="AE21" s="5">
        <v>353.0</v>
      </c>
      <c r="AF21" s="5">
        <v>354.0</v>
      </c>
      <c r="AG21" s="5">
        <v>355.0</v>
      </c>
      <c r="AH21" s="5">
        <v>356.0</v>
      </c>
      <c r="AI21" s="5">
        <v>357.0</v>
      </c>
      <c r="AJ21" s="5">
        <v>358.0</v>
      </c>
      <c r="AK21" s="5">
        <v>359.0</v>
      </c>
      <c r="AL21" s="5">
        <v>360.0</v>
      </c>
      <c r="AM21" s="5">
        <v>361.0</v>
      </c>
      <c r="AN21" s="5">
        <v>362.0</v>
      </c>
      <c r="AO21" s="5">
        <v>363.0</v>
      </c>
      <c r="AP21" s="5">
        <v>364.0</v>
      </c>
      <c r="AQ21" s="5">
        <v>365.0</v>
      </c>
      <c r="AR21" s="5">
        <v>366.0</v>
      </c>
      <c r="AS21" s="24">
        <v>367.0</v>
      </c>
      <c r="AT21" s="59">
        <v>368.0</v>
      </c>
      <c r="AU21" s="17">
        <v>16.0</v>
      </c>
    </row>
    <row r="22">
      <c r="A22" s="58">
        <v>16.0</v>
      </c>
      <c r="B22" s="59">
        <v>272.0</v>
      </c>
      <c r="C22" s="59">
        <v>285.0</v>
      </c>
      <c r="D22" s="59">
        <v>298.0</v>
      </c>
      <c r="E22" s="59">
        <v>311.0</v>
      </c>
      <c r="F22" s="59">
        <v>324.0</v>
      </c>
      <c r="G22" s="15">
        <v>337.0</v>
      </c>
      <c r="H22" s="5">
        <v>350.0</v>
      </c>
      <c r="I22" s="5">
        <v>363.0</v>
      </c>
      <c r="J22" s="5">
        <v>376.0</v>
      </c>
      <c r="K22" s="5">
        <v>389.0</v>
      </c>
      <c r="L22" s="5">
        <v>402.0</v>
      </c>
      <c r="M22" s="5">
        <v>415.0</v>
      </c>
      <c r="N22" s="24">
        <v>428.0</v>
      </c>
      <c r="O22" s="59">
        <v>441.0</v>
      </c>
      <c r="P22" s="59">
        <v>454.0</v>
      </c>
      <c r="Q22" s="59">
        <v>467.0</v>
      </c>
      <c r="R22" s="59">
        <v>480.0</v>
      </c>
      <c r="S22" s="59">
        <v>493.0</v>
      </c>
      <c r="T22" s="17">
        <v>29.0</v>
      </c>
      <c r="V22" s="17">
        <v>16.0</v>
      </c>
      <c r="W22" s="59">
        <v>368.0</v>
      </c>
      <c r="X22" s="24">
        <v>367.0</v>
      </c>
      <c r="Y22" s="5">
        <v>366.0</v>
      </c>
      <c r="Z22" s="5">
        <v>365.0</v>
      </c>
      <c r="AA22" s="5">
        <v>364.0</v>
      </c>
      <c r="AB22" s="5">
        <v>363.0</v>
      </c>
      <c r="AC22" s="5">
        <v>362.0</v>
      </c>
      <c r="AD22" s="5">
        <v>361.0</v>
      </c>
      <c r="AE22" s="5">
        <v>360.0</v>
      </c>
      <c r="AF22" s="5">
        <v>359.0</v>
      </c>
      <c r="AG22" s="5">
        <v>358.0</v>
      </c>
      <c r="AH22" s="5">
        <v>357.0</v>
      </c>
      <c r="AI22" s="5">
        <v>356.0</v>
      </c>
      <c r="AJ22" s="5">
        <v>355.0</v>
      </c>
      <c r="AK22" s="5">
        <v>354.0</v>
      </c>
      <c r="AL22" s="5">
        <v>353.0</v>
      </c>
      <c r="AM22" s="5">
        <v>352.0</v>
      </c>
      <c r="AN22" s="5">
        <v>351.0</v>
      </c>
      <c r="AO22" s="5">
        <v>350.0</v>
      </c>
      <c r="AP22" s="5">
        <v>349.0</v>
      </c>
      <c r="AQ22" s="5">
        <v>348.0</v>
      </c>
      <c r="AR22" s="5">
        <v>347.0</v>
      </c>
      <c r="AS22" s="24">
        <v>346.0</v>
      </c>
      <c r="AT22" s="59">
        <v>345.0</v>
      </c>
      <c r="AU22" s="17">
        <v>15.0</v>
      </c>
    </row>
    <row r="23">
      <c r="A23" s="58">
        <v>17.0</v>
      </c>
      <c r="B23" s="59">
        <v>289.0</v>
      </c>
      <c r="C23" s="59">
        <v>300.0</v>
      </c>
      <c r="D23" s="59">
        <v>311.0</v>
      </c>
      <c r="E23" s="59">
        <v>322.0</v>
      </c>
      <c r="F23" s="59">
        <v>333.0</v>
      </c>
      <c r="G23" s="5">
        <v>344.0</v>
      </c>
      <c r="H23" s="5">
        <v>355.0</v>
      </c>
      <c r="I23" s="5">
        <v>366.0</v>
      </c>
      <c r="J23" s="5">
        <v>377.0</v>
      </c>
      <c r="K23" s="5">
        <v>388.0</v>
      </c>
      <c r="L23" s="5">
        <v>399.0</v>
      </c>
      <c r="M23" s="5">
        <v>410.0</v>
      </c>
      <c r="N23" s="5">
        <v>421.0</v>
      </c>
      <c r="O23" s="59">
        <v>432.0</v>
      </c>
      <c r="P23" s="59">
        <v>443.0</v>
      </c>
      <c r="Q23" s="59">
        <v>454.0</v>
      </c>
      <c r="R23" s="59">
        <v>465.0</v>
      </c>
      <c r="S23" s="59">
        <v>476.0</v>
      </c>
      <c r="T23" s="17">
        <v>28.0</v>
      </c>
      <c r="V23" s="17">
        <v>17.0</v>
      </c>
      <c r="W23" s="59">
        <v>391.0</v>
      </c>
      <c r="X23" s="59">
        <v>388.0</v>
      </c>
      <c r="Y23" s="24">
        <v>385.0</v>
      </c>
      <c r="Z23" s="5">
        <v>382.0</v>
      </c>
      <c r="AA23" s="5">
        <v>379.0</v>
      </c>
      <c r="AB23" s="5">
        <v>376.0</v>
      </c>
      <c r="AC23" s="5">
        <v>373.0</v>
      </c>
      <c r="AD23" s="5">
        <v>370.0</v>
      </c>
      <c r="AE23" s="5">
        <v>367.0</v>
      </c>
      <c r="AF23" s="5">
        <v>364.0</v>
      </c>
      <c r="AG23" s="5">
        <v>361.0</v>
      </c>
      <c r="AH23" s="5">
        <v>358.0</v>
      </c>
      <c r="AI23" s="5">
        <v>355.0</v>
      </c>
      <c r="AJ23" s="5">
        <v>352.0</v>
      </c>
      <c r="AK23" s="5">
        <v>349.0</v>
      </c>
      <c r="AL23" s="5">
        <v>346.0</v>
      </c>
      <c r="AM23" s="5">
        <v>343.0</v>
      </c>
      <c r="AN23" s="5">
        <v>340.0</v>
      </c>
      <c r="AO23" s="5">
        <v>337.0</v>
      </c>
      <c r="AP23" s="5">
        <v>334.0</v>
      </c>
      <c r="AQ23" s="5">
        <v>331.0</v>
      </c>
      <c r="AR23" s="24">
        <v>328.0</v>
      </c>
      <c r="AS23" s="59">
        <v>325.0</v>
      </c>
      <c r="AT23" s="59">
        <v>322.0</v>
      </c>
      <c r="AU23" s="17">
        <v>14.0</v>
      </c>
    </row>
    <row r="24">
      <c r="A24" s="58">
        <v>18.0</v>
      </c>
      <c r="B24" s="59">
        <v>306.0</v>
      </c>
      <c r="C24" s="59">
        <v>315.0</v>
      </c>
      <c r="D24" s="59">
        <v>324.0</v>
      </c>
      <c r="E24" s="59">
        <v>333.0</v>
      </c>
      <c r="F24" s="24">
        <v>342.0</v>
      </c>
      <c r="G24" s="5">
        <v>351.0</v>
      </c>
      <c r="H24" s="5">
        <v>360.0</v>
      </c>
      <c r="I24" s="5">
        <v>369.0</v>
      </c>
      <c r="J24" s="5">
        <v>378.0</v>
      </c>
      <c r="K24" s="5">
        <v>387.0</v>
      </c>
      <c r="L24" s="5">
        <v>396.0</v>
      </c>
      <c r="M24" s="5">
        <v>405.0</v>
      </c>
      <c r="N24" s="5">
        <v>414.0</v>
      </c>
      <c r="O24" s="24">
        <v>423.0</v>
      </c>
      <c r="P24" s="59">
        <v>432.0</v>
      </c>
      <c r="Q24" s="59">
        <v>441.0</v>
      </c>
      <c r="R24" s="59">
        <v>450.0</v>
      </c>
      <c r="S24" s="59">
        <v>459.0</v>
      </c>
      <c r="T24" s="17">
        <v>27.0</v>
      </c>
      <c r="V24" s="17">
        <v>18.0</v>
      </c>
      <c r="W24" s="59">
        <v>414.0</v>
      </c>
      <c r="X24" s="59">
        <v>409.0</v>
      </c>
      <c r="Y24" s="59">
        <v>404.0</v>
      </c>
      <c r="Z24" s="24">
        <v>399.0</v>
      </c>
      <c r="AA24" s="5">
        <v>394.0</v>
      </c>
      <c r="AB24" s="5">
        <v>389.0</v>
      </c>
      <c r="AC24" s="5">
        <v>384.0</v>
      </c>
      <c r="AD24" s="5">
        <v>379.0</v>
      </c>
      <c r="AE24" s="5">
        <v>374.0</v>
      </c>
      <c r="AF24" s="5">
        <v>369.0</v>
      </c>
      <c r="AG24" s="5">
        <v>364.0</v>
      </c>
      <c r="AH24" s="5">
        <v>359.0</v>
      </c>
      <c r="AI24" s="5">
        <v>354.0</v>
      </c>
      <c r="AJ24" s="5">
        <v>349.0</v>
      </c>
      <c r="AK24" s="5">
        <v>344.0</v>
      </c>
      <c r="AL24" s="5">
        <v>339.0</v>
      </c>
      <c r="AM24" s="5">
        <v>334.0</v>
      </c>
      <c r="AN24" s="5">
        <v>329.0</v>
      </c>
      <c r="AO24" s="5">
        <v>324.0</v>
      </c>
      <c r="AP24" s="5">
        <v>319.0</v>
      </c>
      <c r="AQ24" s="24">
        <v>314.0</v>
      </c>
      <c r="AR24" s="59">
        <v>309.0</v>
      </c>
      <c r="AS24" s="59">
        <v>304.0</v>
      </c>
      <c r="AT24" s="59">
        <v>299.0</v>
      </c>
      <c r="AU24" s="17">
        <v>13.0</v>
      </c>
    </row>
    <row r="25">
      <c r="A25" s="58">
        <v>19.0</v>
      </c>
      <c r="B25" s="59">
        <v>323.0</v>
      </c>
      <c r="C25" s="59">
        <v>330.0</v>
      </c>
      <c r="D25" s="59">
        <v>337.0</v>
      </c>
      <c r="E25" s="59">
        <v>344.0</v>
      </c>
      <c r="F25" s="5">
        <v>351.0</v>
      </c>
      <c r="G25" s="5">
        <v>358.0</v>
      </c>
      <c r="H25" s="5">
        <v>365.0</v>
      </c>
      <c r="I25" s="5">
        <v>372.0</v>
      </c>
      <c r="J25" s="5">
        <v>379.0</v>
      </c>
      <c r="K25" s="5">
        <v>386.0</v>
      </c>
      <c r="L25" s="5">
        <v>393.0</v>
      </c>
      <c r="M25" s="5">
        <v>400.0</v>
      </c>
      <c r="N25" s="5">
        <v>407.0</v>
      </c>
      <c r="O25" s="5">
        <v>414.0</v>
      </c>
      <c r="P25" s="59">
        <v>421.0</v>
      </c>
      <c r="Q25" s="59">
        <v>428.0</v>
      </c>
      <c r="R25" s="59">
        <v>435.0</v>
      </c>
      <c r="S25" s="59">
        <v>442.0</v>
      </c>
      <c r="T25" s="17">
        <v>26.0</v>
      </c>
      <c r="V25" s="17">
        <v>19.0</v>
      </c>
      <c r="W25" s="59">
        <v>437.0</v>
      </c>
      <c r="X25" s="59">
        <v>430.0</v>
      </c>
      <c r="Y25" s="59">
        <v>423.0</v>
      </c>
      <c r="Z25" s="59">
        <v>416.0</v>
      </c>
      <c r="AA25" s="24">
        <v>409.0</v>
      </c>
      <c r="AB25" s="5">
        <v>402.0</v>
      </c>
      <c r="AC25" s="5">
        <v>395.0</v>
      </c>
      <c r="AD25" s="5">
        <v>388.0</v>
      </c>
      <c r="AE25" s="5">
        <v>381.0</v>
      </c>
      <c r="AF25" s="5">
        <v>374.0</v>
      </c>
      <c r="AG25" s="5">
        <v>367.0</v>
      </c>
      <c r="AH25" s="5">
        <v>360.0</v>
      </c>
      <c r="AI25" s="5">
        <v>353.0</v>
      </c>
      <c r="AJ25" s="5">
        <v>346.0</v>
      </c>
      <c r="AK25" s="5">
        <v>339.0</v>
      </c>
      <c r="AL25" s="5">
        <v>332.0</v>
      </c>
      <c r="AM25" s="5">
        <v>325.0</v>
      </c>
      <c r="AN25" s="5">
        <v>318.0</v>
      </c>
      <c r="AO25" s="5">
        <v>311.0</v>
      </c>
      <c r="AP25" s="24">
        <v>304.0</v>
      </c>
      <c r="AQ25" s="59">
        <v>297.0</v>
      </c>
      <c r="AR25" s="59">
        <v>290.0</v>
      </c>
      <c r="AS25" s="59">
        <v>283.0</v>
      </c>
      <c r="AT25" s="59">
        <v>276.0</v>
      </c>
      <c r="AU25" s="17">
        <v>12.0</v>
      </c>
    </row>
    <row r="26">
      <c r="A26" s="58">
        <v>20.0</v>
      </c>
      <c r="B26" s="59">
        <v>340.0</v>
      </c>
      <c r="C26" s="59">
        <v>345.0</v>
      </c>
      <c r="D26" s="59">
        <v>350.0</v>
      </c>
      <c r="E26" s="24">
        <v>355.0</v>
      </c>
      <c r="F26" s="5">
        <v>360.0</v>
      </c>
      <c r="G26" s="5">
        <v>365.0</v>
      </c>
      <c r="H26" s="5">
        <v>370.0</v>
      </c>
      <c r="I26" s="5">
        <v>375.0</v>
      </c>
      <c r="J26" s="5">
        <v>380.0</v>
      </c>
      <c r="K26" s="5">
        <v>385.0</v>
      </c>
      <c r="L26" s="5">
        <v>390.0</v>
      </c>
      <c r="M26" s="5">
        <v>395.0</v>
      </c>
      <c r="N26" s="5">
        <v>400.0</v>
      </c>
      <c r="O26" s="5">
        <v>405.0</v>
      </c>
      <c r="P26" s="24">
        <v>410.0</v>
      </c>
      <c r="Q26" s="59">
        <v>415.0</v>
      </c>
      <c r="R26" s="59">
        <v>420.0</v>
      </c>
      <c r="S26" s="59">
        <v>425.0</v>
      </c>
      <c r="T26" s="17">
        <v>25.0</v>
      </c>
      <c r="V26" s="17">
        <v>20.0</v>
      </c>
      <c r="W26" s="59">
        <v>460.0</v>
      </c>
      <c r="X26" s="59">
        <v>451.0</v>
      </c>
      <c r="Y26" s="59">
        <v>442.0</v>
      </c>
      <c r="Z26" s="59">
        <v>433.0</v>
      </c>
      <c r="AA26" s="59">
        <v>424.0</v>
      </c>
      <c r="AB26" s="24">
        <v>415.0</v>
      </c>
      <c r="AC26" s="5">
        <v>406.0</v>
      </c>
      <c r="AD26" s="5">
        <v>397.0</v>
      </c>
      <c r="AE26" s="5">
        <v>388.0</v>
      </c>
      <c r="AF26" s="5">
        <v>379.0</v>
      </c>
      <c r="AG26" s="5">
        <v>370.0</v>
      </c>
      <c r="AH26" s="5">
        <v>361.0</v>
      </c>
      <c r="AI26" s="5">
        <v>352.0</v>
      </c>
      <c r="AJ26" s="5">
        <v>343.0</v>
      </c>
      <c r="AK26" s="5">
        <v>334.0</v>
      </c>
      <c r="AL26" s="5">
        <v>325.0</v>
      </c>
      <c r="AM26" s="5">
        <v>316.0</v>
      </c>
      <c r="AN26" s="5">
        <v>307.0</v>
      </c>
      <c r="AO26" s="24">
        <v>298.0</v>
      </c>
      <c r="AP26" s="59">
        <v>289.0</v>
      </c>
      <c r="AQ26" s="59">
        <v>280.0</v>
      </c>
      <c r="AR26" s="59">
        <v>271.0</v>
      </c>
      <c r="AS26" s="59">
        <v>262.0</v>
      </c>
      <c r="AT26" s="59">
        <v>253.0</v>
      </c>
      <c r="AU26" s="17">
        <v>11.0</v>
      </c>
    </row>
    <row r="27">
      <c r="A27" s="58">
        <v>21.0</v>
      </c>
      <c r="B27" s="59">
        <v>357.0</v>
      </c>
      <c r="C27" s="59">
        <v>360.0</v>
      </c>
      <c r="D27" s="24">
        <v>363.0</v>
      </c>
      <c r="E27" s="5">
        <v>366.0</v>
      </c>
      <c r="F27" s="5">
        <v>369.0</v>
      </c>
      <c r="G27" s="5">
        <v>372.0</v>
      </c>
      <c r="H27" s="5">
        <v>375.0</v>
      </c>
      <c r="I27" s="5">
        <v>378.0</v>
      </c>
      <c r="J27" s="5">
        <v>381.0</v>
      </c>
      <c r="K27" s="5">
        <v>384.0</v>
      </c>
      <c r="L27" s="5">
        <v>387.0</v>
      </c>
      <c r="M27" s="5">
        <v>390.0</v>
      </c>
      <c r="N27" s="5">
        <v>393.0</v>
      </c>
      <c r="O27" s="5">
        <v>396.0</v>
      </c>
      <c r="P27" s="5">
        <v>399.0</v>
      </c>
      <c r="Q27" s="24">
        <v>402.0</v>
      </c>
      <c r="R27" s="59">
        <v>405.0</v>
      </c>
      <c r="S27" s="59">
        <v>408.0</v>
      </c>
      <c r="T27" s="17">
        <v>24.0</v>
      </c>
      <c r="V27" s="17">
        <v>21.0</v>
      </c>
      <c r="W27" s="59">
        <v>483.0</v>
      </c>
      <c r="X27" s="59">
        <v>472.0</v>
      </c>
      <c r="Y27" s="59">
        <v>461.0</v>
      </c>
      <c r="Z27" s="59">
        <v>450.0</v>
      </c>
      <c r="AA27" s="59">
        <v>439.0</v>
      </c>
      <c r="AB27" s="59">
        <v>428.0</v>
      </c>
      <c r="AC27" s="24">
        <v>417.0</v>
      </c>
      <c r="AD27" s="5">
        <v>406.0</v>
      </c>
      <c r="AE27" s="5">
        <v>395.0</v>
      </c>
      <c r="AF27" s="5">
        <v>384.0</v>
      </c>
      <c r="AG27" s="5">
        <v>373.0</v>
      </c>
      <c r="AH27" s="5">
        <v>362.0</v>
      </c>
      <c r="AI27" s="5">
        <v>351.0</v>
      </c>
      <c r="AJ27" s="5">
        <v>340.0</v>
      </c>
      <c r="AK27" s="5">
        <v>329.0</v>
      </c>
      <c r="AL27" s="5">
        <v>318.0</v>
      </c>
      <c r="AM27" s="5">
        <v>307.0</v>
      </c>
      <c r="AN27" s="15">
        <v>296.0</v>
      </c>
      <c r="AO27" s="59">
        <v>285.0</v>
      </c>
      <c r="AP27" s="59">
        <v>274.0</v>
      </c>
      <c r="AQ27" s="59">
        <v>263.0</v>
      </c>
      <c r="AR27" s="59">
        <v>252.0</v>
      </c>
      <c r="AS27" s="59">
        <v>241.0</v>
      </c>
      <c r="AT27" s="59">
        <v>230.0</v>
      </c>
      <c r="AU27" s="17">
        <v>10.0</v>
      </c>
    </row>
    <row r="28">
      <c r="A28" s="58">
        <v>22.0</v>
      </c>
      <c r="B28" s="59">
        <v>374.0</v>
      </c>
      <c r="C28" s="59">
        <v>375.0</v>
      </c>
      <c r="D28" s="5">
        <v>376.0</v>
      </c>
      <c r="E28" s="5">
        <v>377.0</v>
      </c>
      <c r="F28" s="5">
        <v>378.0</v>
      </c>
      <c r="G28" s="5">
        <v>379.0</v>
      </c>
      <c r="H28" s="5">
        <v>380.0</v>
      </c>
      <c r="I28" s="5">
        <v>381.0</v>
      </c>
      <c r="J28" s="5">
        <v>382.0</v>
      </c>
      <c r="K28" s="5">
        <v>383.0</v>
      </c>
      <c r="L28" s="5">
        <v>384.0</v>
      </c>
      <c r="M28" s="5">
        <v>385.0</v>
      </c>
      <c r="N28" s="5">
        <v>386.0</v>
      </c>
      <c r="O28" s="5">
        <v>387.0</v>
      </c>
      <c r="P28" s="5">
        <v>388.0</v>
      </c>
      <c r="Q28" s="5">
        <v>389.0</v>
      </c>
      <c r="R28" s="59">
        <v>390.0</v>
      </c>
      <c r="S28" s="59">
        <v>391.0</v>
      </c>
      <c r="T28" s="17">
        <v>23.0</v>
      </c>
      <c r="V28" s="17">
        <v>22.0</v>
      </c>
      <c r="W28" s="59">
        <v>506.0</v>
      </c>
      <c r="X28" s="59">
        <v>493.0</v>
      </c>
      <c r="Y28" s="59">
        <v>480.0</v>
      </c>
      <c r="Z28" s="59">
        <v>467.0</v>
      </c>
      <c r="AA28" s="59">
        <v>454.0</v>
      </c>
      <c r="AB28" s="59">
        <v>441.0</v>
      </c>
      <c r="AC28" s="59">
        <v>428.0</v>
      </c>
      <c r="AD28" s="24">
        <v>415.0</v>
      </c>
      <c r="AE28" s="5">
        <v>402.0</v>
      </c>
      <c r="AF28" s="5">
        <v>389.0</v>
      </c>
      <c r="AG28" s="5">
        <v>376.0</v>
      </c>
      <c r="AH28" s="5">
        <v>363.0</v>
      </c>
      <c r="AI28" s="5">
        <v>350.0</v>
      </c>
      <c r="AJ28" s="5">
        <v>337.0</v>
      </c>
      <c r="AK28" s="5">
        <v>324.0</v>
      </c>
      <c r="AL28" s="5">
        <v>311.0</v>
      </c>
      <c r="AM28" s="24">
        <v>298.0</v>
      </c>
      <c r="AN28" s="59">
        <v>285.0</v>
      </c>
      <c r="AO28" s="59">
        <v>272.0</v>
      </c>
      <c r="AP28" s="59">
        <v>259.0</v>
      </c>
      <c r="AQ28" s="59">
        <v>246.0</v>
      </c>
      <c r="AR28" s="59">
        <v>233.0</v>
      </c>
      <c r="AS28" s="59">
        <v>220.0</v>
      </c>
      <c r="AT28" s="59">
        <v>207.0</v>
      </c>
      <c r="AU28" s="17">
        <v>9.0</v>
      </c>
    </row>
    <row r="29">
      <c r="A29" s="58">
        <v>23.0</v>
      </c>
      <c r="B29" s="59">
        <v>391.0</v>
      </c>
      <c r="C29" s="59">
        <v>390.0</v>
      </c>
      <c r="D29" s="5">
        <v>389.0</v>
      </c>
      <c r="E29" s="5">
        <v>388.0</v>
      </c>
      <c r="F29" s="5">
        <v>387.0</v>
      </c>
      <c r="G29" s="5">
        <v>386.0</v>
      </c>
      <c r="H29" s="5">
        <v>385.0</v>
      </c>
      <c r="I29" s="5">
        <v>384.0</v>
      </c>
      <c r="J29" s="5">
        <v>383.0</v>
      </c>
      <c r="K29" s="5">
        <v>382.0</v>
      </c>
      <c r="L29" s="5">
        <v>381.0</v>
      </c>
      <c r="M29" s="5">
        <v>380.0</v>
      </c>
      <c r="N29" s="5">
        <v>379.0</v>
      </c>
      <c r="O29" s="5">
        <v>378.0</v>
      </c>
      <c r="P29" s="5">
        <v>377.0</v>
      </c>
      <c r="Q29" s="5">
        <v>376.0</v>
      </c>
      <c r="R29" s="59">
        <v>375.0</v>
      </c>
      <c r="S29" s="59">
        <v>374.0</v>
      </c>
      <c r="T29" s="17">
        <v>22.0</v>
      </c>
      <c r="V29" s="17">
        <v>23.0</v>
      </c>
      <c r="W29" s="59">
        <v>529.0</v>
      </c>
      <c r="X29" s="59">
        <v>514.0</v>
      </c>
      <c r="Y29" s="59">
        <v>499.0</v>
      </c>
      <c r="Z29" s="59">
        <v>484.0</v>
      </c>
      <c r="AA29" s="59">
        <v>469.0</v>
      </c>
      <c r="AB29" s="59">
        <v>454.0</v>
      </c>
      <c r="AC29" s="59">
        <v>439.0</v>
      </c>
      <c r="AD29" s="59">
        <v>424.0</v>
      </c>
      <c r="AE29" s="5">
        <v>409.0</v>
      </c>
      <c r="AF29" s="5">
        <v>394.0</v>
      </c>
      <c r="AG29" s="5">
        <v>379.0</v>
      </c>
      <c r="AH29" s="5">
        <v>364.0</v>
      </c>
      <c r="AI29" s="5">
        <v>349.0</v>
      </c>
      <c r="AJ29" s="5">
        <v>334.0</v>
      </c>
      <c r="AK29" s="5">
        <v>319.0</v>
      </c>
      <c r="AL29" s="5">
        <v>304.0</v>
      </c>
      <c r="AM29" s="59">
        <v>289.0</v>
      </c>
      <c r="AN29" s="59">
        <v>274.0</v>
      </c>
      <c r="AO29" s="59">
        <v>259.0</v>
      </c>
      <c r="AP29" s="59">
        <v>244.0</v>
      </c>
      <c r="AQ29" s="59">
        <v>229.0</v>
      </c>
      <c r="AR29" s="59">
        <v>214.0</v>
      </c>
      <c r="AS29" s="59">
        <v>199.0</v>
      </c>
      <c r="AT29" s="59">
        <v>184.0</v>
      </c>
      <c r="AU29" s="17">
        <v>8.0</v>
      </c>
    </row>
    <row r="30">
      <c r="A30" s="58">
        <v>24.0</v>
      </c>
      <c r="B30" s="59">
        <v>408.0</v>
      </c>
      <c r="C30" s="59">
        <v>405.0</v>
      </c>
      <c r="D30" s="24">
        <v>402.0</v>
      </c>
      <c r="E30" s="5">
        <v>399.0</v>
      </c>
      <c r="F30" s="5">
        <v>396.0</v>
      </c>
      <c r="G30" s="5">
        <v>393.0</v>
      </c>
      <c r="H30" s="5">
        <v>390.0</v>
      </c>
      <c r="I30" s="5">
        <v>387.0</v>
      </c>
      <c r="J30" s="5">
        <v>384.0</v>
      </c>
      <c r="K30" s="5">
        <v>381.0</v>
      </c>
      <c r="L30" s="5">
        <v>378.0</v>
      </c>
      <c r="M30" s="5">
        <v>375.0</v>
      </c>
      <c r="N30" s="5">
        <v>372.0</v>
      </c>
      <c r="O30" s="5">
        <v>369.0</v>
      </c>
      <c r="P30" s="5">
        <v>366.0</v>
      </c>
      <c r="Q30" s="24">
        <v>363.0</v>
      </c>
      <c r="R30" s="59">
        <v>360.0</v>
      </c>
      <c r="S30" s="59">
        <v>357.0</v>
      </c>
      <c r="T30" s="17">
        <v>21.0</v>
      </c>
      <c r="V30" s="17">
        <v>24.0</v>
      </c>
      <c r="W30" s="59">
        <v>552.0</v>
      </c>
      <c r="X30" s="59">
        <v>535.0</v>
      </c>
      <c r="Y30" s="59">
        <v>518.0</v>
      </c>
      <c r="Z30" s="59">
        <v>501.0</v>
      </c>
      <c r="AA30" s="59">
        <v>484.0</v>
      </c>
      <c r="AB30" s="59">
        <v>467.0</v>
      </c>
      <c r="AC30" s="59">
        <v>450.0</v>
      </c>
      <c r="AD30" s="59">
        <v>433.0</v>
      </c>
      <c r="AE30" s="24">
        <v>416.0</v>
      </c>
      <c r="AF30" s="5">
        <v>399.0</v>
      </c>
      <c r="AG30" s="5">
        <v>382.0</v>
      </c>
      <c r="AH30" s="5">
        <v>365.0</v>
      </c>
      <c r="AI30" s="5">
        <v>348.0</v>
      </c>
      <c r="AJ30" s="5">
        <v>331.0</v>
      </c>
      <c r="AK30" s="5">
        <v>314.0</v>
      </c>
      <c r="AL30" s="24">
        <v>297.0</v>
      </c>
      <c r="AM30" s="59">
        <v>280.0</v>
      </c>
      <c r="AN30" s="59">
        <v>263.0</v>
      </c>
      <c r="AO30" s="59">
        <v>246.0</v>
      </c>
      <c r="AP30" s="59">
        <v>229.0</v>
      </c>
      <c r="AQ30" s="59">
        <v>212.0</v>
      </c>
      <c r="AR30" s="59">
        <v>195.0</v>
      </c>
      <c r="AS30" s="59">
        <v>178.0</v>
      </c>
      <c r="AT30" s="59">
        <v>161.0</v>
      </c>
      <c r="AU30" s="17">
        <v>7.0</v>
      </c>
    </row>
    <row r="31">
      <c r="A31" s="58">
        <v>25.0</v>
      </c>
      <c r="B31" s="59">
        <v>425.0</v>
      </c>
      <c r="C31" s="59">
        <v>420.0</v>
      </c>
      <c r="D31" s="59">
        <v>415.0</v>
      </c>
      <c r="E31" s="24">
        <v>410.0</v>
      </c>
      <c r="F31" s="5">
        <v>405.0</v>
      </c>
      <c r="G31" s="5">
        <v>400.0</v>
      </c>
      <c r="H31" s="5">
        <v>395.0</v>
      </c>
      <c r="I31" s="5">
        <v>390.0</v>
      </c>
      <c r="J31" s="5">
        <v>385.0</v>
      </c>
      <c r="K31" s="5">
        <v>380.0</v>
      </c>
      <c r="L31" s="5">
        <v>375.0</v>
      </c>
      <c r="M31" s="5">
        <v>370.0</v>
      </c>
      <c r="N31" s="5">
        <v>365.0</v>
      </c>
      <c r="O31" s="5">
        <v>360.0</v>
      </c>
      <c r="P31" s="24">
        <v>355.0</v>
      </c>
      <c r="Q31" s="59">
        <v>350.0</v>
      </c>
      <c r="R31" s="59">
        <v>345.0</v>
      </c>
      <c r="S31" s="59">
        <v>340.0</v>
      </c>
      <c r="T31" s="17">
        <v>20.0</v>
      </c>
      <c r="V31" s="17">
        <v>25.0</v>
      </c>
      <c r="W31" s="59">
        <v>575.0</v>
      </c>
      <c r="X31" s="59">
        <v>556.0</v>
      </c>
      <c r="Y31" s="59">
        <v>537.0</v>
      </c>
      <c r="Z31" s="59">
        <v>518.0</v>
      </c>
      <c r="AA31" s="59">
        <v>499.0</v>
      </c>
      <c r="AB31" s="59">
        <v>480.0</v>
      </c>
      <c r="AC31" s="59">
        <v>461.0</v>
      </c>
      <c r="AD31" s="59">
        <v>442.0</v>
      </c>
      <c r="AE31" s="59">
        <v>423.0</v>
      </c>
      <c r="AF31" s="24">
        <v>404.0</v>
      </c>
      <c r="AG31" s="5">
        <v>385.0</v>
      </c>
      <c r="AH31" s="5">
        <v>366.0</v>
      </c>
      <c r="AI31" s="5">
        <v>347.0</v>
      </c>
      <c r="AJ31" s="5">
        <v>328.0</v>
      </c>
      <c r="AK31" s="24">
        <v>309.0</v>
      </c>
      <c r="AL31" s="59">
        <v>290.0</v>
      </c>
      <c r="AM31" s="59">
        <v>271.0</v>
      </c>
      <c r="AN31" s="59">
        <v>252.0</v>
      </c>
      <c r="AO31" s="59">
        <v>233.0</v>
      </c>
      <c r="AP31" s="59">
        <v>214.0</v>
      </c>
      <c r="AQ31" s="59">
        <v>195.0</v>
      </c>
      <c r="AR31" s="59">
        <v>176.0</v>
      </c>
      <c r="AS31" s="59">
        <v>157.0</v>
      </c>
      <c r="AT31" s="59">
        <v>138.0</v>
      </c>
      <c r="AU31" s="17">
        <v>6.0</v>
      </c>
    </row>
    <row r="32">
      <c r="A32" s="58">
        <v>26.0</v>
      </c>
      <c r="B32" s="59">
        <v>442.0</v>
      </c>
      <c r="C32" s="59">
        <v>435.0</v>
      </c>
      <c r="D32" s="59">
        <v>428.0</v>
      </c>
      <c r="E32" s="59">
        <v>421.0</v>
      </c>
      <c r="F32" s="5">
        <v>414.0</v>
      </c>
      <c r="G32" s="5">
        <v>407.0</v>
      </c>
      <c r="H32" s="5">
        <v>400.0</v>
      </c>
      <c r="I32" s="5">
        <v>393.0</v>
      </c>
      <c r="J32" s="5">
        <v>386.0</v>
      </c>
      <c r="K32" s="5">
        <v>379.0</v>
      </c>
      <c r="L32" s="5">
        <v>372.0</v>
      </c>
      <c r="M32" s="5">
        <v>365.0</v>
      </c>
      <c r="N32" s="5">
        <v>358.0</v>
      </c>
      <c r="O32" s="5">
        <v>351.0</v>
      </c>
      <c r="P32" s="59">
        <v>344.0</v>
      </c>
      <c r="Q32" s="59">
        <v>337.0</v>
      </c>
      <c r="R32" s="59">
        <v>330.0</v>
      </c>
      <c r="S32" s="59">
        <v>323.0</v>
      </c>
      <c r="T32" s="17">
        <v>19.0</v>
      </c>
      <c r="V32" s="17">
        <v>26.0</v>
      </c>
      <c r="W32" s="59">
        <v>598.0</v>
      </c>
      <c r="X32" s="59">
        <v>577.0</v>
      </c>
      <c r="Y32" s="59">
        <v>556.0</v>
      </c>
      <c r="Z32" s="59">
        <v>535.0</v>
      </c>
      <c r="AA32" s="59">
        <v>514.0</v>
      </c>
      <c r="AB32" s="59">
        <v>493.0</v>
      </c>
      <c r="AC32" s="59">
        <v>472.0</v>
      </c>
      <c r="AD32" s="59">
        <v>451.0</v>
      </c>
      <c r="AE32" s="59">
        <v>430.0</v>
      </c>
      <c r="AF32" s="59">
        <v>409.0</v>
      </c>
      <c r="AG32" s="5">
        <v>388.0</v>
      </c>
      <c r="AH32" s="5">
        <v>367.0</v>
      </c>
      <c r="AI32" s="5">
        <v>346.0</v>
      </c>
      <c r="AJ32" s="5">
        <v>325.0</v>
      </c>
      <c r="AK32" s="59">
        <v>304.0</v>
      </c>
      <c r="AL32" s="59">
        <v>283.0</v>
      </c>
      <c r="AM32" s="59">
        <v>262.0</v>
      </c>
      <c r="AN32" s="59">
        <v>241.0</v>
      </c>
      <c r="AO32" s="59">
        <v>220.0</v>
      </c>
      <c r="AP32" s="59">
        <v>199.0</v>
      </c>
      <c r="AQ32" s="59">
        <v>178.0</v>
      </c>
      <c r="AR32" s="59">
        <v>157.0</v>
      </c>
      <c r="AS32" s="59">
        <v>136.0</v>
      </c>
      <c r="AT32" s="59">
        <v>115.0</v>
      </c>
      <c r="AU32" s="17">
        <v>5.0</v>
      </c>
    </row>
    <row r="33">
      <c r="A33" s="58">
        <v>27.0</v>
      </c>
      <c r="B33" s="59">
        <v>459.0</v>
      </c>
      <c r="C33" s="59">
        <v>450.0</v>
      </c>
      <c r="D33" s="59">
        <v>441.0</v>
      </c>
      <c r="E33" s="59">
        <v>432.0</v>
      </c>
      <c r="F33" s="24">
        <v>423.0</v>
      </c>
      <c r="G33" s="5">
        <v>414.0</v>
      </c>
      <c r="H33" s="5">
        <v>405.0</v>
      </c>
      <c r="I33" s="5">
        <v>396.0</v>
      </c>
      <c r="J33" s="5">
        <v>387.0</v>
      </c>
      <c r="K33" s="5">
        <v>378.0</v>
      </c>
      <c r="L33" s="5">
        <v>369.0</v>
      </c>
      <c r="M33" s="5">
        <v>360.0</v>
      </c>
      <c r="N33" s="5">
        <v>351.0</v>
      </c>
      <c r="O33" s="24">
        <v>342.0</v>
      </c>
      <c r="P33" s="59">
        <v>333.0</v>
      </c>
      <c r="Q33" s="59">
        <v>324.0</v>
      </c>
      <c r="R33" s="59">
        <v>315.0</v>
      </c>
      <c r="S33" s="59">
        <v>306.0</v>
      </c>
      <c r="T33" s="17">
        <v>18.0</v>
      </c>
      <c r="V33" s="17">
        <v>27.0</v>
      </c>
      <c r="W33" s="59">
        <v>621.0</v>
      </c>
      <c r="X33" s="59">
        <v>598.0</v>
      </c>
      <c r="Y33" s="59">
        <v>575.0</v>
      </c>
      <c r="Z33" s="59">
        <v>552.0</v>
      </c>
      <c r="AA33" s="59">
        <v>529.0</v>
      </c>
      <c r="AB33" s="59">
        <v>506.0</v>
      </c>
      <c r="AC33" s="59">
        <v>483.0</v>
      </c>
      <c r="AD33" s="59">
        <v>460.0</v>
      </c>
      <c r="AE33" s="59">
        <v>437.0</v>
      </c>
      <c r="AF33" s="59">
        <v>414.0</v>
      </c>
      <c r="AG33" s="24">
        <v>391.0</v>
      </c>
      <c r="AH33" s="5">
        <v>368.0</v>
      </c>
      <c r="AI33" s="5">
        <v>345.0</v>
      </c>
      <c r="AJ33" s="24">
        <v>322.0</v>
      </c>
      <c r="AK33" s="59">
        <v>299.0</v>
      </c>
      <c r="AL33" s="59">
        <v>276.0</v>
      </c>
      <c r="AM33" s="59">
        <v>253.0</v>
      </c>
      <c r="AN33" s="59">
        <v>230.0</v>
      </c>
      <c r="AO33" s="59">
        <v>207.0</v>
      </c>
      <c r="AP33" s="59">
        <v>184.0</v>
      </c>
      <c r="AQ33" s="59">
        <v>161.0</v>
      </c>
      <c r="AR33" s="59">
        <v>138.0</v>
      </c>
      <c r="AS33" s="59">
        <v>115.0</v>
      </c>
      <c r="AT33" s="59">
        <v>92.0</v>
      </c>
      <c r="AU33" s="17">
        <v>4.0</v>
      </c>
    </row>
    <row r="34">
      <c r="A34" s="58">
        <v>28.0</v>
      </c>
      <c r="B34" s="59">
        <v>476.0</v>
      </c>
      <c r="C34" s="59">
        <v>465.0</v>
      </c>
      <c r="D34" s="59">
        <v>454.0</v>
      </c>
      <c r="E34" s="59">
        <v>443.0</v>
      </c>
      <c r="F34" s="59">
        <v>432.0</v>
      </c>
      <c r="G34" s="5">
        <v>421.0</v>
      </c>
      <c r="H34" s="5">
        <v>410.0</v>
      </c>
      <c r="I34" s="5">
        <v>399.0</v>
      </c>
      <c r="J34" s="5">
        <v>388.0</v>
      </c>
      <c r="K34" s="5">
        <v>377.0</v>
      </c>
      <c r="L34" s="5">
        <v>366.0</v>
      </c>
      <c r="M34" s="5">
        <v>355.0</v>
      </c>
      <c r="N34" s="5">
        <v>344.0</v>
      </c>
      <c r="O34" s="59">
        <v>333.0</v>
      </c>
      <c r="P34" s="59">
        <v>322.0</v>
      </c>
      <c r="Q34" s="59">
        <v>311.0</v>
      </c>
      <c r="R34" s="59">
        <v>300.0</v>
      </c>
      <c r="S34" s="59">
        <v>289.0</v>
      </c>
      <c r="T34" s="17">
        <v>17.0</v>
      </c>
      <c r="V34" s="17">
        <v>28.0</v>
      </c>
      <c r="W34" s="59">
        <v>644.0</v>
      </c>
      <c r="X34" s="59">
        <v>619.0</v>
      </c>
      <c r="Y34" s="59">
        <v>594.0</v>
      </c>
      <c r="Z34" s="59">
        <v>569.0</v>
      </c>
      <c r="AA34" s="59">
        <v>544.0</v>
      </c>
      <c r="AB34" s="59">
        <v>519.0</v>
      </c>
      <c r="AC34" s="59">
        <v>494.0</v>
      </c>
      <c r="AD34" s="59">
        <v>469.0</v>
      </c>
      <c r="AE34" s="59">
        <v>444.0</v>
      </c>
      <c r="AF34" s="59">
        <v>419.0</v>
      </c>
      <c r="AG34" s="59">
        <v>394.0</v>
      </c>
      <c r="AH34" s="5">
        <v>369.0</v>
      </c>
      <c r="AI34" s="5">
        <v>344.0</v>
      </c>
      <c r="AJ34" s="59">
        <v>319.0</v>
      </c>
      <c r="AK34" s="59">
        <v>294.0</v>
      </c>
      <c r="AL34" s="59">
        <v>269.0</v>
      </c>
      <c r="AM34" s="59">
        <v>244.0</v>
      </c>
      <c r="AN34" s="59">
        <v>219.0</v>
      </c>
      <c r="AO34" s="59">
        <v>194.0</v>
      </c>
      <c r="AP34" s="59">
        <v>169.0</v>
      </c>
      <c r="AQ34" s="59">
        <v>144.0</v>
      </c>
      <c r="AR34" s="59">
        <v>119.0</v>
      </c>
      <c r="AS34" s="59">
        <v>94.0</v>
      </c>
      <c r="AT34" s="59">
        <v>69.0</v>
      </c>
      <c r="AU34" s="17">
        <v>3.0</v>
      </c>
    </row>
    <row r="35">
      <c r="A35" s="58">
        <v>29.0</v>
      </c>
      <c r="B35" s="59">
        <v>493.0</v>
      </c>
      <c r="C35" s="59">
        <v>480.0</v>
      </c>
      <c r="D35" s="59">
        <v>467.0</v>
      </c>
      <c r="E35" s="59">
        <v>454.0</v>
      </c>
      <c r="F35" s="59">
        <v>441.0</v>
      </c>
      <c r="G35" s="24">
        <v>428.0</v>
      </c>
      <c r="H35" s="5">
        <v>415.0</v>
      </c>
      <c r="I35" s="5">
        <v>402.0</v>
      </c>
      <c r="J35" s="5">
        <v>389.0</v>
      </c>
      <c r="K35" s="5">
        <v>376.0</v>
      </c>
      <c r="L35" s="5">
        <v>363.0</v>
      </c>
      <c r="M35" s="5">
        <v>350.0</v>
      </c>
      <c r="N35" s="15">
        <v>337.0</v>
      </c>
      <c r="O35" s="59">
        <v>324.0</v>
      </c>
      <c r="P35" s="59">
        <v>311.0</v>
      </c>
      <c r="Q35" s="59">
        <v>298.0</v>
      </c>
      <c r="R35" s="59">
        <v>285.0</v>
      </c>
      <c r="S35" s="59">
        <v>272.0</v>
      </c>
      <c r="T35" s="17">
        <v>16.0</v>
      </c>
      <c r="V35" s="17">
        <v>29.0</v>
      </c>
      <c r="W35" s="59">
        <v>667.0</v>
      </c>
      <c r="X35" s="59">
        <v>640.0</v>
      </c>
      <c r="Y35" s="59">
        <v>613.0</v>
      </c>
      <c r="Z35" s="59">
        <v>586.0</v>
      </c>
      <c r="AA35" s="59">
        <v>559.0</v>
      </c>
      <c r="AB35" s="59">
        <v>532.0</v>
      </c>
      <c r="AC35" s="59">
        <v>505.0</v>
      </c>
      <c r="AD35" s="59">
        <v>478.0</v>
      </c>
      <c r="AE35" s="59">
        <v>451.0</v>
      </c>
      <c r="AF35" s="59">
        <v>424.0</v>
      </c>
      <c r="AG35" s="59">
        <v>397.0</v>
      </c>
      <c r="AH35" s="24">
        <v>370.0</v>
      </c>
      <c r="AI35" s="24">
        <v>343.0</v>
      </c>
      <c r="AJ35" s="59">
        <v>316.0</v>
      </c>
      <c r="AK35" s="59">
        <v>289.0</v>
      </c>
      <c r="AL35" s="59">
        <v>262.0</v>
      </c>
      <c r="AM35" s="59">
        <v>235.0</v>
      </c>
      <c r="AN35" s="59">
        <v>208.0</v>
      </c>
      <c r="AO35" s="59">
        <v>181.0</v>
      </c>
      <c r="AP35" s="59">
        <v>154.0</v>
      </c>
      <c r="AQ35" s="59">
        <v>127.0</v>
      </c>
      <c r="AR35" s="59">
        <v>100.0</v>
      </c>
      <c r="AS35" s="59">
        <v>73.0</v>
      </c>
      <c r="AT35" s="59">
        <v>46.0</v>
      </c>
      <c r="AU35" s="17">
        <v>2.0</v>
      </c>
    </row>
    <row r="36">
      <c r="A36" s="58">
        <v>30.0</v>
      </c>
      <c r="B36" s="59">
        <v>510.0</v>
      </c>
      <c r="C36" s="59">
        <v>495.0</v>
      </c>
      <c r="D36" s="59">
        <v>480.0</v>
      </c>
      <c r="E36" s="59">
        <v>465.0</v>
      </c>
      <c r="F36" s="59">
        <v>450.0</v>
      </c>
      <c r="G36" s="59">
        <v>435.0</v>
      </c>
      <c r="H36" s="5">
        <v>420.0</v>
      </c>
      <c r="I36" s="5">
        <v>405.0</v>
      </c>
      <c r="J36" s="5">
        <v>390.0</v>
      </c>
      <c r="K36" s="5">
        <v>375.0</v>
      </c>
      <c r="L36" s="5">
        <v>360.0</v>
      </c>
      <c r="M36" s="5">
        <v>345.0</v>
      </c>
      <c r="N36" s="59">
        <v>330.0</v>
      </c>
      <c r="O36" s="59">
        <v>315.0</v>
      </c>
      <c r="P36" s="59">
        <v>300.0</v>
      </c>
      <c r="Q36" s="59">
        <v>285.0</v>
      </c>
      <c r="R36" s="59">
        <v>270.0</v>
      </c>
      <c r="S36" s="59">
        <v>255.0</v>
      </c>
      <c r="T36" s="17">
        <v>15.0</v>
      </c>
      <c r="V36" s="17">
        <v>30.0</v>
      </c>
      <c r="W36" s="59">
        <v>690.0</v>
      </c>
      <c r="X36" s="59">
        <v>661.0</v>
      </c>
      <c r="Y36" s="59">
        <v>632.0</v>
      </c>
      <c r="Z36" s="59">
        <v>603.0</v>
      </c>
      <c r="AA36" s="59">
        <v>574.0</v>
      </c>
      <c r="AB36" s="59">
        <v>545.0</v>
      </c>
      <c r="AC36" s="59">
        <v>516.0</v>
      </c>
      <c r="AD36" s="59">
        <v>487.0</v>
      </c>
      <c r="AE36" s="59">
        <v>458.0</v>
      </c>
      <c r="AF36" s="59">
        <v>429.0</v>
      </c>
      <c r="AG36" s="59">
        <v>400.0</v>
      </c>
      <c r="AH36" s="59">
        <v>371.0</v>
      </c>
      <c r="AI36" s="59">
        <v>342.0</v>
      </c>
      <c r="AJ36" s="59">
        <v>313.0</v>
      </c>
      <c r="AK36" s="59">
        <v>284.0</v>
      </c>
      <c r="AL36" s="59">
        <v>255.0</v>
      </c>
      <c r="AM36" s="59">
        <v>226.0</v>
      </c>
      <c r="AN36" s="59">
        <v>197.0</v>
      </c>
      <c r="AO36" s="59">
        <v>168.0</v>
      </c>
      <c r="AP36" s="59">
        <v>139.0</v>
      </c>
      <c r="AQ36" s="59">
        <v>110.0</v>
      </c>
      <c r="AR36" s="59">
        <v>81.0</v>
      </c>
      <c r="AS36" s="59">
        <v>52.0</v>
      </c>
      <c r="AT36" s="59">
        <v>23.0</v>
      </c>
      <c r="AU36" s="17">
        <v>1.0</v>
      </c>
    </row>
    <row r="37">
      <c r="A37" s="58">
        <v>31.0</v>
      </c>
      <c r="B37" s="59">
        <v>527.0</v>
      </c>
      <c r="C37" s="59">
        <v>510.0</v>
      </c>
      <c r="D37" s="59">
        <v>493.0</v>
      </c>
      <c r="E37" s="59">
        <v>476.0</v>
      </c>
      <c r="F37" s="59">
        <v>459.0</v>
      </c>
      <c r="G37" s="59">
        <v>442.0</v>
      </c>
      <c r="H37" s="24">
        <v>425.0</v>
      </c>
      <c r="I37" s="5">
        <v>408.0</v>
      </c>
      <c r="J37" s="5">
        <v>391.0</v>
      </c>
      <c r="K37" s="5">
        <v>374.0</v>
      </c>
      <c r="L37" s="5">
        <v>357.0</v>
      </c>
      <c r="M37" s="24">
        <v>340.0</v>
      </c>
      <c r="N37" s="59">
        <v>323.0</v>
      </c>
      <c r="O37" s="59">
        <v>306.0</v>
      </c>
      <c r="P37" s="59">
        <v>289.0</v>
      </c>
      <c r="Q37" s="59">
        <v>272.0</v>
      </c>
      <c r="R37" s="59">
        <v>255.0</v>
      </c>
      <c r="S37" s="59">
        <v>238.0</v>
      </c>
      <c r="T37" s="17">
        <v>14.0</v>
      </c>
      <c r="V37" s="17">
        <v>31.0</v>
      </c>
      <c r="W37" s="59">
        <v>713.0</v>
      </c>
      <c r="X37" s="59">
        <v>682.0</v>
      </c>
      <c r="Y37" s="59">
        <v>651.0</v>
      </c>
      <c r="Z37" s="59">
        <v>620.0</v>
      </c>
      <c r="AA37" s="59">
        <v>589.0</v>
      </c>
      <c r="AB37" s="59">
        <v>558.0</v>
      </c>
      <c r="AC37" s="59">
        <v>527.0</v>
      </c>
      <c r="AD37" s="59">
        <v>496.0</v>
      </c>
      <c r="AE37" s="59">
        <v>465.0</v>
      </c>
      <c r="AF37" s="59">
        <v>434.0</v>
      </c>
      <c r="AG37" s="59">
        <v>403.0</v>
      </c>
      <c r="AH37" s="59">
        <v>372.0</v>
      </c>
      <c r="AI37" s="59">
        <v>341.0</v>
      </c>
      <c r="AJ37" s="59">
        <v>310.0</v>
      </c>
      <c r="AK37" s="59">
        <v>279.0</v>
      </c>
      <c r="AL37" s="59">
        <v>248.0</v>
      </c>
      <c r="AM37" s="59">
        <v>217.0</v>
      </c>
      <c r="AN37" s="59">
        <v>186.0</v>
      </c>
      <c r="AO37" s="59">
        <v>155.0</v>
      </c>
      <c r="AP37" s="59">
        <v>124.0</v>
      </c>
      <c r="AQ37" s="59">
        <v>93.0</v>
      </c>
      <c r="AR37" s="59">
        <v>62.0</v>
      </c>
      <c r="AS37" s="59">
        <v>31.0</v>
      </c>
      <c r="AT37" s="59">
        <v>0.0</v>
      </c>
      <c r="AU37" s="17">
        <v>0.0</v>
      </c>
    </row>
    <row r="38">
      <c r="A38" s="58">
        <v>32.0</v>
      </c>
      <c r="B38" s="59">
        <v>544.0</v>
      </c>
      <c r="C38" s="59">
        <v>525.0</v>
      </c>
      <c r="D38" s="59">
        <v>506.0</v>
      </c>
      <c r="E38" s="59">
        <v>487.0</v>
      </c>
      <c r="F38" s="59">
        <v>468.0</v>
      </c>
      <c r="G38" s="59">
        <v>449.0</v>
      </c>
      <c r="H38" s="59">
        <v>430.0</v>
      </c>
      <c r="I38" s="5">
        <v>411.0</v>
      </c>
      <c r="J38" s="5">
        <v>392.0</v>
      </c>
      <c r="K38" s="5">
        <v>373.0</v>
      </c>
      <c r="L38" s="5">
        <v>354.0</v>
      </c>
      <c r="M38" s="59">
        <v>335.0</v>
      </c>
      <c r="N38" s="59">
        <v>316.0</v>
      </c>
      <c r="O38" s="59">
        <v>297.0</v>
      </c>
      <c r="P38" s="59">
        <v>278.0</v>
      </c>
      <c r="Q38" s="59">
        <v>259.0</v>
      </c>
      <c r="R38" s="59">
        <v>240.0</v>
      </c>
      <c r="S38" s="59">
        <v>221.0</v>
      </c>
      <c r="T38" s="17">
        <v>13.0</v>
      </c>
      <c r="W38" s="17">
        <f t="array" ref="W38:AT38">23-W5:AT5</f>
        <v>23</v>
      </c>
      <c r="X38" s="17">
        <v>22.0</v>
      </c>
      <c r="Y38" s="17">
        <v>21.0</v>
      </c>
      <c r="Z38" s="17">
        <v>20.0</v>
      </c>
      <c r="AA38" s="17">
        <v>19.0</v>
      </c>
      <c r="AB38" s="17">
        <v>18.0</v>
      </c>
      <c r="AC38" s="17">
        <v>17.0</v>
      </c>
      <c r="AD38" s="17">
        <v>16.0</v>
      </c>
      <c r="AE38" s="17">
        <v>15.0</v>
      </c>
      <c r="AF38" s="17">
        <v>14.0</v>
      </c>
      <c r="AG38" s="17">
        <v>13.0</v>
      </c>
      <c r="AH38" s="17">
        <v>12.0</v>
      </c>
      <c r="AI38" s="17">
        <v>11.0</v>
      </c>
      <c r="AJ38" s="17">
        <v>10.0</v>
      </c>
      <c r="AK38" s="17">
        <v>9.0</v>
      </c>
      <c r="AL38" s="17">
        <v>8.0</v>
      </c>
      <c r="AM38" s="17">
        <v>7.0</v>
      </c>
      <c r="AN38" s="17">
        <v>6.0</v>
      </c>
      <c r="AO38" s="17">
        <v>5.0</v>
      </c>
      <c r="AP38" s="17">
        <v>4.0</v>
      </c>
      <c r="AQ38" s="17">
        <v>3.0</v>
      </c>
      <c r="AR38" s="17">
        <v>2.0</v>
      </c>
      <c r="AS38" s="17">
        <v>1.0</v>
      </c>
      <c r="AT38" s="17">
        <v>0.0</v>
      </c>
    </row>
    <row r="39">
      <c r="A39" s="58">
        <v>33.0</v>
      </c>
      <c r="B39" s="59">
        <v>561.0</v>
      </c>
      <c r="C39" s="59">
        <v>540.0</v>
      </c>
      <c r="D39" s="59">
        <v>519.0</v>
      </c>
      <c r="E39" s="59">
        <v>498.0</v>
      </c>
      <c r="F39" s="59">
        <v>477.0</v>
      </c>
      <c r="G39" s="59">
        <v>456.0</v>
      </c>
      <c r="H39" s="59">
        <v>435.0</v>
      </c>
      <c r="I39" s="24">
        <v>414.0</v>
      </c>
      <c r="J39" s="5">
        <v>393.0</v>
      </c>
      <c r="K39" s="5">
        <v>372.0</v>
      </c>
      <c r="L39" s="24">
        <v>351.0</v>
      </c>
      <c r="M39" s="59">
        <v>330.0</v>
      </c>
      <c r="N39" s="59">
        <v>309.0</v>
      </c>
      <c r="O39" s="59">
        <v>288.0</v>
      </c>
      <c r="P39" s="59">
        <v>267.0</v>
      </c>
      <c r="Q39" s="59">
        <v>246.0</v>
      </c>
      <c r="R39" s="59">
        <v>225.0</v>
      </c>
      <c r="S39" s="59">
        <v>204.0</v>
      </c>
      <c r="T39" s="17">
        <v>12.0</v>
      </c>
    </row>
    <row r="40">
      <c r="A40" s="58">
        <v>34.0</v>
      </c>
      <c r="B40" s="59">
        <v>578.0</v>
      </c>
      <c r="C40" s="59">
        <v>555.0</v>
      </c>
      <c r="D40" s="59">
        <v>532.0</v>
      </c>
      <c r="E40" s="59">
        <v>509.0</v>
      </c>
      <c r="F40" s="59">
        <v>486.0</v>
      </c>
      <c r="G40" s="59">
        <v>463.0</v>
      </c>
      <c r="H40" s="59">
        <v>440.0</v>
      </c>
      <c r="I40" s="59">
        <v>417.0</v>
      </c>
      <c r="J40" s="5">
        <v>394.0</v>
      </c>
      <c r="K40" s="5">
        <v>371.0</v>
      </c>
      <c r="L40" s="59">
        <v>348.0</v>
      </c>
      <c r="M40" s="59">
        <v>325.0</v>
      </c>
      <c r="N40" s="59">
        <v>302.0</v>
      </c>
      <c r="O40" s="59">
        <v>279.0</v>
      </c>
      <c r="P40" s="59">
        <v>256.0</v>
      </c>
      <c r="Q40" s="59">
        <v>233.0</v>
      </c>
      <c r="R40" s="59">
        <v>210.0</v>
      </c>
      <c r="S40" s="59">
        <v>187.0</v>
      </c>
      <c r="T40" s="17">
        <v>11.0</v>
      </c>
    </row>
    <row r="41">
      <c r="A41" s="58">
        <v>35.0</v>
      </c>
      <c r="B41" s="59">
        <v>595.0</v>
      </c>
      <c r="C41" s="59">
        <v>570.0</v>
      </c>
      <c r="D41" s="59">
        <v>545.0</v>
      </c>
      <c r="E41" s="59">
        <v>520.0</v>
      </c>
      <c r="F41" s="59">
        <v>495.0</v>
      </c>
      <c r="G41" s="59">
        <v>470.0</v>
      </c>
      <c r="H41" s="59">
        <v>445.0</v>
      </c>
      <c r="I41" s="59">
        <v>420.0</v>
      </c>
      <c r="J41" s="5">
        <v>395.0</v>
      </c>
      <c r="K41" s="5">
        <v>370.0</v>
      </c>
      <c r="L41" s="59">
        <v>345.0</v>
      </c>
      <c r="M41" s="59">
        <v>320.0</v>
      </c>
      <c r="N41" s="59">
        <v>295.0</v>
      </c>
      <c r="O41" s="59">
        <v>270.0</v>
      </c>
      <c r="P41" s="59">
        <v>245.0</v>
      </c>
      <c r="Q41" s="59">
        <v>220.0</v>
      </c>
      <c r="R41" s="59">
        <v>195.0</v>
      </c>
      <c r="S41" s="59">
        <v>170.0</v>
      </c>
      <c r="T41" s="17">
        <v>10.0</v>
      </c>
    </row>
    <row r="42">
      <c r="A42" s="58">
        <v>36.0</v>
      </c>
      <c r="B42" s="59">
        <v>612.0</v>
      </c>
      <c r="C42" s="59">
        <v>585.0</v>
      </c>
      <c r="D42" s="59">
        <v>558.0</v>
      </c>
      <c r="E42" s="59">
        <v>531.0</v>
      </c>
      <c r="F42" s="59">
        <v>504.0</v>
      </c>
      <c r="G42" s="59">
        <v>477.0</v>
      </c>
      <c r="H42" s="59">
        <v>450.0</v>
      </c>
      <c r="I42" s="59">
        <v>423.0</v>
      </c>
      <c r="J42" s="24">
        <v>396.0</v>
      </c>
      <c r="K42" s="24">
        <v>369.0</v>
      </c>
      <c r="L42" s="59">
        <v>342.0</v>
      </c>
      <c r="M42" s="59">
        <v>315.0</v>
      </c>
      <c r="N42" s="59">
        <v>288.0</v>
      </c>
      <c r="O42" s="59">
        <v>261.0</v>
      </c>
      <c r="P42" s="59">
        <v>234.0</v>
      </c>
      <c r="Q42" s="59">
        <v>207.0</v>
      </c>
      <c r="R42" s="59">
        <v>180.0</v>
      </c>
      <c r="S42" s="59">
        <v>153.0</v>
      </c>
      <c r="T42" s="17">
        <v>9.0</v>
      </c>
    </row>
    <row r="43">
      <c r="A43" s="58">
        <v>37.0</v>
      </c>
      <c r="B43" s="59">
        <v>629.0</v>
      </c>
      <c r="C43" s="59">
        <v>600.0</v>
      </c>
      <c r="D43" s="59">
        <v>571.0</v>
      </c>
      <c r="E43" s="59">
        <v>542.0</v>
      </c>
      <c r="F43" s="59">
        <v>513.0</v>
      </c>
      <c r="G43" s="59">
        <v>484.0</v>
      </c>
      <c r="H43" s="59">
        <v>455.0</v>
      </c>
      <c r="I43" s="59">
        <v>426.0</v>
      </c>
      <c r="J43" s="59">
        <v>397.0</v>
      </c>
      <c r="K43" s="59">
        <v>368.0</v>
      </c>
      <c r="L43" s="59">
        <v>339.0</v>
      </c>
      <c r="M43" s="59">
        <v>310.0</v>
      </c>
      <c r="N43" s="59">
        <v>281.0</v>
      </c>
      <c r="O43" s="59">
        <v>252.0</v>
      </c>
      <c r="P43" s="59">
        <v>223.0</v>
      </c>
      <c r="Q43" s="59">
        <v>194.0</v>
      </c>
      <c r="R43" s="59">
        <v>165.0</v>
      </c>
      <c r="S43" s="59">
        <v>136.0</v>
      </c>
      <c r="T43" s="17">
        <v>8.0</v>
      </c>
    </row>
    <row r="44">
      <c r="A44" s="58">
        <v>38.0</v>
      </c>
      <c r="B44" s="59">
        <v>646.0</v>
      </c>
      <c r="C44" s="59">
        <v>615.0</v>
      </c>
      <c r="D44" s="59">
        <v>584.0</v>
      </c>
      <c r="E44" s="59">
        <v>553.0</v>
      </c>
      <c r="F44" s="59">
        <v>522.0</v>
      </c>
      <c r="G44" s="59">
        <v>491.0</v>
      </c>
      <c r="H44" s="59">
        <v>460.0</v>
      </c>
      <c r="I44" s="59">
        <v>429.0</v>
      </c>
      <c r="J44" s="59">
        <v>398.0</v>
      </c>
      <c r="K44" s="59">
        <v>367.0</v>
      </c>
      <c r="L44" s="59">
        <v>336.0</v>
      </c>
      <c r="M44" s="59">
        <v>305.0</v>
      </c>
      <c r="N44" s="59">
        <v>274.0</v>
      </c>
      <c r="O44" s="59">
        <v>243.0</v>
      </c>
      <c r="P44" s="59">
        <v>212.0</v>
      </c>
      <c r="Q44" s="59">
        <v>181.0</v>
      </c>
      <c r="R44" s="59">
        <v>150.0</v>
      </c>
      <c r="S44" s="59">
        <v>119.0</v>
      </c>
      <c r="T44" s="17">
        <v>7.0</v>
      </c>
    </row>
    <row r="45">
      <c r="A45" s="58">
        <v>39.0</v>
      </c>
      <c r="B45" s="59">
        <v>663.0</v>
      </c>
      <c r="C45" s="59">
        <v>630.0</v>
      </c>
      <c r="D45" s="59">
        <v>597.0</v>
      </c>
      <c r="E45" s="59">
        <v>564.0</v>
      </c>
      <c r="F45" s="59">
        <v>531.0</v>
      </c>
      <c r="G45" s="59">
        <v>498.0</v>
      </c>
      <c r="H45" s="59">
        <v>465.0</v>
      </c>
      <c r="I45" s="59">
        <v>432.0</v>
      </c>
      <c r="J45" s="59">
        <v>399.0</v>
      </c>
      <c r="K45" s="59">
        <v>366.0</v>
      </c>
      <c r="L45" s="59">
        <v>333.0</v>
      </c>
      <c r="M45" s="59">
        <v>300.0</v>
      </c>
      <c r="N45" s="59">
        <v>267.0</v>
      </c>
      <c r="O45" s="59">
        <v>234.0</v>
      </c>
      <c r="P45" s="59">
        <v>201.0</v>
      </c>
      <c r="Q45" s="59">
        <v>168.0</v>
      </c>
      <c r="R45" s="59">
        <v>135.0</v>
      </c>
      <c r="S45" s="59">
        <v>102.0</v>
      </c>
      <c r="T45" s="17">
        <v>6.0</v>
      </c>
    </row>
    <row r="46">
      <c r="A46" s="58">
        <v>40.0</v>
      </c>
      <c r="B46" s="59">
        <v>680.0</v>
      </c>
      <c r="C46" s="59">
        <v>645.0</v>
      </c>
      <c r="D46" s="59">
        <v>610.0</v>
      </c>
      <c r="E46" s="59">
        <v>575.0</v>
      </c>
      <c r="F46" s="59">
        <v>540.0</v>
      </c>
      <c r="G46" s="59">
        <v>505.0</v>
      </c>
      <c r="H46" s="59">
        <v>470.0</v>
      </c>
      <c r="I46" s="59">
        <v>435.0</v>
      </c>
      <c r="J46" s="59">
        <v>400.0</v>
      </c>
      <c r="K46" s="59">
        <v>365.0</v>
      </c>
      <c r="L46" s="59">
        <v>330.0</v>
      </c>
      <c r="M46" s="59">
        <v>295.0</v>
      </c>
      <c r="N46" s="59">
        <v>260.0</v>
      </c>
      <c r="O46" s="59">
        <v>225.0</v>
      </c>
      <c r="P46" s="59">
        <v>190.0</v>
      </c>
      <c r="Q46" s="59">
        <v>155.0</v>
      </c>
      <c r="R46" s="59">
        <v>120.0</v>
      </c>
      <c r="S46" s="59">
        <v>85.0</v>
      </c>
      <c r="T46" s="17">
        <v>5.0</v>
      </c>
    </row>
    <row r="47">
      <c r="A47" s="58">
        <v>41.0</v>
      </c>
      <c r="B47" s="59">
        <v>697.0</v>
      </c>
      <c r="C47" s="59">
        <v>660.0</v>
      </c>
      <c r="D47" s="59">
        <v>623.0</v>
      </c>
      <c r="E47" s="59">
        <v>586.0</v>
      </c>
      <c r="F47" s="59">
        <v>549.0</v>
      </c>
      <c r="G47" s="59">
        <v>512.0</v>
      </c>
      <c r="H47" s="59">
        <v>475.0</v>
      </c>
      <c r="I47" s="59">
        <v>438.0</v>
      </c>
      <c r="J47" s="59">
        <v>401.0</v>
      </c>
      <c r="K47" s="59">
        <v>364.0</v>
      </c>
      <c r="L47" s="59">
        <v>327.0</v>
      </c>
      <c r="M47" s="59">
        <v>290.0</v>
      </c>
      <c r="N47" s="59">
        <v>253.0</v>
      </c>
      <c r="O47" s="59">
        <v>216.0</v>
      </c>
      <c r="P47" s="59">
        <v>179.0</v>
      </c>
      <c r="Q47" s="59">
        <v>142.0</v>
      </c>
      <c r="R47" s="59">
        <v>105.0</v>
      </c>
      <c r="S47" s="59">
        <v>68.0</v>
      </c>
      <c r="T47" s="17">
        <v>4.0</v>
      </c>
    </row>
    <row r="48">
      <c r="A48" s="58">
        <v>42.0</v>
      </c>
      <c r="B48" s="59">
        <v>714.0</v>
      </c>
      <c r="C48" s="59">
        <v>675.0</v>
      </c>
      <c r="D48" s="59">
        <v>636.0</v>
      </c>
      <c r="E48" s="59">
        <v>597.0</v>
      </c>
      <c r="F48" s="59">
        <v>558.0</v>
      </c>
      <c r="G48" s="59">
        <v>519.0</v>
      </c>
      <c r="H48" s="59">
        <v>480.0</v>
      </c>
      <c r="I48" s="59">
        <v>441.0</v>
      </c>
      <c r="J48" s="59">
        <v>402.0</v>
      </c>
      <c r="K48" s="59">
        <v>363.0</v>
      </c>
      <c r="L48" s="59">
        <v>324.0</v>
      </c>
      <c r="M48" s="59">
        <v>285.0</v>
      </c>
      <c r="N48" s="59">
        <v>246.0</v>
      </c>
      <c r="O48" s="59">
        <v>207.0</v>
      </c>
      <c r="P48" s="59">
        <v>168.0</v>
      </c>
      <c r="Q48" s="59">
        <v>129.0</v>
      </c>
      <c r="R48" s="59">
        <v>90.0</v>
      </c>
      <c r="S48" s="59">
        <v>51.0</v>
      </c>
      <c r="T48" s="17">
        <v>3.0</v>
      </c>
    </row>
    <row r="49">
      <c r="A49" s="58">
        <v>43.0</v>
      </c>
      <c r="B49" s="59">
        <v>731.0</v>
      </c>
      <c r="C49" s="59">
        <v>690.0</v>
      </c>
      <c r="D49" s="59">
        <v>649.0</v>
      </c>
      <c r="E49" s="59">
        <v>608.0</v>
      </c>
      <c r="F49" s="59">
        <v>567.0</v>
      </c>
      <c r="G49" s="59">
        <v>526.0</v>
      </c>
      <c r="H49" s="59">
        <v>485.0</v>
      </c>
      <c r="I49" s="59">
        <v>444.0</v>
      </c>
      <c r="J49" s="59">
        <v>403.0</v>
      </c>
      <c r="K49" s="59">
        <v>362.0</v>
      </c>
      <c r="L49" s="59">
        <v>321.0</v>
      </c>
      <c r="M49" s="59">
        <v>280.0</v>
      </c>
      <c r="N49" s="59">
        <v>239.0</v>
      </c>
      <c r="O49" s="59">
        <v>198.0</v>
      </c>
      <c r="P49" s="59">
        <v>157.0</v>
      </c>
      <c r="Q49" s="59">
        <v>116.0</v>
      </c>
      <c r="R49" s="59">
        <v>75.0</v>
      </c>
      <c r="S49" s="59">
        <v>34.0</v>
      </c>
      <c r="T49" s="17">
        <v>2.0</v>
      </c>
    </row>
    <row r="50">
      <c r="A50" s="58">
        <v>44.0</v>
      </c>
      <c r="B50" s="59">
        <v>748.0</v>
      </c>
      <c r="C50" s="59">
        <v>705.0</v>
      </c>
      <c r="D50" s="59">
        <v>662.0</v>
      </c>
      <c r="E50" s="59">
        <v>619.0</v>
      </c>
      <c r="F50" s="59">
        <v>576.0</v>
      </c>
      <c r="G50" s="59">
        <v>533.0</v>
      </c>
      <c r="H50" s="59">
        <v>490.0</v>
      </c>
      <c r="I50" s="59">
        <v>447.0</v>
      </c>
      <c r="J50" s="59">
        <v>404.0</v>
      </c>
      <c r="K50" s="59">
        <v>361.0</v>
      </c>
      <c r="L50" s="59">
        <v>318.0</v>
      </c>
      <c r="M50" s="59">
        <v>275.0</v>
      </c>
      <c r="N50" s="59">
        <v>232.0</v>
      </c>
      <c r="O50" s="59">
        <v>189.0</v>
      </c>
      <c r="P50" s="59">
        <v>146.0</v>
      </c>
      <c r="Q50" s="59">
        <v>103.0</v>
      </c>
      <c r="R50" s="59">
        <v>60.0</v>
      </c>
      <c r="S50" s="59">
        <v>17.0</v>
      </c>
      <c r="T50" s="17">
        <v>1.0</v>
      </c>
    </row>
    <row r="51">
      <c r="A51" s="17">
        <v>45.0</v>
      </c>
      <c r="B51" s="59">
        <v>765.0</v>
      </c>
      <c r="C51" s="59">
        <v>720.0</v>
      </c>
      <c r="D51" s="59">
        <v>675.0</v>
      </c>
      <c r="E51" s="59">
        <v>630.0</v>
      </c>
      <c r="F51" s="59">
        <v>585.0</v>
      </c>
      <c r="G51" s="59">
        <v>540.0</v>
      </c>
      <c r="H51" s="59">
        <v>495.0</v>
      </c>
      <c r="I51" s="59">
        <v>450.0</v>
      </c>
      <c r="J51" s="59">
        <v>405.0</v>
      </c>
      <c r="K51" s="59">
        <v>360.0</v>
      </c>
      <c r="L51" s="59">
        <v>315.0</v>
      </c>
      <c r="M51" s="59">
        <v>270.0</v>
      </c>
      <c r="N51" s="59">
        <v>225.0</v>
      </c>
      <c r="O51" s="59">
        <v>180.0</v>
      </c>
      <c r="P51" s="59">
        <v>135.0</v>
      </c>
      <c r="Q51" s="59">
        <v>90.0</v>
      </c>
      <c r="R51" s="59">
        <v>45.0</v>
      </c>
      <c r="S51" s="59">
        <v>0.0</v>
      </c>
      <c r="T51" s="17">
        <v>0.0</v>
      </c>
    </row>
    <row r="52">
      <c r="A52" s="17"/>
      <c r="B52" s="17">
        <f t="array" ref="B52:S52">17-B5:S5</f>
        <v>17</v>
      </c>
      <c r="C52" s="17">
        <v>16.0</v>
      </c>
      <c r="D52" s="17">
        <v>15.0</v>
      </c>
      <c r="E52" s="17">
        <v>14.0</v>
      </c>
      <c r="F52" s="17">
        <v>13.0</v>
      </c>
      <c r="G52" s="17">
        <v>12.0</v>
      </c>
      <c r="H52" s="17">
        <v>11.0</v>
      </c>
      <c r="I52" s="17">
        <v>10.0</v>
      </c>
      <c r="J52" s="17">
        <v>9.0</v>
      </c>
      <c r="K52" s="17">
        <v>8.0</v>
      </c>
      <c r="L52" s="17">
        <v>7.0</v>
      </c>
      <c r="M52" s="17">
        <v>6.0</v>
      </c>
      <c r="N52" s="17">
        <v>5.0</v>
      </c>
      <c r="O52" s="17">
        <v>4.0</v>
      </c>
      <c r="P52" s="17">
        <v>3.0</v>
      </c>
      <c r="Q52" s="17">
        <v>2.0</v>
      </c>
      <c r="R52" s="17">
        <v>1.0</v>
      </c>
      <c r="S52" s="17">
        <v>0.0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55" width="2.88"/>
  </cols>
  <sheetData>
    <row r="1">
      <c r="A1" s="11" t="s">
        <v>67</v>
      </c>
      <c r="AI1" s="3">
        <v>71.0</v>
      </c>
      <c r="AJ1" s="3">
        <v>43.0</v>
      </c>
      <c r="AK1" s="60">
        <f t="shared" ref="AK1:AK2" si="1">AI1/AJ1</f>
        <v>1.651162791</v>
      </c>
      <c r="AR1" s="3">
        <v>40.0</v>
      </c>
      <c r="AS1" s="3">
        <v>17.0</v>
      </c>
      <c r="AT1" s="5">
        <f t="shared" ref="AT1:AT3" si="2">AR1*AS1</f>
        <v>680</v>
      </c>
      <c r="AV1" s="3">
        <v>31.0</v>
      </c>
      <c r="AW1" s="3">
        <v>26.0</v>
      </c>
      <c r="AX1" s="5">
        <f t="shared" ref="AX1:AX3" si="3">AV1*AW1</f>
        <v>806</v>
      </c>
    </row>
    <row r="2">
      <c r="A2" s="11" t="s">
        <v>68</v>
      </c>
      <c r="AI2" s="3">
        <v>43.0</v>
      </c>
      <c r="AJ2" s="3">
        <v>19.0</v>
      </c>
      <c r="AK2" s="60">
        <f t="shared" si="1"/>
        <v>2.263157895</v>
      </c>
      <c r="AR2" s="3">
        <v>41.0</v>
      </c>
      <c r="AS2" s="3">
        <v>18.0</v>
      </c>
      <c r="AT2" s="5">
        <f t="shared" si="2"/>
        <v>738</v>
      </c>
      <c r="AV2" s="3">
        <v>30.0</v>
      </c>
      <c r="AW2" s="3">
        <v>25.0</v>
      </c>
      <c r="AX2" s="5">
        <f t="shared" si="3"/>
        <v>750</v>
      </c>
    </row>
    <row r="3">
      <c r="AR3" s="3">
        <v>43.0</v>
      </c>
      <c r="AS3" s="3">
        <v>19.0</v>
      </c>
      <c r="AT3" s="5">
        <f t="shared" si="2"/>
        <v>817</v>
      </c>
      <c r="AV3" s="3">
        <v>28.0</v>
      </c>
      <c r="AW3" s="3">
        <v>24.0</v>
      </c>
      <c r="AX3" s="5">
        <f t="shared" si="3"/>
        <v>672</v>
      </c>
    </row>
    <row r="4">
      <c r="A4" s="17"/>
      <c r="B4" s="17">
        <f t="array" ref="B4:AS4">SEQUENCE(1,44,0,1)</f>
        <v>0</v>
      </c>
      <c r="C4" s="17">
        <v>1.0</v>
      </c>
      <c r="D4" s="17">
        <v>2.0</v>
      </c>
      <c r="E4" s="17">
        <v>3.0</v>
      </c>
      <c r="F4" s="17">
        <v>4.0</v>
      </c>
      <c r="G4" s="17">
        <v>5.0</v>
      </c>
      <c r="H4" s="17">
        <v>6.0</v>
      </c>
      <c r="I4" s="17">
        <v>7.0</v>
      </c>
      <c r="J4" s="17">
        <v>8.0</v>
      </c>
      <c r="K4" s="17">
        <v>9.0</v>
      </c>
      <c r="L4" s="17">
        <v>10.0</v>
      </c>
      <c r="M4" s="17">
        <v>11.0</v>
      </c>
      <c r="N4" s="17">
        <v>12.0</v>
      </c>
      <c r="O4" s="17">
        <v>13.0</v>
      </c>
      <c r="P4" s="17">
        <v>14.0</v>
      </c>
      <c r="Q4" s="17">
        <v>15.0</v>
      </c>
      <c r="R4" s="17">
        <v>16.0</v>
      </c>
      <c r="S4" s="17">
        <v>17.0</v>
      </c>
      <c r="T4" s="17">
        <v>18.0</v>
      </c>
      <c r="U4" s="17">
        <v>19.0</v>
      </c>
      <c r="V4" s="17">
        <v>20.0</v>
      </c>
      <c r="W4" s="17">
        <v>21.0</v>
      </c>
      <c r="X4" s="17">
        <v>22.0</v>
      </c>
      <c r="Y4" s="17">
        <v>23.0</v>
      </c>
      <c r="Z4" s="17">
        <v>24.0</v>
      </c>
      <c r="AA4" s="17">
        <v>25.0</v>
      </c>
      <c r="AB4" s="17">
        <v>26.0</v>
      </c>
      <c r="AC4" s="17">
        <v>27.0</v>
      </c>
      <c r="AD4" s="17">
        <v>28.0</v>
      </c>
      <c r="AE4" s="17">
        <v>29.0</v>
      </c>
      <c r="AF4" s="17">
        <v>30.0</v>
      </c>
      <c r="AG4" s="17">
        <v>31.0</v>
      </c>
      <c r="AH4" s="17">
        <v>32.0</v>
      </c>
      <c r="AI4" s="17">
        <v>33.0</v>
      </c>
      <c r="AJ4" s="17">
        <v>34.0</v>
      </c>
      <c r="AK4" s="17">
        <v>35.0</v>
      </c>
      <c r="AL4" s="17">
        <v>36.0</v>
      </c>
      <c r="AM4" s="17">
        <v>37.0</v>
      </c>
      <c r="AN4" s="17">
        <v>38.0</v>
      </c>
      <c r="AO4" s="17">
        <v>39.0</v>
      </c>
      <c r="AP4" s="17">
        <v>40.0</v>
      </c>
      <c r="AQ4" s="17">
        <v>41.0</v>
      </c>
      <c r="AR4" s="17">
        <v>42.0</v>
      </c>
      <c r="AS4" s="17">
        <v>43.0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>
      <c r="A5" s="17">
        <f t="array" ref="A5:A76">SEQUENCE(72,1,0,1)</f>
        <v>0</v>
      </c>
      <c r="B5" s="61">
        <f t="array" ref="B5:AS76">B4:AS4*AT5:AT76+A5:A76*B77:AS77</f>
        <v>0</v>
      </c>
      <c r="C5" s="61">
        <v>71.0</v>
      </c>
      <c r="D5" s="61">
        <v>142.0</v>
      </c>
      <c r="E5" s="61">
        <v>213.0</v>
      </c>
      <c r="F5" s="61">
        <v>284.0</v>
      </c>
      <c r="G5" s="61">
        <v>355.0</v>
      </c>
      <c r="H5" s="61">
        <v>426.0</v>
      </c>
      <c r="I5" s="61">
        <v>497.0</v>
      </c>
      <c r="J5" s="61">
        <v>568.0</v>
      </c>
      <c r="K5" s="61">
        <v>639.0</v>
      </c>
      <c r="L5" s="61">
        <v>710.0</v>
      </c>
      <c r="M5" s="61">
        <v>781.0</v>
      </c>
      <c r="N5" s="61">
        <v>852.0</v>
      </c>
      <c r="O5" s="61">
        <v>923.0</v>
      </c>
      <c r="P5" s="61">
        <v>994.0</v>
      </c>
      <c r="Q5" s="61">
        <v>1065.0</v>
      </c>
      <c r="R5" s="61">
        <v>1136.0</v>
      </c>
      <c r="S5" s="61">
        <v>1207.0</v>
      </c>
      <c r="T5" s="61">
        <v>1278.0</v>
      </c>
      <c r="U5" s="61">
        <v>1349.0</v>
      </c>
      <c r="V5" s="61">
        <v>1420.0</v>
      </c>
      <c r="W5" s="61">
        <v>1491.0</v>
      </c>
      <c r="X5" s="61">
        <v>1562.0</v>
      </c>
      <c r="Y5" s="61">
        <v>1633.0</v>
      </c>
      <c r="Z5" s="61">
        <v>1704.0</v>
      </c>
      <c r="AA5" s="61">
        <v>1775.0</v>
      </c>
      <c r="AB5" s="61">
        <v>1846.0</v>
      </c>
      <c r="AC5" s="61">
        <v>1917.0</v>
      </c>
      <c r="AD5" s="61">
        <v>1988.0</v>
      </c>
      <c r="AE5" s="61">
        <v>2059.0</v>
      </c>
      <c r="AF5" s="61">
        <v>2130.0</v>
      </c>
      <c r="AG5" s="61">
        <v>2201.0</v>
      </c>
      <c r="AH5" s="61">
        <v>2272.0</v>
      </c>
      <c r="AI5" s="61">
        <v>2343.0</v>
      </c>
      <c r="AJ5" s="61">
        <v>2414.0</v>
      </c>
      <c r="AK5" s="61">
        <v>2485.0</v>
      </c>
      <c r="AL5" s="61">
        <v>2556.0</v>
      </c>
      <c r="AM5" s="61">
        <v>2627.0</v>
      </c>
      <c r="AN5" s="61">
        <v>2698.0</v>
      </c>
      <c r="AO5" s="61">
        <v>2769.0</v>
      </c>
      <c r="AP5" s="61">
        <v>2840.0</v>
      </c>
      <c r="AQ5" s="61">
        <v>2911.0</v>
      </c>
      <c r="AR5" s="61">
        <v>2982.0</v>
      </c>
      <c r="AS5" s="61">
        <v>3053.0</v>
      </c>
      <c r="AT5" s="17">
        <f t="array" ref="AT5:AT76">71-A5:A76</f>
        <v>71</v>
      </c>
    </row>
    <row r="6">
      <c r="A6" s="17">
        <v>1.0</v>
      </c>
      <c r="B6" s="61">
        <v>43.0</v>
      </c>
      <c r="C6" s="61">
        <v>112.0</v>
      </c>
      <c r="D6" s="61">
        <v>181.0</v>
      </c>
      <c r="E6" s="61">
        <v>250.0</v>
      </c>
      <c r="F6" s="61">
        <v>319.0</v>
      </c>
      <c r="G6" s="61">
        <v>388.0</v>
      </c>
      <c r="H6" s="61">
        <v>457.0</v>
      </c>
      <c r="I6" s="61">
        <v>526.0</v>
      </c>
      <c r="J6" s="61">
        <v>595.0</v>
      </c>
      <c r="K6" s="61">
        <v>664.0</v>
      </c>
      <c r="L6" s="61">
        <v>733.0</v>
      </c>
      <c r="M6" s="61">
        <v>802.0</v>
      </c>
      <c r="N6" s="61">
        <v>871.0</v>
      </c>
      <c r="O6" s="61">
        <v>940.0</v>
      </c>
      <c r="P6" s="61">
        <v>1009.0</v>
      </c>
      <c r="Q6" s="61">
        <v>1078.0</v>
      </c>
      <c r="R6" s="61">
        <v>1147.0</v>
      </c>
      <c r="S6" s="61">
        <v>1216.0</v>
      </c>
      <c r="T6" s="61">
        <v>1285.0</v>
      </c>
      <c r="U6" s="61">
        <v>1354.0</v>
      </c>
      <c r="V6" s="61">
        <v>1423.0</v>
      </c>
      <c r="W6" s="61">
        <v>1492.0</v>
      </c>
      <c r="X6" s="61">
        <v>1561.0</v>
      </c>
      <c r="Y6" s="61">
        <v>1630.0</v>
      </c>
      <c r="Z6" s="61">
        <v>1699.0</v>
      </c>
      <c r="AA6" s="61">
        <v>1768.0</v>
      </c>
      <c r="AB6" s="61">
        <v>1837.0</v>
      </c>
      <c r="AC6" s="61">
        <v>1906.0</v>
      </c>
      <c r="AD6" s="61">
        <v>1975.0</v>
      </c>
      <c r="AE6" s="61">
        <v>2044.0</v>
      </c>
      <c r="AF6" s="61">
        <v>2113.0</v>
      </c>
      <c r="AG6" s="61">
        <v>2182.0</v>
      </c>
      <c r="AH6" s="61">
        <v>2251.0</v>
      </c>
      <c r="AI6" s="61">
        <v>2320.0</v>
      </c>
      <c r="AJ6" s="61">
        <v>2389.0</v>
      </c>
      <c r="AK6" s="61">
        <v>2458.0</v>
      </c>
      <c r="AL6" s="61">
        <v>2527.0</v>
      </c>
      <c r="AM6" s="61">
        <v>2596.0</v>
      </c>
      <c r="AN6" s="61">
        <v>2665.0</v>
      </c>
      <c r="AO6" s="61">
        <v>2734.0</v>
      </c>
      <c r="AP6" s="61">
        <v>2803.0</v>
      </c>
      <c r="AQ6" s="61">
        <v>2872.0</v>
      </c>
      <c r="AR6" s="61">
        <v>2941.0</v>
      </c>
      <c r="AS6" s="61">
        <v>3010.0</v>
      </c>
      <c r="AT6" s="17">
        <v>70.0</v>
      </c>
    </row>
    <row r="7">
      <c r="A7" s="17">
        <v>2.0</v>
      </c>
      <c r="B7" s="61">
        <v>86.0</v>
      </c>
      <c r="C7" s="61">
        <v>153.0</v>
      </c>
      <c r="D7" s="61">
        <v>220.0</v>
      </c>
      <c r="E7" s="61">
        <v>287.0</v>
      </c>
      <c r="F7" s="61">
        <v>354.0</v>
      </c>
      <c r="G7" s="61">
        <v>421.0</v>
      </c>
      <c r="H7" s="61">
        <v>488.0</v>
      </c>
      <c r="I7" s="61">
        <v>555.0</v>
      </c>
      <c r="J7" s="61">
        <v>622.0</v>
      </c>
      <c r="K7" s="61">
        <v>689.0</v>
      </c>
      <c r="L7" s="61">
        <v>756.0</v>
      </c>
      <c r="M7" s="61">
        <v>823.0</v>
      </c>
      <c r="N7" s="61">
        <v>890.0</v>
      </c>
      <c r="O7" s="61">
        <v>957.0</v>
      </c>
      <c r="P7" s="61">
        <v>1024.0</v>
      </c>
      <c r="Q7" s="61">
        <v>1091.0</v>
      </c>
      <c r="R7" s="61">
        <v>1158.0</v>
      </c>
      <c r="S7" s="61">
        <v>1225.0</v>
      </c>
      <c r="T7" s="61">
        <v>1292.0</v>
      </c>
      <c r="U7" s="61">
        <v>1359.0</v>
      </c>
      <c r="V7" s="61">
        <v>1426.0</v>
      </c>
      <c r="W7" s="61">
        <v>1493.0</v>
      </c>
      <c r="X7" s="61">
        <v>1560.0</v>
      </c>
      <c r="Y7" s="61">
        <v>1627.0</v>
      </c>
      <c r="Z7" s="61">
        <v>1694.0</v>
      </c>
      <c r="AA7" s="61">
        <v>1761.0</v>
      </c>
      <c r="AB7" s="61">
        <v>1828.0</v>
      </c>
      <c r="AC7" s="61">
        <v>1895.0</v>
      </c>
      <c r="AD7" s="61">
        <v>1962.0</v>
      </c>
      <c r="AE7" s="61">
        <v>2029.0</v>
      </c>
      <c r="AF7" s="61">
        <v>2096.0</v>
      </c>
      <c r="AG7" s="61">
        <v>2163.0</v>
      </c>
      <c r="AH7" s="61">
        <v>2230.0</v>
      </c>
      <c r="AI7" s="61">
        <v>2297.0</v>
      </c>
      <c r="AJ7" s="61">
        <v>2364.0</v>
      </c>
      <c r="AK7" s="61">
        <v>2431.0</v>
      </c>
      <c r="AL7" s="61">
        <v>2498.0</v>
      </c>
      <c r="AM7" s="61">
        <v>2565.0</v>
      </c>
      <c r="AN7" s="61">
        <v>2632.0</v>
      </c>
      <c r="AO7" s="61">
        <v>2699.0</v>
      </c>
      <c r="AP7" s="61">
        <v>2766.0</v>
      </c>
      <c r="AQ7" s="61">
        <v>2833.0</v>
      </c>
      <c r="AR7" s="61">
        <v>2900.0</v>
      </c>
      <c r="AS7" s="61">
        <v>2967.0</v>
      </c>
      <c r="AT7" s="17">
        <v>69.0</v>
      </c>
    </row>
    <row r="8">
      <c r="A8" s="17">
        <v>3.0</v>
      </c>
      <c r="B8" s="61">
        <v>129.0</v>
      </c>
      <c r="C8" s="61">
        <v>194.0</v>
      </c>
      <c r="D8" s="61">
        <v>259.0</v>
      </c>
      <c r="E8" s="61">
        <v>324.0</v>
      </c>
      <c r="F8" s="61">
        <v>389.0</v>
      </c>
      <c r="G8" s="61">
        <v>454.0</v>
      </c>
      <c r="H8" s="61">
        <v>519.0</v>
      </c>
      <c r="I8" s="61">
        <v>584.0</v>
      </c>
      <c r="J8" s="61">
        <v>649.0</v>
      </c>
      <c r="K8" s="61">
        <v>714.0</v>
      </c>
      <c r="L8" s="61">
        <v>779.0</v>
      </c>
      <c r="M8" s="61">
        <v>844.0</v>
      </c>
      <c r="N8" s="61">
        <v>909.0</v>
      </c>
      <c r="O8" s="61">
        <v>974.0</v>
      </c>
      <c r="P8" s="61">
        <v>1039.0</v>
      </c>
      <c r="Q8" s="61">
        <v>1104.0</v>
      </c>
      <c r="R8" s="61">
        <v>1169.0</v>
      </c>
      <c r="S8" s="61">
        <v>1234.0</v>
      </c>
      <c r="T8" s="61">
        <v>1299.0</v>
      </c>
      <c r="U8" s="61">
        <v>1364.0</v>
      </c>
      <c r="V8" s="61">
        <v>1429.0</v>
      </c>
      <c r="W8" s="61">
        <v>1494.0</v>
      </c>
      <c r="X8" s="61">
        <v>1559.0</v>
      </c>
      <c r="Y8" s="61">
        <v>1624.0</v>
      </c>
      <c r="Z8" s="61">
        <v>1689.0</v>
      </c>
      <c r="AA8" s="61">
        <v>1754.0</v>
      </c>
      <c r="AB8" s="61">
        <v>1819.0</v>
      </c>
      <c r="AC8" s="61">
        <v>1884.0</v>
      </c>
      <c r="AD8" s="61">
        <v>1949.0</v>
      </c>
      <c r="AE8" s="61">
        <v>2014.0</v>
      </c>
      <c r="AF8" s="61">
        <v>2079.0</v>
      </c>
      <c r="AG8" s="61">
        <v>2144.0</v>
      </c>
      <c r="AH8" s="61">
        <v>2209.0</v>
      </c>
      <c r="AI8" s="61">
        <v>2274.0</v>
      </c>
      <c r="AJ8" s="61">
        <v>2339.0</v>
      </c>
      <c r="AK8" s="61">
        <v>2404.0</v>
      </c>
      <c r="AL8" s="61">
        <v>2469.0</v>
      </c>
      <c r="AM8" s="61">
        <v>2534.0</v>
      </c>
      <c r="AN8" s="61">
        <v>2599.0</v>
      </c>
      <c r="AO8" s="61">
        <v>2664.0</v>
      </c>
      <c r="AP8" s="61">
        <v>2729.0</v>
      </c>
      <c r="AQ8" s="61">
        <v>2794.0</v>
      </c>
      <c r="AR8" s="61">
        <v>2859.0</v>
      </c>
      <c r="AS8" s="61">
        <v>2924.0</v>
      </c>
      <c r="AT8" s="17">
        <v>68.0</v>
      </c>
    </row>
    <row r="9">
      <c r="A9" s="17">
        <v>4.0</v>
      </c>
      <c r="B9" s="61">
        <v>172.0</v>
      </c>
      <c r="C9" s="61">
        <v>235.0</v>
      </c>
      <c r="D9" s="61">
        <v>298.0</v>
      </c>
      <c r="E9" s="61">
        <v>361.0</v>
      </c>
      <c r="F9" s="61">
        <v>424.0</v>
      </c>
      <c r="G9" s="61">
        <v>487.0</v>
      </c>
      <c r="H9" s="61">
        <v>550.0</v>
      </c>
      <c r="I9" s="61">
        <v>613.0</v>
      </c>
      <c r="J9" s="61">
        <v>676.0</v>
      </c>
      <c r="K9" s="61">
        <v>739.0</v>
      </c>
      <c r="L9" s="61">
        <v>802.0</v>
      </c>
      <c r="M9" s="61">
        <v>865.0</v>
      </c>
      <c r="N9" s="61">
        <v>928.0</v>
      </c>
      <c r="O9" s="61">
        <v>991.0</v>
      </c>
      <c r="P9" s="61">
        <v>1054.0</v>
      </c>
      <c r="Q9" s="61">
        <v>1117.0</v>
      </c>
      <c r="R9" s="61">
        <v>1180.0</v>
      </c>
      <c r="S9" s="61">
        <v>1243.0</v>
      </c>
      <c r="T9" s="61">
        <v>1306.0</v>
      </c>
      <c r="U9" s="61">
        <v>1369.0</v>
      </c>
      <c r="V9" s="61">
        <v>1432.0</v>
      </c>
      <c r="W9" s="61">
        <v>1495.0</v>
      </c>
      <c r="X9" s="61">
        <v>1558.0</v>
      </c>
      <c r="Y9" s="61">
        <v>1621.0</v>
      </c>
      <c r="Z9" s="61">
        <v>1684.0</v>
      </c>
      <c r="AA9" s="61">
        <v>1747.0</v>
      </c>
      <c r="AB9" s="61">
        <v>1810.0</v>
      </c>
      <c r="AC9" s="61">
        <v>1873.0</v>
      </c>
      <c r="AD9" s="61">
        <v>1936.0</v>
      </c>
      <c r="AE9" s="61">
        <v>1999.0</v>
      </c>
      <c r="AF9" s="61">
        <v>2062.0</v>
      </c>
      <c r="AG9" s="61">
        <v>2125.0</v>
      </c>
      <c r="AH9" s="61">
        <v>2188.0</v>
      </c>
      <c r="AI9" s="61">
        <v>2251.0</v>
      </c>
      <c r="AJ9" s="61">
        <v>2314.0</v>
      </c>
      <c r="AK9" s="61">
        <v>2377.0</v>
      </c>
      <c r="AL9" s="61">
        <v>2440.0</v>
      </c>
      <c r="AM9" s="61">
        <v>2503.0</v>
      </c>
      <c r="AN9" s="61">
        <v>2566.0</v>
      </c>
      <c r="AO9" s="61">
        <v>2629.0</v>
      </c>
      <c r="AP9" s="61">
        <v>2692.0</v>
      </c>
      <c r="AQ9" s="61">
        <v>2755.0</v>
      </c>
      <c r="AR9" s="61">
        <v>2818.0</v>
      </c>
      <c r="AS9" s="61">
        <v>2881.0</v>
      </c>
      <c r="AT9" s="17">
        <v>67.0</v>
      </c>
    </row>
    <row r="10">
      <c r="A10" s="17">
        <v>5.0</v>
      </c>
      <c r="B10" s="61">
        <v>215.0</v>
      </c>
      <c r="C10" s="61">
        <v>276.0</v>
      </c>
      <c r="D10" s="61">
        <v>337.0</v>
      </c>
      <c r="E10" s="61">
        <v>398.0</v>
      </c>
      <c r="F10" s="61">
        <v>459.0</v>
      </c>
      <c r="G10" s="61">
        <v>520.0</v>
      </c>
      <c r="H10" s="61">
        <v>581.0</v>
      </c>
      <c r="I10" s="61">
        <v>642.0</v>
      </c>
      <c r="J10" s="61">
        <v>703.0</v>
      </c>
      <c r="K10" s="61">
        <v>764.0</v>
      </c>
      <c r="L10" s="61">
        <v>825.0</v>
      </c>
      <c r="M10" s="61">
        <v>886.0</v>
      </c>
      <c r="N10" s="61">
        <v>947.0</v>
      </c>
      <c r="O10" s="61">
        <v>1008.0</v>
      </c>
      <c r="P10" s="61">
        <v>1069.0</v>
      </c>
      <c r="Q10" s="61">
        <v>1130.0</v>
      </c>
      <c r="R10" s="61">
        <v>1191.0</v>
      </c>
      <c r="S10" s="61">
        <v>1252.0</v>
      </c>
      <c r="T10" s="61">
        <v>1313.0</v>
      </c>
      <c r="U10" s="61">
        <v>1374.0</v>
      </c>
      <c r="V10" s="61">
        <v>1435.0</v>
      </c>
      <c r="W10" s="61">
        <v>1496.0</v>
      </c>
      <c r="X10" s="61">
        <v>1557.0</v>
      </c>
      <c r="Y10" s="61">
        <v>1618.0</v>
      </c>
      <c r="Z10" s="61">
        <v>1679.0</v>
      </c>
      <c r="AA10" s="61">
        <v>1740.0</v>
      </c>
      <c r="AB10" s="61">
        <v>1801.0</v>
      </c>
      <c r="AC10" s="61">
        <v>1862.0</v>
      </c>
      <c r="AD10" s="61">
        <v>1923.0</v>
      </c>
      <c r="AE10" s="61">
        <v>1984.0</v>
      </c>
      <c r="AF10" s="61">
        <v>2045.0</v>
      </c>
      <c r="AG10" s="61">
        <v>2106.0</v>
      </c>
      <c r="AH10" s="61">
        <v>2167.0</v>
      </c>
      <c r="AI10" s="61">
        <v>2228.0</v>
      </c>
      <c r="AJ10" s="61">
        <v>2289.0</v>
      </c>
      <c r="AK10" s="61">
        <v>2350.0</v>
      </c>
      <c r="AL10" s="61">
        <v>2411.0</v>
      </c>
      <c r="AM10" s="61">
        <v>2472.0</v>
      </c>
      <c r="AN10" s="61">
        <v>2533.0</v>
      </c>
      <c r="AO10" s="61">
        <v>2594.0</v>
      </c>
      <c r="AP10" s="61">
        <v>2655.0</v>
      </c>
      <c r="AQ10" s="61">
        <v>2716.0</v>
      </c>
      <c r="AR10" s="61">
        <v>2777.0</v>
      </c>
      <c r="AS10" s="61">
        <v>2838.0</v>
      </c>
      <c r="AT10" s="17">
        <v>66.0</v>
      </c>
    </row>
    <row r="11">
      <c r="A11" s="17">
        <v>6.0</v>
      </c>
      <c r="B11" s="61">
        <v>258.0</v>
      </c>
      <c r="C11" s="61">
        <v>317.0</v>
      </c>
      <c r="D11" s="61">
        <v>376.0</v>
      </c>
      <c r="E11" s="61">
        <v>435.0</v>
      </c>
      <c r="F11" s="61">
        <v>494.0</v>
      </c>
      <c r="G11" s="61">
        <v>553.0</v>
      </c>
      <c r="H11" s="61">
        <v>612.0</v>
      </c>
      <c r="I11" s="61">
        <v>671.0</v>
      </c>
      <c r="J11" s="61">
        <v>730.0</v>
      </c>
      <c r="K11" s="61">
        <v>789.0</v>
      </c>
      <c r="L11" s="61">
        <v>848.0</v>
      </c>
      <c r="M11" s="61">
        <v>907.0</v>
      </c>
      <c r="N11" s="61">
        <v>966.0</v>
      </c>
      <c r="O11" s="61">
        <v>1025.0</v>
      </c>
      <c r="P11" s="61">
        <v>1084.0</v>
      </c>
      <c r="Q11" s="61">
        <v>1143.0</v>
      </c>
      <c r="R11" s="61">
        <v>1202.0</v>
      </c>
      <c r="S11" s="61">
        <v>1261.0</v>
      </c>
      <c r="T11" s="61">
        <v>1320.0</v>
      </c>
      <c r="U11" s="61">
        <v>1379.0</v>
      </c>
      <c r="V11" s="61">
        <v>1438.0</v>
      </c>
      <c r="W11" s="61">
        <v>1497.0</v>
      </c>
      <c r="X11" s="61">
        <v>1556.0</v>
      </c>
      <c r="Y11" s="61">
        <v>1615.0</v>
      </c>
      <c r="Z11" s="61">
        <v>1674.0</v>
      </c>
      <c r="AA11" s="61">
        <v>1733.0</v>
      </c>
      <c r="AB11" s="61">
        <v>1792.0</v>
      </c>
      <c r="AC11" s="61">
        <v>1851.0</v>
      </c>
      <c r="AD11" s="61">
        <v>1910.0</v>
      </c>
      <c r="AE11" s="61">
        <v>1969.0</v>
      </c>
      <c r="AF11" s="61">
        <v>2028.0</v>
      </c>
      <c r="AG11" s="61">
        <v>2087.0</v>
      </c>
      <c r="AH11" s="61">
        <v>2146.0</v>
      </c>
      <c r="AI11" s="61">
        <v>2205.0</v>
      </c>
      <c r="AJ11" s="61">
        <v>2264.0</v>
      </c>
      <c r="AK11" s="61">
        <v>2323.0</v>
      </c>
      <c r="AL11" s="61">
        <v>2382.0</v>
      </c>
      <c r="AM11" s="61">
        <v>2441.0</v>
      </c>
      <c r="AN11" s="61">
        <v>2500.0</v>
      </c>
      <c r="AO11" s="61">
        <v>2559.0</v>
      </c>
      <c r="AP11" s="61">
        <v>2618.0</v>
      </c>
      <c r="AQ11" s="61">
        <v>2677.0</v>
      </c>
      <c r="AR11" s="61">
        <v>2736.0</v>
      </c>
      <c r="AS11" s="61">
        <v>2795.0</v>
      </c>
      <c r="AT11" s="17">
        <v>65.0</v>
      </c>
    </row>
    <row r="12">
      <c r="A12" s="17">
        <v>7.0</v>
      </c>
      <c r="B12" s="61">
        <v>301.0</v>
      </c>
      <c r="C12" s="61">
        <v>358.0</v>
      </c>
      <c r="D12" s="61">
        <v>415.0</v>
      </c>
      <c r="E12" s="61">
        <v>472.0</v>
      </c>
      <c r="F12" s="61">
        <v>529.0</v>
      </c>
      <c r="G12" s="61">
        <v>586.0</v>
      </c>
      <c r="H12" s="61">
        <v>643.0</v>
      </c>
      <c r="I12" s="61">
        <v>700.0</v>
      </c>
      <c r="J12" s="61">
        <v>757.0</v>
      </c>
      <c r="K12" s="61">
        <v>814.0</v>
      </c>
      <c r="L12" s="61">
        <v>871.0</v>
      </c>
      <c r="M12" s="61">
        <v>928.0</v>
      </c>
      <c r="N12" s="61">
        <v>985.0</v>
      </c>
      <c r="O12" s="61">
        <v>1042.0</v>
      </c>
      <c r="P12" s="61">
        <v>1099.0</v>
      </c>
      <c r="Q12" s="61">
        <v>1156.0</v>
      </c>
      <c r="R12" s="61">
        <v>1213.0</v>
      </c>
      <c r="S12" s="61">
        <v>1270.0</v>
      </c>
      <c r="T12" s="61">
        <v>1327.0</v>
      </c>
      <c r="U12" s="61">
        <v>1384.0</v>
      </c>
      <c r="V12" s="61">
        <v>1441.0</v>
      </c>
      <c r="W12" s="61">
        <v>1498.0</v>
      </c>
      <c r="X12" s="61">
        <v>1555.0</v>
      </c>
      <c r="Y12" s="61">
        <v>1612.0</v>
      </c>
      <c r="Z12" s="61">
        <v>1669.0</v>
      </c>
      <c r="AA12" s="61">
        <v>1726.0</v>
      </c>
      <c r="AB12" s="61">
        <v>1783.0</v>
      </c>
      <c r="AC12" s="61">
        <v>1840.0</v>
      </c>
      <c r="AD12" s="61">
        <v>1897.0</v>
      </c>
      <c r="AE12" s="61">
        <v>1954.0</v>
      </c>
      <c r="AF12" s="61">
        <v>2011.0</v>
      </c>
      <c r="AG12" s="61">
        <v>2068.0</v>
      </c>
      <c r="AH12" s="61">
        <v>2125.0</v>
      </c>
      <c r="AI12" s="61">
        <v>2182.0</v>
      </c>
      <c r="AJ12" s="61">
        <v>2239.0</v>
      </c>
      <c r="AK12" s="61">
        <v>2296.0</v>
      </c>
      <c r="AL12" s="61">
        <v>2353.0</v>
      </c>
      <c r="AM12" s="61">
        <v>2410.0</v>
      </c>
      <c r="AN12" s="61">
        <v>2467.0</v>
      </c>
      <c r="AO12" s="61">
        <v>2524.0</v>
      </c>
      <c r="AP12" s="61">
        <v>2581.0</v>
      </c>
      <c r="AQ12" s="61">
        <v>2638.0</v>
      </c>
      <c r="AR12" s="61">
        <v>2695.0</v>
      </c>
      <c r="AS12" s="61">
        <v>2752.0</v>
      </c>
      <c r="AT12" s="17">
        <v>64.0</v>
      </c>
    </row>
    <row r="13">
      <c r="A13" s="17">
        <v>8.0</v>
      </c>
      <c r="B13" s="61">
        <v>344.0</v>
      </c>
      <c r="C13" s="61">
        <v>399.0</v>
      </c>
      <c r="D13" s="61">
        <v>454.0</v>
      </c>
      <c r="E13" s="61">
        <v>509.0</v>
      </c>
      <c r="F13" s="61">
        <v>564.0</v>
      </c>
      <c r="G13" s="61">
        <v>619.0</v>
      </c>
      <c r="H13" s="61">
        <v>674.0</v>
      </c>
      <c r="I13" s="61">
        <v>729.0</v>
      </c>
      <c r="J13" s="61">
        <v>784.0</v>
      </c>
      <c r="K13" s="61">
        <v>839.0</v>
      </c>
      <c r="L13" s="61">
        <v>894.0</v>
      </c>
      <c r="M13" s="61">
        <v>949.0</v>
      </c>
      <c r="N13" s="61">
        <v>1004.0</v>
      </c>
      <c r="O13" s="61">
        <v>1059.0</v>
      </c>
      <c r="P13" s="61">
        <v>1114.0</v>
      </c>
      <c r="Q13" s="61">
        <v>1169.0</v>
      </c>
      <c r="R13" s="61">
        <v>1224.0</v>
      </c>
      <c r="S13" s="61">
        <v>1279.0</v>
      </c>
      <c r="T13" s="61">
        <v>1334.0</v>
      </c>
      <c r="U13" s="61">
        <v>1389.0</v>
      </c>
      <c r="V13" s="61">
        <v>1444.0</v>
      </c>
      <c r="W13" s="61">
        <v>1499.0</v>
      </c>
      <c r="X13" s="61">
        <v>1554.0</v>
      </c>
      <c r="Y13" s="61">
        <v>1609.0</v>
      </c>
      <c r="Z13" s="61">
        <v>1664.0</v>
      </c>
      <c r="AA13" s="61">
        <v>1719.0</v>
      </c>
      <c r="AB13" s="61">
        <v>1774.0</v>
      </c>
      <c r="AC13" s="61">
        <v>1829.0</v>
      </c>
      <c r="AD13" s="61">
        <v>1884.0</v>
      </c>
      <c r="AE13" s="61">
        <v>1939.0</v>
      </c>
      <c r="AF13" s="61">
        <v>1994.0</v>
      </c>
      <c r="AG13" s="61">
        <v>2049.0</v>
      </c>
      <c r="AH13" s="61">
        <v>2104.0</v>
      </c>
      <c r="AI13" s="61">
        <v>2159.0</v>
      </c>
      <c r="AJ13" s="61">
        <v>2214.0</v>
      </c>
      <c r="AK13" s="61">
        <v>2269.0</v>
      </c>
      <c r="AL13" s="61">
        <v>2324.0</v>
      </c>
      <c r="AM13" s="61">
        <v>2379.0</v>
      </c>
      <c r="AN13" s="61">
        <v>2434.0</v>
      </c>
      <c r="AO13" s="61">
        <v>2489.0</v>
      </c>
      <c r="AP13" s="61">
        <v>2544.0</v>
      </c>
      <c r="AQ13" s="61">
        <v>2599.0</v>
      </c>
      <c r="AR13" s="61">
        <v>2654.0</v>
      </c>
      <c r="AS13" s="61">
        <v>2709.0</v>
      </c>
      <c r="AT13" s="17">
        <v>63.0</v>
      </c>
    </row>
    <row r="14">
      <c r="A14" s="17">
        <v>9.0</v>
      </c>
      <c r="B14" s="61">
        <v>387.0</v>
      </c>
      <c r="C14" s="61">
        <v>440.0</v>
      </c>
      <c r="D14" s="61">
        <v>493.0</v>
      </c>
      <c r="E14" s="61">
        <v>546.0</v>
      </c>
      <c r="F14" s="61">
        <v>599.0</v>
      </c>
      <c r="G14" s="61">
        <v>652.0</v>
      </c>
      <c r="H14" s="61">
        <v>705.0</v>
      </c>
      <c r="I14" s="61">
        <v>758.0</v>
      </c>
      <c r="J14" s="61">
        <v>811.0</v>
      </c>
      <c r="K14" s="61">
        <v>864.0</v>
      </c>
      <c r="L14" s="61">
        <v>917.0</v>
      </c>
      <c r="M14" s="61">
        <v>970.0</v>
      </c>
      <c r="N14" s="61">
        <v>1023.0</v>
      </c>
      <c r="O14" s="61">
        <v>1076.0</v>
      </c>
      <c r="P14" s="61">
        <v>1129.0</v>
      </c>
      <c r="Q14" s="61">
        <v>1182.0</v>
      </c>
      <c r="R14" s="61">
        <v>1235.0</v>
      </c>
      <c r="S14" s="61">
        <v>1288.0</v>
      </c>
      <c r="T14" s="61">
        <v>1341.0</v>
      </c>
      <c r="U14" s="61">
        <v>1394.0</v>
      </c>
      <c r="V14" s="61">
        <v>1447.0</v>
      </c>
      <c r="W14" s="61">
        <v>1500.0</v>
      </c>
      <c r="X14" s="61">
        <v>1553.0</v>
      </c>
      <c r="Y14" s="61">
        <v>1606.0</v>
      </c>
      <c r="Z14" s="61">
        <v>1659.0</v>
      </c>
      <c r="AA14" s="61">
        <v>1712.0</v>
      </c>
      <c r="AB14" s="61">
        <v>1765.0</v>
      </c>
      <c r="AC14" s="61">
        <v>1818.0</v>
      </c>
      <c r="AD14" s="61">
        <v>1871.0</v>
      </c>
      <c r="AE14" s="61">
        <v>1924.0</v>
      </c>
      <c r="AF14" s="61">
        <v>1977.0</v>
      </c>
      <c r="AG14" s="61">
        <v>2030.0</v>
      </c>
      <c r="AH14" s="61">
        <v>2083.0</v>
      </c>
      <c r="AI14" s="61">
        <v>2136.0</v>
      </c>
      <c r="AJ14" s="61">
        <v>2189.0</v>
      </c>
      <c r="AK14" s="61">
        <v>2242.0</v>
      </c>
      <c r="AL14" s="61">
        <v>2295.0</v>
      </c>
      <c r="AM14" s="61">
        <v>2348.0</v>
      </c>
      <c r="AN14" s="61">
        <v>2401.0</v>
      </c>
      <c r="AO14" s="61">
        <v>2454.0</v>
      </c>
      <c r="AP14" s="61">
        <v>2507.0</v>
      </c>
      <c r="AQ14" s="61">
        <v>2560.0</v>
      </c>
      <c r="AR14" s="61">
        <v>2613.0</v>
      </c>
      <c r="AS14" s="61">
        <v>2666.0</v>
      </c>
      <c r="AT14" s="17">
        <v>62.0</v>
      </c>
    </row>
    <row r="15">
      <c r="A15" s="17">
        <v>10.0</v>
      </c>
      <c r="B15" s="61">
        <v>430.0</v>
      </c>
      <c r="C15" s="61">
        <v>481.0</v>
      </c>
      <c r="D15" s="61">
        <v>532.0</v>
      </c>
      <c r="E15" s="61">
        <v>583.0</v>
      </c>
      <c r="F15" s="61">
        <v>634.0</v>
      </c>
      <c r="G15" s="61">
        <v>685.0</v>
      </c>
      <c r="H15" s="61">
        <v>736.0</v>
      </c>
      <c r="I15" s="61">
        <v>787.0</v>
      </c>
      <c r="J15" s="61">
        <v>838.0</v>
      </c>
      <c r="K15" s="61">
        <v>889.0</v>
      </c>
      <c r="L15" s="61">
        <v>940.0</v>
      </c>
      <c r="M15" s="61">
        <v>991.0</v>
      </c>
      <c r="N15" s="61">
        <v>1042.0</v>
      </c>
      <c r="O15" s="61">
        <v>1093.0</v>
      </c>
      <c r="P15" s="61">
        <v>1144.0</v>
      </c>
      <c r="Q15" s="61">
        <v>1195.0</v>
      </c>
      <c r="R15" s="61">
        <v>1246.0</v>
      </c>
      <c r="S15" s="61">
        <v>1297.0</v>
      </c>
      <c r="T15" s="61">
        <v>1348.0</v>
      </c>
      <c r="U15" s="61">
        <v>1399.0</v>
      </c>
      <c r="V15" s="61">
        <v>1450.0</v>
      </c>
      <c r="W15" s="61">
        <v>1501.0</v>
      </c>
      <c r="X15" s="61">
        <v>1552.0</v>
      </c>
      <c r="Y15" s="61">
        <v>1603.0</v>
      </c>
      <c r="Z15" s="61">
        <v>1654.0</v>
      </c>
      <c r="AA15" s="61">
        <v>1705.0</v>
      </c>
      <c r="AB15" s="61">
        <v>1756.0</v>
      </c>
      <c r="AC15" s="61">
        <v>1807.0</v>
      </c>
      <c r="AD15" s="61">
        <v>1858.0</v>
      </c>
      <c r="AE15" s="61">
        <v>1909.0</v>
      </c>
      <c r="AF15" s="61">
        <v>1960.0</v>
      </c>
      <c r="AG15" s="61">
        <v>2011.0</v>
      </c>
      <c r="AH15" s="61">
        <v>2062.0</v>
      </c>
      <c r="AI15" s="61">
        <v>2113.0</v>
      </c>
      <c r="AJ15" s="61">
        <v>2164.0</v>
      </c>
      <c r="AK15" s="61">
        <v>2215.0</v>
      </c>
      <c r="AL15" s="61">
        <v>2266.0</v>
      </c>
      <c r="AM15" s="61">
        <v>2317.0</v>
      </c>
      <c r="AN15" s="61">
        <v>2368.0</v>
      </c>
      <c r="AO15" s="61">
        <v>2419.0</v>
      </c>
      <c r="AP15" s="61">
        <v>2470.0</v>
      </c>
      <c r="AQ15" s="61">
        <v>2521.0</v>
      </c>
      <c r="AR15" s="61">
        <v>2572.0</v>
      </c>
      <c r="AS15" s="61">
        <v>2623.0</v>
      </c>
      <c r="AT15" s="17">
        <v>61.0</v>
      </c>
    </row>
    <row r="16">
      <c r="A16" s="17">
        <v>11.0</v>
      </c>
      <c r="B16" s="61">
        <v>473.0</v>
      </c>
      <c r="C16" s="61">
        <v>522.0</v>
      </c>
      <c r="D16" s="61">
        <v>571.0</v>
      </c>
      <c r="E16" s="61">
        <v>620.0</v>
      </c>
      <c r="F16" s="61">
        <v>669.0</v>
      </c>
      <c r="G16" s="61">
        <v>718.0</v>
      </c>
      <c r="H16" s="61">
        <v>767.0</v>
      </c>
      <c r="I16" s="61">
        <v>816.0</v>
      </c>
      <c r="J16" s="61">
        <v>865.0</v>
      </c>
      <c r="K16" s="61">
        <v>914.0</v>
      </c>
      <c r="L16" s="61">
        <v>963.0</v>
      </c>
      <c r="M16" s="61">
        <v>1012.0</v>
      </c>
      <c r="N16" s="61">
        <v>1061.0</v>
      </c>
      <c r="O16" s="61">
        <v>1110.0</v>
      </c>
      <c r="P16" s="61">
        <v>1159.0</v>
      </c>
      <c r="Q16" s="61">
        <v>1208.0</v>
      </c>
      <c r="R16" s="61">
        <v>1257.0</v>
      </c>
      <c r="S16" s="61">
        <v>1306.0</v>
      </c>
      <c r="T16" s="61">
        <v>1355.0</v>
      </c>
      <c r="U16" s="61">
        <v>1404.0</v>
      </c>
      <c r="V16" s="61">
        <v>1453.0</v>
      </c>
      <c r="W16" s="61">
        <v>1502.0</v>
      </c>
      <c r="X16" s="61">
        <v>1551.0</v>
      </c>
      <c r="Y16" s="61">
        <v>1600.0</v>
      </c>
      <c r="Z16" s="61">
        <v>1649.0</v>
      </c>
      <c r="AA16" s="61">
        <v>1698.0</v>
      </c>
      <c r="AB16" s="61">
        <v>1747.0</v>
      </c>
      <c r="AC16" s="61">
        <v>1796.0</v>
      </c>
      <c r="AD16" s="61">
        <v>1845.0</v>
      </c>
      <c r="AE16" s="61">
        <v>1894.0</v>
      </c>
      <c r="AF16" s="61">
        <v>1943.0</v>
      </c>
      <c r="AG16" s="61">
        <v>1992.0</v>
      </c>
      <c r="AH16" s="61">
        <v>2041.0</v>
      </c>
      <c r="AI16" s="61">
        <v>2090.0</v>
      </c>
      <c r="AJ16" s="61">
        <v>2139.0</v>
      </c>
      <c r="AK16" s="61">
        <v>2188.0</v>
      </c>
      <c r="AL16" s="61">
        <v>2237.0</v>
      </c>
      <c r="AM16" s="61">
        <v>2286.0</v>
      </c>
      <c r="AN16" s="61">
        <v>2335.0</v>
      </c>
      <c r="AO16" s="61">
        <v>2384.0</v>
      </c>
      <c r="AP16" s="61">
        <v>2433.0</v>
      </c>
      <c r="AQ16" s="61">
        <v>2482.0</v>
      </c>
      <c r="AR16" s="61">
        <v>2531.0</v>
      </c>
      <c r="AS16" s="61">
        <v>2580.0</v>
      </c>
      <c r="AT16" s="17">
        <v>60.0</v>
      </c>
    </row>
    <row r="17">
      <c r="A17" s="17">
        <v>12.0</v>
      </c>
      <c r="B17" s="61">
        <v>516.0</v>
      </c>
      <c r="C17" s="61">
        <v>563.0</v>
      </c>
      <c r="D17" s="61">
        <v>610.0</v>
      </c>
      <c r="E17" s="61">
        <v>657.0</v>
      </c>
      <c r="F17" s="61">
        <v>704.0</v>
      </c>
      <c r="G17" s="61">
        <v>751.0</v>
      </c>
      <c r="H17" s="61">
        <v>798.0</v>
      </c>
      <c r="I17" s="61">
        <v>845.0</v>
      </c>
      <c r="J17" s="61">
        <v>892.0</v>
      </c>
      <c r="K17" s="61">
        <v>939.0</v>
      </c>
      <c r="L17" s="61">
        <v>986.0</v>
      </c>
      <c r="M17" s="61">
        <v>1033.0</v>
      </c>
      <c r="N17" s="61">
        <v>1080.0</v>
      </c>
      <c r="O17" s="61">
        <v>1127.0</v>
      </c>
      <c r="P17" s="61">
        <v>1174.0</v>
      </c>
      <c r="Q17" s="61">
        <v>1221.0</v>
      </c>
      <c r="R17" s="61">
        <v>1268.0</v>
      </c>
      <c r="S17" s="61">
        <v>1315.0</v>
      </c>
      <c r="T17" s="61">
        <v>1362.0</v>
      </c>
      <c r="U17" s="61">
        <v>1409.0</v>
      </c>
      <c r="V17" s="61">
        <v>1456.0</v>
      </c>
      <c r="W17" s="61">
        <v>1503.0</v>
      </c>
      <c r="X17" s="61">
        <v>1550.0</v>
      </c>
      <c r="Y17" s="61">
        <v>1597.0</v>
      </c>
      <c r="Z17" s="61">
        <v>1644.0</v>
      </c>
      <c r="AA17" s="61">
        <v>1691.0</v>
      </c>
      <c r="AB17" s="61">
        <v>1738.0</v>
      </c>
      <c r="AC17" s="61">
        <v>1785.0</v>
      </c>
      <c r="AD17" s="61">
        <v>1832.0</v>
      </c>
      <c r="AE17" s="61">
        <v>1879.0</v>
      </c>
      <c r="AF17" s="61">
        <v>1926.0</v>
      </c>
      <c r="AG17" s="61">
        <v>1973.0</v>
      </c>
      <c r="AH17" s="61">
        <v>2020.0</v>
      </c>
      <c r="AI17" s="61">
        <v>2067.0</v>
      </c>
      <c r="AJ17" s="61">
        <v>2114.0</v>
      </c>
      <c r="AK17" s="61">
        <v>2161.0</v>
      </c>
      <c r="AL17" s="61">
        <v>2208.0</v>
      </c>
      <c r="AM17" s="61">
        <v>2255.0</v>
      </c>
      <c r="AN17" s="61">
        <v>2302.0</v>
      </c>
      <c r="AO17" s="61">
        <v>2349.0</v>
      </c>
      <c r="AP17" s="61">
        <v>2396.0</v>
      </c>
      <c r="AQ17" s="61">
        <v>2443.0</v>
      </c>
      <c r="AR17" s="61">
        <v>2490.0</v>
      </c>
      <c r="AS17" s="61">
        <v>2537.0</v>
      </c>
      <c r="AT17" s="17">
        <v>59.0</v>
      </c>
    </row>
    <row r="18">
      <c r="A18" s="17">
        <v>13.0</v>
      </c>
      <c r="B18" s="61">
        <v>559.0</v>
      </c>
      <c r="C18" s="61">
        <v>604.0</v>
      </c>
      <c r="D18" s="61">
        <v>649.0</v>
      </c>
      <c r="E18" s="61">
        <v>694.0</v>
      </c>
      <c r="F18" s="61">
        <v>739.0</v>
      </c>
      <c r="G18" s="61">
        <v>784.0</v>
      </c>
      <c r="H18" s="61">
        <v>829.0</v>
      </c>
      <c r="I18" s="61">
        <v>874.0</v>
      </c>
      <c r="J18" s="61">
        <v>919.0</v>
      </c>
      <c r="K18" s="61">
        <v>964.0</v>
      </c>
      <c r="L18" s="61">
        <v>1009.0</v>
      </c>
      <c r="M18" s="61">
        <v>1054.0</v>
      </c>
      <c r="N18" s="61">
        <v>1099.0</v>
      </c>
      <c r="O18" s="61">
        <v>1144.0</v>
      </c>
      <c r="P18" s="61">
        <v>1189.0</v>
      </c>
      <c r="Q18" s="61">
        <v>1234.0</v>
      </c>
      <c r="R18" s="61">
        <v>1279.0</v>
      </c>
      <c r="S18" s="61">
        <v>1324.0</v>
      </c>
      <c r="T18" s="61">
        <v>1369.0</v>
      </c>
      <c r="U18" s="61">
        <v>1414.0</v>
      </c>
      <c r="V18" s="61">
        <v>1459.0</v>
      </c>
      <c r="W18" s="61">
        <v>1504.0</v>
      </c>
      <c r="X18" s="61">
        <v>1549.0</v>
      </c>
      <c r="Y18" s="61">
        <v>1594.0</v>
      </c>
      <c r="Z18" s="61">
        <v>1639.0</v>
      </c>
      <c r="AA18" s="61">
        <v>1684.0</v>
      </c>
      <c r="AB18" s="61">
        <v>1729.0</v>
      </c>
      <c r="AC18" s="61">
        <v>1774.0</v>
      </c>
      <c r="AD18" s="61">
        <v>1819.0</v>
      </c>
      <c r="AE18" s="61">
        <v>1864.0</v>
      </c>
      <c r="AF18" s="61">
        <v>1909.0</v>
      </c>
      <c r="AG18" s="61">
        <v>1954.0</v>
      </c>
      <c r="AH18" s="61">
        <v>1999.0</v>
      </c>
      <c r="AI18" s="61">
        <v>2044.0</v>
      </c>
      <c r="AJ18" s="61">
        <v>2089.0</v>
      </c>
      <c r="AK18" s="61">
        <v>2134.0</v>
      </c>
      <c r="AL18" s="61">
        <v>2179.0</v>
      </c>
      <c r="AM18" s="61">
        <v>2224.0</v>
      </c>
      <c r="AN18" s="61">
        <v>2269.0</v>
      </c>
      <c r="AO18" s="61">
        <v>2314.0</v>
      </c>
      <c r="AP18" s="61">
        <v>2359.0</v>
      </c>
      <c r="AQ18" s="61">
        <v>2404.0</v>
      </c>
      <c r="AR18" s="61">
        <v>2449.0</v>
      </c>
      <c r="AS18" s="61">
        <v>2494.0</v>
      </c>
      <c r="AT18" s="17">
        <v>58.0</v>
      </c>
    </row>
    <row r="19">
      <c r="A19" s="17">
        <v>14.0</v>
      </c>
      <c r="B19" s="61">
        <v>602.0</v>
      </c>
      <c r="C19" s="61">
        <v>645.0</v>
      </c>
      <c r="D19" s="61">
        <v>688.0</v>
      </c>
      <c r="E19" s="61">
        <v>731.0</v>
      </c>
      <c r="F19" s="61">
        <v>774.0</v>
      </c>
      <c r="G19" s="61">
        <v>817.0</v>
      </c>
      <c r="H19" s="61">
        <v>860.0</v>
      </c>
      <c r="I19" s="61">
        <v>903.0</v>
      </c>
      <c r="J19" s="61">
        <v>946.0</v>
      </c>
      <c r="K19" s="61">
        <v>989.0</v>
      </c>
      <c r="L19" s="61">
        <v>1032.0</v>
      </c>
      <c r="M19" s="61">
        <v>1075.0</v>
      </c>
      <c r="N19" s="61">
        <v>1118.0</v>
      </c>
      <c r="O19" s="61">
        <v>1161.0</v>
      </c>
      <c r="P19" s="61">
        <v>1204.0</v>
      </c>
      <c r="Q19" s="61">
        <v>1247.0</v>
      </c>
      <c r="R19" s="61">
        <v>1290.0</v>
      </c>
      <c r="S19" s="61">
        <v>1333.0</v>
      </c>
      <c r="T19" s="61">
        <v>1376.0</v>
      </c>
      <c r="U19" s="61">
        <v>1419.0</v>
      </c>
      <c r="V19" s="61">
        <v>1462.0</v>
      </c>
      <c r="W19" s="61">
        <v>1505.0</v>
      </c>
      <c r="X19" s="61">
        <v>1548.0</v>
      </c>
      <c r="Y19" s="61">
        <v>1591.0</v>
      </c>
      <c r="Z19" s="61">
        <v>1634.0</v>
      </c>
      <c r="AA19" s="61">
        <v>1677.0</v>
      </c>
      <c r="AB19" s="61">
        <v>1720.0</v>
      </c>
      <c r="AC19" s="61">
        <v>1763.0</v>
      </c>
      <c r="AD19" s="61">
        <v>1806.0</v>
      </c>
      <c r="AE19" s="61">
        <v>1849.0</v>
      </c>
      <c r="AF19" s="61">
        <v>1892.0</v>
      </c>
      <c r="AG19" s="61">
        <v>1935.0</v>
      </c>
      <c r="AH19" s="61">
        <v>1978.0</v>
      </c>
      <c r="AI19" s="61">
        <v>2021.0</v>
      </c>
      <c r="AJ19" s="61">
        <v>2064.0</v>
      </c>
      <c r="AK19" s="61">
        <v>2107.0</v>
      </c>
      <c r="AL19" s="61">
        <v>2150.0</v>
      </c>
      <c r="AM19" s="61">
        <v>2193.0</v>
      </c>
      <c r="AN19" s="61">
        <v>2236.0</v>
      </c>
      <c r="AO19" s="61">
        <v>2279.0</v>
      </c>
      <c r="AP19" s="61">
        <v>2322.0</v>
      </c>
      <c r="AQ19" s="61">
        <v>2365.0</v>
      </c>
      <c r="AR19" s="61">
        <v>2408.0</v>
      </c>
      <c r="AS19" s="61">
        <v>2451.0</v>
      </c>
      <c r="AT19" s="17">
        <v>57.0</v>
      </c>
    </row>
    <row r="20">
      <c r="A20" s="17">
        <v>15.0</v>
      </c>
      <c r="B20" s="61">
        <v>645.0</v>
      </c>
      <c r="C20" s="61">
        <v>686.0</v>
      </c>
      <c r="D20" s="61">
        <v>727.0</v>
      </c>
      <c r="E20" s="61">
        <v>768.0</v>
      </c>
      <c r="F20" s="61">
        <v>809.0</v>
      </c>
      <c r="G20" s="61">
        <v>850.0</v>
      </c>
      <c r="H20" s="61">
        <v>891.0</v>
      </c>
      <c r="I20" s="61">
        <v>932.0</v>
      </c>
      <c r="J20" s="61">
        <v>973.0</v>
      </c>
      <c r="K20" s="61">
        <v>1014.0</v>
      </c>
      <c r="L20" s="61">
        <v>1055.0</v>
      </c>
      <c r="M20" s="61">
        <v>1096.0</v>
      </c>
      <c r="N20" s="61">
        <v>1137.0</v>
      </c>
      <c r="O20" s="61">
        <v>1178.0</v>
      </c>
      <c r="P20" s="61">
        <v>1219.0</v>
      </c>
      <c r="Q20" s="61">
        <v>1260.0</v>
      </c>
      <c r="R20" s="61">
        <v>1301.0</v>
      </c>
      <c r="S20" s="61">
        <v>1342.0</v>
      </c>
      <c r="T20" s="61">
        <v>1383.0</v>
      </c>
      <c r="U20" s="61">
        <v>1424.0</v>
      </c>
      <c r="V20" s="61">
        <v>1465.0</v>
      </c>
      <c r="W20" s="61">
        <v>1506.0</v>
      </c>
      <c r="X20" s="61">
        <v>1547.0</v>
      </c>
      <c r="Y20" s="61">
        <v>1588.0</v>
      </c>
      <c r="Z20" s="61">
        <v>1629.0</v>
      </c>
      <c r="AA20" s="61">
        <v>1670.0</v>
      </c>
      <c r="AB20" s="61">
        <v>1711.0</v>
      </c>
      <c r="AC20" s="61">
        <v>1752.0</v>
      </c>
      <c r="AD20" s="61">
        <v>1793.0</v>
      </c>
      <c r="AE20" s="61">
        <v>1834.0</v>
      </c>
      <c r="AF20" s="61">
        <v>1875.0</v>
      </c>
      <c r="AG20" s="61">
        <v>1916.0</v>
      </c>
      <c r="AH20" s="61">
        <v>1957.0</v>
      </c>
      <c r="AI20" s="61">
        <v>1998.0</v>
      </c>
      <c r="AJ20" s="61">
        <v>2039.0</v>
      </c>
      <c r="AK20" s="61">
        <v>2080.0</v>
      </c>
      <c r="AL20" s="61">
        <v>2121.0</v>
      </c>
      <c r="AM20" s="61">
        <v>2162.0</v>
      </c>
      <c r="AN20" s="61">
        <v>2203.0</v>
      </c>
      <c r="AO20" s="61">
        <v>2244.0</v>
      </c>
      <c r="AP20" s="61">
        <v>2285.0</v>
      </c>
      <c r="AQ20" s="61">
        <v>2326.0</v>
      </c>
      <c r="AR20" s="61">
        <v>2367.0</v>
      </c>
      <c r="AS20" s="61">
        <v>2408.0</v>
      </c>
      <c r="AT20" s="17">
        <v>56.0</v>
      </c>
    </row>
    <row r="21">
      <c r="A21" s="17">
        <v>16.0</v>
      </c>
      <c r="B21" s="61">
        <v>688.0</v>
      </c>
      <c r="C21" s="61">
        <v>727.0</v>
      </c>
      <c r="D21" s="61">
        <v>766.0</v>
      </c>
      <c r="E21" s="61">
        <v>805.0</v>
      </c>
      <c r="F21" s="61">
        <v>844.0</v>
      </c>
      <c r="G21" s="61">
        <v>883.0</v>
      </c>
      <c r="H21" s="61">
        <v>922.0</v>
      </c>
      <c r="I21" s="61">
        <v>961.0</v>
      </c>
      <c r="J21" s="61">
        <v>1000.0</v>
      </c>
      <c r="K21" s="61">
        <v>1039.0</v>
      </c>
      <c r="L21" s="61">
        <v>1078.0</v>
      </c>
      <c r="M21" s="61">
        <v>1117.0</v>
      </c>
      <c r="N21" s="61">
        <v>1156.0</v>
      </c>
      <c r="O21" s="61">
        <v>1195.0</v>
      </c>
      <c r="P21" s="61">
        <v>1234.0</v>
      </c>
      <c r="Q21" s="61">
        <v>1273.0</v>
      </c>
      <c r="R21" s="61">
        <v>1312.0</v>
      </c>
      <c r="S21" s="61">
        <v>1351.0</v>
      </c>
      <c r="T21" s="61">
        <v>1390.0</v>
      </c>
      <c r="U21" s="61">
        <v>1429.0</v>
      </c>
      <c r="V21" s="61">
        <v>1468.0</v>
      </c>
      <c r="W21" s="61">
        <v>1507.0</v>
      </c>
      <c r="X21" s="61">
        <v>1546.0</v>
      </c>
      <c r="Y21" s="61">
        <v>1585.0</v>
      </c>
      <c r="Z21" s="61">
        <v>1624.0</v>
      </c>
      <c r="AA21" s="61">
        <v>1663.0</v>
      </c>
      <c r="AB21" s="61">
        <v>1702.0</v>
      </c>
      <c r="AC21" s="61">
        <v>1741.0</v>
      </c>
      <c r="AD21" s="61">
        <v>1780.0</v>
      </c>
      <c r="AE21" s="61">
        <v>1819.0</v>
      </c>
      <c r="AF21" s="61">
        <v>1858.0</v>
      </c>
      <c r="AG21" s="61">
        <v>1897.0</v>
      </c>
      <c r="AH21" s="61">
        <v>1936.0</v>
      </c>
      <c r="AI21" s="61">
        <v>1975.0</v>
      </c>
      <c r="AJ21" s="61">
        <v>2014.0</v>
      </c>
      <c r="AK21" s="61">
        <v>2053.0</v>
      </c>
      <c r="AL21" s="61">
        <v>2092.0</v>
      </c>
      <c r="AM21" s="61">
        <v>2131.0</v>
      </c>
      <c r="AN21" s="61">
        <v>2170.0</v>
      </c>
      <c r="AO21" s="61">
        <v>2209.0</v>
      </c>
      <c r="AP21" s="61">
        <v>2248.0</v>
      </c>
      <c r="AQ21" s="61">
        <v>2287.0</v>
      </c>
      <c r="AR21" s="61">
        <v>2326.0</v>
      </c>
      <c r="AS21" s="61">
        <v>2365.0</v>
      </c>
      <c r="AT21" s="17">
        <v>55.0</v>
      </c>
    </row>
    <row r="22">
      <c r="A22" s="17">
        <v>17.0</v>
      </c>
      <c r="B22" s="61">
        <v>731.0</v>
      </c>
      <c r="C22" s="61">
        <v>768.0</v>
      </c>
      <c r="D22" s="61">
        <v>805.0</v>
      </c>
      <c r="E22" s="61">
        <v>842.0</v>
      </c>
      <c r="F22" s="61">
        <v>879.0</v>
      </c>
      <c r="G22" s="61">
        <v>916.0</v>
      </c>
      <c r="H22" s="61">
        <v>953.0</v>
      </c>
      <c r="I22" s="61">
        <v>990.0</v>
      </c>
      <c r="J22" s="61">
        <v>1027.0</v>
      </c>
      <c r="K22" s="61">
        <v>1064.0</v>
      </c>
      <c r="L22" s="61">
        <v>1101.0</v>
      </c>
      <c r="M22" s="61">
        <v>1138.0</v>
      </c>
      <c r="N22" s="61">
        <v>1175.0</v>
      </c>
      <c r="O22" s="61">
        <v>1212.0</v>
      </c>
      <c r="P22" s="61">
        <v>1249.0</v>
      </c>
      <c r="Q22" s="61">
        <v>1286.0</v>
      </c>
      <c r="R22" s="61">
        <v>1323.0</v>
      </c>
      <c r="S22" s="61">
        <v>1360.0</v>
      </c>
      <c r="T22" s="61">
        <v>1397.0</v>
      </c>
      <c r="U22" s="61">
        <v>1434.0</v>
      </c>
      <c r="V22" s="61">
        <v>1471.0</v>
      </c>
      <c r="W22" s="61">
        <v>1508.0</v>
      </c>
      <c r="X22" s="61">
        <v>1545.0</v>
      </c>
      <c r="Y22" s="61">
        <v>1582.0</v>
      </c>
      <c r="Z22" s="61">
        <v>1619.0</v>
      </c>
      <c r="AA22" s="61">
        <v>1656.0</v>
      </c>
      <c r="AB22" s="61">
        <v>1693.0</v>
      </c>
      <c r="AC22" s="61">
        <v>1730.0</v>
      </c>
      <c r="AD22" s="61">
        <v>1767.0</v>
      </c>
      <c r="AE22" s="61">
        <v>1804.0</v>
      </c>
      <c r="AF22" s="61">
        <v>1841.0</v>
      </c>
      <c r="AG22" s="61">
        <v>1878.0</v>
      </c>
      <c r="AH22" s="61">
        <v>1915.0</v>
      </c>
      <c r="AI22" s="61">
        <v>1952.0</v>
      </c>
      <c r="AJ22" s="61">
        <v>1989.0</v>
      </c>
      <c r="AK22" s="61">
        <v>2026.0</v>
      </c>
      <c r="AL22" s="61">
        <v>2063.0</v>
      </c>
      <c r="AM22" s="61">
        <v>2100.0</v>
      </c>
      <c r="AN22" s="61">
        <v>2137.0</v>
      </c>
      <c r="AO22" s="61">
        <v>2174.0</v>
      </c>
      <c r="AP22" s="61">
        <v>2211.0</v>
      </c>
      <c r="AQ22" s="61">
        <v>2248.0</v>
      </c>
      <c r="AR22" s="61">
        <v>2285.0</v>
      </c>
      <c r="AS22" s="61">
        <v>2322.0</v>
      </c>
      <c r="AT22" s="17">
        <v>54.0</v>
      </c>
    </row>
    <row r="23">
      <c r="A23" s="17">
        <v>18.0</v>
      </c>
      <c r="B23" s="61">
        <v>774.0</v>
      </c>
      <c r="C23" s="61">
        <v>809.0</v>
      </c>
      <c r="D23" s="61">
        <v>844.0</v>
      </c>
      <c r="E23" s="61">
        <v>879.0</v>
      </c>
      <c r="F23" s="61">
        <v>914.0</v>
      </c>
      <c r="G23" s="61">
        <v>949.0</v>
      </c>
      <c r="H23" s="61">
        <v>984.0</v>
      </c>
      <c r="I23" s="61">
        <v>1019.0</v>
      </c>
      <c r="J23" s="61">
        <v>1054.0</v>
      </c>
      <c r="K23" s="61">
        <v>1089.0</v>
      </c>
      <c r="L23" s="61">
        <v>1124.0</v>
      </c>
      <c r="M23" s="61">
        <v>1159.0</v>
      </c>
      <c r="N23" s="61">
        <v>1194.0</v>
      </c>
      <c r="O23" s="61">
        <v>1229.0</v>
      </c>
      <c r="P23" s="61">
        <v>1264.0</v>
      </c>
      <c r="Q23" s="61">
        <v>1299.0</v>
      </c>
      <c r="R23" s="61">
        <v>1334.0</v>
      </c>
      <c r="S23" s="61">
        <v>1369.0</v>
      </c>
      <c r="T23" s="61">
        <v>1404.0</v>
      </c>
      <c r="U23" s="61">
        <v>1439.0</v>
      </c>
      <c r="V23" s="61">
        <v>1474.0</v>
      </c>
      <c r="W23" s="61">
        <v>1509.0</v>
      </c>
      <c r="X23" s="61">
        <v>1544.0</v>
      </c>
      <c r="Y23" s="61">
        <v>1579.0</v>
      </c>
      <c r="Z23" s="61">
        <v>1614.0</v>
      </c>
      <c r="AA23" s="61">
        <v>1649.0</v>
      </c>
      <c r="AB23" s="61">
        <v>1684.0</v>
      </c>
      <c r="AC23" s="61">
        <v>1719.0</v>
      </c>
      <c r="AD23" s="61">
        <v>1754.0</v>
      </c>
      <c r="AE23" s="61">
        <v>1789.0</v>
      </c>
      <c r="AF23" s="61">
        <v>1824.0</v>
      </c>
      <c r="AG23" s="61">
        <v>1859.0</v>
      </c>
      <c r="AH23" s="61">
        <v>1894.0</v>
      </c>
      <c r="AI23" s="61">
        <v>1929.0</v>
      </c>
      <c r="AJ23" s="61">
        <v>1964.0</v>
      </c>
      <c r="AK23" s="61">
        <v>1999.0</v>
      </c>
      <c r="AL23" s="61">
        <v>2034.0</v>
      </c>
      <c r="AM23" s="61">
        <v>2069.0</v>
      </c>
      <c r="AN23" s="61">
        <v>2104.0</v>
      </c>
      <c r="AO23" s="61">
        <v>2139.0</v>
      </c>
      <c r="AP23" s="61">
        <v>2174.0</v>
      </c>
      <c r="AQ23" s="61">
        <v>2209.0</v>
      </c>
      <c r="AR23" s="61">
        <v>2244.0</v>
      </c>
      <c r="AS23" s="61">
        <v>2279.0</v>
      </c>
      <c r="AT23" s="17">
        <v>53.0</v>
      </c>
    </row>
    <row r="24">
      <c r="A24" s="17">
        <v>19.0</v>
      </c>
      <c r="B24" s="61">
        <v>817.0</v>
      </c>
      <c r="C24" s="61">
        <v>850.0</v>
      </c>
      <c r="D24" s="61">
        <v>883.0</v>
      </c>
      <c r="E24" s="61">
        <v>916.0</v>
      </c>
      <c r="F24" s="61">
        <v>949.0</v>
      </c>
      <c r="G24" s="61">
        <v>982.0</v>
      </c>
      <c r="H24" s="61">
        <v>1015.0</v>
      </c>
      <c r="I24" s="61">
        <v>1048.0</v>
      </c>
      <c r="J24" s="61">
        <v>1081.0</v>
      </c>
      <c r="K24" s="61">
        <v>1114.0</v>
      </c>
      <c r="L24" s="61">
        <v>1147.0</v>
      </c>
      <c r="M24" s="61">
        <v>1180.0</v>
      </c>
      <c r="N24" s="61">
        <v>1213.0</v>
      </c>
      <c r="O24" s="61">
        <v>1246.0</v>
      </c>
      <c r="P24" s="61">
        <v>1279.0</v>
      </c>
      <c r="Q24" s="61">
        <v>1312.0</v>
      </c>
      <c r="R24" s="61">
        <v>1345.0</v>
      </c>
      <c r="S24" s="61">
        <v>1378.0</v>
      </c>
      <c r="T24" s="61">
        <v>1411.0</v>
      </c>
      <c r="U24" s="61">
        <v>1444.0</v>
      </c>
      <c r="V24" s="61">
        <v>1477.0</v>
      </c>
      <c r="W24" s="61">
        <v>1510.0</v>
      </c>
      <c r="X24" s="61">
        <v>1543.0</v>
      </c>
      <c r="Y24" s="61">
        <v>1576.0</v>
      </c>
      <c r="Z24" s="61">
        <v>1609.0</v>
      </c>
      <c r="AA24" s="61">
        <v>1642.0</v>
      </c>
      <c r="AB24" s="61">
        <v>1675.0</v>
      </c>
      <c r="AC24" s="61">
        <v>1708.0</v>
      </c>
      <c r="AD24" s="61">
        <v>1741.0</v>
      </c>
      <c r="AE24" s="61">
        <v>1774.0</v>
      </c>
      <c r="AF24" s="61">
        <v>1807.0</v>
      </c>
      <c r="AG24" s="61">
        <v>1840.0</v>
      </c>
      <c r="AH24" s="61">
        <v>1873.0</v>
      </c>
      <c r="AI24" s="61">
        <v>1906.0</v>
      </c>
      <c r="AJ24" s="61">
        <v>1939.0</v>
      </c>
      <c r="AK24" s="61">
        <v>1972.0</v>
      </c>
      <c r="AL24" s="61">
        <v>2005.0</v>
      </c>
      <c r="AM24" s="61">
        <v>2038.0</v>
      </c>
      <c r="AN24" s="61">
        <v>2071.0</v>
      </c>
      <c r="AO24" s="61">
        <v>2104.0</v>
      </c>
      <c r="AP24" s="61">
        <v>2137.0</v>
      </c>
      <c r="AQ24" s="61">
        <v>2170.0</v>
      </c>
      <c r="AR24" s="61">
        <v>2203.0</v>
      </c>
      <c r="AS24" s="61">
        <v>2236.0</v>
      </c>
      <c r="AT24" s="17">
        <v>52.0</v>
      </c>
    </row>
    <row r="25">
      <c r="A25" s="17">
        <v>20.0</v>
      </c>
      <c r="B25" s="61">
        <v>860.0</v>
      </c>
      <c r="C25" s="61">
        <v>891.0</v>
      </c>
      <c r="D25" s="61">
        <v>922.0</v>
      </c>
      <c r="E25" s="61">
        <v>953.0</v>
      </c>
      <c r="F25" s="61">
        <v>984.0</v>
      </c>
      <c r="G25" s="61">
        <v>1015.0</v>
      </c>
      <c r="H25" s="61">
        <v>1046.0</v>
      </c>
      <c r="I25" s="61">
        <v>1077.0</v>
      </c>
      <c r="J25" s="61">
        <v>1108.0</v>
      </c>
      <c r="K25" s="61">
        <v>1139.0</v>
      </c>
      <c r="L25" s="61">
        <v>1170.0</v>
      </c>
      <c r="M25" s="61">
        <v>1201.0</v>
      </c>
      <c r="N25" s="61">
        <v>1232.0</v>
      </c>
      <c r="O25" s="61">
        <v>1263.0</v>
      </c>
      <c r="P25" s="61">
        <v>1294.0</v>
      </c>
      <c r="Q25" s="61">
        <v>1325.0</v>
      </c>
      <c r="R25" s="61">
        <v>1356.0</v>
      </c>
      <c r="S25" s="61">
        <v>1387.0</v>
      </c>
      <c r="T25" s="61">
        <v>1418.0</v>
      </c>
      <c r="U25" s="61">
        <v>1449.0</v>
      </c>
      <c r="V25" s="61">
        <v>1480.0</v>
      </c>
      <c r="W25" s="61">
        <v>1511.0</v>
      </c>
      <c r="X25" s="61">
        <v>1542.0</v>
      </c>
      <c r="Y25" s="61">
        <v>1573.0</v>
      </c>
      <c r="Z25" s="61">
        <v>1604.0</v>
      </c>
      <c r="AA25" s="61">
        <v>1635.0</v>
      </c>
      <c r="AB25" s="61">
        <v>1666.0</v>
      </c>
      <c r="AC25" s="61">
        <v>1697.0</v>
      </c>
      <c r="AD25" s="61">
        <v>1728.0</v>
      </c>
      <c r="AE25" s="61">
        <v>1759.0</v>
      </c>
      <c r="AF25" s="61">
        <v>1790.0</v>
      </c>
      <c r="AG25" s="61">
        <v>1821.0</v>
      </c>
      <c r="AH25" s="61">
        <v>1852.0</v>
      </c>
      <c r="AI25" s="61">
        <v>1883.0</v>
      </c>
      <c r="AJ25" s="61">
        <v>1914.0</v>
      </c>
      <c r="AK25" s="61">
        <v>1945.0</v>
      </c>
      <c r="AL25" s="61">
        <v>1976.0</v>
      </c>
      <c r="AM25" s="61">
        <v>2007.0</v>
      </c>
      <c r="AN25" s="61">
        <v>2038.0</v>
      </c>
      <c r="AO25" s="61">
        <v>2069.0</v>
      </c>
      <c r="AP25" s="61">
        <v>2100.0</v>
      </c>
      <c r="AQ25" s="61">
        <v>2131.0</v>
      </c>
      <c r="AR25" s="61">
        <v>2162.0</v>
      </c>
      <c r="AS25" s="61">
        <v>2193.0</v>
      </c>
      <c r="AT25" s="17">
        <v>51.0</v>
      </c>
    </row>
    <row r="26">
      <c r="A26" s="17">
        <v>21.0</v>
      </c>
      <c r="B26" s="61">
        <v>903.0</v>
      </c>
      <c r="C26" s="61">
        <v>932.0</v>
      </c>
      <c r="D26" s="61">
        <v>961.0</v>
      </c>
      <c r="E26" s="61">
        <v>990.0</v>
      </c>
      <c r="F26" s="61">
        <v>1019.0</v>
      </c>
      <c r="G26" s="61">
        <v>1048.0</v>
      </c>
      <c r="H26" s="61">
        <v>1077.0</v>
      </c>
      <c r="I26" s="61">
        <v>1106.0</v>
      </c>
      <c r="J26" s="61">
        <v>1135.0</v>
      </c>
      <c r="K26" s="61">
        <v>1164.0</v>
      </c>
      <c r="L26" s="61">
        <v>1193.0</v>
      </c>
      <c r="M26" s="61">
        <v>1222.0</v>
      </c>
      <c r="N26" s="61">
        <v>1251.0</v>
      </c>
      <c r="O26" s="61">
        <v>1280.0</v>
      </c>
      <c r="P26" s="61">
        <v>1309.0</v>
      </c>
      <c r="Q26" s="61">
        <v>1338.0</v>
      </c>
      <c r="R26" s="61">
        <v>1367.0</v>
      </c>
      <c r="S26" s="61">
        <v>1396.0</v>
      </c>
      <c r="T26" s="61">
        <v>1425.0</v>
      </c>
      <c r="U26" s="61">
        <v>1454.0</v>
      </c>
      <c r="V26" s="61">
        <v>1483.0</v>
      </c>
      <c r="W26" s="61">
        <v>1512.0</v>
      </c>
      <c r="X26" s="61">
        <v>1541.0</v>
      </c>
      <c r="Y26" s="61">
        <v>1570.0</v>
      </c>
      <c r="Z26" s="61">
        <v>1599.0</v>
      </c>
      <c r="AA26" s="61">
        <v>1628.0</v>
      </c>
      <c r="AB26" s="61">
        <v>1657.0</v>
      </c>
      <c r="AC26" s="61">
        <v>1686.0</v>
      </c>
      <c r="AD26" s="61">
        <v>1715.0</v>
      </c>
      <c r="AE26" s="61">
        <v>1744.0</v>
      </c>
      <c r="AF26" s="61">
        <v>1773.0</v>
      </c>
      <c r="AG26" s="61">
        <v>1802.0</v>
      </c>
      <c r="AH26" s="61">
        <v>1831.0</v>
      </c>
      <c r="AI26" s="61">
        <v>1860.0</v>
      </c>
      <c r="AJ26" s="61">
        <v>1889.0</v>
      </c>
      <c r="AK26" s="61">
        <v>1918.0</v>
      </c>
      <c r="AL26" s="61">
        <v>1947.0</v>
      </c>
      <c r="AM26" s="61">
        <v>1976.0</v>
      </c>
      <c r="AN26" s="61">
        <v>2005.0</v>
      </c>
      <c r="AO26" s="61">
        <v>2034.0</v>
      </c>
      <c r="AP26" s="61">
        <v>2063.0</v>
      </c>
      <c r="AQ26" s="61">
        <v>2092.0</v>
      </c>
      <c r="AR26" s="61">
        <v>2121.0</v>
      </c>
      <c r="AS26" s="61">
        <v>2150.0</v>
      </c>
      <c r="AT26" s="17">
        <v>50.0</v>
      </c>
    </row>
    <row r="27">
      <c r="A27" s="17">
        <v>22.0</v>
      </c>
      <c r="B27" s="61">
        <v>946.0</v>
      </c>
      <c r="C27" s="61">
        <v>973.0</v>
      </c>
      <c r="D27" s="61">
        <v>1000.0</v>
      </c>
      <c r="E27" s="61">
        <v>1027.0</v>
      </c>
      <c r="F27" s="61">
        <v>1054.0</v>
      </c>
      <c r="G27" s="61">
        <v>1081.0</v>
      </c>
      <c r="H27" s="61">
        <v>1108.0</v>
      </c>
      <c r="I27" s="61">
        <v>1135.0</v>
      </c>
      <c r="J27" s="61">
        <v>1162.0</v>
      </c>
      <c r="K27" s="61">
        <v>1189.0</v>
      </c>
      <c r="L27" s="61">
        <v>1216.0</v>
      </c>
      <c r="M27" s="61">
        <v>1243.0</v>
      </c>
      <c r="N27" s="61">
        <v>1270.0</v>
      </c>
      <c r="O27" s="61">
        <v>1297.0</v>
      </c>
      <c r="P27" s="61">
        <v>1324.0</v>
      </c>
      <c r="Q27" s="61">
        <v>1351.0</v>
      </c>
      <c r="R27" s="61">
        <v>1378.0</v>
      </c>
      <c r="S27" s="61">
        <v>1405.0</v>
      </c>
      <c r="T27" s="61">
        <v>1432.0</v>
      </c>
      <c r="U27" s="61">
        <v>1459.0</v>
      </c>
      <c r="V27" s="61">
        <v>1486.0</v>
      </c>
      <c r="W27" s="61">
        <v>1513.0</v>
      </c>
      <c r="X27" s="61">
        <v>1540.0</v>
      </c>
      <c r="Y27" s="61">
        <v>1567.0</v>
      </c>
      <c r="Z27" s="61">
        <v>1594.0</v>
      </c>
      <c r="AA27" s="61">
        <v>1621.0</v>
      </c>
      <c r="AB27" s="61">
        <v>1648.0</v>
      </c>
      <c r="AC27" s="61">
        <v>1675.0</v>
      </c>
      <c r="AD27" s="61">
        <v>1702.0</v>
      </c>
      <c r="AE27" s="61">
        <v>1729.0</v>
      </c>
      <c r="AF27" s="61">
        <v>1756.0</v>
      </c>
      <c r="AG27" s="61">
        <v>1783.0</v>
      </c>
      <c r="AH27" s="61">
        <v>1810.0</v>
      </c>
      <c r="AI27" s="61">
        <v>1837.0</v>
      </c>
      <c r="AJ27" s="61">
        <v>1864.0</v>
      </c>
      <c r="AK27" s="61">
        <v>1891.0</v>
      </c>
      <c r="AL27" s="61">
        <v>1918.0</v>
      </c>
      <c r="AM27" s="61">
        <v>1945.0</v>
      </c>
      <c r="AN27" s="61">
        <v>1972.0</v>
      </c>
      <c r="AO27" s="61">
        <v>1999.0</v>
      </c>
      <c r="AP27" s="61">
        <v>2026.0</v>
      </c>
      <c r="AQ27" s="61">
        <v>2053.0</v>
      </c>
      <c r="AR27" s="61">
        <v>2080.0</v>
      </c>
      <c r="AS27" s="61">
        <v>2107.0</v>
      </c>
      <c r="AT27" s="17">
        <v>49.0</v>
      </c>
    </row>
    <row r="28">
      <c r="A28" s="17">
        <v>23.0</v>
      </c>
      <c r="B28" s="61">
        <v>989.0</v>
      </c>
      <c r="C28" s="61">
        <v>1014.0</v>
      </c>
      <c r="D28" s="61">
        <v>1039.0</v>
      </c>
      <c r="E28" s="61">
        <v>1064.0</v>
      </c>
      <c r="F28" s="61">
        <v>1089.0</v>
      </c>
      <c r="G28" s="61">
        <v>1114.0</v>
      </c>
      <c r="H28" s="61">
        <v>1139.0</v>
      </c>
      <c r="I28" s="61">
        <v>1164.0</v>
      </c>
      <c r="J28" s="61">
        <v>1189.0</v>
      </c>
      <c r="K28" s="61">
        <v>1214.0</v>
      </c>
      <c r="L28" s="61">
        <v>1239.0</v>
      </c>
      <c r="M28" s="61">
        <v>1264.0</v>
      </c>
      <c r="N28" s="61">
        <v>1289.0</v>
      </c>
      <c r="O28" s="61">
        <v>1314.0</v>
      </c>
      <c r="P28" s="61">
        <v>1339.0</v>
      </c>
      <c r="Q28" s="61">
        <v>1364.0</v>
      </c>
      <c r="R28" s="61">
        <v>1389.0</v>
      </c>
      <c r="S28" s="61">
        <v>1414.0</v>
      </c>
      <c r="T28" s="61">
        <v>1439.0</v>
      </c>
      <c r="U28" s="61">
        <v>1464.0</v>
      </c>
      <c r="V28" s="61">
        <v>1489.0</v>
      </c>
      <c r="W28" s="61">
        <v>1514.0</v>
      </c>
      <c r="X28" s="61">
        <v>1539.0</v>
      </c>
      <c r="Y28" s="61">
        <v>1564.0</v>
      </c>
      <c r="Z28" s="61">
        <v>1589.0</v>
      </c>
      <c r="AA28" s="61">
        <v>1614.0</v>
      </c>
      <c r="AB28" s="61">
        <v>1639.0</v>
      </c>
      <c r="AC28" s="61">
        <v>1664.0</v>
      </c>
      <c r="AD28" s="61">
        <v>1689.0</v>
      </c>
      <c r="AE28" s="61">
        <v>1714.0</v>
      </c>
      <c r="AF28" s="61">
        <v>1739.0</v>
      </c>
      <c r="AG28" s="61">
        <v>1764.0</v>
      </c>
      <c r="AH28" s="61">
        <v>1789.0</v>
      </c>
      <c r="AI28" s="61">
        <v>1814.0</v>
      </c>
      <c r="AJ28" s="61">
        <v>1839.0</v>
      </c>
      <c r="AK28" s="61">
        <v>1864.0</v>
      </c>
      <c r="AL28" s="61">
        <v>1889.0</v>
      </c>
      <c r="AM28" s="61">
        <v>1914.0</v>
      </c>
      <c r="AN28" s="61">
        <v>1939.0</v>
      </c>
      <c r="AO28" s="61">
        <v>1964.0</v>
      </c>
      <c r="AP28" s="61">
        <v>1989.0</v>
      </c>
      <c r="AQ28" s="61">
        <v>2014.0</v>
      </c>
      <c r="AR28" s="61">
        <v>2039.0</v>
      </c>
      <c r="AS28" s="61">
        <v>2064.0</v>
      </c>
      <c r="AT28" s="17">
        <v>48.0</v>
      </c>
    </row>
    <row r="29">
      <c r="A29" s="17">
        <v>24.0</v>
      </c>
      <c r="B29" s="61">
        <v>1032.0</v>
      </c>
      <c r="C29" s="61">
        <v>1055.0</v>
      </c>
      <c r="D29" s="61">
        <v>1078.0</v>
      </c>
      <c r="E29" s="61">
        <v>1101.0</v>
      </c>
      <c r="F29" s="61">
        <v>1124.0</v>
      </c>
      <c r="G29" s="61">
        <v>1147.0</v>
      </c>
      <c r="H29" s="61">
        <v>1170.0</v>
      </c>
      <c r="I29" s="61">
        <v>1193.0</v>
      </c>
      <c r="J29" s="61">
        <v>1216.0</v>
      </c>
      <c r="K29" s="61">
        <v>1239.0</v>
      </c>
      <c r="L29" s="61">
        <v>1262.0</v>
      </c>
      <c r="M29" s="61">
        <v>1285.0</v>
      </c>
      <c r="N29" s="61">
        <v>1308.0</v>
      </c>
      <c r="O29" s="61">
        <v>1331.0</v>
      </c>
      <c r="P29" s="61">
        <v>1354.0</v>
      </c>
      <c r="Q29" s="61">
        <v>1377.0</v>
      </c>
      <c r="R29" s="61">
        <v>1400.0</v>
      </c>
      <c r="S29" s="61">
        <v>1423.0</v>
      </c>
      <c r="T29" s="61">
        <v>1446.0</v>
      </c>
      <c r="U29" s="61">
        <v>1469.0</v>
      </c>
      <c r="V29" s="61">
        <v>1492.0</v>
      </c>
      <c r="W29" s="60">
        <v>1515.0</v>
      </c>
      <c r="X29" s="60">
        <v>1538.0</v>
      </c>
      <c r="Y29" s="61">
        <v>1561.0</v>
      </c>
      <c r="Z29" s="61">
        <v>1584.0</v>
      </c>
      <c r="AA29" s="61">
        <v>1607.0</v>
      </c>
      <c r="AB29" s="61">
        <v>1630.0</v>
      </c>
      <c r="AC29" s="61">
        <v>1653.0</v>
      </c>
      <c r="AD29" s="61">
        <v>1676.0</v>
      </c>
      <c r="AE29" s="61">
        <v>1699.0</v>
      </c>
      <c r="AF29" s="61">
        <v>1722.0</v>
      </c>
      <c r="AG29" s="61">
        <v>1745.0</v>
      </c>
      <c r="AH29" s="61">
        <v>1768.0</v>
      </c>
      <c r="AI29" s="61">
        <v>1791.0</v>
      </c>
      <c r="AJ29" s="61">
        <v>1814.0</v>
      </c>
      <c r="AK29" s="61">
        <v>1837.0</v>
      </c>
      <c r="AL29" s="61">
        <v>1860.0</v>
      </c>
      <c r="AM29" s="61">
        <v>1883.0</v>
      </c>
      <c r="AN29" s="61">
        <v>1906.0</v>
      </c>
      <c r="AO29" s="61">
        <v>1929.0</v>
      </c>
      <c r="AP29" s="61">
        <v>1952.0</v>
      </c>
      <c r="AQ29" s="61">
        <v>1975.0</v>
      </c>
      <c r="AR29" s="61">
        <v>1998.0</v>
      </c>
      <c r="AS29" s="61">
        <v>2021.0</v>
      </c>
      <c r="AT29" s="17">
        <v>47.0</v>
      </c>
    </row>
    <row r="30">
      <c r="A30" s="17">
        <v>25.0</v>
      </c>
      <c r="B30" s="61">
        <v>1075.0</v>
      </c>
      <c r="C30" s="61">
        <v>1096.0</v>
      </c>
      <c r="D30" s="61">
        <v>1117.0</v>
      </c>
      <c r="E30" s="61">
        <v>1138.0</v>
      </c>
      <c r="F30" s="61">
        <v>1159.0</v>
      </c>
      <c r="G30" s="61">
        <v>1180.0</v>
      </c>
      <c r="H30" s="61">
        <v>1201.0</v>
      </c>
      <c r="I30" s="61">
        <v>1222.0</v>
      </c>
      <c r="J30" s="61">
        <v>1243.0</v>
      </c>
      <c r="K30" s="61">
        <v>1264.0</v>
      </c>
      <c r="L30" s="61">
        <v>1285.0</v>
      </c>
      <c r="M30" s="61">
        <v>1306.0</v>
      </c>
      <c r="N30" s="61">
        <v>1327.0</v>
      </c>
      <c r="O30" s="61">
        <v>1348.0</v>
      </c>
      <c r="P30" s="61">
        <v>1369.0</v>
      </c>
      <c r="Q30" s="61">
        <v>1390.0</v>
      </c>
      <c r="R30" s="61">
        <v>1411.0</v>
      </c>
      <c r="S30" s="61">
        <v>1432.0</v>
      </c>
      <c r="T30" s="61">
        <v>1453.0</v>
      </c>
      <c r="U30" s="61">
        <v>1474.0</v>
      </c>
      <c r="V30" s="61">
        <v>1495.0</v>
      </c>
      <c r="W30" s="60">
        <v>1516.0</v>
      </c>
      <c r="X30" s="60">
        <v>1537.0</v>
      </c>
      <c r="Y30" s="61">
        <v>1558.0</v>
      </c>
      <c r="Z30" s="61">
        <v>1579.0</v>
      </c>
      <c r="AA30" s="61">
        <v>1600.0</v>
      </c>
      <c r="AB30" s="61">
        <v>1621.0</v>
      </c>
      <c r="AC30" s="61">
        <v>1642.0</v>
      </c>
      <c r="AD30" s="61">
        <v>1663.0</v>
      </c>
      <c r="AE30" s="61">
        <v>1684.0</v>
      </c>
      <c r="AF30" s="61">
        <v>1705.0</v>
      </c>
      <c r="AG30" s="61">
        <v>1726.0</v>
      </c>
      <c r="AH30" s="61">
        <v>1747.0</v>
      </c>
      <c r="AI30" s="61">
        <v>1768.0</v>
      </c>
      <c r="AJ30" s="61">
        <v>1789.0</v>
      </c>
      <c r="AK30" s="61">
        <v>1810.0</v>
      </c>
      <c r="AL30" s="61">
        <v>1831.0</v>
      </c>
      <c r="AM30" s="61">
        <v>1852.0</v>
      </c>
      <c r="AN30" s="61">
        <v>1873.0</v>
      </c>
      <c r="AO30" s="61">
        <v>1894.0</v>
      </c>
      <c r="AP30" s="61">
        <v>1915.0</v>
      </c>
      <c r="AQ30" s="61">
        <v>1936.0</v>
      </c>
      <c r="AR30" s="61">
        <v>1957.0</v>
      </c>
      <c r="AS30" s="61">
        <v>1978.0</v>
      </c>
      <c r="AT30" s="17">
        <v>46.0</v>
      </c>
    </row>
    <row r="31">
      <c r="A31" s="17">
        <v>26.0</v>
      </c>
      <c r="B31" s="61">
        <v>1118.0</v>
      </c>
      <c r="C31" s="61">
        <v>1137.0</v>
      </c>
      <c r="D31" s="61">
        <v>1156.0</v>
      </c>
      <c r="E31" s="61">
        <v>1175.0</v>
      </c>
      <c r="F31" s="61">
        <v>1194.0</v>
      </c>
      <c r="G31" s="61">
        <v>1213.0</v>
      </c>
      <c r="H31" s="61">
        <v>1232.0</v>
      </c>
      <c r="I31" s="61">
        <v>1251.0</v>
      </c>
      <c r="J31" s="61">
        <v>1270.0</v>
      </c>
      <c r="K31" s="61">
        <v>1289.0</v>
      </c>
      <c r="L31" s="61">
        <v>1308.0</v>
      </c>
      <c r="M31" s="61">
        <v>1327.0</v>
      </c>
      <c r="N31" s="61">
        <v>1346.0</v>
      </c>
      <c r="O31" s="61">
        <v>1365.0</v>
      </c>
      <c r="P31" s="61">
        <v>1384.0</v>
      </c>
      <c r="Q31" s="61">
        <v>1403.0</v>
      </c>
      <c r="R31" s="61">
        <v>1422.0</v>
      </c>
      <c r="S31" s="61">
        <v>1441.0</v>
      </c>
      <c r="T31" s="61">
        <v>1460.0</v>
      </c>
      <c r="U31" s="61">
        <v>1479.0</v>
      </c>
      <c r="V31" s="60">
        <v>1498.0</v>
      </c>
      <c r="W31" s="60">
        <v>1517.0</v>
      </c>
      <c r="X31" s="60">
        <v>1536.0</v>
      </c>
      <c r="Y31" s="60">
        <v>1555.0</v>
      </c>
      <c r="Z31" s="61">
        <v>1574.0</v>
      </c>
      <c r="AA31" s="61">
        <v>1593.0</v>
      </c>
      <c r="AB31" s="61">
        <v>1612.0</v>
      </c>
      <c r="AC31" s="61">
        <v>1631.0</v>
      </c>
      <c r="AD31" s="61">
        <v>1650.0</v>
      </c>
      <c r="AE31" s="61">
        <v>1669.0</v>
      </c>
      <c r="AF31" s="61">
        <v>1688.0</v>
      </c>
      <c r="AG31" s="61">
        <v>1707.0</v>
      </c>
      <c r="AH31" s="61">
        <v>1726.0</v>
      </c>
      <c r="AI31" s="61">
        <v>1745.0</v>
      </c>
      <c r="AJ31" s="61">
        <v>1764.0</v>
      </c>
      <c r="AK31" s="61">
        <v>1783.0</v>
      </c>
      <c r="AL31" s="61">
        <v>1802.0</v>
      </c>
      <c r="AM31" s="61">
        <v>1821.0</v>
      </c>
      <c r="AN31" s="61">
        <v>1840.0</v>
      </c>
      <c r="AO31" s="61">
        <v>1859.0</v>
      </c>
      <c r="AP31" s="61">
        <v>1878.0</v>
      </c>
      <c r="AQ31" s="61">
        <v>1897.0</v>
      </c>
      <c r="AR31" s="61">
        <v>1916.0</v>
      </c>
      <c r="AS31" s="61">
        <v>1935.0</v>
      </c>
      <c r="AT31" s="17">
        <v>45.0</v>
      </c>
    </row>
    <row r="32">
      <c r="A32" s="17">
        <v>27.0</v>
      </c>
      <c r="B32" s="61">
        <v>1161.0</v>
      </c>
      <c r="C32" s="61">
        <v>1178.0</v>
      </c>
      <c r="D32" s="61">
        <v>1195.0</v>
      </c>
      <c r="E32" s="61">
        <v>1212.0</v>
      </c>
      <c r="F32" s="61">
        <v>1229.0</v>
      </c>
      <c r="G32" s="61">
        <v>1246.0</v>
      </c>
      <c r="H32" s="61">
        <v>1263.0</v>
      </c>
      <c r="I32" s="61">
        <v>1280.0</v>
      </c>
      <c r="J32" s="61">
        <v>1297.0</v>
      </c>
      <c r="K32" s="61">
        <v>1314.0</v>
      </c>
      <c r="L32" s="61">
        <v>1331.0</v>
      </c>
      <c r="M32" s="61">
        <v>1348.0</v>
      </c>
      <c r="N32" s="61">
        <v>1365.0</v>
      </c>
      <c r="O32" s="61">
        <v>1382.0</v>
      </c>
      <c r="P32" s="61">
        <v>1399.0</v>
      </c>
      <c r="Q32" s="61">
        <v>1416.0</v>
      </c>
      <c r="R32" s="61">
        <v>1433.0</v>
      </c>
      <c r="S32" s="61">
        <v>1450.0</v>
      </c>
      <c r="T32" s="61">
        <v>1467.0</v>
      </c>
      <c r="U32" s="61">
        <v>1484.0</v>
      </c>
      <c r="V32" s="60">
        <v>1501.0</v>
      </c>
      <c r="W32" s="60">
        <v>1518.0</v>
      </c>
      <c r="X32" s="60">
        <v>1535.0</v>
      </c>
      <c r="Y32" s="60">
        <v>1552.0</v>
      </c>
      <c r="Z32" s="61">
        <v>1569.0</v>
      </c>
      <c r="AA32" s="61">
        <v>1586.0</v>
      </c>
      <c r="AB32" s="61">
        <v>1603.0</v>
      </c>
      <c r="AC32" s="61">
        <v>1620.0</v>
      </c>
      <c r="AD32" s="61">
        <v>1637.0</v>
      </c>
      <c r="AE32" s="61">
        <v>1654.0</v>
      </c>
      <c r="AF32" s="61">
        <v>1671.0</v>
      </c>
      <c r="AG32" s="61">
        <v>1688.0</v>
      </c>
      <c r="AH32" s="61">
        <v>1705.0</v>
      </c>
      <c r="AI32" s="61">
        <v>1722.0</v>
      </c>
      <c r="AJ32" s="61">
        <v>1739.0</v>
      </c>
      <c r="AK32" s="61">
        <v>1756.0</v>
      </c>
      <c r="AL32" s="61">
        <v>1773.0</v>
      </c>
      <c r="AM32" s="61">
        <v>1790.0</v>
      </c>
      <c r="AN32" s="61">
        <v>1807.0</v>
      </c>
      <c r="AO32" s="61">
        <v>1824.0</v>
      </c>
      <c r="AP32" s="61">
        <v>1841.0</v>
      </c>
      <c r="AQ32" s="61">
        <v>1858.0</v>
      </c>
      <c r="AR32" s="61">
        <v>1875.0</v>
      </c>
      <c r="AS32" s="61">
        <v>1892.0</v>
      </c>
      <c r="AT32" s="17">
        <v>44.0</v>
      </c>
    </row>
    <row r="33">
      <c r="A33" s="17">
        <v>28.0</v>
      </c>
      <c r="B33" s="61">
        <v>1204.0</v>
      </c>
      <c r="C33" s="61">
        <v>1219.0</v>
      </c>
      <c r="D33" s="61">
        <v>1234.0</v>
      </c>
      <c r="E33" s="61">
        <v>1249.0</v>
      </c>
      <c r="F33" s="61">
        <v>1264.0</v>
      </c>
      <c r="G33" s="61">
        <v>1279.0</v>
      </c>
      <c r="H33" s="61">
        <v>1294.0</v>
      </c>
      <c r="I33" s="61">
        <v>1309.0</v>
      </c>
      <c r="J33" s="61">
        <v>1324.0</v>
      </c>
      <c r="K33" s="61">
        <v>1339.0</v>
      </c>
      <c r="L33" s="61">
        <v>1354.0</v>
      </c>
      <c r="M33" s="61">
        <v>1369.0</v>
      </c>
      <c r="N33" s="61">
        <v>1384.0</v>
      </c>
      <c r="O33" s="61">
        <v>1399.0</v>
      </c>
      <c r="P33" s="61">
        <v>1414.0</v>
      </c>
      <c r="Q33" s="61">
        <v>1429.0</v>
      </c>
      <c r="R33" s="61">
        <v>1444.0</v>
      </c>
      <c r="S33" s="61">
        <v>1459.0</v>
      </c>
      <c r="T33" s="61">
        <v>1474.0</v>
      </c>
      <c r="U33" s="63">
        <v>1489.0</v>
      </c>
      <c r="V33" s="60">
        <v>1504.0</v>
      </c>
      <c r="W33" s="60">
        <v>1519.0</v>
      </c>
      <c r="X33" s="60">
        <v>1534.0</v>
      </c>
      <c r="Y33" s="60">
        <v>1549.0</v>
      </c>
      <c r="Z33" s="60">
        <v>1564.0</v>
      </c>
      <c r="AA33" s="61">
        <v>1579.0</v>
      </c>
      <c r="AB33" s="61">
        <v>1594.0</v>
      </c>
      <c r="AC33" s="61">
        <v>1609.0</v>
      </c>
      <c r="AD33" s="61">
        <v>1624.0</v>
      </c>
      <c r="AE33" s="61">
        <v>1639.0</v>
      </c>
      <c r="AF33" s="61">
        <v>1654.0</v>
      </c>
      <c r="AG33" s="61">
        <v>1669.0</v>
      </c>
      <c r="AH33" s="61">
        <v>1684.0</v>
      </c>
      <c r="AI33" s="61">
        <v>1699.0</v>
      </c>
      <c r="AJ33" s="61">
        <v>1714.0</v>
      </c>
      <c r="AK33" s="61">
        <v>1729.0</v>
      </c>
      <c r="AL33" s="61">
        <v>1744.0</v>
      </c>
      <c r="AM33" s="61">
        <v>1759.0</v>
      </c>
      <c r="AN33" s="61">
        <v>1774.0</v>
      </c>
      <c r="AO33" s="61">
        <v>1789.0</v>
      </c>
      <c r="AP33" s="61">
        <v>1804.0</v>
      </c>
      <c r="AQ33" s="61">
        <v>1819.0</v>
      </c>
      <c r="AR33" s="61">
        <v>1834.0</v>
      </c>
      <c r="AS33" s="61">
        <v>1849.0</v>
      </c>
      <c r="AT33" s="17">
        <v>43.0</v>
      </c>
    </row>
    <row r="34">
      <c r="A34" s="17">
        <v>29.0</v>
      </c>
      <c r="B34" s="61">
        <v>1247.0</v>
      </c>
      <c r="C34" s="61">
        <v>1260.0</v>
      </c>
      <c r="D34" s="61">
        <v>1273.0</v>
      </c>
      <c r="E34" s="61">
        <v>1286.0</v>
      </c>
      <c r="F34" s="61">
        <v>1299.0</v>
      </c>
      <c r="G34" s="61">
        <v>1312.0</v>
      </c>
      <c r="H34" s="61">
        <v>1325.0</v>
      </c>
      <c r="I34" s="61">
        <v>1338.0</v>
      </c>
      <c r="J34" s="61">
        <v>1351.0</v>
      </c>
      <c r="K34" s="61">
        <v>1364.0</v>
      </c>
      <c r="L34" s="61">
        <v>1377.0</v>
      </c>
      <c r="M34" s="61">
        <v>1390.0</v>
      </c>
      <c r="N34" s="61">
        <v>1403.0</v>
      </c>
      <c r="O34" s="61">
        <v>1416.0</v>
      </c>
      <c r="P34" s="61">
        <v>1429.0</v>
      </c>
      <c r="Q34" s="61">
        <v>1442.0</v>
      </c>
      <c r="R34" s="61">
        <v>1455.0</v>
      </c>
      <c r="S34" s="61">
        <v>1468.0</v>
      </c>
      <c r="T34" s="61">
        <v>1481.0</v>
      </c>
      <c r="U34" s="60">
        <v>1494.0</v>
      </c>
      <c r="V34" s="60">
        <v>1507.0</v>
      </c>
      <c r="W34" s="60">
        <v>1520.0</v>
      </c>
      <c r="X34" s="60">
        <v>1533.0</v>
      </c>
      <c r="Y34" s="60">
        <v>1546.0</v>
      </c>
      <c r="Z34" s="60">
        <v>1559.0</v>
      </c>
      <c r="AA34" s="61">
        <v>1572.0</v>
      </c>
      <c r="AB34" s="61">
        <v>1585.0</v>
      </c>
      <c r="AC34" s="61">
        <v>1598.0</v>
      </c>
      <c r="AD34" s="61">
        <v>1611.0</v>
      </c>
      <c r="AE34" s="61">
        <v>1624.0</v>
      </c>
      <c r="AF34" s="61">
        <v>1637.0</v>
      </c>
      <c r="AG34" s="61">
        <v>1650.0</v>
      </c>
      <c r="AH34" s="61">
        <v>1663.0</v>
      </c>
      <c r="AI34" s="61">
        <v>1676.0</v>
      </c>
      <c r="AJ34" s="61">
        <v>1689.0</v>
      </c>
      <c r="AK34" s="61">
        <v>1702.0</v>
      </c>
      <c r="AL34" s="61">
        <v>1715.0</v>
      </c>
      <c r="AM34" s="61">
        <v>1728.0</v>
      </c>
      <c r="AN34" s="61">
        <v>1741.0</v>
      </c>
      <c r="AO34" s="61">
        <v>1754.0</v>
      </c>
      <c r="AP34" s="61">
        <v>1767.0</v>
      </c>
      <c r="AQ34" s="61">
        <v>1780.0</v>
      </c>
      <c r="AR34" s="61">
        <v>1793.0</v>
      </c>
      <c r="AS34" s="61">
        <v>1806.0</v>
      </c>
      <c r="AT34" s="17">
        <v>42.0</v>
      </c>
    </row>
    <row r="35">
      <c r="A35" s="17">
        <v>30.0</v>
      </c>
      <c r="B35" s="61">
        <v>1290.0</v>
      </c>
      <c r="C35" s="61">
        <v>1301.0</v>
      </c>
      <c r="D35" s="61">
        <v>1312.0</v>
      </c>
      <c r="E35" s="61">
        <v>1323.0</v>
      </c>
      <c r="F35" s="61">
        <v>1334.0</v>
      </c>
      <c r="G35" s="61">
        <v>1345.0</v>
      </c>
      <c r="H35" s="61">
        <v>1356.0</v>
      </c>
      <c r="I35" s="61">
        <v>1367.0</v>
      </c>
      <c r="J35" s="61">
        <v>1378.0</v>
      </c>
      <c r="K35" s="61">
        <v>1389.0</v>
      </c>
      <c r="L35" s="61">
        <v>1400.0</v>
      </c>
      <c r="M35" s="61">
        <v>1411.0</v>
      </c>
      <c r="N35" s="61">
        <v>1422.0</v>
      </c>
      <c r="O35" s="61">
        <v>1433.0</v>
      </c>
      <c r="P35" s="61">
        <v>1444.0</v>
      </c>
      <c r="Q35" s="61">
        <v>1455.0</v>
      </c>
      <c r="R35" s="61">
        <v>1466.0</v>
      </c>
      <c r="S35" s="61">
        <v>1477.0</v>
      </c>
      <c r="T35" s="60">
        <v>1488.0</v>
      </c>
      <c r="U35" s="60">
        <v>1499.0</v>
      </c>
      <c r="V35" s="60">
        <v>1510.0</v>
      </c>
      <c r="W35" s="60">
        <v>1521.0</v>
      </c>
      <c r="X35" s="60">
        <v>1532.0</v>
      </c>
      <c r="Y35" s="60">
        <v>1543.0</v>
      </c>
      <c r="Z35" s="60">
        <v>1554.0</v>
      </c>
      <c r="AA35" s="60">
        <v>1565.0</v>
      </c>
      <c r="AB35" s="61">
        <v>1576.0</v>
      </c>
      <c r="AC35" s="61">
        <v>1587.0</v>
      </c>
      <c r="AD35" s="61">
        <v>1598.0</v>
      </c>
      <c r="AE35" s="61">
        <v>1609.0</v>
      </c>
      <c r="AF35" s="61">
        <v>1620.0</v>
      </c>
      <c r="AG35" s="61">
        <v>1631.0</v>
      </c>
      <c r="AH35" s="61">
        <v>1642.0</v>
      </c>
      <c r="AI35" s="61">
        <v>1653.0</v>
      </c>
      <c r="AJ35" s="61">
        <v>1664.0</v>
      </c>
      <c r="AK35" s="61">
        <v>1675.0</v>
      </c>
      <c r="AL35" s="61">
        <v>1686.0</v>
      </c>
      <c r="AM35" s="61">
        <v>1697.0</v>
      </c>
      <c r="AN35" s="61">
        <v>1708.0</v>
      </c>
      <c r="AO35" s="61">
        <v>1719.0</v>
      </c>
      <c r="AP35" s="61">
        <v>1730.0</v>
      </c>
      <c r="AQ35" s="61">
        <v>1741.0</v>
      </c>
      <c r="AR35" s="61">
        <v>1752.0</v>
      </c>
      <c r="AS35" s="61">
        <v>1763.0</v>
      </c>
      <c r="AT35" s="17">
        <v>41.0</v>
      </c>
    </row>
    <row r="36">
      <c r="A36" s="17">
        <v>31.0</v>
      </c>
      <c r="B36" s="61">
        <v>1333.0</v>
      </c>
      <c r="C36" s="61">
        <v>1342.0</v>
      </c>
      <c r="D36" s="61">
        <v>1351.0</v>
      </c>
      <c r="E36" s="61">
        <v>1360.0</v>
      </c>
      <c r="F36" s="61">
        <v>1369.0</v>
      </c>
      <c r="G36" s="61">
        <v>1378.0</v>
      </c>
      <c r="H36" s="61">
        <v>1387.0</v>
      </c>
      <c r="I36" s="61">
        <v>1396.0</v>
      </c>
      <c r="J36" s="61">
        <v>1405.0</v>
      </c>
      <c r="K36" s="61">
        <v>1414.0</v>
      </c>
      <c r="L36" s="61">
        <v>1423.0</v>
      </c>
      <c r="M36" s="61">
        <v>1432.0</v>
      </c>
      <c r="N36" s="61">
        <v>1441.0</v>
      </c>
      <c r="O36" s="61">
        <v>1450.0</v>
      </c>
      <c r="P36" s="61">
        <v>1459.0</v>
      </c>
      <c r="Q36" s="61">
        <v>1468.0</v>
      </c>
      <c r="R36" s="61">
        <v>1477.0</v>
      </c>
      <c r="S36" s="60">
        <v>1486.0</v>
      </c>
      <c r="T36" s="60">
        <v>1495.0</v>
      </c>
      <c r="U36" s="60">
        <v>1504.0</v>
      </c>
      <c r="V36" s="60">
        <v>1513.0</v>
      </c>
      <c r="W36" s="60">
        <v>1522.0</v>
      </c>
      <c r="X36" s="60">
        <v>1531.0</v>
      </c>
      <c r="Y36" s="60">
        <v>1540.0</v>
      </c>
      <c r="Z36" s="60">
        <v>1549.0</v>
      </c>
      <c r="AA36" s="60">
        <v>1558.0</v>
      </c>
      <c r="AB36" s="60">
        <v>1567.0</v>
      </c>
      <c r="AC36" s="61">
        <v>1576.0</v>
      </c>
      <c r="AD36" s="61">
        <v>1585.0</v>
      </c>
      <c r="AE36" s="61">
        <v>1594.0</v>
      </c>
      <c r="AF36" s="61">
        <v>1603.0</v>
      </c>
      <c r="AG36" s="61">
        <v>1612.0</v>
      </c>
      <c r="AH36" s="61">
        <v>1621.0</v>
      </c>
      <c r="AI36" s="61">
        <v>1630.0</v>
      </c>
      <c r="AJ36" s="61">
        <v>1639.0</v>
      </c>
      <c r="AK36" s="61">
        <v>1648.0</v>
      </c>
      <c r="AL36" s="61">
        <v>1657.0</v>
      </c>
      <c r="AM36" s="61">
        <v>1666.0</v>
      </c>
      <c r="AN36" s="61">
        <v>1675.0</v>
      </c>
      <c r="AO36" s="61">
        <v>1684.0</v>
      </c>
      <c r="AP36" s="61">
        <v>1693.0</v>
      </c>
      <c r="AQ36" s="61">
        <v>1702.0</v>
      </c>
      <c r="AR36" s="61">
        <v>1711.0</v>
      </c>
      <c r="AS36" s="61">
        <v>1720.0</v>
      </c>
      <c r="AT36" s="17">
        <v>40.0</v>
      </c>
    </row>
    <row r="37">
      <c r="A37" s="17">
        <v>32.0</v>
      </c>
      <c r="B37" s="61">
        <v>1376.0</v>
      </c>
      <c r="C37" s="61">
        <v>1383.0</v>
      </c>
      <c r="D37" s="61">
        <v>1390.0</v>
      </c>
      <c r="E37" s="61">
        <v>1397.0</v>
      </c>
      <c r="F37" s="61">
        <v>1404.0</v>
      </c>
      <c r="G37" s="61">
        <v>1411.0</v>
      </c>
      <c r="H37" s="61">
        <v>1418.0</v>
      </c>
      <c r="I37" s="61">
        <v>1425.0</v>
      </c>
      <c r="J37" s="61">
        <v>1432.0</v>
      </c>
      <c r="K37" s="61">
        <v>1439.0</v>
      </c>
      <c r="L37" s="61">
        <v>1446.0</v>
      </c>
      <c r="M37" s="61">
        <v>1453.0</v>
      </c>
      <c r="N37" s="61">
        <v>1460.0</v>
      </c>
      <c r="O37" s="61">
        <v>1467.0</v>
      </c>
      <c r="P37" s="61">
        <v>1474.0</v>
      </c>
      <c r="Q37" s="61">
        <v>1481.0</v>
      </c>
      <c r="R37" s="61">
        <v>1488.0</v>
      </c>
      <c r="S37" s="60">
        <v>1495.0</v>
      </c>
      <c r="T37" s="60">
        <v>1502.0</v>
      </c>
      <c r="U37" s="60">
        <v>1509.0</v>
      </c>
      <c r="V37" s="60">
        <v>1516.0</v>
      </c>
      <c r="W37" s="60">
        <v>1523.0</v>
      </c>
      <c r="X37" s="60">
        <v>1530.0</v>
      </c>
      <c r="Y37" s="60">
        <v>1537.0</v>
      </c>
      <c r="Z37" s="60">
        <v>1544.0</v>
      </c>
      <c r="AA37" s="60">
        <v>1551.0</v>
      </c>
      <c r="AB37" s="60">
        <v>1558.0</v>
      </c>
      <c r="AC37" s="61">
        <v>1565.0</v>
      </c>
      <c r="AD37" s="61">
        <v>1572.0</v>
      </c>
      <c r="AE37" s="61">
        <v>1579.0</v>
      </c>
      <c r="AF37" s="61">
        <v>1586.0</v>
      </c>
      <c r="AG37" s="61">
        <v>1593.0</v>
      </c>
      <c r="AH37" s="61">
        <v>1600.0</v>
      </c>
      <c r="AI37" s="61">
        <v>1607.0</v>
      </c>
      <c r="AJ37" s="61">
        <v>1614.0</v>
      </c>
      <c r="AK37" s="61">
        <v>1621.0</v>
      </c>
      <c r="AL37" s="61">
        <v>1628.0</v>
      </c>
      <c r="AM37" s="61">
        <v>1635.0</v>
      </c>
      <c r="AN37" s="61">
        <v>1642.0</v>
      </c>
      <c r="AO37" s="61">
        <v>1649.0</v>
      </c>
      <c r="AP37" s="61">
        <v>1656.0</v>
      </c>
      <c r="AQ37" s="61">
        <v>1663.0</v>
      </c>
      <c r="AR37" s="61">
        <v>1670.0</v>
      </c>
      <c r="AS37" s="61">
        <v>1677.0</v>
      </c>
      <c r="AT37" s="17">
        <v>39.0</v>
      </c>
    </row>
    <row r="38">
      <c r="A38" s="17">
        <v>33.0</v>
      </c>
      <c r="B38" s="61">
        <v>1419.0</v>
      </c>
      <c r="C38" s="61">
        <v>1424.0</v>
      </c>
      <c r="D38" s="61">
        <v>1429.0</v>
      </c>
      <c r="E38" s="61">
        <v>1434.0</v>
      </c>
      <c r="F38" s="61">
        <v>1439.0</v>
      </c>
      <c r="G38" s="61">
        <v>1444.0</v>
      </c>
      <c r="H38" s="61">
        <v>1449.0</v>
      </c>
      <c r="I38" s="61">
        <v>1454.0</v>
      </c>
      <c r="J38" s="61">
        <v>1459.0</v>
      </c>
      <c r="K38" s="61">
        <v>1464.0</v>
      </c>
      <c r="L38" s="61">
        <v>1469.0</v>
      </c>
      <c r="M38" s="61">
        <v>1474.0</v>
      </c>
      <c r="N38" s="61">
        <v>1479.0</v>
      </c>
      <c r="O38" s="61">
        <v>1484.0</v>
      </c>
      <c r="P38" s="61">
        <v>1489.0</v>
      </c>
      <c r="Q38" s="61">
        <v>1494.0</v>
      </c>
      <c r="R38" s="60">
        <v>1499.0</v>
      </c>
      <c r="S38" s="60">
        <v>1504.0</v>
      </c>
      <c r="T38" s="60">
        <v>1509.0</v>
      </c>
      <c r="U38" s="60">
        <v>1514.0</v>
      </c>
      <c r="V38" s="60">
        <v>1519.0</v>
      </c>
      <c r="W38" s="60">
        <v>1524.0</v>
      </c>
      <c r="X38" s="60">
        <v>1529.0</v>
      </c>
      <c r="Y38" s="60">
        <v>1534.0</v>
      </c>
      <c r="Z38" s="60">
        <v>1539.0</v>
      </c>
      <c r="AA38" s="60">
        <v>1544.0</v>
      </c>
      <c r="AB38" s="60">
        <v>1549.0</v>
      </c>
      <c r="AC38" s="60">
        <v>1554.0</v>
      </c>
      <c r="AD38" s="61">
        <v>1559.0</v>
      </c>
      <c r="AE38" s="61">
        <v>1564.0</v>
      </c>
      <c r="AF38" s="61">
        <v>1569.0</v>
      </c>
      <c r="AG38" s="61">
        <v>1574.0</v>
      </c>
      <c r="AH38" s="61">
        <v>1579.0</v>
      </c>
      <c r="AI38" s="61">
        <v>1584.0</v>
      </c>
      <c r="AJ38" s="61">
        <v>1589.0</v>
      </c>
      <c r="AK38" s="61">
        <v>1594.0</v>
      </c>
      <c r="AL38" s="61">
        <v>1599.0</v>
      </c>
      <c r="AM38" s="61">
        <v>1604.0</v>
      </c>
      <c r="AN38" s="61">
        <v>1609.0</v>
      </c>
      <c r="AO38" s="61">
        <v>1614.0</v>
      </c>
      <c r="AP38" s="61">
        <v>1619.0</v>
      </c>
      <c r="AQ38" s="61">
        <v>1624.0</v>
      </c>
      <c r="AR38" s="61">
        <v>1629.0</v>
      </c>
      <c r="AS38" s="61">
        <v>1634.0</v>
      </c>
      <c r="AT38" s="17">
        <v>38.0</v>
      </c>
    </row>
    <row r="39">
      <c r="A39" s="17">
        <v>34.0</v>
      </c>
      <c r="B39" s="61">
        <v>1462.0</v>
      </c>
      <c r="C39" s="61">
        <v>1465.0</v>
      </c>
      <c r="D39" s="61">
        <v>1468.0</v>
      </c>
      <c r="E39" s="61">
        <v>1471.0</v>
      </c>
      <c r="F39" s="61">
        <v>1474.0</v>
      </c>
      <c r="G39" s="61">
        <v>1477.0</v>
      </c>
      <c r="H39" s="61">
        <v>1480.0</v>
      </c>
      <c r="I39" s="61">
        <v>1483.0</v>
      </c>
      <c r="J39" s="61">
        <v>1486.0</v>
      </c>
      <c r="K39" s="61">
        <v>1489.0</v>
      </c>
      <c r="L39" s="61">
        <v>1492.0</v>
      </c>
      <c r="M39" s="61">
        <v>1495.0</v>
      </c>
      <c r="N39" s="61">
        <v>1498.0</v>
      </c>
      <c r="O39" s="61">
        <v>1501.0</v>
      </c>
      <c r="P39" s="61">
        <v>1504.0</v>
      </c>
      <c r="Q39" s="60">
        <v>1507.0</v>
      </c>
      <c r="R39" s="60">
        <v>1510.0</v>
      </c>
      <c r="S39" s="60">
        <v>1513.0</v>
      </c>
      <c r="T39" s="60">
        <v>1516.0</v>
      </c>
      <c r="U39" s="60">
        <v>1519.0</v>
      </c>
      <c r="V39" s="60">
        <v>1522.0</v>
      </c>
      <c r="W39" s="60">
        <v>1525.0</v>
      </c>
      <c r="X39" s="60">
        <v>1528.0</v>
      </c>
      <c r="Y39" s="60">
        <v>1531.0</v>
      </c>
      <c r="Z39" s="60">
        <v>1534.0</v>
      </c>
      <c r="AA39" s="60">
        <v>1537.0</v>
      </c>
      <c r="AB39" s="60">
        <v>1540.0</v>
      </c>
      <c r="AC39" s="60">
        <v>1543.0</v>
      </c>
      <c r="AD39" s="60">
        <v>1546.0</v>
      </c>
      <c r="AE39" s="61">
        <v>1549.0</v>
      </c>
      <c r="AF39" s="61">
        <v>1552.0</v>
      </c>
      <c r="AG39" s="61">
        <v>1555.0</v>
      </c>
      <c r="AH39" s="61">
        <v>1558.0</v>
      </c>
      <c r="AI39" s="61">
        <v>1561.0</v>
      </c>
      <c r="AJ39" s="61">
        <v>1564.0</v>
      </c>
      <c r="AK39" s="61">
        <v>1567.0</v>
      </c>
      <c r="AL39" s="61">
        <v>1570.0</v>
      </c>
      <c r="AM39" s="61">
        <v>1573.0</v>
      </c>
      <c r="AN39" s="61">
        <v>1576.0</v>
      </c>
      <c r="AO39" s="61">
        <v>1579.0</v>
      </c>
      <c r="AP39" s="61">
        <v>1582.0</v>
      </c>
      <c r="AQ39" s="61">
        <v>1585.0</v>
      </c>
      <c r="AR39" s="61">
        <v>1588.0</v>
      </c>
      <c r="AS39" s="61">
        <v>1591.0</v>
      </c>
      <c r="AT39" s="17">
        <v>37.0</v>
      </c>
    </row>
    <row r="40">
      <c r="A40" s="17">
        <v>35.0</v>
      </c>
      <c r="B40" s="61">
        <v>1505.0</v>
      </c>
      <c r="C40" s="61">
        <v>1506.0</v>
      </c>
      <c r="D40" s="61">
        <v>1507.0</v>
      </c>
      <c r="E40" s="61">
        <v>1508.0</v>
      </c>
      <c r="F40" s="61">
        <v>1509.0</v>
      </c>
      <c r="G40" s="61">
        <v>1510.0</v>
      </c>
      <c r="H40" s="61">
        <v>1511.0</v>
      </c>
      <c r="I40" s="61">
        <v>1512.0</v>
      </c>
      <c r="J40" s="61">
        <v>1513.0</v>
      </c>
      <c r="K40" s="61">
        <v>1514.0</v>
      </c>
      <c r="L40" s="61">
        <v>1515.0</v>
      </c>
      <c r="M40" s="61">
        <v>1516.0</v>
      </c>
      <c r="N40" s="61">
        <v>1517.0</v>
      </c>
      <c r="O40" s="61">
        <v>1518.0</v>
      </c>
      <c r="P40" s="60">
        <v>1519.0</v>
      </c>
      <c r="Q40" s="60">
        <v>1520.0</v>
      </c>
      <c r="R40" s="60">
        <v>1521.0</v>
      </c>
      <c r="S40" s="60">
        <v>1522.0</v>
      </c>
      <c r="T40" s="60">
        <v>1523.0</v>
      </c>
      <c r="U40" s="60">
        <v>1524.0</v>
      </c>
      <c r="V40" s="60">
        <v>1525.0</v>
      </c>
      <c r="W40" s="60">
        <v>1526.0</v>
      </c>
      <c r="X40" s="60">
        <v>1527.0</v>
      </c>
      <c r="Y40" s="60">
        <v>1528.0</v>
      </c>
      <c r="Z40" s="60">
        <v>1529.0</v>
      </c>
      <c r="AA40" s="60">
        <v>1530.0</v>
      </c>
      <c r="AB40" s="60">
        <v>1531.0</v>
      </c>
      <c r="AC40" s="60">
        <v>1532.0</v>
      </c>
      <c r="AD40" s="60">
        <v>1533.0</v>
      </c>
      <c r="AE40" s="60">
        <v>1534.0</v>
      </c>
      <c r="AF40" s="61">
        <v>1535.0</v>
      </c>
      <c r="AG40" s="61">
        <v>1536.0</v>
      </c>
      <c r="AH40" s="61">
        <v>1537.0</v>
      </c>
      <c r="AI40" s="61">
        <v>1538.0</v>
      </c>
      <c r="AJ40" s="61">
        <v>1539.0</v>
      </c>
      <c r="AK40" s="61">
        <v>1540.0</v>
      </c>
      <c r="AL40" s="61">
        <v>1541.0</v>
      </c>
      <c r="AM40" s="61">
        <v>1542.0</v>
      </c>
      <c r="AN40" s="61">
        <v>1543.0</v>
      </c>
      <c r="AO40" s="61">
        <v>1544.0</v>
      </c>
      <c r="AP40" s="61">
        <v>1545.0</v>
      </c>
      <c r="AQ40" s="61">
        <v>1546.0</v>
      </c>
      <c r="AR40" s="61">
        <v>1547.0</v>
      </c>
      <c r="AS40" s="61">
        <v>1548.0</v>
      </c>
      <c r="AT40" s="17">
        <v>36.0</v>
      </c>
    </row>
    <row r="41">
      <c r="A41" s="17">
        <v>36.0</v>
      </c>
      <c r="B41" s="61">
        <v>1548.0</v>
      </c>
      <c r="C41" s="61">
        <v>1547.0</v>
      </c>
      <c r="D41" s="61">
        <v>1546.0</v>
      </c>
      <c r="E41" s="61">
        <v>1545.0</v>
      </c>
      <c r="F41" s="61">
        <v>1544.0</v>
      </c>
      <c r="G41" s="61">
        <v>1543.0</v>
      </c>
      <c r="H41" s="61">
        <v>1542.0</v>
      </c>
      <c r="I41" s="61">
        <v>1541.0</v>
      </c>
      <c r="J41" s="61">
        <v>1540.0</v>
      </c>
      <c r="K41" s="61">
        <v>1539.0</v>
      </c>
      <c r="L41" s="61">
        <v>1538.0</v>
      </c>
      <c r="M41" s="61">
        <v>1537.0</v>
      </c>
      <c r="N41" s="61">
        <v>1536.0</v>
      </c>
      <c r="O41" s="61">
        <v>1535.0</v>
      </c>
      <c r="P41" s="60">
        <v>1534.0</v>
      </c>
      <c r="Q41" s="60">
        <v>1533.0</v>
      </c>
      <c r="R41" s="60">
        <v>1532.0</v>
      </c>
      <c r="S41" s="60">
        <v>1531.0</v>
      </c>
      <c r="T41" s="60">
        <v>1530.0</v>
      </c>
      <c r="U41" s="60">
        <v>1529.0</v>
      </c>
      <c r="V41" s="60">
        <v>1528.0</v>
      </c>
      <c r="W41" s="60">
        <v>1527.0</v>
      </c>
      <c r="X41" s="60">
        <v>1526.0</v>
      </c>
      <c r="Y41" s="60">
        <v>1525.0</v>
      </c>
      <c r="Z41" s="60">
        <v>1524.0</v>
      </c>
      <c r="AA41" s="60">
        <v>1523.0</v>
      </c>
      <c r="AB41" s="60">
        <v>1522.0</v>
      </c>
      <c r="AC41" s="60">
        <v>1521.0</v>
      </c>
      <c r="AD41" s="60">
        <v>1520.0</v>
      </c>
      <c r="AE41" s="60">
        <v>1519.0</v>
      </c>
      <c r="AF41" s="61">
        <v>1518.0</v>
      </c>
      <c r="AG41" s="61">
        <v>1517.0</v>
      </c>
      <c r="AH41" s="61">
        <v>1516.0</v>
      </c>
      <c r="AI41" s="61">
        <v>1515.0</v>
      </c>
      <c r="AJ41" s="61">
        <v>1514.0</v>
      </c>
      <c r="AK41" s="61">
        <v>1513.0</v>
      </c>
      <c r="AL41" s="61">
        <v>1512.0</v>
      </c>
      <c r="AM41" s="61">
        <v>1511.0</v>
      </c>
      <c r="AN41" s="61">
        <v>1510.0</v>
      </c>
      <c r="AO41" s="61">
        <v>1509.0</v>
      </c>
      <c r="AP41" s="61">
        <v>1508.0</v>
      </c>
      <c r="AQ41" s="61">
        <v>1507.0</v>
      </c>
      <c r="AR41" s="61">
        <v>1506.0</v>
      </c>
      <c r="AS41" s="61">
        <v>1505.0</v>
      </c>
      <c r="AT41" s="17">
        <v>35.0</v>
      </c>
    </row>
    <row r="42">
      <c r="A42" s="17">
        <v>37.0</v>
      </c>
      <c r="B42" s="61">
        <v>1591.0</v>
      </c>
      <c r="C42" s="61">
        <v>1588.0</v>
      </c>
      <c r="D42" s="61">
        <v>1585.0</v>
      </c>
      <c r="E42" s="61">
        <v>1582.0</v>
      </c>
      <c r="F42" s="61">
        <v>1579.0</v>
      </c>
      <c r="G42" s="61">
        <v>1576.0</v>
      </c>
      <c r="H42" s="61">
        <v>1573.0</v>
      </c>
      <c r="I42" s="61">
        <v>1570.0</v>
      </c>
      <c r="J42" s="61">
        <v>1567.0</v>
      </c>
      <c r="K42" s="61">
        <v>1564.0</v>
      </c>
      <c r="L42" s="61">
        <v>1561.0</v>
      </c>
      <c r="M42" s="61">
        <v>1558.0</v>
      </c>
      <c r="N42" s="61">
        <v>1555.0</v>
      </c>
      <c r="O42" s="61">
        <v>1552.0</v>
      </c>
      <c r="P42" s="61">
        <v>1549.0</v>
      </c>
      <c r="Q42" s="60">
        <v>1546.0</v>
      </c>
      <c r="R42" s="60">
        <v>1543.0</v>
      </c>
      <c r="S42" s="60">
        <v>1540.0</v>
      </c>
      <c r="T42" s="60">
        <v>1537.0</v>
      </c>
      <c r="U42" s="60">
        <v>1534.0</v>
      </c>
      <c r="V42" s="60">
        <v>1531.0</v>
      </c>
      <c r="W42" s="60">
        <v>1528.0</v>
      </c>
      <c r="X42" s="60">
        <v>1525.0</v>
      </c>
      <c r="Y42" s="60">
        <v>1522.0</v>
      </c>
      <c r="Z42" s="60">
        <v>1519.0</v>
      </c>
      <c r="AA42" s="60">
        <v>1516.0</v>
      </c>
      <c r="AB42" s="60">
        <v>1513.0</v>
      </c>
      <c r="AC42" s="60">
        <v>1510.0</v>
      </c>
      <c r="AD42" s="60">
        <v>1507.0</v>
      </c>
      <c r="AE42" s="61">
        <v>1504.0</v>
      </c>
      <c r="AF42" s="61">
        <v>1501.0</v>
      </c>
      <c r="AG42" s="61">
        <v>1498.0</v>
      </c>
      <c r="AH42" s="61">
        <v>1495.0</v>
      </c>
      <c r="AI42" s="61">
        <v>1492.0</v>
      </c>
      <c r="AJ42" s="61">
        <v>1489.0</v>
      </c>
      <c r="AK42" s="61">
        <v>1486.0</v>
      </c>
      <c r="AL42" s="61">
        <v>1483.0</v>
      </c>
      <c r="AM42" s="61">
        <v>1480.0</v>
      </c>
      <c r="AN42" s="61">
        <v>1477.0</v>
      </c>
      <c r="AO42" s="61">
        <v>1474.0</v>
      </c>
      <c r="AP42" s="61">
        <v>1471.0</v>
      </c>
      <c r="AQ42" s="61">
        <v>1468.0</v>
      </c>
      <c r="AR42" s="61">
        <v>1465.0</v>
      </c>
      <c r="AS42" s="61">
        <v>1462.0</v>
      </c>
      <c r="AT42" s="17">
        <v>34.0</v>
      </c>
    </row>
    <row r="43">
      <c r="A43" s="17">
        <v>38.0</v>
      </c>
      <c r="B43" s="61">
        <v>1634.0</v>
      </c>
      <c r="C43" s="61">
        <v>1629.0</v>
      </c>
      <c r="D43" s="61">
        <v>1624.0</v>
      </c>
      <c r="E43" s="61">
        <v>1619.0</v>
      </c>
      <c r="F43" s="61">
        <v>1614.0</v>
      </c>
      <c r="G43" s="61">
        <v>1609.0</v>
      </c>
      <c r="H43" s="61">
        <v>1604.0</v>
      </c>
      <c r="I43" s="61">
        <v>1599.0</v>
      </c>
      <c r="J43" s="61">
        <v>1594.0</v>
      </c>
      <c r="K43" s="61">
        <v>1589.0</v>
      </c>
      <c r="L43" s="61">
        <v>1584.0</v>
      </c>
      <c r="M43" s="61">
        <v>1579.0</v>
      </c>
      <c r="N43" s="61">
        <v>1574.0</v>
      </c>
      <c r="O43" s="61">
        <v>1569.0</v>
      </c>
      <c r="P43" s="61">
        <v>1564.0</v>
      </c>
      <c r="Q43" s="61">
        <v>1559.0</v>
      </c>
      <c r="R43" s="60">
        <v>1554.0</v>
      </c>
      <c r="S43" s="60">
        <v>1549.0</v>
      </c>
      <c r="T43" s="60">
        <v>1544.0</v>
      </c>
      <c r="U43" s="60">
        <v>1539.0</v>
      </c>
      <c r="V43" s="60">
        <v>1534.0</v>
      </c>
      <c r="W43" s="60">
        <v>1529.0</v>
      </c>
      <c r="X43" s="60">
        <v>1524.0</v>
      </c>
      <c r="Y43" s="60">
        <v>1519.0</v>
      </c>
      <c r="Z43" s="60">
        <v>1514.0</v>
      </c>
      <c r="AA43" s="60">
        <v>1509.0</v>
      </c>
      <c r="AB43" s="60">
        <v>1504.0</v>
      </c>
      <c r="AC43" s="60">
        <v>1499.0</v>
      </c>
      <c r="AD43" s="61">
        <v>1494.0</v>
      </c>
      <c r="AE43" s="61">
        <v>1489.0</v>
      </c>
      <c r="AF43" s="61">
        <v>1484.0</v>
      </c>
      <c r="AG43" s="61">
        <v>1479.0</v>
      </c>
      <c r="AH43" s="61">
        <v>1474.0</v>
      </c>
      <c r="AI43" s="61">
        <v>1469.0</v>
      </c>
      <c r="AJ43" s="61">
        <v>1464.0</v>
      </c>
      <c r="AK43" s="61">
        <v>1459.0</v>
      </c>
      <c r="AL43" s="61">
        <v>1454.0</v>
      </c>
      <c r="AM43" s="61">
        <v>1449.0</v>
      </c>
      <c r="AN43" s="61">
        <v>1444.0</v>
      </c>
      <c r="AO43" s="61">
        <v>1439.0</v>
      </c>
      <c r="AP43" s="61">
        <v>1434.0</v>
      </c>
      <c r="AQ43" s="61">
        <v>1429.0</v>
      </c>
      <c r="AR43" s="61">
        <v>1424.0</v>
      </c>
      <c r="AS43" s="61">
        <v>1419.0</v>
      </c>
      <c r="AT43" s="17">
        <v>33.0</v>
      </c>
    </row>
    <row r="44">
      <c r="A44" s="17">
        <v>39.0</v>
      </c>
      <c r="B44" s="61">
        <v>1677.0</v>
      </c>
      <c r="C44" s="61">
        <v>1670.0</v>
      </c>
      <c r="D44" s="61">
        <v>1663.0</v>
      </c>
      <c r="E44" s="61">
        <v>1656.0</v>
      </c>
      <c r="F44" s="61">
        <v>1649.0</v>
      </c>
      <c r="G44" s="61">
        <v>1642.0</v>
      </c>
      <c r="H44" s="61">
        <v>1635.0</v>
      </c>
      <c r="I44" s="61">
        <v>1628.0</v>
      </c>
      <c r="J44" s="61">
        <v>1621.0</v>
      </c>
      <c r="K44" s="61">
        <v>1614.0</v>
      </c>
      <c r="L44" s="61">
        <v>1607.0</v>
      </c>
      <c r="M44" s="61">
        <v>1600.0</v>
      </c>
      <c r="N44" s="61">
        <v>1593.0</v>
      </c>
      <c r="O44" s="61">
        <v>1586.0</v>
      </c>
      <c r="P44" s="61">
        <v>1579.0</v>
      </c>
      <c r="Q44" s="61">
        <v>1572.0</v>
      </c>
      <c r="R44" s="61">
        <v>1565.0</v>
      </c>
      <c r="S44" s="60">
        <v>1558.0</v>
      </c>
      <c r="T44" s="60">
        <v>1551.0</v>
      </c>
      <c r="U44" s="60">
        <v>1544.0</v>
      </c>
      <c r="V44" s="60">
        <v>1537.0</v>
      </c>
      <c r="W44" s="60">
        <v>1530.0</v>
      </c>
      <c r="X44" s="60">
        <v>1523.0</v>
      </c>
      <c r="Y44" s="60">
        <v>1516.0</v>
      </c>
      <c r="Z44" s="60">
        <v>1509.0</v>
      </c>
      <c r="AA44" s="60">
        <v>1502.0</v>
      </c>
      <c r="AB44" s="60">
        <v>1495.0</v>
      </c>
      <c r="AC44" s="61">
        <v>1488.0</v>
      </c>
      <c r="AD44" s="61">
        <v>1481.0</v>
      </c>
      <c r="AE44" s="61">
        <v>1474.0</v>
      </c>
      <c r="AF44" s="61">
        <v>1467.0</v>
      </c>
      <c r="AG44" s="61">
        <v>1460.0</v>
      </c>
      <c r="AH44" s="61">
        <v>1453.0</v>
      </c>
      <c r="AI44" s="61">
        <v>1446.0</v>
      </c>
      <c r="AJ44" s="61">
        <v>1439.0</v>
      </c>
      <c r="AK44" s="61">
        <v>1432.0</v>
      </c>
      <c r="AL44" s="61">
        <v>1425.0</v>
      </c>
      <c r="AM44" s="61">
        <v>1418.0</v>
      </c>
      <c r="AN44" s="61">
        <v>1411.0</v>
      </c>
      <c r="AO44" s="61">
        <v>1404.0</v>
      </c>
      <c r="AP44" s="61">
        <v>1397.0</v>
      </c>
      <c r="AQ44" s="61">
        <v>1390.0</v>
      </c>
      <c r="AR44" s="61">
        <v>1383.0</v>
      </c>
      <c r="AS44" s="61">
        <v>1376.0</v>
      </c>
      <c r="AT44" s="17">
        <v>32.0</v>
      </c>
    </row>
    <row r="45">
      <c r="A45" s="17">
        <v>40.0</v>
      </c>
      <c r="B45" s="61">
        <v>1720.0</v>
      </c>
      <c r="C45" s="61">
        <v>1711.0</v>
      </c>
      <c r="D45" s="61">
        <v>1702.0</v>
      </c>
      <c r="E45" s="61">
        <v>1693.0</v>
      </c>
      <c r="F45" s="61">
        <v>1684.0</v>
      </c>
      <c r="G45" s="61">
        <v>1675.0</v>
      </c>
      <c r="H45" s="61">
        <v>1666.0</v>
      </c>
      <c r="I45" s="61">
        <v>1657.0</v>
      </c>
      <c r="J45" s="61">
        <v>1648.0</v>
      </c>
      <c r="K45" s="61">
        <v>1639.0</v>
      </c>
      <c r="L45" s="61">
        <v>1630.0</v>
      </c>
      <c r="M45" s="61">
        <v>1621.0</v>
      </c>
      <c r="N45" s="61">
        <v>1612.0</v>
      </c>
      <c r="O45" s="61">
        <v>1603.0</v>
      </c>
      <c r="P45" s="61">
        <v>1594.0</v>
      </c>
      <c r="Q45" s="61">
        <v>1585.0</v>
      </c>
      <c r="R45" s="61">
        <v>1576.0</v>
      </c>
      <c r="S45" s="60">
        <v>1567.0</v>
      </c>
      <c r="T45" s="60">
        <v>1558.0</v>
      </c>
      <c r="U45" s="60">
        <v>1549.0</v>
      </c>
      <c r="V45" s="60">
        <v>1540.0</v>
      </c>
      <c r="W45" s="60">
        <v>1531.0</v>
      </c>
      <c r="X45" s="60">
        <v>1522.0</v>
      </c>
      <c r="Y45" s="60">
        <v>1513.0</v>
      </c>
      <c r="Z45" s="60">
        <v>1504.0</v>
      </c>
      <c r="AA45" s="60">
        <v>1495.0</v>
      </c>
      <c r="AB45" s="60">
        <v>1486.0</v>
      </c>
      <c r="AC45" s="61">
        <v>1477.0</v>
      </c>
      <c r="AD45" s="61">
        <v>1468.0</v>
      </c>
      <c r="AE45" s="61">
        <v>1459.0</v>
      </c>
      <c r="AF45" s="61">
        <v>1450.0</v>
      </c>
      <c r="AG45" s="61">
        <v>1441.0</v>
      </c>
      <c r="AH45" s="61">
        <v>1432.0</v>
      </c>
      <c r="AI45" s="61">
        <v>1423.0</v>
      </c>
      <c r="AJ45" s="61">
        <v>1414.0</v>
      </c>
      <c r="AK45" s="61">
        <v>1405.0</v>
      </c>
      <c r="AL45" s="61">
        <v>1396.0</v>
      </c>
      <c r="AM45" s="61">
        <v>1387.0</v>
      </c>
      <c r="AN45" s="61">
        <v>1378.0</v>
      </c>
      <c r="AO45" s="61">
        <v>1369.0</v>
      </c>
      <c r="AP45" s="61">
        <v>1360.0</v>
      </c>
      <c r="AQ45" s="61">
        <v>1351.0</v>
      </c>
      <c r="AR45" s="61">
        <v>1342.0</v>
      </c>
      <c r="AS45" s="61">
        <v>1333.0</v>
      </c>
      <c r="AT45" s="17">
        <v>31.0</v>
      </c>
    </row>
    <row r="46">
      <c r="A46" s="17">
        <v>41.0</v>
      </c>
      <c r="B46" s="61">
        <v>1763.0</v>
      </c>
      <c r="C46" s="61">
        <v>1752.0</v>
      </c>
      <c r="D46" s="61">
        <v>1741.0</v>
      </c>
      <c r="E46" s="61">
        <v>1730.0</v>
      </c>
      <c r="F46" s="61">
        <v>1719.0</v>
      </c>
      <c r="G46" s="61">
        <v>1708.0</v>
      </c>
      <c r="H46" s="61">
        <v>1697.0</v>
      </c>
      <c r="I46" s="61">
        <v>1686.0</v>
      </c>
      <c r="J46" s="61">
        <v>1675.0</v>
      </c>
      <c r="K46" s="61">
        <v>1664.0</v>
      </c>
      <c r="L46" s="61">
        <v>1653.0</v>
      </c>
      <c r="M46" s="61">
        <v>1642.0</v>
      </c>
      <c r="N46" s="61">
        <v>1631.0</v>
      </c>
      <c r="O46" s="61">
        <v>1620.0</v>
      </c>
      <c r="P46" s="61">
        <v>1609.0</v>
      </c>
      <c r="Q46" s="61">
        <v>1598.0</v>
      </c>
      <c r="R46" s="61">
        <v>1587.0</v>
      </c>
      <c r="S46" s="61">
        <v>1576.0</v>
      </c>
      <c r="T46" s="60">
        <v>1565.0</v>
      </c>
      <c r="U46" s="60">
        <v>1554.0</v>
      </c>
      <c r="V46" s="60">
        <v>1543.0</v>
      </c>
      <c r="W46" s="60">
        <v>1532.0</v>
      </c>
      <c r="X46" s="60">
        <v>1521.0</v>
      </c>
      <c r="Y46" s="60">
        <v>1510.0</v>
      </c>
      <c r="Z46" s="60">
        <v>1499.0</v>
      </c>
      <c r="AA46" s="60">
        <v>1488.0</v>
      </c>
      <c r="AB46" s="61">
        <v>1477.0</v>
      </c>
      <c r="AC46" s="61">
        <v>1466.0</v>
      </c>
      <c r="AD46" s="61">
        <v>1455.0</v>
      </c>
      <c r="AE46" s="61">
        <v>1444.0</v>
      </c>
      <c r="AF46" s="61">
        <v>1433.0</v>
      </c>
      <c r="AG46" s="61">
        <v>1422.0</v>
      </c>
      <c r="AH46" s="61">
        <v>1411.0</v>
      </c>
      <c r="AI46" s="61">
        <v>1400.0</v>
      </c>
      <c r="AJ46" s="61">
        <v>1389.0</v>
      </c>
      <c r="AK46" s="61">
        <v>1378.0</v>
      </c>
      <c r="AL46" s="61">
        <v>1367.0</v>
      </c>
      <c r="AM46" s="61">
        <v>1356.0</v>
      </c>
      <c r="AN46" s="61">
        <v>1345.0</v>
      </c>
      <c r="AO46" s="61">
        <v>1334.0</v>
      </c>
      <c r="AP46" s="61">
        <v>1323.0</v>
      </c>
      <c r="AQ46" s="61">
        <v>1312.0</v>
      </c>
      <c r="AR46" s="61">
        <v>1301.0</v>
      </c>
      <c r="AS46" s="61">
        <v>1290.0</v>
      </c>
      <c r="AT46" s="17">
        <v>30.0</v>
      </c>
    </row>
    <row r="47">
      <c r="A47" s="17">
        <v>42.0</v>
      </c>
      <c r="B47" s="61">
        <v>1806.0</v>
      </c>
      <c r="C47" s="61">
        <v>1793.0</v>
      </c>
      <c r="D47" s="61">
        <v>1780.0</v>
      </c>
      <c r="E47" s="61">
        <v>1767.0</v>
      </c>
      <c r="F47" s="61">
        <v>1754.0</v>
      </c>
      <c r="G47" s="61">
        <v>1741.0</v>
      </c>
      <c r="H47" s="61">
        <v>1728.0</v>
      </c>
      <c r="I47" s="61">
        <v>1715.0</v>
      </c>
      <c r="J47" s="61">
        <v>1702.0</v>
      </c>
      <c r="K47" s="61">
        <v>1689.0</v>
      </c>
      <c r="L47" s="61">
        <v>1676.0</v>
      </c>
      <c r="M47" s="61">
        <v>1663.0</v>
      </c>
      <c r="N47" s="61">
        <v>1650.0</v>
      </c>
      <c r="O47" s="61">
        <v>1637.0</v>
      </c>
      <c r="P47" s="61">
        <v>1624.0</v>
      </c>
      <c r="Q47" s="61">
        <v>1611.0</v>
      </c>
      <c r="R47" s="61">
        <v>1598.0</v>
      </c>
      <c r="S47" s="61">
        <v>1585.0</v>
      </c>
      <c r="T47" s="61">
        <v>1572.0</v>
      </c>
      <c r="U47" s="60">
        <v>1559.0</v>
      </c>
      <c r="V47" s="60">
        <v>1546.0</v>
      </c>
      <c r="W47" s="60">
        <v>1533.0</v>
      </c>
      <c r="X47" s="60">
        <v>1520.0</v>
      </c>
      <c r="Y47" s="60">
        <v>1507.0</v>
      </c>
      <c r="Z47" s="60">
        <v>1494.0</v>
      </c>
      <c r="AA47" s="61">
        <v>1481.0</v>
      </c>
      <c r="AB47" s="61">
        <v>1468.0</v>
      </c>
      <c r="AC47" s="61">
        <v>1455.0</v>
      </c>
      <c r="AD47" s="61">
        <v>1442.0</v>
      </c>
      <c r="AE47" s="61">
        <v>1429.0</v>
      </c>
      <c r="AF47" s="61">
        <v>1416.0</v>
      </c>
      <c r="AG47" s="61">
        <v>1403.0</v>
      </c>
      <c r="AH47" s="61">
        <v>1390.0</v>
      </c>
      <c r="AI47" s="61">
        <v>1377.0</v>
      </c>
      <c r="AJ47" s="61">
        <v>1364.0</v>
      </c>
      <c r="AK47" s="61">
        <v>1351.0</v>
      </c>
      <c r="AL47" s="61">
        <v>1338.0</v>
      </c>
      <c r="AM47" s="61">
        <v>1325.0</v>
      </c>
      <c r="AN47" s="61">
        <v>1312.0</v>
      </c>
      <c r="AO47" s="61">
        <v>1299.0</v>
      </c>
      <c r="AP47" s="61">
        <v>1286.0</v>
      </c>
      <c r="AQ47" s="61">
        <v>1273.0</v>
      </c>
      <c r="AR47" s="61">
        <v>1260.0</v>
      </c>
      <c r="AS47" s="61">
        <v>1247.0</v>
      </c>
      <c r="AT47" s="17">
        <v>29.0</v>
      </c>
    </row>
    <row r="48">
      <c r="A48" s="17">
        <v>43.0</v>
      </c>
      <c r="B48" s="61">
        <v>1849.0</v>
      </c>
      <c r="C48" s="61">
        <v>1834.0</v>
      </c>
      <c r="D48" s="61">
        <v>1819.0</v>
      </c>
      <c r="E48" s="61">
        <v>1804.0</v>
      </c>
      <c r="F48" s="61">
        <v>1789.0</v>
      </c>
      <c r="G48" s="61">
        <v>1774.0</v>
      </c>
      <c r="H48" s="61">
        <v>1759.0</v>
      </c>
      <c r="I48" s="61">
        <v>1744.0</v>
      </c>
      <c r="J48" s="61">
        <v>1729.0</v>
      </c>
      <c r="K48" s="61">
        <v>1714.0</v>
      </c>
      <c r="L48" s="61">
        <v>1699.0</v>
      </c>
      <c r="M48" s="61">
        <v>1684.0</v>
      </c>
      <c r="N48" s="61">
        <v>1669.0</v>
      </c>
      <c r="O48" s="61">
        <v>1654.0</v>
      </c>
      <c r="P48" s="61">
        <v>1639.0</v>
      </c>
      <c r="Q48" s="61">
        <v>1624.0</v>
      </c>
      <c r="R48" s="61">
        <v>1609.0</v>
      </c>
      <c r="S48" s="61">
        <v>1594.0</v>
      </c>
      <c r="T48" s="61">
        <v>1579.0</v>
      </c>
      <c r="U48" s="60">
        <v>1564.0</v>
      </c>
      <c r="V48" s="60">
        <v>1549.0</v>
      </c>
      <c r="W48" s="60">
        <v>1534.0</v>
      </c>
      <c r="X48" s="60">
        <v>1519.0</v>
      </c>
      <c r="Y48" s="60">
        <v>1504.0</v>
      </c>
      <c r="Z48" s="63">
        <v>1489.0</v>
      </c>
      <c r="AA48" s="61">
        <v>1474.0</v>
      </c>
      <c r="AB48" s="61">
        <v>1459.0</v>
      </c>
      <c r="AC48" s="61">
        <v>1444.0</v>
      </c>
      <c r="AD48" s="61">
        <v>1429.0</v>
      </c>
      <c r="AE48" s="61">
        <v>1414.0</v>
      </c>
      <c r="AF48" s="61">
        <v>1399.0</v>
      </c>
      <c r="AG48" s="61">
        <v>1384.0</v>
      </c>
      <c r="AH48" s="61">
        <v>1369.0</v>
      </c>
      <c r="AI48" s="61">
        <v>1354.0</v>
      </c>
      <c r="AJ48" s="61">
        <v>1339.0</v>
      </c>
      <c r="AK48" s="61">
        <v>1324.0</v>
      </c>
      <c r="AL48" s="61">
        <v>1309.0</v>
      </c>
      <c r="AM48" s="61">
        <v>1294.0</v>
      </c>
      <c r="AN48" s="61">
        <v>1279.0</v>
      </c>
      <c r="AO48" s="61">
        <v>1264.0</v>
      </c>
      <c r="AP48" s="61">
        <v>1249.0</v>
      </c>
      <c r="AQ48" s="61">
        <v>1234.0</v>
      </c>
      <c r="AR48" s="61">
        <v>1219.0</v>
      </c>
      <c r="AS48" s="61">
        <v>1204.0</v>
      </c>
      <c r="AT48" s="17">
        <v>28.0</v>
      </c>
    </row>
    <row r="49">
      <c r="A49" s="17">
        <v>44.0</v>
      </c>
      <c r="B49" s="61">
        <v>1892.0</v>
      </c>
      <c r="C49" s="61">
        <v>1875.0</v>
      </c>
      <c r="D49" s="61">
        <v>1858.0</v>
      </c>
      <c r="E49" s="61">
        <v>1841.0</v>
      </c>
      <c r="F49" s="61">
        <v>1824.0</v>
      </c>
      <c r="G49" s="61">
        <v>1807.0</v>
      </c>
      <c r="H49" s="61">
        <v>1790.0</v>
      </c>
      <c r="I49" s="61">
        <v>1773.0</v>
      </c>
      <c r="J49" s="61">
        <v>1756.0</v>
      </c>
      <c r="K49" s="61">
        <v>1739.0</v>
      </c>
      <c r="L49" s="61">
        <v>1722.0</v>
      </c>
      <c r="M49" s="61">
        <v>1705.0</v>
      </c>
      <c r="N49" s="61">
        <v>1688.0</v>
      </c>
      <c r="O49" s="61">
        <v>1671.0</v>
      </c>
      <c r="P49" s="61">
        <v>1654.0</v>
      </c>
      <c r="Q49" s="61">
        <v>1637.0</v>
      </c>
      <c r="R49" s="61">
        <v>1620.0</v>
      </c>
      <c r="S49" s="61">
        <v>1603.0</v>
      </c>
      <c r="T49" s="61">
        <v>1586.0</v>
      </c>
      <c r="U49" s="61">
        <v>1569.0</v>
      </c>
      <c r="V49" s="60">
        <v>1552.0</v>
      </c>
      <c r="W49" s="60">
        <v>1535.0</v>
      </c>
      <c r="X49" s="60">
        <v>1518.0</v>
      </c>
      <c r="Y49" s="60">
        <v>1501.0</v>
      </c>
      <c r="Z49" s="61">
        <v>1484.0</v>
      </c>
      <c r="AA49" s="61">
        <v>1467.0</v>
      </c>
      <c r="AB49" s="61">
        <v>1450.0</v>
      </c>
      <c r="AC49" s="61">
        <v>1433.0</v>
      </c>
      <c r="AD49" s="61">
        <v>1416.0</v>
      </c>
      <c r="AE49" s="61">
        <v>1399.0</v>
      </c>
      <c r="AF49" s="61">
        <v>1382.0</v>
      </c>
      <c r="AG49" s="61">
        <v>1365.0</v>
      </c>
      <c r="AH49" s="61">
        <v>1348.0</v>
      </c>
      <c r="AI49" s="61">
        <v>1331.0</v>
      </c>
      <c r="AJ49" s="61">
        <v>1314.0</v>
      </c>
      <c r="AK49" s="61">
        <v>1297.0</v>
      </c>
      <c r="AL49" s="61">
        <v>1280.0</v>
      </c>
      <c r="AM49" s="61">
        <v>1263.0</v>
      </c>
      <c r="AN49" s="61">
        <v>1246.0</v>
      </c>
      <c r="AO49" s="61">
        <v>1229.0</v>
      </c>
      <c r="AP49" s="61">
        <v>1212.0</v>
      </c>
      <c r="AQ49" s="61">
        <v>1195.0</v>
      </c>
      <c r="AR49" s="61">
        <v>1178.0</v>
      </c>
      <c r="AS49" s="61">
        <v>1161.0</v>
      </c>
      <c r="AT49" s="17">
        <v>27.0</v>
      </c>
    </row>
    <row r="50">
      <c r="A50" s="17">
        <v>45.0</v>
      </c>
      <c r="B50" s="61">
        <v>1935.0</v>
      </c>
      <c r="C50" s="61">
        <v>1916.0</v>
      </c>
      <c r="D50" s="61">
        <v>1897.0</v>
      </c>
      <c r="E50" s="61">
        <v>1878.0</v>
      </c>
      <c r="F50" s="61">
        <v>1859.0</v>
      </c>
      <c r="G50" s="61">
        <v>1840.0</v>
      </c>
      <c r="H50" s="61">
        <v>1821.0</v>
      </c>
      <c r="I50" s="61">
        <v>1802.0</v>
      </c>
      <c r="J50" s="61">
        <v>1783.0</v>
      </c>
      <c r="K50" s="61">
        <v>1764.0</v>
      </c>
      <c r="L50" s="61">
        <v>1745.0</v>
      </c>
      <c r="M50" s="61">
        <v>1726.0</v>
      </c>
      <c r="N50" s="61">
        <v>1707.0</v>
      </c>
      <c r="O50" s="61">
        <v>1688.0</v>
      </c>
      <c r="P50" s="61">
        <v>1669.0</v>
      </c>
      <c r="Q50" s="61">
        <v>1650.0</v>
      </c>
      <c r="R50" s="61">
        <v>1631.0</v>
      </c>
      <c r="S50" s="61">
        <v>1612.0</v>
      </c>
      <c r="T50" s="61">
        <v>1593.0</v>
      </c>
      <c r="U50" s="61">
        <v>1574.0</v>
      </c>
      <c r="V50" s="60">
        <v>1555.0</v>
      </c>
      <c r="W50" s="60">
        <v>1536.0</v>
      </c>
      <c r="X50" s="60">
        <v>1517.0</v>
      </c>
      <c r="Y50" s="60">
        <v>1498.0</v>
      </c>
      <c r="Z50" s="61">
        <v>1479.0</v>
      </c>
      <c r="AA50" s="61">
        <v>1460.0</v>
      </c>
      <c r="AB50" s="61">
        <v>1441.0</v>
      </c>
      <c r="AC50" s="61">
        <v>1422.0</v>
      </c>
      <c r="AD50" s="61">
        <v>1403.0</v>
      </c>
      <c r="AE50" s="61">
        <v>1384.0</v>
      </c>
      <c r="AF50" s="61">
        <v>1365.0</v>
      </c>
      <c r="AG50" s="61">
        <v>1346.0</v>
      </c>
      <c r="AH50" s="61">
        <v>1327.0</v>
      </c>
      <c r="AI50" s="61">
        <v>1308.0</v>
      </c>
      <c r="AJ50" s="61">
        <v>1289.0</v>
      </c>
      <c r="AK50" s="61">
        <v>1270.0</v>
      </c>
      <c r="AL50" s="61">
        <v>1251.0</v>
      </c>
      <c r="AM50" s="61">
        <v>1232.0</v>
      </c>
      <c r="AN50" s="61">
        <v>1213.0</v>
      </c>
      <c r="AO50" s="61">
        <v>1194.0</v>
      </c>
      <c r="AP50" s="61">
        <v>1175.0</v>
      </c>
      <c r="AQ50" s="61">
        <v>1156.0</v>
      </c>
      <c r="AR50" s="61">
        <v>1137.0</v>
      </c>
      <c r="AS50" s="61">
        <v>1118.0</v>
      </c>
      <c r="AT50" s="17">
        <v>26.0</v>
      </c>
    </row>
    <row r="51">
      <c r="A51" s="17">
        <v>46.0</v>
      </c>
      <c r="B51" s="61">
        <v>1978.0</v>
      </c>
      <c r="C51" s="61">
        <v>1957.0</v>
      </c>
      <c r="D51" s="61">
        <v>1936.0</v>
      </c>
      <c r="E51" s="61">
        <v>1915.0</v>
      </c>
      <c r="F51" s="61">
        <v>1894.0</v>
      </c>
      <c r="G51" s="61">
        <v>1873.0</v>
      </c>
      <c r="H51" s="61">
        <v>1852.0</v>
      </c>
      <c r="I51" s="61">
        <v>1831.0</v>
      </c>
      <c r="J51" s="61">
        <v>1810.0</v>
      </c>
      <c r="K51" s="61">
        <v>1789.0</v>
      </c>
      <c r="L51" s="61">
        <v>1768.0</v>
      </c>
      <c r="M51" s="61">
        <v>1747.0</v>
      </c>
      <c r="N51" s="61">
        <v>1726.0</v>
      </c>
      <c r="O51" s="61">
        <v>1705.0</v>
      </c>
      <c r="P51" s="61">
        <v>1684.0</v>
      </c>
      <c r="Q51" s="61">
        <v>1663.0</v>
      </c>
      <c r="R51" s="61">
        <v>1642.0</v>
      </c>
      <c r="S51" s="61">
        <v>1621.0</v>
      </c>
      <c r="T51" s="61">
        <v>1600.0</v>
      </c>
      <c r="U51" s="61">
        <v>1579.0</v>
      </c>
      <c r="V51" s="61">
        <v>1558.0</v>
      </c>
      <c r="W51" s="60">
        <v>1537.0</v>
      </c>
      <c r="X51" s="60">
        <v>1516.0</v>
      </c>
      <c r="Y51" s="61">
        <v>1495.0</v>
      </c>
      <c r="Z51" s="61">
        <v>1474.0</v>
      </c>
      <c r="AA51" s="61">
        <v>1453.0</v>
      </c>
      <c r="AB51" s="61">
        <v>1432.0</v>
      </c>
      <c r="AC51" s="61">
        <v>1411.0</v>
      </c>
      <c r="AD51" s="61">
        <v>1390.0</v>
      </c>
      <c r="AE51" s="61">
        <v>1369.0</v>
      </c>
      <c r="AF51" s="61">
        <v>1348.0</v>
      </c>
      <c r="AG51" s="61">
        <v>1327.0</v>
      </c>
      <c r="AH51" s="61">
        <v>1306.0</v>
      </c>
      <c r="AI51" s="61">
        <v>1285.0</v>
      </c>
      <c r="AJ51" s="61">
        <v>1264.0</v>
      </c>
      <c r="AK51" s="61">
        <v>1243.0</v>
      </c>
      <c r="AL51" s="61">
        <v>1222.0</v>
      </c>
      <c r="AM51" s="61">
        <v>1201.0</v>
      </c>
      <c r="AN51" s="61">
        <v>1180.0</v>
      </c>
      <c r="AO51" s="61">
        <v>1159.0</v>
      </c>
      <c r="AP51" s="61">
        <v>1138.0</v>
      </c>
      <c r="AQ51" s="61">
        <v>1117.0</v>
      </c>
      <c r="AR51" s="61">
        <v>1096.0</v>
      </c>
      <c r="AS51" s="61">
        <v>1075.0</v>
      </c>
      <c r="AT51" s="17">
        <v>25.0</v>
      </c>
    </row>
    <row r="52">
      <c r="A52" s="17">
        <v>47.0</v>
      </c>
      <c r="B52" s="61">
        <v>2021.0</v>
      </c>
      <c r="C52" s="61">
        <v>1998.0</v>
      </c>
      <c r="D52" s="61">
        <v>1975.0</v>
      </c>
      <c r="E52" s="61">
        <v>1952.0</v>
      </c>
      <c r="F52" s="61">
        <v>1929.0</v>
      </c>
      <c r="G52" s="61">
        <v>1906.0</v>
      </c>
      <c r="H52" s="61">
        <v>1883.0</v>
      </c>
      <c r="I52" s="61">
        <v>1860.0</v>
      </c>
      <c r="J52" s="61">
        <v>1837.0</v>
      </c>
      <c r="K52" s="61">
        <v>1814.0</v>
      </c>
      <c r="L52" s="61">
        <v>1791.0</v>
      </c>
      <c r="M52" s="61">
        <v>1768.0</v>
      </c>
      <c r="N52" s="61">
        <v>1745.0</v>
      </c>
      <c r="O52" s="61">
        <v>1722.0</v>
      </c>
      <c r="P52" s="61">
        <v>1699.0</v>
      </c>
      <c r="Q52" s="61">
        <v>1676.0</v>
      </c>
      <c r="R52" s="61">
        <v>1653.0</v>
      </c>
      <c r="S52" s="61">
        <v>1630.0</v>
      </c>
      <c r="T52" s="61">
        <v>1607.0</v>
      </c>
      <c r="U52" s="61">
        <v>1584.0</v>
      </c>
      <c r="V52" s="61">
        <v>1561.0</v>
      </c>
      <c r="W52" s="60">
        <v>1538.0</v>
      </c>
      <c r="X52" s="60">
        <v>1515.0</v>
      </c>
      <c r="Y52" s="61">
        <v>1492.0</v>
      </c>
      <c r="Z52" s="61">
        <v>1469.0</v>
      </c>
      <c r="AA52" s="61">
        <v>1446.0</v>
      </c>
      <c r="AB52" s="61">
        <v>1423.0</v>
      </c>
      <c r="AC52" s="61">
        <v>1400.0</v>
      </c>
      <c r="AD52" s="61">
        <v>1377.0</v>
      </c>
      <c r="AE52" s="61">
        <v>1354.0</v>
      </c>
      <c r="AF52" s="61">
        <v>1331.0</v>
      </c>
      <c r="AG52" s="61">
        <v>1308.0</v>
      </c>
      <c r="AH52" s="61">
        <v>1285.0</v>
      </c>
      <c r="AI52" s="61">
        <v>1262.0</v>
      </c>
      <c r="AJ52" s="61">
        <v>1239.0</v>
      </c>
      <c r="AK52" s="61">
        <v>1216.0</v>
      </c>
      <c r="AL52" s="61">
        <v>1193.0</v>
      </c>
      <c r="AM52" s="61">
        <v>1170.0</v>
      </c>
      <c r="AN52" s="61">
        <v>1147.0</v>
      </c>
      <c r="AO52" s="61">
        <v>1124.0</v>
      </c>
      <c r="AP52" s="61">
        <v>1101.0</v>
      </c>
      <c r="AQ52" s="61">
        <v>1078.0</v>
      </c>
      <c r="AR52" s="61">
        <v>1055.0</v>
      </c>
      <c r="AS52" s="61">
        <v>1032.0</v>
      </c>
      <c r="AT52" s="17">
        <v>24.0</v>
      </c>
    </row>
    <row r="53">
      <c r="A53" s="17">
        <v>48.0</v>
      </c>
      <c r="B53" s="61">
        <v>2064.0</v>
      </c>
      <c r="C53" s="61">
        <v>2039.0</v>
      </c>
      <c r="D53" s="61">
        <v>2014.0</v>
      </c>
      <c r="E53" s="61">
        <v>1989.0</v>
      </c>
      <c r="F53" s="61">
        <v>1964.0</v>
      </c>
      <c r="G53" s="61">
        <v>1939.0</v>
      </c>
      <c r="H53" s="61">
        <v>1914.0</v>
      </c>
      <c r="I53" s="61">
        <v>1889.0</v>
      </c>
      <c r="J53" s="61">
        <v>1864.0</v>
      </c>
      <c r="K53" s="61">
        <v>1839.0</v>
      </c>
      <c r="L53" s="61">
        <v>1814.0</v>
      </c>
      <c r="M53" s="61">
        <v>1789.0</v>
      </c>
      <c r="N53" s="61">
        <v>1764.0</v>
      </c>
      <c r="O53" s="61">
        <v>1739.0</v>
      </c>
      <c r="P53" s="61">
        <v>1714.0</v>
      </c>
      <c r="Q53" s="61">
        <v>1689.0</v>
      </c>
      <c r="R53" s="61">
        <v>1664.0</v>
      </c>
      <c r="S53" s="61">
        <v>1639.0</v>
      </c>
      <c r="T53" s="61">
        <v>1614.0</v>
      </c>
      <c r="U53" s="61">
        <v>1589.0</v>
      </c>
      <c r="V53" s="61">
        <v>1564.0</v>
      </c>
      <c r="W53" s="61">
        <v>1539.0</v>
      </c>
      <c r="X53" s="61">
        <v>1514.0</v>
      </c>
      <c r="Y53" s="61">
        <v>1489.0</v>
      </c>
      <c r="Z53" s="61">
        <v>1464.0</v>
      </c>
      <c r="AA53" s="61">
        <v>1439.0</v>
      </c>
      <c r="AB53" s="61">
        <v>1414.0</v>
      </c>
      <c r="AC53" s="61">
        <v>1389.0</v>
      </c>
      <c r="AD53" s="61">
        <v>1364.0</v>
      </c>
      <c r="AE53" s="61">
        <v>1339.0</v>
      </c>
      <c r="AF53" s="61">
        <v>1314.0</v>
      </c>
      <c r="AG53" s="61">
        <v>1289.0</v>
      </c>
      <c r="AH53" s="61">
        <v>1264.0</v>
      </c>
      <c r="AI53" s="61">
        <v>1239.0</v>
      </c>
      <c r="AJ53" s="61">
        <v>1214.0</v>
      </c>
      <c r="AK53" s="61">
        <v>1189.0</v>
      </c>
      <c r="AL53" s="61">
        <v>1164.0</v>
      </c>
      <c r="AM53" s="61">
        <v>1139.0</v>
      </c>
      <c r="AN53" s="61">
        <v>1114.0</v>
      </c>
      <c r="AO53" s="61">
        <v>1089.0</v>
      </c>
      <c r="AP53" s="61">
        <v>1064.0</v>
      </c>
      <c r="AQ53" s="61">
        <v>1039.0</v>
      </c>
      <c r="AR53" s="61">
        <v>1014.0</v>
      </c>
      <c r="AS53" s="61">
        <v>989.0</v>
      </c>
      <c r="AT53" s="17">
        <v>23.0</v>
      </c>
    </row>
    <row r="54">
      <c r="A54" s="17">
        <v>49.0</v>
      </c>
      <c r="B54" s="61">
        <v>2107.0</v>
      </c>
      <c r="C54" s="61">
        <v>2080.0</v>
      </c>
      <c r="D54" s="61">
        <v>2053.0</v>
      </c>
      <c r="E54" s="61">
        <v>2026.0</v>
      </c>
      <c r="F54" s="61">
        <v>1999.0</v>
      </c>
      <c r="G54" s="61">
        <v>1972.0</v>
      </c>
      <c r="H54" s="61">
        <v>1945.0</v>
      </c>
      <c r="I54" s="61">
        <v>1918.0</v>
      </c>
      <c r="J54" s="61">
        <v>1891.0</v>
      </c>
      <c r="K54" s="61">
        <v>1864.0</v>
      </c>
      <c r="L54" s="61">
        <v>1837.0</v>
      </c>
      <c r="M54" s="61">
        <v>1810.0</v>
      </c>
      <c r="N54" s="61">
        <v>1783.0</v>
      </c>
      <c r="O54" s="61">
        <v>1756.0</v>
      </c>
      <c r="P54" s="61">
        <v>1729.0</v>
      </c>
      <c r="Q54" s="61">
        <v>1702.0</v>
      </c>
      <c r="R54" s="61">
        <v>1675.0</v>
      </c>
      <c r="S54" s="61">
        <v>1648.0</v>
      </c>
      <c r="T54" s="61">
        <v>1621.0</v>
      </c>
      <c r="U54" s="61">
        <v>1594.0</v>
      </c>
      <c r="V54" s="61">
        <v>1567.0</v>
      </c>
      <c r="W54" s="61">
        <v>1540.0</v>
      </c>
      <c r="X54" s="61">
        <v>1513.0</v>
      </c>
      <c r="Y54" s="61">
        <v>1486.0</v>
      </c>
      <c r="Z54" s="61">
        <v>1459.0</v>
      </c>
      <c r="AA54" s="61">
        <v>1432.0</v>
      </c>
      <c r="AB54" s="61">
        <v>1405.0</v>
      </c>
      <c r="AC54" s="61">
        <v>1378.0</v>
      </c>
      <c r="AD54" s="61">
        <v>1351.0</v>
      </c>
      <c r="AE54" s="61">
        <v>1324.0</v>
      </c>
      <c r="AF54" s="61">
        <v>1297.0</v>
      </c>
      <c r="AG54" s="61">
        <v>1270.0</v>
      </c>
      <c r="AH54" s="61">
        <v>1243.0</v>
      </c>
      <c r="AI54" s="61">
        <v>1216.0</v>
      </c>
      <c r="AJ54" s="61">
        <v>1189.0</v>
      </c>
      <c r="AK54" s="61">
        <v>1162.0</v>
      </c>
      <c r="AL54" s="61">
        <v>1135.0</v>
      </c>
      <c r="AM54" s="61">
        <v>1108.0</v>
      </c>
      <c r="AN54" s="61">
        <v>1081.0</v>
      </c>
      <c r="AO54" s="61">
        <v>1054.0</v>
      </c>
      <c r="AP54" s="61">
        <v>1027.0</v>
      </c>
      <c r="AQ54" s="61">
        <v>1000.0</v>
      </c>
      <c r="AR54" s="61">
        <v>973.0</v>
      </c>
      <c r="AS54" s="61">
        <v>946.0</v>
      </c>
      <c r="AT54" s="17">
        <v>22.0</v>
      </c>
    </row>
    <row r="55">
      <c r="A55" s="17">
        <v>50.0</v>
      </c>
      <c r="B55" s="61">
        <v>2150.0</v>
      </c>
      <c r="C55" s="61">
        <v>2121.0</v>
      </c>
      <c r="D55" s="61">
        <v>2092.0</v>
      </c>
      <c r="E55" s="61">
        <v>2063.0</v>
      </c>
      <c r="F55" s="61">
        <v>2034.0</v>
      </c>
      <c r="G55" s="61">
        <v>2005.0</v>
      </c>
      <c r="H55" s="61">
        <v>1976.0</v>
      </c>
      <c r="I55" s="61">
        <v>1947.0</v>
      </c>
      <c r="J55" s="61">
        <v>1918.0</v>
      </c>
      <c r="K55" s="61">
        <v>1889.0</v>
      </c>
      <c r="L55" s="61">
        <v>1860.0</v>
      </c>
      <c r="M55" s="61">
        <v>1831.0</v>
      </c>
      <c r="N55" s="61">
        <v>1802.0</v>
      </c>
      <c r="O55" s="61">
        <v>1773.0</v>
      </c>
      <c r="P55" s="61">
        <v>1744.0</v>
      </c>
      <c r="Q55" s="61">
        <v>1715.0</v>
      </c>
      <c r="R55" s="61">
        <v>1686.0</v>
      </c>
      <c r="S55" s="61">
        <v>1657.0</v>
      </c>
      <c r="T55" s="61">
        <v>1628.0</v>
      </c>
      <c r="U55" s="61">
        <v>1599.0</v>
      </c>
      <c r="V55" s="61">
        <v>1570.0</v>
      </c>
      <c r="W55" s="61">
        <v>1541.0</v>
      </c>
      <c r="X55" s="61">
        <v>1512.0</v>
      </c>
      <c r="Y55" s="61">
        <v>1483.0</v>
      </c>
      <c r="Z55" s="61">
        <v>1454.0</v>
      </c>
      <c r="AA55" s="61">
        <v>1425.0</v>
      </c>
      <c r="AB55" s="61">
        <v>1396.0</v>
      </c>
      <c r="AC55" s="61">
        <v>1367.0</v>
      </c>
      <c r="AD55" s="61">
        <v>1338.0</v>
      </c>
      <c r="AE55" s="61">
        <v>1309.0</v>
      </c>
      <c r="AF55" s="61">
        <v>1280.0</v>
      </c>
      <c r="AG55" s="61">
        <v>1251.0</v>
      </c>
      <c r="AH55" s="61">
        <v>1222.0</v>
      </c>
      <c r="AI55" s="61">
        <v>1193.0</v>
      </c>
      <c r="AJ55" s="61">
        <v>1164.0</v>
      </c>
      <c r="AK55" s="61">
        <v>1135.0</v>
      </c>
      <c r="AL55" s="61">
        <v>1106.0</v>
      </c>
      <c r="AM55" s="61">
        <v>1077.0</v>
      </c>
      <c r="AN55" s="61">
        <v>1048.0</v>
      </c>
      <c r="AO55" s="61">
        <v>1019.0</v>
      </c>
      <c r="AP55" s="61">
        <v>990.0</v>
      </c>
      <c r="AQ55" s="61">
        <v>961.0</v>
      </c>
      <c r="AR55" s="61">
        <v>932.0</v>
      </c>
      <c r="AS55" s="61">
        <v>903.0</v>
      </c>
      <c r="AT55" s="17">
        <v>21.0</v>
      </c>
    </row>
    <row r="56">
      <c r="A56" s="17">
        <v>51.0</v>
      </c>
      <c r="B56" s="61">
        <v>2193.0</v>
      </c>
      <c r="C56" s="61">
        <v>2162.0</v>
      </c>
      <c r="D56" s="61">
        <v>2131.0</v>
      </c>
      <c r="E56" s="61">
        <v>2100.0</v>
      </c>
      <c r="F56" s="61">
        <v>2069.0</v>
      </c>
      <c r="G56" s="61">
        <v>2038.0</v>
      </c>
      <c r="H56" s="61">
        <v>2007.0</v>
      </c>
      <c r="I56" s="61">
        <v>1976.0</v>
      </c>
      <c r="J56" s="61">
        <v>1945.0</v>
      </c>
      <c r="K56" s="61">
        <v>1914.0</v>
      </c>
      <c r="L56" s="61">
        <v>1883.0</v>
      </c>
      <c r="M56" s="61">
        <v>1852.0</v>
      </c>
      <c r="N56" s="61">
        <v>1821.0</v>
      </c>
      <c r="O56" s="61">
        <v>1790.0</v>
      </c>
      <c r="P56" s="61">
        <v>1759.0</v>
      </c>
      <c r="Q56" s="61">
        <v>1728.0</v>
      </c>
      <c r="R56" s="61">
        <v>1697.0</v>
      </c>
      <c r="S56" s="61">
        <v>1666.0</v>
      </c>
      <c r="T56" s="61">
        <v>1635.0</v>
      </c>
      <c r="U56" s="61">
        <v>1604.0</v>
      </c>
      <c r="V56" s="61">
        <v>1573.0</v>
      </c>
      <c r="W56" s="61">
        <v>1542.0</v>
      </c>
      <c r="X56" s="61">
        <v>1511.0</v>
      </c>
      <c r="Y56" s="61">
        <v>1480.0</v>
      </c>
      <c r="Z56" s="61">
        <v>1449.0</v>
      </c>
      <c r="AA56" s="61">
        <v>1418.0</v>
      </c>
      <c r="AB56" s="61">
        <v>1387.0</v>
      </c>
      <c r="AC56" s="61">
        <v>1356.0</v>
      </c>
      <c r="AD56" s="61">
        <v>1325.0</v>
      </c>
      <c r="AE56" s="61">
        <v>1294.0</v>
      </c>
      <c r="AF56" s="61">
        <v>1263.0</v>
      </c>
      <c r="AG56" s="61">
        <v>1232.0</v>
      </c>
      <c r="AH56" s="61">
        <v>1201.0</v>
      </c>
      <c r="AI56" s="61">
        <v>1170.0</v>
      </c>
      <c r="AJ56" s="61">
        <v>1139.0</v>
      </c>
      <c r="AK56" s="61">
        <v>1108.0</v>
      </c>
      <c r="AL56" s="61">
        <v>1077.0</v>
      </c>
      <c r="AM56" s="61">
        <v>1046.0</v>
      </c>
      <c r="AN56" s="61">
        <v>1015.0</v>
      </c>
      <c r="AO56" s="61">
        <v>984.0</v>
      </c>
      <c r="AP56" s="61">
        <v>953.0</v>
      </c>
      <c r="AQ56" s="61">
        <v>922.0</v>
      </c>
      <c r="AR56" s="61">
        <v>891.0</v>
      </c>
      <c r="AS56" s="61">
        <v>860.0</v>
      </c>
      <c r="AT56" s="17">
        <v>20.0</v>
      </c>
    </row>
    <row r="57">
      <c r="A57" s="17">
        <v>52.0</v>
      </c>
      <c r="B57" s="61">
        <v>2236.0</v>
      </c>
      <c r="C57" s="61">
        <v>2203.0</v>
      </c>
      <c r="D57" s="61">
        <v>2170.0</v>
      </c>
      <c r="E57" s="61">
        <v>2137.0</v>
      </c>
      <c r="F57" s="61">
        <v>2104.0</v>
      </c>
      <c r="G57" s="61">
        <v>2071.0</v>
      </c>
      <c r="H57" s="61">
        <v>2038.0</v>
      </c>
      <c r="I57" s="61">
        <v>2005.0</v>
      </c>
      <c r="J57" s="61">
        <v>1972.0</v>
      </c>
      <c r="K57" s="61">
        <v>1939.0</v>
      </c>
      <c r="L57" s="61">
        <v>1906.0</v>
      </c>
      <c r="M57" s="61">
        <v>1873.0</v>
      </c>
      <c r="N57" s="61">
        <v>1840.0</v>
      </c>
      <c r="O57" s="61">
        <v>1807.0</v>
      </c>
      <c r="P57" s="61">
        <v>1774.0</v>
      </c>
      <c r="Q57" s="61">
        <v>1741.0</v>
      </c>
      <c r="R57" s="61">
        <v>1708.0</v>
      </c>
      <c r="S57" s="61">
        <v>1675.0</v>
      </c>
      <c r="T57" s="61">
        <v>1642.0</v>
      </c>
      <c r="U57" s="61">
        <v>1609.0</v>
      </c>
      <c r="V57" s="61">
        <v>1576.0</v>
      </c>
      <c r="W57" s="61">
        <v>1543.0</v>
      </c>
      <c r="X57" s="61">
        <v>1510.0</v>
      </c>
      <c r="Y57" s="61">
        <v>1477.0</v>
      </c>
      <c r="Z57" s="61">
        <v>1444.0</v>
      </c>
      <c r="AA57" s="61">
        <v>1411.0</v>
      </c>
      <c r="AB57" s="61">
        <v>1378.0</v>
      </c>
      <c r="AC57" s="61">
        <v>1345.0</v>
      </c>
      <c r="AD57" s="61">
        <v>1312.0</v>
      </c>
      <c r="AE57" s="61">
        <v>1279.0</v>
      </c>
      <c r="AF57" s="61">
        <v>1246.0</v>
      </c>
      <c r="AG57" s="61">
        <v>1213.0</v>
      </c>
      <c r="AH57" s="61">
        <v>1180.0</v>
      </c>
      <c r="AI57" s="61">
        <v>1147.0</v>
      </c>
      <c r="AJ57" s="61">
        <v>1114.0</v>
      </c>
      <c r="AK57" s="61">
        <v>1081.0</v>
      </c>
      <c r="AL57" s="61">
        <v>1048.0</v>
      </c>
      <c r="AM57" s="61">
        <v>1015.0</v>
      </c>
      <c r="AN57" s="61">
        <v>982.0</v>
      </c>
      <c r="AO57" s="61">
        <v>949.0</v>
      </c>
      <c r="AP57" s="61">
        <v>916.0</v>
      </c>
      <c r="AQ57" s="61">
        <v>883.0</v>
      </c>
      <c r="AR57" s="61">
        <v>850.0</v>
      </c>
      <c r="AS57" s="61">
        <v>817.0</v>
      </c>
      <c r="AT57" s="17">
        <v>19.0</v>
      </c>
    </row>
    <row r="58">
      <c r="A58" s="17">
        <v>53.0</v>
      </c>
      <c r="B58" s="61">
        <v>2279.0</v>
      </c>
      <c r="C58" s="61">
        <v>2244.0</v>
      </c>
      <c r="D58" s="61">
        <v>2209.0</v>
      </c>
      <c r="E58" s="61">
        <v>2174.0</v>
      </c>
      <c r="F58" s="61">
        <v>2139.0</v>
      </c>
      <c r="G58" s="61">
        <v>2104.0</v>
      </c>
      <c r="H58" s="61">
        <v>2069.0</v>
      </c>
      <c r="I58" s="61">
        <v>2034.0</v>
      </c>
      <c r="J58" s="61">
        <v>1999.0</v>
      </c>
      <c r="K58" s="61">
        <v>1964.0</v>
      </c>
      <c r="L58" s="61">
        <v>1929.0</v>
      </c>
      <c r="M58" s="61">
        <v>1894.0</v>
      </c>
      <c r="N58" s="61">
        <v>1859.0</v>
      </c>
      <c r="O58" s="61">
        <v>1824.0</v>
      </c>
      <c r="P58" s="61">
        <v>1789.0</v>
      </c>
      <c r="Q58" s="61">
        <v>1754.0</v>
      </c>
      <c r="R58" s="61">
        <v>1719.0</v>
      </c>
      <c r="S58" s="61">
        <v>1684.0</v>
      </c>
      <c r="T58" s="61">
        <v>1649.0</v>
      </c>
      <c r="U58" s="61">
        <v>1614.0</v>
      </c>
      <c r="V58" s="61">
        <v>1579.0</v>
      </c>
      <c r="W58" s="61">
        <v>1544.0</v>
      </c>
      <c r="X58" s="61">
        <v>1509.0</v>
      </c>
      <c r="Y58" s="61">
        <v>1474.0</v>
      </c>
      <c r="Z58" s="61">
        <v>1439.0</v>
      </c>
      <c r="AA58" s="61">
        <v>1404.0</v>
      </c>
      <c r="AB58" s="61">
        <v>1369.0</v>
      </c>
      <c r="AC58" s="61">
        <v>1334.0</v>
      </c>
      <c r="AD58" s="61">
        <v>1299.0</v>
      </c>
      <c r="AE58" s="61">
        <v>1264.0</v>
      </c>
      <c r="AF58" s="61">
        <v>1229.0</v>
      </c>
      <c r="AG58" s="61">
        <v>1194.0</v>
      </c>
      <c r="AH58" s="61">
        <v>1159.0</v>
      </c>
      <c r="AI58" s="61">
        <v>1124.0</v>
      </c>
      <c r="AJ58" s="61">
        <v>1089.0</v>
      </c>
      <c r="AK58" s="61">
        <v>1054.0</v>
      </c>
      <c r="AL58" s="61">
        <v>1019.0</v>
      </c>
      <c r="AM58" s="61">
        <v>984.0</v>
      </c>
      <c r="AN58" s="61">
        <v>949.0</v>
      </c>
      <c r="AO58" s="61">
        <v>914.0</v>
      </c>
      <c r="AP58" s="61">
        <v>879.0</v>
      </c>
      <c r="AQ58" s="61">
        <v>844.0</v>
      </c>
      <c r="AR58" s="61">
        <v>809.0</v>
      </c>
      <c r="AS58" s="61">
        <v>774.0</v>
      </c>
      <c r="AT58" s="17">
        <v>18.0</v>
      </c>
    </row>
    <row r="59">
      <c r="A59" s="17">
        <v>54.0</v>
      </c>
      <c r="B59" s="61">
        <v>2322.0</v>
      </c>
      <c r="C59" s="61">
        <v>2285.0</v>
      </c>
      <c r="D59" s="61">
        <v>2248.0</v>
      </c>
      <c r="E59" s="61">
        <v>2211.0</v>
      </c>
      <c r="F59" s="61">
        <v>2174.0</v>
      </c>
      <c r="G59" s="61">
        <v>2137.0</v>
      </c>
      <c r="H59" s="61">
        <v>2100.0</v>
      </c>
      <c r="I59" s="61">
        <v>2063.0</v>
      </c>
      <c r="J59" s="61">
        <v>2026.0</v>
      </c>
      <c r="K59" s="61">
        <v>1989.0</v>
      </c>
      <c r="L59" s="61">
        <v>1952.0</v>
      </c>
      <c r="M59" s="61">
        <v>1915.0</v>
      </c>
      <c r="N59" s="61">
        <v>1878.0</v>
      </c>
      <c r="O59" s="61">
        <v>1841.0</v>
      </c>
      <c r="P59" s="61">
        <v>1804.0</v>
      </c>
      <c r="Q59" s="61">
        <v>1767.0</v>
      </c>
      <c r="R59" s="61">
        <v>1730.0</v>
      </c>
      <c r="S59" s="61">
        <v>1693.0</v>
      </c>
      <c r="T59" s="61">
        <v>1656.0</v>
      </c>
      <c r="U59" s="61">
        <v>1619.0</v>
      </c>
      <c r="V59" s="61">
        <v>1582.0</v>
      </c>
      <c r="W59" s="61">
        <v>1545.0</v>
      </c>
      <c r="X59" s="61">
        <v>1508.0</v>
      </c>
      <c r="Y59" s="61">
        <v>1471.0</v>
      </c>
      <c r="Z59" s="61">
        <v>1434.0</v>
      </c>
      <c r="AA59" s="61">
        <v>1397.0</v>
      </c>
      <c r="AB59" s="61">
        <v>1360.0</v>
      </c>
      <c r="AC59" s="61">
        <v>1323.0</v>
      </c>
      <c r="AD59" s="61">
        <v>1286.0</v>
      </c>
      <c r="AE59" s="61">
        <v>1249.0</v>
      </c>
      <c r="AF59" s="61">
        <v>1212.0</v>
      </c>
      <c r="AG59" s="61">
        <v>1175.0</v>
      </c>
      <c r="AH59" s="61">
        <v>1138.0</v>
      </c>
      <c r="AI59" s="61">
        <v>1101.0</v>
      </c>
      <c r="AJ59" s="61">
        <v>1064.0</v>
      </c>
      <c r="AK59" s="61">
        <v>1027.0</v>
      </c>
      <c r="AL59" s="61">
        <v>990.0</v>
      </c>
      <c r="AM59" s="61">
        <v>953.0</v>
      </c>
      <c r="AN59" s="61">
        <v>916.0</v>
      </c>
      <c r="AO59" s="61">
        <v>879.0</v>
      </c>
      <c r="AP59" s="61">
        <v>842.0</v>
      </c>
      <c r="AQ59" s="61">
        <v>805.0</v>
      </c>
      <c r="AR59" s="61">
        <v>768.0</v>
      </c>
      <c r="AS59" s="61">
        <v>731.0</v>
      </c>
      <c r="AT59" s="17">
        <v>17.0</v>
      </c>
    </row>
    <row r="60">
      <c r="A60" s="17">
        <v>55.0</v>
      </c>
      <c r="B60" s="61">
        <v>2365.0</v>
      </c>
      <c r="C60" s="61">
        <v>2326.0</v>
      </c>
      <c r="D60" s="61">
        <v>2287.0</v>
      </c>
      <c r="E60" s="61">
        <v>2248.0</v>
      </c>
      <c r="F60" s="61">
        <v>2209.0</v>
      </c>
      <c r="G60" s="61">
        <v>2170.0</v>
      </c>
      <c r="H60" s="61">
        <v>2131.0</v>
      </c>
      <c r="I60" s="61">
        <v>2092.0</v>
      </c>
      <c r="J60" s="61">
        <v>2053.0</v>
      </c>
      <c r="K60" s="61">
        <v>2014.0</v>
      </c>
      <c r="L60" s="61">
        <v>1975.0</v>
      </c>
      <c r="M60" s="61">
        <v>1936.0</v>
      </c>
      <c r="N60" s="61">
        <v>1897.0</v>
      </c>
      <c r="O60" s="61">
        <v>1858.0</v>
      </c>
      <c r="P60" s="61">
        <v>1819.0</v>
      </c>
      <c r="Q60" s="61">
        <v>1780.0</v>
      </c>
      <c r="R60" s="61">
        <v>1741.0</v>
      </c>
      <c r="S60" s="61">
        <v>1702.0</v>
      </c>
      <c r="T60" s="61">
        <v>1663.0</v>
      </c>
      <c r="U60" s="61">
        <v>1624.0</v>
      </c>
      <c r="V60" s="61">
        <v>1585.0</v>
      </c>
      <c r="W60" s="61">
        <v>1546.0</v>
      </c>
      <c r="X60" s="61">
        <v>1507.0</v>
      </c>
      <c r="Y60" s="61">
        <v>1468.0</v>
      </c>
      <c r="Z60" s="61">
        <v>1429.0</v>
      </c>
      <c r="AA60" s="61">
        <v>1390.0</v>
      </c>
      <c r="AB60" s="61">
        <v>1351.0</v>
      </c>
      <c r="AC60" s="61">
        <v>1312.0</v>
      </c>
      <c r="AD60" s="61">
        <v>1273.0</v>
      </c>
      <c r="AE60" s="61">
        <v>1234.0</v>
      </c>
      <c r="AF60" s="61">
        <v>1195.0</v>
      </c>
      <c r="AG60" s="61">
        <v>1156.0</v>
      </c>
      <c r="AH60" s="61">
        <v>1117.0</v>
      </c>
      <c r="AI60" s="61">
        <v>1078.0</v>
      </c>
      <c r="AJ60" s="61">
        <v>1039.0</v>
      </c>
      <c r="AK60" s="61">
        <v>1000.0</v>
      </c>
      <c r="AL60" s="61">
        <v>961.0</v>
      </c>
      <c r="AM60" s="61">
        <v>922.0</v>
      </c>
      <c r="AN60" s="61">
        <v>883.0</v>
      </c>
      <c r="AO60" s="61">
        <v>844.0</v>
      </c>
      <c r="AP60" s="61">
        <v>805.0</v>
      </c>
      <c r="AQ60" s="61">
        <v>766.0</v>
      </c>
      <c r="AR60" s="61">
        <v>727.0</v>
      </c>
      <c r="AS60" s="61">
        <v>688.0</v>
      </c>
      <c r="AT60" s="17">
        <v>16.0</v>
      </c>
    </row>
    <row r="61">
      <c r="A61" s="17">
        <v>56.0</v>
      </c>
      <c r="B61" s="61">
        <v>2408.0</v>
      </c>
      <c r="C61" s="61">
        <v>2367.0</v>
      </c>
      <c r="D61" s="61">
        <v>2326.0</v>
      </c>
      <c r="E61" s="61">
        <v>2285.0</v>
      </c>
      <c r="F61" s="61">
        <v>2244.0</v>
      </c>
      <c r="G61" s="61">
        <v>2203.0</v>
      </c>
      <c r="H61" s="61">
        <v>2162.0</v>
      </c>
      <c r="I61" s="61">
        <v>2121.0</v>
      </c>
      <c r="J61" s="61">
        <v>2080.0</v>
      </c>
      <c r="K61" s="61">
        <v>2039.0</v>
      </c>
      <c r="L61" s="61">
        <v>1998.0</v>
      </c>
      <c r="M61" s="61">
        <v>1957.0</v>
      </c>
      <c r="N61" s="61">
        <v>1916.0</v>
      </c>
      <c r="O61" s="61">
        <v>1875.0</v>
      </c>
      <c r="P61" s="61">
        <v>1834.0</v>
      </c>
      <c r="Q61" s="61">
        <v>1793.0</v>
      </c>
      <c r="R61" s="61">
        <v>1752.0</v>
      </c>
      <c r="S61" s="61">
        <v>1711.0</v>
      </c>
      <c r="T61" s="61">
        <v>1670.0</v>
      </c>
      <c r="U61" s="61">
        <v>1629.0</v>
      </c>
      <c r="V61" s="61">
        <v>1588.0</v>
      </c>
      <c r="W61" s="61">
        <v>1547.0</v>
      </c>
      <c r="X61" s="61">
        <v>1506.0</v>
      </c>
      <c r="Y61" s="61">
        <v>1465.0</v>
      </c>
      <c r="Z61" s="61">
        <v>1424.0</v>
      </c>
      <c r="AA61" s="61">
        <v>1383.0</v>
      </c>
      <c r="AB61" s="61">
        <v>1342.0</v>
      </c>
      <c r="AC61" s="61">
        <v>1301.0</v>
      </c>
      <c r="AD61" s="61">
        <v>1260.0</v>
      </c>
      <c r="AE61" s="61">
        <v>1219.0</v>
      </c>
      <c r="AF61" s="61">
        <v>1178.0</v>
      </c>
      <c r="AG61" s="61">
        <v>1137.0</v>
      </c>
      <c r="AH61" s="61">
        <v>1096.0</v>
      </c>
      <c r="AI61" s="61">
        <v>1055.0</v>
      </c>
      <c r="AJ61" s="61">
        <v>1014.0</v>
      </c>
      <c r="AK61" s="61">
        <v>973.0</v>
      </c>
      <c r="AL61" s="61">
        <v>932.0</v>
      </c>
      <c r="AM61" s="61">
        <v>891.0</v>
      </c>
      <c r="AN61" s="61">
        <v>850.0</v>
      </c>
      <c r="AO61" s="61">
        <v>809.0</v>
      </c>
      <c r="AP61" s="61">
        <v>768.0</v>
      </c>
      <c r="AQ61" s="61">
        <v>727.0</v>
      </c>
      <c r="AR61" s="61">
        <v>686.0</v>
      </c>
      <c r="AS61" s="61">
        <v>645.0</v>
      </c>
      <c r="AT61" s="17">
        <v>15.0</v>
      </c>
    </row>
    <row r="62">
      <c r="A62" s="17">
        <v>57.0</v>
      </c>
      <c r="B62" s="61">
        <v>2451.0</v>
      </c>
      <c r="C62" s="61">
        <v>2408.0</v>
      </c>
      <c r="D62" s="61">
        <v>2365.0</v>
      </c>
      <c r="E62" s="61">
        <v>2322.0</v>
      </c>
      <c r="F62" s="61">
        <v>2279.0</v>
      </c>
      <c r="G62" s="61">
        <v>2236.0</v>
      </c>
      <c r="H62" s="61">
        <v>2193.0</v>
      </c>
      <c r="I62" s="61">
        <v>2150.0</v>
      </c>
      <c r="J62" s="61">
        <v>2107.0</v>
      </c>
      <c r="K62" s="61">
        <v>2064.0</v>
      </c>
      <c r="L62" s="61">
        <v>2021.0</v>
      </c>
      <c r="M62" s="61">
        <v>1978.0</v>
      </c>
      <c r="N62" s="61">
        <v>1935.0</v>
      </c>
      <c r="O62" s="61">
        <v>1892.0</v>
      </c>
      <c r="P62" s="61">
        <v>1849.0</v>
      </c>
      <c r="Q62" s="61">
        <v>1806.0</v>
      </c>
      <c r="R62" s="61">
        <v>1763.0</v>
      </c>
      <c r="S62" s="61">
        <v>1720.0</v>
      </c>
      <c r="T62" s="61">
        <v>1677.0</v>
      </c>
      <c r="U62" s="61">
        <v>1634.0</v>
      </c>
      <c r="V62" s="61">
        <v>1591.0</v>
      </c>
      <c r="W62" s="61">
        <v>1548.0</v>
      </c>
      <c r="X62" s="61">
        <v>1505.0</v>
      </c>
      <c r="Y62" s="61">
        <v>1462.0</v>
      </c>
      <c r="Z62" s="61">
        <v>1419.0</v>
      </c>
      <c r="AA62" s="61">
        <v>1376.0</v>
      </c>
      <c r="AB62" s="61">
        <v>1333.0</v>
      </c>
      <c r="AC62" s="61">
        <v>1290.0</v>
      </c>
      <c r="AD62" s="61">
        <v>1247.0</v>
      </c>
      <c r="AE62" s="61">
        <v>1204.0</v>
      </c>
      <c r="AF62" s="61">
        <v>1161.0</v>
      </c>
      <c r="AG62" s="61">
        <v>1118.0</v>
      </c>
      <c r="AH62" s="61">
        <v>1075.0</v>
      </c>
      <c r="AI62" s="61">
        <v>1032.0</v>
      </c>
      <c r="AJ62" s="61">
        <v>989.0</v>
      </c>
      <c r="AK62" s="61">
        <v>946.0</v>
      </c>
      <c r="AL62" s="61">
        <v>903.0</v>
      </c>
      <c r="AM62" s="61">
        <v>860.0</v>
      </c>
      <c r="AN62" s="61">
        <v>817.0</v>
      </c>
      <c r="AO62" s="61">
        <v>774.0</v>
      </c>
      <c r="AP62" s="61">
        <v>731.0</v>
      </c>
      <c r="AQ62" s="61">
        <v>688.0</v>
      </c>
      <c r="AR62" s="61">
        <v>645.0</v>
      </c>
      <c r="AS62" s="61">
        <v>602.0</v>
      </c>
      <c r="AT62" s="17">
        <v>14.0</v>
      </c>
    </row>
    <row r="63">
      <c r="A63" s="17">
        <v>58.0</v>
      </c>
      <c r="B63" s="61">
        <v>2494.0</v>
      </c>
      <c r="C63" s="61">
        <v>2449.0</v>
      </c>
      <c r="D63" s="61">
        <v>2404.0</v>
      </c>
      <c r="E63" s="61">
        <v>2359.0</v>
      </c>
      <c r="F63" s="61">
        <v>2314.0</v>
      </c>
      <c r="G63" s="61">
        <v>2269.0</v>
      </c>
      <c r="H63" s="61">
        <v>2224.0</v>
      </c>
      <c r="I63" s="61">
        <v>2179.0</v>
      </c>
      <c r="J63" s="61">
        <v>2134.0</v>
      </c>
      <c r="K63" s="61">
        <v>2089.0</v>
      </c>
      <c r="L63" s="61">
        <v>2044.0</v>
      </c>
      <c r="M63" s="61">
        <v>1999.0</v>
      </c>
      <c r="N63" s="61">
        <v>1954.0</v>
      </c>
      <c r="O63" s="61">
        <v>1909.0</v>
      </c>
      <c r="P63" s="61">
        <v>1864.0</v>
      </c>
      <c r="Q63" s="61">
        <v>1819.0</v>
      </c>
      <c r="R63" s="61">
        <v>1774.0</v>
      </c>
      <c r="S63" s="61">
        <v>1729.0</v>
      </c>
      <c r="T63" s="61">
        <v>1684.0</v>
      </c>
      <c r="U63" s="61">
        <v>1639.0</v>
      </c>
      <c r="V63" s="61">
        <v>1594.0</v>
      </c>
      <c r="W63" s="61">
        <v>1549.0</v>
      </c>
      <c r="X63" s="61">
        <v>1504.0</v>
      </c>
      <c r="Y63" s="61">
        <v>1459.0</v>
      </c>
      <c r="Z63" s="61">
        <v>1414.0</v>
      </c>
      <c r="AA63" s="61">
        <v>1369.0</v>
      </c>
      <c r="AB63" s="61">
        <v>1324.0</v>
      </c>
      <c r="AC63" s="61">
        <v>1279.0</v>
      </c>
      <c r="AD63" s="61">
        <v>1234.0</v>
      </c>
      <c r="AE63" s="61">
        <v>1189.0</v>
      </c>
      <c r="AF63" s="61">
        <v>1144.0</v>
      </c>
      <c r="AG63" s="61">
        <v>1099.0</v>
      </c>
      <c r="AH63" s="61">
        <v>1054.0</v>
      </c>
      <c r="AI63" s="61">
        <v>1009.0</v>
      </c>
      <c r="AJ63" s="61">
        <v>964.0</v>
      </c>
      <c r="AK63" s="61">
        <v>919.0</v>
      </c>
      <c r="AL63" s="61">
        <v>874.0</v>
      </c>
      <c r="AM63" s="61">
        <v>829.0</v>
      </c>
      <c r="AN63" s="61">
        <v>784.0</v>
      </c>
      <c r="AO63" s="61">
        <v>739.0</v>
      </c>
      <c r="AP63" s="61">
        <v>694.0</v>
      </c>
      <c r="AQ63" s="61">
        <v>649.0</v>
      </c>
      <c r="AR63" s="61">
        <v>604.0</v>
      </c>
      <c r="AS63" s="61">
        <v>559.0</v>
      </c>
      <c r="AT63" s="17">
        <v>13.0</v>
      </c>
    </row>
    <row r="64">
      <c r="A64" s="17">
        <v>59.0</v>
      </c>
      <c r="B64" s="61">
        <v>2537.0</v>
      </c>
      <c r="C64" s="61">
        <v>2490.0</v>
      </c>
      <c r="D64" s="61">
        <v>2443.0</v>
      </c>
      <c r="E64" s="61">
        <v>2396.0</v>
      </c>
      <c r="F64" s="61">
        <v>2349.0</v>
      </c>
      <c r="G64" s="61">
        <v>2302.0</v>
      </c>
      <c r="H64" s="61">
        <v>2255.0</v>
      </c>
      <c r="I64" s="61">
        <v>2208.0</v>
      </c>
      <c r="J64" s="61">
        <v>2161.0</v>
      </c>
      <c r="K64" s="61">
        <v>2114.0</v>
      </c>
      <c r="L64" s="61">
        <v>2067.0</v>
      </c>
      <c r="M64" s="61">
        <v>2020.0</v>
      </c>
      <c r="N64" s="61">
        <v>1973.0</v>
      </c>
      <c r="O64" s="61">
        <v>1926.0</v>
      </c>
      <c r="P64" s="61">
        <v>1879.0</v>
      </c>
      <c r="Q64" s="61">
        <v>1832.0</v>
      </c>
      <c r="R64" s="61">
        <v>1785.0</v>
      </c>
      <c r="S64" s="61">
        <v>1738.0</v>
      </c>
      <c r="T64" s="61">
        <v>1691.0</v>
      </c>
      <c r="U64" s="61">
        <v>1644.0</v>
      </c>
      <c r="V64" s="61">
        <v>1597.0</v>
      </c>
      <c r="W64" s="61">
        <v>1550.0</v>
      </c>
      <c r="X64" s="61">
        <v>1503.0</v>
      </c>
      <c r="Y64" s="61">
        <v>1456.0</v>
      </c>
      <c r="Z64" s="61">
        <v>1409.0</v>
      </c>
      <c r="AA64" s="61">
        <v>1362.0</v>
      </c>
      <c r="AB64" s="61">
        <v>1315.0</v>
      </c>
      <c r="AC64" s="61">
        <v>1268.0</v>
      </c>
      <c r="AD64" s="61">
        <v>1221.0</v>
      </c>
      <c r="AE64" s="61">
        <v>1174.0</v>
      </c>
      <c r="AF64" s="61">
        <v>1127.0</v>
      </c>
      <c r="AG64" s="61">
        <v>1080.0</v>
      </c>
      <c r="AH64" s="61">
        <v>1033.0</v>
      </c>
      <c r="AI64" s="61">
        <v>986.0</v>
      </c>
      <c r="AJ64" s="61">
        <v>939.0</v>
      </c>
      <c r="AK64" s="61">
        <v>892.0</v>
      </c>
      <c r="AL64" s="61">
        <v>845.0</v>
      </c>
      <c r="AM64" s="61">
        <v>798.0</v>
      </c>
      <c r="AN64" s="61">
        <v>751.0</v>
      </c>
      <c r="AO64" s="61">
        <v>704.0</v>
      </c>
      <c r="AP64" s="61">
        <v>657.0</v>
      </c>
      <c r="AQ64" s="61">
        <v>610.0</v>
      </c>
      <c r="AR64" s="61">
        <v>563.0</v>
      </c>
      <c r="AS64" s="61">
        <v>516.0</v>
      </c>
      <c r="AT64" s="17">
        <v>12.0</v>
      </c>
    </row>
    <row r="65">
      <c r="A65" s="17">
        <v>60.0</v>
      </c>
      <c r="B65" s="61">
        <v>2580.0</v>
      </c>
      <c r="C65" s="61">
        <v>2531.0</v>
      </c>
      <c r="D65" s="61">
        <v>2482.0</v>
      </c>
      <c r="E65" s="61">
        <v>2433.0</v>
      </c>
      <c r="F65" s="61">
        <v>2384.0</v>
      </c>
      <c r="G65" s="61">
        <v>2335.0</v>
      </c>
      <c r="H65" s="61">
        <v>2286.0</v>
      </c>
      <c r="I65" s="61">
        <v>2237.0</v>
      </c>
      <c r="J65" s="61">
        <v>2188.0</v>
      </c>
      <c r="K65" s="61">
        <v>2139.0</v>
      </c>
      <c r="L65" s="61">
        <v>2090.0</v>
      </c>
      <c r="M65" s="61">
        <v>2041.0</v>
      </c>
      <c r="N65" s="61">
        <v>1992.0</v>
      </c>
      <c r="O65" s="61">
        <v>1943.0</v>
      </c>
      <c r="P65" s="61">
        <v>1894.0</v>
      </c>
      <c r="Q65" s="61">
        <v>1845.0</v>
      </c>
      <c r="R65" s="61">
        <v>1796.0</v>
      </c>
      <c r="S65" s="61">
        <v>1747.0</v>
      </c>
      <c r="T65" s="61">
        <v>1698.0</v>
      </c>
      <c r="U65" s="61">
        <v>1649.0</v>
      </c>
      <c r="V65" s="61">
        <v>1600.0</v>
      </c>
      <c r="W65" s="61">
        <v>1551.0</v>
      </c>
      <c r="X65" s="61">
        <v>1502.0</v>
      </c>
      <c r="Y65" s="61">
        <v>1453.0</v>
      </c>
      <c r="Z65" s="61">
        <v>1404.0</v>
      </c>
      <c r="AA65" s="61">
        <v>1355.0</v>
      </c>
      <c r="AB65" s="61">
        <v>1306.0</v>
      </c>
      <c r="AC65" s="61">
        <v>1257.0</v>
      </c>
      <c r="AD65" s="61">
        <v>1208.0</v>
      </c>
      <c r="AE65" s="61">
        <v>1159.0</v>
      </c>
      <c r="AF65" s="61">
        <v>1110.0</v>
      </c>
      <c r="AG65" s="61">
        <v>1061.0</v>
      </c>
      <c r="AH65" s="61">
        <v>1012.0</v>
      </c>
      <c r="AI65" s="61">
        <v>963.0</v>
      </c>
      <c r="AJ65" s="61">
        <v>914.0</v>
      </c>
      <c r="AK65" s="61">
        <v>865.0</v>
      </c>
      <c r="AL65" s="61">
        <v>816.0</v>
      </c>
      <c r="AM65" s="61">
        <v>767.0</v>
      </c>
      <c r="AN65" s="61">
        <v>718.0</v>
      </c>
      <c r="AO65" s="61">
        <v>669.0</v>
      </c>
      <c r="AP65" s="61">
        <v>620.0</v>
      </c>
      <c r="AQ65" s="61">
        <v>571.0</v>
      </c>
      <c r="AR65" s="61">
        <v>522.0</v>
      </c>
      <c r="AS65" s="61">
        <v>473.0</v>
      </c>
      <c r="AT65" s="17">
        <v>11.0</v>
      </c>
    </row>
    <row r="66">
      <c r="A66" s="17">
        <v>61.0</v>
      </c>
      <c r="B66" s="61">
        <v>2623.0</v>
      </c>
      <c r="C66" s="61">
        <v>2572.0</v>
      </c>
      <c r="D66" s="61">
        <v>2521.0</v>
      </c>
      <c r="E66" s="61">
        <v>2470.0</v>
      </c>
      <c r="F66" s="61">
        <v>2419.0</v>
      </c>
      <c r="G66" s="61">
        <v>2368.0</v>
      </c>
      <c r="H66" s="61">
        <v>2317.0</v>
      </c>
      <c r="I66" s="61">
        <v>2266.0</v>
      </c>
      <c r="J66" s="61">
        <v>2215.0</v>
      </c>
      <c r="K66" s="61">
        <v>2164.0</v>
      </c>
      <c r="L66" s="61">
        <v>2113.0</v>
      </c>
      <c r="M66" s="61">
        <v>2062.0</v>
      </c>
      <c r="N66" s="61">
        <v>2011.0</v>
      </c>
      <c r="O66" s="61">
        <v>1960.0</v>
      </c>
      <c r="P66" s="61">
        <v>1909.0</v>
      </c>
      <c r="Q66" s="61">
        <v>1858.0</v>
      </c>
      <c r="R66" s="61">
        <v>1807.0</v>
      </c>
      <c r="S66" s="61">
        <v>1756.0</v>
      </c>
      <c r="T66" s="61">
        <v>1705.0</v>
      </c>
      <c r="U66" s="61">
        <v>1654.0</v>
      </c>
      <c r="V66" s="61">
        <v>1603.0</v>
      </c>
      <c r="W66" s="61">
        <v>1552.0</v>
      </c>
      <c r="X66" s="61">
        <v>1501.0</v>
      </c>
      <c r="Y66" s="61">
        <v>1450.0</v>
      </c>
      <c r="Z66" s="61">
        <v>1399.0</v>
      </c>
      <c r="AA66" s="61">
        <v>1348.0</v>
      </c>
      <c r="AB66" s="61">
        <v>1297.0</v>
      </c>
      <c r="AC66" s="61">
        <v>1246.0</v>
      </c>
      <c r="AD66" s="61">
        <v>1195.0</v>
      </c>
      <c r="AE66" s="61">
        <v>1144.0</v>
      </c>
      <c r="AF66" s="61">
        <v>1093.0</v>
      </c>
      <c r="AG66" s="61">
        <v>1042.0</v>
      </c>
      <c r="AH66" s="61">
        <v>991.0</v>
      </c>
      <c r="AI66" s="61">
        <v>940.0</v>
      </c>
      <c r="AJ66" s="61">
        <v>889.0</v>
      </c>
      <c r="AK66" s="61">
        <v>838.0</v>
      </c>
      <c r="AL66" s="61">
        <v>787.0</v>
      </c>
      <c r="AM66" s="61">
        <v>736.0</v>
      </c>
      <c r="AN66" s="61">
        <v>685.0</v>
      </c>
      <c r="AO66" s="61">
        <v>634.0</v>
      </c>
      <c r="AP66" s="61">
        <v>583.0</v>
      </c>
      <c r="AQ66" s="61">
        <v>532.0</v>
      </c>
      <c r="AR66" s="61">
        <v>481.0</v>
      </c>
      <c r="AS66" s="61">
        <v>430.0</v>
      </c>
      <c r="AT66" s="17">
        <v>10.0</v>
      </c>
    </row>
    <row r="67">
      <c r="A67" s="17">
        <v>62.0</v>
      </c>
      <c r="B67" s="61">
        <v>2666.0</v>
      </c>
      <c r="C67" s="61">
        <v>2613.0</v>
      </c>
      <c r="D67" s="61">
        <v>2560.0</v>
      </c>
      <c r="E67" s="61">
        <v>2507.0</v>
      </c>
      <c r="F67" s="61">
        <v>2454.0</v>
      </c>
      <c r="G67" s="61">
        <v>2401.0</v>
      </c>
      <c r="H67" s="61">
        <v>2348.0</v>
      </c>
      <c r="I67" s="61">
        <v>2295.0</v>
      </c>
      <c r="J67" s="61">
        <v>2242.0</v>
      </c>
      <c r="K67" s="61">
        <v>2189.0</v>
      </c>
      <c r="L67" s="61">
        <v>2136.0</v>
      </c>
      <c r="M67" s="61">
        <v>2083.0</v>
      </c>
      <c r="N67" s="61">
        <v>2030.0</v>
      </c>
      <c r="O67" s="61">
        <v>1977.0</v>
      </c>
      <c r="P67" s="61">
        <v>1924.0</v>
      </c>
      <c r="Q67" s="61">
        <v>1871.0</v>
      </c>
      <c r="R67" s="61">
        <v>1818.0</v>
      </c>
      <c r="S67" s="61">
        <v>1765.0</v>
      </c>
      <c r="T67" s="61">
        <v>1712.0</v>
      </c>
      <c r="U67" s="61">
        <v>1659.0</v>
      </c>
      <c r="V67" s="61">
        <v>1606.0</v>
      </c>
      <c r="W67" s="61">
        <v>1553.0</v>
      </c>
      <c r="X67" s="61">
        <v>1500.0</v>
      </c>
      <c r="Y67" s="61">
        <v>1447.0</v>
      </c>
      <c r="Z67" s="61">
        <v>1394.0</v>
      </c>
      <c r="AA67" s="61">
        <v>1341.0</v>
      </c>
      <c r="AB67" s="61">
        <v>1288.0</v>
      </c>
      <c r="AC67" s="61">
        <v>1235.0</v>
      </c>
      <c r="AD67" s="61">
        <v>1182.0</v>
      </c>
      <c r="AE67" s="61">
        <v>1129.0</v>
      </c>
      <c r="AF67" s="61">
        <v>1076.0</v>
      </c>
      <c r="AG67" s="61">
        <v>1023.0</v>
      </c>
      <c r="AH67" s="61">
        <v>970.0</v>
      </c>
      <c r="AI67" s="61">
        <v>917.0</v>
      </c>
      <c r="AJ67" s="61">
        <v>864.0</v>
      </c>
      <c r="AK67" s="61">
        <v>811.0</v>
      </c>
      <c r="AL67" s="61">
        <v>758.0</v>
      </c>
      <c r="AM67" s="61">
        <v>705.0</v>
      </c>
      <c r="AN67" s="61">
        <v>652.0</v>
      </c>
      <c r="AO67" s="61">
        <v>599.0</v>
      </c>
      <c r="AP67" s="61">
        <v>546.0</v>
      </c>
      <c r="AQ67" s="61">
        <v>493.0</v>
      </c>
      <c r="AR67" s="61">
        <v>440.0</v>
      </c>
      <c r="AS67" s="61">
        <v>387.0</v>
      </c>
      <c r="AT67" s="17">
        <v>9.0</v>
      </c>
    </row>
    <row r="68">
      <c r="A68" s="17">
        <v>63.0</v>
      </c>
      <c r="B68" s="61">
        <v>2709.0</v>
      </c>
      <c r="C68" s="61">
        <v>2654.0</v>
      </c>
      <c r="D68" s="61">
        <v>2599.0</v>
      </c>
      <c r="E68" s="61">
        <v>2544.0</v>
      </c>
      <c r="F68" s="61">
        <v>2489.0</v>
      </c>
      <c r="G68" s="61">
        <v>2434.0</v>
      </c>
      <c r="H68" s="61">
        <v>2379.0</v>
      </c>
      <c r="I68" s="61">
        <v>2324.0</v>
      </c>
      <c r="J68" s="61">
        <v>2269.0</v>
      </c>
      <c r="K68" s="61">
        <v>2214.0</v>
      </c>
      <c r="L68" s="61">
        <v>2159.0</v>
      </c>
      <c r="M68" s="61">
        <v>2104.0</v>
      </c>
      <c r="N68" s="61">
        <v>2049.0</v>
      </c>
      <c r="O68" s="61">
        <v>1994.0</v>
      </c>
      <c r="P68" s="61">
        <v>1939.0</v>
      </c>
      <c r="Q68" s="61">
        <v>1884.0</v>
      </c>
      <c r="R68" s="61">
        <v>1829.0</v>
      </c>
      <c r="S68" s="61">
        <v>1774.0</v>
      </c>
      <c r="T68" s="61">
        <v>1719.0</v>
      </c>
      <c r="U68" s="61">
        <v>1664.0</v>
      </c>
      <c r="V68" s="61">
        <v>1609.0</v>
      </c>
      <c r="W68" s="61">
        <v>1554.0</v>
      </c>
      <c r="X68" s="61">
        <v>1499.0</v>
      </c>
      <c r="Y68" s="61">
        <v>1444.0</v>
      </c>
      <c r="Z68" s="61">
        <v>1389.0</v>
      </c>
      <c r="AA68" s="61">
        <v>1334.0</v>
      </c>
      <c r="AB68" s="61">
        <v>1279.0</v>
      </c>
      <c r="AC68" s="61">
        <v>1224.0</v>
      </c>
      <c r="AD68" s="61">
        <v>1169.0</v>
      </c>
      <c r="AE68" s="61">
        <v>1114.0</v>
      </c>
      <c r="AF68" s="61">
        <v>1059.0</v>
      </c>
      <c r="AG68" s="61">
        <v>1004.0</v>
      </c>
      <c r="AH68" s="61">
        <v>949.0</v>
      </c>
      <c r="AI68" s="61">
        <v>894.0</v>
      </c>
      <c r="AJ68" s="61">
        <v>839.0</v>
      </c>
      <c r="AK68" s="61">
        <v>784.0</v>
      </c>
      <c r="AL68" s="61">
        <v>729.0</v>
      </c>
      <c r="AM68" s="61">
        <v>674.0</v>
      </c>
      <c r="AN68" s="61">
        <v>619.0</v>
      </c>
      <c r="AO68" s="61">
        <v>564.0</v>
      </c>
      <c r="AP68" s="61">
        <v>509.0</v>
      </c>
      <c r="AQ68" s="61">
        <v>454.0</v>
      </c>
      <c r="AR68" s="61">
        <v>399.0</v>
      </c>
      <c r="AS68" s="61">
        <v>344.0</v>
      </c>
      <c r="AT68" s="17">
        <v>8.0</v>
      </c>
    </row>
    <row r="69">
      <c r="A69" s="17">
        <v>64.0</v>
      </c>
      <c r="B69" s="61">
        <v>2752.0</v>
      </c>
      <c r="C69" s="61">
        <v>2695.0</v>
      </c>
      <c r="D69" s="61">
        <v>2638.0</v>
      </c>
      <c r="E69" s="61">
        <v>2581.0</v>
      </c>
      <c r="F69" s="61">
        <v>2524.0</v>
      </c>
      <c r="G69" s="61">
        <v>2467.0</v>
      </c>
      <c r="H69" s="61">
        <v>2410.0</v>
      </c>
      <c r="I69" s="61">
        <v>2353.0</v>
      </c>
      <c r="J69" s="61">
        <v>2296.0</v>
      </c>
      <c r="K69" s="61">
        <v>2239.0</v>
      </c>
      <c r="L69" s="61">
        <v>2182.0</v>
      </c>
      <c r="M69" s="61">
        <v>2125.0</v>
      </c>
      <c r="N69" s="61">
        <v>2068.0</v>
      </c>
      <c r="O69" s="61">
        <v>2011.0</v>
      </c>
      <c r="P69" s="61">
        <v>1954.0</v>
      </c>
      <c r="Q69" s="61">
        <v>1897.0</v>
      </c>
      <c r="R69" s="61">
        <v>1840.0</v>
      </c>
      <c r="S69" s="61">
        <v>1783.0</v>
      </c>
      <c r="T69" s="61">
        <v>1726.0</v>
      </c>
      <c r="U69" s="61">
        <v>1669.0</v>
      </c>
      <c r="V69" s="61">
        <v>1612.0</v>
      </c>
      <c r="W69" s="61">
        <v>1555.0</v>
      </c>
      <c r="X69" s="61">
        <v>1498.0</v>
      </c>
      <c r="Y69" s="61">
        <v>1441.0</v>
      </c>
      <c r="Z69" s="61">
        <v>1384.0</v>
      </c>
      <c r="AA69" s="61">
        <v>1327.0</v>
      </c>
      <c r="AB69" s="61">
        <v>1270.0</v>
      </c>
      <c r="AC69" s="61">
        <v>1213.0</v>
      </c>
      <c r="AD69" s="61">
        <v>1156.0</v>
      </c>
      <c r="AE69" s="61">
        <v>1099.0</v>
      </c>
      <c r="AF69" s="61">
        <v>1042.0</v>
      </c>
      <c r="AG69" s="61">
        <v>985.0</v>
      </c>
      <c r="AH69" s="61">
        <v>928.0</v>
      </c>
      <c r="AI69" s="61">
        <v>871.0</v>
      </c>
      <c r="AJ69" s="61">
        <v>814.0</v>
      </c>
      <c r="AK69" s="61">
        <v>757.0</v>
      </c>
      <c r="AL69" s="61">
        <v>700.0</v>
      </c>
      <c r="AM69" s="61">
        <v>643.0</v>
      </c>
      <c r="AN69" s="61">
        <v>586.0</v>
      </c>
      <c r="AO69" s="61">
        <v>529.0</v>
      </c>
      <c r="AP69" s="61">
        <v>472.0</v>
      </c>
      <c r="AQ69" s="61">
        <v>415.0</v>
      </c>
      <c r="AR69" s="61">
        <v>358.0</v>
      </c>
      <c r="AS69" s="61">
        <v>301.0</v>
      </c>
      <c r="AT69" s="17">
        <v>7.0</v>
      </c>
    </row>
    <row r="70">
      <c r="A70" s="17">
        <v>65.0</v>
      </c>
      <c r="B70" s="61">
        <v>2795.0</v>
      </c>
      <c r="C70" s="61">
        <v>2736.0</v>
      </c>
      <c r="D70" s="61">
        <v>2677.0</v>
      </c>
      <c r="E70" s="61">
        <v>2618.0</v>
      </c>
      <c r="F70" s="61">
        <v>2559.0</v>
      </c>
      <c r="G70" s="61">
        <v>2500.0</v>
      </c>
      <c r="H70" s="61">
        <v>2441.0</v>
      </c>
      <c r="I70" s="61">
        <v>2382.0</v>
      </c>
      <c r="J70" s="61">
        <v>2323.0</v>
      </c>
      <c r="K70" s="61">
        <v>2264.0</v>
      </c>
      <c r="L70" s="61">
        <v>2205.0</v>
      </c>
      <c r="M70" s="61">
        <v>2146.0</v>
      </c>
      <c r="N70" s="61">
        <v>2087.0</v>
      </c>
      <c r="O70" s="61">
        <v>2028.0</v>
      </c>
      <c r="P70" s="61">
        <v>1969.0</v>
      </c>
      <c r="Q70" s="61">
        <v>1910.0</v>
      </c>
      <c r="R70" s="61">
        <v>1851.0</v>
      </c>
      <c r="S70" s="61">
        <v>1792.0</v>
      </c>
      <c r="T70" s="61">
        <v>1733.0</v>
      </c>
      <c r="U70" s="61">
        <v>1674.0</v>
      </c>
      <c r="V70" s="61">
        <v>1615.0</v>
      </c>
      <c r="W70" s="61">
        <v>1556.0</v>
      </c>
      <c r="X70" s="61">
        <v>1497.0</v>
      </c>
      <c r="Y70" s="61">
        <v>1438.0</v>
      </c>
      <c r="Z70" s="61">
        <v>1379.0</v>
      </c>
      <c r="AA70" s="61">
        <v>1320.0</v>
      </c>
      <c r="AB70" s="61">
        <v>1261.0</v>
      </c>
      <c r="AC70" s="61">
        <v>1202.0</v>
      </c>
      <c r="AD70" s="61">
        <v>1143.0</v>
      </c>
      <c r="AE70" s="61">
        <v>1084.0</v>
      </c>
      <c r="AF70" s="61">
        <v>1025.0</v>
      </c>
      <c r="AG70" s="61">
        <v>966.0</v>
      </c>
      <c r="AH70" s="61">
        <v>907.0</v>
      </c>
      <c r="AI70" s="61">
        <v>848.0</v>
      </c>
      <c r="AJ70" s="61">
        <v>789.0</v>
      </c>
      <c r="AK70" s="61">
        <v>730.0</v>
      </c>
      <c r="AL70" s="61">
        <v>671.0</v>
      </c>
      <c r="AM70" s="61">
        <v>612.0</v>
      </c>
      <c r="AN70" s="61">
        <v>553.0</v>
      </c>
      <c r="AO70" s="61">
        <v>494.0</v>
      </c>
      <c r="AP70" s="61">
        <v>435.0</v>
      </c>
      <c r="AQ70" s="61">
        <v>376.0</v>
      </c>
      <c r="AR70" s="61">
        <v>317.0</v>
      </c>
      <c r="AS70" s="61">
        <v>258.0</v>
      </c>
      <c r="AT70" s="17">
        <v>6.0</v>
      </c>
    </row>
    <row r="71">
      <c r="A71" s="17">
        <v>66.0</v>
      </c>
      <c r="B71" s="61">
        <v>2838.0</v>
      </c>
      <c r="C71" s="61">
        <v>2777.0</v>
      </c>
      <c r="D71" s="61">
        <v>2716.0</v>
      </c>
      <c r="E71" s="61">
        <v>2655.0</v>
      </c>
      <c r="F71" s="61">
        <v>2594.0</v>
      </c>
      <c r="G71" s="61">
        <v>2533.0</v>
      </c>
      <c r="H71" s="61">
        <v>2472.0</v>
      </c>
      <c r="I71" s="61">
        <v>2411.0</v>
      </c>
      <c r="J71" s="61">
        <v>2350.0</v>
      </c>
      <c r="K71" s="61">
        <v>2289.0</v>
      </c>
      <c r="L71" s="61">
        <v>2228.0</v>
      </c>
      <c r="M71" s="61">
        <v>2167.0</v>
      </c>
      <c r="N71" s="61">
        <v>2106.0</v>
      </c>
      <c r="O71" s="61">
        <v>2045.0</v>
      </c>
      <c r="P71" s="61">
        <v>1984.0</v>
      </c>
      <c r="Q71" s="61">
        <v>1923.0</v>
      </c>
      <c r="R71" s="61">
        <v>1862.0</v>
      </c>
      <c r="S71" s="61">
        <v>1801.0</v>
      </c>
      <c r="T71" s="61">
        <v>1740.0</v>
      </c>
      <c r="U71" s="61">
        <v>1679.0</v>
      </c>
      <c r="V71" s="61">
        <v>1618.0</v>
      </c>
      <c r="W71" s="61">
        <v>1557.0</v>
      </c>
      <c r="X71" s="61">
        <v>1496.0</v>
      </c>
      <c r="Y71" s="61">
        <v>1435.0</v>
      </c>
      <c r="Z71" s="61">
        <v>1374.0</v>
      </c>
      <c r="AA71" s="61">
        <v>1313.0</v>
      </c>
      <c r="AB71" s="61">
        <v>1252.0</v>
      </c>
      <c r="AC71" s="61">
        <v>1191.0</v>
      </c>
      <c r="AD71" s="61">
        <v>1130.0</v>
      </c>
      <c r="AE71" s="61">
        <v>1069.0</v>
      </c>
      <c r="AF71" s="61">
        <v>1008.0</v>
      </c>
      <c r="AG71" s="61">
        <v>947.0</v>
      </c>
      <c r="AH71" s="61">
        <v>886.0</v>
      </c>
      <c r="AI71" s="61">
        <v>825.0</v>
      </c>
      <c r="AJ71" s="61">
        <v>764.0</v>
      </c>
      <c r="AK71" s="61">
        <v>703.0</v>
      </c>
      <c r="AL71" s="61">
        <v>642.0</v>
      </c>
      <c r="AM71" s="61">
        <v>581.0</v>
      </c>
      <c r="AN71" s="61">
        <v>520.0</v>
      </c>
      <c r="AO71" s="61">
        <v>459.0</v>
      </c>
      <c r="AP71" s="61">
        <v>398.0</v>
      </c>
      <c r="AQ71" s="61">
        <v>337.0</v>
      </c>
      <c r="AR71" s="61">
        <v>276.0</v>
      </c>
      <c r="AS71" s="61">
        <v>215.0</v>
      </c>
      <c r="AT71" s="17">
        <v>5.0</v>
      </c>
    </row>
    <row r="72">
      <c r="A72" s="17">
        <v>67.0</v>
      </c>
      <c r="B72" s="61">
        <v>2881.0</v>
      </c>
      <c r="C72" s="61">
        <v>2818.0</v>
      </c>
      <c r="D72" s="61">
        <v>2755.0</v>
      </c>
      <c r="E72" s="61">
        <v>2692.0</v>
      </c>
      <c r="F72" s="61">
        <v>2629.0</v>
      </c>
      <c r="G72" s="61">
        <v>2566.0</v>
      </c>
      <c r="H72" s="61">
        <v>2503.0</v>
      </c>
      <c r="I72" s="61">
        <v>2440.0</v>
      </c>
      <c r="J72" s="61">
        <v>2377.0</v>
      </c>
      <c r="K72" s="61">
        <v>2314.0</v>
      </c>
      <c r="L72" s="61">
        <v>2251.0</v>
      </c>
      <c r="M72" s="61">
        <v>2188.0</v>
      </c>
      <c r="N72" s="61">
        <v>2125.0</v>
      </c>
      <c r="O72" s="61">
        <v>2062.0</v>
      </c>
      <c r="P72" s="61">
        <v>1999.0</v>
      </c>
      <c r="Q72" s="61">
        <v>1936.0</v>
      </c>
      <c r="R72" s="61">
        <v>1873.0</v>
      </c>
      <c r="S72" s="61">
        <v>1810.0</v>
      </c>
      <c r="T72" s="61">
        <v>1747.0</v>
      </c>
      <c r="U72" s="61">
        <v>1684.0</v>
      </c>
      <c r="V72" s="61">
        <v>1621.0</v>
      </c>
      <c r="W72" s="61">
        <v>1558.0</v>
      </c>
      <c r="X72" s="61">
        <v>1495.0</v>
      </c>
      <c r="Y72" s="61">
        <v>1432.0</v>
      </c>
      <c r="Z72" s="61">
        <v>1369.0</v>
      </c>
      <c r="AA72" s="61">
        <v>1306.0</v>
      </c>
      <c r="AB72" s="61">
        <v>1243.0</v>
      </c>
      <c r="AC72" s="61">
        <v>1180.0</v>
      </c>
      <c r="AD72" s="61">
        <v>1117.0</v>
      </c>
      <c r="AE72" s="61">
        <v>1054.0</v>
      </c>
      <c r="AF72" s="61">
        <v>991.0</v>
      </c>
      <c r="AG72" s="61">
        <v>928.0</v>
      </c>
      <c r="AH72" s="61">
        <v>865.0</v>
      </c>
      <c r="AI72" s="61">
        <v>802.0</v>
      </c>
      <c r="AJ72" s="61">
        <v>739.0</v>
      </c>
      <c r="AK72" s="61">
        <v>676.0</v>
      </c>
      <c r="AL72" s="61">
        <v>613.0</v>
      </c>
      <c r="AM72" s="61">
        <v>550.0</v>
      </c>
      <c r="AN72" s="61">
        <v>487.0</v>
      </c>
      <c r="AO72" s="61">
        <v>424.0</v>
      </c>
      <c r="AP72" s="61">
        <v>361.0</v>
      </c>
      <c r="AQ72" s="61">
        <v>298.0</v>
      </c>
      <c r="AR72" s="61">
        <v>235.0</v>
      </c>
      <c r="AS72" s="61">
        <v>172.0</v>
      </c>
      <c r="AT72" s="17">
        <v>4.0</v>
      </c>
    </row>
    <row r="73">
      <c r="A73" s="17">
        <v>68.0</v>
      </c>
      <c r="B73" s="61">
        <v>2924.0</v>
      </c>
      <c r="C73" s="61">
        <v>2859.0</v>
      </c>
      <c r="D73" s="61">
        <v>2794.0</v>
      </c>
      <c r="E73" s="61">
        <v>2729.0</v>
      </c>
      <c r="F73" s="61">
        <v>2664.0</v>
      </c>
      <c r="G73" s="61">
        <v>2599.0</v>
      </c>
      <c r="H73" s="61">
        <v>2534.0</v>
      </c>
      <c r="I73" s="61">
        <v>2469.0</v>
      </c>
      <c r="J73" s="61">
        <v>2404.0</v>
      </c>
      <c r="K73" s="61">
        <v>2339.0</v>
      </c>
      <c r="L73" s="61">
        <v>2274.0</v>
      </c>
      <c r="M73" s="61">
        <v>2209.0</v>
      </c>
      <c r="N73" s="61">
        <v>2144.0</v>
      </c>
      <c r="O73" s="61">
        <v>2079.0</v>
      </c>
      <c r="P73" s="61">
        <v>2014.0</v>
      </c>
      <c r="Q73" s="61">
        <v>1949.0</v>
      </c>
      <c r="R73" s="61">
        <v>1884.0</v>
      </c>
      <c r="S73" s="61">
        <v>1819.0</v>
      </c>
      <c r="T73" s="61">
        <v>1754.0</v>
      </c>
      <c r="U73" s="61">
        <v>1689.0</v>
      </c>
      <c r="V73" s="61">
        <v>1624.0</v>
      </c>
      <c r="W73" s="61">
        <v>1559.0</v>
      </c>
      <c r="X73" s="61">
        <v>1494.0</v>
      </c>
      <c r="Y73" s="61">
        <v>1429.0</v>
      </c>
      <c r="Z73" s="61">
        <v>1364.0</v>
      </c>
      <c r="AA73" s="61">
        <v>1299.0</v>
      </c>
      <c r="AB73" s="61">
        <v>1234.0</v>
      </c>
      <c r="AC73" s="61">
        <v>1169.0</v>
      </c>
      <c r="AD73" s="61">
        <v>1104.0</v>
      </c>
      <c r="AE73" s="61">
        <v>1039.0</v>
      </c>
      <c r="AF73" s="61">
        <v>974.0</v>
      </c>
      <c r="AG73" s="61">
        <v>909.0</v>
      </c>
      <c r="AH73" s="61">
        <v>844.0</v>
      </c>
      <c r="AI73" s="61">
        <v>779.0</v>
      </c>
      <c r="AJ73" s="61">
        <v>714.0</v>
      </c>
      <c r="AK73" s="61">
        <v>649.0</v>
      </c>
      <c r="AL73" s="61">
        <v>584.0</v>
      </c>
      <c r="AM73" s="61">
        <v>519.0</v>
      </c>
      <c r="AN73" s="61">
        <v>454.0</v>
      </c>
      <c r="AO73" s="61">
        <v>389.0</v>
      </c>
      <c r="AP73" s="61">
        <v>324.0</v>
      </c>
      <c r="AQ73" s="61">
        <v>259.0</v>
      </c>
      <c r="AR73" s="61">
        <v>194.0</v>
      </c>
      <c r="AS73" s="61">
        <v>129.0</v>
      </c>
      <c r="AT73" s="17">
        <v>3.0</v>
      </c>
    </row>
    <row r="74">
      <c r="A74" s="17">
        <v>69.0</v>
      </c>
      <c r="B74" s="61">
        <v>2967.0</v>
      </c>
      <c r="C74" s="61">
        <v>2900.0</v>
      </c>
      <c r="D74" s="61">
        <v>2833.0</v>
      </c>
      <c r="E74" s="61">
        <v>2766.0</v>
      </c>
      <c r="F74" s="61">
        <v>2699.0</v>
      </c>
      <c r="G74" s="61">
        <v>2632.0</v>
      </c>
      <c r="H74" s="61">
        <v>2565.0</v>
      </c>
      <c r="I74" s="61">
        <v>2498.0</v>
      </c>
      <c r="J74" s="61">
        <v>2431.0</v>
      </c>
      <c r="K74" s="61">
        <v>2364.0</v>
      </c>
      <c r="L74" s="61">
        <v>2297.0</v>
      </c>
      <c r="M74" s="61">
        <v>2230.0</v>
      </c>
      <c r="N74" s="61">
        <v>2163.0</v>
      </c>
      <c r="O74" s="61">
        <v>2096.0</v>
      </c>
      <c r="P74" s="61">
        <v>2029.0</v>
      </c>
      <c r="Q74" s="61">
        <v>1962.0</v>
      </c>
      <c r="R74" s="61">
        <v>1895.0</v>
      </c>
      <c r="S74" s="61">
        <v>1828.0</v>
      </c>
      <c r="T74" s="61">
        <v>1761.0</v>
      </c>
      <c r="U74" s="61">
        <v>1694.0</v>
      </c>
      <c r="V74" s="61">
        <v>1627.0</v>
      </c>
      <c r="W74" s="61">
        <v>1560.0</v>
      </c>
      <c r="X74" s="61">
        <v>1493.0</v>
      </c>
      <c r="Y74" s="61">
        <v>1426.0</v>
      </c>
      <c r="Z74" s="61">
        <v>1359.0</v>
      </c>
      <c r="AA74" s="61">
        <v>1292.0</v>
      </c>
      <c r="AB74" s="61">
        <v>1225.0</v>
      </c>
      <c r="AC74" s="61">
        <v>1158.0</v>
      </c>
      <c r="AD74" s="61">
        <v>1091.0</v>
      </c>
      <c r="AE74" s="61">
        <v>1024.0</v>
      </c>
      <c r="AF74" s="61">
        <v>957.0</v>
      </c>
      <c r="AG74" s="61">
        <v>890.0</v>
      </c>
      <c r="AH74" s="61">
        <v>823.0</v>
      </c>
      <c r="AI74" s="61">
        <v>756.0</v>
      </c>
      <c r="AJ74" s="61">
        <v>689.0</v>
      </c>
      <c r="AK74" s="61">
        <v>622.0</v>
      </c>
      <c r="AL74" s="61">
        <v>555.0</v>
      </c>
      <c r="AM74" s="61">
        <v>488.0</v>
      </c>
      <c r="AN74" s="61">
        <v>421.0</v>
      </c>
      <c r="AO74" s="61">
        <v>354.0</v>
      </c>
      <c r="AP74" s="61">
        <v>287.0</v>
      </c>
      <c r="AQ74" s="61">
        <v>220.0</v>
      </c>
      <c r="AR74" s="61">
        <v>153.0</v>
      </c>
      <c r="AS74" s="61">
        <v>86.0</v>
      </c>
      <c r="AT74" s="17">
        <v>2.0</v>
      </c>
    </row>
    <row r="75">
      <c r="A75" s="17">
        <v>70.0</v>
      </c>
      <c r="B75" s="61">
        <v>3010.0</v>
      </c>
      <c r="C75" s="61">
        <v>2941.0</v>
      </c>
      <c r="D75" s="61">
        <v>2872.0</v>
      </c>
      <c r="E75" s="61">
        <v>2803.0</v>
      </c>
      <c r="F75" s="61">
        <v>2734.0</v>
      </c>
      <c r="G75" s="61">
        <v>2665.0</v>
      </c>
      <c r="H75" s="61">
        <v>2596.0</v>
      </c>
      <c r="I75" s="61">
        <v>2527.0</v>
      </c>
      <c r="J75" s="61">
        <v>2458.0</v>
      </c>
      <c r="K75" s="61">
        <v>2389.0</v>
      </c>
      <c r="L75" s="61">
        <v>2320.0</v>
      </c>
      <c r="M75" s="61">
        <v>2251.0</v>
      </c>
      <c r="N75" s="61">
        <v>2182.0</v>
      </c>
      <c r="O75" s="61">
        <v>2113.0</v>
      </c>
      <c r="P75" s="61">
        <v>2044.0</v>
      </c>
      <c r="Q75" s="61">
        <v>1975.0</v>
      </c>
      <c r="R75" s="61">
        <v>1906.0</v>
      </c>
      <c r="S75" s="61">
        <v>1837.0</v>
      </c>
      <c r="T75" s="61">
        <v>1768.0</v>
      </c>
      <c r="U75" s="61">
        <v>1699.0</v>
      </c>
      <c r="V75" s="61">
        <v>1630.0</v>
      </c>
      <c r="W75" s="61">
        <v>1561.0</v>
      </c>
      <c r="X75" s="61">
        <v>1492.0</v>
      </c>
      <c r="Y75" s="61">
        <v>1423.0</v>
      </c>
      <c r="Z75" s="61">
        <v>1354.0</v>
      </c>
      <c r="AA75" s="61">
        <v>1285.0</v>
      </c>
      <c r="AB75" s="61">
        <v>1216.0</v>
      </c>
      <c r="AC75" s="61">
        <v>1147.0</v>
      </c>
      <c r="AD75" s="61">
        <v>1078.0</v>
      </c>
      <c r="AE75" s="61">
        <v>1009.0</v>
      </c>
      <c r="AF75" s="61">
        <v>940.0</v>
      </c>
      <c r="AG75" s="61">
        <v>871.0</v>
      </c>
      <c r="AH75" s="61">
        <v>802.0</v>
      </c>
      <c r="AI75" s="61">
        <v>733.0</v>
      </c>
      <c r="AJ75" s="61">
        <v>664.0</v>
      </c>
      <c r="AK75" s="61">
        <v>595.0</v>
      </c>
      <c r="AL75" s="61">
        <v>526.0</v>
      </c>
      <c r="AM75" s="61">
        <v>457.0</v>
      </c>
      <c r="AN75" s="61">
        <v>388.0</v>
      </c>
      <c r="AO75" s="61">
        <v>319.0</v>
      </c>
      <c r="AP75" s="61">
        <v>250.0</v>
      </c>
      <c r="AQ75" s="61">
        <v>181.0</v>
      </c>
      <c r="AR75" s="61">
        <v>112.0</v>
      </c>
      <c r="AS75" s="61">
        <v>43.0</v>
      </c>
      <c r="AT75" s="17">
        <v>1.0</v>
      </c>
    </row>
    <row r="76">
      <c r="A76" s="17">
        <v>71.0</v>
      </c>
      <c r="B76" s="61">
        <v>3053.0</v>
      </c>
      <c r="C76" s="61">
        <v>2982.0</v>
      </c>
      <c r="D76" s="61">
        <v>2911.0</v>
      </c>
      <c r="E76" s="61">
        <v>2840.0</v>
      </c>
      <c r="F76" s="61">
        <v>2769.0</v>
      </c>
      <c r="G76" s="61">
        <v>2698.0</v>
      </c>
      <c r="H76" s="61">
        <v>2627.0</v>
      </c>
      <c r="I76" s="61">
        <v>2556.0</v>
      </c>
      <c r="J76" s="61">
        <v>2485.0</v>
      </c>
      <c r="K76" s="61">
        <v>2414.0</v>
      </c>
      <c r="L76" s="61">
        <v>2343.0</v>
      </c>
      <c r="M76" s="61">
        <v>2272.0</v>
      </c>
      <c r="N76" s="61">
        <v>2201.0</v>
      </c>
      <c r="O76" s="61">
        <v>2130.0</v>
      </c>
      <c r="P76" s="61">
        <v>2059.0</v>
      </c>
      <c r="Q76" s="61">
        <v>1988.0</v>
      </c>
      <c r="R76" s="61">
        <v>1917.0</v>
      </c>
      <c r="S76" s="61">
        <v>1846.0</v>
      </c>
      <c r="T76" s="61">
        <v>1775.0</v>
      </c>
      <c r="U76" s="61">
        <v>1704.0</v>
      </c>
      <c r="V76" s="61">
        <v>1633.0</v>
      </c>
      <c r="W76" s="61">
        <v>1562.0</v>
      </c>
      <c r="X76" s="61">
        <v>1491.0</v>
      </c>
      <c r="Y76" s="61">
        <v>1420.0</v>
      </c>
      <c r="Z76" s="61">
        <v>1349.0</v>
      </c>
      <c r="AA76" s="61">
        <v>1278.0</v>
      </c>
      <c r="AB76" s="61">
        <v>1207.0</v>
      </c>
      <c r="AC76" s="61">
        <v>1136.0</v>
      </c>
      <c r="AD76" s="61">
        <v>1065.0</v>
      </c>
      <c r="AE76" s="61">
        <v>994.0</v>
      </c>
      <c r="AF76" s="61">
        <v>923.0</v>
      </c>
      <c r="AG76" s="61">
        <v>852.0</v>
      </c>
      <c r="AH76" s="61">
        <v>781.0</v>
      </c>
      <c r="AI76" s="61">
        <v>710.0</v>
      </c>
      <c r="AJ76" s="61">
        <v>639.0</v>
      </c>
      <c r="AK76" s="61">
        <v>568.0</v>
      </c>
      <c r="AL76" s="61">
        <v>497.0</v>
      </c>
      <c r="AM76" s="61">
        <v>426.0</v>
      </c>
      <c r="AN76" s="61">
        <v>355.0</v>
      </c>
      <c r="AO76" s="61">
        <v>284.0</v>
      </c>
      <c r="AP76" s="61">
        <v>213.0</v>
      </c>
      <c r="AQ76" s="61">
        <v>142.0</v>
      </c>
      <c r="AR76" s="61">
        <v>71.0</v>
      </c>
      <c r="AS76" s="61">
        <v>0.0</v>
      </c>
      <c r="AT76" s="17">
        <v>0.0</v>
      </c>
    </row>
    <row r="77">
      <c r="A77" s="17"/>
      <c r="B77" s="17">
        <f t="array" ref="B77:AS77">43-B4:AS4</f>
        <v>43</v>
      </c>
      <c r="C77" s="17">
        <v>42.0</v>
      </c>
      <c r="D77" s="17">
        <v>41.0</v>
      </c>
      <c r="E77" s="17">
        <v>40.0</v>
      </c>
      <c r="F77" s="17">
        <v>39.0</v>
      </c>
      <c r="G77" s="17">
        <v>38.0</v>
      </c>
      <c r="H77" s="17">
        <v>37.0</v>
      </c>
      <c r="I77" s="17">
        <v>36.0</v>
      </c>
      <c r="J77" s="17">
        <v>35.0</v>
      </c>
      <c r="K77" s="17">
        <v>34.0</v>
      </c>
      <c r="L77" s="17">
        <v>33.0</v>
      </c>
      <c r="M77" s="17">
        <v>32.0</v>
      </c>
      <c r="N77" s="17">
        <v>31.0</v>
      </c>
      <c r="O77" s="17">
        <v>30.0</v>
      </c>
      <c r="P77" s="17">
        <v>29.0</v>
      </c>
      <c r="Q77" s="17">
        <v>28.0</v>
      </c>
      <c r="R77" s="17">
        <v>27.0</v>
      </c>
      <c r="S77" s="17">
        <v>26.0</v>
      </c>
      <c r="T77" s="17">
        <v>25.0</v>
      </c>
      <c r="U77" s="17">
        <v>24.0</v>
      </c>
      <c r="V77" s="17">
        <v>23.0</v>
      </c>
      <c r="W77" s="17">
        <v>22.0</v>
      </c>
      <c r="X77" s="17">
        <v>21.0</v>
      </c>
      <c r="Y77" s="17">
        <v>20.0</v>
      </c>
      <c r="Z77" s="17">
        <v>19.0</v>
      </c>
      <c r="AA77" s="17">
        <v>18.0</v>
      </c>
      <c r="AB77" s="17">
        <v>17.0</v>
      </c>
      <c r="AC77" s="17">
        <v>16.0</v>
      </c>
      <c r="AD77" s="17">
        <v>15.0</v>
      </c>
      <c r="AE77" s="17">
        <v>14.0</v>
      </c>
      <c r="AF77" s="17">
        <v>13.0</v>
      </c>
      <c r="AG77" s="17">
        <v>12.0</v>
      </c>
      <c r="AH77" s="17">
        <v>11.0</v>
      </c>
      <c r="AI77" s="17">
        <v>10.0</v>
      </c>
      <c r="AJ77" s="17">
        <v>9.0</v>
      </c>
      <c r="AK77" s="17">
        <v>8.0</v>
      </c>
      <c r="AL77" s="17">
        <v>7.0</v>
      </c>
      <c r="AM77" s="17">
        <v>6.0</v>
      </c>
      <c r="AN77" s="17">
        <v>5.0</v>
      </c>
      <c r="AO77" s="17">
        <v>4.0</v>
      </c>
      <c r="AP77" s="17">
        <v>3.0</v>
      </c>
      <c r="AQ77" s="17">
        <v>2.0</v>
      </c>
      <c r="AR77" s="17">
        <v>1.0</v>
      </c>
      <c r="AS77" s="17">
        <v>0.0</v>
      </c>
      <c r="AT77" s="17"/>
      <c r="AU77" s="17"/>
      <c r="AV77" s="17"/>
      <c r="AW77" s="17"/>
      <c r="AX77" s="17"/>
      <c r="AY77" s="17"/>
      <c r="AZ77" s="17"/>
      <c r="BA77" s="17"/>
      <c r="BB77" s="17"/>
      <c r="BC77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61" width="3.25"/>
  </cols>
  <sheetData>
    <row r="1">
      <c r="A1" s="62" t="s">
        <v>69</v>
      </c>
      <c r="AZ1" s="17"/>
    </row>
    <row r="2">
      <c r="A2" s="62" t="s">
        <v>70</v>
      </c>
      <c r="AZ2" s="17"/>
    </row>
    <row r="3">
      <c r="A3" s="62" t="s">
        <v>71</v>
      </c>
      <c r="AZ3" s="17"/>
    </row>
    <row r="4">
      <c r="A4" s="17"/>
      <c r="B4" s="17">
        <f t="array" ref="B4:AY4">SEQUENCE(1,50,0,1)</f>
        <v>0</v>
      </c>
      <c r="C4" s="17">
        <v>1.0</v>
      </c>
      <c r="D4" s="17">
        <v>2.0</v>
      </c>
      <c r="E4" s="17">
        <v>3.0</v>
      </c>
      <c r="F4" s="17">
        <v>4.0</v>
      </c>
      <c r="G4" s="17">
        <v>5.0</v>
      </c>
      <c r="H4" s="17">
        <v>6.0</v>
      </c>
      <c r="I4" s="17">
        <v>7.0</v>
      </c>
      <c r="J4" s="17">
        <v>8.0</v>
      </c>
      <c r="K4" s="17">
        <v>9.0</v>
      </c>
      <c r="L4" s="17">
        <v>10.0</v>
      </c>
      <c r="M4" s="17">
        <v>11.0</v>
      </c>
      <c r="N4" s="17">
        <v>12.0</v>
      </c>
      <c r="O4" s="17">
        <v>13.0</v>
      </c>
      <c r="P4" s="17">
        <v>14.0</v>
      </c>
      <c r="Q4" s="17">
        <v>15.0</v>
      </c>
      <c r="R4" s="17">
        <v>16.0</v>
      </c>
      <c r="S4" s="17">
        <v>17.0</v>
      </c>
      <c r="T4" s="17">
        <v>18.0</v>
      </c>
      <c r="U4" s="17">
        <v>19.0</v>
      </c>
      <c r="V4" s="17">
        <v>20.0</v>
      </c>
      <c r="W4" s="17">
        <v>21.0</v>
      </c>
      <c r="X4" s="17">
        <v>22.0</v>
      </c>
      <c r="Y4" s="17">
        <v>23.0</v>
      </c>
      <c r="Z4" s="17">
        <v>24.0</v>
      </c>
      <c r="AA4" s="17">
        <v>25.0</v>
      </c>
      <c r="AB4" s="17">
        <v>26.0</v>
      </c>
      <c r="AC4" s="17">
        <v>27.0</v>
      </c>
      <c r="AD4" s="17">
        <v>28.0</v>
      </c>
      <c r="AE4" s="17">
        <v>29.0</v>
      </c>
      <c r="AF4" s="17">
        <v>30.0</v>
      </c>
      <c r="AG4" s="17">
        <v>31.0</v>
      </c>
      <c r="AH4" s="17">
        <v>32.0</v>
      </c>
      <c r="AI4" s="17">
        <v>33.0</v>
      </c>
      <c r="AJ4" s="17">
        <v>34.0</v>
      </c>
      <c r="AK4" s="17">
        <v>35.0</v>
      </c>
      <c r="AL4" s="17">
        <v>36.0</v>
      </c>
      <c r="AM4" s="17">
        <v>37.0</v>
      </c>
      <c r="AN4" s="17">
        <v>38.0</v>
      </c>
      <c r="AO4" s="17">
        <v>39.0</v>
      </c>
      <c r="AP4" s="17">
        <v>40.0</v>
      </c>
      <c r="AQ4" s="17">
        <v>41.0</v>
      </c>
      <c r="AR4" s="17">
        <v>42.0</v>
      </c>
      <c r="AS4" s="17">
        <v>43.0</v>
      </c>
      <c r="AT4" s="17">
        <v>44.0</v>
      </c>
      <c r="AU4" s="17">
        <v>45.0</v>
      </c>
      <c r="AV4" s="17">
        <v>46.0</v>
      </c>
      <c r="AW4" s="17">
        <v>47.0</v>
      </c>
      <c r="AX4" s="17">
        <v>48.0</v>
      </c>
      <c r="AY4" s="17">
        <v>49.0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>
      <c r="A5" s="17">
        <f t="array" ref="A5:A26">SEQUENCE(22,1,0,1)</f>
        <v>0</v>
      </c>
      <c r="B5" s="59">
        <f t="array" ref="B5:AY26">B4:AY4*AZ5:AZ26+A5:A26*B27:AY27</f>
        <v>0</v>
      </c>
      <c r="C5" s="59">
        <v>21.0</v>
      </c>
      <c r="D5" s="59">
        <v>42.0</v>
      </c>
      <c r="E5" s="59">
        <v>63.0</v>
      </c>
      <c r="F5" s="59">
        <v>84.0</v>
      </c>
      <c r="G5" s="59">
        <v>105.0</v>
      </c>
      <c r="H5" s="59">
        <v>126.0</v>
      </c>
      <c r="I5" s="59">
        <v>147.0</v>
      </c>
      <c r="J5" s="59">
        <v>168.0</v>
      </c>
      <c r="K5" s="59">
        <v>189.0</v>
      </c>
      <c r="L5" s="59">
        <v>210.0</v>
      </c>
      <c r="M5" s="59">
        <v>231.0</v>
      </c>
      <c r="N5" s="59">
        <v>252.0</v>
      </c>
      <c r="O5" s="59">
        <v>273.0</v>
      </c>
      <c r="P5" s="59">
        <v>294.0</v>
      </c>
      <c r="Q5" s="59">
        <v>315.0</v>
      </c>
      <c r="R5" s="59">
        <v>336.0</v>
      </c>
      <c r="S5" s="59">
        <v>357.0</v>
      </c>
      <c r="T5" s="59">
        <v>378.0</v>
      </c>
      <c r="U5" s="59">
        <v>399.0</v>
      </c>
      <c r="V5" s="59">
        <v>420.0</v>
      </c>
      <c r="W5" s="59">
        <v>441.0</v>
      </c>
      <c r="X5" s="59">
        <v>462.0</v>
      </c>
      <c r="Y5" s="59">
        <v>483.0</v>
      </c>
      <c r="Z5" s="59">
        <v>504.0</v>
      </c>
      <c r="AA5" s="59">
        <v>525.0</v>
      </c>
      <c r="AB5" s="59">
        <v>546.0</v>
      </c>
      <c r="AC5" s="59">
        <v>567.0</v>
      </c>
      <c r="AD5" s="59">
        <v>588.0</v>
      </c>
      <c r="AE5" s="59">
        <v>609.0</v>
      </c>
      <c r="AF5" s="59">
        <v>630.0</v>
      </c>
      <c r="AG5" s="59">
        <v>651.0</v>
      </c>
      <c r="AH5" s="59">
        <v>672.0</v>
      </c>
      <c r="AI5" s="59">
        <v>693.0</v>
      </c>
      <c r="AJ5" s="59">
        <v>714.0</v>
      </c>
      <c r="AK5" s="59">
        <v>735.0</v>
      </c>
      <c r="AL5" s="59">
        <v>756.0</v>
      </c>
      <c r="AM5" s="59">
        <v>777.0</v>
      </c>
      <c r="AN5" s="59">
        <v>798.0</v>
      </c>
      <c r="AO5" s="59">
        <v>819.0</v>
      </c>
      <c r="AP5" s="59">
        <v>840.0</v>
      </c>
      <c r="AQ5" s="59">
        <v>861.0</v>
      </c>
      <c r="AR5" s="59">
        <v>882.0</v>
      </c>
      <c r="AS5" s="59">
        <v>903.0</v>
      </c>
      <c r="AT5" s="59">
        <v>924.0</v>
      </c>
      <c r="AU5" s="59">
        <v>945.0</v>
      </c>
      <c r="AV5" s="59">
        <v>966.0</v>
      </c>
      <c r="AW5" s="59">
        <v>987.0</v>
      </c>
      <c r="AX5" s="59">
        <v>1008.0</v>
      </c>
      <c r="AY5" s="59">
        <v>1029.0</v>
      </c>
      <c r="AZ5" s="17">
        <f t="array" ref="AZ5:AZ26">21-A5:A26</f>
        <v>21</v>
      </c>
    </row>
    <row r="6">
      <c r="A6" s="17">
        <v>1.0</v>
      </c>
      <c r="B6" s="59">
        <v>49.0</v>
      </c>
      <c r="C6" s="59">
        <v>68.0</v>
      </c>
      <c r="D6" s="59">
        <v>87.0</v>
      </c>
      <c r="E6" s="59">
        <v>106.0</v>
      </c>
      <c r="F6" s="59">
        <v>125.0</v>
      </c>
      <c r="G6" s="59">
        <v>144.0</v>
      </c>
      <c r="H6" s="59">
        <v>163.0</v>
      </c>
      <c r="I6" s="59">
        <v>182.0</v>
      </c>
      <c r="J6" s="59">
        <v>201.0</v>
      </c>
      <c r="K6" s="59">
        <v>220.0</v>
      </c>
      <c r="L6" s="59">
        <v>239.0</v>
      </c>
      <c r="M6" s="59">
        <v>258.0</v>
      </c>
      <c r="N6" s="59">
        <v>277.0</v>
      </c>
      <c r="O6" s="59">
        <v>296.0</v>
      </c>
      <c r="P6" s="59">
        <v>315.0</v>
      </c>
      <c r="Q6" s="59">
        <v>334.0</v>
      </c>
      <c r="R6" s="59">
        <v>353.0</v>
      </c>
      <c r="S6" s="59">
        <v>372.0</v>
      </c>
      <c r="T6" s="59">
        <v>391.0</v>
      </c>
      <c r="U6" s="59">
        <v>410.0</v>
      </c>
      <c r="V6" s="59">
        <v>429.0</v>
      </c>
      <c r="W6" s="59">
        <v>448.0</v>
      </c>
      <c r="X6" s="59">
        <v>467.0</v>
      </c>
      <c r="Y6" s="59">
        <v>486.0</v>
      </c>
      <c r="Z6" s="59">
        <v>505.0</v>
      </c>
      <c r="AA6" s="59">
        <v>524.0</v>
      </c>
      <c r="AB6" s="59">
        <v>543.0</v>
      </c>
      <c r="AC6" s="59">
        <v>562.0</v>
      </c>
      <c r="AD6" s="59">
        <v>581.0</v>
      </c>
      <c r="AE6" s="59">
        <v>600.0</v>
      </c>
      <c r="AF6" s="59">
        <v>619.0</v>
      </c>
      <c r="AG6" s="59">
        <v>638.0</v>
      </c>
      <c r="AH6" s="59">
        <v>657.0</v>
      </c>
      <c r="AI6" s="59">
        <v>676.0</v>
      </c>
      <c r="AJ6" s="59">
        <v>695.0</v>
      </c>
      <c r="AK6" s="59">
        <v>714.0</v>
      </c>
      <c r="AL6" s="59">
        <v>733.0</v>
      </c>
      <c r="AM6" s="59">
        <v>752.0</v>
      </c>
      <c r="AN6" s="59">
        <v>771.0</v>
      </c>
      <c r="AO6" s="59">
        <v>790.0</v>
      </c>
      <c r="AP6" s="59">
        <v>809.0</v>
      </c>
      <c r="AQ6" s="59">
        <v>828.0</v>
      </c>
      <c r="AR6" s="59">
        <v>847.0</v>
      </c>
      <c r="AS6" s="59">
        <v>866.0</v>
      </c>
      <c r="AT6" s="59">
        <v>885.0</v>
      </c>
      <c r="AU6" s="59">
        <v>904.0</v>
      </c>
      <c r="AV6" s="59">
        <v>923.0</v>
      </c>
      <c r="AW6" s="59">
        <v>942.0</v>
      </c>
      <c r="AX6" s="59">
        <v>961.0</v>
      </c>
      <c r="AY6" s="59">
        <v>980.0</v>
      </c>
      <c r="AZ6" s="17">
        <v>20.0</v>
      </c>
    </row>
    <row r="7">
      <c r="A7" s="17">
        <v>2.0</v>
      </c>
      <c r="B7" s="59">
        <v>98.0</v>
      </c>
      <c r="C7" s="59">
        <v>115.0</v>
      </c>
      <c r="D7" s="59">
        <v>132.0</v>
      </c>
      <c r="E7" s="59">
        <v>149.0</v>
      </c>
      <c r="F7" s="59">
        <v>166.0</v>
      </c>
      <c r="G7" s="59">
        <v>183.0</v>
      </c>
      <c r="H7" s="59">
        <v>200.0</v>
      </c>
      <c r="I7" s="59">
        <v>217.0</v>
      </c>
      <c r="J7" s="59">
        <v>234.0</v>
      </c>
      <c r="K7" s="59">
        <v>251.0</v>
      </c>
      <c r="L7" s="59">
        <v>268.0</v>
      </c>
      <c r="M7" s="59">
        <v>285.0</v>
      </c>
      <c r="N7" s="59">
        <v>302.0</v>
      </c>
      <c r="O7" s="59">
        <v>319.0</v>
      </c>
      <c r="P7" s="59">
        <v>336.0</v>
      </c>
      <c r="Q7" s="59">
        <v>353.0</v>
      </c>
      <c r="R7" s="59">
        <v>370.0</v>
      </c>
      <c r="S7" s="59">
        <v>387.0</v>
      </c>
      <c r="T7" s="59">
        <v>404.0</v>
      </c>
      <c r="U7" s="59">
        <v>421.0</v>
      </c>
      <c r="V7" s="59">
        <v>438.0</v>
      </c>
      <c r="W7" s="59">
        <v>455.0</v>
      </c>
      <c r="X7" s="59">
        <v>472.0</v>
      </c>
      <c r="Y7" s="59">
        <v>489.0</v>
      </c>
      <c r="Z7" s="59">
        <v>506.0</v>
      </c>
      <c r="AA7" s="59">
        <v>523.0</v>
      </c>
      <c r="AB7" s="59">
        <v>540.0</v>
      </c>
      <c r="AC7" s="59">
        <v>557.0</v>
      </c>
      <c r="AD7" s="59">
        <v>574.0</v>
      </c>
      <c r="AE7" s="59">
        <v>591.0</v>
      </c>
      <c r="AF7" s="59">
        <v>608.0</v>
      </c>
      <c r="AG7" s="59">
        <v>625.0</v>
      </c>
      <c r="AH7" s="59">
        <v>642.0</v>
      </c>
      <c r="AI7" s="59">
        <v>659.0</v>
      </c>
      <c r="AJ7" s="59">
        <v>676.0</v>
      </c>
      <c r="AK7" s="59">
        <v>693.0</v>
      </c>
      <c r="AL7" s="59">
        <v>710.0</v>
      </c>
      <c r="AM7" s="59">
        <v>727.0</v>
      </c>
      <c r="AN7" s="59">
        <v>744.0</v>
      </c>
      <c r="AO7" s="59">
        <v>761.0</v>
      </c>
      <c r="AP7" s="59">
        <v>778.0</v>
      </c>
      <c r="AQ7" s="59">
        <v>795.0</v>
      </c>
      <c r="AR7" s="59">
        <v>812.0</v>
      </c>
      <c r="AS7" s="59">
        <v>829.0</v>
      </c>
      <c r="AT7" s="59">
        <v>846.0</v>
      </c>
      <c r="AU7" s="59">
        <v>863.0</v>
      </c>
      <c r="AV7" s="59">
        <v>880.0</v>
      </c>
      <c r="AW7" s="59">
        <v>897.0</v>
      </c>
      <c r="AX7" s="59">
        <v>914.0</v>
      </c>
      <c r="AY7" s="59">
        <v>931.0</v>
      </c>
      <c r="AZ7" s="17">
        <v>19.0</v>
      </c>
    </row>
    <row r="8">
      <c r="A8" s="17">
        <v>3.0</v>
      </c>
      <c r="B8" s="59">
        <v>147.0</v>
      </c>
      <c r="C8" s="59">
        <v>162.0</v>
      </c>
      <c r="D8" s="59">
        <v>177.0</v>
      </c>
      <c r="E8" s="59">
        <v>192.0</v>
      </c>
      <c r="F8" s="59">
        <v>207.0</v>
      </c>
      <c r="G8" s="59">
        <v>222.0</v>
      </c>
      <c r="H8" s="59">
        <v>237.0</v>
      </c>
      <c r="I8" s="59">
        <v>252.0</v>
      </c>
      <c r="J8" s="59">
        <v>267.0</v>
      </c>
      <c r="K8" s="59">
        <v>282.0</v>
      </c>
      <c r="L8" s="59">
        <v>297.0</v>
      </c>
      <c r="M8" s="59">
        <v>312.0</v>
      </c>
      <c r="N8" s="59">
        <v>327.0</v>
      </c>
      <c r="O8" s="59">
        <v>342.0</v>
      </c>
      <c r="P8" s="59">
        <v>357.0</v>
      </c>
      <c r="Q8" s="59">
        <v>372.0</v>
      </c>
      <c r="R8" s="59">
        <v>387.0</v>
      </c>
      <c r="S8" s="59">
        <v>402.0</v>
      </c>
      <c r="T8" s="59">
        <v>417.0</v>
      </c>
      <c r="U8" s="59">
        <v>432.0</v>
      </c>
      <c r="V8" s="59">
        <v>447.0</v>
      </c>
      <c r="W8" s="59">
        <v>462.0</v>
      </c>
      <c r="X8" s="59">
        <v>477.0</v>
      </c>
      <c r="Y8" s="59">
        <v>492.0</v>
      </c>
      <c r="Z8" s="59">
        <v>507.0</v>
      </c>
      <c r="AA8" s="59">
        <v>522.0</v>
      </c>
      <c r="AB8" s="59">
        <v>537.0</v>
      </c>
      <c r="AC8" s="59">
        <v>552.0</v>
      </c>
      <c r="AD8" s="59">
        <v>567.0</v>
      </c>
      <c r="AE8" s="59">
        <v>582.0</v>
      </c>
      <c r="AF8" s="59">
        <v>597.0</v>
      </c>
      <c r="AG8" s="59">
        <v>612.0</v>
      </c>
      <c r="AH8" s="59">
        <v>627.0</v>
      </c>
      <c r="AI8" s="59">
        <v>642.0</v>
      </c>
      <c r="AJ8" s="59">
        <v>657.0</v>
      </c>
      <c r="AK8" s="59">
        <v>672.0</v>
      </c>
      <c r="AL8" s="59">
        <v>687.0</v>
      </c>
      <c r="AM8" s="59">
        <v>702.0</v>
      </c>
      <c r="AN8" s="59">
        <v>717.0</v>
      </c>
      <c r="AO8" s="59">
        <v>732.0</v>
      </c>
      <c r="AP8" s="59">
        <v>747.0</v>
      </c>
      <c r="AQ8" s="59">
        <v>762.0</v>
      </c>
      <c r="AR8" s="59">
        <v>777.0</v>
      </c>
      <c r="AS8" s="59">
        <v>792.0</v>
      </c>
      <c r="AT8" s="59">
        <v>807.0</v>
      </c>
      <c r="AU8" s="59">
        <v>822.0</v>
      </c>
      <c r="AV8" s="59">
        <v>837.0</v>
      </c>
      <c r="AW8" s="59">
        <v>852.0</v>
      </c>
      <c r="AX8" s="59">
        <v>867.0</v>
      </c>
      <c r="AY8" s="59">
        <v>882.0</v>
      </c>
      <c r="AZ8" s="17">
        <v>18.0</v>
      </c>
    </row>
    <row r="9">
      <c r="A9" s="17">
        <v>4.0</v>
      </c>
      <c r="B9" s="59">
        <v>196.0</v>
      </c>
      <c r="C9" s="59">
        <v>209.0</v>
      </c>
      <c r="D9" s="59">
        <v>222.0</v>
      </c>
      <c r="E9" s="59">
        <v>235.0</v>
      </c>
      <c r="F9" s="59">
        <v>248.0</v>
      </c>
      <c r="G9" s="59">
        <v>261.0</v>
      </c>
      <c r="H9" s="59">
        <v>274.0</v>
      </c>
      <c r="I9" s="59">
        <v>287.0</v>
      </c>
      <c r="J9" s="59">
        <v>300.0</v>
      </c>
      <c r="K9" s="59">
        <v>313.0</v>
      </c>
      <c r="L9" s="59">
        <v>326.0</v>
      </c>
      <c r="M9" s="59">
        <v>339.0</v>
      </c>
      <c r="N9" s="59">
        <v>352.0</v>
      </c>
      <c r="O9" s="59">
        <v>365.0</v>
      </c>
      <c r="P9" s="59">
        <v>378.0</v>
      </c>
      <c r="Q9" s="59">
        <v>391.0</v>
      </c>
      <c r="R9" s="59">
        <v>404.0</v>
      </c>
      <c r="S9" s="59">
        <v>417.0</v>
      </c>
      <c r="T9" s="59">
        <v>430.0</v>
      </c>
      <c r="U9" s="59">
        <v>443.0</v>
      </c>
      <c r="V9" s="59">
        <v>456.0</v>
      </c>
      <c r="W9" s="59">
        <v>469.0</v>
      </c>
      <c r="X9" s="59">
        <v>482.0</v>
      </c>
      <c r="Y9" s="59">
        <v>495.0</v>
      </c>
      <c r="Z9" s="59">
        <v>508.0</v>
      </c>
      <c r="AA9" s="59">
        <v>521.0</v>
      </c>
      <c r="AB9" s="59">
        <v>534.0</v>
      </c>
      <c r="AC9" s="59">
        <v>547.0</v>
      </c>
      <c r="AD9" s="59">
        <v>560.0</v>
      </c>
      <c r="AE9" s="59">
        <v>573.0</v>
      </c>
      <c r="AF9" s="59">
        <v>586.0</v>
      </c>
      <c r="AG9" s="59">
        <v>599.0</v>
      </c>
      <c r="AH9" s="59">
        <v>612.0</v>
      </c>
      <c r="AI9" s="59">
        <v>625.0</v>
      </c>
      <c r="AJ9" s="59">
        <v>638.0</v>
      </c>
      <c r="AK9" s="59">
        <v>651.0</v>
      </c>
      <c r="AL9" s="59">
        <v>664.0</v>
      </c>
      <c r="AM9" s="59">
        <v>677.0</v>
      </c>
      <c r="AN9" s="59">
        <v>690.0</v>
      </c>
      <c r="AO9" s="59">
        <v>703.0</v>
      </c>
      <c r="AP9" s="59">
        <v>716.0</v>
      </c>
      <c r="AQ9" s="59">
        <v>729.0</v>
      </c>
      <c r="AR9" s="59">
        <v>742.0</v>
      </c>
      <c r="AS9" s="59">
        <v>755.0</v>
      </c>
      <c r="AT9" s="59">
        <v>768.0</v>
      </c>
      <c r="AU9" s="59">
        <v>781.0</v>
      </c>
      <c r="AV9" s="59">
        <v>794.0</v>
      </c>
      <c r="AW9" s="59">
        <v>807.0</v>
      </c>
      <c r="AX9" s="59">
        <v>820.0</v>
      </c>
      <c r="AY9" s="59">
        <v>833.0</v>
      </c>
      <c r="AZ9" s="17">
        <v>17.0</v>
      </c>
    </row>
    <row r="10">
      <c r="A10" s="17">
        <v>5.0</v>
      </c>
      <c r="B10" s="59">
        <v>245.0</v>
      </c>
      <c r="C10" s="59">
        <v>256.0</v>
      </c>
      <c r="D10" s="59">
        <v>267.0</v>
      </c>
      <c r="E10" s="59">
        <v>278.0</v>
      </c>
      <c r="F10" s="59">
        <v>289.0</v>
      </c>
      <c r="G10" s="59">
        <v>300.0</v>
      </c>
      <c r="H10" s="59">
        <v>311.0</v>
      </c>
      <c r="I10" s="59">
        <v>322.0</v>
      </c>
      <c r="J10" s="59">
        <v>333.0</v>
      </c>
      <c r="K10" s="59">
        <v>344.0</v>
      </c>
      <c r="L10" s="59">
        <v>355.0</v>
      </c>
      <c r="M10" s="59">
        <v>366.0</v>
      </c>
      <c r="N10" s="59">
        <v>377.0</v>
      </c>
      <c r="O10" s="59">
        <v>388.0</v>
      </c>
      <c r="P10" s="59">
        <v>399.0</v>
      </c>
      <c r="Q10" s="59">
        <v>410.0</v>
      </c>
      <c r="R10" s="59">
        <v>421.0</v>
      </c>
      <c r="S10" s="59">
        <v>432.0</v>
      </c>
      <c r="T10" s="59">
        <v>443.0</v>
      </c>
      <c r="U10" s="59">
        <v>454.0</v>
      </c>
      <c r="V10" s="59">
        <v>465.0</v>
      </c>
      <c r="W10" s="59">
        <v>476.0</v>
      </c>
      <c r="X10" s="59">
        <v>487.0</v>
      </c>
      <c r="Y10" s="59">
        <v>498.0</v>
      </c>
      <c r="Z10" s="59">
        <v>509.0</v>
      </c>
      <c r="AA10" s="59">
        <v>520.0</v>
      </c>
      <c r="AB10" s="59">
        <v>531.0</v>
      </c>
      <c r="AC10" s="59">
        <v>542.0</v>
      </c>
      <c r="AD10" s="59">
        <v>553.0</v>
      </c>
      <c r="AE10" s="59">
        <v>564.0</v>
      </c>
      <c r="AF10" s="59">
        <v>575.0</v>
      </c>
      <c r="AG10" s="59">
        <v>586.0</v>
      </c>
      <c r="AH10" s="59">
        <v>597.0</v>
      </c>
      <c r="AI10" s="59">
        <v>608.0</v>
      </c>
      <c r="AJ10" s="59">
        <v>619.0</v>
      </c>
      <c r="AK10" s="59">
        <v>630.0</v>
      </c>
      <c r="AL10" s="59">
        <v>641.0</v>
      </c>
      <c r="AM10" s="59">
        <v>652.0</v>
      </c>
      <c r="AN10" s="59">
        <v>663.0</v>
      </c>
      <c r="AO10" s="59">
        <v>674.0</v>
      </c>
      <c r="AP10" s="59">
        <v>685.0</v>
      </c>
      <c r="AQ10" s="59">
        <v>696.0</v>
      </c>
      <c r="AR10" s="59">
        <v>707.0</v>
      </c>
      <c r="AS10" s="59">
        <v>718.0</v>
      </c>
      <c r="AT10" s="59">
        <v>729.0</v>
      </c>
      <c r="AU10" s="59">
        <v>740.0</v>
      </c>
      <c r="AV10" s="59">
        <v>751.0</v>
      </c>
      <c r="AW10" s="59">
        <v>762.0</v>
      </c>
      <c r="AX10" s="59">
        <v>773.0</v>
      </c>
      <c r="AY10" s="59">
        <v>784.0</v>
      </c>
      <c r="AZ10" s="17">
        <v>16.0</v>
      </c>
    </row>
    <row r="11">
      <c r="A11" s="17">
        <v>6.0</v>
      </c>
      <c r="B11" s="59">
        <v>294.0</v>
      </c>
      <c r="C11" s="59">
        <v>303.0</v>
      </c>
      <c r="D11" s="59">
        <v>312.0</v>
      </c>
      <c r="E11" s="59">
        <v>321.0</v>
      </c>
      <c r="F11" s="59">
        <v>330.0</v>
      </c>
      <c r="G11" s="59">
        <v>339.0</v>
      </c>
      <c r="H11" s="59">
        <v>348.0</v>
      </c>
      <c r="I11" s="59">
        <v>357.0</v>
      </c>
      <c r="J11" s="59">
        <v>366.0</v>
      </c>
      <c r="K11" s="59">
        <v>375.0</v>
      </c>
      <c r="L11" s="59">
        <v>384.0</v>
      </c>
      <c r="M11" s="59">
        <v>393.0</v>
      </c>
      <c r="N11" s="59">
        <v>402.0</v>
      </c>
      <c r="O11" s="59">
        <v>411.0</v>
      </c>
      <c r="P11" s="59">
        <v>420.0</v>
      </c>
      <c r="Q11" s="59">
        <v>429.0</v>
      </c>
      <c r="R11" s="59">
        <v>438.0</v>
      </c>
      <c r="S11" s="59">
        <v>447.0</v>
      </c>
      <c r="T11" s="59">
        <v>456.0</v>
      </c>
      <c r="U11" s="59">
        <v>465.0</v>
      </c>
      <c r="V11" s="59">
        <v>474.0</v>
      </c>
      <c r="W11" s="59">
        <v>483.0</v>
      </c>
      <c r="X11" s="59">
        <v>492.0</v>
      </c>
      <c r="Y11" s="59">
        <v>501.0</v>
      </c>
      <c r="Z11" s="59">
        <v>510.0</v>
      </c>
      <c r="AA11" s="59">
        <v>519.0</v>
      </c>
      <c r="AB11" s="59">
        <v>528.0</v>
      </c>
      <c r="AC11" s="59">
        <v>537.0</v>
      </c>
      <c r="AD11" s="59">
        <v>546.0</v>
      </c>
      <c r="AE11" s="59">
        <v>555.0</v>
      </c>
      <c r="AF11" s="59">
        <v>564.0</v>
      </c>
      <c r="AG11" s="59">
        <v>573.0</v>
      </c>
      <c r="AH11" s="59">
        <v>582.0</v>
      </c>
      <c r="AI11" s="59">
        <v>591.0</v>
      </c>
      <c r="AJ11" s="59">
        <v>600.0</v>
      </c>
      <c r="AK11" s="59">
        <v>609.0</v>
      </c>
      <c r="AL11" s="59">
        <v>618.0</v>
      </c>
      <c r="AM11" s="59">
        <v>627.0</v>
      </c>
      <c r="AN11" s="59">
        <v>636.0</v>
      </c>
      <c r="AO11" s="59">
        <v>645.0</v>
      </c>
      <c r="AP11" s="59">
        <v>654.0</v>
      </c>
      <c r="AQ11" s="59">
        <v>663.0</v>
      </c>
      <c r="AR11" s="59">
        <v>672.0</v>
      </c>
      <c r="AS11" s="59">
        <v>681.0</v>
      </c>
      <c r="AT11" s="59">
        <v>690.0</v>
      </c>
      <c r="AU11" s="59">
        <v>699.0</v>
      </c>
      <c r="AV11" s="59">
        <v>708.0</v>
      </c>
      <c r="AW11" s="59">
        <v>717.0</v>
      </c>
      <c r="AX11" s="59">
        <v>726.0</v>
      </c>
      <c r="AY11" s="59">
        <v>735.0</v>
      </c>
      <c r="AZ11" s="17">
        <v>15.0</v>
      </c>
    </row>
    <row r="12">
      <c r="A12" s="17">
        <v>7.0</v>
      </c>
      <c r="B12" s="59">
        <v>343.0</v>
      </c>
      <c r="C12" s="59">
        <v>350.0</v>
      </c>
      <c r="D12" s="59">
        <v>357.0</v>
      </c>
      <c r="E12" s="59">
        <v>364.0</v>
      </c>
      <c r="F12" s="59">
        <v>371.0</v>
      </c>
      <c r="G12" s="59">
        <v>378.0</v>
      </c>
      <c r="H12" s="59">
        <v>385.0</v>
      </c>
      <c r="I12" s="59">
        <v>392.0</v>
      </c>
      <c r="J12" s="59">
        <v>399.0</v>
      </c>
      <c r="K12" s="59">
        <v>406.0</v>
      </c>
      <c r="L12" s="59">
        <v>413.0</v>
      </c>
      <c r="M12" s="59">
        <v>420.0</v>
      </c>
      <c r="N12" s="59">
        <v>427.0</v>
      </c>
      <c r="O12" s="59">
        <v>434.0</v>
      </c>
      <c r="P12" s="59">
        <v>441.0</v>
      </c>
      <c r="Q12" s="59">
        <v>448.0</v>
      </c>
      <c r="R12" s="59">
        <v>455.0</v>
      </c>
      <c r="S12" s="59">
        <v>462.0</v>
      </c>
      <c r="T12" s="59">
        <v>469.0</v>
      </c>
      <c r="U12" s="59">
        <v>476.0</v>
      </c>
      <c r="V12" s="59">
        <v>483.0</v>
      </c>
      <c r="W12" s="59">
        <v>490.0</v>
      </c>
      <c r="X12" s="59">
        <v>497.0</v>
      </c>
      <c r="Y12" s="59">
        <v>504.0</v>
      </c>
      <c r="Z12" s="24">
        <v>511.0</v>
      </c>
      <c r="AA12" s="24">
        <v>518.0</v>
      </c>
      <c r="AB12" s="59">
        <v>525.0</v>
      </c>
      <c r="AC12" s="59">
        <v>532.0</v>
      </c>
      <c r="AD12" s="59">
        <v>539.0</v>
      </c>
      <c r="AE12" s="59">
        <v>546.0</v>
      </c>
      <c r="AF12" s="59">
        <v>553.0</v>
      </c>
      <c r="AG12" s="59">
        <v>560.0</v>
      </c>
      <c r="AH12" s="59">
        <v>567.0</v>
      </c>
      <c r="AI12" s="59">
        <v>574.0</v>
      </c>
      <c r="AJ12" s="59">
        <v>581.0</v>
      </c>
      <c r="AK12" s="59">
        <v>588.0</v>
      </c>
      <c r="AL12" s="59">
        <v>595.0</v>
      </c>
      <c r="AM12" s="59">
        <v>602.0</v>
      </c>
      <c r="AN12" s="59">
        <v>609.0</v>
      </c>
      <c r="AO12" s="59">
        <v>616.0</v>
      </c>
      <c r="AP12" s="59">
        <v>623.0</v>
      </c>
      <c r="AQ12" s="59">
        <v>630.0</v>
      </c>
      <c r="AR12" s="59">
        <v>637.0</v>
      </c>
      <c r="AS12" s="59">
        <v>644.0</v>
      </c>
      <c r="AT12" s="59">
        <v>651.0</v>
      </c>
      <c r="AU12" s="59">
        <v>658.0</v>
      </c>
      <c r="AV12" s="59">
        <v>665.0</v>
      </c>
      <c r="AW12" s="59">
        <v>672.0</v>
      </c>
      <c r="AX12" s="59">
        <v>679.0</v>
      </c>
      <c r="AY12" s="59">
        <v>686.0</v>
      </c>
      <c r="AZ12" s="17">
        <v>14.0</v>
      </c>
    </row>
    <row r="13">
      <c r="A13" s="17">
        <v>8.0</v>
      </c>
      <c r="B13" s="59">
        <v>392.0</v>
      </c>
      <c r="C13" s="59">
        <v>397.0</v>
      </c>
      <c r="D13" s="59">
        <v>402.0</v>
      </c>
      <c r="E13" s="59">
        <v>407.0</v>
      </c>
      <c r="F13" s="59">
        <v>412.0</v>
      </c>
      <c r="G13" s="59">
        <v>417.0</v>
      </c>
      <c r="H13" s="59">
        <v>422.0</v>
      </c>
      <c r="I13" s="59">
        <v>427.0</v>
      </c>
      <c r="J13" s="59">
        <v>432.0</v>
      </c>
      <c r="K13" s="59">
        <v>437.0</v>
      </c>
      <c r="L13" s="59">
        <v>442.0</v>
      </c>
      <c r="M13" s="59">
        <v>447.0</v>
      </c>
      <c r="N13" s="59">
        <v>452.0</v>
      </c>
      <c r="O13" s="59">
        <v>457.0</v>
      </c>
      <c r="P13" s="59">
        <v>462.0</v>
      </c>
      <c r="Q13" s="59">
        <v>467.0</v>
      </c>
      <c r="R13" s="59">
        <v>472.0</v>
      </c>
      <c r="S13" s="59">
        <v>477.0</v>
      </c>
      <c r="T13" s="59">
        <v>482.0</v>
      </c>
      <c r="U13" s="59">
        <v>487.0</v>
      </c>
      <c r="V13" s="59">
        <v>492.0</v>
      </c>
      <c r="W13" s="59">
        <v>497.0</v>
      </c>
      <c r="X13" s="24">
        <v>502.0</v>
      </c>
      <c r="Y13" s="5">
        <v>507.0</v>
      </c>
      <c r="Z13" s="5">
        <v>512.0</v>
      </c>
      <c r="AA13" s="5">
        <v>517.0</v>
      </c>
      <c r="AB13" s="5">
        <v>522.0</v>
      </c>
      <c r="AC13" s="24">
        <v>527.0</v>
      </c>
      <c r="AD13" s="59">
        <v>532.0</v>
      </c>
      <c r="AE13" s="59">
        <v>537.0</v>
      </c>
      <c r="AF13" s="59">
        <v>542.0</v>
      </c>
      <c r="AG13" s="59">
        <v>547.0</v>
      </c>
      <c r="AH13" s="59">
        <v>552.0</v>
      </c>
      <c r="AI13" s="59">
        <v>557.0</v>
      </c>
      <c r="AJ13" s="59">
        <v>562.0</v>
      </c>
      <c r="AK13" s="59">
        <v>567.0</v>
      </c>
      <c r="AL13" s="59">
        <v>572.0</v>
      </c>
      <c r="AM13" s="59">
        <v>577.0</v>
      </c>
      <c r="AN13" s="59">
        <v>582.0</v>
      </c>
      <c r="AO13" s="59">
        <v>587.0</v>
      </c>
      <c r="AP13" s="59">
        <v>592.0</v>
      </c>
      <c r="AQ13" s="59">
        <v>597.0</v>
      </c>
      <c r="AR13" s="59">
        <v>602.0</v>
      </c>
      <c r="AS13" s="59">
        <v>607.0</v>
      </c>
      <c r="AT13" s="59">
        <v>612.0</v>
      </c>
      <c r="AU13" s="59">
        <v>617.0</v>
      </c>
      <c r="AV13" s="59">
        <v>622.0</v>
      </c>
      <c r="AW13" s="59">
        <v>627.0</v>
      </c>
      <c r="AX13" s="59">
        <v>632.0</v>
      </c>
      <c r="AY13" s="59">
        <v>637.0</v>
      </c>
      <c r="AZ13" s="17">
        <v>13.0</v>
      </c>
    </row>
    <row r="14">
      <c r="A14" s="17">
        <v>9.0</v>
      </c>
      <c r="B14" s="59">
        <v>441.0</v>
      </c>
      <c r="C14" s="59">
        <v>444.0</v>
      </c>
      <c r="D14" s="59">
        <v>447.0</v>
      </c>
      <c r="E14" s="59">
        <v>450.0</v>
      </c>
      <c r="F14" s="59">
        <v>453.0</v>
      </c>
      <c r="G14" s="59">
        <v>456.0</v>
      </c>
      <c r="H14" s="59">
        <v>459.0</v>
      </c>
      <c r="I14" s="59">
        <v>462.0</v>
      </c>
      <c r="J14" s="59">
        <v>465.0</v>
      </c>
      <c r="K14" s="59">
        <v>468.0</v>
      </c>
      <c r="L14" s="59">
        <v>471.0</v>
      </c>
      <c r="M14" s="59">
        <v>474.0</v>
      </c>
      <c r="N14" s="59">
        <v>477.0</v>
      </c>
      <c r="O14" s="59">
        <v>480.0</v>
      </c>
      <c r="P14" s="59">
        <v>483.0</v>
      </c>
      <c r="Q14" s="59">
        <v>486.0</v>
      </c>
      <c r="R14" s="59">
        <v>489.0</v>
      </c>
      <c r="S14" s="59">
        <v>492.0</v>
      </c>
      <c r="T14" s="59">
        <v>495.0</v>
      </c>
      <c r="U14" s="59">
        <v>498.0</v>
      </c>
      <c r="V14" s="15">
        <v>501.0</v>
      </c>
      <c r="W14" s="5">
        <v>504.0</v>
      </c>
      <c r="X14" s="5">
        <v>507.0</v>
      </c>
      <c r="Y14" s="5">
        <v>510.0</v>
      </c>
      <c r="Z14" s="5">
        <v>513.0</v>
      </c>
      <c r="AA14" s="5">
        <v>516.0</v>
      </c>
      <c r="AB14" s="5">
        <v>519.0</v>
      </c>
      <c r="AC14" s="5">
        <v>522.0</v>
      </c>
      <c r="AD14" s="5">
        <v>525.0</v>
      </c>
      <c r="AE14" s="24">
        <v>528.0</v>
      </c>
      <c r="AF14" s="59">
        <v>531.0</v>
      </c>
      <c r="AG14" s="59">
        <v>534.0</v>
      </c>
      <c r="AH14" s="59">
        <v>537.0</v>
      </c>
      <c r="AI14" s="59">
        <v>540.0</v>
      </c>
      <c r="AJ14" s="59">
        <v>543.0</v>
      </c>
      <c r="AK14" s="59">
        <v>546.0</v>
      </c>
      <c r="AL14" s="59">
        <v>549.0</v>
      </c>
      <c r="AM14" s="59">
        <v>552.0</v>
      </c>
      <c r="AN14" s="59">
        <v>555.0</v>
      </c>
      <c r="AO14" s="59">
        <v>558.0</v>
      </c>
      <c r="AP14" s="59">
        <v>561.0</v>
      </c>
      <c r="AQ14" s="59">
        <v>564.0</v>
      </c>
      <c r="AR14" s="59">
        <v>567.0</v>
      </c>
      <c r="AS14" s="59">
        <v>570.0</v>
      </c>
      <c r="AT14" s="59">
        <v>573.0</v>
      </c>
      <c r="AU14" s="59">
        <v>576.0</v>
      </c>
      <c r="AV14" s="59">
        <v>579.0</v>
      </c>
      <c r="AW14" s="59">
        <v>582.0</v>
      </c>
      <c r="AX14" s="59">
        <v>585.0</v>
      </c>
      <c r="AY14" s="59">
        <v>588.0</v>
      </c>
      <c r="AZ14" s="17">
        <v>12.0</v>
      </c>
    </row>
    <row r="15">
      <c r="A15" s="17">
        <v>10.0</v>
      </c>
      <c r="B15" s="59">
        <v>490.0</v>
      </c>
      <c r="C15" s="59">
        <v>491.0</v>
      </c>
      <c r="D15" s="59">
        <v>492.0</v>
      </c>
      <c r="E15" s="59">
        <v>493.0</v>
      </c>
      <c r="F15" s="59">
        <v>494.0</v>
      </c>
      <c r="G15" s="59">
        <v>495.0</v>
      </c>
      <c r="H15" s="59">
        <v>496.0</v>
      </c>
      <c r="I15" s="59">
        <v>497.0</v>
      </c>
      <c r="J15" s="59">
        <v>498.0</v>
      </c>
      <c r="K15" s="59">
        <v>499.0</v>
      </c>
      <c r="L15" s="59">
        <v>500.0</v>
      </c>
      <c r="M15" s="59">
        <v>501.0</v>
      </c>
      <c r="N15" s="59">
        <v>502.0</v>
      </c>
      <c r="O15" s="59">
        <v>503.0</v>
      </c>
      <c r="P15" s="59">
        <v>504.0</v>
      </c>
      <c r="Q15" s="59">
        <v>505.0</v>
      </c>
      <c r="R15" s="59">
        <v>506.0</v>
      </c>
      <c r="S15" s="59">
        <v>507.0</v>
      </c>
      <c r="T15" s="24">
        <v>508.0</v>
      </c>
      <c r="U15" s="5">
        <v>509.0</v>
      </c>
      <c r="V15" s="5">
        <v>510.0</v>
      </c>
      <c r="W15" s="5">
        <v>511.0</v>
      </c>
      <c r="X15" s="5">
        <v>512.0</v>
      </c>
      <c r="Y15" s="5">
        <v>513.0</v>
      </c>
      <c r="Z15" s="5">
        <v>514.0</v>
      </c>
      <c r="AA15" s="5">
        <v>515.0</v>
      </c>
      <c r="AB15" s="5">
        <v>516.0</v>
      </c>
      <c r="AC15" s="5">
        <v>517.0</v>
      </c>
      <c r="AD15" s="5">
        <v>518.0</v>
      </c>
      <c r="AE15" s="5">
        <v>519.0</v>
      </c>
      <c r="AF15" s="5">
        <v>520.0</v>
      </c>
      <c r="AG15" s="24">
        <v>521.0</v>
      </c>
      <c r="AH15" s="59">
        <v>522.0</v>
      </c>
      <c r="AI15" s="59">
        <v>523.0</v>
      </c>
      <c r="AJ15" s="59">
        <v>524.0</v>
      </c>
      <c r="AK15" s="59">
        <v>525.0</v>
      </c>
      <c r="AL15" s="59">
        <v>526.0</v>
      </c>
      <c r="AM15" s="59">
        <v>527.0</v>
      </c>
      <c r="AN15" s="59">
        <v>528.0</v>
      </c>
      <c r="AO15" s="59">
        <v>529.0</v>
      </c>
      <c r="AP15" s="59">
        <v>530.0</v>
      </c>
      <c r="AQ15" s="59">
        <v>531.0</v>
      </c>
      <c r="AR15" s="59">
        <v>532.0</v>
      </c>
      <c r="AS15" s="59">
        <v>533.0</v>
      </c>
      <c r="AT15" s="59">
        <v>534.0</v>
      </c>
      <c r="AU15" s="59">
        <v>535.0</v>
      </c>
      <c r="AV15" s="59">
        <v>536.0</v>
      </c>
      <c r="AW15" s="59">
        <v>537.0</v>
      </c>
      <c r="AX15" s="59">
        <v>538.0</v>
      </c>
      <c r="AY15" s="59">
        <v>539.0</v>
      </c>
      <c r="AZ15" s="17">
        <v>11.0</v>
      </c>
    </row>
    <row r="16">
      <c r="A16" s="17">
        <v>11.0</v>
      </c>
      <c r="B16" s="59">
        <v>539.0</v>
      </c>
      <c r="C16" s="59">
        <v>538.0</v>
      </c>
      <c r="D16" s="59">
        <v>537.0</v>
      </c>
      <c r="E16" s="59">
        <v>536.0</v>
      </c>
      <c r="F16" s="59">
        <v>535.0</v>
      </c>
      <c r="G16" s="59">
        <v>534.0</v>
      </c>
      <c r="H16" s="59">
        <v>533.0</v>
      </c>
      <c r="I16" s="59">
        <v>532.0</v>
      </c>
      <c r="J16" s="59">
        <v>531.0</v>
      </c>
      <c r="K16" s="59">
        <v>530.0</v>
      </c>
      <c r="L16" s="59">
        <v>529.0</v>
      </c>
      <c r="M16" s="59">
        <v>528.0</v>
      </c>
      <c r="N16" s="59">
        <v>527.0</v>
      </c>
      <c r="O16" s="59">
        <v>526.0</v>
      </c>
      <c r="P16" s="59">
        <v>525.0</v>
      </c>
      <c r="Q16" s="59">
        <v>524.0</v>
      </c>
      <c r="R16" s="59">
        <v>523.0</v>
      </c>
      <c r="S16" s="59">
        <v>522.0</v>
      </c>
      <c r="T16" s="24">
        <v>521.0</v>
      </c>
      <c r="U16" s="5">
        <v>520.0</v>
      </c>
      <c r="V16" s="5">
        <v>519.0</v>
      </c>
      <c r="W16" s="5">
        <v>518.0</v>
      </c>
      <c r="X16" s="5">
        <v>517.0</v>
      </c>
      <c r="Y16" s="5">
        <v>516.0</v>
      </c>
      <c r="Z16" s="5">
        <v>515.0</v>
      </c>
      <c r="AA16" s="5">
        <v>514.0</v>
      </c>
      <c r="AB16" s="5">
        <v>513.0</v>
      </c>
      <c r="AC16" s="5">
        <v>512.0</v>
      </c>
      <c r="AD16" s="5">
        <v>511.0</v>
      </c>
      <c r="AE16" s="5">
        <v>510.0</v>
      </c>
      <c r="AF16" s="5">
        <v>509.0</v>
      </c>
      <c r="AG16" s="24">
        <v>508.0</v>
      </c>
      <c r="AH16" s="59">
        <v>507.0</v>
      </c>
      <c r="AI16" s="59">
        <v>506.0</v>
      </c>
      <c r="AJ16" s="59">
        <v>505.0</v>
      </c>
      <c r="AK16" s="59">
        <v>504.0</v>
      </c>
      <c r="AL16" s="59">
        <v>503.0</v>
      </c>
      <c r="AM16" s="59">
        <v>502.0</v>
      </c>
      <c r="AN16" s="59">
        <v>501.0</v>
      </c>
      <c r="AO16" s="59">
        <v>500.0</v>
      </c>
      <c r="AP16" s="59">
        <v>499.0</v>
      </c>
      <c r="AQ16" s="59">
        <v>498.0</v>
      </c>
      <c r="AR16" s="59">
        <v>497.0</v>
      </c>
      <c r="AS16" s="59">
        <v>496.0</v>
      </c>
      <c r="AT16" s="59">
        <v>495.0</v>
      </c>
      <c r="AU16" s="59">
        <v>494.0</v>
      </c>
      <c r="AV16" s="59">
        <v>493.0</v>
      </c>
      <c r="AW16" s="59">
        <v>492.0</v>
      </c>
      <c r="AX16" s="59">
        <v>491.0</v>
      </c>
      <c r="AY16" s="59">
        <v>490.0</v>
      </c>
      <c r="AZ16" s="17">
        <v>10.0</v>
      </c>
    </row>
    <row r="17">
      <c r="A17" s="17">
        <v>12.0</v>
      </c>
      <c r="B17" s="59">
        <v>588.0</v>
      </c>
      <c r="C17" s="59">
        <v>585.0</v>
      </c>
      <c r="D17" s="59">
        <v>582.0</v>
      </c>
      <c r="E17" s="59">
        <v>579.0</v>
      </c>
      <c r="F17" s="59">
        <v>576.0</v>
      </c>
      <c r="G17" s="59">
        <v>573.0</v>
      </c>
      <c r="H17" s="59">
        <v>570.0</v>
      </c>
      <c r="I17" s="59">
        <v>567.0</v>
      </c>
      <c r="J17" s="59">
        <v>564.0</v>
      </c>
      <c r="K17" s="59">
        <v>561.0</v>
      </c>
      <c r="L17" s="59">
        <v>558.0</v>
      </c>
      <c r="M17" s="59">
        <v>555.0</v>
      </c>
      <c r="N17" s="59">
        <v>552.0</v>
      </c>
      <c r="O17" s="59">
        <v>549.0</v>
      </c>
      <c r="P17" s="59">
        <v>546.0</v>
      </c>
      <c r="Q17" s="59">
        <v>543.0</v>
      </c>
      <c r="R17" s="59">
        <v>540.0</v>
      </c>
      <c r="S17" s="59">
        <v>537.0</v>
      </c>
      <c r="T17" s="59">
        <v>534.0</v>
      </c>
      <c r="U17" s="59">
        <v>531.0</v>
      </c>
      <c r="V17" s="24">
        <v>528.0</v>
      </c>
      <c r="W17" s="5">
        <v>525.0</v>
      </c>
      <c r="X17" s="5">
        <v>522.0</v>
      </c>
      <c r="Y17" s="5">
        <v>519.0</v>
      </c>
      <c r="Z17" s="5">
        <v>516.0</v>
      </c>
      <c r="AA17" s="5">
        <v>513.0</v>
      </c>
      <c r="AB17" s="5">
        <v>510.0</v>
      </c>
      <c r="AC17" s="5">
        <v>507.0</v>
      </c>
      <c r="AD17" s="5">
        <v>504.0</v>
      </c>
      <c r="AE17" s="15">
        <v>501.0</v>
      </c>
      <c r="AF17" s="59">
        <v>498.0</v>
      </c>
      <c r="AG17" s="59">
        <v>495.0</v>
      </c>
      <c r="AH17" s="59">
        <v>492.0</v>
      </c>
      <c r="AI17" s="59">
        <v>489.0</v>
      </c>
      <c r="AJ17" s="59">
        <v>486.0</v>
      </c>
      <c r="AK17" s="59">
        <v>483.0</v>
      </c>
      <c r="AL17" s="59">
        <v>480.0</v>
      </c>
      <c r="AM17" s="59">
        <v>477.0</v>
      </c>
      <c r="AN17" s="59">
        <v>474.0</v>
      </c>
      <c r="AO17" s="59">
        <v>471.0</v>
      </c>
      <c r="AP17" s="59">
        <v>468.0</v>
      </c>
      <c r="AQ17" s="59">
        <v>465.0</v>
      </c>
      <c r="AR17" s="59">
        <v>462.0</v>
      </c>
      <c r="AS17" s="59">
        <v>459.0</v>
      </c>
      <c r="AT17" s="59">
        <v>456.0</v>
      </c>
      <c r="AU17" s="59">
        <v>453.0</v>
      </c>
      <c r="AV17" s="59">
        <v>450.0</v>
      </c>
      <c r="AW17" s="59">
        <v>447.0</v>
      </c>
      <c r="AX17" s="59">
        <v>444.0</v>
      </c>
      <c r="AY17" s="59">
        <v>441.0</v>
      </c>
      <c r="AZ17" s="17">
        <v>9.0</v>
      </c>
    </row>
    <row r="18">
      <c r="A18" s="17">
        <v>13.0</v>
      </c>
      <c r="B18" s="59">
        <v>637.0</v>
      </c>
      <c r="C18" s="59">
        <v>632.0</v>
      </c>
      <c r="D18" s="59">
        <v>627.0</v>
      </c>
      <c r="E18" s="59">
        <v>622.0</v>
      </c>
      <c r="F18" s="59">
        <v>617.0</v>
      </c>
      <c r="G18" s="59">
        <v>612.0</v>
      </c>
      <c r="H18" s="59">
        <v>607.0</v>
      </c>
      <c r="I18" s="59">
        <v>602.0</v>
      </c>
      <c r="J18" s="59">
        <v>597.0</v>
      </c>
      <c r="K18" s="59">
        <v>592.0</v>
      </c>
      <c r="L18" s="59">
        <v>587.0</v>
      </c>
      <c r="M18" s="59">
        <v>582.0</v>
      </c>
      <c r="N18" s="59">
        <v>577.0</v>
      </c>
      <c r="O18" s="59">
        <v>572.0</v>
      </c>
      <c r="P18" s="59">
        <v>567.0</v>
      </c>
      <c r="Q18" s="59">
        <v>562.0</v>
      </c>
      <c r="R18" s="59">
        <v>557.0</v>
      </c>
      <c r="S18" s="59">
        <v>552.0</v>
      </c>
      <c r="T18" s="59">
        <v>547.0</v>
      </c>
      <c r="U18" s="59">
        <v>542.0</v>
      </c>
      <c r="V18" s="59">
        <v>537.0</v>
      </c>
      <c r="W18" s="59">
        <v>532.0</v>
      </c>
      <c r="X18" s="24">
        <v>527.0</v>
      </c>
      <c r="Y18" s="5">
        <v>522.0</v>
      </c>
      <c r="Z18" s="5">
        <v>517.0</v>
      </c>
      <c r="AA18" s="5">
        <v>512.0</v>
      </c>
      <c r="AB18" s="5">
        <v>507.0</v>
      </c>
      <c r="AC18" s="24">
        <v>502.0</v>
      </c>
      <c r="AD18" s="59">
        <v>497.0</v>
      </c>
      <c r="AE18" s="59">
        <v>492.0</v>
      </c>
      <c r="AF18" s="59">
        <v>487.0</v>
      </c>
      <c r="AG18" s="59">
        <v>482.0</v>
      </c>
      <c r="AH18" s="59">
        <v>477.0</v>
      </c>
      <c r="AI18" s="59">
        <v>472.0</v>
      </c>
      <c r="AJ18" s="59">
        <v>467.0</v>
      </c>
      <c r="AK18" s="59">
        <v>462.0</v>
      </c>
      <c r="AL18" s="59">
        <v>457.0</v>
      </c>
      <c r="AM18" s="59">
        <v>452.0</v>
      </c>
      <c r="AN18" s="59">
        <v>447.0</v>
      </c>
      <c r="AO18" s="59">
        <v>442.0</v>
      </c>
      <c r="AP18" s="59">
        <v>437.0</v>
      </c>
      <c r="AQ18" s="59">
        <v>432.0</v>
      </c>
      <c r="AR18" s="59">
        <v>427.0</v>
      </c>
      <c r="AS18" s="59">
        <v>422.0</v>
      </c>
      <c r="AT18" s="59">
        <v>417.0</v>
      </c>
      <c r="AU18" s="59">
        <v>412.0</v>
      </c>
      <c r="AV18" s="59">
        <v>407.0</v>
      </c>
      <c r="AW18" s="59">
        <v>402.0</v>
      </c>
      <c r="AX18" s="59">
        <v>397.0</v>
      </c>
      <c r="AY18" s="59">
        <v>392.0</v>
      </c>
      <c r="AZ18" s="17">
        <v>8.0</v>
      </c>
    </row>
    <row r="19">
      <c r="A19" s="17">
        <v>14.0</v>
      </c>
      <c r="B19" s="59">
        <v>686.0</v>
      </c>
      <c r="C19" s="59">
        <v>679.0</v>
      </c>
      <c r="D19" s="59">
        <v>672.0</v>
      </c>
      <c r="E19" s="59">
        <v>665.0</v>
      </c>
      <c r="F19" s="59">
        <v>658.0</v>
      </c>
      <c r="G19" s="59">
        <v>651.0</v>
      </c>
      <c r="H19" s="59">
        <v>644.0</v>
      </c>
      <c r="I19" s="59">
        <v>637.0</v>
      </c>
      <c r="J19" s="59">
        <v>630.0</v>
      </c>
      <c r="K19" s="59">
        <v>623.0</v>
      </c>
      <c r="L19" s="59">
        <v>616.0</v>
      </c>
      <c r="M19" s="59">
        <v>609.0</v>
      </c>
      <c r="N19" s="59">
        <v>602.0</v>
      </c>
      <c r="O19" s="59">
        <v>595.0</v>
      </c>
      <c r="P19" s="59">
        <v>588.0</v>
      </c>
      <c r="Q19" s="59">
        <v>581.0</v>
      </c>
      <c r="R19" s="59">
        <v>574.0</v>
      </c>
      <c r="S19" s="59">
        <v>567.0</v>
      </c>
      <c r="T19" s="59">
        <v>560.0</v>
      </c>
      <c r="U19" s="59">
        <v>553.0</v>
      </c>
      <c r="V19" s="59">
        <v>546.0</v>
      </c>
      <c r="W19" s="59">
        <v>539.0</v>
      </c>
      <c r="X19" s="59">
        <v>532.0</v>
      </c>
      <c r="Y19" s="59">
        <v>525.0</v>
      </c>
      <c r="Z19" s="24">
        <v>518.0</v>
      </c>
      <c r="AA19" s="24">
        <v>511.0</v>
      </c>
      <c r="AB19" s="59">
        <v>504.0</v>
      </c>
      <c r="AC19" s="59">
        <v>497.0</v>
      </c>
      <c r="AD19" s="59">
        <v>490.0</v>
      </c>
      <c r="AE19" s="59">
        <v>483.0</v>
      </c>
      <c r="AF19" s="59">
        <v>476.0</v>
      </c>
      <c r="AG19" s="59">
        <v>469.0</v>
      </c>
      <c r="AH19" s="59">
        <v>462.0</v>
      </c>
      <c r="AI19" s="59">
        <v>455.0</v>
      </c>
      <c r="AJ19" s="59">
        <v>448.0</v>
      </c>
      <c r="AK19" s="59">
        <v>441.0</v>
      </c>
      <c r="AL19" s="59">
        <v>434.0</v>
      </c>
      <c r="AM19" s="59">
        <v>427.0</v>
      </c>
      <c r="AN19" s="59">
        <v>420.0</v>
      </c>
      <c r="AO19" s="59">
        <v>413.0</v>
      </c>
      <c r="AP19" s="59">
        <v>406.0</v>
      </c>
      <c r="AQ19" s="59">
        <v>399.0</v>
      </c>
      <c r="AR19" s="59">
        <v>392.0</v>
      </c>
      <c r="AS19" s="59">
        <v>385.0</v>
      </c>
      <c r="AT19" s="59">
        <v>378.0</v>
      </c>
      <c r="AU19" s="59">
        <v>371.0</v>
      </c>
      <c r="AV19" s="59">
        <v>364.0</v>
      </c>
      <c r="AW19" s="59">
        <v>357.0</v>
      </c>
      <c r="AX19" s="59">
        <v>350.0</v>
      </c>
      <c r="AY19" s="59">
        <v>343.0</v>
      </c>
      <c r="AZ19" s="17">
        <v>7.0</v>
      </c>
    </row>
    <row r="20">
      <c r="A20" s="17">
        <v>15.0</v>
      </c>
      <c r="B20" s="59">
        <v>735.0</v>
      </c>
      <c r="C20" s="59">
        <v>726.0</v>
      </c>
      <c r="D20" s="59">
        <v>717.0</v>
      </c>
      <c r="E20" s="59">
        <v>708.0</v>
      </c>
      <c r="F20" s="59">
        <v>699.0</v>
      </c>
      <c r="G20" s="59">
        <v>690.0</v>
      </c>
      <c r="H20" s="59">
        <v>681.0</v>
      </c>
      <c r="I20" s="59">
        <v>672.0</v>
      </c>
      <c r="J20" s="59">
        <v>663.0</v>
      </c>
      <c r="K20" s="59">
        <v>654.0</v>
      </c>
      <c r="L20" s="59">
        <v>645.0</v>
      </c>
      <c r="M20" s="59">
        <v>636.0</v>
      </c>
      <c r="N20" s="59">
        <v>627.0</v>
      </c>
      <c r="O20" s="59">
        <v>618.0</v>
      </c>
      <c r="P20" s="59">
        <v>609.0</v>
      </c>
      <c r="Q20" s="59">
        <v>600.0</v>
      </c>
      <c r="R20" s="59">
        <v>591.0</v>
      </c>
      <c r="S20" s="59">
        <v>582.0</v>
      </c>
      <c r="T20" s="59">
        <v>573.0</v>
      </c>
      <c r="U20" s="59">
        <v>564.0</v>
      </c>
      <c r="V20" s="59">
        <v>555.0</v>
      </c>
      <c r="W20" s="59">
        <v>546.0</v>
      </c>
      <c r="X20" s="59">
        <v>537.0</v>
      </c>
      <c r="Y20" s="59">
        <v>528.0</v>
      </c>
      <c r="Z20" s="59">
        <v>519.0</v>
      </c>
      <c r="AA20" s="59">
        <v>510.0</v>
      </c>
      <c r="AB20" s="59">
        <v>501.0</v>
      </c>
      <c r="AC20" s="59">
        <v>492.0</v>
      </c>
      <c r="AD20" s="59">
        <v>483.0</v>
      </c>
      <c r="AE20" s="59">
        <v>474.0</v>
      </c>
      <c r="AF20" s="59">
        <v>465.0</v>
      </c>
      <c r="AG20" s="59">
        <v>456.0</v>
      </c>
      <c r="AH20" s="59">
        <v>447.0</v>
      </c>
      <c r="AI20" s="59">
        <v>438.0</v>
      </c>
      <c r="AJ20" s="59">
        <v>429.0</v>
      </c>
      <c r="AK20" s="59">
        <v>420.0</v>
      </c>
      <c r="AL20" s="59">
        <v>411.0</v>
      </c>
      <c r="AM20" s="59">
        <v>402.0</v>
      </c>
      <c r="AN20" s="59">
        <v>393.0</v>
      </c>
      <c r="AO20" s="59">
        <v>384.0</v>
      </c>
      <c r="AP20" s="59">
        <v>375.0</v>
      </c>
      <c r="AQ20" s="59">
        <v>366.0</v>
      </c>
      <c r="AR20" s="59">
        <v>357.0</v>
      </c>
      <c r="AS20" s="59">
        <v>348.0</v>
      </c>
      <c r="AT20" s="59">
        <v>339.0</v>
      </c>
      <c r="AU20" s="59">
        <v>330.0</v>
      </c>
      <c r="AV20" s="59">
        <v>321.0</v>
      </c>
      <c r="AW20" s="59">
        <v>312.0</v>
      </c>
      <c r="AX20" s="59">
        <v>303.0</v>
      </c>
      <c r="AY20" s="59">
        <v>294.0</v>
      </c>
      <c r="AZ20" s="17">
        <v>6.0</v>
      </c>
    </row>
    <row r="21">
      <c r="A21" s="17">
        <v>16.0</v>
      </c>
      <c r="B21" s="59">
        <v>784.0</v>
      </c>
      <c r="C21" s="59">
        <v>773.0</v>
      </c>
      <c r="D21" s="59">
        <v>762.0</v>
      </c>
      <c r="E21" s="59">
        <v>751.0</v>
      </c>
      <c r="F21" s="59">
        <v>740.0</v>
      </c>
      <c r="G21" s="59">
        <v>729.0</v>
      </c>
      <c r="H21" s="59">
        <v>718.0</v>
      </c>
      <c r="I21" s="59">
        <v>707.0</v>
      </c>
      <c r="J21" s="59">
        <v>696.0</v>
      </c>
      <c r="K21" s="59">
        <v>685.0</v>
      </c>
      <c r="L21" s="59">
        <v>674.0</v>
      </c>
      <c r="M21" s="59">
        <v>663.0</v>
      </c>
      <c r="N21" s="59">
        <v>652.0</v>
      </c>
      <c r="O21" s="59">
        <v>641.0</v>
      </c>
      <c r="P21" s="59">
        <v>630.0</v>
      </c>
      <c r="Q21" s="59">
        <v>619.0</v>
      </c>
      <c r="R21" s="59">
        <v>608.0</v>
      </c>
      <c r="S21" s="59">
        <v>597.0</v>
      </c>
      <c r="T21" s="59">
        <v>586.0</v>
      </c>
      <c r="U21" s="59">
        <v>575.0</v>
      </c>
      <c r="V21" s="59">
        <v>564.0</v>
      </c>
      <c r="W21" s="59">
        <v>553.0</v>
      </c>
      <c r="X21" s="59">
        <v>542.0</v>
      </c>
      <c r="Y21" s="59">
        <v>531.0</v>
      </c>
      <c r="Z21" s="59">
        <v>520.0</v>
      </c>
      <c r="AA21" s="59">
        <v>509.0</v>
      </c>
      <c r="AB21" s="59">
        <v>498.0</v>
      </c>
      <c r="AC21" s="59">
        <v>487.0</v>
      </c>
      <c r="AD21" s="59">
        <v>476.0</v>
      </c>
      <c r="AE21" s="59">
        <v>465.0</v>
      </c>
      <c r="AF21" s="59">
        <v>454.0</v>
      </c>
      <c r="AG21" s="59">
        <v>443.0</v>
      </c>
      <c r="AH21" s="59">
        <v>432.0</v>
      </c>
      <c r="AI21" s="59">
        <v>421.0</v>
      </c>
      <c r="AJ21" s="59">
        <v>410.0</v>
      </c>
      <c r="AK21" s="59">
        <v>399.0</v>
      </c>
      <c r="AL21" s="59">
        <v>388.0</v>
      </c>
      <c r="AM21" s="59">
        <v>377.0</v>
      </c>
      <c r="AN21" s="59">
        <v>366.0</v>
      </c>
      <c r="AO21" s="59">
        <v>355.0</v>
      </c>
      <c r="AP21" s="59">
        <v>344.0</v>
      </c>
      <c r="AQ21" s="59">
        <v>333.0</v>
      </c>
      <c r="AR21" s="59">
        <v>322.0</v>
      </c>
      <c r="AS21" s="59">
        <v>311.0</v>
      </c>
      <c r="AT21" s="59">
        <v>300.0</v>
      </c>
      <c r="AU21" s="59">
        <v>289.0</v>
      </c>
      <c r="AV21" s="59">
        <v>278.0</v>
      </c>
      <c r="AW21" s="59">
        <v>267.0</v>
      </c>
      <c r="AX21" s="59">
        <v>256.0</v>
      </c>
      <c r="AY21" s="59">
        <v>245.0</v>
      </c>
      <c r="AZ21" s="17">
        <v>5.0</v>
      </c>
    </row>
    <row r="22">
      <c r="A22" s="17">
        <v>17.0</v>
      </c>
      <c r="B22" s="59">
        <v>833.0</v>
      </c>
      <c r="C22" s="59">
        <v>820.0</v>
      </c>
      <c r="D22" s="59">
        <v>807.0</v>
      </c>
      <c r="E22" s="59">
        <v>794.0</v>
      </c>
      <c r="F22" s="59">
        <v>781.0</v>
      </c>
      <c r="G22" s="59">
        <v>768.0</v>
      </c>
      <c r="H22" s="59">
        <v>755.0</v>
      </c>
      <c r="I22" s="59">
        <v>742.0</v>
      </c>
      <c r="J22" s="59">
        <v>729.0</v>
      </c>
      <c r="K22" s="59">
        <v>716.0</v>
      </c>
      <c r="L22" s="59">
        <v>703.0</v>
      </c>
      <c r="M22" s="59">
        <v>690.0</v>
      </c>
      <c r="N22" s="59">
        <v>677.0</v>
      </c>
      <c r="O22" s="59">
        <v>664.0</v>
      </c>
      <c r="P22" s="59">
        <v>651.0</v>
      </c>
      <c r="Q22" s="59">
        <v>638.0</v>
      </c>
      <c r="R22" s="59">
        <v>625.0</v>
      </c>
      <c r="S22" s="59">
        <v>612.0</v>
      </c>
      <c r="T22" s="59">
        <v>599.0</v>
      </c>
      <c r="U22" s="59">
        <v>586.0</v>
      </c>
      <c r="V22" s="59">
        <v>573.0</v>
      </c>
      <c r="W22" s="59">
        <v>560.0</v>
      </c>
      <c r="X22" s="59">
        <v>547.0</v>
      </c>
      <c r="Y22" s="59">
        <v>534.0</v>
      </c>
      <c r="Z22" s="59">
        <v>521.0</v>
      </c>
      <c r="AA22" s="59">
        <v>508.0</v>
      </c>
      <c r="AB22" s="59">
        <v>495.0</v>
      </c>
      <c r="AC22" s="59">
        <v>482.0</v>
      </c>
      <c r="AD22" s="59">
        <v>469.0</v>
      </c>
      <c r="AE22" s="59">
        <v>456.0</v>
      </c>
      <c r="AF22" s="59">
        <v>443.0</v>
      </c>
      <c r="AG22" s="59">
        <v>430.0</v>
      </c>
      <c r="AH22" s="59">
        <v>417.0</v>
      </c>
      <c r="AI22" s="59">
        <v>404.0</v>
      </c>
      <c r="AJ22" s="59">
        <v>391.0</v>
      </c>
      <c r="AK22" s="59">
        <v>378.0</v>
      </c>
      <c r="AL22" s="59">
        <v>365.0</v>
      </c>
      <c r="AM22" s="59">
        <v>352.0</v>
      </c>
      <c r="AN22" s="59">
        <v>339.0</v>
      </c>
      <c r="AO22" s="59">
        <v>326.0</v>
      </c>
      <c r="AP22" s="59">
        <v>313.0</v>
      </c>
      <c r="AQ22" s="59">
        <v>300.0</v>
      </c>
      <c r="AR22" s="59">
        <v>287.0</v>
      </c>
      <c r="AS22" s="59">
        <v>274.0</v>
      </c>
      <c r="AT22" s="59">
        <v>261.0</v>
      </c>
      <c r="AU22" s="59">
        <v>248.0</v>
      </c>
      <c r="AV22" s="59">
        <v>235.0</v>
      </c>
      <c r="AW22" s="59">
        <v>222.0</v>
      </c>
      <c r="AX22" s="59">
        <v>209.0</v>
      </c>
      <c r="AY22" s="59">
        <v>196.0</v>
      </c>
      <c r="AZ22" s="17">
        <v>4.0</v>
      </c>
    </row>
    <row r="23">
      <c r="A23" s="17">
        <v>18.0</v>
      </c>
      <c r="B23" s="59">
        <v>882.0</v>
      </c>
      <c r="C23" s="59">
        <v>867.0</v>
      </c>
      <c r="D23" s="59">
        <v>852.0</v>
      </c>
      <c r="E23" s="59">
        <v>837.0</v>
      </c>
      <c r="F23" s="59">
        <v>822.0</v>
      </c>
      <c r="G23" s="59">
        <v>807.0</v>
      </c>
      <c r="H23" s="59">
        <v>792.0</v>
      </c>
      <c r="I23" s="59">
        <v>777.0</v>
      </c>
      <c r="J23" s="59">
        <v>762.0</v>
      </c>
      <c r="K23" s="59">
        <v>747.0</v>
      </c>
      <c r="L23" s="59">
        <v>732.0</v>
      </c>
      <c r="M23" s="59">
        <v>717.0</v>
      </c>
      <c r="N23" s="59">
        <v>702.0</v>
      </c>
      <c r="O23" s="59">
        <v>687.0</v>
      </c>
      <c r="P23" s="59">
        <v>672.0</v>
      </c>
      <c r="Q23" s="59">
        <v>657.0</v>
      </c>
      <c r="R23" s="59">
        <v>642.0</v>
      </c>
      <c r="S23" s="59">
        <v>627.0</v>
      </c>
      <c r="T23" s="59">
        <v>612.0</v>
      </c>
      <c r="U23" s="59">
        <v>597.0</v>
      </c>
      <c r="V23" s="59">
        <v>582.0</v>
      </c>
      <c r="W23" s="59">
        <v>567.0</v>
      </c>
      <c r="X23" s="59">
        <v>552.0</v>
      </c>
      <c r="Y23" s="59">
        <v>537.0</v>
      </c>
      <c r="Z23" s="59">
        <v>522.0</v>
      </c>
      <c r="AA23" s="59">
        <v>507.0</v>
      </c>
      <c r="AB23" s="59">
        <v>492.0</v>
      </c>
      <c r="AC23" s="59">
        <v>477.0</v>
      </c>
      <c r="AD23" s="59">
        <v>462.0</v>
      </c>
      <c r="AE23" s="59">
        <v>447.0</v>
      </c>
      <c r="AF23" s="59">
        <v>432.0</v>
      </c>
      <c r="AG23" s="59">
        <v>417.0</v>
      </c>
      <c r="AH23" s="59">
        <v>402.0</v>
      </c>
      <c r="AI23" s="59">
        <v>387.0</v>
      </c>
      <c r="AJ23" s="59">
        <v>372.0</v>
      </c>
      <c r="AK23" s="59">
        <v>357.0</v>
      </c>
      <c r="AL23" s="59">
        <v>342.0</v>
      </c>
      <c r="AM23" s="59">
        <v>327.0</v>
      </c>
      <c r="AN23" s="59">
        <v>312.0</v>
      </c>
      <c r="AO23" s="59">
        <v>297.0</v>
      </c>
      <c r="AP23" s="59">
        <v>282.0</v>
      </c>
      <c r="AQ23" s="59">
        <v>267.0</v>
      </c>
      <c r="AR23" s="59">
        <v>252.0</v>
      </c>
      <c r="AS23" s="59">
        <v>237.0</v>
      </c>
      <c r="AT23" s="59">
        <v>222.0</v>
      </c>
      <c r="AU23" s="59">
        <v>207.0</v>
      </c>
      <c r="AV23" s="59">
        <v>192.0</v>
      </c>
      <c r="AW23" s="59">
        <v>177.0</v>
      </c>
      <c r="AX23" s="59">
        <v>162.0</v>
      </c>
      <c r="AY23" s="59">
        <v>147.0</v>
      </c>
      <c r="AZ23" s="17">
        <v>3.0</v>
      </c>
    </row>
    <row r="24">
      <c r="A24" s="17">
        <v>19.0</v>
      </c>
      <c r="B24" s="59">
        <v>931.0</v>
      </c>
      <c r="C24" s="59">
        <v>914.0</v>
      </c>
      <c r="D24" s="59">
        <v>897.0</v>
      </c>
      <c r="E24" s="59">
        <v>880.0</v>
      </c>
      <c r="F24" s="59">
        <v>863.0</v>
      </c>
      <c r="G24" s="59">
        <v>846.0</v>
      </c>
      <c r="H24" s="59">
        <v>829.0</v>
      </c>
      <c r="I24" s="59">
        <v>812.0</v>
      </c>
      <c r="J24" s="59">
        <v>795.0</v>
      </c>
      <c r="K24" s="59">
        <v>778.0</v>
      </c>
      <c r="L24" s="59">
        <v>761.0</v>
      </c>
      <c r="M24" s="59">
        <v>744.0</v>
      </c>
      <c r="N24" s="59">
        <v>727.0</v>
      </c>
      <c r="O24" s="59">
        <v>710.0</v>
      </c>
      <c r="P24" s="59">
        <v>693.0</v>
      </c>
      <c r="Q24" s="59">
        <v>676.0</v>
      </c>
      <c r="R24" s="59">
        <v>659.0</v>
      </c>
      <c r="S24" s="59">
        <v>642.0</v>
      </c>
      <c r="T24" s="59">
        <v>625.0</v>
      </c>
      <c r="U24" s="59">
        <v>608.0</v>
      </c>
      <c r="V24" s="59">
        <v>591.0</v>
      </c>
      <c r="W24" s="59">
        <v>574.0</v>
      </c>
      <c r="X24" s="59">
        <v>557.0</v>
      </c>
      <c r="Y24" s="59">
        <v>540.0</v>
      </c>
      <c r="Z24" s="59">
        <v>523.0</v>
      </c>
      <c r="AA24" s="59">
        <v>506.0</v>
      </c>
      <c r="AB24" s="59">
        <v>489.0</v>
      </c>
      <c r="AC24" s="59">
        <v>472.0</v>
      </c>
      <c r="AD24" s="59">
        <v>455.0</v>
      </c>
      <c r="AE24" s="59">
        <v>438.0</v>
      </c>
      <c r="AF24" s="59">
        <v>421.0</v>
      </c>
      <c r="AG24" s="59">
        <v>404.0</v>
      </c>
      <c r="AH24" s="59">
        <v>387.0</v>
      </c>
      <c r="AI24" s="59">
        <v>370.0</v>
      </c>
      <c r="AJ24" s="59">
        <v>353.0</v>
      </c>
      <c r="AK24" s="59">
        <v>336.0</v>
      </c>
      <c r="AL24" s="59">
        <v>319.0</v>
      </c>
      <c r="AM24" s="59">
        <v>302.0</v>
      </c>
      <c r="AN24" s="59">
        <v>285.0</v>
      </c>
      <c r="AO24" s="59">
        <v>268.0</v>
      </c>
      <c r="AP24" s="59">
        <v>251.0</v>
      </c>
      <c r="AQ24" s="59">
        <v>234.0</v>
      </c>
      <c r="AR24" s="59">
        <v>217.0</v>
      </c>
      <c r="AS24" s="59">
        <v>200.0</v>
      </c>
      <c r="AT24" s="59">
        <v>183.0</v>
      </c>
      <c r="AU24" s="59">
        <v>166.0</v>
      </c>
      <c r="AV24" s="59">
        <v>149.0</v>
      </c>
      <c r="AW24" s="59">
        <v>132.0</v>
      </c>
      <c r="AX24" s="59">
        <v>115.0</v>
      </c>
      <c r="AY24" s="59">
        <v>98.0</v>
      </c>
      <c r="AZ24" s="17">
        <v>2.0</v>
      </c>
    </row>
    <row r="25">
      <c r="A25" s="17">
        <v>20.0</v>
      </c>
      <c r="B25" s="59">
        <v>980.0</v>
      </c>
      <c r="C25" s="59">
        <v>961.0</v>
      </c>
      <c r="D25" s="59">
        <v>942.0</v>
      </c>
      <c r="E25" s="59">
        <v>923.0</v>
      </c>
      <c r="F25" s="59">
        <v>904.0</v>
      </c>
      <c r="G25" s="59">
        <v>885.0</v>
      </c>
      <c r="H25" s="59">
        <v>866.0</v>
      </c>
      <c r="I25" s="59">
        <v>847.0</v>
      </c>
      <c r="J25" s="59">
        <v>828.0</v>
      </c>
      <c r="K25" s="59">
        <v>809.0</v>
      </c>
      <c r="L25" s="59">
        <v>790.0</v>
      </c>
      <c r="M25" s="59">
        <v>771.0</v>
      </c>
      <c r="N25" s="59">
        <v>752.0</v>
      </c>
      <c r="O25" s="59">
        <v>733.0</v>
      </c>
      <c r="P25" s="59">
        <v>714.0</v>
      </c>
      <c r="Q25" s="59">
        <v>695.0</v>
      </c>
      <c r="R25" s="59">
        <v>676.0</v>
      </c>
      <c r="S25" s="59">
        <v>657.0</v>
      </c>
      <c r="T25" s="59">
        <v>638.0</v>
      </c>
      <c r="U25" s="59">
        <v>619.0</v>
      </c>
      <c r="V25" s="59">
        <v>600.0</v>
      </c>
      <c r="W25" s="59">
        <v>581.0</v>
      </c>
      <c r="X25" s="59">
        <v>562.0</v>
      </c>
      <c r="Y25" s="59">
        <v>543.0</v>
      </c>
      <c r="Z25" s="59">
        <v>524.0</v>
      </c>
      <c r="AA25" s="59">
        <v>505.0</v>
      </c>
      <c r="AB25" s="59">
        <v>486.0</v>
      </c>
      <c r="AC25" s="59">
        <v>467.0</v>
      </c>
      <c r="AD25" s="59">
        <v>448.0</v>
      </c>
      <c r="AE25" s="59">
        <v>429.0</v>
      </c>
      <c r="AF25" s="59">
        <v>410.0</v>
      </c>
      <c r="AG25" s="59">
        <v>391.0</v>
      </c>
      <c r="AH25" s="59">
        <v>372.0</v>
      </c>
      <c r="AI25" s="59">
        <v>353.0</v>
      </c>
      <c r="AJ25" s="59">
        <v>334.0</v>
      </c>
      <c r="AK25" s="59">
        <v>315.0</v>
      </c>
      <c r="AL25" s="59">
        <v>296.0</v>
      </c>
      <c r="AM25" s="59">
        <v>277.0</v>
      </c>
      <c r="AN25" s="59">
        <v>258.0</v>
      </c>
      <c r="AO25" s="59">
        <v>239.0</v>
      </c>
      <c r="AP25" s="59">
        <v>220.0</v>
      </c>
      <c r="AQ25" s="59">
        <v>201.0</v>
      </c>
      <c r="AR25" s="59">
        <v>182.0</v>
      </c>
      <c r="AS25" s="59">
        <v>163.0</v>
      </c>
      <c r="AT25" s="59">
        <v>144.0</v>
      </c>
      <c r="AU25" s="59">
        <v>125.0</v>
      </c>
      <c r="AV25" s="59">
        <v>106.0</v>
      </c>
      <c r="AW25" s="59">
        <v>87.0</v>
      </c>
      <c r="AX25" s="59">
        <v>68.0</v>
      </c>
      <c r="AY25" s="59">
        <v>49.0</v>
      </c>
      <c r="AZ25" s="17">
        <v>1.0</v>
      </c>
    </row>
    <row r="26">
      <c r="A26" s="17">
        <v>21.0</v>
      </c>
      <c r="B26" s="59">
        <v>1029.0</v>
      </c>
      <c r="C26" s="59">
        <v>1008.0</v>
      </c>
      <c r="D26" s="59">
        <v>987.0</v>
      </c>
      <c r="E26" s="59">
        <v>966.0</v>
      </c>
      <c r="F26" s="59">
        <v>945.0</v>
      </c>
      <c r="G26" s="59">
        <v>924.0</v>
      </c>
      <c r="H26" s="59">
        <v>903.0</v>
      </c>
      <c r="I26" s="59">
        <v>882.0</v>
      </c>
      <c r="J26" s="59">
        <v>861.0</v>
      </c>
      <c r="K26" s="59">
        <v>840.0</v>
      </c>
      <c r="L26" s="59">
        <v>819.0</v>
      </c>
      <c r="M26" s="59">
        <v>798.0</v>
      </c>
      <c r="N26" s="59">
        <v>777.0</v>
      </c>
      <c r="O26" s="59">
        <v>756.0</v>
      </c>
      <c r="P26" s="59">
        <v>735.0</v>
      </c>
      <c r="Q26" s="59">
        <v>714.0</v>
      </c>
      <c r="R26" s="59">
        <v>693.0</v>
      </c>
      <c r="S26" s="59">
        <v>672.0</v>
      </c>
      <c r="T26" s="59">
        <v>651.0</v>
      </c>
      <c r="U26" s="59">
        <v>630.0</v>
      </c>
      <c r="V26" s="59">
        <v>609.0</v>
      </c>
      <c r="W26" s="59">
        <v>588.0</v>
      </c>
      <c r="X26" s="59">
        <v>567.0</v>
      </c>
      <c r="Y26" s="59">
        <v>546.0</v>
      </c>
      <c r="Z26" s="59">
        <v>525.0</v>
      </c>
      <c r="AA26" s="59">
        <v>504.0</v>
      </c>
      <c r="AB26" s="59">
        <v>483.0</v>
      </c>
      <c r="AC26" s="59">
        <v>462.0</v>
      </c>
      <c r="AD26" s="59">
        <v>441.0</v>
      </c>
      <c r="AE26" s="59">
        <v>420.0</v>
      </c>
      <c r="AF26" s="59">
        <v>399.0</v>
      </c>
      <c r="AG26" s="59">
        <v>378.0</v>
      </c>
      <c r="AH26" s="59">
        <v>357.0</v>
      </c>
      <c r="AI26" s="59">
        <v>336.0</v>
      </c>
      <c r="AJ26" s="59">
        <v>315.0</v>
      </c>
      <c r="AK26" s="59">
        <v>294.0</v>
      </c>
      <c r="AL26" s="59">
        <v>273.0</v>
      </c>
      <c r="AM26" s="59">
        <v>252.0</v>
      </c>
      <c r="AN26" s="59">
        <v>231.0</v>
      </c>
      <c r="AO26" s="59">
        <v>210.0</v>
      </c>
      <c r="AP26" s="59">
        <v>189.0</v>
      </c>
      <c r="AQ26" s="59">
        <v>168.0</v>
      </c>
      <c r="AR26" s="59">
        <v>147.0</v>
      </c>
      <c r="AS26" s="59">
        <v>126.0</v>
      </c>
      <c r="AT26" s="59">
        <v>105.0</v>
      </c>
      <c r="AU26" s="59">
        <v>84.0</v>
      </c>
      <c r="AV26" s="59">
        <v>63.0</v>
      </c>
      <c r="AW26" s="59">
        <v>42.0</v>
      </c>
      <c r="AX26" s="59">
        <v>21.0</v>
      </c>
      <c r="AY26" s="59">
        <v>0.0</v>
      </c>
      <c r="AZ26" s="17">
        <v>0.0</v>
      </c>
    </row>
    <row r="27">
      <c r="A27" s="17"/>
      <c r="B27" s="17">
        <f t="array" ref="B27:AY27">49-B4:AY4</f>
        <v>49</v>
      </c>
      <c r="C27" s="17">
        <v>48.0</v>
      </c>
      <c r="D27" s="17">
        <v>47.0</v>
      </c>
      <c r="E27" s="17">
        <v>46.0</v>
      </c>
      <c r="F27" s="17">
        <v>45.0</v>
      </c>
      <c r="G27" s="17">
        <v>44.0</v>
      </c>
      <c r="H27" s="17">
        <v>43.0</v>
      </c>
      <c r="I27" s="17">
        <v>42.0</v>
      </c>
      <c r="J27" s="17">
        <v>41.0</v>
      </c>
      <c r="K27" s="17">
        <v>40.0</v>
      </c>
      <c r="L27" s="17">
        <v>39.0</v>
      </c>
      <c r="M27" s="17">
        <v>38.0</v>
      </c>
      <c r="N27" s="17">
        <v>37.0</v>
      </c>
      <c r="O27" s="17">
        <v>36.0</v>
      </c>
      <c r="P27" s="17">
        <v>35.0</v>
      </c>
      <c r="Q27" s="17">
        <v>34.0</v>
      </c>
      <c r="R27" s="17">
        <v>33.0</v>
      </c>
      <c r="S27" s="17">
        <v>32.0</v>
      </c>
      <c r="T27" s="17">
        <v>31.0</v>
      </c>
      <c r="U27" s="17">
        <v>30.0</v>
      </c>
      <c r="V27" s="17">
        <v>29.0</v>
      </c>
      <c r="W27" s="17">
        <v>28.0</v>
      </c>
      <c r="X27" s="17">
        <v>27.0</v>
      </c>
      <c r="Y27" s="17">
        <v>26.0</v>
      </c>
      <c r="Z27" s="17">
        <v>25.0</v>
      </c>
      <c r="AA27" s="17">
        <v>24.0</v>
      </c>
      <c r="AB27" s="17">
        <v>23.0</v>
      </c>
      <c r="AC27" s="17">
        <v>22.0</v>
      </c>
      <c r="AD27" s="17">
        <v>21.0</v>
      </c>
      <c r="AE27" s="17">
        <v>20.0</v>
      </c>
      <c r="AF27" s="17">
        <v>19.0</v>
      </c>
      <c r="AG27" s="17">
        <v>18.0</v>
      </c>
      <c r="AH27" s="17">
        <v>17.0</v>
      </c>
      <c r="AI27" s="17">
        <v>16.0</v>
      </c>
      <c r="AJ27" s="17">
        <v>15.0</v>
      </c>
      <c r="AK27" s="17">
        <v>14.0</v>
      </c>
      <c r="AL27" s="17">
        <v>13.0</v>
      </c>
      <c r="AM27" s="17">
        <v>12.0</v>
      </c>
      <c r="AN27" s="17">
        <v>11.0</v>
      </c>
      <c r="AO27" s="17">
        <v>10.0</v>
      </c>
      <c r="AP27" s="17">
        <v>9.0</v>
      </c>
      <c r="AQ27" s="17">
        <v>8.0</v>
      </c>
      <c r="AR27" s="17">
        <v>7.0</v>
      </c>
      <c r="AS27" s="17">
        <v>6.0</v>
      </c>
      <c r="AT27" s="17">
        <v>5.0</v>
      </c>
      <c r="AU27" s="17">
        <v>4.0</v>
      </c>
      <c r="AV27" s="17">
        <v>3.0</v>
      </c>
      <c r="AW27" s="17">
        <v>2.0</v>
      </c>
      <c r="AX27" s="17">
        <v>1.0</v>
      </c>
      <c r="AY27" s="17">
        <v>0.0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</row>
    <row r="28">
      <c r="A28" s="17"/>
      <c r="AZ28" s="17"/>
    </row>
    <row r="29">
      <c r="A29" s="17"/>
      <c r="AZ29" s="17"/>
    </row>
    <row r="30">
      <c r="A30" s="17"/>
      <c r="AZ30" s="17"/>
    </row>
    <row r="31">
      <c r="A31" s="17"/>
      <c r="AZ31" s="17"/>
    </row>
    <row r="32">
      <c r="A32" s="17"/>
      <c r="AZ32" s="17"/>
    </row>
    <row r="33">
      <c r="A33" s="17"/>
      <c r="AZ33" s="17"/>
    </row>
    <row r="34">
      <c r="A34" s="17"/>
      <c r="AZ34" s="17"/>
    </row>
    <row r="35">
      <c r="A35" s="17"/>
      <c r="AZ35" s="17"/>
    </row>
    <row r="36">
      <c r="A36" s="17"/>
      <c r="AZ36" s="17"/>
    </row>
    <row r="37">
      <c r="A37" s="17"/>
      <c r="AZ37" s="17"/>
    </row>
    <row r="38">
      <c r="A38" s="17"/>
      <c r="AZ38" s="17"/>
    </row>
    <row r="39">
      <c r="A39" s="17"/>
      <c r="AZ39" s="17"/>
    </row>
    <row r="40">
      <c r="A40" s="17"/>
      <c r="AZ40" s="17"/>
    </row>
    <row r="41">
      <c r="A41" s="17"/>
      <c r="AZ41" s="17"/>
    </row>
    <row r="42">
      <c r="A42" s="17"/>
      <c r="AZ42" s="17"/>
    </row>
    <row r="43">
      <c r="A43" s="17"/>
      <c r="AZ43" s="17"/>
    </row>
    <row r="44">
      <c r="A44" s="17"/>
      <c r="AZ44" s="17"/>
    </row>
    <row r="45">
      <c r="A45" s="17"/>
      <c r="AZ45" s="17"/>
    </row>
    <row r="46">
      <c r="A46" s="17"/>
      <c r="AZ46" s="17"/>
    </row>
    <row r="47">
      <c r="A47" s="17"/>
      <c r="AZ47" s="17"/>
    </row>
    <row r="48">
      <c r="A48" s="17"/>
      <c r="AZ48" s="17"/>
    </row>
    <row r="49">
      <c r="A49" s="17"/>
      <c r="AZ49" s="17"/>
    </row>
    <row r="50">
      <c r="A50" s="17"/>
      <c r="AZ50" s="17"/>
    </row>
    <row r="51">
      <c r="A51" s="17"/>
      <c r="AZ51" s="17"/>
    </row>
    <row r="52">
      <c r="A52" s="17"/>
      <c r="AZ52" s="17"/>
    </row>
    <row r="53">
      <c r="A53" s="17"/>
      <c r="AZ53" s="17"/>
    </row>
    <row r="54">
      <c r="A54" s="17"/>
      <c r="AZ54" s="17"/>
    </row>
    <row r="55">
      <c r="A55" s="17"/>
      <c r="AZ55" s="17"/>
    </row>
    <row r="56">
      <c r="A56" s="17"/>
      <c r="AZ56" s="17"/>
    </row>
    <row r="57">
      <c r="A57" s="17"/>
      <c r="AZ57" s="17"/>
    </row>
    <row r="58">
      <c r="A58" s="17"/>
      <c r="AZ58" s="17"/>
    </row>
    <row r="59">
      <c r="A59" s="17"/>
      <c r="AZ59" s="17"/>
    </row>
    <row r="60">
      <c r="A60" s="17"/>
      <c r="AZ60" s="17"/>
    </row>
    <row r="61">
      <c r="A61" s="17"/>
      <c r="AZ61" s="17"/>
    </row>
    <row r="62">
      <c r="A62" s="17"/>
      <c r="AZ62" s="17"/>
    </row>
    <row r="63">
      <c r="A63" s="17"/>
      <c r="AZ63" s="17"/>
    </row>
    <row r="64">
      <c r="A64" s="17"/>
      <c r="AZ64" s="17"/>
    </row>
    <row r="65">
      <c r="A65" s="17"/>
      <c r="AZ65" s="17"/>
    </row>
    <row r="66">
      <c r="A66" s="17"/>
      <c r="AZ66" s="17"/>
    </row>
    <row r="67">
      <c r="A67" s="17"/>
      <c r="AZ67" s="17"/>
    </row>
    <row r="68">
      <c r="A68" s="17"/>
      <c r="AZ68" s="17"/>
    </row>
    <row r="69">
      <c r="A69" s="17"/>
      <c r="AZ69" s="17"/>
    </row>
    <row r="70">
      <c r="A70" s="17"/>
      <c r="AZ70" s="17"/>
    </row>
    <row r="71">
      <c r="A71" s="17"/>
      <c r="AZ71" s="17"/>
    </row>
    <row r="72">
      <c r="A72" s="17"/>
      <c r="AZ72" s="17"/>
    </row>
    <row r="73">
      <c r="A73" s="17"/>
      <c r="AZ73" s="17"/>
    </row>
    <row r="74">
      <c r="A74" s="17"/>
      <c r="AZ74" s="17"/>
    </row>
    <row r="75">
      <c r="A75" s="17"/>
      <c r="AZ75" s="17"/>
    </row>
    <row r="76">
      <c r="A76" s="17"/>
      <c r="AZ76" s="17"/>
    </row>
    <row r="77">
      <c r="A77" s="17"/>
      <c r="AZ77" s="17"/>
    </row>
    <row r="78">
      <c r="A78" s="17"/>
      <c r="AZ78" s="17"/>
    </row>
    <row r="79">
      <c r="A79" s="17"/>
      <c r="AZ79" s="17"/>
    </row>
    <row r="80">
      <c r="A80" s="17"/>
      <c r="AZ80" s="17"/>
    </row>
    <row r="81">
      <c r="A81" s="17"/>
      <c r="AZ81" s="17"/>
    </row>
    <row r="82">
      <c r="A82" s="17"/>
      <c r="AZ82" s="17"/>
    </row>
    <row r="83">
      <c r="A83" s="17"/>
      <c r="AZ83" s="17"/>
    </row>
    <row r="84">
      <c r="A84" s="17"/>
      <c r="AZ84" s="17"/>
    </row>
    <row r="85">
      <c r="A85" s="17"/>
      <c r="AZ85" s="17"/>
    </row>
    <row r="86">
      <c r="A86" s="17"/>
      <c r="AZ86" s="17"/>
    </row>
    <row r="87">
      <c r="A87" s="17"/>
      <c r="AZ87" s="17"/>
    </row>
    <row r="88">
      <c r="A88" s="17"/>
      <c r="AZ88" s="17"/>
    </row>
    <row r="89">
      <c r="A89" s="17"/>
      <c r="AZ89" s="17"/>
    </row>
    <row r="90">
      <c r="A90" s="17"/>
      <c r="AZ90" s="17"/>
    </row>
    <row r="91">
      <c r="A91" s="17"/>
      <c r="AZ91" s="17"/>
    </row>
    <row r="92">
      <c r="A92" s="17"/>
      <c r="AZ92" s="17"/>
    </row>
    <row r="93">
      <c r="A93" s="17"/>
      <c r="AZ93" s="17"/>
    </row>
    <row r="94">
      <c r="A94" s="17"/>
      <c r="AZ94" s="17"/>
    </row>
    <row r="95">
      <c r="A95" s="17"/>
      <c r="AZ95" s="17"/>
    </row>
    <row r="96">
      <c r="A96" s="17"/>
      <c r="AZ96" s="17"/>
    </row>
    <row r="97">
      <c r="A97" s="17"/>
      <c r="AZ97" s="17"/>
    </row>
    <row r="98">
      <c r="A98" s="17"/>
      <c r="AZ98" s="17"/>
    </row>
    <row r="99">
      <c r="A99" s="17"/>
      <c r="AZ99" s="17"/>
    </row>
    <row r="100">
      <c r="A100" s="17"/>
      <c r="AZ100" s="17"/>
    </row>
    <row r="101">
      <c r="A101" s="17"/>
      <c r="AZ101" s="17"/>
    </row>
    <row r="102">
      <c r="A102" s="17"/>
      <c r="AZ102" s="17"/>
    </row>
    <row r="103">
      <c r="A103" s="17"/>
      <c r="AZ103" s="17"/>
    </row>
    <row r="104">
      <c r="A104" s="17"/>
      <c r="AZ104" s="17"/>
    </row>
    <row r="105">
      <c r="A105" s="17"/>
      <c r="AZ105" s="17"/>
    </row>
    <row r="106">
      <c r="A106" s="17"/>
      <c r="AZ106" s="17"/>
    </row>
    <row r="107">
      <c r="A107" s="17"/>
      <c r="AZ107" s="17"/>
    </row>
    <row r="108">
      <c r="A108" s="17"/>
      <c r="AZ108" s="17"/>
    </row>
    <row r="109">
      <c r="A109" s="17"/>
      <c r="AZ109" s="17"/>
    </row>
    <row r="110">
      <c r="A110" s="17"/>
      <c r="AZ110" s="17"/>
    </row>
    <row r="111">
      <c r="A111" s="17"/>
      <c r="AZ111" s="17"/>
    </row>
    <row r="112">
      <c r="A112" s="17"/>
      <c r="AZ112" s="17"/>
    </row>
    <row r="113">
      <c r="A113" s="17"/>
      <c r="AZ113" s="17"/>
    </row>
    <row r="114">
      <c r="A114" s="17"/>
      <c r="AZ114" s="17"/>
    </row>
    <row r="115">
      <c r="A115" s="17"/>
      <c r="AZ115" s="17"/>
    </row>
    <row r="116">
      <c r="A116" s="17"/>
      <c r="AZ116" s="17"/>
    </row>
    <row r="117">
      <c r="A117" s="17"/>
      <c r="AZ117" s="17"/>
    </row>
    <row r="118">
      <c r="A118" s="17"/>
      <c r="AZ118" s="17"/>
    </row>
    <row r="119">
      <c r="A119" s="17"/>
      <c r="AZ119" s="17"/>
    </row>
    <row r="120">
      <c r="A120" s="17"/>
      <c r="AZ120" s="17"/>
    </row>
    <row r="121">
      <c r="A121" s="17"/>
      <c r="AZ121" s="17"/>
    </row>
    <row r="122">
      <c r="A122" s="17"/>
      <c r="AZ122" s="17"/>
    </row>
    <row r="123">
      <c r="A123" s="17"/>
      <c r="AZ123" s="17"/>
    </row>
    <row r="124">
      <c r="A124" s="17"/>
      <c r="AZ124" s="17"/>
    </row>
    <row r="125">
      <c r="A125" s="17"/>
      <c r="AZ125" s="17"/>
    </row>
    <row r="126">
      <c r="A126" s="17"/>
      <c r="AZ126" s="17"/>
    </row>
    <row r="127">
      <c r="A127" s="17"/>
      <c r="AZ127" s="17"/>
    </row>
    <row r="128">
      <c r="A128" s="17"/>
      <c r="AZ128" s="17"/>
    </row>
    <row r="129">
      <c r="A129" s="17"/>
      <c r="AZ129" s="17"/>
    </row>
    <row r="130">
      <c r="A130" s="17"/>
      <c r="AZ130" s="17"/>
    </row>
    <row r="131">
      <c r="A131" s="17"/>
      <c r="AZ131" s="17"/>
    </row>
    <row r="132">
      <c r="A132" s="17"/>
      <c r="AZ132" s="17"/>
    </row>
    <row r="133">
      <c r="A133" s="17"/>
      <c r="AZ133" s="17"/>
    </row>
    <row r="134">
      <c r="A134" s="17"/>
      <c r="AZ134" s="17"/>
    </row>
    <row r="135">
      <c r="A135" s="17"/>
      <c r="AZ135" s="17"/>
    </row>
    <row r="136">
      <c r="A136" s="17"/>
      <c r="AZ136" s="17"/>
    </row>
    <row r="137">
      <c r="A137" s="17"/>
      <c r="AZ137" s="17"/>
    </row>
    <row r="138">
      <c r="A138" s="17"/>
      <c r="AZ138" s="17"/>
    </row>
    <row r="139">
      <c r="A139" s="17"/>
      <c r="AZ139" s="17"/>
    </row>
    <row r="140">
      <c r="A140" s="17"/>
      <c r="AZ140" s="17"/>
    </row>
    <row r="141">
      <c r="A141" s="17"/>
      <c r="AZ141" s="17"/>
    </row>
    <row r="142">
      <c r="A142" s="17"/>
      <c r="AZ142" s="17"/>
    </row>
    <row r="143">
      <c r="A143" s="17"/>
      <c r="AZ143" s="17"/>
    </row>
    <row r="144">
      <c r="A144" s="17"/>
      <c r="AZ144" s="17"/>
    </row>
    <row r="145">
      <c r="A145" s="17"/>
      <c r="AZ145" s="17"/>
    </row>
    <row r="146">
      <c r="A146" s="17"/>
      <c r="AZ146" s="17"/>
    </row>
    <row r="147">
      <c r="A147" s="17"/>
      <c r="AZ147" s="17"/>
    </row>
    <row r="148">
      <c r="A148" s="17"/>
      <c r="AZ148" s="17"/>
    </row>
    <row r="149">
      <c r="A149" s="17"/>
      <c r="AZ149" s="17"/>
    </row>
    <row r="150">
      <c r="A150" s="17"/>
      <c r="AZ150" s="17"/>
    </row>
    <row r="151">
      <c r="A151" s="17"/>
      <c r="AZ151" s="17"/>
    </row>
    <row r="152">
      <c r="A152" s="17"/>
      <c r="AZ152" s="17"/>
    </row>
    <row r="153">
      <c r="A153" s="17"/>
      <c r="AZ153" s="17"/>
    </row>
    <row r="154">
      <c r="A154" s="17"/>
      <c r="AZ154" s="17"/>
    </row>
    <row r="155">
      <c r="A155" s="17"/>
      <c r="AZ155" s="17"/>
    </row>
    <row r="156">
      <c r="A156" s="17"/>
      <c r="AZ156" s="17"/>
    </row>
    <row r="157">
      <c r="A157" s="17"/>
      <c r="AZ157" s="17"/>
    </row>
    <row r="158">
      <c r="A158" s="17"/>
      <c r="AZ158" s="17"/>
    </row>
    <row r="159">
      <c r="A159" s="17"/>
      <c r="AZ159" s="17"/>
    </row>
    <row r="160">
      <c r="A160" s="17"/>
      <c r="AZ160" s="17"/>
    </row>
    <row r="161">
      <c r="A161" s="17"/>
      <c r="AZ161" s="17"/>
    </row>
    <row r="162">
      <c r="A162" s="17"/>
      <c r="AZ162" s="17"/>
    </row>
    <row r="163">
      <c r="A163" s="17"/>
      <c r="AZ163" s="17"/>
    </row>
    <row r="164">
      <c r="A164" s="17"/>
      <c r="AZ164" s="17"/>
    </row>
    <row r="165">
      <c r="A165" s="17"/>
      <c r="AZ165" s="17"/>
    </row>
    <row r="166">
      <c r="A166" s="17"/>
      <c r="AZ166" s="17"/>
    </row>
    <row r="167">
      <c r="A167" s="17"/>
      <c r="AZ167" s="17"/>
    </row>
    <row r="168">
      <c r="A168" s="17"/>
      <c r="AZ168" s="17"/>
    </row>
    <row r="169">
      <c r="A169" s="17"/>
      <c r="AZ169" s="17"/>
    </row>
    <row r="170">
      <c r="A170" s="17"/>
      <c r="AZ170" s="17"/>
    </row>
    <row r="171">
      <c r="A171" s="17"/>
      <c r="AZ171" s="17"/>
    </row>
    <row r="172">
      <c r="A172" s="17"/>
      <c r="AZ172" s="17"/>
    </row>
    <row r="173">
      <c r="A173" s="17"/>
      <c r="AZ173" s="17"/>
    </row>
    <row r="174">
      <c r="A174" s="17"/>
      <c r="AZ174" s="17"/>
    </row>
    <row r="175">
      <c r="A175" s="17"/>
      <c r="AZ175" s="17"/>
    </row>
    <row r="176">
      <c r="A176" s="17"/>
      <c r="AZ176" s="17"/>
    </row>
    <row r="177">
      <c r="A177" s="17"/>
      <c r="AZ177" s="17"/>
    </row>
    <row r="178">
      <c r="A178" s="17"/>
      <c r="AZ178" s="17"/>
    </row>
    <row r="179">
      <c r="A179" s="17"/>
      <c r="AZ179" s="17"/>
    </row>
    <row r="180">
      <c r="A180" s="17"/>
      <c r="AZ180" s="17"/>
    </row>
    <row r="181">
      <c r="A181" s="17"/>
      <c r="AZ181" s="17"/>
    </row>
    <row r="182">
      <c r="A182" s="17"/>
      <c r="AZ182" s="17"/>
    </row>
    <row r="183">
      <c r="A183" s="17"/>
      <c r="AZ183" s="17"/>
    </row>
    <row r="184">
      <c r="A184" s="17"/>
      <c r="AZ184" s="17"/>
    </row>
    <row r="185">
      <c r="A185" s="17"/>
      <c r="AZ185" s="17"/>
    </row>
    <row r="186">
      <c r="A186" s="17"/>
      <c r="AZ186" s="17"/>
    </row>
    <row r="187">
      <c r="A187" s="17"/>
      <c r="AZ187" s="17"/>
    </row>
    <row r="188">
      <c r="A188" s="17"/>
      <c r="AZ188" s="17"/>
    </row>
    <row r="189">
      <c r="A189" s="17"/>
      <c r="AZ189" s="17"/>
    </row>
    <row r="190">
      <c r="A190" s="17"/>
      <c r="AZ190" s="17"/>
    </row>
    <row r="191">
      <c r="A191" s="17"/>
      <c r="AZ191" s="17"/>
    </row>
    <row r="192">
      <c r="A192" s="17"/>
      <c r="AZ192" s="17"/>
    </row>
    <row r="193">
      <c r="A193" s="17"/>
      <c r="AZ193" s="17"/>
    </row>
    <row r="194">
      <c r="A194" s="17"/>
      <c r="AZ194" s="17"/>
    </row>
    <row r="195">
      <c r="A195" s="17"/>
      <c r="AZ195" s="17"/>
    </row>
    <row r="196">
      <c r="A196" s="17"/>
      <c r="AZ196" s="17"/>
    </row>
    <row r="197">
      <c r="A197" s="17"/>
      <c r="AZ197" s="17"/>
    </row>
    <row r="198">
      <c r="A198" s="17"/>
      <c r="AZ198" s="17"/>
    </row>
    <row r="199">
      <c r="A199" s="17"/>
      <c r="AZ199" s="17"/>
    </row>
    <row r="200">
      <c r="A200" s="17"/>
      <c r="AZ200" s="17"/>
    </row>
    <row r="201">
      <c r="A201" s="17"/>
      <c r="AZ201" s="17"/>
    </row>
    <row r="202">
      <c r="A202" s="17"/>
      <c r="AZ202" s="17"/>
    </row>
    <row r="203">
      <c r="A203" s="17"/>
      <c r="AZ203" s="17"/>
    </row>
    <row r="204">
      <c r="A204" s="17"/>
      <c r="AZ204" s="17"/>
    </row>
    <row r="205">
      <c r="A205" s="17"/>
      <c r="AZ205" s="17"/>
    </row>
    <row r="206">
      <c r="A206" s="17"/>
      <c r="AZ206" s="17"/>
    </row>
    <row r="207">
      <c r="A207" s="17"/>
      <c r="AZ207" s="17"/>
    </row>
    <row r="208">
      <c r="A208" s="17"/>
      <c r="AZ208" s="17"/>
    </row>
    <row r="209">
      <c r="A209" s="17"/>
      <c r="AZ209" s="17"/>
    </row>
    <row r="210">
      <c r="A210" s="17"/>
      <c r="AZ210" s="17"/>
    </row>
    <row r="211">
      <c r="A211" s="17"/>
      <c r="AZ211" s="17"/>
    </row>
    <row r="212">
      <c r="A212" s="17"/>
      <c r="AZ212" s="17"/>
    </row>
    <row r="213">
      <c r="A213" s="17"/>
      <c r="AZ213" s="17"/>
    </row>
    <row r="214">
      <c r="A214" s="17"/>
      <c r="AZ214" s="17"/>
    </row>
    <row r="215">
      <c r="A215" s="17"/>
      <c r="AZ215" s="17"/>
    </row>
    <row r="216">
      <c r="A216" s="17"/>
      <c r="AZ216" s="17"/>
    </row>
    <row r="217">
      <c r="A217" s="17"/>
      <c r="AZ217" s="17"/>
    </row>
    <row r="218">
      <c r="A218" s="17"/>
      <c r="AZ218" s="17"/>
    </row>
    <row r="219">
      <c r="A219" s="17"/>
      <c r="AZ219" s="17"/>
    </row>
    <row r="220">
      <c r="A220" s="17"/>
      <c r="AZ220" s="17"/>
    </row>
    <row r="221">
      <c r="A221" s="17"/>
      <c r="AZ221" s="17"/>
    </row>
    <row r="222">
      <c r="A222" s="17"/>
      <c r="AZ222" s="17"/>
    </row>
    <row r="223">
      <c r="A223" s="17"/>
      <c r="AZ223" s="17"/>
    </row>
    <row r="224">
      <c r="A224" s="17"/>
      <c r="AZ224" s="17"/>
    </row>
    <row r="225">
      <c r="A225" s="17"/>
      <c r="AZ225" s="17"/>
    </row>
    <row r="226">
      <c r="A226" s="17"/>
      <c r="AZ226" s="17"/>
    </row>
    <row r="227">
      <c r="A227" s="17"/>
      <c r="AZ227" s="17"/>
    </row>
    <row r="228">
      <c r="A228" s="17"/>
      <c r="AZ228" s="17"/>
    </row>
    <row r="229">
      <c r="A229" s="17"/>
      <c r="AZ229" s="17"/>
    </row>
    <row r="230">
      <c r="A230" s="17"/>
      <c r="AZ230" s="17"/>
    </row>
    <row r="231">
      <c r="A231" s="17"/>
      <c r="AZ231" s="17"/>
    </row>
    <row r="232">
      <c r="A232" s="17"/>
      <c r="AZ232" s="17"/>
    </row>
    <row r="233">
      <c r="A233" s="17"/>
      <c r="AZ233" s="17"/>
    </row>
    <row r="234">
      <c r="A234" s="17"/>
      <c r="AZ234" s="17"/>
    </row>
    <row r="235">
      <c r="A235" s="17"/>
      <c r="AZ235" s="17"/>
    </row>
    <row r="236">
      <c r="A236" s="17"/>
      <c r="AZ236" s="17"/>
    </row>
    <row r="237">
      <c r="A237" s="17"/>
      <c r="AZ237" s="17"/>
    </row>
    <row r="238">
      <c r="A238" s="17"/>
      <c r="AZ238" s="17"/>
    </row>
    <row r="239">
      <c r="A239" s="17"/>
      <c r="AZ239" s="17"/>
    </row>
    <row r="240">
      <c r="A240" s="17"/>
      <c r="AZ240" s="17"/>
    </row>
    <row r="241">
      <c r="A241" s="17"/>
      <c r="AZ241" s="17"/>
    </row>
    <row r="242">
      <c r="A242" s="17"/>
      <c r="AZ242" s="17"/>
    </row>
    <row r="243">
      <c r="A243" s="17"/>
      <c r="AZ243" s="17"/>
    </row>
    <row r="244">
      <c r="A244" s="17"/>
      <c r="AZ244" s="17"/>
    </row>
    <row r="245">
      <c r="A245" s="17"/>
      <c r="AZ245" s="17"/>
    </row>
    <row r="246">
      <c r="A246" s="17"/>
      <c r="AZ246" s="17"/>
    </row>
    <row r="247">
      <c r="A247" s="17"/>
      <c r="AZ247" s="17"/>
    </row>
    <row r="248">
      <c r="A248" s="17"/>
      <c r="AZ248" s="17"/>
    </row>
    <row r="249">
      <c r="A249" s="17"/>
      <c r="AZ249" s="17"/>
    </row>
    <row r="250">
      <c r="A250" s="17"/>
      <c r="AZ250" s="17"/>
    </row>
    <row r="251">
      <c r="A251" s="17"/>
      <c r="AZ251" s="17"/>
    </row>
    <row r="252">
      <c r="A252" s="17"/>
      <c r="AZ252" s="17"/>
    </row>
    <row r="253">
      <c r="A253" s="17"/>
      <c r="AZ253" s="17"/>
    </row>
    <row r="254">
      <c r="A254" s="17"/>
      <c r="AZ254" s="17"/>
    </row>
    <row r="255">
      <c r="A255" s="17"/>
      <c r="AZ255" s="17"/>
    </row>
    <row r="256">
      <c r="A256" s="17"/>
      <c r="AZ256" s="17"/>
    </row>
    <row r="257">
      <c r="A257" s="17"/>
      <c r="AZ257" s="17"/>
    </row>
    <row r="258">
      <c r="A258" s="17"/>
      <c r="AZ258" s="17"/>
    </row>
    <row r="259">
      <c r="A259" s="17"/>
      <c r="AZ259" s="17"/>
    </row>
    <row r="260">
      <c r="A260" s="17"/>
      <c r="AZ260" s="17"/>
    </row>
    <row r="261">
      <c r="A261" s="17"/>
      <c r="AZ261" s="17"/>
    </row>
    <row r="262">
      <c r="A262" s="17"/>
      <c r="AZ262" s="17"/>
    </row>
    <row r="263">
      <c r="A263" s="17"/>
      <c r="AZ263" s="17"/>
    </row>
    <row r="264">
      <c r="A264" s="17"/>
      <c r="AZ264" s="17"/>
    </row>
    <row r="265">
      <c r="A265" s="17"/>
      <c r="AZ265" s="17"/>
    </row>
    <row r="266">
      <c r="A266" s="17"/>
      <c r="AZ266" s="17"/>
    </row>
    <row r="267">
      <c r="A267" s="17"/>
      <c r="AZ267" s="17"/>
    </row>
    <row r="268">
      <c r="A268" s="17"/>
      <c r="AZ268" s="17"/>
    </row>
    <row r="269">
      <c r="A269" s="17"/>
      <c r="AZ269" s="17"/>
    </row>
    <row r="270">
      <c r="A270" s="17"/>
      <c r="AZ270" s="17"/>
    </row>
    <row r="271">
      <c r="A271" s="17"/>
      <c r="AZ271" s="17"/>
    </row>
    <row r="272">
      <c r="A272" s="17"/>
      <c r="AZ272" s="17"/>
    </row>
    <row r="273">
      <c r="A273" s="17"/>
      <c r="AZ273" s="17"/>
    </row>
    <row r="274">
      <c r="A274" s="17"/>
      <c r="AZ274" s="17"/>
    </row>
    <row r="275">
      <c r="A275" s="17"/>
      <c r="AZ275" s="17"/>
    </row>
    <row r="276">
      <c r="A276" s="17"/>
      <c r="AZ276" s="17"/>
    </row>
    <row r="277">
      <c r="A277" s="17"/>
      <c r="AZ277" s="17"/>
    </row>
    <row r="278">
      <c r="A278" s="17"/>
      <c r="AZ278" s="17"/>
    </row>
    <row r="279">
      <c r="A279" s="17"/>
      <c r="AZ279" s="17"/>
    </row>
    <row r="280">
      <c r="A280" s="17"/>
      <c r="AZ280" s="17"/>
    </row>
    <row r="281">
      <c r="A281" s="17"/>
      <c r="AZ281" s="17"/>
    </row>
    <row r="282">
      <c r="A282" s="17"/>
      <c r="AZ282" s="17"/>
    </row>
    <row r="283">
      <c r="A283" s="17"/>
      <c r="AZ283" s="17"/>
    </row>
    <row r="284">
      <c r="A284" s="17"/>
      <c r="AZ284" s="17"/>
    </row>
    <row r="285">
      <c r="A285" s="17"/>
      <c r="AZ285" s="17"/>
    </row>
    <row r="286">
      <c r="A286" s="17"/>
      <c r="AZ286" s="17"/>
    </row>
    <row r="287">
      <c r="A287" s="17"/>
      <c r="AZ287" s="17"/>
    </row>
    <row r="288">
      <c r="A288" s="17"/>
      <c r="AZ288" s="17"/>
    </row>
    <row r="289">
      <c r="A289" s="17"/>
      <c r="AZ289" s="17"/>
    </row>
    <row r="290">
      <c r="A290" s="17"/>
      <c r="AZ290" s="17"/>
    </row>
    <row r="291">
      <c r="A291" s="17"/>
      <c r="AZ291" s="17"/>
    </row>
    <row r="292">
      <c r="A292" s="17"/>
      <c r="AZ292" s="17"/>
    </row>
    <row r="293">
      <c r="A293" s="17"/>
      <c r="AZ293" s="17"/>
    </row>
    <row r="294">
      <c r="A294" s="17"/>
      <c r="AZ294" s="17"/>
    </row>
    <row r="295">
      <c r="A295" s="17"/>
      <c r="AZ295" s="17"/>
    </row>
    <row r="296">
      <c r="A296" s="17"/>
      <c r="AZ296" s="17"/>
    </row>
    <row r="297">
      <c r="A297" s="17"/>
      <c r="AZ297" s="17"/>
    </row>
    <row r="298">
      <c r="A298" s="17"/>
      <c r="AZ298" s="17"/>
    </row>
    <row r="299">
      <c r="A299" s="17"/>
      <c r="AZ299" s="17"/>
    </row>
    <row r="300">
      <c r="A300" s="17"/>
      <c r="AZ300" s="17"/>
    </row>
    <row r="301">
      <c r="A301" s="17"/>
      <c r="AZ301" s="17"/>
    </row>
    <row r="302">
      <c r="A302" s="17"/>
      <c r="AZ302" s="17"/>
    </row>
    <row r="303">
      <c r="A303" s="17"/>
      <c r="AZ303" s="17"/>
    </row>
    <row r="304">
      <c r="A304" s="17"/>
      <c r="AZ304" s="17"/>
    </row>
    <row r="305">
      <c r="A305" s="17"/>
      <c r="AZ305" s="17"/>
    </row>
    <row r="306">
      <c r="A306" s="17"/>
      <c r="AZ306" s="17"/>
    </row>
    <row r="307">
      <c r="A307" s="17"/>
      <c r="AZ307" s="17"/>
    </row>
    <row r="308">
      <c r="A308" s="17"/>
      <c r="AZ308" s="17"/>
    </row>
    <row r="309">
      <c r="A309" s="17"/>
      <c r="AZ309" s="17"/>
    </row>
    <row r="310">
      <c r="A310" s="17"/>
      <c r="AZ310" s="17"/>
    </row>
    <row r="311">
      <c r="A311" s="17"/>
      <c r="AZ311" s="17"/>
    </row>
    <row r="312">
      <c r="A312" s="17"/>
      <c r="AZ312" s="17"/>
    </row>
    <row r="313">
      <c r="A313" s="17"/>
      <c r="AZ313" s="17"/>
    </row>
    <row r="314">
      <c r="A314" s="17"/>
      <c r="AZ314" s="17"/>
    </row>
    <row r="315">
      <c r="A315" s="17"/>
      <c r="AZ315" s="17"/>
    </row>
    <row r="316">
      <c r="A316" s="17"/>
      <c r="AZ316" s="17"/>
    </row>
    <row r="317">
      <c r="A317" s="17"/>
      <c r="AZ317" s="17"/>
    </row>
    <row r="318">
      <c r="A318" s="17"/>
      <c r="AZ318" s="17"/>
    </row>
    <row r="319">
      <c r="A319" s="17"/>
      <c r="AZ319" s="17"/>
    </row>
    <row r="320">
      <c r="A320" s="17"/>
      <c r="AZ320" s="17"/>
    </row>
    <row r="321">
      <c r="A321" s="17"/>
      <c r="AZ321" s="17"/>
    </row>
    <row r="322">
      <c r="A322" s="17"/>
      <c r="AZ322" s="17"/>
    </row>
    <row r="323">
      <c r="A323" s="17"/>
      <c r="AZ323" s="17"/>
    </row>
    <row r="324">
      <c r="A324" s="17"/>
      <c r="AZ324" s="17"/>
    </row>
    <row r="325">
      <c r="A325" s="17"/>
      <c r="AZ325" s="17"/>
    </row>
    <row r="326">
      <c r="A326" s="17"/>
      <c r="AZ326" s="17"/>
    </row>
    <row r="327">
      <c r="A327" s="17"/>
      <c r="AZ327" s="17"/>
    </row>
    <row r="328">
      <c r="A328" s="17"/>
      <c r="AZ328" s="17"/>
    </row>
    <row r="329">
      <c r="A329" s="17"/>
      <c r="AZ329" s="17"/>
    </row>
    <row r="330">
      <c r="A330" s="17"/>
      <c r="AZ330" s="17"/>
    </row>
    <row r="331">
      <c r="A331" s="17"/>
      <c r="AZ331" s="17"/>
    </row>
    <row r="332">
      <c r="A332" s="17"/>
      <c r="AZ332" s="17"/>
    </row>
    <row r="333">
      <c r="A333" s="17"/>
      <c r="AZ333" s="17"/>
    </row>
    <row r="334">
      <c r="A334" s="17"/>
      <c r="AZ334" s="17"/>
    </row>
    <row r="335">
      <c r="A335" s="17"/>
      <c r="AZ335" s="17"/>
    </row>
    <row r="336">
      <c r="A336" s="17"/>
      <c r="AZ336" s="17"/>
    </row>
    <row r="337">
      <c r="A337" s="17"/>
      <c r="AZ337" s="17"/>
    </row>
    <row r="338">
      <c r="A338" s="17"/>
      <c r="AZ338" s="17"/>
    </row>
    <row r="339">
      <c r="A339" s="17"/>
      <c r="AZ339" s="17"/>
    </row>
    <row r="340">
      <c r="A340" s="17"/>
      <c r="AZ340" s="17"/>
    </row>
    <row r="341">
      <c r="A341" s="17"/>
      <c r="AZ341" s="17"/>
    </row>
    <row r="342">
      <c r="A342" s="17"/>
      <c r="AZ342" s="17"/>
    </row>
    <row r="343">
      <c r="A343" s="17"/>
      <c r="AZ343" s="17"/>
    </row>
    <row r="344">
      <c r="A344" s="17"/>
      <c r="AZ344" s="17"/>
    </row>
    <row r="345">
      <c r="A345" s="17"/>
      <c r="AZ345" s="17"/>
    </row>
    <row r="346">
      <c r="A346" s="17"/>
      <c r="AZ346" s="17"/>
    </row>
    <row r="347">
      <c r="A347" s="17"/>
      <c r="AZ347" s="17"/>
    </row>
    <row r="348">
      <c r="A348" s="17"/>
      <c r="AZ348" s="17"/>
    </row>
    <row r="349">
      <c r="A349" s="17"/>
      <c r="AZ349" s="17"/>
    </row>
    <row r="350">
      <c r="A350" s="17"/>
      <c r="AZ350" s="17"/>
    </row>
    <row r="351">
      <c r="A351" s="17"/>
      <c r="AZ351" s="17"/>
    </row>
    <row r="352">
      <c r="A352" s="17"/>
      <c r="AZ352" s="17"/>
    </row>
    <row r="353">
      <c r="A353" s="17"/>
      <c r="AZ353" s="17"/>
    </row>
    <row r="354">
      <c r="A354" s="17"/>
      <c r="AZ354" s="17"/>
    </row>
    <row r="355">
      <c r="A355" s="17"/>
      <c r="AZ355" s="17"/>
    </row>
    <row r="356">
      <c r="A356" s="17"/>
      <c r="AZ356" s="17"/>
    </row>
    <row r="357">
      <c r="A357" s="17"/>
      <c r="AZ357" s="17"/>
    </row>
    <row r="358">
      <c r="A358" s="17"/>
      <c r="AZ358" s="17"/>
    </row>
    <row r="359">
      <c r="A359" s="17"/>
      <c r="AZ359" s="17"/>
    </row>
    <row r="360">
      <c r="A360" s="17"/>
      <c r="AZ360" s="17"/>
    </row>
    <row r="361">
      <c r="A361" s="17"/>
      <c r="AZ361" s="17"/>
    </row>
    <row r="362">
      <c r="A362" s="17"/>
      <c r="AZ362" s="17"/>
    </row>
    <row r="363">
      <c r="A363" s="17"/>
      <c r="AZ363" s="17"/>
    </row>
    <row r="364">
      <c r="A364" s="17"/>
      <c r="AZ364" s="17"/>
    </row>
    <row r="365">
      <c r="A365" s="17"/>
      <c r="AZ365" s="17"/>
    </row>
    <row r="366">
      <c r="A366" s="17"/>
      <c r="AZ366" s="17"/>
    </row>
    <row r="367">
      <c r="A367" s="17"/>
      <c r="AZ367" s="17"/>
    </row>
    <row r="368">
      <c r="A368" s="17"/>
      <c r="AZ368" s="17"/>
    </row>
    <row r="369">
      <c r="A369" s="17"/>
      <c r="AZ369" s="17"/>
    </row>
    <row r="370">
      <c r="A370" s="17"/>
      <c r="AZ370" s="17"/>
    </row>
    <row r="371">
      <c r="A371" s="17"/>
      <c r="AZ371" s="17"/>
    </row>
    <row r="372">
      <c r="A372" s="17"/>
      <c r="AZ372" s="17"/>
    </row>
    <row r="373">
      <c r="A373" s="17"/>
      <c r="AZ373" s="17"/>
    </row>
    <row r="374">
      <c r="A374" s="17"/>
      <c r="AZ374" s="17"/>
    </row>
    <row r="375">
      <c r="A375" s="17"/>
      <c r="AZ375" s="17"/>
    </row>
    <row r="376">
      <c r="A376" s="17"/>
      <c r="AZ376" s="17"/>
    </row>
    <row r="377">
      <c r="A377" s="17"/>
      <c r="AZ377" s="17"/>
    </row>
    <row r="378">
      <c r="A378" s="17"/>
      <c r="AZ378" s="17"/>
    </row>
    <row r="379">
      <c r="A379" s="17"/>
      <c r="AZ379" s="17"/>
    </row>
    <row r="380">
      <c r="A380" s="17"/>
      <c r="AZ380" s="17"/>
    </row>
    <row r="381">
      <c r="A381" s="17"/>
      <c r="AZ381" s="17"/>
    </row>
    <row r="382">
      <c r="A382" s="17"/>
      <c r="AZ382" s="17"/>
    </row>
    <row r="383">
      <c r="A383" s="17"/>
      <c r="AZ383" s="17"/>
    </row>
    <row r="384">
      <c r="A384" s="17"/>
      <c r="AZ384" s="17"/>
    </row>
    <row r="385">
      <c r="A385" s="17"/>
      <c r="AZ385" s="17"/>
    </row>
    <row r="386">
      <c r="A386" s="17"/>
      <c r="AZ386" s="17"/>
    </row>
    <row r="387">
      <c r="A387" s="17"/>
      <c r="AZ387" s="17"/>
    </row>
    <row r="388">
      <c r="A388" s="17"/>
      <c r="AZ388" s="17"/>
    </row>
    <row r="389">
      <c r="A389" s="17"/>
      <c r="AZ389" s="17"/>
    </row>
    <row r="390">
      <c r="A390" s="17"/>
      <c r="AZ390" s="17"/>
    </row>
    <row r="391">
      <c r="A391" s="17"/>
      <c r="AZ391" s="17"/>
    </row>
    <row r="392">
      <c r="A392" s="17"/>
      <c r="AZ392" s="17"/>
    </row>
    <row r="393">
      <c r="A393" s="17"/>
      <c r="AZ393" s="17"/>
    </row>
    <row r="394">
      <c r="A394" s="17"/>
      <c r="AZ394" s="17"/>
    </row>
    <row r="395">
      <c r="A395" s="17"/>
      <c r="AZ395" s="17"/>
    </row>
    <row r="396">
      <c r="A396" s="17"/>
      <c r="AZ396" s="17"/>
    </row>
    <row r="397">
      <c r="A397" s="17"/>
      <c r="AZ397" s="17"/>
    </row>
    <row r="398">
      <c r="A398" s="17"/>
      <c r="AZ398" s="17"/>
    </row>
    <row r="399">
      <c r="A399" s="17"/>
      <c r="AZ399" s="17"/>
    </row>
    <row r="400">
      <c r="A400" s="17"/>
      <c r="AZ400" s="17"/>
    </row>
    <row r="401">
      <c r="A401" s="17"/>
      <c r="AZ401" s="17"/>
    </row>
    <row r="402">
      <c r="A402" s="17"/>
      <c r="AZ402" s="17"/>
    </row>
    <row r="403">
      <c r="A403" s="17"/>
      <c r="AZ403" s="17"/>
    </row>
    <row r="404">
      <c r="A404" s="17"/>
      <c r="AZ404" s="17"/>
    </row>
    <row r="405">
      <c r="A405" s="17"/>
      <c r="AZ405" s="17"/>
    </row>
    <row r="406">
      <c r="A406" s="17"/>
      <c r="AZ406" s="17"/>
    </row>
    <row r="407">
      <c r="A407" s="17"/>
      <c r="AZ407" s="17"/>
    </row>
    <row r="408">
      <c r="A408" s="17"/>
      <c r="AZ408" s="17"/>
    </row>
    <row r="409">
      <c r="A409" s="17"/>
      <c r="AZ409" s="17"/>
    </row>
    <row r="410">
      <c r="A410" s="17"/>
      <c r="AZ410" s="17"/>
    </row>
    <row r="411">
      <c r="A411" s="17"/>
      <c r="AZ411" s="17"/>
    </row>
    <row r="412">
      <c r="A412" s="17"/>
      <c r="AZ412" s="17"/>
    </row>
    <row r="413">
      <c r="A413" s="17"/>
      <c r="AZ413" s="17"/>
    </row>
    <row r="414">
      <c r="A414" s="17"/>
      <c r="AZ414" s="17"/>
    </row>
    <row r="415">
      <c r="A415" s="17"/>
      <c r="AZ415" s="17"/>
    </row>
    <row r="416">
      <c r="A416" s="17"/>
      <c r="AZ416" s="17"/>
    </row>
    <row r="417">
      <c r="A417" s="17"/>
      <c r="AZ417" s="17"/>
    </row>
    <row r="418">
      <c r="A418" s="17"/>
      <c r="AZ418" s="17"/>
    </row>
    <row r="419">
      <c r="A419" s="17"/>
      <c r="AZ419" s="17"/>
    </row>
    <row r="420">
      <c r="A420" s="17"/>
      <c r="AZ420" s="17"/>
    </row>
    <row r="421">
      <c r="A421" s="17"/>
      <c r="AZ421" s="17"/>
    </row>
    <row r="422">
      <c r="A422" s="17"/>
      <c r="AZ422" s="17"/>
    </row>
    <row r="423">
      <c r="A423" s="17"/>
      <c r="AZ423" s="17"/>
    </row>
    <row r="424">
      <c r="A424" s="17"/>
      <c r="AZ424" s="17"/>
    </row>
    <row r="425">
      <c r="A425" s="17"/>
      <c r="AZ425" s="17"/>
    </row>
    <row r="426">
      <c r="A426" s="17"/>
      <c r="AZ426" s="17"/>
    </row>
    <row r="427">
      <c r="A427" s="17"/>
      <c r="AZ427" s="17"/>
    </row>
    <row r="428">
      <c r="A428" s="17"/>
      <c r="AZ428" s="17"/>
    </row>
    <row r="429">
      <c r="A429" s="17"/>
      <c r="AZ429" s="17"/>
    </row>
    <row r="430">
      <c r="A430" s="17"/>
      <c r="AZ430" s="17"/>
    </row>
    <row r="431">
      <c r="A431" s="17"/>
      <c r="AZ431" s="17"/>
    </row>
    <row r="432">
      <c r="A432" s="17"/>
      <c r="AZ432" s="17"/>
    </row>
    <row r="433">
      <c r="A433" s="17"/>
      <c r="AZ433" s="17"/>
    </row>
    <row r="434">
      <c r="A434" s="17"/>
      <c r="AZ434" s="17"/>
    </row>
    <row r="435">
      <c r="A435" s="17"/>
      <c r="AZ435" s="17"/>
    </row>
    <row r="436">
      <c r="A436" s="17"/>
      <c r="AZ436" s="17"/>
    </row>
    <row r="437">
      <c r="A437" s="17"/>
      <c r="AZ437" s="17"/>
    </row>
    <row r="438">
      <c r="A438" s="17"/>
      <c r="AZ438" s="17"/>
    </row>
    <row r="439">
      <c r="A439" s="17"/>
      <c r="AZ439" s="17"/>
    </row>
    <row r="440">
      <c r="A440" s="17"/>
      <c r="AZ440" s="17"/>
    </row>
    <row r="441">
      <c r="A441" s="17"/>
      <c r="AZ441" s="17"/>
    </row>
    <row r="442">
      <c r="A442" s="17"/>
      <c r="AZ442" s="17"/>
    </row>
    <row r="443">
      <c r="A443" s="17"/>
      <c r="AZ443" s="17"/>
    </row>
    <row r="444">
      <c r="A444" s="17"/>
      <c r="AZ444" s="17"/>
    </row>
    <row r="445">
      <c r="A445" s="17"/>
      <c r="AZ445" s="17"/>
    </row>
    <row r="446">
      <c r="A446" s="17"/>
      <c r="AZ446" s="17"/>
    </row>
    <row r="447">
      <c r="A447" s="17"/>
      <c r="AZ447" s="17"/>
    </row>
    <row r="448">
      <c r="A448" s="17"/>
      <c r="AZ448" s="17"/>
    </row>
    <row r="449">
      <c r="A449" s="17"/>
      <c r="AZ449" s="17"/>
    </row>
    <row r="450">
      <c r="A450" s="17"/>
      <c r="AZ450" s="17"/>
    </row>
    <row r="451">
      <c r="A451" s="17"/>
      <c r="AZ451" s="17"/>
    </row>
    <row r="452">
      <c r="A452" s="17"/>
      <c r="AZ452" s="17"/>
    </row>
    <row r="453">
      <c r="A453" s="17"/>
      <c r="AZ453" s="17"/>
    </row>
    <row r="454">
      <c r="A454" s="17"/>
      <c r="AZ454" s="17"/>
    </row>
    <row r="455">
      <c r="A455" s="17"/>
      <c r="AZ455" s="17"/>
    </row>
    <row r="456">
      <c r="A456" s="17"/>
      <c r="AZ456" s="17"/>
    </row>
    <row r="457">
      <c r="A457" s="17"/>
      <c r="AZ457" s="17"/>
    </row>
    <row r="458">
      <c r="A458" s="17"/>
      <c r="AZ458" s="17"/>
    </row>
    <row r="459">
      <c r="A459" s="17"/>
      <c r="AZ459" s="17"/>
    </row>
    <row r="460">
      <c r="A460" s="17"/>
      <c r="AZ460" s="17"/>
    </row>
    <row r="461">
      <c r="A461" s="17"/>
      <c r="AZ461" s="17"/>
    </row>
    <row r="462">
      <c r="A462" s="17"/>
      <c r="AZ462" s="17"/>
    </row>
    <row r="463">
      <c r="A463" s="17"/>
      <c r="AZ463" s="17"/>
    </row>
    <row r="464">
      <c r="A464" s="17"/>
      <c r="AZ464" s="17"/>
    </row>
    <row r="465">
      <c r="A465" s="17"/>
      <c r="AZ465" s="17"/>
    </row>
    <row r="466">
      <c r="A466" s="17"/>
      <c r="AZ466" s="17"/>
    </row>
    <row r="467">
      <c r="A467" s="17"/>
      <c r="AZ467" s="17"/>
    </row>
    <row r="468">
      <c r="A468" s="17"/>
      <c r="AZ468" s="17"/>
    </row>
    <row r="469">
      <c r="A469" s="17"/>
      <c r="AZ469" s="17"/>
    </row>
    <row r="470">
      <c r="A470" s="17"/>
      <c r="AZ470" s="17"/>
    </row>
    <row r="471">
      <c r="A471" s="17"/>
      <c r="AZ471" s="17"/>
    </row>
    <row r="472">
      <c r="A472" s="17"/>
      <c r="AZ472" s="17"/>
    </row>
    <row r="473">
      <c r="A473" s="17"/>
      <c r="AZ473" s="17"/>
    </row>
    <row r="474">
      <c r="A474" s="17"/>
      <c r="AZ474" s="17"/>
    </row>
    <row r="475">
      <c r="A475" s="17"/>
      <c r="AZ475" s="17"/>
    </row>
    <row r="476">
      <c r="A476" s="17"/>
      <c r="AZ476" s="17"/>
    </row>
    <row r="477">
      <c r="A477" s="17"/>
      <c r="AZ477" s="17"/>
    </row>
    <row r="478">
      <c r="A478" s="17"/>
      <c r="AZ478" s="17"/>
    </row>
    <row r="479">
      <c r="A479" s="17"/>
      <c r="AZ479" s="17"/>
    </row>
    <row r="480">
      <c r="A480" s="17"/>
      <c r="AZ480" s="17"/>
    </row>
    <row r="481">
      <c r="A481" s="17"/>
      <c r="AZ481" s="17"/>
    </row>
    <row r="482">
      <c r="A482" s="17"/>
      <c r="AZ482" s="17"/>
    </row>
    <row r="483">
      <c r="A483" s="17"/>
      <c r="AZ483" s="17"/>
    </row>
    <row r="484">
      <c r="A484" s="17"/>
      <c r="AZ484" s="17"/>
    </row>
    <row r="485">
      <c r="A485" s="17"/>
      <c r="AZ485" s="17"/>
    </row>
    <row r="486">
      <c r="A486" s="17"/>
      <c r="AZ486" s="17"/>
    </row>
    <row r="487">
      <c r="A487" s="17"/>
      <c r="AZ487" s="17"/>
    </row>
    <row r="488">
      <c r="A488" s="17"/>
      <c r="AZ488" s="17"/>
    </row>
    <row r="489">
      <c r="A489" s="17"/>
      <c r="AZ489" s="17"/>
    </row>
    <row r="490">
      <c r="A490" s="17"/>
      <c r="AZ490" s="17"/>
    </row>
    <row r="491">
      <c r="A491" s="17"/>
      <c r="AZ491" s="17"/>
    </row>
    <row r="492">
      <c r="A492" s="17"/>
      <c r="AZ492" s="17"/>
    </row>
    <row r="493">
      <c r="A493" s="17"/>
      <c r="AZ493" s="17"/>
    </row>
    <row r="494">
      <c r="A494" s="17"/>
      <c r="AZ494" s="17"/>
    </row>
    <row r="495">
      <c r="A495" s="17"/>
      <c r="AZ495" s="17"/>
    </row>
    <row r="496">
      <c r="A496" s="17"/>
      <c r="AZ496" s="17"/>
    </row>
    <row r="497">
      <c r="A497" s="17"/>
      <c r="AZ497" s="17"/>
    </row>
    <row r="498">
      <c r="A498" s="17"/>
      <c r="AZ498" s="17"/>
    </row>
    <row r="499">
      <c r="A499" s="17"/>
      <c r="AZ499" s="17"/>
    </row>
    <row r="500">
      <c r="A500" s="17"/>
      <c r="AZ500" s="17"/>
    </row>
    <row r="501">
      <c r="A501" s="17"/>
      <c r="AZ501" s="17"/>
    </row>
    <row r="502">
      <c r="A502" s="17"/>
      <c r="AZ502" s="17"/>
    </row>
    <row r="503">
      <c r="A503" s="17"/>
      <c r="AZ503" s="17"/>
    </row>
    <row r="504">
      <c r="A504" s="17"/>
      <c r="AZ504" s="17"/>
    </row>
    <row r="505">
      <c r="A505" s="17"/>
      <c r="AZ505" s="17"/>
    </row>
    <row r="506">
      <c r="A506" s="17"/>
      <c r="AZ506" s="17"/>
    </row>
    <row r="507">
      <c r="A507" s="17"/>
      <c r="AZ507" s="17"/>
    </row>
    <row r="508">
      <c r="A508" s="17"/>
      <c r="AZ508" s="17"/>
    </row>
    <row r="509">
      <c r="A509" s="17"/>
      <c r="AZ509" s="17"/>
    </row>
    <row r="510">
      <c r="A510" s="17"/>
      <c r="AZ510" s="17"/>
    </row>
    <row r="511">
      <c r="A511" s="17"/>
      <c r="AZ511" s="17"/>
    </row>
    <row r="512">
      <c r="A512" s="17"/>
      <c r="AZ512" s="17"/>
    </row>
    <row r="513">
      <c r="A513" s="17"/>
      <c r="AZ513" s="17"/>
    </row>
    <row r="514">
      <c r="A514" s="17"/>
      <c r="AZ514" s="17"/>
    </row>
    <row r="515">
      <c r="A515" s="17"/>
      <c r="AZ515" s="17"/>
    </row>
    <row r="516">
      <c r="A516" s="17"/>
      <c r="AZ516" s="17"/>
    </row>
    <row r="517">
      <c r="A517" s="17"/>
      <c r="AZ517" s="17"/>
    </row>
    <row r="518">
      <c r="A518" s="17"/>
      <c r="AZ518" s="17"/>
    </row>
    <row r="519">
      <c r="A519" s="17"/>
      <c r="AZ519" s="17"/>
    </row>
    <row r="520">
      <c r="A520" s="17"/>
      <c r="AZ520" s="17"/>
    </row>
    <row r="521">
      <c r="A521" s="17"/>
      <c r="AZ521" s="17"/>
    </row>
    <row r="522">
      <c r="A522" s="17"/>
      <c r="AZ522" s="17"/>
    </row>
    <row r="523">
      <c r="A523" s="17"/>
      <c r="AZ523" s="17"/>
    </row>
    <row r="524">
      <c r="A524" s="17"/>
      <c r="AZ524" s="17"/>
    </row>
    <row r="525">
      <c r="A525" s="17"/>
      <c r="AZ525" s="17"/>
    </row>
    <row r="526">
      <c r="A526" s="17"/>
      <c r="AZ526" s="17"/>
    </row>
    <row r="527">
      <c r="A527" s="17"/>
      <c r="AZ527" s="17"/>
    </row>
    <row r="528">
      <c r="A528" s="17"/>
      <c r="AZ528" s="17"/>
    </row>
    <row r="529">
      <c r="A529" s="17"/>
      <c r="AZ529" s="17"/>
    </row>
    <row r="530">
      <c r="A530" s="17"/>
      <c r="AZ530" s="17"/>
    </row>
    <row r="531">
      <c r="A531" s="17"/>
      <c r="AZ531" s="17"/>
    </row>
    <row r="532">
      <c r="A532" s="17"/>
      <c r="AZ532" s="17"/>
    </row>
    <row r="533">
      <c r="A533" s="17"/>
      <c r="AZ533" s="17"/>
    </row>
    <row r="534">
      <c r="A534" s="17"/>
      <c r="AZ534" s="17"/>
    </row>
    <row r="535">
      <c r="A535" s="17"/>
      <c r="AZ535" s="17"/>
    </row>
    <row r="536">
      <c r="A536" s="17"/>
      <c r="AZ536" s="17"/>
    </row>
    <row r="537">
      <c r="A537" s="17"/>
      <c r="AZ537" s="17"/>
    </row>
    <row r="538">
      <c r="A538" s="17"/>
      <c r="AZ538" s="17"/>
    </row>
    <row r="539">
      <c r="A539" s="17"/>
      <c r="AZ539" s="17"/>
    </row>
    <row r="540">
      <c r="A540" s="17"/>
      <c r="AZ540" s="17"/>
    </row>
    <row r="541">
      <c r="A541" s="17"/>
      <c r="AZ541" s="17"/>
    </row>
    <row r="542">
      <c r="A542" s="17"/>
      <c r="AZ542" s="17"/>
    </row>
    <row r="543">
      <c r="A543" s="17"/>
      <c r="AZ543" s="17"/>
    </row>
    <row r="544">
      <c r="A544" s="17"/>
      <c r="AZ544" s="17"/>
    </row>
    <row r="545">
      <c r="A545" s="17"/>
      <c r="AZ545" s="17"/>
    </row>
    <row r="546">
      <c r="A546" s="17"/>
      <c r="AZ546" s="17"/>
    </row>
    <row r="547">
      <c r="A547" s="17"/>
      <c r="AZ547" s="17"/>
    </row>
    <row r="548">
      <c r="A548" s="17"/>
      <c r="AZ548" s="17"/>
    </row>
    <row r="549">
      <c r="A549" s="17"/>
      <c r="AZ549" s="17"/>
    </row>
    <row r="550">
      <c r="A550" s="17"/>
      <c r="AZ550" s="17"/>
    </row>
    <row r="551">
      <c r="A551" s="17"/>
      <c r="AZ551" s="17"/>
    </row>
    <row r="552">
      <c r="A552" s="17"/>
      <c r="AZ552" s="17"/>
    </row>
    <row r="553">
      <c r="A553" s="17"/>
      <c r="AZ553" s="17"/>
    </row>
    <row r="554">
      <c r="A554" s="17"/>
      <c r="AZ554" s="17"/>
    </row>
    <row r="555">
      <c r="A555" s="17"/>
      <c r="AZ555" s="17"/>
    </row>
    <row r="556">
      <c r="A556" s="17"/>
      <c r="AZ556" s="17"/>
    </row>
    <row r="557">
      <c r="A557" s="17"/>
      <c r="AZ557" s="17"/>
    </row>
    <row r="558">
      <c r="A558" s="17"/>
      <c r="AZ558" s="17"/>
    </row>
    <row r="559">
      <c r="A559" s="17"/>
      <c r="AZ559" s="17"/>
    </row>
    <row r="560">
      <c r="A560" s="17"/>
      <c r="AZ560" s="17"/>
    </row>
    <row r="561">
      <c r="A561" s="17"/>
      <c r="AZ561" s="17"/>
    </row>
    <row r="562">
      <c r="A562" s="17"/>
      <c r="AZ562" s="17"/>
    </row>
    <row r="563">
      <c r="A563" s="17"/>
      <c r="AZ563" s="17"/>
    </row>
    <row r="564">
      <c r="A564" s="17"/>
      <c r="AZ564" s="17"/>
    </row>
    <row r="565">
      <c r="A565" s="17"/>
      <c r="AZ565" s="17"/>
    </row>
    <row r="566">
      <c r="A566" s="17"/>
      <c r="AZ566" s="17"/>
    </row>
    <row r="567">
      <c r="A567" s="17"/>
      <c r="AZ567" s="17"/>
    </row>
    <row r="568">
      <c r="A568" s="17"/>
      <c r="AZ568" s="17"/>
    </row>
    <row r="569">
      <c r="A569" s="17"/>
      <c r="AZ569" s="17"/>
    </row>
    <row r="570">
      <c r="A570" s="17"/>
      <c r="AZ570" s="17"/>
    </row>
    <row r="571">
      <c r="A571" s="17"/>
      <c r="AZ571" s="17"/>
    </row>
    <row r="572">
      <c r="A572" s="17"/>
      <c r="AZ572" s="17"/>
    </row>
    <row r="573">
      <c r="A573" s="17"/>
      <c r="AZ573" s="17"/>
    </row>
    <row r="574">
      <c r="A574" s="17"/>
      <c r="AZ574" s="17"/>
    </row>
    <row r="575">
      <c r="A575" s="17"/>
      <c r="AZ575" s="17"/>
    </row>
    <row r="576">
      <c r="A576" s="17"/>
      <c r="AZ576" s="17"/>
    </row>
    <row r="577">
      <c r="A577" s="17"/>
      <c r="AZ577" s="17"/>
    </row>
    <row r="578">
      <c r="A578" s="17"/>
      <c r="AZ578" s="17"/>
    </row>
    <row r="579">
      <c r="A579" s="17"/>
      <c r="AZ579" s="17"/>
    </row>
    <row r="580">
      <c r="A580" s="17"/>
      <c r="AZ580" s="17"/>
    </row>
    <row r="581">
      <c r="A581" s="17"/>
      <c r="AZ581" s="17"/>
    </row>
    <row r="582">
      <c r="A582" s="17"/>
      <c r="AZ582" s="17"/>
    </row>
    <row r="583">
      <c r="A583" s="17"/>
      <c r="AZ583" s="17"/>
    </row>
    <row r="584">
      <c r="A584" s="17"/>
      <c r="AZ584" s="17"/>
    </row>
    <row r="585">
      <c r="A585" s="17"/>
      <c r="AZ585" s="17"/>
    </row>
    <row r="586">
      <c r="A586" s="17"/>
      <c r="AZ586" s="17"/>
    </row>
    <row r="587">
      <c r="A587" s="17"/>
      <c r="AZ587" s="17"/>
    </row>
    <row r="588">
      <c r="A588" s="17"/>
      <c r="AZ588" s="17"/>
    </row>
    <row r="589">
      <c r="A589" s="17"/>
      <c r="AZ589" s="17"/>
    </row>
    <row r="590">
      <c r="A590" s="17"/>
      <c r="AZ590" s="17"/>
    </row>
    <row r="591">
      <c r="A591" s="17"/>
      <c r="AZ591" s="17"/>
    </row>
    <row r="592">
      <c r="A592" s="17"/>
      <c r="AZ592" s="17"/>
    </row>
    <row r="593">
      <c r="A593" s="17"/>
      <c r="AZ593" s="17"/>
    </row>
    <row r="594">
      <c r="A594" s="17"/>
      <c r="AZ594" s="17"/>
    </row>
    <row r="595">
      <c r="A595" s="17"/>
      <c r="AZ595" s="17"/>
    </row>
    <row r="596">
      <c r="A596" s="17"/>
      <c r="AZ596" s="17"/>
    </row>
    <row r="597">
      <c r="A597" s="17"/>
      <c r="AZ597" s="17"/>
    </row>
    <row r="598">
      <c r="A598" s="17"/>
      <c r="AZ598" s="17"/>
    </row>
    <row r="599">
      <c r="A599" s="17"/>
      <c r="AZ599" s="17"/>
    </row>
    <row r="600">
      <c r="A600" s="17"/>
      <c r="AZ600" s="17"/>
    </row>
    <row r="601">
      <c r="A601" s="17"/>
      <c r="AZ601" s="17"/>
    </row>
    <row r="602">
      <c r="A602" s="17"/>
      <c r="AZ602" s="17"/>
    </row>
    <row r="603">
      <c r="A603" s="17"/>
      <c r="AZ603" s="17"/>
    </row>
    <row r="604">
      <c r="A604" s="17"/>
      <c r="AZ604" s="17"/>
    </row>
    <row r="605">
      <c r="A605" s="17"/>
      <c r="AZ605" s="17"/>
    </row>
    <row r="606">
      <c r="A606" s="17"/>
      <c r="AZ606" s="17"/>
    </row>
    <row r="607">
      <c r="A607" s="17"/>
      <c r="AZ607" s="17"/>
    </row>
    <row r="608">
      <c r="A608" s="17"/>
      <c r="AZ608" s="17"/>
    </row>
    <row r="609">
      <c r="A609" s="17"/>
      <c r="AZ609" s="17"/>
    </row>
    <row r="610">
      <c r="A610" s="17"/>
      <c r="AZ610" s="17"/>
    </row>
    <row r="611">
      <c r="A611" s="17"/>
      <c r="AZ611" s="17"/>
    </row>
    <row r="612">
      <c r="A612" s="17"/>
      <c r="AZ612" s="17"/>
    </row>
    <row r="613">
      <c r="A613" s="17"/>
      <c r="AZ613" s="17"/>
    </row>
    <row r="614">
      <c r="A614" s="17"/>
      <c r="AZ614" s="17"/>
    </row>
    <row r="615">
      <c r="A615" s="17"/>
      <c r="AZ615" s="17"/>
    </row>
    <row r="616">
      <c r="A616" s="17"/>
      <c r="AZ616" s="17"/>
    </row>
    <row r="617">
      <c r="A617" s="17"/>
      <c r="AZ617" s="17"/>
    </row>
    <row r="618">
      <c r="A618" s="17"/>
      <c r="AZ618" s="17"/>
    </row>
    <row r="619">
      <c r="A619" s="17"/>
      <c r="AZ619" s="17"/>
    </row>
    <row r="620">
      <c r="A620" s="17"/>
      <c r="AZ620" s="17"/>
    </row>
    <row r="621">
      <c r="A621" s="17"/>
      <c r="AZ621" s="17"/>
    </row>
    <row r="622">
      <c r="A622" s="17"/>
      <c r="AZ622" s="17"/>
    </row>
    <row r="623">
      <c r="A623" s="17"/>
      <c r="AZ623" s="17"/>
    </row>
    <row r="624">
      <c r="A624" s="17"/>
      <c r="AZ624" s="17"/>
    </row>
    <row r="625">
      <c r="A625" s="17"/>
      <c r="AZ625" s="17"/>
    </row>
    <row r="626">
      <c r="A626" s="17"/>
      <c r="AZ626" s="17"/>
    </row>
    <row r="627">
      <c r="A627" s="17"/>
      <c r="AZ627" s="17"/>
    </row>
    <row r="628">
      <c r="A628" s="17"/>
      <c r="AZ628" s="17"/>
    </row>
    <row r="629">
      <c r="A629" s="17"/>
      <c r="AZ629" s="17"/>
    </row>
    <row r="630">
      <c r="A630" s="17"/>
      <c r="AZ630" s="17"/>
    </row>
    <row r="631">
      <c r="A631" s="17"/>
      <c r="AZ631" s="17"/>
    </row>
    <row r="632">
      <c r="A632" s="17"/>
      <c r="AZ632" s="17"/>
    </row>
    <row r="633">
      <c r="A633" s="17"/>
      <c r="AZ633" s="17"/>
    </row>
    <row r="634">
      <c r="A634" s="17"/>
      <c r="AZ634" s="17"/>
    </row>
    <row r="635">
      <c r="A635" s="17"/>
      <c r="AZ635" s="17"/>
    </row>
    <row r="636">
      <c r="A636" s="17"/>
      <c r="AZ636" s="17"/>
    </row>
    <row r="637">
      <c r="A637" s="17"/>
      <c r="AZ637" s="17"/>
    </row>
    <row r="638">
      <c r="A638" s="17"/>
      <c r="AZ638" s="17"/>
    </row>
    <row r="639">
      <c r="A639" s="17"/>
      <c r="AZ639" s="17"/>
    </row>
    <row r="640">
      <c r="A640" s="17"/>
      <c r="AZ640" s="17"/>
    </row>
    <row r="641">
      <c r="A641" s="17"/>
      <c r="AZ641" s="17"/>
    </row>
    <row r="642">
      <c r="A642" s="17"/>
      <c r="AZ642" s="17"/>
    </row>
    <row r="643">
      <c r="A643" s="17"/>
      <c r="AZ643" s="17"/>
    </row>
    <row r="644">
      <c r="A644" s="17"/>
      <c r="AZ644" s="17"/>
    </row>
    <row r="645">
      <c r="A645" s="17"/>
      <c r="AZ645" s="17"/>
    </row>
    <row r="646">
      <c r="A646" s="17"/>
      <c r="AZ646" s="17"/>
    </row>
    <row r="647">
      <c r="A647" s="17"/>
      <c r="AZ647" s="17"/>
    </row>
    <row r="648">
      <c r="A648" s="17"/>
      <c r="AZ648" s="17"/>
    </row>
    <row r="649">
      <c r="A649" s="17"/>
      <c r="AZ649" s="17"/>
    </row>
    <row r="650">
      <c r="A650" s="17"/>
      <c r="AZ650" s="17"/>
    </row>
    <row r="651">
      <c r="A651" s="17"/>
      <c r="AZ651" s="17"/>
    </row>
    <row r="652">
      <c r="A652" s="17"/>
      <c r="AZ652" s="17"/>
    </row>
    <row r="653">
      <c r="A653" s="17"/>
      <c r="AZ653" s="17"/>
    </row>
    <row r="654">
      <c r="A654" s="17"/>
      <c r="AZ654" s="17"/>
    </row>
    <row r="655">
      <c r="A655" s="17"/>
      <c r="AZ655" s="17"/>
    </row>
    <row r="656">
      <c r="A656" s="17"/>
      <c r="AZ656" s="17"/>
    </row>
    <row r="657">
      <c r="A657" s="17"/>
      <c r="AZ657" s="17"/>
    </row>
    <row r="658">
      <c r="A658" s="17"/>
      <c r="AZ658" s="17"/>
    </row>
    <row r="659">
      <c r="A659" s="17"/>
      <c r="AZ659" s="17"/>
    </row>
    <row r="660">
      <c r="A660" s="17"/>
      <c r="AZ660" s="17"/>
    </row>
    <row r="661">
      <c r="A661" s="17"/>
      <c r="AZ661" s="17"/>
    </row>
    <row r="662">
      <c r="A662" s="17"/>
      <c r="AZ662" s="17"/>
    </row>
    <row r="663">
      <c r="A663" s="17"/>
      <c r="AZ663" s="17"/>
    </row>
    <row r="664">
      <c r="A664" s="17"/>
      <c r="AZ664" s="17"/>
    </row>
    <row r="665">
      <c r="A665" s="17"/>
      <c r="AZ665" s="17"/>
    </row>
    <row r="666">
      <c r="A666" s="17"/>
      <c r="AZ666" s="17"/>
    </row>
    <row r="667">
      <c r="A667" s="17"/>
      <c r="AZ667" s="17"/>
    </row>
    <row r="668">
      <c r="A668" s="17"/>
      <c r="AZ668" s="17"/>
    </row>
    <row r="669">
      <c r="A669" s="17"/>
      <c r="AZ669" s="17"/>
    </row>
    <row r="670">
      <c r="A670" s="17"/>
      <c r="AZ670" s="17"/>
    </row>
    <row r="671">
      <c r="A671" s="17"/>
      <c r="AZ671" s="17"/>
    </row>
    <row r="672">
      <c r="A672" s="17"/>
      <c r="AZ672" s="17"/>
    </row>
    <row r="673">
      <c r="A673" s="17"/>
      <c r="AZ673" s="17"/>
    </row>
    <row r="674">
      <c r="A674" s="17"/>
      <c r="AZ674" s="17"/>
    </row>
    <row r="675">
      <c r="A675" s="17"/>
      <c r="AZ675" s="17"/>
    </row>
    <row r="676">
      <c r="A676" s="17"/>
      <c r="AZ676" s="17"/>
    </row>
    <row r="677">
      <c r="A677" s="17"/>
      <c r="AZ677" s="17"/>
    </row>
    <row r="678">
      <c r="A678" s="17"/>
      <c r="AZ678" s="17"/>
    </row>
    <row r="679">
      <c r="A679" s="17"/>
      <c r="AZ679" s="17"/>
    </row>
    <row r="680">
      <c r="A680" s="17"/>
      <c r="AZ680" s="17"/>
    </row>
    <row r="681">
      <c r="A681" s="17"/>
      <c r="AZ681" s="17"/>
    </row>
    <row r="682">
      <c r="A682" s="17"/>
      <c r="AZ682" s="17"/>
    </row>
    <row r="683">
      <c r="A683" s="17"/>
      <c r="AZ683" s="17"/>
    </row>
    <row r="684">
      <c r="A684" s="17"/>
      <c r="AZ684" s="17"/>
    </row>
    <row r="685">
      <c r="A685" s="17"/>
      <c r="AZ685" s="17"/>
    </row>
    <row r="686">
      <c r="A686" s="17"/>
      <c r="AZ686" s="17"/>
    </row>
    <row r="687">
      <c r="A687" s="17"/>
      <c r="AZ687" s="17"/>
    </row>
    <row r="688">
      <c r="A688" s="17"/>
      <c r="AZ688" s="17"/>
    </row>
    <row r="689">
      <c r="A689" s="17"/>
      <c r="AZ689" s="17"/>
    </row>
    <row r="690">
      <c r="A690" s="17"/>
      <c r="AZ690" s="17"/>
    </row>
    <row r="691">
      <c r="A691" s="17"/>
      <c r="AZ691" s="17"/>
    </row>
    <row r="692">
      <c r="A692" s="17"/>
      <c r="AZ692" s="17"/>
    </row>
    <row r="693">
      <c r="A693" s="17"/>
      <c r="AZ693" s="17"/>
    </row>
    <row r="694">
      <c r="A694" s="17"/>
      <c r="AZ694" s="17"/>
    </row>
    <row r="695">
      <c r="A695" s="17"/>
      <c r="AZ695" s="17"/>
    </row>
    <row r="696">
      <c r="A696" s="17"/>
      <c r="AZ696" s="17"/>
    </row>
    <row r="697">
      <c r="A697" s="17"/>
      <c r="AZ697" s="17"/>
    </row>
    <row r="698">
      <c r="A698" s="17"/>
      <c r="AZ698" s="17"/>
    </row>
    <row r="699">
      <c r="A699" s="17"/>
      <c r="AZ699" s="17"/>
    </row>
    <row r="700">
      <c r="A700" s="17"/>
      <c r="AZ700" s="17"/>
    </row>
    <row r="701">
      <c r="A701" s="17"/>
      <c r="AZ701" s="17"/>
    </row>
    <row r="702">
      <c r="A702" s="17"/>
      <c r="AZ702" s="17"/>
    </row>
    <row r="703">
      <c r="A703" s="17"/>
      <c r="AZ703" s="17"/>
    </row>
    <row r="704">
      <c r="A704" s="17"/>
      <c r="AZ704" s="17"/>
    </row>
    <row r="705">
      <c r="A705" s="17"/>
      <c r="AZ705" s="17"/>
    </row>
    <row r="706">
      <c r="A706" s="17"/>
      <c r="AZ706" s="17"/>
    </row>
    <row r="707">
      <c r="A707" s="17"/>
      <c r="AZ707" s="17"/>
    </row>
    <row r="708">
      <c r="A708" s="17"/>
      <c r="AZ708" s="17"/>
    </row>
    <row r="709">
      <c r="A709" s="17"/>
      <c r="AZ709" s="17"/>
    </row>
    <row r="710">
      <c r="A710" s="17"/>
      <c r="AZ710" s="17"/>
    </row>
    <row r="711">
      <c r="A711" s="17"/>
      <c r="AZ711" s="17"/>
    </row>
    <row r="712">
      <c r="A712" s="17"/>
      <c r="AZ712" s="17"/>
    </row>
    <row r="713">
      <c r="A713" s="17"/>
      <c r="AZ713" s="17"/>
    </row>
    <row r="714">
      <c r="A714" s="17"/>
      <c r="AZ714" s="17"/>
    </row>
    <row r="715">
      <c r="A715" s="17"/>
      <c r="AZ715" s="17"/>
    </row>
    <row r="716">
      <c r="A716" s="17"/>
      <c r="AZ716" s="17"/>
    </row>
    <row r="717">
      <c r="A717" s="17"/>
      <c r="AZ717" s="17"/>
    </row>
    <row r="718">
      <c r="A718" s="17"/>
      <c r="AZ718" s="17"/>
    </row>
    <row r="719">
      <c r="A719" s="17"/>
      <c r="AZ719" s="17"/>
    </row>
    <row r="720">
      <c r="A720" s="17"/>
      <c r="AZ720" s="17"/>
    </row>
    <row r="721">
      <c r="A721" s="17"/>
      <c r="AZ721" s="17"/>
    </row>
    <row r="722">
      <c r="A722" s="17"/>
      <c r="AZ722" s="17"/>
    </row>
    <row r="723">
      <c r="A723" s="17"/>
      <c r="AZ723" s="17"/>
    </row>
    <row r="724">
      <c r="A724" s="17"/>
      <c r="AZ724" s="17"/>
    </row>
    <row r="725">
      <c r="A725" s="17"/>
      <c r="AZ725" s="17"/>
    </row>
    <row r="726">
      <c r="A726" s="17"/>
      <c r="AZ726" s="17"/>
    </row>
    <row r="727">
      <c r="A727" s="17"/>
      <c r="AZ727" s="17"/>
    </row>
    <row r="728">
      <c r="A728" s="17"/>
      <c r="AZ728" s="17"/>
    </row>
    <row r="729">
      <c r="A729" s="17"/>
      <c r="AZ729" s="17"/>
    </row>
    <row r="730">
      <c r="A730" s="17"/>
      <c r="AZ730" s="17"/>
    </row>
    <row r="731">
      <c r="A731" s="17"/>
      <c r="AZ731" s="17"/>
    </row>
    <row r="732">
      <c r="A732" s="17"/>
      <c r="AZ732" s="17"/>
    </row>
    <row r="733">
      <c r="A733" s="17"/>
      <c r="AZ733" s="17"/>
    </row>
    <row r="734">
      <c r="A734" s="17"/>
      <c r="AZ734" s="17"/>
    </row>
    <row r="735">
      <c r="A735" s="17"/>
      <c r="AZ735" s="17"/>
    </row>
    <row r="736">
      <c r="A736" s="17"/>
      <c r="AZ736" s="17"/>
    </row>
    <row r="737">
      <c r="A737" s="17"/>
      <c r="AZ737" s="17"/>
    </row>
    <row r="738">
      <c r="A738" s="17"/>
      <c r="AZ738" s="17"/>
    </row>
    <row r="739">
      <c r="A739" s="17"/>
      <c r="AZ739" s="17"/>
    </row>
    <row r="740">
      <c r="A740" s="17"/>
      <c r="AZ740" s="17"/>
    </row>
    <row r="741">
      <c r="A741" s="17"/>
      <c r="AZ741" s="17"/>
    </row>
    <row r="742">
      <c r="A742" s="17"/>
      <c r="AZ742" s="17"/>
    </row>
    <row r="743">
      <c r="A743" s="17"/>
      <c r="AZ743" s="17"/>
    </row>
    <row r="744">
      <c r="A744" s="17"/>
      <c r="AZ744" s="17"/>
    </row>
    <row r="745">
      <c r="A745" s="17"/>
      <c r="AZ745" s="17"/>
    </row>
    <row r="746">
      <c r="A746" s="17"/>
      <c r="AZ746" s="17"/>
    </row>
    <row r="747">
      <c r="A747" s="17"/>
      <c r="AZ747" s="17"/>
    </row>
    <row r="748">
      <c r="A748" s="17"/>
      <c r="AZ748" s="17"/>
    </row>
    <row r="749">
      <c r="A749" s="17"/>
      <c r="AZ749" s="17"/>
    </row>
    <row r="750">
      <c r="A750" s="17"/>
      <c r="AZ750" s="17"/>
    </row>
    <row r="751">
      <c r="A751" s="17"/>
      <c r="AZ751" s="17"/>
    </row>
    <row r="752">
      <c r="A752" s="17"/>
      <c r="AZ752" s="17"/>
    </row>
    <row r="753">
      <c r="A753" s="17"/>
      <c r="AZ753" s="17"/>
    </row>
    <row r="754">
      <c r="A754" s="17"/>
      <c r="AZ754" s="17"/>
    </row>
    <row r="755">
      <c r="A755" s="17"/>
      <c r="AZ755" s="17"/>
    </row>
    <row r="756">
      <c r="A756" s="17"/>
      <c r="AZ756" s="17"/>
    </row>
    <row r="757">
      <c r="A757" s="17"/>
      <c r="AZ757" s="17"/>
    </row>
    <row r="758">
      <c r="A758" s="17"/>
      <c r="AZ758" s="17"/>
    </row>
    <row r="759">
      <c r="A759" s="17"/>
      <c r="AZ759" s="17"/>
    </row>
    <row r="760">
      <c r="A760" s="17"/>
      <c r="AZ760" s="17"/>
    </row>
    <row r="761">
      <c r="A761" s="17"/>
      <c r="AZ761" s="17"/>
    </row>
    <row r="762">
      <c r="A762" s="17"/>
      <c r="AZ762" s="17"/>
    </row>
    <row r="763">
      <c r="A763" s="17"/>
      <c r="AZ763" s="17"/>
    </row>
    <row r="764">
      <c r="A764" s="17"/>
      <c r="AZ764" s="17"/>
    </row>
    <row r="765">
      <c r="A765" s="17"/>
      <c r="AZ765" s="17"/>
    </row>
    <row r="766">
      <c r="A766" s="17"/>
      <c r="AZ766" s="17"/>
    </row>
    <row r="767">
      <c r="A767" s="17"/>
      <c r="AZ767" s="17"/>
    </row>
    <row r="768">
      <c r="A768" s="17"/>
      <c r="AZ768" s="17"/>
    </row>
    <row r="769">
      <c r="A769" s="17"/>
      <c r="AZ769" s="17"/>
    </row>
    <row r="770">
      <c r="A770" s="17"/>
      <c r="AZ770" s="17"/>
    </row>
    <row r="771">
      <c r="A771" s="17"/>
      <c r="AZ771" s="17"/>
    </row>
    <row r="772">
      <c r="A772" s="17"/>
      <c r="AZ772" s="17"/>
    </row>
    <row r="773">
      <c r="A773" s="17"/>
      <c r="AZ773" s="17"/>
    </row>
    <row r="774">
      <c r="A774" s="17"/>
      <c r="AZ774" s="17"/>
    </row>
    <row r="775">
      <c r="A775" s="17"/>
      <c r="AZ775" s="17"/>
    </row>
    <row r="776">
      <c r="A776" s="17"/>
      <c r="AZ776" s="17"/>
    </row>
    <row r="777">
      <c r="A777" s="17"/>
      <c r="AZ777" s="17"/>
    </row>
    <row r="778">
      <c r="A778" s="17"/>
      <c r="AZ778" s="17"/>
    </row>
    <row r="779">
      <c r="A779" s="17"/>
      <c r="AZ779" s="17"/>
    </row>
    <row r="780">
      <c r="A780" s="17"/>
      <c r="AZ780" s="17"/>
    </row>
    <row r="781">
      <c r="A781" s="17"/>
      <c r="AZ781" s="17"/>
    </row>
    <row r="782">
      <c r="A782" s="17"/>
      <c r="AZ782" s="17"/>
    </row>
    <row r="783">
      <c r="A783" s="17"/>
      <c r="AZ783" s="17"/>
    </row>
    <row r="784">
      <c r="A784" s="17"/>
      <c r="AZ784" s="17"/>
    </row>
    <row r="785">
      <c r="A785" s="17"/>
      <c r="AZ785" s="17"/>
    </row>
    <row r="786">
      <c r="A786" s="17"/>
      <c r="AZ786" s="17"/>
    </row>
    <row r="787">
      <c r="A787" s="17"/>
      <c r="AZ787" s="17"/>
    </row>
    <row r="788">
      <c r="A788" s="17"/>
      <c r="AZ788" s="17"/>
    </row>
    <row r="789">
      <c r="A789" s="17"/>
      <c r="AZ789" s="17"/>
    </row>
    <row r="790">
      <c r="A790" s="17"/>
      <c r="AZ790" s="17"/>
    </row>
    <row r="791">
      <c r="A791" s="17"/>
      <c r="AZ791" s="17"/>
    </row>
    <row r="792">
      <c r="A792" s="17"/>
      <c r="AZ792" s="17"/>
    </row>
    <row r="793">
      <c r="A793" s="17"/>
      <c r="AZ793" s="17"/>
    </row>
    <row r="794">
      <c r="A794" s="17"/>
      <c r="AZ794" s="17"/>
    </row>
    <row r="795">
      <c r="A795" s="17"/>
      <c r="AZ795" s="17"/>
    </row>
    <row r="796">
      <c r="A796" s="17"/>
      <c r="AZ796" s="17"/>
    </row>
    <row r="797">
      <c r="A797" s="17"/>
      <c r="AZ797" s="17"/>
    </row>
    <row r="798">
      <c r="A798" s="17"/>
      <c r="AZ798" s="17"/>
    </row>
    <row r="799">
      <c r="A799" s="17"/>
      <c r="AZ799" s="17"/>
    </row>
    <row r="800">
      <c r="A800" s="17"/>
      <c r="AZ800" s="17"/>
    </row>
    <row r="801">
      <c r="A801" s="17"/>
      <c r="AZ801" s="17"/>
    </row>
    <row r="802">
      <c r="A802" s="17"/>
      <c r="AZ802" s="17"/>
    </row>
    <row r="803">
      <c r="A803" s="17"/>
      <c r="AZ803" s="17"/>
    </row>
    <row r="804">
      <c r="A804" s="17"/>
      <c r="AZ804" s="17"/>
    </row>
    <row r="805">
      <c r="A805" s="17"/>
      <c r="AZ805" s="17"/>
    </row>
    <row r="806">
      <c r="A806" s="17"/>
      <c r="AZ806" s="17"/>
    </row>
    <row r="807">
      <c r="A807" s="17"/>
      <c r="AZ807" s="17"/>
    </row>
    <row r="808">
      <c r="A808" s="17"/>
      <c r="AZ808" s="17"/>
    </row>
    <row r="809">
      <c r="A809" s="17"/>
      <c r="AZ809" s="17"/>
    </row>
    <row r="810">
      <c r="A810" s="17"/>
      <c r="AZ810" s="17"/>
    </row>
    <row r="811">
      <c r="A811" s="17"/>
      <c r="AZ811" s="17"/>
    </row>
    <row r="812">
      <c r="A812" s="17"/>
      <c r="AZ812" s="17"/>
    </row>
    <row r="813">
      <c r="A813" s="17"/>
      <c r="AZ813" s="17"/>
    </row>
    <row r="814">
      <c r="A814" s="17"/>
      <c r="AZ814" s="17"/>
    </row>
    <row r="815">
      <c r="A815" s="17"/>
      <c r="AZ815" s="17"/>
    </row>
    <row r="816">
      <c r="A816" s="17"/>
      <c r="AZ816" s="17"/>
    </row>
    <row r="817">
      <c r="A817" s="17"/>
      <c r="AZ817" s="17"/>
    </row>
    <row r="818">
      <c r="A818" s="17"/>
      <c r="AZ818" s="17"/>
    </row>
    <row r="819">
      <c r="A819" s="17"/>
      <c r="AZ819" s="17"/>
    </row>
    <row r="820">
      <c r="A820" s="17"/>
      <c r="AZ820" s="17"/>
    </row>
    <row r="821">
      <c r="A821" s="17"/>
      <c r="AZ821" s="17"/>
    </row>
    <row r="822">
      <c r="A822" s="17"/>
      <c r="AZ822" s="17"/>
    </row>
    <row r="823">
      <c r="A823" s="17"/>
      <c r="AZ823" s="17"/>
    </row>
    <row r="824">
      <c r="A824" s="17"/>
      <c r="AZ824" s="17"/>
    </row>
    <row r="825">
      <c r="A825" s="17"/>
      <c r="AZ825" s="17"/>
    </row>
    <row r="826">
      <c r="A826" s="17"/>
      <c r="AZ826" s="17"/>
    </row>
    <row r="827">
      <c r="A827" s="17"/>
      <c r="AZ827" s="17"/>
    </row>
    <row r="828">
      <c r="A828" s="17"/>
      <c r="AZ828" s="17"/>
    </row>
    <row r="829">
      <c r="A829" s="17"/>
      <c r="AZ829" s="17"/>
    </row>
    <row r="830">
      <c r="A830" s="17"/>
      <c r="AZ830" s="17"/>
    </row>
    <row r="831">
      <c r="A831" s="17"/>
      <c r="AZ831" s="17"/>
    </row>
    <row r="832">
      <c r="A832" s="17"/>
      <c r="AZ832" s="17"/>
    </row>
    <row r="833">
      <c r="A833" s="17"/>
      <c r="AZ833" s="17"/>
    </row>
    <row r="834">
      <c r="A834" s="17"/>
      <c r="AZ834" s="17"/>
    </row>
    <row r="835">
      <c r="A835" s="17"/>
      <c r="AZ835" s="17"/>
    </row>
    <row r="836">
      <c r="A836" s="17"/>
      <c r="AZ836" s="17"/>
    </row>
    <row r="837">
      <c r="A837" s="17"/>
      <c r="AZ837" s="17"/>
    </row>
    <row r="838">
      <c r="A838" s="17"/>
      <c r="AZ838" s="17"/>
    </row>
    <row r="839">
      <c r="A839" s="17"/>
      <c r="AZ839" s="17"/>
    </row>
    <row r="840">
      <c r="A840" s="17"/>
      <c r="AZ840" s="17"/>
    </row>
    <row r="841">
      <c r="A841" s="17"/>
      <c r="AZ841" s="17"/>
    </row>
    <row r="842">
      <c r="A842" s="17"/>
      <c r="AZ842" s="17"/>
    </row>
    <row r="843">
      <c r="A843" s="17"/>
      <c r="AZ843" s="17"/>
    </row>
    <row r="844">
      <c r="A844" s="17"/>
      <c r="AZ844" s="17"/>
    </row>
    <row r="845">
      <c r="A845" s="17"/>
      <c r="AZ845" s="17"/>
    </row>
    <row r="846">
      <c r="A846" s="17"/>
      <c r="AZ846" s="17"/>
    </row>
    <row r="847">
      <c r="A847" s="17"/>
      <c r="AZ847" s="17"/>
    </row>
    <row r="848">
      <c r="A848" s="17"/>
      <c r="AZ848" s="17"/>
    </row>
    <row r="849">
      <c r="A849" s="17"/>
      <c r="AZ849" s="17"/>
    </row>
    <row r="850">
      <c r="A850" s="17"/>
      <c r="AZ850" s="17"/>
    </row>
    <row r="851">
      <c r="A851" s="17"/>
      <c r="AZ851" s="17"/>
    </row>
    <row r="852">
      <c r="A852" s="17"/>
      <c r="AZ852" s="17"/>
    </row>
    <row r="853">
      <c r="A853" s="17"/>
      <c r="AZ853" s="17"/>
    </row>
    <row r="854">
      <c r="A854" s="17"/>
      <c r="AZ854" s="17"/>
    </row>
    <row r="855">
      <c r="A855" s="17"/>
      <c r="AZ855" s="17"/>
    </row>
    <row r="856">
      <c r="A856" s="17"/>
      <c r="AZ856" s="17"/>
    </row>
    <row r="857">
      <c r="A857" s="17"/>
      <c r="AZ857" s="17"/>
    </row>
    <row r="858">
      <c r="A858" s="17"/>
      <c r="AZ858" s="17"/>
    </row>
    <row r="859">
      <c r="A859" s="17"/>
      <c r="AZ859" s="17"/>
    </row>
    <row r="860">
      <c r="A860" s="17"/>
      <c r="AZ860" s="17"/>
    </row>
    <row r="861">
      <c r="A861" s="17"/>
      <c r="AZ861" s="17"/>
    </row>
    <row r="862">
      <c r="A862" s="17"/>
      <c r="AZ862" s="17"/>
    </row>
    <row r="863">
      <c r="A863" s="17"/>
      <c r="AZ863" s="17"/>
    </row>
    <row r="864">
      <c r="A864" s="17"/>
      <c r="AZ864" s="17"/>
    </row>
    <row r="865">
      <c r="A865" s="17"/>
      <c r="AZ865" s="17"/>
    </row>
    <row r="866">
      <c r="A866" s="17"/>
      <c r="AZ866" s="17"/>
    </row>
    <row r="867">
      <c r="A867" s="17"/>
      <c r="AZ867" s="17"/>
    </row>
    <row r="868">
      <c r="A868" s="17"/>
      <c r="AZ868" s="17"/>
    </row>
    <row r="869">
      <c r="A869" s="17"/>
      <c r="AZ869" s="17"/>
    </row>
    <row r="870">
      <c r="A870" s="17"/>
      <c r="AZ870" s="17"/>
    </row>
    <row r="871">
      <c r="A871" s="17"/>
      <c r="AZ871" s="17"/>
    </row>
    <row r="872">
      <c r="A872" s="17"/>
      <c r="AZ872" s="17"/>
    </row>
    <row r="873">
      <c r="A873" s="17"/>
      <c r="AZ873" s="17"/>
    </row>
    <row r="874">
      <c r="A874" s="17"/>
      <c r="AZ874" s="17"/>
    </row>
    <row r="875">
      <c r="A875" s="17"/>
      <c r="AZ875" s="17"/>
    </row>
    <row r="876">
      <c r="A876" s="17"/>
      <c r="AZ876" s="17"/>
    </row>
    <row r="877">
      <c r="A877" s="17"/>
      <c r="AZ877" s="17"/>
    </row>
    <row r="878">
      <c r="A878" s="17"/>
      <c r="AZ878" s="17"/>
    </row>
    <row r="879">
      <c r="A879" s="17"/>
      <c r="AZ879" s="17"/>
    </row>
    <row r="880">
      <c r="A880" s="17"/>
      <c r="AZ880" s="17"/>
    </row>
    <row r="881">
      <c r="A881" s="17"/>
      <c r="AZ881" s="17"/>
    </row>
    <row r="882">
      <c r="A882" s="17"/>
      <c r="AZ882" s="17"/>
    </row>
    <row r="883">
      <c r="A883" s="17"/>
      <c r="AZ883" s="17"/>
    </row>
    <row r="884">
      <c r="A884" s="17"/>
      <c r="AZ884" s="17"/>
    </row>
    <row r="885">
      <c r="A885" s="17"/>
      <c r="AZ885" s="17"/>
    </row>
    <row r="886">
      <c r="A886" s="17"/>
      <c r="AZ886" s="17"/>
    </row>
    <row r="887">
      <c r="A887" s="17"/>
      <c r="AZ887" s="17"/>
    </row>
    <row r="888">
      <c r="A888" s="17"/>
      <c r="AZ888" s="17"/>
    </row>
    <row r="889">
      <c r="A889" s="17"/>
      <c r="AZ889" s="17"/>
    </row>
    <row r="890">
      <c r="A890" s="17"/>
      <c r="AZ890" s="17"/>
    </row>
    <row r="891">
      <c r="A891" s="17"/>
      <c r="AZ891" s="17"/>
    </row>
    <row r="892">
      <c r="A892" s="17"/>
      <c r="AZ892" s="17"/>
    </row>
    <row r="893">
      <c r="A893" s="17"/>
      <c r="AZ893" s="17"/>
    </row>
    <row r="894">
      <c r="A894" s="17"/>
      <c r="AZ894" s="17"/>
    </row>
    <row r="895">
      <c r="A895" s="17"/>
      <c r="AZ895" s="17"/>
    </row>
    <row r="896">
      <c r="A896" s="17"/>
      <c r="AZ896" s="17"/>
    </row>
    <row r="897">
      <c r="A897" s="17"/>
      <c r="AZ897" s="17"/>
    </row>
    <row r="898">
      <c r="A898" s="17"/>
      <c r="AZ898" s="17"/>
    </row>
    <row r="899">
      <c r="A899" s="17"/>
      <c r="AZ899" s="17"/>
    </row>
    <row r="900">
      <c r="A900" s="17"/>
      <c r="AZ900" s="17"/>
    </row>
    <row r="901">
      <c r="A901" s="17"/>
      <c r="AZ901" s="17"/>
    </row>
    <row r="902">
      <c r="A902" s="17"/>
      <c r="AZ902" s="17"/>
    </row>
    <row r="903">
      <c r="A903" s="17"/>
      <c r="AZ903" s="17"/>
    </row>
    <row r="904">
      <c r="A904" s="17"/>
      <c r="AZ904" s="17"/>
    </row>
    <row r="905">
      <c r="A905" s="17"/>
      <c r="AZ905" s="17"/>
    </row>
    <row r="906">
      <c r="A906" s="17"/>
      <c r="AZ906" s="17"/>
    </row>
    <row r="907">
      <c r="A907" s="17"/>
      <c r="AZ907" s="17"/>
    </row>
    <row r="908">
      <c r="A908" s="17"/>
      <c r="AZ908" s="17"/>
    </row>
    <row r="909">
      <c r="A909" s="17"/>
      <c r="AZ909" s="17"/>
    </row>
    <row r="910">
      <c r="A910" s="17"/>
      <c r="AZ910" s="17"/>
    </row>
    <row r="911">
      <c r="A911" s="17"/>
      <c r="AZ911" s="17"/>
    </row>
    <row r="912">
      <c r="A912" s="17"/>
      <c r="AZ912" s="17"/>
    </row>
    <row r="913">
      <c r="A913" s="17"/>
      <c r="AZ913" s="17"/>
    </row>
    <row r="914">
      <c r="A914" s="17"/>
      <c r="AZ914" s="17"/>
    </row>
    <row r="915">
      <c r="A915" s="17"/>
      <c r="AZ915" s="17"/>
    </row>
    <row r="916">
      <c r="A916" s="17"/>
      <c r="AZ916" s="17"/>
    </row>
    <row r="917">
      <c r="A917" s="17"/>
      <c r="AZ917" s="17"/>
    </row>
    <row r="918">
      <c r="A918" s="17"/>
      <c r="AZ918" s="17"/>
    </row>
    <row r="919">
      <c r="A919" s="17"/>
      <c r="AZ919" s="17"/>
    </row>
    <row r="920">
      <c r="A920" s="17"/>
      <c r="AZ920" s="17"/>
    </row>
    <row r="921">
      <c r="A921" s="17"/>
      <c r="AZ921" s="17"/>
    </row>
    <row r="922">
      <c r="A922" s="17"/>
      <c r="AZ922" s="17"/>
    </row>
    <row r="923">
      <c r="A923" s="17"/>
      <c r="AZ923" s="17"/>
    </row>
    <row r="924">
      <c r="A924" s="17"/>
      <c r="AZ924" s="17"/>
    </row>
    <row r="925">
      <c r="A925" s="17"/>
      <c r="AZ925" s="17"/>
    </row>
    <row r="926">
      <c r="A926" s="17"/>
      <c r="AZ926" s="17"/>
    </row>
    <row r="927">
      <c r="A927" s="17"/>
      <c r="AZ927" s="17"/>
    </row>
    <row r="928">
      <c r="A928" s="17"/>
      <c r="AZ928" s="17"/>
    </row>
    <row r="929">
      <c r="A929" s="17"/>
      <c r="AZ929" s="17"/>
    </row>
    <row r="930">
      <c r="A930" s="17"/>
      <c r="AZ930" s="17"/>
    </row>
    <row r="931">
      <c r="A931" s="17"/>
      <c r="AZ931" s="17"/>
    </row>
    <row r="932">
      <c r="A932" s="17"/>
      <c r="AZ932" s="17"/>
    </row>
    <row r="933">
      <c r="A933" s="17"/>
      <c r="AZ933" s="17"/>
    </row>
    <row r="934">
      <c r="A934" s="17"/>
      <c r="AZ934" s="17"/>
    </row>
    <row r="935">
      <c r="A935" s="17"/>
      <c r="AZ935" s="17"/>
    </row>
    <row r="936">
      <c r="A936" s="17"/>
      <c r="AZ936" s="17"/>
    </row>
    <row r="937">
      <c r="A937" s="17"/>
      <c r="AZ937" s="17"/>
    </row>
    <row r="938">
      <c r="A938" s="17"/>
      <c r="AZ938" s="17"/>
    </row>
    <row r="939">
      <c r="A939" s="17"/>
      <c r="AZ939" s="17"/>
    </row>
    <row r="940">
      <c r="A940" s="17"/>
      <c r="AZ940" s="17"/>
    </row>
    <row r="941">
      <c r="A941" s="17"/>
      <c r="AZ941" s="17"/>
    </row>
    <row r="942">
      <c r="A942" s="17"/>
      <c r="AZ942" s="17"/>
    </row>
    <row r="943">
      <c r="A943" s="17"/>
      <c r="AZ943" s="17"/>
    </row>
    <row r="944">
      <c r="A944" s="17"/>
      <c r="AZ944" s="17"/>
    </row>
    <row r="945">
      <c r="A945" s="17"/>
      <c r="AZ945" s="17"/>
    </row>
    <row r="946">
      <c r="A946" s="17"/>
      <c r="AZ946" s="17"/>
    </row>
    <row r="947">
      <c r="A947" s="17"/>
      <c r="AZ947" s="17"/>
    </row>
    <row r="948">
      <c r="A948" s="17"/>
      <c r="AZ948" s="17"/>
    </row>
    <row r="949">
      <c r="A949" s="17"/>
      <c r="AZ949" s="17"/>
    </row>
    <row r="950">
      <c r="A950" s="17"/>
      <c r="AZ950" s="17"/>
    </row>
    <row r="951">
      <c r="A951" s="17"/>
      <c r="AZ951" s="17"/>
    </row>
    <row r="952">
      <c r="A952" s="17"/>
      <c r="AZ952" s="17"/>
    </row>
    <row r="953">
      <c r="A953" s="17"/>
      <c r="AZ953" s="17"/>
    </row>
    <row r="954">
      <c r="A954" s="17"/>
      <c r="AZ954" s="17"/>
    </row>
    <row r="955">
      <c r="A955" s="17"/>
      <c r="AZ955" s="17"/>
    </row>
    <row r="956">
      <c r="A956" s="17"/>
      <c r="AZ956" s="17"/>
    </row>
    <row r="957">
      <c r="A957" s="17"/>
      <c r="AZ957" s="17"/>
    </row>
    <row r="958">
      <c r="A958" s="17"/>
      <c r="AZ958" s="17"/>
    </row>
    <row r="959">
      <c r="A959" s="17"/>
      <c r="AZ959" s="17"/>
    </row>
    <row r="960">
      <c r="A960" s="17"/>
      <c r="AZ960" s="17"/>
    </row>
    <row r="961">
      <c r="A961" s="17"/>
      <c r="AZ961" s="17"/>
    </row>
    <row r="962">
      <c r="A962" s="17"/>
      <c r="AZ962" s="17"/>
    </row>
    <row r="963">
      <c r="A963" s="17"/>
      <c r="AZ963" s="17"/>
    </row>
    <row r="964">
      <c r="A964" s="17"/>
      <c r="AZ964" s="17"/>
    </row>
    <row r="965">
      <c r="A965" s="17"/>
      <c r="AZ965" s="17"/>
    </row>
    <row r="966">
      <c r="A966" s="17"/>
      <c r="AZ966" s="17"/>
    </row>
    <row r="967">
      <c r="A967" s="17"/>
      <c r="AZ967" s="17"/>
    </row>
    <row r="968">
      <c r="A968" s="17"/>
      <c r="AZ968" s="17"/>
    </row>
    <row r="969">
      <c r="A969" s="17"/>
      <c r="AZ969" s="17"/>
    </row>
    <row r="970">
      <c r="A970" s="17"/>
      <c r="AZ970" s="17"/>
    </row>
    <row r="971">
      <c r="A971" s="17"/>
      <c r="AZ971" s="17"/>
    </row>
    <row r="972">
      <c r="A972" s="17"/>
      <c r="AZ972" s="17"/>
    </row>
    <row r="973">
      <c r="A973" s="17"/>
      <c r="AZ973" s="17"/>
    </row>
    <row r="974">
      <c r="A974" s="17"/>
      <c r="AZ974" s="17"/>
    </row>
    <row r="975">
      <c r="A975" s="17"/>
      <c r="AZ975" s="17"/>
    </row>
    <row r="976">
      <c r="A976" s="17"/>
      <c r="AZ976" s="17"/>
    </row>
    <row r="977">
      <c r="A977" s="17"/>
      <c r="AZ977" s="17"/>
    </row>
    <row r="978">
      <c r="A978" s="17"/>
      <c r="AZ978" s="17"/>
    </row>
    <row r="979">
      <c r="A979" s="17"/>
      <c r="AZ979" s="17"/>
    </row>
    <row r="980">
      <c r="A980" s="17"/>
      <c r="AZ980" s="17"/>
    </row>
    <row r="981">
      <c r="A981" s="17"/>
      <c r="AZ981" s="17"/>
    </row>
    <row r="982">
      <c r="A982" s="17"/>
      <c r="AZ982" s="17"/>
    </row>
    <row r="983">
      <c r="A983" s="17"/>
      <c r="AZ983" s="17"/>
    </row>
    <row r="984">
      <c r="A984" s="17"/>
      <c r="AZ984" s="17"/>
    </row>
    <row r="985">
      <c r="A985" s="17"/>
      <c r="AZ985" s="17"/>
    </row>
    <row r="986">
      <c r="A986" s="17"/>
      <c r="AZ986" s="17"/>
    </row>
    <row r="987">
      <c r="A987" s="17"/>
      <c r="AZ987" s="17"/>
    </row>
    <row r="988">
      <c r="A988" s="17"/>
      <c r="AZ988" s="17"/>
    </row>
    <row r="989">
      <c r="A989" s="17"/>
      <c r="AZ989" s="17"/>
    </row>
    <row r="990">
      <c r="A990" s="17"/>
      <c r="AZ990" s="17"/>
    </row>
    <row r="991">
      <c r="A991" s="17"/>
      <c r="AZ991" s="17"/>
    </row>
    <row r="992">
      <c r="A992" s="17"/>
      <c r="AZ992" s="17"/>
    </row>
    <row r="993">
      <c r="A993" s="17"/>
      <c r="AZ993" s="17"/>
    </row>
    <row r="994">
      <c r="A994" s="17"/>
      <c r="AZ994" s="17"/>
    </row>
    <row r="995">
      <c r="A995" s="17"/>
      <c r="AZ995" s="17"/>
    </row>
    <row r="996">
      <c r="A996" s="17"/>
      <c r="AZ996" s="17"/>
    </row>
    <row r="997">
      <c r="A997" s="17"/>
      <c r="AZ997" s="17"/>
    </row>
    <row r="998">
      <c r="A998" s="17"/>
      <c r="AZ998" s="17"/>
    </row>
    <row r="999">
      <c r="A999" s="17"/>
      <c r="AZ999" s="17"/>
    </row>
    <row r="1000">
      <c r="A1000" s="17"/>
      <c r="AZ1000" s="1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61" width="3.25"/>
  </cols>
  <sheetData>
    <row r="1">
      <c r="A1" s="62" t="s">
        <v>72</v>
      </c>
      <c r="AZ1" s="17"/>
    </row>
    <row r="2">
      <c r="A2" s="62" t="s">
        <v>73</v>
      </c>
      <c r="AZ2" s="17"/>
    </row>
    <row r="3">
      <c r="A3" s="62" t="s">
        <v>74</v>
      </c>
      <c r="AZ3" s="17"/>
    </row>
    <row r="4">
      <c r="A4" s="17"/>
      <c r="B4" s="17">
        <f t="array" ref="B4:BA4">SEQUENCE(1,52,0,1)</f>
        <v>0</v>
      </c>
      <c r="C4" s="17">
        <v>1.0</v>
      </c>
      <c r="D4" s="17">
        <v>2.0</v>
      </c>
      <c r="E4" s="17">
        <v>3.0</v>
      </c>
      <c r="F4" s="17">
        <v>4.0</v>
      </c>
      <c r="G4" s="17">
        <v>5.0</v>
      </c>
      <c r="H4" s="17">
        <v>6.0</v>
      </c>
      <c r="I4" s="17">
        <v>7.0</v>
      </c>
      <c r="J4" s="17">
        <v>8.0</v>
      </c>
      <c r="K4" s="17">
        <v>9.0</v>
      </c>
      <c r="L4" s="17">
        <v>10.0</v>
      </c>
      <c r="M4" s="17">
        <v>11.0</v>
      </c>
      <c r="N4" s="17">
        <v>12.0</v>
      </c>
      <c r="O4" s="17">
        <v>13.0</v>
      </c>
      <c r="P4" s="17">
        <v>14.0</v>
      </c>
      <c r="Q4" s="17">
        <v>15.0</v>
      </c>
      <c r="R4" s="17">
        <v>16.0</v>
      </c>
      <c r="S4" s="17">
        <v>17.0</v>
      </c>
      <c r="T4" s="17">
        <v>18.0</v>
      </c>
      <c r="U4" s="17">
        <v>19.0</v>
      </c>
      <c r="V4" s="17">
        <v>20.0</v>
      </c>
      <c r="W4" s="17">
        <v>21.0</v>
      </c>
      <c r="X4" s="17">
        <v>22.0</v>
      </c>
      <c r="Y4" s="17">
        <v>23.0</v>
      </c>
      <c r="Z4" s="17">
        <v>24.0</v>
      </c>
      <c r="AA4" s="17">
        <v>25.0</v>
      </c>
      <c r="AB4" s="17">
        <v>26.0</v>
      </c>
      <c r="AC4" s="17">
        <v>27.0</v>
      </c>
      <c r="AD4" s="17">
        <v>28.0</v>
      </c>
      <c r="AE4" s="17">
        <v>29.0</v>
      </c>
      <c r="AF4" s="17">
        <v>30.0</v>
      </c>
      <c r="AG4" s="17">
        <v>31.0</v>
      </c>
      <c r="AH4" s="17">
        <v>32.0</v>
      </c>
      <c r="AI4" s="17">
        <v>33.0</v>
      </c>
      <c r="AJ4" s="17">
        <v>34.0</v>
      </c>
      <c r="AK4" s="17">
        <v>35.0</v>
      </c>
      <c r="AL4" s="17">
        <v>36.0</v>
      </c>
      <c r="AM4" s="17">
        <v>37.0</v>
      </c>
      <c r="AN4" s="17">
        <v>38.0</v>
      </c>
      <c r="AO4" s="17">
        <v>39.0</v>
      </c>
      <c r="AP4" s="17">
        <v>40.0</v>
      </c>
      <c r="AQ4" s="17">
        <v>41.0</v>
      </c>
      <c r="AR4" s="17">
        <v>42.0</v>
      </c>
      <c r="AS4" s="17">
        <v>43.0</v>
      </c>
      <c r="AT4" s="17">
        <v>44.0</v>
      </c>
      <c r="AU4" s="17">
        <v>45.0</v>
      </c>
      <c r="AV4" s="17">
        <v>46.0</v>
      </c>
      <c r="AW4" s="17">
        <v>47.0</v>
      </c>
      <c r="AX4" s="17">
        <v>48.0</v>
      </c>
      <c r="AY4" s="17">
        <v>49.0</v>
      </c>
      <c r="AZ4" s="17">
        <v>50.0</v>
      </c>
      <c r="BA4" s="17">
        <v>51.0</v>
      </c>
      <c r="BB4" s="17"/>
      <c r="BC4" s="17"/>
      <c r="BD4" s="17"/>
      <c r="BE4" s="17"/>
      <c r="BF4" s="17"/>
      <c r="BG4" s="17"/>
      <c r="BH4" s="17"/>
      <c r="BI4" s="17"/>
    </row>
    <row r="5">
      <c r="A5" s="17">
        <f t="array" ref="A5:A25">SEQUENCE(21,1,0,1)</f>
        <v>0</v>
      </c>
      <c r="B5" s="59">
        <f t="array" ref="B5:BA25">B4:BA4*BB5:BB25+A5:A25*B26:BA26</f>
        <v>0</v>
      </c>
      <c r="C5" s="59">
        <v>20.0</v>
      </c>
      <c r="D5" s="59">
        <v>40.0</v>
      </c>
      <c r="E5" s="59">
        <v>60.0</v>
      </c>
      <c r="F5" s="59">
        <v>80.0</v>
      </c>
      <c r="G5" s="59">
        <v>100.0</v>
      </c>
      <c r="H5" s="59">
        <v>120.0</v>
      </c>
      <c r="I5" s="59">
        <v>140.0</v>
      </c>
      <c r="J5" s="59">
        <v>160.0</v>
      </c>
      <c r="K5" s="59">
        <v>180.0</v>
      </c>
      <c r="L5" s="59">
        <v>200.0</v>
      </c>
      <c r="M5" s="59">
        <v>220.0</v>
      </c>
      <c r="N5" s="59">
        <v>240.0</v>
      </c>
      <c r="O5" s="59">
        <v>260.0</v>
      </c>
      <c r="P5" s="59">
        <v>280.0</v>
      </c>
      <c r="Q5" s="59">
        <v>300.0</v>
      </c>
      <c r="R5" s="59">
        <v>320.0</v>
      </c>
      <c r="S5" s="59">
        <v>340.0</v>
      </c>
      <c r="T5" s="59">
        <v>360.0</v>
      </c>
      <c r="U5" s="59">
        <v>380.0</v>
      </c>
      <c r="V5" s="59">
        <v>400.0</v>
      </c>
      <c r="W5" s="59">
        <v>420.0</v>
      </c>
      <c r="X5" s="59">
        <v>440.0</v>
      </c>
      <c r="Y5" s="59">
        <v>460.0</v>
      </c>
      <c r="Z5" s="59">
        <v>480.0</v>
      </c>
      <c r="AA5" s="59">
        <v>500.0</v>
      </c>
      <c r="AB5" s="59">
        <v>520.0</v>
      </c>
      <c r="AC5" s="59">
        <v>540.0</v>
      </c>
      <c r="AD5" s="59">
        <v>560.0</v>
      </c>
      <c r="AE5" s="59">
        <v>580.0</v>
      </c>
      <c r="AF5" s="59">
        <v>600.0</v>
      </c>
      <c r="AG5" s="59">
        <v>620.0</v>
      </c>
      <c r="AH5" s="59">
        <v>640.0</v>
      </c>
      <c r="AI5" s="59">
        <v>660.0</v>
      </c>
      <c r="AJ5" s="59">
        <v>680.0</v>
      </c>
      <c r="AK5" s="59">
        <v>700.0</v>
      </c>
      <c r="AL5" s="59">
        <v>720.0</v>
      </c>
      <c r="AM5" s="59">
        <v>740.0</v>
      </c>
      <c r="AN5" s="59">
        <v>760.0</v>
      </c>
      <c r="AO5" s="59">
        <v>780.0</v>
      </c>
      <c r="AP5" s="59">
        <v>800.0</v>
      </c>
      <c r="AQ5" s="59">
        <v>820.0</v>
      </c>
      <c r="AR5" s="59">
        <v>840.0</v>
      </c>
      <c r="AS5" s="59">
        <v>860.0</v>
      </c>
      <c r="AT5" s="59">
        <v>880.0</v>
      </c>
      <c r="AU5" s="59">
        <v>900.0</v>
      </c>
      <c r="AV5" s="59">
        <v>920.0</v>
      </c>
      <c r="AW5" s="59">
        <v>940.0</v>
      </c>
      <c r="AX5" s="59">
        <v>960.0</v>
      </c>
      <c r="AY5" s="59">
        <v>980.0</v>
      </c>
      <c r="AZ5" s="59">
        <v>1000.0</v>
      </c>
      <c r="BA5" s="59">
        <v>1020.0</v>
      </c>
      <c r="BB5" s="17">
        <f t="array" ref="BB5:BB25">20-A5:A25</f>
        <v>20</v>
      </c>
    </row>
    <row r="6">
      <c r="A6" s="17">
        <v>1.0</v>
      </c>
      <c r="B6" s="59">
        <v>51.0</v>
      </c>
      <c r="C6" s="59">
        <v>69.0</v>
      </c>
      <c r="D6" s="59">
        <v>87.0</v>
      </c>
      <c r="E6" s="59">
        <v>105.0</v>
      </c>
      <c r="F6" s="59">
        <v>123.0</v>
      </c>
      <c r="G6" s="59">
        <v>141.0</v>
      </c>
      <c r="H6" s="59">
        <v>159.0</v>
      </c>
      <c r="I6" s="59">
        <v>177.0</v>
      </c>
      <c r="J6" s="59">
        <v>195.0</v>
      </c>
      <c r="K6" s="59">
        <v>213.0</v>
      </c>
      <c r="L6" s="59">
        <v>231.0</v>
      </c>
      <c r="M6" s="59">
        <v>249.0</v>
      </c>
      <c r="N6" s="59">
        <v>267.0</v>
      </c>
      <c r="O6" s="59">
        <v>285.0</v>
      </c>
      <c r="P6" s="59">
        <v>303.0</v>
      </c>
      <c r="Q6" s="59">
        <v>321.0</v>
      </c>
      <c r="R6" s="59">
        <v>339.0</v>
      </c>
      <c r="S6" s="59">
        <v>357.0</v>
      </c>
      <c r="T6" s="59">
        <v>375.0</v>
      </c>
      <c r="U6" s="59">
        <v>393.0</v>
      </c>
      <c r="V6" s="59">
        <v>411.0</v>
      </c>
      <c r="W6" s="59">
        <v>429.0</v>
      </c>
      <c r="X6" s="59">
        <v>447.0</v>
      </c>
      <c r="Y6" s="59">
        <v>465.0</v>
      </c>
      <c r="Z6" s="59">
        <v>483.0</v>
      </c>
      <c r="AA6" s="59">
        <v>501.0</v>
      </c>
      <c r="AB6" s="59">
        <v>519.0</v>
      </c>
      <c r="AC6" s="59">
        <v>537.0</v>
      </c>
      <c r="AD6" s="59">
        <v>555.0</v>
      </c>
      <c r="AE6" s="59">
        <v>573.0</v>
      </c>
      <c r="AF6" s="59">
        <v>591.0</v>
      </c>
      <c r="AG6" s="59">
        <v>609.0</v>
      </c>
      <c r="AH6" s="59">
        <v>627.0</v>
      </c>
      <c r="AI6" s="59">
        <v>645.0</v>
      </c>
      <c r="AJ6" s="59">
        <v>663.0</v>
      </c>
      <c r="AK6" s="59">
        <v>681.0</v>
      </c>
      <c r="AL6" s="59">
        <v>699.0</v>
      </c>
      <c r="AM6" s="59">
        <v>717.0</v>
      </c>
      <c r="AN6" s="59">
        <v>735.0</v>
      </c>
      <c r="AO6" s="59">
        <v>753.0</v>
      </c>
      <c r="AP6" s="59">
        <v>771.0</v>
      </c>
      <c r="AQ6" s="59">
        <v>789.0</v>
      </c>
      <c r="AR6" s="59">
        <v>807.0</v>
      </c>
      <c r="AS6" s="59">
        <v>825.0</v>
      </c>
      <c r="AT6" s="59">
        <v>843.0</v>
      </c>
      <c r="AU6" s="59">
        <v>861.0</v>
      </c>
      <c r="AV6" s="59">
        <v>879.0</v>
      </c>
      <c r="AW6" s="59">
        <v>897.0</v>
      </c>
      <c r="AX6" s="59">
        <v>915.0</v>
      </c>
      <c r="AY6" s="59">
        <v>933.0</v>
      </c>
      <c r="AZ6" s="59">
        <v>951.0</v>
      </c>
      <c r="BA6" s="59">
        <v>969.0</v>
      </c>
      <c r="BB6" s="5">
        <v>19.0</v>
      </c>
    </row>
    <row r="7">
      <c r="A7" s="17">
        <v>2.0</v>
      </c>
      <c r="B7" s="59">
        <v>102.0</v>
      </c>
      <c r="C7" s="59">
        <v>118.0</v>
      </c>
      <c r="D7" s="59">
        <v>134.0</v>
      </c>
      <c r="E7" s="59">
        <v>150.0</v>
      </c>
      <c r="F7" s="59">
        <v>166.0</v>
      </c>
      <c r="G7" s="59">
        <v>182.0</v>
      </c>
      <c r="H7" s="59">
        <v>198.0</v>
      </c>
      <c r="I7" s="59">
        <v>214.0</v>
      </c>
      <c r="J7" s="59">
        <v>230.0</v>
      </c>
      <c r="K7" s="59">
        <v>246.0</v>
      </c>
      <c r="L7" s="59">
        <v>262.0</v>
      </c>
      <c r="M7" s="59">
        <v>278.0</v>
      </c>
      <c r="N7" s="59">
        <v>294.0</v>
      </c>
      <c r="O7" s="59">
        <v>310.0</v>
      </c>
      <c r="P7" s="59">
        <v>326.0</v>
      </c>
      <c r="Q7" s="59">
        <v>342.0</v>
      </c>
      <c r="R7" s="59">
        <v>358.0</v>
      </c>
      <c r="S7" s="59">
        <v>374.0</v>
      </c>
      <c r="T7" s="59">
        <v>390.0</v>
      </c>
      <c r="U7" s="59">
        <v>406.0</v>
      </c>
      <c r="V7" s="59">
        <v>422.0</v>
      </c>
      <c r="W7" s="59">
        <v>438.0</v>
      </c>
      <c r="X7" s="59">
        <v>454.0</v>
      </c>
      <c r="Y7" s="59">
        <v>470.0</v>
      </c>
      <c r="Z7" s="59">
        <v>486.0</v>
      </c>
      <c r="AA7" s="59">
        <v>502.0</v>
      </c>
      <c r="AB7" s="59">
        <v>518.0</v>
      </c>
      <c r="AC7" s="59">
        <v>534.0</v>
      </c>
      <c r="AD7" s="59">
        <v>550.0</v>
      </c>
      <c r="AE7" s="59">
        <v>566.0</v>
      </c>
      <c r="AF7" s="59">
        <v>582.0</v>
      </c>
      <c r="AG7" s="59">
        <v>598.0</v>
      </c>
      <c r="AH7" s="59">
        <v>614.0</v>
      </c>
      <c r="AI7" s="59">
        <v>630.0</v>
      </c>
      <c r="AJ7" s="59">
        <v>646.0</v>
      </c>
      <c r="AK7" s="59">
        <v>662.0</v>
      </c>
      <c r="AL7" s="59">
        <v>678.0</v>
      </c>
      <c r="AM7" s="59">
        <v>694.0</v>
      </c>
      <c r="AN7" s="59">
        <v>710.0</v>
      </c>
      <c r="AO7" s="59">
        <v>726.0</v>
      </c>
      <c r="AP7" s="59">
        <v>742.0</v>
      </c>
      <c r="AQ7" s="59">
        <v>758.0</v>
      </c>
      <c r="AR7" s="59">
        <v>774.0</v>
      </c>
      <c r="AS7" s="59">
        <v>790.0</v>
      </c>
      <c r="AT7" s="59">
        <v>806.0</v>
      </c>
      <c r="AU7" s="59">
        <v>822.0</v>
      </c>
      <c r="AV7" s="59">
        <v>838.0</v>
      </c>
      <c r="AW7" s="59">
        <v>854.0</v>
      </c>
      <c r="AX7" s="59">
        <v>870.0</v>
      </c>
      <c r="AY7" s="59">
        <v>886.0</v>
      </c>
      <c r="AZ7" s="59">
        <v>902.0</v>
      </c>
      <c r="BA7" s="59">
        <v>918.0</v>
      </c>
      <c r="BB7" s="5">
        <v>18.0</v>
      </c>
    </row>
    <row r="8">
      <c r="A8" s="17">
        <v>3.0</v>
      </c>
      <c r="B8" s="59">
        <v>153.0</v>
      </c>
      <c r="C8" s="59">
        <v>167.0</v>
      </c>
      <c r="D8" s="59">
        <v>181.0</v>
      </c>
      <c r="E8" s="59">
        <v>195.0</v>
      </c>
      <c r="F8" s="59">
        <v>209.0</v>
      </c>
      <c r="G8" s="59">
        <v>223.0</v>
      </c>
      <c r="H8" s="59">
        <v>237.0</v>
      </c>
      <c r="I8" s="59">
        <v>251.0</v>
      </c>
      <c r="J8" s="59">
        <v>265.0</v>
      </c>
      <c r="K8" s="59">
        <v>279.0</v>
      </c>
      <c r="L8" s="59">
        <v>293.0</v>
      </c>
      <c r="M8" s="59">
        <v>307.0</v>
      </c>
      <c r="N8" s="59">
        <v>321.0</v>
      </c>
      <c r="O8" s="59">
        <v>335.0</v>
      </c>
      <c r="P8" s="59">
        <v>349.0</v>
      </c>
      <c r="Q8" s="59">
        <v>363.0</v>
      </c>
      <c r="R8" s="59">
        <v>377.0</v>
      </c>
      <c r="S8" s="59">
        <v>391.0</v>
      </c>
      <c r="T8" s="59">
        <v>405.0</v>
      </c>
      <c r="U8" s="59">
        <v>419.0</v>
      </c>
      <c r="V8" s="59">
        <v>433.0</v>
      </c>
      <c r="W8" s="59">
        <v>447.0</v>
      </c>
      <c r="X8" s="59">
        <v>461.0</v>
      </c>
      <c r="Y8" s="59">
        <v>475.0</v>
      </c>
      <c r="Z8" s="59">
        <v>489.0</v>
      </c>
      <c r="AA8" s="59">
        <v>503.0</v>
      </c>
      <c r="AB8" s="59">
        <v>517.0</v>
      </c>
      <c r="AC8" s="59">
        <v>531.0</v>
      </c>
      <c r="AD8" s="59">
        <v>545.0</v>
      </c>
      <c r="AE8" s="59">
        <v>559.0</v>
      </c>
      <c r="AF8" s="59">
        <v>573.0</v>
      </c>
      <c r="AG8" s="59">
        <v>587.0</v>
      </c>
      <c r="AH8" s="59">
        <v>601.0</v>
      </c>
      <c r="AI8" s="59">
        <v>615.0</v>
      </c>
      <c r="AJ8" s="59">
        <v>629.0</v>
      </c>
      <c r="AK8" s="59">
        <v>643.0</v>
      </c>
      <c r="AL8" s="59">
        <v>657.0</v>
      </c>
      <c r="AM8" s="59">
        <v>671.0</v>
      </c>
      <c r="AN8" s="59">
        <v>685.0</v>
      </c>
      <c r="AO8" s="59">
        <v>699.0</v>
      </c>
      <c r="AP8" s="59">
        <v>713.0</v>
      </c>
      <c r="AQ8" s="59">
        <v>727.0</v>
      </c>
      <c r="AR8" s="59">
        <v>741.0</v>
      </c>
      <c r="AS8" s="59">
        <v>755.0</v>
      </c>
      <c r="AT8" s="59">
        <v>769.0</v>
      </c>
      <c r="AU8" s="59">
        <v>783.0</v>
      </c>
      <c r="AV8" s="59">
        <v>797.0</v>
      </c>
      <c r="AW8" s="59">
        <v>811.0</v>
      </c>
      <c r="AX8" s="59">
        <v>825.0</v>
      </c>
      <c r="AY8" s="59">
        <v>839.0</v>
      </c>
      <c r="AZ8" s="59">
        <v>853.0</v>
      </c>
      <c r="BA8" s="59">
        <v>867.0</v>
      </c>
      <c r="BB8" s="5">
        <v>17.0</v>
      </c>
    </row>
    <row r="9">
      <c r="A9" s="17">
        <v>4.0</v>
      </c>
      <c r="B9" s="59">
        <v>204.0</v>
      </c>
      <c r="C9" s="59">
        <v>216.0</v>
      </c>
      <c r="D9" s="59">
        <v>228.0</v>
      </c>
      <c r="E9" s="59">
        <v>240.0</v>
      </c>
      <c r="F9" s="59">
        <v>252.0</v>
      </c>
      <c r="G9" s="59">
        <v>264.0</v>
      </c>
      <c r="H9" s="59">
        <v>276.0</v>
      </c>
      <c r="I9" s="59">
        <v>288.0</v>
      </c>
      <c r="J9" s="59">
        <v>300.0</v>
      </c>
      <c r="K9" s="59">
        <v>312.0</v>
      </c>
      <c r="L9" s="59">
        <v>324.0</v>
      </c>
      <c r="M9" s="59">
        <v>336.0</v>
      </c>
      <c r="N9" s="59">
        <v>348.0</v>
      </c>
      <c r="O9" s="59">
        <v>360.0</v>
      </c>
      <c r="P9" s="59">
        <v>372.0</v>
      </c>
      <c r="Q9" s="59">
        <v>384.0</v>
      </c>
      <c r="R9" s="59">
        <v>396.0</v>
      </c>
      <c r="S9" s="59">
        <v>408.0</v>
      </c>
      <c r="T9" s="59">
        <v>420.0</v>
      </c>
      <c r="U9" s="59">
        <v>432.0</v>
      </c>
      <c r="V9" s="59">
        <v>444.0</v>
      </c>
      <c r="W9" s="59">
        <v>456.0</v>
      </c>
      <c r="X9" s="59">
        <v>468.0</v>
      </c>
      <c r="Y9" s="59">
        <v>480.0</v>
      </c>
      <c r="Z9" s="59">
        <v>492.0</v>
      </c>
      <c r="AA9" s="59">
        <v>504.0</v>
      </c>
      <c r="AB9" s="59">
        <v>516.0</v>
      </c>
      <c r="AC9" s="59">
        <v>528.0</v>
      </c>
      <c r="AD9" s="59">
        <v>540.0</v>
      </c>
      <c r="AE9" s="59">
        <v>552.0</v>
      </c>
      <c r="AF9" s="59">
        <v>564.0</v>
      </c>
      <c r="AG9" s="59">
        <v>576.0</v>
      </c>
      <c r="AH9" s="59">
        <v>588.0</v>
      </c>
      <c r="AI9" s="59">
        <v>600.0</v>
      </c>
      <c r="AJ9" s="59">
        <v>612.0</v>
      </c>
      <c r="AK9" s="59">
        <v>624.0</v>
      </c>
      <c r="AL9" s="59">
        <v>636.0</v>
      </c>
      <c r="AM9" s="59">
        <v>648.0</v>
      </c>
      <c r="AN9" s="59">
        <v>660.0</v>
      </c>
      <c r="AO9" s="59">
        <v>672.0</v>
      </c>
      <c r="AP9" s="59">
        <v>684.0</v>
      </c>
      <c r="AQ9" s="59">
        <v>696.0</v>
      </c>
      <c r="AR9" s="59">
        <v>708.0</v>
      </c>
      <c r="AS9" s="59">
        <v>720.0</v>
      </c>
      <c r="AT9" s="59">
        <v>732.0</v>
      </c>
      <c r="AU9" s="59">
        <v>744.0</v>
      </c>
      <c r="AV9" s="59">
        <v>756.0</v>
      </c>
      <c r="AW9" s="59">
        <v>768.0</v>
      </c>
      <c r="AX9" s="59">
        <v>780.0</v>
      </c>
      <c r="AY9" s="59">
        <v>792.0</v>
      </c>
      <c r="AZ9" s="59">
        <v>804.0</v>
      </c>
      <c r="BA9" s="59">
        <v>816.0</v>
      </c>
      <c r="BB9" s="5">
        <v>16.0</v>
      </c>
    </row>
    <row r="10">
      <c r="A10" s="17">
        <v>5.0</v>
      </c>
      <c r="B10" s="59">
        <v>255.0</v>
      </c>
      <c r="C10" s="59">
        <v>265.0</v>
      </c>
      <c r="D10" s="59">
        <v>275.0</v>
      </c>
      <c r="E10" s="59">
        <v>285.0</v>
      </c>
      <c r="F10" s="59">
        <v>295.0</v>
      </c>
      <c r="G10" s="59">
        <v>305.0</v>
      </c>
      <c r="H10" s="59">
        <v>315.0</v>
      </c>
      <c r="I10" s="59">
        <v>325.0</v>
      </c>
      <c r="J10" s="59">
        <v>335.0</v>
      </c>
      <c r="K10" s="59">
        <v>345.0</v>
      </c>
      <c r="L10" s="59">
        <v>355.0</v>
      </c>
      <c r="M10" s="59">
        <v>365.0</v>
      </c>
      <c r="N10" s="59">
        <v>375.0</v>
      </c>
      <c r="O10" s="59">
        <v>385.0</v>
      </c>
      <c r="P10" s="59">
        <v>395.0</v>
      </c>
      <c r="Q10" s="59">
        <v>405.0</v>
      </c>
      <c r="R10" s="59">
        <v>415.0</v>
      </c>
      <c r="S10" s="59">
        <v>425.0</v>
      </c>
      <c r="T10" s="59">
        <v>435.0</v>
      </c>
      <c r="U10" s="59">
        <v>445.0</v>
      </c>
      <c r="V10" s="59">
        <v>455.0</v>
      </c>
      <c r="W10" s="59">
        <v>465.0</v>
      </c>
      <c r="X10" s="59">
        <v>475.0</v>
      </c>
      <c r="Y10" s="59">
        <v>485.0</v>
      </c>
      <c r="Z10" s="59">
        <v>495.0</v>
      </c>
      <c r="AA10" s="59">
        <v>505.0</v>
      </c>
      <c r="AB10" s="59">
        <v>515.0</v>
      </c>
      <c r="AC10" s="59">
        <v>525.0</v>
      </c>
      <c r="AD10" s="59">
        <v>535.0</v>
      </c>
      <c r="AE10" s="59">
        <v>545.0</v>
      </c>
      <c r="AF10" s="59">
        <v>555.0</v>
      </c>
      <c r="AG10" s="59">
        <v>565.0</v>
      </c>
      <c r="AH10" s="59">
        <v>575.0</v>
      </c>
      <c r="AI10" s="59">
        <v>585.0</v>
      </c>
      <c r="AJ10" s="59">
        <v>595.0</v>
      </c>
      <c r="AK10" s="59">
        <v>605.0</v>
      </c>
      <c r="AL10" s="59">
        <v>615.0</v>
      </c>
      <c r="AM10" s="59">
        <v>625.0</v>
      </c>
      <c r="AN10" s="59">
        <v>635.0</v>
      </c>
      <c r="AO10" s="59">
        <v>645.0</v>
      </c>
      <c r="AP10" s="59">
        <v>655.0</v>
      </c>
      <c r="AQ10" s="59">
        <v>665.0</v>
      </c>
      <c r="AR10" s="59">
        <v>675.0</v>
      </c>
      <c r="AS10" s="59">
        <v>685.0</v>
      </c>
      <c r="AT10" s="59">
        <v>695.0</v>
      </c>
      <c r="AU10" s="59">
        <v>705.0</v>
      </c>
      <c r="AV10" s="59">
        <v>715.0</v>
      </c>
      <c r="AW10" s="59">
        <v>725.0</v>
      </c>
      <c r="AX10" s="59">
        <v>735.0</v>
      </c>
      <c r="AY10" s="59">
        <v>745.0</v>
      </c>
      <c r="AZ10" s="59">
        <v>755.0</v>
      </c>
      <c r="BA10" s="59">
        <v>765.0</v>
      </c>
      <c r="BB10" s="5">
        <v>15.0</v>
      </c>
    </row>
    <row r="11">
      <c r="A11" s="17">
        <v>6.0</v>
      </c>
      <c r="B11" s="59">
        <v>306.0</v>
      </c>
      <c r="C11" s="59">
        <v>314.0</v>
      </c>
      <c r="D11" s="59">
        <v>322.0</v>
      </c>
      <c r="E11" s="59">
        <v>330.0</v>
      </c>
      <c r="F11" s="59">
        <v>338.0</v>
      </c>
      <c r="G11" s="59">
        <v>346.0</v>
      </c>
      <c r="H11" s="59">
        <v>354.0</v>
      </c>
      <c r="I11" s="59">
        <v>362.0</v>
      </c>
      <c r="J11" s="59">
        <v>370.0</v>
      </c>
      <c r="K11" s="59">
        <v>378.0</v>
      </c>
      <c r="L11" s="59">
        <v>386.0</v>
      </c>
      <c r="M11" s="59">
        <v>394.0</v>
      </c>
      <c r="N11" s="59">
        <v>402.0</v>
      </c>
      <c r="O11" s="59">
        <v>410.0</v>
      </c>
      <c r="P11" s="59">
        <v>418.0</v>
      </c>
      <c r="Q11" s="59">
        <v>426.0</v>
      </c>
      <c r="R11" s="59">
        <v>434.0</v>
      </c>
      <c r="S11" s="59">
        <v>442.0</v>
      </c>
      <c r="T11" s="59">
        <v>450.0</v>
      </c>
      <c r="U11" s="59">
        <v>458.0</v>
      </c>
      <c r="V11" s="59">
        <v>466.0</v>
      </c>
      <c r="W11" s="59">
        <v>474.0</v>
      </c>
      <c r="X11" s="59">
        <v>482.0</v>
      </c>
      <c r="Y11" s="59">
        <v>490.0</v>
      </c>
      <c r="Z11" s="59">
        <v>498.0</v>
      </c>
      <c r="AA11" s="59">
        <v>506.0</v>
      </c>
      <c r="AB11" s="59">
        <v>514.0</v>
      </c>
      <c r="AC11" s="59">
        <v>522.0</v>
      </c>
      <c r="AD11" s="59">
        <v>530.0</v>
      </c>
      <c r="AE11" s="59">
        <v>538.0</v>
      </c>
      <c r="AF11" s="59">
        <v>546.0</v>
      </c>
      <c r="AG11" s="59">
        <v>554.0</v>
      </c>
      <c r="AH11" s="59">
        <v>562.0</v>
      </c>
      <c r="AI11" s="59">
        <v>570.0</v>
      </c>
      <c r="AJ11" s="59">
        <v>578.0</v>
      </c>
      <c r="AK11" s="59">
        <v>586.0</v>
      </c>
      <c r="AL11" s="59">
        <v>594.0</v>
      </c>
      <c r="AM11" s="59">
        <v>602.0</v>
      </c>
      <c r="AN11" s="59">
        <v>610.0</v>
      </c>
      <c r="AO11" s="59">
        <v>618.0</v>
      </c>
      <c r="AP11" s="59">
        <v>626.0</v>
      </c>
      <c r="AQ11" s="59">
        <v>634.0</v>
      </c>
      <c r="AR11" s="59">
        <v>642.0</v>
      </c>
      <c r="AS11" s="59">
        <v>650.0</v>
      </c>
      <c r="AT11" s="59">
        <v>658.0</v>
      </c>
      <c r="AU11" s="59">
        <v>666.0</v>
      </c>
      <c r="AV11" s="59">
        <v>674.0</v>
      </c>
      <c r="AW11" s="59">
        <v>682.0</v>
      </c>
      <c r="AX11" s="59">
        <v>690.0</v>
      </c>
      <c r="AY11" s="59">
        <v>698.0</v>
      </c>
      <c r="AZ11" s="59">
        <v>706.0</v>
      </c>
      <c r="BA11" s="59">
        <v>714.0</v>
      </c>
      <c r="BB11" s="5">
        <v>14.0</v>
      </c>
    </row>
    <row r="12">
      <c r="A12" s="17">
        <v>7.0</v>
      </c>
      <c r="B12" s="59">
        <v>357.0</v>
      </c>
      <c r="C12" s="59">
        <v>363.0</v>
      </c>
      <c r="D12" s="59">
        <v>369.0</v>
      </c>
      <c r="E12" s="59">
        <v>375.0</v>
      </c>
      <c r="F12" s="59">
        <v>381.0</v>
      </c>
      <c r="G12" s="59">
        <v>387.0</v>
      </c>
      <c r="H12" s="59">
        <v>393.0</v>
      </c>
      <c r="I12" s="59">
        <v>399.0</v>
      </c>
      <c r="J12" s="59">
        <v>405.0</v>
      </c>
      <c r="K12" s="59">
        <v>411.0</v>
      </c>
      <c r="L12" s="59">
        <v>417.0</v>
      </c>
      <c r="M12" s="59">
        <v>423.0</v>
      </c>
      <c r="N12" s="59">
        <v>429.0</v>
      </c>
      <c r="O12" s="59">
        <v>435.0</v>
      </c>
      <c r="P12" s="59">
        <v>441.0</v>
      </c>
      <c r="Q12" s="59">
        <v>447.0</v>
      </c>
      <c r="R12" s="59">
        <v>453.0</v>
      </c>
      <c r="S12" s="59">
        <v>459.0</v>
      </c>
      <c r="T12" s="59">
        <v>465.0</v>
      </c>
      <c r="U12" s="59">
        <v>471.0</v>
      </c>
      <c r="V12" s="59">
        <v>477.0</v>
      </c>
      <c r="W12" s="59">
        <v>483.0</v>
      </c>
      <c r="X12" s="59">
        <v>489.0</v>
      </c>
      <c r="Y12" s="59">
        <v>495.0</v>
      </c>
      <c r="Z12" s="24">
        <v>501.0</v>
      </c>
      <c r="AA12" s="5">
        <v>507.0</v>
      </c>
      <c r="AB12" s="5">
        <v>513.0</v>
      </c>
      <c r="AC12" s="24">
        <v>519.0</v>
      </c>
      <c r="AD12" s="59">
        <v>525.0</v>
      </c>
      <c r="AE12" s="59">
        <v>531.0</v>
      </c>
      <c r="AF12" s="59">
        <v>537.0</v>
      </c>
      <c r="AG12" s="59">
        <v>543.0</v>
      </c>
      <c r="AH12" s="59">
        <v>549.0</v>
      </c>
      <c r="AI12" s="59">
        <v>555.0</v>
      </c>
      <c r="AJ12" s="59">
        <v>561.0</v>
      </c>
      <c r="AK12" s="59">
        <v>567.0</v>
      </c>
      <c r="AL12" s="59">
        <v>573.0</v>
      </c>
      <c r="AM12" s="59">
        <v>579.0</v>
      </c>
      <c r="AN12" s="59">
        <v>585.0</v>
      </c>
      <c r="AO12" s="59">
        <v>591.0</v>
      </c>
      <c r="AP12" s="59">
        <v>597.0</v>
      </c>
      <c r="AQ12" s="59">
        <v>603.0</v>
      </c>
      <c r="AR12" s="59">
        <v>609.0</v>
      </c>
      <c r="AS12" s="59">
        <v>615.0</v>
      </c>
      <c r="AT12" s="59">
        <v>621.0</v>
      </c>
      <c r="AU12" s="59">
        <v>627.0</v>
      </c>
      <c r="AV12" s="59">
        <v>633.0</v>
      </c>
      <c r="AW12" s="59">
        <v>639.0</v>
      </c>
      <c r="AX12" s="59">
        <v>645.0</v>
      </c>
      <c r="AY12" s="59">
        <v>651.0</v>
      </c>
      <c r="AZ12" s="59">
        <v>657.0</v>
      </c>
      <c r="BA12" s="59">
        <v>663.0</v>
      </c>
      <c r="BB12" s="5">
        <v>13.0</v>
      </c>
    </row>
    <row r="13">
      <c r="A13" s="17">
        <v>8.0</v>
      </c>
      <c r="B13" s="59">
        <v>408.0</v>
      </c>
      <c r="C13" s="59">
        <v>412.0</v>
      </c>
      <c r="D13" s="59">
        <v>416.0</v>
      </c>
      <c r="E13" s="59">
        <v>420.0</v>
      </c>
      <c r="F13" s="59">
        <v>424.0</v>
      </c>
      <c r="G13" s="59">
        <v>428.0</v>
      </c>
      <c r="H13" s="59">
        <v>432.0</v>
      </c>
      <c r="I13" s="59">
        <v>436.0</v>
      </c>
      <c r="J13" s="59">
        <v>440.0</v>
      </c>
      <c r="K13" s="59">
        <v>444.0</v>
      </c>
      <c r="L13" s="59">
        <v>448.0</v>
      </c>
      <c r="M13" s="59">
        <v>452.0</v>
      </c>
      <c r="N13" s="59">
        <v>456.0</v>
      </c>
      <c r="O13" s="59">
        <v>460.0</v>
      </c>
      <c r="P13" s="59">
        <v>464.0</v>
      </c>
      <c r="Q13" s="59">
        <v>468.0</v>
      </c>
      <c r="R13" s="59">
        <v>472.0</v>
      </c>
      <c r="S13" s="59">
        <v>476.0</v>
      </c>
      <c r="T13" s="59">
        <v>480.0</v>
      </c>
      <c r="U13" s="59">
        <v>484.0</v>
      </c>
      <c r="V13" s="59">
        <v>488.0</v>
      </c>
      <c r="W13" s="59">
        <v>492.0</v>
      </c>
      <c r="X13" s="15">
        <v>496.0</v>
      </c>
      <c r="Y13" s="5">
        <v>500.0</v>
      </c>
      <c r="Z13" s="5">
        <v>504.0</v>
      </c>
      <c r="AA13" s="5">
        <v>508.0</v>
      </c>
      <c r="AB13" s="5">
        <v>512.0</v>
      </c>
      <c r="AC13" s="5">
        <v>516.0</v>
      </c>
      <c r="AD13" s="5">
        <v>520.0</v>
      </c>
      <c r="AE13" s="24">
        <v>524.0</v>
      </c>
      <c r="AF13" s="59">
        <v>528.0</v>
      </c>
      <c r="AG13" s="59">
        <v>532.0</v>
      </c>
      <c r="AH13" s="59">
        <v>536.0</v>
      </c>
      <c r="AI13" s="59">
        <v>540.0</v>
      </c>
      <c r="AJ13" s="59">
        <v>544.0</v>
      </c>
      <c r="AK13" s="59">
        <v>548.0</v>
      </c>
      <c r="AL13" s="59">
        <v>552.0</v>
      </c>
      <c r="AM13" s="59">
        <v>556.0</v>
      </c>
      <c r="AN13" s="59">
        <v>560.0</v>
      </c>
      <c r="AO13" s="59">
        <v>564.0</v>
      </c>
      <c r="AP13" s="59">
        <v>568.0</v>
      </c>
      <c r="AQ13" s="59">
        <v>572.0</v>
      </c>
      <c r="AR13" s="59">
        <v>576.0</v>
      </c>
      <c r="AS13" s="59">
        <v>580.0</v>
      </c>
      <c r="AT13" s="59">
        <v>584.0</v>
      </c>
      <c r="AU13" s="59">
        <v>588.0</v>
      </c>
      <c r="AV13" s="59">
        <v>592.0</v>
      </c>
      <c r="AW13" s="59">
        <v>596.0</v>
      </c>
      <c r="AX13" s="59">
        <v>600.0</v>
      </c>
      <c r="AY13" s="59">
        <v>604.0</v>
      </c>
      <c r="AZ13" s="59">
        <v>608.0</v>
      </c>
      <c r="BA13" s="59">
        <v>612.0</v>
      </c>
      <c r="BB13" s="5">
        <v>12.0</v>
      </c>
    </row>
    <row r="14">
      <c r="A14" s="17">
        <v>9.0</v>
      </c>
      <c r="B14" s="59">
        <v>459.0</v>
      </c>
      <c r="C14" s="59">
        <v>461.0</v>
      </c>
      <c r="D14" s="59">
        <v>463.0</v>
      </c>
      <c r="E14" s="59">
        <v>465.0</v>
      </c>
      <c r="F14" s="59">
        <v>467.0</v>
      </c>
      <c r="G14" s="59">
        <v>469.0</v>
      </c>
      <c r="H14" s="59">
        <v>471.0</v>
      </c>
      <c r="I14" s="59">
        <v>473.0</v>
      </c>
      <c r="J14" s="59">
        <v>475.0</v>
      </c>
      <c r="K14" s="59">
        <v>477.0</v>
      </c>
      <c r="L14" s="59">
        <v>479.0</v>
      </c>
      <c r="M14" s="59">
        <v>481.0</v>
      </c>
      <c r="N14" s="59">
        <v>483.0</v>
      </c>
      <c r="O14" s="59">
        <v>485.0</v>
      </c>
      <c r="P14" s="59">
        <v>487.0</v>
      </c>
      <c r="Q14" s="59">
        <v>489.0</v>
      </c>
      <c r="R14" s="59">
        <v>491.0</v>
      </c>
      <c r="S14" s="59">
        <v>493.0</v>
      </c>
      <c r="T14" s="59">
        <v>495.0</v>
      </c>
      <c r="U14" s="59">
        <v>497.0</v>
      </c>
      <c r="V14" s="24">
        <v>499.0</v>
      </c>
      <c r="W14" s="5">
        <v>501.0</v>
      </c>
      <c r="X14" s="5">
        <v>503.0</v>
      </c>
      <c r="Y14" s="5">
        <v>505.0</v>
      </c>
      <c r="Z14" s="5">
        <v>507.0</v>
      </c>
      <c r="AA14" s="5">
        <v>509.0</v>
      </c>
      <c r="AB14" s="5">
        <v>511.0</v>
      </c>
      <c r="AC14" s="5">
        <v>513.0</v>
      </c>
      <c r="AD14" s="5">
        <v>515.0</v>
      </c>
      <c r="AE14" s="5">
        <v>517.0</v>
      </c>
      <c r="AF14" s="5">
        <v>519.0</v>
      </c>
      <c r="AG14" s="24">
        <v>521.0</v>
      </c>
      <c r="AH14" s="59">
        <v>523.0</v>
      </c>
      <c r="AI14" s="59">
        <v>525.0</v>
      </c>
      <c r="AJ14" s="59">
        <v>527.0</v>
      </c>
      <c r="AK14" s="59">
        <v>529.0</v>
      </c>
      <c r="AL14" s="59">
        <v>531.0</v>
      </c>
      <c r="AM14" s="59">
        <v>533.0</v>
      </c>
      <c r="AN14" s="59">
        <v>535.0</v>
      </c>
      <c r="AO14" s="59">
        <v>537.0</v>
      </c>
      <c r="AP14" s="59">
        <v>539.0</v>
      </c>
      <c r="AQ14" s="59">
        <v>541.0</v>
      </c>
      <c r="AR14" s="59">
        <v>543.0</v>
      </c>
      <c r="AS14" s="59">
        <v>545.0</v>
      </c>
      <c r="AT14" s="59">
        <v>547.0</v>
      </c>
      <c r="AU14" s="59">
        <v>549.0</v>
      </c>
      <c r="AV14" s="59">
        <v>551.0</v>
      </c>
      <c r="AW14" s="59">
        <v>553.0</v>
      </c>
      <c r="AX14" s="59">
        <v>555.0</v>
      </c>
      <c r="AY14" s="59">
        <v>557.0</v>
      </c>
      <c r="AZ14" s="59">
        <v>559.0</v>
      </c>
      <c r="BA14" s="59">
        <v>561.0</v>
      </c>
      <c r="BB14" s="5">
        <v>11.0</v>
      </c>
    </row>
    <row r="15">
      <c r="A15" s="17">
        <v>10.0</v>
      </c>
      <c r="B15" s="59">
        <v>510.0</v>
      </c>
      <c r="C15" s="59">
        <v>510.0</v>
      </c>
      <c r="D15" s="59">
        <v>510.0</v>
      </c>
      <c r="E15" s="59">
        <v>510.0</v>
      </c>
      <c r="F15" s="59">
        <v>510.0</v>
      </c>
      <c r="G15" s="59">
        <v>510.0</v>
      </c>
      <c r="H15" s="59">
        <v>510.0</v>
      </c>
      <c r="I15" s="59">
        <v>510.0</v>
      </c>
      <c r="J15" s="59">
        <v>510.0</v>
      </c>
      <c r="K15" s="59">
        <v>510.0</v>
      </c>
      <c r="L15" s="59">
        <v>510.0</v>
      </c>
      <c r="M15" s="59">
        <v>510.0</v>
      </c>
      <c r="N15" s="59">
        <v>510.0</v>
      </c>
      <c r="O15" s="59">
        <v>510.0</v>
      </c>
      <c r="P15" s="59">
        <v>510.0</v>
      </c>
      <c r="Q15" s="59">
        <v>510.0</v>
      </c>
      <c r="R15" s="59">
        <v>510.0</v>
      </c>
      <c r="S15" s="59">
        <v>510.0</v>
      </c>
      <c r="T15" s="24">
        <v>510.0</v>
      </c>
      <c r="U15" s="5">
        <v>510.0</v>
      </c>
      <c r="V15" s="5">
        <v>510.0</v>
      </c>
      <c r="W15" s="5">
        <v>510.0</v>
      </c>
      <c r="X15" s="5">
        <v>510.0</v>
      </c>
      <c r="Y15" s="5">
        <v>510.0</v>
      </c>
      <c r="Z15" s="5">
        <v>510.0</v>
      </c>
      <c r="AA15" s="5">
        <v>510.0</v>
      </c>
      <c r="AB15" s="5">
        <v>510.0</v>
      </c>
      <c r="AC15" s="5">
        <v>510.0</v>
      </c>
      <c r="AD15" s="5">
        <v>510.0</v>
      </c>
      <c r="AE15" s="5">
        <v>510.0</v>
      </c>
      <c r="AF15" s="5">
        <v>510.0</v>
      </c>
      <c r="AG15" s="5">
        <v>510.0</v>
      </c>
      <c r="AH15" s="5">
        <v>510.0</v>
      </c>
      <c r="AI15" s="24">
        <v>510.0</v>
      </c>
      <c r="AJ15" s="59">
        <v>510.0</v>
      </c>
      <c r="AK15" s="59">
        <v>510.0</v>
      </c>
      <c r="AL15" s="59">
        <v>510.0</v>
      </c>
      <c r="AM15" s="59">
        <v>510.0</v>
      </c>
      <c r="AN15" s="59">
        <v>510.0</v>
      </c>
      <c r="AO15" s="59">
        <v>510.0</v>
      </c>
      <c r="AP15" s="59">
        <v>510.0</v>
      </c>
      <c r="AQ15" s="59">
        <v>510.0</v>
      </c>
      <c r="AR15" s="59">
        <v>510.0</v>
      </c>
      <c r="AS15" s="59">
        <v>510.0</v>
      </c>
      <c r="AT15" s="59">
        <v>510.0</v>
      </c>
      <c r="AU15" s="59">
        <v>510.0</v>
      </c>
      <c r="AV15" s="59">
        <v>510.0</v>
      </c>
      <c r="AW15" s="59">
        <v>510.0</v>
      </c>
      <c r="AX15" s="59">
        <v>510.0</v>
      </c>
      <c r="AY15" s="59">
        <v>510.0</v>
      </c>
      <c r="AZ15" s="59">
        <v>510.0</v>
      </c>
      <c r="BA15" s="59">
        <v>510.0</v>
      </c>
      <c r="BB15" s="5">
        <v>10.0</v>
      </c>
    </row>
    <row r="16">
      <c r="A16" s="17">
        <v>11.0</v>
      </c>
      <c r="B16" s="59">
        <v>561.0</v>
      </c>
      <c r="C16" s="59">
        <v>559.0</v>
      </c>
      <c r="D16" s="59">
        <v>557.0</v>
      </c>
      <c r="E16" s="59">
        <v>555.0</v>
      </c>
      <c r="F16" s="59">
        <v>553.0</v>
      </c>
      <c r="G16" s="59">
        <v>551.0</v>
      </c>
      <c r="H16" s="59">
        <v>549.0</v>
      </c>
      <c r="I16" s="59">
        <v>547.0</v>
      </c>
      <c r="J16" s="59">
        <v>545.0</v>
      </c>
      <c r="K16" s="59">
        <v>543.0</v>
      </c>
      <c r="L16" s="59">
        <v>541.0</v>
      </c>
      <c r="M16" s="59">
        <v>539.0</v>
      </c>
      <c r="N16" s="59">
        <v>537.0</v>
      </c>
      <c r="O16" s="59">
        <v>535.0</v>
      </c>
      <c r="P16" s="59">
        <v>533.0</v>
      </c>
      <c r="Q16" s="59">
        <v>531.0</v>
      </c>
      <c r="R16" s="59">
        <v>529.0</v>
      </c>
      <c r="S16" s="59">
        <v>527.0</v>
      </c>
      <c r="T16" s="59">
        <v>525.0</v>
      </c>
      <c r="U16" s="59">
        <v>523.0</v>
      </c>
      <c r="V16" s="24">
        <v>521.0</v>
      </c>
      <c r="W16" s="5">
        <v>519.0</v>
      </c>
      <c r="X16" s="5">
        <v>517.0</v>
      </c>
      <c r="Y16" s="5">
        <v>515.0</v>
      </c>
      <c r="Z16" s="5">
        <v>513.0</v>
      </c>
      <c r="AA16" s="5">
        <v>511.0</v>
      </c>
      <c r="AB16" s="5">
        <v>509.0</v>
      </c>
      <c r="AC16" s="5">
        <v>507.0</v>
      </c>
      <c r="AD16" s="5">
        <v>505.0</v>
      </c>
      <c r="AE16" s="5">
        <v>503.0</v>
      </c>
      <c r="AF16" s="5">
        <v>501.0</v>
      </c>
      <c r="AG16" s="24">
        <v>499.0</v>
      </c>
      <c r="AH16" s="59">
        <v>497.0</v>
      </c>
      <c r="AI16" s="59">
        <v>495.0</v>
      </c>
      <c r="AJ16" s="59">
        <v>493.0</v>
      </c>
      <c r="AK16" s="59">
        <v>491.0</v>
      </c>
      <c r="AL16" s="59">
        <v>489.0</v>
      </c>
      <c r="AM16" s="59">
        <v>487.0</v>
      </c>
      <c r="AN16" s="59">
        <v>485.0</v>
      </c>
      <c r="AO16" s="59">
        <v>483.0</v>
      </c>
      <c r="AP16" s="59">
        <v>481.0</v>
      </c>
      <c r="AQ16" s="59">
        <v>479.0</v>
      </c>
      <c r="AR16" s="59">
        <v>477.0</v>
      </c>
      <c r="AS16" s="59">
        <v>475.0</v>
      </c>
      <c r="AT16" s="59">
        <v>473.0</v>
      </c>
      <c r="AU16" s="59">
        <v>471.0</v>
      </c>
      <c r="AV16" s="59">
        <v>469.0</v>
      </c>
      <c r="AW16" s="59">
        <v>467.0</v>
      </c>
      <c r="AX16" s="59">
        <v>465.0</v>
      </c>
      <c r="AY16" s="59">
        <v>463.0</v>
      </c>
      <c r="AZ16" s="59">
        <v>461.0</v>
      </c>
      <c r="BA16" s="59">
        <v>459.0</v>
      </c>
      <c r="BB16" s="5">
        <v>9.0</v>
      </c>
    </row>
    <row r="17">
      <c r="A17" s="17">
        <v>12.0</v>
      </c>
      <c r="B17" s="59">
        <v>612.0</v>
      </c>
      <c r="C17" s="59">
        <v>608.0</v>
      </c>
      <c r="D17" s="59">
        <v>604.0</v>
      </c>
      <c r="E17" s="59">
        <v>600.0</v>
      </c>
      <c r="F17" s="59">
        <v>596.0</v>
      </c>
      <c r="G17" s="59">
        <v>592.0</v>
      </c>
      <c r="H17" s="59">
        <v>588.0</v>
      </c>
      <c r="I17" s="59">
        <v>584.0</v>
      </c>
      <c r="J17" s="59">
        <v>580.0</v>
      </c>
      <c r="K17" s="59">
        <v>576.0</v>
      </c>
      <c r="L17" s="59">
        <v>572.0</v>
      </c>
      <c r="M17" s="59">
        <v>568.0</v>
      </c>
      <c r="N17" s="59">
        <v>564.0</v>
      </c>
      <c r="O17" s="59">
        <v>560.0</v>
      </c>
      <c r="P17" s="59">
        <v>556.0</v>
      </c>
      <c r="Q17" s="59">
        <v>552.0</v>
      </c>
      <c r="R17" s="59">
        <v>548.0</v>
      </c>
      <c r="S17" s="59">
        <v>544.0</v>
      </c>
      <c r="T17" s="59">
        <v>540.0</v>
      </c>
      <c r="U17" s="59">
        <v>536.0</v>
      </c>
      <c r="V17" s="59">
        <v>532.0</v>
      </c>
      <c r="W17" s="59">
        <v>528.0</v>
      </c>
      <c r="X17" s="24">
        <v>524.0</v>
      </c>
      <c r="Y17" s="5">
        <v>520.0</v>
      </c>
      <c r="Z17" s="5">
        <v>516.0</v>
      </c>
      <c r="AA17" s="5">
        <v>512.0</v>
      </c>
      <c r="AB17" s="5">
        <v>508.0</v>
      </c>
      <c r="AC17" s="5">
        <v>504.0</v>
      </c>
      <c r="AD17" s="5">
        <v>500.0</v>
      </c>
      <c r="AE17" s="15">
        <v>496.0</v>
      </c>
      <c r="AF17" s="59">
        <v>492.0</v>
      </c>
      <c r="AG17" s="59">
        <v>488.0</v>
      </c>
      <c r="AH17" s="59">
        <v>484.0</v>
      </c>
      <c r="AI17" s="59">
        <v>480.0</v>
      </c>
      <c r="AJ17" s="59">
        <v>476.0</v>
      </c>
      <c r="AK17" s="59">
        <v>472.0</v>
      </c>
      <c r="AL17" s="59">
        <v>468.0</v>
      </c>
      <c r="AM17" s="59">
        <v>464.0</v>
      </c>
      <c r="AN17" s="59">
        <v>460.0</v>
      </c>
      <c r="AO17" s="59">
        <v>456.0</v>
      </c>
      <c r="AP17" s="59">
        <v>452.0</v>
      </c>
      <c r="AQ17" s="59">
        <v>448.0</v>
      </c>
      <c r="AR17" s="59">
        <v>444.0</v>
      </c>
      <c r="AS17" s="59">
        <v>440.0</v>
      </c>
      <c r="AT17" s="59">
        <v>436.0</v>
      </c>
      <c r="AU17" s="59">
        <v>432.0</v>
      </c>
      <c r="AV17" s="59">
        <v>428.0</v>
      </c>
      <c r="AW17" s="59">
        <v>424.0</v>
      </c>
      <c r="AX17" s="59">
        <v>420.0</v>
      </c>
      <c r="AY17" s="59">
        <v>416.0</v>
      </c>
      <c r="AZ17" s="59">
        <v>412.0</v>
      </c>
      <c r="BA17" s="59">
        <v>408.0</v>
      </c>
      <c r="BB17" s="5">
        <v>8.0</v>
      </c>
    </row>
    <row r="18">
      <c r="A18" s="17">
        <v>13.0</v>
      </c>
      <c r="B18" s="59">
        <v>663.0</v>
      </c>
      <c r="C18" s="59">
        <v>657.0</v>
      </c>
      <c r="D18" s="59">
        <v>651.0</v>
      </c>
      <c r="E18" s="59">
        <v>645.0</v>
      </c>
      <c r="F18" s="59">
        <v>639.0</v>
      </c>
      <c r="G18" s="59">
        <v>633.0</v>
      </c>
      <c r="H18" s="59">
        <v>627.0</v>
      </c>
      <c r="I18" s="59">
        <v>621.0</v>
      </c>
      <c r="J18" s="59">
        <v>615.0</v>
      </c>
      <c r="K18" s="59">
        <v>609.0</v>
      </c>
      <c r="L18" s="59">
        <v>603.0</v>
      </c>
      <c r="M18" s="59">
        <v>597.0</v>
      </c>
      <c r="N18" s="59">
        <v>591.0</v>
      </c>
      <c r="O18" s="59">
        <v>585.0</v>
      </c>
      <c r="P18" s="59">
        <v>579.0</v>
      </c>
      <c r="Q18" s="59">
        <v>573.0</v>
      </c>
      <c r="R18" s="59">
        <v>567.0</v>
      </c>
      <c r="S18" s="59">
        <v>561.0</v>
      </c>
      <c r="T18" s="59">
        <v>555.0</v>
      </c>
      <c r="U18" s="59">
        <v>549.0</v>
      </c>
      <c r="V18" s="59">
        <v>543.0</v>
      </c>
      <c r="W18" s="59">
        <v>537.0</v>
      </c>
      <c r="X18" s="59">
        <v>531.0</v>
      </c>
      <c r="Y18" s="59">
        <v>525.0</v>
      </c>
      <c r="Z18" s="24">
        <v>519.0</v>
      </c>
      <c r="AA18" s="5">
        <v>513.0</v>
      </c>
      <c r="AB18" s="5">
        <v>507.0</v>
      </c>
      <c r="AC18" s="24">
        <v>501.0</v>
      </c>
      <c r="AD18" s="59">
        <v>495.0</v>
      </c>
      <c r="AE18" s="59">
        <v>489.0</v>
      </c>
      <c r="AF18" s="59">
        <v>483.0</v>
      </c>
      <c r="AG18" s="59">
        <v>477.0</v>
      </c>
      <c r="AH18" s="59">
        <v>471.0</v>
      </c>
      <c r="AI18" s="59">
        <v>465.0</v>
      </c>
      <c r="AJ18" s="59">
        <v>459.0</v>
      </c>
      <c r="AK18" s="59">
        <v>453.0</v>
      </c>
      <c r="AL18" s="59">
        <v>447.0</v>
      </c>
      <c r="AM18" s="59">
        <v>441.0</v>
      </c>
      <c r="AN18" s="59">
        <v>435.0</v>
      </c>
      <c r="AO18" s="59">
        <v>429.0</v>
      </c>
      <c r="AP18" s="59">
        <v>423.0</v>
      </c>
      <c r="AQ18" s="59">
        <v>417.0</v>
      </c>
      <c r="AR18" s="59">
        <v>411.0</v>
      </c>
      <c r="AS18" s="59">
        <v>405.0</v>
      </c>
      <c r="AT18" s="59">
        <v>399.0</v>
      </c>
      <c r="AU18" s="59">
        <v>393.0</v>
      </c>
      <c r="AV18" s="59">
        <v>387.0</v>
      </c>
      <c r="AW18" s="59">
        <v>381.0</v>
      </c>
      <c r="AX18" s="59">
        <v>375.0</v>
      </c>
      <c r="AY18" s="59">
        <v>369.0</v>
      </c>
      <c r="AZ18" s="59">
        <v>363.0</v>
      </c>
      <c r="BA18" s="59">
        <v>357.0</v>
      </c>
      <c r="BB18" s="5">
        <v>7.0</v>
      </c>
    </row>
    <row r="19">
      <c r="A19" s="17">
        <v>14.0</v>
      </c>
      <c r="B19" s="59">
        <v>714.0</v>
      </c>
      <c r="C19" s="59">
        <v>706.0</v>
      </c>
      <c r="D19" s="59">
        <v>698.0</v>
      </c>
      <c r="E19" s="59">
        <v>690.0</v>
      </c>
      <c r="F19" s="59">
        <v>682.0</v>
      </c>
      <c r="G19" s="59">
        <v>674.0</v>
      </c>
      <c r="H19" s="59">
        <v>666.0</v>
      </c>
      <c r="I19" s="59">
        <v>658.0</v>
      </c>
      <c r="J19" s="59">
        <v>650.0</v>
      </c>
      <c r="K19" s="59">
        <v>642.0</v>
      </c>
      <c r="L19" s="59">
        <v>634.0</v>
      </c>
      <c r="M19" s="59">
        <v>626.0</v>
      </c>
      <c r="N19" s="59">
        <v>618.0</v>
      </c>
      <c r="O19" s="59">
        <v>610.0</v>
      </c>
      <c r="P19" s="59">
        <v>602.0</v>
      </c>
      <c r="Q19" s="59">
        <v>594.0</v>
      </c>
      <c r="R19" s="59">
        <v>586.0</v>
      </c>
      <c r="S19" s="59">
        <v>578.0</v>
      </c>
      <c r="T19" s="59">
        <v>570.0</v>
      </c>
      <c r="U19" s="59">
        <v>562.0</v>
      </c>
      <c r="V19" s="59">
        <v>554.0</v>
      </c>
      <c r="W19" s="59">
        <v>546.0</v>
      </c>
      <c r="X19" s="59">
        <v>538.0</v>
      </c>
      <c r="Y19" s="59">
        <v>530.0</v>
      </c>
      <c r="Z19" s="59">
        <v>522.0</v>
      </c>
      <c r="AA19" s="59">
        <v>514.0</v>
      </c>
      <c r="AB19" s="59">
        <v>506.0</v>
      </c>
      <c r="AC19" s="59">
        <v>498.0</v>
      </c>
      <c r="AD19" s="59">
        <v>490.0</v>
      </c>
      <c r="AE19" s="59">
        <v>482.0</v>
      </c>
      <c r="AF19" s="59">
        <v>474.0</v>
      </c>
      <c r="AG19" s="59">
        <v>466.0</v>
      </c>
      <c r="AH19" s="59">
        <v>458.0</v>
      </c>
      <c r="AI19" s="59">
        <v>450.0</v>
      </c>
      <c r="AJ19" s="59">
        <v>442.0</v>
      </c>
      <c r="AK19" s="59">
        <v>434.0</v>
      </c>
      <c r="AL19" s="59">
        <v>426.0</v>
      </c>
      <c r="AM19" s="59">
        <v>418.0</v>
      </c>
      <c r="AN19" s="59">
        <v>410.0</v>
      </c>
      <c r="AO19" s="59">
        <v>402.0</v>
      </c>
      <c r="AP19" s="59">
        <v>394.0</v>
      </c>
      <c r="AQ19" s="59">
        <v>386.0</v>
      </c>
      <c r="AR19" s="59">
        <v>378.0</v>
      </c>
      <c r="AS19" s="59">
        <v>370.0</v>
      </c>
      <c r="AT19" s="59">
        <v>362.0</v>
      </c>
      <c r="AU19" s="59">
        <v>354.0</v>
      </c>
      <c r="AV19" s="59">
        <v>346.0</v>
      </c>
      <c r="AW19" s="59">
        <v>338.0</v>
      </c>
      <c r="AX19" s="59">
        <v>330.0</v>
      </c>
      <c r="AY19" s="59">
        <v>322.0</v>
      </c>
      <c r="AZ19" s="59">
        <v>314.0</v>
      </c>
      <c r="BA19" s="59">
        <v>306.0</v>
      </c>
      <c r="BB19" s="5">
        <v>6.0</v>
      </c>
    </row>
    <row r="20">
      <c r="A20" s="17">
        <v>15.0</v>
      </c>
      <c r="B20" s="59">
        <v>765.0</v>
      </c>
      <c r="C20" s="59">
        <v>755.0</v>
      </c>
      <c r="D20" s="59">
        <v>745.0</v>
      </c>
      <c r="E20" s="59">
        <v>735.0</v>
      </c>
      <c r="F20" s="59">
        <v>725.0</v>
      </c>
      <c r="G20" s="59">
        <v>715.0</v>
      </c>
      <c r="H20" s="59">
        <v>705.0</v>
      </c>
      <c r="I20" s="59">
        <v>695.0</v>
      </c>
      <c r="J20" s="59">
        <v>685.0</v>
      </c>
      <c r="K20" s="59">
        <v>675.0</v>
      </c>
      <c r="L20" s="59">
        <v>665.0</v>
      </c>
      <c r="M20" s="59">
        <v>655.0</v>
      </c>
      <c r="N20" s="59">
        <v>645.0</v>
      </c>
      <c r="O20" s="59">
        <v>635.0</v>
      </c>
      <c r="P20" s="59">
        <v>625.0</v>
      </c>
      <c r="Q20" s="59">
        <v>615.0</v>
      </c>
      <c r="R20" s="59">
        <v>605.0</v>
      </c>
      <c r="S20" s="59">
        <v>595.0</v>
      </c>
      <c r="T20" s="59">
        <v>585.0</v>
      </c>
      <c r="U20" s="59">
        <v>575.0</v>
      </c>
      <c r="V20" s="59">
        <v>565.0</v>
      </c>
      <c r="W20" s="59">
        <v>555.0</v>
      </c>
      <c r="X20" s="59">
        <v>545.0</v>
      </c>
      <c r="Y20" s="59">
        <v>535.0</v>
      </c>
      <c r="Z20" s="59">
        <v>525.0</v>
      </c>
      <c r="AA20" s="59">
        <v>515.0</v>
      </c>
      <c r="AB20" s="59">
        <v>505.0</v>
      </c>
      <c r="AC20" s="59">
        <v>495.0</v>
      </c>
      <c r="AD20" s="59">
        <v>485.0</v>
      </c>
      <c r="AE20" s="59">
        <v>475.0</v>
      </c>
      <c r="AF20" s="59">
        <v>465.0</v>
      </c>
      <c r="AG20" s="59">
        <v>455.0</v>
      </c>
      <c r="AH20" s="59">
        <v>445.0</v>
      </c>
      <c r="AI20" s="59">
        <v>435.0</v>
      </c>
      <c r="AJ20" s="59">
        <v>425.0</v>
      </c>
      <c r="AK20" s="59">
        <v>415.0</v>
      </c>
      <c r="AL20" s="59">
        <v>405.0</v>
      </c>
      <c r="AM20" s="59">
        <v>395.0</v>
      </c>
      <c r="AN20" s="59">
        <v>385.0</v>
      </c>
      <c r="AO20" s="59">
        <v>375.0</v>
      </c>
      <c r="AP20" s="59">
        <v>365.0</v>
      </c>
      <c r="AQ20" s="59">
        <v>355.0</v>
      </c>
      <c r="AR20" s="59">
        <v>345.0</v>
      </c>
      <c r="AS20" s="59">
        <v>335.0</v>
      </c>
      <c r="AT20" s="59">
        <v>325.0</v>
      </c>
      <c r="AU20" s="59">
        <v>315.0</v>
      </c>
      <c r="AV20" s="59">
        <v>305.0</v>
      </c>
      <c r="AW20" s="59">
        <v>295.0</v>
      </c>
      <c r="AX20" s="59">
        <v>285.0</v>
      </c>
      <c r="AY20" s="59">
        <v>275.0</v>
      </c>
      <c r="AZ20" s="59">
        <v>265.0</v>
      </c>
      <c r="BA20" s="59">
        <v>255.0</v>
      </c>
      <c r="BB20" s="5">
        <v>5.0</v>
      </c>
    </row>
    <row r="21">
      <c r="A21" s="17">
        <v>16.0</v>
      </c>
      <c r="B21" s="59">
        <v>816.0</v>
      </c>
      <c r="C21" s="59">
        <v>804.0</v>
      </c>
      <c r="D21" s="59">
        <v>792.0</v>
      </c>
      <c r="E21" s="59">
        <v>780.0</v>
      </c>
      <c r="F21" s="59">
        <v>768.0</v>
      </c>
      <c r="G21" s="59">
        <v>756.0</v>
      </c>
      <c r="H21" s="59">
        <v>744.0</v>
      </c>
      <c r="I21" s="59">
        <v>732.0</v>
      </c>
      <c r="J21" s="59">
        <v>720.0</v>
      </c>
      <c r="K21" s="59">
        <v>708.0</v>
      </c>
      <c r="L21" s="59">
        <v>696.0</v>
      </c>
      <c r="M21" s="59">
        <v>684.0</v>
      </c>
      <c r="N21" s="59">
        <v>672.0</v>
      </c>
      <c r="O21" s="59">
        <v>660.0</v>
      </c>
      <c r="P21" s="59">
        <v>648.0</v>
      </c>
      <c r="Q21" s="59">
        <v>636.0</v>
      </c>
      <c r="R21" s="59">
        <v>624.0</v>
      </c>
      <c r="S21" s="59">
        <v>612.0</v>
      </c>
      <c r="T21" s="59">
        <v>600.0</v>
      </c>
      <c r="U21" s="59">
        <v>588.0</v>
      </c>
      <c r="V21" s="59">
        <v>576.0</v>
      </c>
      <c r="W21" s="59">
        <v>564.0</v>
      </c>
      <c r="X21" s="59">
        <v>552.0</v>
      </c>
      <c r="Y21" s="59">
        <v>540.0</v>
      </c>
      <c r="Z21" s="59">
        <v>528.0</v>
      </c>
      <c r="AA21" s="59">
        <v>516.0</v>
      </c>
      <c r="AB21" s="59">
        <v>504.0</v>
      </c>
      <c r="AC21" s="59">
        <v>492.0</v>
      </c>
      <c r="AD21" s="59">
        <v>480.0</v>
      </c>
      <c r="AE21" s="59">
        <v>468.0</v>
      </c>
      <c r="AF21" s="59">
        <v>456.0</v>
      </c>
      <c r="AG21" s="59">
        <v>444.0</v>
      </c>
      <c r="AH21" s="59">
        <v>432.0</v>
      </c>
      <c r="AI21" s="59">
        <v>420.0</v>
      </c>
      <c r="AJ21" s="59">
        <v>408.0</v>
      </c>
      <c r="AK21" s="59">
        <v>396.0</v>
      </c>
      <c r="AL21" s="59">
        <v>384.0</v>
      </c>
      <c r="AM21" s="59">
        <v>372.0</v>
      </c>
      <c r="AN21" s="59">
        <v>360.0</v>
      </c>
      <c r="AO21" s="59">
        <v>348.0</v>
      </c>
      <c r="AP21" s="59">
        <v>336.0</v>
      </c>
      <c r="AQ21" s="59">
        <v>324.0</v>
      </c>
      <c r="AR21" s="59">
        <v>312.0</v>
      </c>
      <c r="AS21" s="59">
        <v>300.0</v>
      </c>
      <c r="AT21" s="59">
        <v>288.0</v>
      </c>
      <c r="AU21" s="59">
        <v>276.0</v>
      </c>
      <c r="AV21" s="59">
        <v>264.0</v>
      </c>
      <c r="AW21" s="59">
        <v>252.0</v>
      </c>
      <c r="AX21" s="59">
        <v>240.0</v>
      </c>
      <c r="AY21" s="59">
        <v>228.0</v>
      </c>
      <c r="AZ21" s="59">
        <v>216.0</v>
      </c>
      <c r="BA21" s="59">
        <v>204.0</v>
      </c>
      <c r="BB21" s="5">
        <v>4.0</v>
      </c>
    </row>
    <row r="22">
      <c r="A22" s="17">
        <v>17.0</v>
      </c>
      <c r="B22" s="59">
        <v>867.0</v>
      </c>
      <c r="C22" s="59">
        <v>853.0</v>
      </c>
      <c r="D22" s="59">
        <v>839.0</v>
      </c>
      <c r="E22" s="59">
        <v>825.0</v>
      </c>
      <c r="F22" s="59">
        <v>811.0</v>
      </c>
      <c r="G22" s="59">
        <v>797.0</v>
      </c>
      <c r="H22" s="59">
        <v>783.0</v>
      </c>
      <c r="I22" s="59">
        <v>769.0</v>
      </c>
      <c r="J22" s="59">
        <v>755.0</v>
      </c>
      <c r="K22" s="59">
        <v>741.0</v>
      </c>
      <c r="L22" s="59">
        <v>727.0</v>
      </c>
      <c r="M22" s="59">
        <v>713.0</v>
      </c>
      <c r="N22" s="59">
        <v>699.0</v>
      </c>
      <c r="O22" s="59">
        <v>685.0</v>
      </c>
      <c r="P22" s="59">
        <v>671.0</v>
      </c>
      <c r="Q22" s="59">
        <v>657.0</v>
      </c>
      <c r="R22" s="59">
        <v>643.0</v>
      </c>
      <c r="S22" s="59">
        <v>629.0</v>
      </c>
      <c r="T22" s="59">
        <v>615.0</v>
      </c>
      <c r="U22" s="59">
        <v>601.0</v>
      </c>
      <c r="V22" s="59">
        <v>587.0</v>
      </c>
      <c r="W22" s="59">
        <v>573.0</v>
      </c>
      <c r="X22" s="59">
        <v>559.0</v>
      </c>
      <c r="Y22" s="59">
        <v>545.0</v>
      </c>
      <c r="Z22" s="59">
        <v>531.0</v>
      </c>
      <c r="AA22" s="59">
        <v>517.0</v>
      </c>
      <c r="AB22" s="59">
        <v>503.0</v>
      </c>
      <c r="AC22" s="59">
        <v>489.0</v>
      </c>
      <c r="AD22" s="59">
        <v>475.0</v>
      </c>
      <c r="AE22" s="59">
        <v>461.0</v>
      </c>
      <c r="AF22" s="59">
        <v>447.0</v>
      </c>
      <c r="AG22" s="59">
        <v>433.0</v>
      </c>
      <c r="AH22" s="59">
        <v>419.0</v>
      </c>
      <c r="AI22" s="59">
        <v>405.0</v>
      </c>
      <c r="AJ22" s="59">
        <v>391.0</v>
      </c>
      <c r="AK22" s="59">
        <v>377.0</v>
      </c>
      <c r="AL22" s="59">
        <v>363.0</v>
      </c>
      <c r="AM22" s="59">
        <v>349.0</v>
      </c>
      <c r="AN22" s="59">
        <v>335.0</v>
      </c>
      <c r="AO22" s="59">
        <v>321.0</v>
      </c>
      <c r="AP22" s="59">
        <v>307.0</v>
      </c>
      <c r="AQ22" s="59">
        <v>293.0</v>
      </c>
      <c r="AR22" s="59">
        <v>279.0</v>
      </c>
      <c r="AS22" s="59">
        <v>265.0</v>
      </c>
      <c r="AT22" s="59">
        <v>251.0</v>
      </c>
      <c r="AU22" s="59">
        <v>237.0</v>
      </c>
      <c r="AV22" s="59">
        <v>223.0</v>
      </c>
      <c r="AW22" s="59">
        <v>209.0</v>
      </c>
      <c r="AX22" s="59">
        <v>195.0</v>
      </c>
      <c r="AY22" s="59">
        <v>181.0</v>
      </c>
      <c r="AZ22" s="59">
        <v>167.0</v>
      </c>
      <c r="BA22" s="59">
        <v>153.0</v>
      </c>
      <c r="BB22" s="5">
        <v>3.0</v>
      </c>
    </row>
    <row r="23">
      <c r="A23" s="17">
        <v>18.0</v>
      </c>
      <c r="B23" s="59">
        <v>918.0</v>
      </c>
      <c r="C23" s="59">
        <v>902.0</v>
      </c>
      <c r="D23" s="59">
        <v>886.0</v>
      </c>
      <c r="E23" s="59">
        <v>870.0</v>
      </c>
      <c r="F23" s="59">
        <v>854.0</v>
      </c>
      <c r="G23" s="59">
        <v>838.0</v>
      </c>
      <c r="H23" s="59">
        <v>822.0</v>
      </c>
      <c r="I23" s="59">
        <v>806.0</v>
      </c>
      <c r="J23" s="59">
        <v>790.0</v>
      </c>
      <c r="K23" s="59">
        <v>774.0</v>
      </c>
      <c r="L23" s="59">
        <v>758.0</v>
      </c>
      <c r="M23" s="59">
        <v>742.0</v>
      </c>
      <c r="N23" s="59">
        <v>726.0</v>
      </c>
      <c r="O23" s="59">
        <v>710.0</v>
      </c>
      <c r="P23" s="59">
        <v>694.0</v>
      </c>
      <c r="Q23" s="59">
        <v>678.0</v>
      </c>
      <c r="R23" s="59">
        <v>662.0</v>
      </c>
      <c r="S23" s="59">
        <v>646.0</v>
      </c>
      <c r="T23" s="59">
        <v>630.0</v>
      </c>
      <c r="U23" s="59">
        <v>614.0</v>
      </c>
      <c r="V23" s="59">
        <v>598.0</v>
      </c>
      <c r="W23" s="59">
        <v>582.0</v>
      </c>
      <c r="X23" s="59">
        <v>566.0</v>
      </c>
      <c r="Y23" s="59">
        <v>550.0</v>
      </c>
      <c r="Z23" s="59">
        <v>534.0</v>
      </c>
      <c r="AA23" s="59">
        <v>518.0</v>
      </c>
      <c r="AB23" s="59">
        <v>502.0</v>
      </c>
      <c r="AC23" s="59">
        <v>486.0</v>
      </c>
      <c r="AD23" s="59">
        <v>470.0</v>
      </c>
      <c r="AE23" s="59">
        <v>454.0</v>
      </c>
      <c r="AF23" s="59">
        <v>438.0</v>
      </c>
      <c r="AG23" s="59">
        <v>422.0</v>
      </c>
      <c r="AH23" s="59">
        <v>406.0</v>
      </c>
      <c r="AI23" s="59">
        <v>390.0</v>
      </c>
      <c r="AJ23" s="59">
        <v>374.0</v>
      </c>
      <c r="AK23" s="59">
        <v>358.0</v>
      </c>
      <c r="AL23" s="59">
        <v>342.0</v>
      </c>
      <c r="AM23" s="59">
        <v>326.0</v>
      </c>
      <c r="AN23" s="59">
        <v>310.0</v>
      </c>
      <c r="AO23" s="59">
        <v>294.0</v>
      </c>
      <c r="AP23" s="59">
        <v>278.0</v>
      </c>
      <c r="AQ23" s="59">
        <v>262.0</v>
      </c>
      <c r="AR23" s="59">
        <v>246.0</v>
      </c>
      <c r="AS23" s="59">
        <v>230.0</v>
      </c>
      <c r="AT23" s="59">
        <v>214.0</v>
      </c>
      <c r="AU23" s="59">
        <v>198.0</v>
      </c>
      <c r="AV23" s="59">
        <v>182.0</v>
      </c>
      <c r="AW23" s="59">
        <v>166.0</v>
      </c>
      <c r="AX23" s="59">
        <v>150.0</v>
      </c>
      <c r="AY23" s="59">
        <v>134.0</v>
      </c>
      <c r="AZ23" s="59">
        <v>118.0</v>
      </c>
      <c r="BA23" s="59">
        <v>102.0</v>
      </c>
      <c r="BB23" s="5">
        <v>2.0</v>
      </c>
    </row>
    <row r="24">
      <c r="A24" s="17">
        <v>19.0</v>
      </c>
      <c r="B24" s="59">
        <v>969.0</v>
      </c>
      <c r="C24" s="59">
        <v>951.0</v>
      </c>
      <c r="D24" s="59">
        <v>933.0</v>
      </c>
      <c r="E24" s="59">
        <v>915.0</v>
      </c>
      <c r="F24" s="59">
        <v>897.0</v>
      </c>
      <c r="G24" s="59">
        <v>879.0</v>
      </c>
      <c r="H24" s="59">
        <v>861.0</v>
      </c>
      <c r="I24" s="59">
        <v>843.0</v>
      </c>
      <c r="J24" s="59">
        <v>825.0</v>
      </c>
      <c r="K24" s="59">
        <v>807.0</v>
      </c>
      <c r="L24" s="59">
        <v>789.0</v>
      </c>
      <c r="M24" s="59">
        <v>771.0</v>
      </c>
      <c r="N24" s="59">
        <v>753.0</v>
      </c>
      <c r="O24" s="59">
        <v>735.0</v>
      </c>
      <c r="P24" s="59">
        <v>717.0</v>
      </c>
      <c r="Q24" s="59">
        <v>699.0</v>
      </c>
      <c r="R24" s="59">
        <v>681.0</v>
      </c>
      <c r="S24" s="59">
        <v>663.0</v>
      </c>
      <c r="T24" s="59">
        <v>645.0</v>
      </c>
      <c r="U24" s="59">
        <v>627.0</v>
      </c>
      <c r="V24" s="59">
        <v>609.0</v>
      </c>
      <c r="W24" s="59">
        <v>591.0</v>
      </c>
      <c r="X24" s="59">
        <v>573.0</v>
      </c>
      <c r="Y24" s="59">
        <v>555.0</v>
      </c>
      <c r="Z24" s="59">
        <v>537.0</v>
      </c>
      <c r="AA24" s="59">
        <v>519.0</v>
      </c>
      <c r="AB24" s="59">
        <v>501.0</v>
      </c>
      <c r="AC24" s="59">
        <v>483.0</v>
      </c>
      <c r="AD24" s="59">
        <v>465.0</v>
      </c>
      <c r="AE24" s="59">
        <v>447.0</v>
      </c>
      <c r="AF24" s="59">
        <v>429.0</v>
      </c>
      <c r="AG24" s="59">
        <v>411.0</v>
      </c>
      <c r="AH24" s="59">
        <v>393.0</v>
      </c>
      <c r="AI24" s="59">
        <v>375.0</v>
      </c>
      <c r="AJ24" s="59">
        <v>357.0</v>
      </c>
      <c r="AK24" s="59">
        <v>339.0</v>
      </c>
      <c r="AL24" s="59">
        <v>321.0</v>
      </c>
      <c r="AM24" s="59">
        <v>303.0</v>
      </c>
      <c r="AN24" s="59">
        <v>285.0</v>
      </c>
      <c r="AO24" s="59">
        <v>267.0</v>
      </c>
      <c r="AP24" s="59">
        <v>249.0</v>
      </c>
      <c r="AQ24" s="59">
        <v>231.0</v>
      </c>
      <c r="AR24" s="59">
        <v>213.0</v>
      </c>
      <c r="AS24" s="59">
        <v>195.0</v>
      </c>
      <c r="AT24" s="59">
        <v>177.0</v>
      </c>
      <c r="AU24" s="59">
        <v>159.0</v>
      </c>
      <c r="AV24" s="59">
        <v>141.0</v>
      </c>
      <c r="AW24" s="59">
        <v>123.0</v>
      </c>
      <c r="AX24" s="59">
        <v>105.0</v>
      </c>
      <c r="AY24" s="59">
        <v>87.0</v>
      </c>
      <c r="AZ24" s="59">
        <v>69.0</v>
      </c>
      <c r="BA24" s="59">
        <v>51.0</v>
      </c>
      <c r="BB24" s="5">
        <v>1.0</v>
      </c>
    </row>
    <row r="25">
      <c r="A25" s="17">
        <v>20.0</v>
      </c>
      <c r="B25" s="59">
        <v>1020.0</v>
      </c>
      <c r="C25" s="59">
        <v>1000.0</v>
      </c>
      <c r="D25" s="59">
        <v>980.0</v>
      </c>
      <c r="E25" s="59">
        <v>960.0</v>
      </c>
      <c r="F25" s="59">
        <v>940.0</v>
      </c>
      <c r="G25" s="59">
        <v>920.0</v>
      </c>
      <c r="H25" s="59">
        <v>900.0</v>
      </c>
      <c r="I25" s="59">
        <v>880.0</v>
      </c>
      <c r="J25" s="59">
        <v>860.0</v>
      </c>
      <c r="K25" s="59">
        <v>840.0</v>
      </c>
      <c r="L25" s="59">
        <v>820.0</v>
      </c>
      <c r="M25" s="59">
        <v>800.0</v>
      </c>
      <c r="N25" s="59">
        <v>780.0</v>
      </c>
      <c r="O25" s="59">
        <v>760.0</v>
      </c>
      <c r="P25" s="59">
        <v>740.0</v>
      </c>
      <c r="Q25" s="59">
        <v>720.0</v>
      </c>
      <c r="R25" s="59">
        <v>700.0</v>
      </c>
      <c r="S25" s="59">
        <v>680.0</v>
      </c>
      <c r="T25" s="59">
        <v>660.0</v>
      </c>
      <c r="U25" s="59">
        <v>640.0</v>
      </c>
      <c r="V25" s="59">
        <v>620.0</v>
      </c>
      <c r="W25" s="59">
        <v>600.0</v>
      </c>
      <c r="X25" s="59">
        <v>580.0</v>
      </c>
      <c r="Y25" s="59">
        <v>560.0</v>
      </c>
      <c r="Z25" s="59">
        <v>540.0</v>
      </c>
      <c r="AA25" s="59">
        <v>520.0</v>
      </c>
      <c r="AB25" s="59">
        <v>500.0</v>
      </c>
      <c r="AC25" s="59">
        <v>480.0</v>
      </c>
      <c r="AD25" s="59">
        <v>460.0</v>
      </c>
      <c r="AE25" s="59">
        <v>440.0</v>
      </c>
      <c r="AF25" s="59">
        <v>420.0</v>
      </c>
      <c r="AG25" s="59">
        <v>400.0</v>
      </c>
      <c r="AH25" s="59">
        <v>380.0</v>
      </c>
      <c r="AI25" s="59">
        <v>360.0</v>
      </c>
      <c r="AJ25" s="59">
        <v>340.0</v>
      </c>
      <c r="AK25" s="59">
        <v>320.0</v>
      </c>
      <c r="AL25" s="59">
        <v>300.0</v>
      </c>
      <c r="AM25" s="59">
        <v>280.0</v>
      </c>
      <c r="AN25" s="59">
        <v>260.0</v>
      </c>
      <c r="AO25" s="59">
        <v>240.0</v>
      </c>
      <c r="AP25" s="59">
        <v>220.0</v>
      </c>
      <c r="AQ25" s="59">
        <v>200.0</v>
      </c>
      <c r="AR25" s="59">
        <v>180.0</v>
      </c>
      <c r="AS25" s="59">
        <v>160.0</v>
      </c>
      <c r="AT25" s="59">
        <v>140.0</v>
      </c>
      <c r="AU25" s="59">
        <v>120.0</v>
      </c>
      <c r="AV25" s="59">
        <v>100.0</v>
      </c>
      <c r="AW25" s="59">
        <v>80.0</v>
      </c>
      <c r="AX25" s="59">
        <v>60.0</v>
      </c>
      <c r="AY25" s="59">
        <v>40.0</v>
      </c>
      <c r="AZ25" s="59">
        <v>20.0</v>
      </c>
      <c r="BA25" s="59">
        <v>0.0</v>
      </c>
      <c r="BB25" s="5">
        <v>0.0</v>
      </c>
    </row>
    <row r="26">
      <c r="A26" s="17"/>
      <c r="B26" s="17">
        <f t="array" ref="B26:BA26">51-B4:BA4</f>
        <v>51</v>
      </c>
      <c r="C26" s="17">
        <v>50.0</v>
      </c>
      <c r="D26" s="17">
        <v>49.0</v>
      </c>
      <c r="E26" s="17">
        <v>48.0</v>
      </c>
      <c r="F26" s="17">
        <v>47.0</v>
      </c>
      <c r="G26" s="17">
        <v>46.0</v>
      </c>
      <c r="H26" s="17">
        <v>45.0</v>
      </c>
      <c r="I26" s="17">
        <v>44.0</v>
      </c>
      <c r="J26" s="17">
        <v>43.0</v>
      </c>
      <c r="K26" s="17">
        <v>42.0</v>
      </c>
      <c r="L26" s="17">
        <v>41.0</v>
      </c>
      <c r="M26" s="17">
        <v>40.0</v>
      </c>
      <c r="N26" s="17">
        <v>39.0</v>
      </c>
      <c r="O26" s="17">
        <v>38.0</v>
      </c>
      <c r="P26" s="17">
        <v>37.0</v>
      </c>
      <c r="Q26" s="17">
        <v>36.0</v>
      </c>
      <c r="R26" s="17">
        <v>35.0</v>
      </c>
      <c r="S26" s="17">
        <v>34.0</v>
      </c>
      <c r="T26" s="17">
        <v>33.0</v>
      </c>
      <c r="U26" s="17">
        <v>32.0</v>
      </c>
      <c r="V26" s="17">
        <v>31.0</v>
      </c>
      <c r="W26" s="17">
        <v>30.0</v>
      </c>
      <c r="X26" s="17">
        <v>29.0</v>
      </c>
      <c r="Y26" s="17">
        <v>28.0</v>
      </c>
      <c r="Z26" s="17">
        <v>27.0</v>
      </c>
      <c r="AA26" s="17">
        <v>26.0</v>
      </c>
      <c r="AB26" s="17">
        <v>25.0</v>
      </c>
      <c r="AC26" s="17">
        <v>24.0</v>
      </c>
      <c r="AD26" s="17">
        <v>23.0</v>
      </c>
      <c r="AE26" s="17">
        <v>22.0</v>
      </c>
      <c r="AF26" s="17">
        <v>21.0</v>
      </c>
      <c r="AG26" s="17">
        <v>20.0</v>
      </c>
      <c r="AH26" s="17">
        <v>19.0</v>
      </c>
      <c r="AI26" s="17">
        <v>18.0</v>
      </c>
      <c r="AJ26" s="17">
        <v>17.0</v>
      </c>
      <c r="AK26" s="17">
        <v>16.0</v>
      </c>
      <c r="AL26" s="17">
        <v>15.0</v>
      </c>
      <c r="AM26" s="17">
        <v>14.0</v>
      </c>
      <c r="AN26" s="17">
        <v>13.0</v>
      </c>
      <c r="AO26" s="17">
        <v>12.0</v>
      </c>
      <c r="AP26" s="17">
        <v>11.0</v>
      </c>
      <c r="AQ26" s="17">
        <v>10.0</v>
      </c>
      <c r="AR26" s="17">
        <v>9.0</v>
      </c>
      <c r="AS26" s="17">
        <v>8.0</v>
      </c>
      <c r="AT26" s="17">
        <v>7.0</v>
      </c>
      <c r="AU26" s="17">
        <v>6.0</v>
      </c>
      <c r="AV26" s="17">
        <v>5.0</v>
      </c>
      <c r="AW26" s="17">
        <v>4.0</v>
      </c>
      <c r="AX26" s="17">
        <v>3.0</v>
      </c>
      <c r="AY26" s="17">
        <v>2.0</v>
      </c>
      <c r="AZ26" s="17">
        <v>1.0</v>
      </c>
      <c r="BA26" s="17">
        <v>0.0</v>
      </c>
      <c r="BB26" s="17"/>
      <c r="BC26" s="17"/>
      <c r="BD26" s="17"/>
      <c r="BE26" s="17"/>
      <c r="BF26" s="17"/>
      <c r="BG26" s="17"/>
      <c r="BH26" s="17"/>
      <c r="BI26" s="17"/>
    </row>
    <row r="27">
      <c r="A27" s="17"/>
      <c r="AZ27" s="17"/>
    </row>
    <row r="28">
      <c r="A28" s="17"/>
      <c r="AZ28" s="17"/>
    </row>
    <row r="29">
      <c r="A29" s="17"/>
      <c r="AZ29" s="17"/>
    </row>
    <row r="30">
      <c r="A30" s="17"/>
      <c r="AZ30" s="17"/>
    </row>
    <row r="31">
      <c r="A31" s="17"/>
      <c r="AZ31" s="17"/>
    </row>
    <row r="32">
      <c r="A32" s="17"/>
      <c r="AZ32" s="17"/>
    </row>
    <row r="33">
      <c r="A33" s="17"/>
      <c r="AZ33" s="17"/>
    </row>
    <row r="34">
      <c r="A34" s="17"/>
      <c r="AZ34" s="17"/>
    </row>
    <row r="35">
      <c r="A35" s="17"/>
      <c r="AZ35" s="17"/>
    </row>
    <row r="36">
      <c r="A36" s="17"/>
      <c r="AZ36" s="17"/>
    </row>
    <row r="37">
      <c r="A37" s="17"/>
      <c r="AZ37" s="17"/>
    </row>
    <row r="38">
      <c r="A38" s="17"/>
      <c r="AZ38" s="17"/>
    </row>
    <row r="39">
      <c r="A39" s="17"/>
      <c r="AZ39" s="17"/>
    </row>
    <row r="40">
      <c r="A40" s="17"/>
      <c r="AZ40" s="17"/>
    </row>
    <row r="41">
      <c r="A41" s="17"/>
      <c r="AZ41" s="17"/>
    </row>
    <row r="42">
      <c r="A42" s="17"/>
      <c r="AZ42" s="17"/>
    </row>
    <row r="43">
      <c r="A43" s="17"/>
      <c r="AZ43" s="17"/>
    </row>
    <row r="44">
      <c r="A44" s="17"/>
      <c r="AZ44" s="17"/>
    </row>
    <row r="45">
      <c r="A45" s="17"/>
      <c r="AZ45" s="17"/>
    </row>
    <row r="46">
      <c r="A46" s="17"/>
      <c r="AZ46" s="17"/>
    </row>
    <row r="47">
      <c r="A47" s="17"/>
      <c r="AZ47" s="17"/>
    </row>
    <row r="48">
      <c r="A48" s="17"/>
      <c r="AZ48" s="17"/>
    </row>
    <row r="49">
      <c r="A49" s="17"/>
      <c r="AZ49" s="17"/>
    </row>
    <row r="50">
      <c r="A50" s="17"/>
      <c r="AZ50" s="17"/>
    </row>
    <row r="51">
      <c r="A51" s="17"/>
      <c r="AZ51" s="17"/>
    </row>
    <row r="52">
      <c r="A52" s="17"/>
      <c r="AZ52" s="17"/>
    </row>
    <row r="53">
      <c r="A53" s="17"/>
      <c r="AZ53" s="17"/>
    </row>
    <row r="54">
      <c r="A54" s="17"/>
      <c r="AZ54" s="17"/>
    </row>
    <row r="55">
      <c r="A55" s="17"/>
      <c r="AZ55" s="17"/>
    </row>
    <row r="56">
      <c r="A56" s="17"/>
      <c r="AZ56" s="17"/>
    </row>
    <row r="57">
      <c r="A57" s="17"/>
      <c r="AZ57" s="17"/>
    </row>
    <row r="58">
      <c r="A58" s="17"/>
      <c r="AZ58" s="17"/>
    </row>
    <row r="59">
      <c r="A59" s="17"/>
      <c r="AZ59" s="17"/>
    </row>
    <row r="60">
      <c r="A60" s="17"/>
      <c r="AZ60" s="17"/>
    </row>
    <row r="61">
      <c r="A61" s="17"/>
      <c r="AZ61" s="17"/>
    </row>
    <row r="62">
      <c r="A62" s="17"/>
      <c r="AZ62" s="17"/>
    </row>
    <row r="63">
      <c r="A63" s="17"/>
      <c r="AZ63" s="17"/>
    </row>
    <row r="64">
      <c r="A64" s="17"/>
      <c r="AZ64" s="17"/>
    </row>
    <row r="65">
      <c r="A65" s="17"/>
      <c r="AZ65" s="17"/>
    </row>
    <row r="66">
      <c r="A66" s="17"/>
      <c r="AZ66" s="17"/>
    </row>
    <row r="67">
      <c r="A67" s="17"/>
      <c r="AZ67" s="17"/>
    </row>
    <row r="68">
      <c r="A68" s="17"/>
      <c r="AZ68" s="17"/>
    </row>
    <row r="69">
      <c r="A69" s="17"/>
      <c r="AZ69" s="17"/>
    </row>
    <row r="70">
      <c r="A70" s="17"/>
      <c r="AZ70" s="17"/>
    </row>
    <row r="71">
      <c r="A71" s="17"/>
      <c r="AZ71" s="17"/>
    </row>
    <row r="72">
      <c r="A72" s="17"/>
      <c r="AZ72" s="17"/>
    </row>
    <row r="73">
      <c r="A73" s="17"/>
      <c r="AZ73" s="17"/>
    </row>
    <row r="74">
      <c r="A74" s="17"/>
      <c r="AZ74" s="17"/>
    </row>
    <row r="75">
      <c r="A75" s="17"/>
      <c r="AZ75" s="17"/>
    </row>
    <row r="76">
      <c r="A76" s="17"/>
      <c r="AZ76" s="17"/>
    </row>
    <row r="77">
      <c r="A77" s="17"/>
      <c r="AZ77" s="17"/>
    </row>
    <row r="78">
      <c r="A78" s="17"/>
      <c r="AZ78" s="17"/>
    </row>
    <row r="79">
      <c r="A79" s="17"/>
      <c r="AZ79" s="17"/>
    </row>
    <row r="80">
      <c r="A80" s="17"/>
      <c r="AZ80" s="17"/>
    </row>
    <row r="81">
      <c r="A81" s="17"/>
      <c r="AZ81" s="17"/>
    </row>
    <row r="82">
      <c r="A82" s="17"/>
      <c r="AZ82" s="17"/>
    </row>
    <row r="83">
      <c r="A83" s="17"/>
      <c r="AZ83" s="17"/>
    </row>
    <row r="84">
      <c r="A84" s="17"/>
      <c r="AZ84" s="17"/>
    </row>
    <row r="85">
      <c r="A85" s="17"/>
      <c r="AZ85" s="17"/>
    </row>
    <row r="86">
      <c r="A86" s="17"/>
      <c r="AZ86" s="17"/>
    </row>
    <row r="87">
      <c r="A87" s="17"/>
      <c r="AZ87" s="17"/>
    </row>
    <row r="88">
      <c r="A88" s="17"/>
      <c r="AZ88" s="17"/>
    </row>
    <row r="89">
      <c r="A89" s="17"/>
      <c r="AZ89" s="17"/>
    </row>
    <row r="90">
      <c r="A90" s="17"/>
      <c r="AZ90" s="17"/>
    </row>
    <row r="91">
      <c r="A91" s="17"/>
      <c r="AZ91" s="17"/>
    </row>
    <row r="92">
      <c r="A92" s="17"/>
      <c r="AZ92" s="17"/>
    </row>
    <row r="93">
      <c r="A93" s="17"/>
      <c r="AZ93" s="17"/>
    </row>
    <row r="94">
      <c r="A94" s="17"/>
      <c r="AZ94" s="17"/>
    </row>
    <row r="95">
      <c r="A95" s="17"/>
      <c r="AZ95" s="17"/>
    </row>
    <row r="96">
      <c r="A96" s="17"/>
      <c r="AZ96" s="17"/>
    </row>
    <row r="97">
      <c r="A97" s="17"/>
      <c r="AZ97" s="17"/>
    </row>
    <row r="98">
      <c r="A98" s="17"/>
      <c r="AZ98" s="17"/>
    </row>
    <row r="99">
      <c r="A99" s="17"/>
      <c r="AZ99" s="17"/>
    </row>
    <row r="100">
      <c r="A100" s="17"/>
      <c r="AZ100" s="17"/>
    </row>
    <row r="101">
      <c r="A101" s="17"/>
      <c r="AZ101" s="17"/>
    </row>
    <row r="102">
      <c r="A102" s="17"/>
      <c r="AZ102" s="17"/>
    </row>
    <row r="103">
      <c r="A103" s="17"/>
      <c r="AZ103" s="17"/>
    </row>
    <row r="104">
      <c r="A104" s="17"/>
      <c r="AZ104" s="17"/>
    </row>
    <row r="105">
      <c r="A105" s="17"/>
      <c r="AZ105" s="17"/>
    </row>
    <row r="106">
      <c r="A106" s="17"/>
      <c r="AZ106" s="17"/>
    </row>
    <row r="107">
      <c r="A107" s="17"/>
      <c r="AZ107" s="17"/>
    </row>
    <row r="108">
      <c r="A108" s="17"/>
      <c r="AZ108" s="17"/>
    </row>
    <row r="109">
      <c r="A109" s="17"/>
      <c r="AZ109" s="17"/>
    </row>
    <row r="110">
      <c r="A110" s="17"/>
      <c r="AZ110" s="17"/>
    </row>
    <row r="111">
      <c r="A111" s="17"/>
      <c r="AZ111" s="17"/>
    </row>
    <row r="112">
      <c r="A112" s="17"/>
      <c r="AZ112" s="17"/>
    </row>
    <row r="113">
      <c r="A113" s="17"/>
      <c r="AZ113" s="17"/>
    </row>
    <row r="114">
      <c r="A114" s="17"/>
      <c r="AZ114" s="17"/>
    </row>
    <row r="115">
      <c r="A115" s="17"/>
      <c r="AZ115" s="17"/>
    </row>
    <row r="116">
      <c r="A116" s="17"/>
      <c r="AZ116" s="17"/>
    </row>
    <row r="117">
      <c r="A117" s="17"/>
      <c r="AZ117" s="17"/>
    </row>
    <row r="118">
      <c r="A118" s="17"/>
      <c r="AZ118" s="17"/>
    </row>
    <row r="119">
      <c r="A119" s="17"/>
      <c r="AZ119" s="17"/>
    </row>
    <row r="120">
      <c r="A120" s="17"/>
      <c r="AZ120" s="17"/>
    </row>
    <row r="121">
      <c r="A121" s="17"/>
      <c r="AZ121" s="17"/>
    </row>
    <row r="122">
      <c r="A122" s="17"/>
      <c r="AZ122" s="17"/>
    </row>
    <row r="123">
      <c r="A123" s="17"/>
      <c r="AZ123" s="17"/>
    </row>
    <row r="124">
      <c r="A124" s="17"/>
      <c r="AZ124" s="17"/>
    </row>
    <row r="125">
      <c r="A125" s="17"/>
      <c r="AZ125" s="17"/>
    </row>
    <row r="126">
      <c r="A126" s="17"/>
      <c r="AZ126" s="17"/>
    </row>
    <row r="127">
      <c r="A127" s="17"/>
      <c r="AZ127" s="17"/>
    </row>
    <row r="128">
      <c r="A128" s="17"/>
      <c r="AZ128" s="17"/>
    </row>
    <row r="129">
      <c r="A129" s="17"/>
      <c r="AZ129" s="17"/>
    </row>
    <row r="130">
      <c r="A130" s="17"/>
      <c r="AZ130" s="17"/>
    </row>
    <row r="131">
      <c r="A131" s="17"/>
      <c r="AZ131" s="17"/>
    </row>
    <row r="132">
      <c r="A132" s="17"/>
      <c r="AZ132" s="17"/>
    </row>
    <row r="133">
      <c r="A133" s="17"/>
      <c r="AZ133" s="17"/>
    </row>
    <row r="134">
      <c r="A134" s="17"/>
      <c r="AZ134" s="17"/>
    </row>
    <row r="135">
      <c r="A135" s="17"/>
      <c r="AZ135" s="17"/>
    </row>
    <row r="136">
      <c r="A136" s="17"/>
      <c r="AZ136" s="17"/>
    </row>
    <row r="137">
      <c r="A137" s="17"/>
      <c r="AZ137" s="17"/>
    </row>
    <row r="138">
      <c r="A138" s="17"/>
      <c r="AZ138" s="17"/>
    </row>
    <row r="139">
      <c r="A139" s="17"/>
      <c r="AZ139" s="17"/>
    </row>
    <row r="140">
      <c r="A140" s="17"/>
      <c r="AZ140" s="17"/>
    </row>
    <row r="141">
      <c r="A141" s="17"/>
      <c r="AZ141" s="17"/>
    </row>
    <row r="142">
      <c r="A142" s="17"/>
      <c r="AZ142" s="17"/>
    </row>
    <row r="143">
      <c r="A143" s="17"/>
      <c r="AZ143" s="17"/>
    </row>
    <row r="144">
      <c r="A144" s="17"/>
      <c r="AZ144" s="17"/>
    </row>
    <row r="145">
      <c r="A145" s="17"/>
      <c r="AZ145" s="17"/>
    </row>
    <row r="146">
      <c r="A146" s="17"/>
      <c r="AZ146" s="17"/>
    </row>
    <row r="147">
      <c r="A147" s="17"/>
      <c r="AZ147" s="17"/>
    </row>
    <row r="148">
      <c r="A148" s="17"/>
      <c r="AZ148" s="17"/>
    </row>
    <row r="149">
      <c r="A149" s="17"/>
      <c r="AZ149" s="17"/>
    </row>
    <row r="150">
      <c r="A150" s="17"/>
      <c r="AZ150" s="17"/>
    </row>
    <row r="151">
      <c r="A151" s="17"/>
      <c r="AZ151" s="17"/>
    </row>
    <row r="152">
      <c r="A152" s="17"/>
      <c r="AZ152" s="17"/>
    </row>
    <row r="153">
      <c r="A153" s="17"/>
      <c r="AZ153" s="17"/>
    </row>
    <row r="154">
      <c r="A154" s="17"/>
      <c r="AZ154" s="17"/>
    </row>
    <row r="155">
      <c r="A155" s="17"/>
      <c r="AZ155" s="17"/>
    </row>
    <row r="156">
      <c r="A156" s="17"/>
      <c r="AZ156" s="17"/>
    </row>
    <row r="157">
      <c r="A157" s="17"/>
      <c r="AZ157" s="17"/>
    </row>
    <row r="158">
      <c r="A158" s="17"/>
      <c r="AZ158" s="17"/>
    </row>
    <row r="159">
      <c r="A159" s="17"/>
      <c r="AZ159" s="17"/>
    </row>
    <row r="160">
      <c r="A160" s="17"/>
      <c r="AZ160" s="17"/>
    </row>
    <row r="161">
      <c r="A161" s="17"/>
      <c r="AZ161" s="17"/>
    </row>
    <row r="162">
      <c r="A162" s="17"/>
      <c r="AZ162" s="17"/>
    </row>
    <row r="163">
      <c r="A163" s="17"/>
      <c r="AZ163" s="17"/>
    </row>
    <row r="164">
      <c r="A164" s="17"/>
      <c r="AZ164" s="17"/>
    </row>
    <row r="165">
      <c r="A165" s="17"/>
      <c r="AZ165" s="17"/>
    </row>
    <row r="166">
      <c r="A166" s="17"/>
      <c r="AZ166" s="17"/>
    </row>
    <row r="167">
      <c r="A167" s="17"/>
      <c r="AZ167" s="17"/>
    </row>
    <row r="168">
      <c r="A168" s="17"/>
      <c r="AZ168" s="17"/>
    </row>
    <row r="169">
      <c r="A169" s="17"/>
      <c r="AZ169" s="17"/>
    </row>
    <row r="170">
      <c r="A170" s="17"/>
      <c r="AZ170" s="17"/>
    </row>
    <row r="171">
      <c r="A171" s="17"/>
      <c r="AZ171" s="17"/>
    </row>
    <row r="172">
      <c r="A172" s="17"/>
      <c r="AZ172" s="17"/>
    </row>
    <row r="173">
      <c r="A173" s="17"/>
      <c r="AZ173" s="17"/>
    </row>
    <row r="174">
      <c r="A174" s="17"/>
      <c r="AZ174" s="17"/>
    </row>
    <row r="175">
      <c r="A175" s="17"/>
      <c r="AZ175" s="17"/>
    </row>
    <row r="176">
      <c r="A176" s="17"/>
      <c r="AZ176" s="17"/>
    </row>
    <row r="177">
      <c r="A177" s="17"/>
      <c r="AZ177" s="17"/>
    </row>
    <row r="178">
      <c r="A178" s="17"/>
      <c r="AZ178" s="17"/>
    </row>
    <row r="179">
      <c r="A179" s="17"/>
      <c r="AZ179" s="17"/>
    </row>
    <row r="180">
      <c r="A180" s="17"/>
      <c r="AZ180" s="17"/>
    </row>
    <row r="181">
      <c r="A181" s="17"/>
      <c r="AZ181" s="17"/>
    </row>
    <row r="182">
      <c r="A182" s="17"/>
      <c r="AZ182" s="17"/>
    </row>
    <row r="183">
      <c r="A183" s="17"/>
      <c r="AZ183" s="17"/>
    </row>
    <row r="184">
      <c r="A184" s="17"/>
      <c r="AZ184" s="17"/>
    </row>
    <row r="185">
      <c r="A185" s="17"/>
      <c r="AZ185" s="17"/>
    </row>
    <row r="186">
      <c r="A186" s="17"/>
      <c r="AZ186" s="17"/>
    </row>
    <row r="187">
      <c r="A187" s="17"/>
      <c r="AZ187" s="17"/>
    </row>
    <row r="188">
      <c r="A188" s="17"/>
      <c r="AZ188" s="17"/>
    </row>
    <row r="189">
      <c r="A189" s="17"/>
      <c r="AZ189" s="17"/>
    </row>
    <row r="190">
      <c r="A190" s="17"/>
      <c r="AZ190" s="17"/>
    </row>
    <row r="191">
      <c r="A191" s="17"/>
      <c r="AZ191" s="17"/>
    </row>
    <row r="192">
      <c r="A192" s="17"/>
      <c r="AZ192" s="17"/>
    </row>
    <row r="193">
      <c r="A193" s="17"/>
      <c r="AZ193" s="17"/>
    </row>
    <row r="194">
      <c r="A194" s="17"/>
      <c r="AZ194" s="17"/>
    </row>
    <row r="195">
      <c r="A195" s="17"/>
      <c r="AZ195" s="17"/>
    </row>
    <row r="196">
      <c r="A196" s="17"/>
      <c r="AZ196" s="17"/>
    </row>
    <row r="197">
      <c r="A197" s="17"/>
      <c r="AZ197" s="17"/>
    </row>
    <row r="198">
      <c r="A198" s="17"/>
      <c r="AZ198" s="17"/>
    </row>
    <row r="199">
      <c r="A199" s="17"/>
      <c r="AZ199" s="17"/>
    </row>
    <row r="200">
      <c r="A200" s="17"/>
      <c r="AZ200" s="17"/>
    </row>
    <row r="201">
      <c r="A201" s="17"/>
      <c r="AZ201" s="17"/>
    </row>
    <row r="202">
      <c r="A202" s="17"/>
      <c r="AZ202" s="17"/>
    </row>
    <row r="203">
      <c r="A203" s="17"/>
      <c r="AZ203" s="17"/>
    </row>
    <row r="204">
      <c r="A204" s="17"/>
      <c r="AZ204" s="17"/>
    </row>
    <row r="205">
      <c r="A205" s="17"/>
      <c r="AZ205" s="17"/>
    </row>
    <row r="206">
      <c r="A206" s="17"/>
      <c r="AZ206" s="17"/>
    </row>
    <row r="207">
      <c r="A207" s="17"/>
      <c r="AZ207" s="17"/>
    </row>
    <row r="208">
      <c r="A208" s="17"/>
      <c r="AZ208" s="17"/>
    </row>
    <row r="209">
      <c r="A209" s="17"/>
      <c r="AZ209" s="17"/>
    </row>
    <row r="210">
      <c r="A210" s="17"/>
      <c r="AZ210" s="17"/>
    </row>
    <row r="211">
      <c r="A211" s="17"/>
      <c r="AZ211" s="17"/>
    </row>
    <row r="212">
      <c r="A212" s="17"/>
      <c r="AZ212" s="17"/>
    </row>
    <row r="213">
      <c r="A213" s="17"/>
      <c r="AZ213" s="17"/>
    </row>
    <row r="214">
      <c r="A214" s="17"/>
      <c r="AZ214" s="17"/>
    </row>
    <row r="215">
      <c r="A215" s="17"/>
      <c r="AZ215" s="17"/>
    </row>
    <row r="216">
      <c r="A216" s="17"/>
      <c r="AZ216" s="17"/>
    </row>
    <row r="217">
      <c r="A217" s="17"/>
      <c r="AZ217" s="17"/>
    </row>
    <row r="218">
      <c r="A218" s="17"/>
      <c r="AZ218" s="17"/>
    </row>
    <row r="219">
      <c r="A219" s="17"/>
      <c r="AZ219" s="17"/>
    </row>
    <row r="220">
      <c r="A220" s="17"/>
      <c r="AZ220" s="17"/>
    </row>
    <row r="221">
      <c r="A221" s="17"/>
      <c r="AZ221" s="17"/>
    </row>
    <row r="222">
      <c r="A222" s="17"/>
      <c r="AZ222" s="17"/>
    </row>
    <row r="223">
      <c r="A223" s="17"/>
      <c r="AZ223" s="17"/>
    </row>
    <row r="224">
      <c r="A224" s="17"/>
      <c r="AZ224" s="17"/>
    </row>
    <row r="225">
      <c r="A225" s="17"/>
      <c r="AZ225" s="17"/>
    </row>
    <row r="226">
      <c r="A226" s="17"/>
      <c r="AZ226" s="17"/>
    </row>
    <row r="227">
      <c r="A227" s="17"/>
      <c r="AZ227" s="17"/>
    </row>
    <row r="228">
      <c r="A228" s="17"/>
      <c r="AZ228" s="17"/>
    </row>
    <row r="229">
      <c r="A229" s="17"/>
      <c r="AZ229" s="17"/>
    </row>
    <row r="230">
      <c r="A230" s="17"/>
      <c r="AZ230" s="17"/>
    </row>
    <row r="231">
      <c r="A231" s="17"/>
      <c r="AZ231" s="17"/>
    </row>
    <row r="232">
      <c r="A232" s="17"/>
      <c r="AZ232" s="17"/>
    </row>
    <row r="233">
      <c r="A233" s="17"/>
      <c r="AZ233" s="17"/>
    </row>
    <row r="234">
      <c r="A234" s="17"/>
      <c r="AZ234" s="17"/>
    </row>
    <row r="235">
      <c r="A235" s="17"/>
      <c r="AZ235" s="17"/>
    </row>
    <row r="236">
      <c r="A236" s="17"/>
      <c r="AZ236" s="17"/>
    </row>
    <row r="237">
      <c r="A237" s="17"/>
      <c r="AZ237" s="17"/>
    </row>
    <row r="238">
      <c r="A238" s="17"/>
      <c r="AZ238" s="17"/>
    </row>
    <row r="239">
      <c r="A239" s="17"/>
      <c r="AZ239" s="17"/>
    </row>
    <row r="240">
      <c r="A240" s="17"/>
      <c r="AZ240" s="17"/>
    </row>
    <row r="241">
      <c r="A241" s="17"/>
      <c r="AZ241" s="17"/>
    </row>
    <row r="242">
      <c r="A242" s="17"/>
      <c r="AZ242" s="17"/>
    </row>
    <row r="243">
      <c r="A243" s="17"/>
      <c r="AZ243" s="17"/>
    </row>
    <row r="244">
      <c r="A244" s="17"/>
      <c r="AZ244" s="17"/>
    </row>
    <row r="245">
      <c r="A245" s="17"/>
      <c r="AZ245" s="17"/>
    </row>
    <row r="246">
      <c r="A246" s="17"/>
      <c r="AZ246" s="17"/>
    </row>
    <row r="247">
      <c r="A247" s="17"/>
      <c r="AZ247" s="17"/>
    </row>
    <row r="248">
      <c r="A248" s="17"/>
      <c r="AZ248" s="17"/>
    </row>
    <row r="249">
      <c r="A249" s="17"/>
      <c r="AZ249" s="17"/>
    </row>
    <row r="250">
      <c r="A250" s="17"/>
      <c r="AZ250" s="17"/>
    </row>
    <row r="251">
      <c r="A251" s="17"/>
      <c r="AZ251" s="17"/>
    </row>
    <row r="252">
      <c r="A252" s="17"/>
      <c r="AZ252" s="17"/>
    </row>
    <row r="253">
      <c r="A253" s="17"/>
      <c r="AZ253" s="17"/>
    </row>
    <row r="254">
      <c r="A254" s="17"/>
      <c r="AZ254" s="17"/>
    </row>
    <row r="255">
      <c r="A255" s="17"/>
      <c r="AZ255" s="17"/>
    </row>
    <row r="256">
      <c r="A256" s="17"/>
      <c r="AZ256" s="17"/>
    </row>
    <row r="257">
      <c r="A257" s="17"/>
      <c r="AZ257" s="17"/>
    </row>
    <row r="258">
      <c r="A258" s="17"/>
      <c r="AZ258" s="17"/>
    </row>
    <row r="259">
      <c r="A259" s="17"/>
      <c r="AZ259" s="17"/>
    </row>
    <row r="260">
      <c r="A260" s="17"/>
      <c r="AZ260" s="17"/>
    </row>
    <row r="261">
      <c r="A261" s="17"/>
      <c r="AZ261" s="17"/>
    </row>
    <row r="262">
      <c r="A262" s="17"/>
      <c r="AZ262" s="17"/>
    </row>
    <row r="263">
      <c r="A263" s="17"/>
      <c r="AZ263" s="17"/>
    </row>
    <row r="264">
      <c r="A264" s="17"/>
      <c r="AZ264" s="17"/>
    </row>
    <row r="265">
      <c r="A265" s="17"/>
      <c r="AZ265" s="17"/>
    </row>
    <row r="266">
      <c r="A266" s="17"/>
      <c r="AZ266" s="17"/>
    </row>
    <row r="267">
      <c r="A267" s="17"/>
      <c r="AZ267" s="17"/>
    </row>
    <row r="268">
      <c r="A268" s="17"/>
      <c r="AZ268" s="17"/>
    </row>
    <row r="269">
      <c r="A269" s="17"/>
      <c r="AZ269" s="17"/>
    </row>
    <row r="270">
      <c r="A270" s="17"/>
      <c r="AZ270" s="17"/>
    </row>
    <row r="271">
      <c r="A271" s="17"/>
      <c r="AZ271" s="17"/>
    </row>
    <row r="272">
      <c r="A272" s="17"/>
      <c r="AZ272" s="17"/>
    </row>
    <row r="273">
      <c r="A273" s="17"/>
      <c r="AZ273" s="17"/>
    </row>
    <row r="274">
      <c r="A274" s="17"/>
      <c r="AZ274" s="17"/>
    </row>
    <row r="275">
      <c r="A275" s="17"/>
      <c r="AZ275" s="17"/>
    </row>
    <row r="276">
      <c r="A276" s="17"/>
      <c r="AZ276" s="17"/>
    </row>
    <row r="277">
      <c r="A277" s="17"/>
      <c r="AZ277" s="17"/>
    </row>
    <row r="278">
      <c r="A278" s="17"/>
      <c r="AZ278" s="17"/>
    </row>
    <row r="279">
      <c r="A279" s="17"/>
      <c r="AZ279" s="17"/>
    </row>
    <row r="280">
      <c r="A280" s="17"/>
      <c r="AZ280" s="17"/>
    </row>
    <row r="281">
      <c r="A281" s="17"/>
      <c r="AZ281" s="17"/>
    </row>
    <row r="282">
      <c r="A282" s="17"/>
      <c r="AZ282" s="17"/>
    </row>
    <row r="283">
      <c r="A283" s="17"/>
      <c r="AZ283" s="17"/>
    </row>
    <row r="284">
      <c r="A284" s="17"/>
      <c r="AZ284" s="17"/>
    </row>
    <row r="285">
      <c r="A285" s="17"/>
      <c r="AZ285" s="17"/>
    </row>
    <row r="286">
      <c r="A286" s="17"/>
      <c r="AZ286" s="17"/>
    </row>
    <row r="287">
      <c r="A287" s="17"/>
      <c r="AZ287" s="17"/>
    </row>
    <row r="288">
      <c r="A288" s="17"/>
      <c r="AZ288" s="17"/>
    </row>
    <row r="289">
      <c r="A289" s="17"/>
      <c r="AZ289" s="17"/>
    </row>
    <row r="290">
      <c r="A290" s="17"/>
      <c r="AZ290" s="17"/>
    </row>
    <row r="291">
      <c r="A291" s="17"/>
      <c r="AZ291" s="17"/>
    </row>
    <row r="292">
      <c r="A292" s="17"/>
      <c r="AZ292" s="17"/>
    </row>
    <row r="293">
      <c r="A293" s="17"/>
      <c r="AZ293" s="17"/>
    </row>
    <row r="294">
      <c r="A294" s="17"/>
      <c r="AZ294" s="17"/>
    </row>
    <row r="295">
      <c r="A295" s="17"/>
      <c r="AZ295" s="17"/>
    </row>
    <row r="296">
      <c r="A296" s="17"/>
      <c r="AZ296" s="17"/>
    </row>
    <row r="297">
      <c r="A297" s="17"/>
      <c r="AZ297" s="17"/>
    </row>
    <row r="298">
      <c r="A298" s="17"/>
      <c r="AZ298" s="17"/>
    </row>
    <row r="299">
      <c r="A299" s="17"/>
      <c r="AZ299" s="17"/>
    </row>
    <row r="300">
      <c r="A300" s="17"/>
      <c r="AZ300" s="17"/>
    </row>
    <row r="301">
      <c r="A301" s="17"/>
      <c r="AZ301" s="17"/>
    </row>
    <row r="302">
      <c r="A302" s="17"/>
      <c r="AZ302" s="17"/>
    </row>
    <row r="303">
      <c r="A303" s="17"/>
      <c r="AZ303" s="17"/>
    </row>
    <row r="304">
      <c r="A304" s="17"/>
      <c r="AZ304" s="17"/>
    </row>
    <row r="305">
      <c r="A305" s="17"/>
      <c r="AZ305" s="17"/>
    </row>
    <row r="306">
      <c r="A306" s="17"/>
      <c r="AZ306" s="17"/>
    </row>
    <row r="307">
      <c r="A307" s="17"/>
      <c r="AZ307" s="17"/>
    </row>
    <row r="308">
      <c r="A308" s="17"/>
      <c r="AZ308" s="17"/>
    </row>
    <row r="309">
      <c r="A309" s="17"/>
      <c r="AZ309" s="17"/>
    </row>
    <row r="310">
      <c r="A310" s="17"/>
      <c r="AZ310" s="17"/>
    </row>
    <row r="311">
      <c r="A311" s="17"/>
      <c r="AZ311" s="17"/>
    </row>
    <row r="312">
      <c r="A312" s="17"/>
      <c r="AZ312" s="17"/>
    </row>
    <row r="313">
      <c r="A313" s="17"/>
      <c r="AZ313" s="17"/>
    </row>
    <row r="314">
      <c r="A314" s="17"/>
      <c r="AZ314" s="17"/>
    </row>
    <row r="315">
      <c r="A315" s="17"/>
      <c r="AZ315" s="17"/>
    </row>
    <row r="316">
      <c r="A316" s="17"/>
      <c r="AZ316" s="17"/>
    </row>
    <row r="317">
      <c r="A317" s="17"/>
      <c r="AZ317" s="17"/>
    </row>
    <row r="318">
      <c r="A318" s="17"/>
      <c r="AZ318" s="17"/>
    </row>
    <row r="319">
      <c r="A319" s="17"/>
      <c r="AZ319" s="17"/>
    </row>
    <row r="320">
      <c r="A320" s="17"/>
      <c r="AZ320" s="17"/>
    </row>
    <row r="321">
      <c r="A321" s="17"/>
      <c r="AZ321" s="17"/>
    </row>
    <row r="322">
      <c r="A322" s="17"/>
      <c r="AZ322" s="17"/>
    </row>
    <row r="323">
      <c r="A323" s="17"/>
      <c r="AZ323" s="17"/>
    </row>
    <row r="324">
      <c r="A324" s="17"/>
      <c r="AZ324" s="17"/>
    </row>
    <row r="325">
      <c r="A325" s="17"/>
      <c r="AZ325" s="17"/>
    </row>
    <row r="326">
      <c r="A326" s="17"/>
      <c r="AZ326" s="17"/>
    </row>
    <row r="327">
      <c r="A327" s="17"/>
      <c r="AZ327" s="17"/>
    </row>
    <row r="328">
      <c r="A328" s="17"/>
      <c r="AZ328" s="17"/>
    </row>
    <row r="329">
      <c r="A329" s="17"/>
      <c r="AZ329" s="17"/>
    </row>
    <row r="330">
      <c r="A330" s="17"/>
      <c r="AZ330" s="17"/>
    </row>
    <row r="331">
      <c r="A331" s="17"/>
      <c r="AZ331" s="17"/>
    </row>
    <row r="332">
      <c r="A332" s="17"/>
      <c r="AZ332" s="17"/>
    </row>
    <row r="333">
      <c r="A333" s="17"/>
      <c r="AZ333" s="17"/>
    </row>
    <row r="334">
      <c r="A334" s="17"/>
      <c r="AZ334" s="17"/>
    </row>
    <row r="335">
      <c r="A335" s="17"/>
      <c r="AZ335" s="17"/>
    </row>
    <row r="336">
      <c r="A336" s="17"/>
      <c r="AZ336" s="17"/>
    </row>
    <row r="337">
      <c r="A337" s="17"/>
      <c r="AZ337" s="17"/>
    </row>
    <row r="338">
      <c r="A338" s="17"/>
      <c r="AZ338" s="17"/>
    </row>
    <row r="339">
      <c r="A339" s="17"/>
      <c r="AZ339" s="17"/>
    </row>
    <row r="340">
      <c r="A340" s="17"/>
      <c r="AZ340" s="17"/>
    </row>
    <row r="341">
      <c r="A341" s="17"/>
      <c r="AZ341" s="17"/>
    </row>
    <row r="342">
      <c r="A342" s="17"/>
      <c r="AZ342" s="17"/>
    </row>
    <row r="343">
      <c r="A343" s="17"/>
      <c r="AZ343" s="17"/>
    </row>
    <row r="344">
      <c r="A344" s="17"/>
      <c r="AZ344" s="17"/>
    </row>
    <row r="345">
      <c r="A345" s="17"/>
      <c r="AZ345" s="17"/>
    </row>
    <row r="346">
      <c r="A346" s="17"/>
      <c r="AZ346" s="17"/>
    </row>
    <row r="347">
      <c r="A347" s="17"/>
      <c r="AZ347" s="17"/>
    </row>
    <row r="348">
      <c r="A348" s="17"/>
      <c r="AZ348" s="17"/>
    </row>
    <row r="349">
      <c r="A349" s="17"/>
      <c r="AZ349" s="17"/>
    </row>
    <row r="350">
      <c r="A350" s="17"/>
      <c r="AZ350" s="17"/>
    </row>
    <row r="351">
      <c r="A351" s="17"/>
      <c r="AZ351" s="17"/>
    </row>
    <row r="352">
      <c r="A352" s="17"/>
      <c r="AZ352" s="17"/>
    </row>
    <row r="353">
      <c r="A353" s="17"/>
      <c r="AZ353" s="17"/>
    </row>
    <row r="354">
      <c r="A354" s="17"/>
      <c r="AZ354" s="17"/>
    </row>
    <row r="355">
      <c r="A355" s="17"/>
      <c r="AZ355" s="17"/>
    </row>
    <row r="356">
      <c r="A356" s="17"/>
      <c r="AZ356" s="17"/>
    </row>
    <row r="357">
      <c r="A357" s="17"/>
      <c r="AZ357" s="17"/>
    </row>
    <row r="358">
      <c r="A358" s="17"/>
      <c r="AZ358" s="17"/>
    </row>
    <row r="359">
      <c r="A359" s="17"/>
      <c r="AZ359" s="17"/>
    </row>
    <row r="360">
      <c r="A360" s="17"/>
      <c r="AZ360" s="17"/>
    </row>
    <row r="361">
      <c r="A361" s="17"/>
      <c r="AZ361" s="17"/>
    </row>
    <row r="362">
      <c r="A362" s="17"/>
      <c r="AZ362" s="17"/>
    </row>
    <row r="363">
      <c r="A363" s="17"/>
      <c r="AZ363" s="17"/>
    </row>
    <row r="364">
      <c r="A364" s="17"/>
      <c r="AZ364" s="17"/>
    </row>
    <row r="365">
      <c r="A365" s="17"/>
      <c r="AZ365" s="17"/>
    </row>
    <row r="366">
      <c r="A366" s="17"/>
      <c r="AZ366" s="17"/>
    </row>
    <row r="367">
      <c r="A367" s="17"/>
      <c r="AZ367" s="17"/>
    </row>
    <row r="368">
      <c r="A368" s="17"/>
      <c r="AZ368" s="17"/>
    </row>
    <row r="369">
      <c r="A369" s="17"/>
      <c r="AZ369" s="17"/>
    </row>
    <row r="370">
      <c r="A370" s="17"/>
      <c r="AZ370" s="17"/>
    </row>
    <row r="371">
      <c r="A371" s="17"/>
      <c r="AZ371" s="17"/>
    </row>
    <row r="372">
      <c r="A372" s="17"/>
      <c r="AZ372" s="17"/>
    </row>
    <row r="373">
      <c r="A373" s="17"/>
      <c r="AZ373" s="17"/>
    </row>
    <row r="374">
      <c r="A374" s="17"/>
      <c r="AZ374" s="17"/>
    </row>
    <row r="375">
      <c r="A375" s="17"/>
      <c r="AZ375" s="17"/>
    </row>
    <row r="376">
      <c r="A376" s="17"/>
      <c r="AZ376" s="17"/>
    </row>
    <row r="377">
      <c r="A377" s="17"/>
      <c r="AZ377" s="17"/>
    </row>
    <row r="378">
      <c r="A378" s="17"/>
      <c r="AZ378" s="17"/>
    </row>
    <row r="379">
      <c r="A379" s="17"/>
      <c r="AZ379" s="17"/>
    </row>
    <row r="380">
      <c r="A380" s="17"/>
      <c r="AZ380" s="17"/>
    </row>
    <row r="381">
      <c r="A381" s="17"/>
      <c r="AZ381" s="17"/>
    </row>
    <row r="382">
      <c r="A382" s="17"/>
      <c r="AZ382" s="17"/>
    </row>
    <row r="383">
      <c r="A383" s="17"/>
      <c r="AZ383" s="17"/>
    </row>
    <row r="384">
      <c r="A384" s="17"/>
      <c r="AZ384" s="17"/>
    </row>
    <row r="385">
      <c r="A385" s="17"/>
      <c r="AZ385" s="17"/>
    </row>
    <row r="386">
      <c r="A386" s="17"/>
      <c r="AZ386" s="17"/>
    </row>
    <row r="387">
      <c r="A387" s="17"/>
      <c r="AZ387" s="17"/>
    </row>
    <row r="388">
      <c r="A388" s="17"/>
      <c r="AZ388" s="17"/>
    </row>
    <row r="389">
      <c r="A389" s="17"/>
      <c r="AZ389" s="17"/>
    </row>
    <row r="390">
      <c r="A390" s="17"/>
      <c r="AZ390" s="17"/>
    </row>
    <row r="391">
      <c r="A391" s="17"/>
      <c r="AZ391" s="17"/>
    </row>
    <row r="392">
      <c r="A392" s="17"/>
      <c r="AZ392" s="17"/>
    </row>
    <row r="393">
      <c r="A393" s="17"/>
      <c r="AZ393" s="17"/>
    </row>
    <row r="394">
      <c r="A394" s="17"/>
      <c r="AZ394" s="17"/>
    </row>
    <row r="395">
      <c r="A395" s="17"/>
      <c r="AZ395" s="17"/>
    </row>
    <row r="396">
      <c r="A396" s="17"/>
      <c r="AZ396" s="17"/>
    </row>
    <row r="397">
      <c r="A397" s="17"/>
      <c r="AZ397" s="17"/>
    </row>
    <row r="398">
      <c r="A398" s="17"/>
      <c r="AZ398" s="17"/>
    </row>
    <row r="399">
      <c r="A399" s="17"/>
      <c r="AZ399" s="17"/>
    </row>
    <row r="400">
      <c r="A400" s="17"/>
      <c r="AZ400" s="17"/>
    </row>
    <row r="401">
      <c r="A401" s="17"/>
      <c r="AZ401" s="17"/>
    </row>
    <row r="402">
      <c r="A402" s="17"/>
      <c r="AZ402" s="17"/>
    </row>
    <row r="403">
      <c r="A403" s="17"/>
      <c r="AZ403" s="17"/>
    </row>
    <row r="404">
      <c r="A404" s="17"/>
      <c r="AZ404" s="17"/>
    </row>
    <row r="405">
      <c r="A405" s="17"/>
      <c r="AZ405" s="17"/>
    </row>
    <row r="406">
      <c r="A406" s="17"/>
      <c r="AZ406" s="17"/>
    </row>
    <row r="407">
      <c r="A407" s="17"/>
      <c r="AZ407" s="17"/>
    </row>
    <row r="408">
      <c r="A408" s="17"/>
      <c r="AZ408" s="17"/>
    </row>
    <row r="409">
      <c r="A409" s="17"/>
      <c r="AZ409" s="17"/>
    </row>
    <row r="410">
      <c r="A410" s="17"/>
      <c r="AZ410" s="17"/>
    </row>
    <row r="411">
      <c r="A411" s="17"/>
      <c r="AZ411" s="17"/>
    </row>
    <row r="412">
      <c r="A412" s="17"/>
      <c r="AZ412" s="17"/>
    </row>
    <row r="413">
      <c r="A413" s="17"/>
      <c r="AZ413" s="17"/>
    </row>
    <row r="414">
      <c r="A414" s="17"/>
      <c r="AZ414" s="17"/>
    </row>
    <row r="415">
      <c r="A415" s="17"/>
      <c r="AZ415" s="17"/>
    </row>
    <row r="416">
      <c r="A416" s="17"/>
      <c r="AZ416" s="17"/>
    </row>
    <row r="417">
      <c r="A417" s="17"/>
      <c r="AZ417" s="17"/>
    </row>
    <row r="418">
      <c r="A418" s="17"/>
      <c r="AZ418" s="17"/>
    </row>
    <row r="419">
      <c r="A419" s="17"/>
      <c r="AZ419" s="17"/>
    </row>
    <row r="420">
      <c r="A420" s="17"/>
      <c r="AZ420" s="17"/>
    </row>
    <row r="421">
      <c r="A421" s="17"/>
      <c r="AZ421" s="17"/>
    </row>
    <row r="422">
      <c r="A422" s="17"/>
      <c r="AZ422" s="17"/>
    </row>
    <row r="423">
      <c r="A423" s="17"/>
      <c r="AZ423" s="17"/>
    </row>
    <row r="424">
      <c r="A424" s="17"/>
      <c r="AZ424" s="17"/>
    </row>
    <row r="425">
      <c r="A425" s="17"/>
      <c r="AZ425" s="17"/>
    </row>
    <row r="426">
      <c r="A426" s="17"/>
      <c r="AZ426" s="17"/>
    </row>
    <row r="427">
      <c r="A427" s="17"/>
      <c r="AZ427" s="17"/>
    </row>
    <row r="428">
      <c r="A428" s="17"/>
      <c r="AZ428" s="17"/>
    </row>
    <row r="429">
      <c r="A429" s="17"/>
      <c r="AZ429" s="17"/>
    </row>
    <row r="430">
      <c r="A430" s="17"/>
      <c r="AZ430" s="17"/>
    </row>
    <row r="431">
      <c r="A431" s="17"/>
      <c r="AZ431" s="17"/>
    </row>
    <row r="432">
      <c r="A432" s="17"/>
      <c r="AZ432" s="17"/>
    </row>
    <row r="433">
      <c r="A433" s="17"/>
      <c r="AZ433" s="17"/>
    </row>
    <row r="434">
      <c r="A434" s="17"/>
      <c r="AZ434" s="17"/>
    </row>
    <row r="435">
      <c r="A435" s="17"/>
      <c r="AZ435" s="17"/>
    </row>
    <row r="436">
      <c r="A436" s="17"/>
      <c r="AZ436" s="17"/>
    </row>
    <row r="437">
      <c r="A437" s="17"/>
      <c r="AZ437" s="17"/>
    </row>
    <row r="438">
      <c r="A438" s="17"/>
      <c r="AZ438" s="17"/>
    </row>
    <row r="439">
      <c r="A439" s="17"/>
      <c r="AZ439" s="17"/>
    </row>
    <row r="440">
      <c r="A440" s="17"/>
      <c r="AZ440" s="17"/>
    </row>
    <row r="441">
      <c r="A441" s="17"/>
      <c r="AZ441" s="17"/>
    </row>
    <row r="442">
      <c r="A442" s="17"/>
      <c r="AZ442" s="17"/>
    </row>
    <row r="443">
      <c r="A443" s="17"/>
      <c r="AZ443" s="17"/>
    </row>
    <row r="444">
      <c r="A444" s="17"/>
      <c r="AZ444" s="17"/>
    </row>
    <row r="445">
      <c r="A445" s="17"/>
      <c r="AZ445" s="17"/>
    </row>
    <row r="446">
      <c r="A446" s="17"/>
      <c r="AZ446" s="17"/>
    </row>
    <row r="447">
      <c r="A447" s="17"/>
      <c r="AZ447" s="17"/>
    </row>
    <row r="448">
      <c r="A448" s="17"/>
      <c r="AZ448" s="17"/>
    </row>
    <row r="449">
      <c r="A449" s="17"/>
      <c r="AZ449" s="17"/>
    </row>
    <row r="450">
      <c r="A450" s="17"/>
      <c r="AZ450" s="17"/>
    </row>
    <row r="451">
      <c r="A451" s="17"/>
      <c r="AZ451" s="17"/>
    </row>
    <row r="452">
      <c r="A452" s="17"/>
      <c r="AZ452" s="17"/>
    </row>
    <row r="453">
      <c r="A453" s="17"/>
      <c r="AZ453" s="17"/>
    </row>
    <row r="454">
      <c r="A454" s="17"/>
      <c r="AZ454" s="17"/>
    </row>
    <row r="455">
      <c r="A455" s="17"/>
      <c r="AZ455" s="17"/>
    </row>
    <row r="456">
      <c r="A456" s="17"/>
      <c r="AZ456" s="17"/>
    </row>
    <row r="457">
      <c r="A457" s="17"/>
      <c r="AZ457" s="17"/>
    </row>
    <row r="458">
      <c r="A458" s="17"/>
      <c r="AZ458" s="17"/>
    </row>
    <row r="459">
      <c r="A459" s="17"/>
      <c r="AZ459" s="17"/>
    </row>
    <row r="460">
      <c r="A460" s="17"/>
      <c r="AZ460" s="17"/>
    </row>
    <row r="461">
      <c r="A461" s="17"/>
      <c r="AZ461" s="17"/>
    </row>
    <row r="462">
      <c r="A462" s="17"/>
      <c r="AZ462" s="17"/>
    </row>
    <row r="463">
      <c r="A463" s="17"/>
      <c r="AZ463" s="17"/>
    </row>
    <row r="464">
      <c r="A464" s="17"/>
      <c r="AZ464" s="17"/>
    </row>
    <row r="465">
      <c r="A465" s="17"/>
      <c r="AZ465" s="17"/>
    </row>
    <row r="466">
      <c r="A466" s="17"/>
      <c r="AZ466" s="17"/>
    </row>
    <row r="467">
      <c r="A467" s="17"/>
      <c r="AZ467" s="17"/>
    </row>
    <row r="468">
      <c r="A468" s="17"/>
      <c r="AZ468" s="17"/>
    </row>
    <row r="469">
      <c r="A469" s="17"/>
      <c r="AZ469" s="17"/>
    </row>
    <row r="470">
      <c r="A470" s="17"/>
      <c r="AZ470" s="17"/>
    </row>
    <row r="471">
      <c r="A471" s="17"/>
      <c r="AZ471" s="17"/>
    </row>
    <row r="472">
      <c r="A472" s="17"/>
      <c r="AZ472" s="17"/>
    </row>
    <row r="473">
      <c r="A473" s="17"/>
      <c r="AZ473" s="17"/>
    </row>
    <row r="474">
      <c r="A474" s="17"/>
      <c r="AZ474" s="17"/>
    </row>
    <row r="475">
      <c r="A475" s="17"/>
      <c r="AZ475" s="17"/>
    </row>
    <row r="476">
      <c r="A476" s="17"/>
      <c r="AZ476" s="17"/>
    </row>
    <row r="477">
      <c r="A477" s="17"/>
      <c r="AZ477" s="17"/>
    </row>
    <row r="478">
      <c r="A478" s="17"/>
      <c r="AZ478" s="17"/>
    </row>
    <row r="479">
      <c r="A479" s="17"/>
      <c r="AZ479" s="17"/>
    </row>
    <row r="480">
      <c r="A480" s="17"/>
      <c r="AZ480" s="17"/>
    </row>
    <row r="481">
      <c r="A481" s="17"/>
      <c r="AZ481" s="17"/>
    </row>
    <row r="482">
      <c r="A482" s="17"/>
      <c r="AZ482" s="17"/>
    </row>
    <row r="483">
      <c r="A483" s="17"/>
      <c r="AZ483" s="17"/>
    </row>
    <row r="484">
      <c r="A484" s="17"/>
      <c r="AZ484" s="17"/>
    </row>
    <row r="485">
      <c r="A485" s="17"/>
      <c r="AZ485" s="17"/>
    </row>
    <row r="486">
      <c r="A486" s="17"/>
      <c r="AZ486" s="17"/>
    </row>
    <row r="487">
      <c r="A487" s="17"/>
      <c r="AZ487" s="17"/>
    </row>
    <row r="488">
      <c r="A488" s="17"/>
      <c r="AZ488" s="17"/>
    </row>
    <row r="489">
      <c r="A489" s="17"/>
      <c r="AZ489" s="17"/>
    </row>
    <row r="490">
      <c r="A490" s="17"/>
      <c r="AZ490" s="17"/>
    </row>
    <row r="491">
      <c r="A491" s="17"/>
      <c r="AZ491" s="17"/>
    </row>
    <row r="492">
      <c r="A492" s="17"/>
      <c r="AZ492" s="17"/>
    </row>
    <row r="493">
      <c r="A493" s="17"/>
      <c r="AZ493" s="17"/>
    </row>
    <row r="494">
      <c r="A494" s="17"/>
      <c r="AZ494" s="17"/>
    </row>
    <row r="495">
      <c r="A495" s="17"/>
      <c r="AZ495" s="17"/>
    </row>
    <row r="496">
      <c r="A496" s="17"/>
      <c r="AZ496" s="17"/>
    </row>
    <row r="497">
      <c r="A497" s="17"/>
      <c r="AZ497" s="17"/>
    </row>
    <row r="498">
      <c r="A498" s="17"/>
      <c r="AZ498" s="17"/>
    </row>
    <row r="499">
      <c r="A499" s="17"/>
      <c r="AZ499" s="17"/>
    </row>
    <row r="500">
      <c r="A500" s="17"/>
      <c r="AZ500" s="17"/>
    </row>
    <row r="501">
      <c r="A501" s="17"/>
      <c r="AZ501" s="17"/>
    </row>
    <row r="502">
      <c r="A502" s="17"/>
      <c r="AZ502" s="17"/>
    </row>
    <row r="503">
      <c r="A503" s="17"/>
      <c r="AZ503" s="17"/>
    </row>
    <row r="504">
      <c r="A504" s="17"/>
      <c r="AZ504" s="17"/>
    </row>
    <row r="505">
      <c r="A505" s="17"/>
      <c r="AZ505" s="17"/>
    </row>
    <row r="506">
      <c r="A506" s="17"/>
      <c r="AZ506" s="17"/>
    </row>
    <row r="507">
      <c r="A507" s="17"/>
      <c r="AZ507" s="17"/>
    </row>
    <row r="508">
      <c r="A508" s="17"/>
      <c r="AZ508" s="17"/>
    </row>
    <row r="509">
      <c r="A509" s="17"/>
      <c r="AZ509" s="17"/>
    </row>
    <row r="510">
      <c r="A510" s="17"/>
      <c r="AZ510" s="17"/>
    </row>
    <row r="511">
      <c r="A511" s="17"/>
      <c r="AZ511" s="17"/>
    </row>
    <row r="512">
      <c r="A512" s="17"/>
      <c r="AZ512" s="17"/>
    </row>
    <row r="513">
      <c r="A513" s="17"/>
      <c r="AZ513" s="17"/>
    </row>
    <row r="514">
      <c r="A514" s="17"/>
      <c r="AZ514" s="17"/>
    </row>
    <row r="515">
      <c r="A515" s="17"/>
      <c r="AZ515" s="17"/>
    </row>
    <row r="516">
      <c r="A516" s="17"/>
      <c r="AZ516" s="17"/>
    </row>
    <row r="517">
      <c r="A517" s="17"/>
      <c r="AZ517" s="17"/>
    </row>
    <row r="518">
      <c r="A518" s="17"/>
      <c r="AZ518" s="17"/>
    </row>
    <row r="519">
      <c r="A519" s="17"/>
      <c r="AZ519" s="17"/>
    </row>
    <row r="520">
      <c r="A520" s="17"/>
      <c r="AZ520" s="17"/>
    </row>
    <row r="521">
      <c r="A521" s="17"/>
      <c r="AZ521" s="17"/>
    </row>
    <row r="522">
      <c r="A522" s="17"/>
      <c r="AZ522" s="17"/>
    </row>
    <row r="523">
      <c r="A523" s="17"/>
      <c r="AZ523" s="17"/>
    </row>
    <row r="524">
      <c r="A524" s="17"/>
      <c r="AZ524" s="17"/>
    </row>
    <row r="525">
      <c r="A525" s="17"/>
      <c r="AZ525" s="17"/>
    </row>
    <row r="526">
      <c r="A526" s="17"/>
      <c r="AZ526" s="17"/>
    </row>
    <row r="527">
      <c r="A527" s="17"/>
      <c r="AZ527" s="17"/>
    </row>
    <row r="528">
      <c r="A528" s="17"/>
      <c r="AZ528" s="17"/>
    </row>
    <row r="529">
      <c r="A529" s="17"/>
      <c r="AZ529" s="17"/>
    </row>
    <row r="530">
      <c r="A530" s="17"/>
      <c r="AZ530" s="17"/>
    </row>
    <row r="531">
      <c r="A531" s="17"/>
      <c r="AZ531" s="17"/>
    </row>
    <row r="532">
      <c r="A532" s="17"/>
      <c r="AZ532" s="17"/>
    </row>
    <row r="533">
      <c r="A533" s="17"/>
      <c r="AZ533" s="17"/>
    </row>
    <row r="534">
      <c r="A534" s="17"/>
      <c r="AZ534" s="17"/>
    </row>
    <row r="535">
      <c r="A535" s="17"/>
      <c r="AZ535" s="17"/>
    </row>
    <row r="536">
      <c r="A536" s="17"/>
      <c r="AZ536" s="17"/>
    </row>
    <row r="537">
      <c r="A537" s="17"/>
      <c r="AZ537" s="17"/>
    </row>
    <row r="538">
      <c r="A538" s="17"/>
      <c r="AZ538" s="17"/>
    </row>
    <row r="539">
      <c r="A539" s="17"/>
      <c r="AZ539" s="17"/>
    </row>
    <row r="540">
      <c r="A540" s="17"/>
      <c r="AZ540" s="17"/>
    </row>
    <row r="541">
      <c r="A541" s="17"/>
      <c r="AZ541" s="17"/>
    </row>
    <row r="542">
      <c r="A542" s="17"/>
      <c r="AZ542" s="17"/>
    </row>
    <row r="543">
      <c r="A543" s="17"/>
      <c r="AZ543" s="17"/>
    </row>
    <row r="544">
      <c r="A544" s="17"/>
      <c r="AZ544" s="17"/>
    </row>
    <row r="545">
      <c r="A545" s="17"/>
      <c r="AZ545" s="17"/>
    </row>
    <row r="546">
      <c r="A546" s="17"/>
      <c r="AZ546" s="17"/>
    </row>
    <row r="547">
      <c r="A547" s="17"/>
      <c r="AZ547" s="17"/>
    </row>
    <row r="548">
      <c r="A548" s="17"/>
      <c r="AZ548" s="17"/>
    </row>
    <row r="549">
      <c r="A549" s="17"/>
      <c r="AZ549" s="17"/>
    </row>
    <row r="550">
      <c r="A550" s="17"/>
      <c r="AZ550" s="17"/>
    </row>
    <row r="551">
      <c r="A551" s="17"/>
      <c r="AZ551" s="17"/>
    </row>
    <row r="552">
      <c r="A552" s="17"/>
      <c r="AZ552" s="17"/>
    </row>
    <row r="553">
      <c r="A553" s="17"/>
      <c r="AZ553" s="17"/>
    </row>
    <row r="554">
      <c r="A554" s="17"/>
      <c r="AZ554" s="17"/>
    </row>
    <row r="555">
      <c r="A555" s="17"/>
      <c r="AZ555" s="17"/>
    </row>
    <row r="556">
      <c r="A556" s="17"/>
      <c r="AZ556" s="17"/>
    </row>
    <row r="557">
      <c r="A557" s="17"/>
      <c r="AZ557" s="17"/>
    </row>
    <row r="558">
      <c r="A558" s="17"/>
      <c r="AZ558" s="17"/>
    </row>
    <row r="559">
      <c r="A559" s="17"/>
      <c r="AZ559" s="17"/>
    </row>
    <row r="560">
      <c r="A560" s="17"/>
      <c r="AZ560" s="17"/>
    </row>
    <row r="561">
      <c r="A561" s="17"/>
      <c r="AZ561" s="17"/>
    </row>
    <row r="562">
      <c r="A562" s="17"/>
      <c r="AZ562" s="17"/>
    </row>
    <row r="563">
      <c r="A563" s="17"/>
      <c r="AZ563" s="17"/>
    </row>
    <row r="564">
      <c r="A564" s="17"/>
      <c r="AZ564" s="17"/>
    </row>
    <row r="565">
      <c r="A565" s="17"/>
      <c r="AZ565" s="17"/>
    </row>
    <row r="566">
      <c r="A566" s="17"/>
      <c r="AZ566" s="17"/>
    </row>
    <row r="567">
      <c r="A567" s="17"/>
      <c r="AZ567" s="17"/>
    </row>
    <row r="568">
      <c r="A568" s="17"/>
      <c r="AZ568" s="17"/>
    </row>
    <row r="569">
      <c r="A569" s="17"/>
      <c r="AZ569" s="17"/>
    </row>
    <row r="570">
      <c r="A570" s="17"/>
      <c r="AZ570" s="17"/>
    </row>
    <row r="571">
      <c r="A571" s="17"/>
      <c r="AZ571" s="17"/>
    </row>
    <row r="572">
      <c r="A572" s="17"/>
      <c r="AZ572" s="17"/>
    </row>
    <row r="573">
      <c r="A573" s="17"/>
      <c r="AZ573" s="17"/>
    </row>
    <row r="574">
      <c r="A574" s="17"/>
      <c r="AZ574" s="17"/>
    </row>
    <row r="575">
      <c r="A575" s="17"/>
      <c r="AZ575" s="17"/>
    </row>
    <row r="576">
      <c r="A576" s="17"/>
      <c r="AZ576" s="17"/>
    </row>
    <row r="577">
      <c r="A577" s="17"/>
      <c r="AZ577" s="17"/>
    </row>
    <row r="578">
      <c r="A578" s="17"/>
      <c r="AZ578" s="17"/>
    </row>
    <row r="579">
      <c r="A579" s="17"/>
      <c r="AZ579" s="17"/>
    </row>
    <row r="580">
      <c r="A580" s="17"/>
      <c r="AZ580" s="17"/>
    </row>
    <row r="581">
      <c r="A581" s="17"/>
      <c r="AZ581" s="17"/>
    </row>
    <row r="582">
      <c r="A582" s="17"/>
      <c r="AZ582" s="17"/>
    </row>
    <row r="583">
      <c r="A583" s="17"/>
      <c r="AZ583" s="17"/>
    </row>
    <row r="584">
      <c r="A584" s="17"/>
      <c r="AZ584" s="17"/>
    </row>
    <row r="585">
      <c r="A585" s="17"/>
      <c r="AZ585" s="17"/>
    </row>
    <row r="586">
      <c r="A586" s="17"/>
      <c r="AZ586" s="17"/>
    </row>
    <row r="587">
      <c r="A587" s="17"/>
      <c r="AZ587" s="17"/>
    </row>
    <row r="588">
      <c r="A588" s="17"/>
      <c r="AZ588" s="17"/>
    </row>
    <row r="589">
      <c r="A589" s="17"/>
      <c r="AZ589" s="17"/>
    </row>
    <row r="590">
      <c r="A590" s="17"/>
      <c r="AZ590" s="17"/>
    </row>
    <row r="591">
      <c r="A591" s="17"/>
      <c r="AZ591" s="17"/>
    </row>
    <row r="592">
      <c r="A592" s="17"/>
      <c r="AZ592" s="17"/>
    </row>
    <row r="593">
      <c r="A593" s="17"/>
      <c r="AZ593" s="17"/>
    </row>
    <row r="594">
      <c r="A594" s="17"/>
      <c r="AZ594" s="17"/>
    </row>
    <row r="595">
      <c r="A595" s="17"/>
      <c r="AZ595" s="17"/>
    </row>
    <row r="596">
      <c r="A596" s="17"/>
      <c r="AZ596" s="17"/>
    </row>
    <row r="597">
      <c r="A597" s="17"/>
      <c r="AZ597" s="17"/>
    </row>
    <row r="598">
      <c r="A598" s="17"/>
      <c r="AZ598" s="17"/>
    </row>
    <row r="599">
      <c r="A599" s="17"/>
      <c r="AZ599" s="17"/>
    </row>
    <row r="600">
      <c r="A600" s="17"/>
      <c r="AZ600" s="17"/>
    </row>
    <row r="601">
      <c r="A601" s="17"/>
      <c r="AZ601" s="17"/>
    </row>
    <row r="602">
      <c r="A602" s="17"/>
      <c r="AZ602" s="17"/>
    </row>
    <row r="603">
      <c r="A603" s="17"/>
      <c r="AZ603" s="17"/>
    </row>
    <row r="604">
      <c r="A604" s="17"/>
      <c r="AZ604" s="17"/>
    </row>
    <row r="605">
      <c r="A605" s="17"/>
      <c r="AZ605" s="17"/>
    </row>
    <row r="606">
      <c r="A606" s="17"/>
      <c r="AZ606" s="17"/>
    </row>
    <row r="607">
      <c r="A607" s="17"/>
      <c r="AZ607" s="17"/>
    </row>
    <row r="608">
      <c r="A608" s="17"/>
      <c r="AZ608" s="17"/>
    </row>
    <row r="609">
      <c r="A609" s="17"/>
      <c r="AZ609" s="17"/>
    </row>
    <row r="610">
      <c r="A610" s="17"/>
      <c r="AZ610" s="17"/>
    </row>
    <row r="611">
      <c r="A611" s="17"/>
      <c r="AZ611" s="17"/>
    </row>
    <row r="612">
      <c r="A612" s="17"/>
      <c r="AZ612" s="17"/>
    </row>
    <row r="613">
      <c r="A613" s="17"/>
      <c r="AZ613" s="17"/>
    </row>
    <row r="614">
      <c r="A614" s="17"/>
      <c r="AZ614" s="17"/>
    </row>
    <row r="615">
      <c r="A615" s="17"/>
      <c r="AZ615" s="17"/>
    </row>
    <row r="616">
      <c r="A616" s="17"/>
      <c r="AZ616" s="17"/>
    </row>
    <row r="617">
      <c r="A617" s="17"/>
      <c r="AZ617" s="17"/>
    </row>
    <row r="618">
      <c r="A618" s="17"/>
      <c r="AZ618" s="17"/>
    </row>
    <row r="619">
      <c r="A619" s="17"/>
      <c r="AZ619" s="17"/>
    </row>
    <row r="620">
      <c r="A620" s="17"/>
      <c r="AZ620" s="17"/>
    </row>
    <row r="621">
      <c r="A621" s="17"/>
      <c r="AZ621" s="17"/>
    </row>
    <row r="622">
      <c r="A622" s="17"/>
      <c r="AZ622" s="17"/>
    </row>
    <row r="623">
      <c r="A623" s="17"/>
      <c r="AZ623" s="17"/>
    </row>
    <row r="624">
      <c r="A624" s="17"/>
      <c r="AZ624" s="17"/>
    </row>
    <row r="625">
      <c r="A625" s="17"/>
      <c r="AZ625" s="17"/>
    </row>
    <row r="626">
      <c r="A626" s="17"/>
      <c r="AZ626" s="17"/>
    </row>
    <row r="627">
      <c r="A627" s="17"/>
      <c r="AZ627" s="17"/>
    </row>
    <row r="628">
      <c r="A628" s="17"/>
      <c r="AZ628" s="17"/>
    </row>
    <row r="629">
      <c r="A629" s="17"/>
      <c r="AZ629" s="17"/>
    </row>
    <row r="630">
      <c r="A630" s="17"/>
      <c r="AZ630" s="17"/>
    </row>
    <row r="631">
      <c r="A631" s="17"/>
      <c r="AZ631" s="17"/>
    </row>
    <row r="632">
      <c r="A632" s="17"/>
      <c r="AZ632" s="17"/>
    </row>
    <row r="633">
      <c r="A633" s="17"/>
      <c r="AZ633" s="17"/>
    </row>
    <row r="634">
      <c r="A634" s="17"/>
      <c r="AZ634" s="17"/>
    </row>
    <row r="635">
      <c r="A635" s="17"/>
      <c r="AZ635" s="17"/>
    </row>
    <row r="636">
      <c r="A636" s="17"/>
      <c r="AZ636" s="17"/>
    </row>
    <row r="637">
      <c r="A637" s="17"/>
      <c r="AZ637" s="17"/>
    </row>
    <row r="638">
      <c r="A638" s="17"/>
      <c r="AZ638" s="17"/>
    </row>
    <row r="639">
      <c r="A639" s="17"/>
      <c r="AZ639" s="17"/>
    </row>
    <row r="640">
      <c r="A640" s="17"/>
      <c r="AZ640" s="17"/>
    </row>
    <row r="641">
      <c r="A641" s="17"/>
      <c r="AZ641" s="17"/>
    </row>
    <row r="642">
      <c r="A642" s="17"/>
      <c r="AZ642" s="17"/>
    </row>
    <row r="643">
      <c r="A643" s="17"/>
      <c r="AZ643" s="17"/>
    </row>
    <row r="644">
      <c r="A644" s="17"/>
      <c r="AZ644" s="17"/>
    </row>
    <row r="645">
      <c r="A645" s="17"/>
      <c r="AZ645" s="17"/>
    </row>
    <row r="646">
      <c r="A646" s="17"/>
      <c r="AZ646" s="17"/>
    </row>
    <row r="647">
      <c r="A647" s="17"/>
      <c r="AZ647" s="17"/>
    </row>
    <row r="648">
      <c r="A648" s="17"/>
      <c r="AZ648" s="17"/>
    </row>
    <row r="649">
      <c r="A649" s="17"/>
      <c r="AZ649" s="17"/>
    </row>
    <row r="650">
      <c r="A650" s="17"/>
      <c r="AZ650" s="17"/>
    </row>
    <row r="651">
      <c r="A651" s="17"/>
      <c r="AZ651" s="17"/>
    </row>
    <row r="652">
      <c r="A652" s="17"/>
      <c r="AZ652" s="17"/>
    </row>
    <row r="653">
      <c r="A653" s="17"/>
      <c r="AZ653" s="17"/>
    </row>
    <row r="654">
      <c r="A654" s="17"/>
      <c r="AZ654" s="17"/>
    </row>
    <row r="655">
      <c r="A655" s="17"/>
      <c r="AZ655" s="17"/>
    </row>
    <row r="656">
      <c r="A656" s="17"/>
      <c r="AZ656" s="17"/>
    </row>
    <row r="657">
      <c r="A657" s="17"/>
      <c r="AZ657" s="17"/>
    </row>
    <row r="658">
      <c r="A658" s="17"/>
      <c r="AZ658" s="17"/>
    </row>
    <row r="659">
      <c r="A659" s="17"/>
      <c r="AZ659" s="17"/>
    </row>
    <row r="660">
      <c r="A660" s="17"/>
      <c r="AZ660" s="17"/>
    </row>
    <row r="661">
      <c r="A661" s="17"/>
      <c r="AZ661" s="17"/>
    </row>
    <row r="662">
      <c r="A662" s="17"/>
      <c r="AZ662" s="17"/>
    </row>
    <row r="663">
      <c r="A663" s="17"/>
      <c r="AZ663" s="17"/>
    </row>
    <row r="664">
      <c r="A664" s="17"/>
      <c r="AZ664" s="17"/>
    </row>
    <row r="665">
      <c r="A665" s="17"/>
      <c r="AZ665" s="17"/>
    </row>
    <row r="666">
      <c r="A666" s="17"/>
      <c r="AZ666" s="17"/>
    </row>
    <row r="667">
      <c r="A667" s="17"/>
      <c r="AZ667" s="17"/>
    </row>
    <row r="668">
      <c r="A668" s="17"/>
      <c r="AZ668" s="17"/>
    </row>
    <row r="669">
      <c r="A669" s="17"/>
      <c r="AZ669" s="17"/>
    </row>
    <row r="670">
      <c r="A670" s="17"/>
      <c r="AZ670" s="17"/>
    </row>
    <row r="671">
      <c r="A671" s="17"/>
      <c r="AZ671" s="17"/>
    </row>
    <row r="672">
      <c r="A672" s="17"/>
      <c r="AZ672" s="17"/>
    </row>
    <row r="673">
      <c r="A673" s="17"/>
      <c r="AZ673" s="17"/>
    </row>
    <row r="674">
      <c r="A674" s="17"/>
      <c r="AZ674" s="17"/>
    </row>
    <row r="675">
      <c r="A675" s="17"/>
      <c r="AZ675" s="17"/>
    </row>
    <row r="676">
      <c r="A676" s="17"/>
      <c r="AZ676" s="17"/>
    </row>
    <row r="677">
      <c r="A677" s="17"/>
      <c r="AZ677" s="17"/>
    </row>
    <row r="678">
      <c r="A678" s="17"/>
      <c r="AZ678" s="17"/>
    </row>
    <row r="679">
      <c r="A679" s="17"/>
      <c r="AZ679" s="17"/>
    </row>
    <row r="680">
      <c r="A680" s="17"/>
      <c r="AZ680" s="17"/>
    </row>
    <row r="681">
      <c r="A681" s="17"/>
      <c r="AZ681" s="17"/>
    </row>
    <row r="682">
      <c r="A682" s="17"/>
      <c r="AZ682" s="17"/>
    </row>
    <row r="683">
      <c r="A683" s="17"/>
      <c r="AZ683" s="17"/>
    </row>
    <row r="684">
      <c r="A684" s="17"/>
      <c r="AZ684" s="17"/>
    </row>
    <row r="685">
      <c r="A685" s="17"/>
      <c r="AZ685" s="17"/>
    </row>
    <row r="686">
      <c r="A686" s="17"/>
      <c r="AZ686" s="17"/>
    </row>
    <row r="687">
      <c r="A687" s="17"/>
      <c r="AZ687" s="17"/>
    </row>
    <row r="688">
      <c r="A688" s="17"/>
      <c r="AZ688" s="17"/>
    </row>
    <row r="689">
      <c r="A689" s="17"/>
      <c r="AZ689" s="17"/>
    </row>
    <row r="690">
      <c r="A690" s="17"/>
      <c r="AZ690" s="17"/>
    </row>
    <row r="691">
      <c r="A691" s="17"/>
      <c r="AZ691" s="17"/>
    </row>
    <row r="692">
      <c r="A692" s="17"/>
      <c r="AZ692" s="17"/>
    </row>
    <row r="693">
      <c r="A693" s="17"/>
      <c r="AZ693" s="17"/>
    </row>
    <row r="694">
      <c r="A694" s="17"/>
      <c r="AZ694" s="17"/>
    </row>
    <row r="695">
      <c r="A695" s="17"/>
      <c r="AZ695" s="17"/>
    </row>
    <row r="696">
      <c r="A696" s="17"/>
      <c r="AZ696" s="17"/>
    </row>
    <row r="697">
      <c r="A697" s="17"/>
      <c r="AZ697" s="17"/>
    </row>
    <row r="698">
      <c r="A698" s="17"/>
      <c r="AZ698" s="17"/>
    </row>
    <row r="699">
      <c r="A699" s="17"/>
      <c r="AZ699" s="17"/>
    </row>
    <row r="700">
      <c r="A700" s="17"/>
      <c r="AZ700" s="17"/>
    </row>
    <row r="701">
      <c r="A701" s="17"/>
      <c r="AZ701" s="17"/>
    </row>
    <row r="702">
      <c r="A702" s="17"/>
      <c r="AZ702" s="17"/>
    </row>
    <row r="703">
      <c r="A703" s="17"/>
      <c r="AZ703" s="17"/>
    </row>
    <row r="704">
      <c r="A704" s="17"/>
      <c r="AZ704" s="17"/>
    </row>
    <row r="705">
      <c r="A705" s="17"/>
      <c r="AZ705" s="17"/>
    </row>
    <row r="706">
      <c r="A706" s="17"/>
      <c r="AZ706" s="17"/>
    </row>
    <row r="707">
      <c r="A707" s="17"/>
      <c r="AZ707" s="17"/>
    </row>
    <row r="708">
      <c r="A708" s="17"/>
      <c r="AZ708" s="17"/>
    </row>
    <row r="709">
      <c r="A709" s="17"/>
      <c r="AZ709" s="17"/>
    </row>
    <row r="710">
      <c r="A710" s="17"/>
      <c r="AZ710" s="17"/>
    </row>
    <row r="711">
      <c r="A711" s="17"/>
      <c r="AZ711" s="17"/>
    </row>
    <row r="712">
      <c r="A712" s="17"/>
      <c r="AZ712" s="17"/>
    </row>
    <row r="713">
      <c r="A713" s="17"/>
      <c r="AZ713" s="17"/>
    </row>
    <row r="714">
      <c r="A714" s="17"/>
      <c r="AZ714" s="17"/>
    </row>
    <row r="715">
      <c r="A715" s="17"/>
      <c r="AZ715" s="17"/>
    </row>
    <row r="716">
      <c r="A716" s="17"/>
      <c r="AZ716" s="17"/>
    </row>
    <row r="717">
      <c r="A717" s="17"/>
      <c r="AZ717" s="17"/>
    </row>
    <row r="718">
      <c r="A718" s="17"/>
      <c r="AZ718" s="17"/>
    </row>
    <row r="719">
      <c r="A719" s="17"/>
      <c r="AZ719" s="17"/>
    </row>
    <row r="720">
      <c r="A720" s="17"/>
      <c r="AZ720" s="17"/>
    </row>
    <row r="721">
      <c r="A721" s="17"/>
      <c r="AZ721" s="17"/>
    </row>
    <row r="722">
      <c r="A722" s="17"/>
      <c r="AZ722" s="17"/>
    </row>
    <row r="723">
      <c r="A723" s="17"/>
      <c r="AZ723" s="17"/>
    </row>
    <row r="724">
      <c r="A724" s="17"/>
      <c r="AZ724" s="17"/>
    </row>
    <row r="725">
      <c r="A725" s="17"/>
      <c r="AZ725" s="17"/>
    </row>
    <row r="726">
      <c r="A726" s="17"/>
      <c r="AZ726" s="17"/>
    </row>
    <row r="727">
      <c r="A727" s="17"/>
      <c r="AZ727" s="17"/>
    </row>
    <row r="728">
      <c r="A728" s="17"/>
      <c r="AZ728" s="17"/>
    </row>
    <row r="729">
      <c r="A729" s="17"/>
      <c r="AZ729" s="17"/>
    </row>
    <row r="730">
      <c r="A730" s="17"/>
      <c r="AZ730" s="17"/>
    </row>
    <row r="731">
      <c r="A731" s="17"/>
      <c r="AZ731" s="17"/>
    </row>
    <row r="732">
      <c r="A732" s="17"/>
      <c r="AZ732" s="17"/>
    </row>
    <row r="733">
      <c r="A733" s="17"/>
      <c r="AZ733" s="17"/>
    </row>
    <row r="734">
      <c r="A734" s="17"/>
      <c r="AZ734" s="17"/>
    </row>
    <row r="735">
      <c r="A735" s="17"/>
      <c r="AZ735" s="17"/>
    </row>
    <row r="736">
      <c r="A736" s="17"/>
      <c r="AZ736" s="17"/>
    </row>
    <row r="737">
      <c r="A737" s="17"/>
      <c r="AZ737" s="17"/>
    </row>
    <row r="738">
      <c r="A738" s="17"/>
      <c r="AZ738" s="17"/>
    </row>
    <row r="739">
      <c r="A739" s="17"/>
      <c r="AZ739" s="17"/>
    </row>
    <row r="740">
      <c r="A740" s="17"/>
      <c r="AZ740" s="17"/>
    </row>
    <row r="741">
      <c r="A741" s="17"/>
      <c r="AZ741" s="17"/>
    </row>
    <row r="742">
      <c r="A742" s="17"/>
      <c r="AZ742" s="17"/>
    </row>
    <row r="743">
      <c r="A743" s="17"/>
      <c r="AZ743" s="17"/>
    </row>
    <row r="744">
      <c r="A744" s="17"/>
      <c r="AZ744" s="17"/>
    </row>
    <row r="745">
      <c r="A745" s="17"/>
      <c r="AZ745" s="17"/>
    </row>
    <row r="746">
      <c r="A746" s="17"/>
      <c r="AZ746" s="17"/>
    </row>
    <row r="747">
      <c r="A747" s="17"/>
      <c r="AZ747" s="17"/>
    </row>
    <row r="748">
      <c r="A748" s="17"/>
      <c r="AZ748" s="17"/>
    </row>
    <row r="749">
      <c r="A749" s="17"/>
      <c r="AZ749" s="17"/>
    </row>
    <row r="750">
      <c r="A750" s="17"/>
      <c r="AZ750" s="17"/>
    </row>
    <row r="751">
      <c r="A751" s="17"/>
      <c r="AZ751" s="17"/>
    </row>
    <row r="752">
      <c r="A752" s="17"/>
      <c r="AZ752" s="17"/>
    </row>
    <row r="753">
      <c r="A753" s="17"/>
      <c r="AZ753" s="17"/>
    </row>
    <row r="754">
      <c r="A754" s="17"/>
      <c r="AZ754" s="17"/>
    </row>
    <row r="755">
      <c r="A755" s="17"/>
      <c r="AZ755" s="17"/>
    </row>
    <row r="756">
      <c r="A756" s="17"/>
      <c r="AZ756" s="17"/>
    </row>
    <row r="757">
      <c r="A757" s="17"/>
      <c r="AZ757" s="17"/>
    </row>
    <row r="758">
      <c r="A758" s="17"/>
      <c r="AZ758" s="17"/>
    </row>
    <row r="759">
      <c r="A759" s="17"/>
      <c r="AZ759" s="17"/>
    </row>
    <row r="760">
      <c r="A760" s="17"/>
      <c r="AZ760" s="17"/>
    </row>
    <row r="761">
      <c r="A761" s="17"/>
      <c r="AZ761" s="17"/>
    </row>
    <row r="762">
      <c r="A762" s="17"/>
      <c r="AZ762" s="17"/>
    </row>
    <row r="763">
      <c r="A763" s="17"/>
      <c r="AZ763" s="17"/>
    </row>
    <row r="764">
      <c r="A764" s="17"/>
      <c r="AZ764" s="17"/>
    </row>
    <row r="765">
      <c r="A765" s="17"/>
      <c r="AZ765" s="17"/>
    </row>
    <row r="766">
      <c r="A766" s="17"/>
      <c r="AZ766" s="17"/>
    </row>
    <row r="767">
      <c r="A767" s="17"/>
      <c r="AZ767" s="17"/>
    </row>
    <row r="768">
      <c r="A768" s="17"/>
      <c r="AZ768" s="17"/>
    </row>
    <row r="769">
      <c r="A769" s="17"/>
      <c r="AZ769" s="17"/>
    </row>
    <row r="770">
      <c r="A770" s="17"/>
      <c r="AZ770" s="17"/>
    </row>
    <row r="771">
      <c r="A771" s="17"/>
      <c r="AZ771" s="17"/>
    </row>
    <row r="772">
      <c r="A772" s="17"/>
      <c r="AZ772" s="17"/>
    </row>
    <row r="773">
      <c r="A773" s="17"/>
      <c r="AZ773" s="17"/>
    </row>
    <row r="774">
      <c r="A774" s="17"/>
      <c r="AZ774" s="17"/>
    </row>
    <row r="775">
      <c r="A775" s="17"/>
      <c r="AZ775" s="17"/>
    </row>
    <row r="776">
      <c r="A776" s="17"/>
      <c r="AZ776" s="17"/>
    </row>
    <row r="777">
      <c r="A777" s="17"/>
      <c r="AZ777" s="17"/>
    </row>
    <row r="778">
      <c r="A778" s="17"/>
      <c r="AZ778" s="17"/>
    </row>
    <row r="779">
      <c r="A779" s="17"/>
      <c r="AZ779" s="17"/>
    </row>
    <row r="780">
      <c r="A780" s="17"/>
      <c r="AZ780" s="17"/>
    </row>
    <row r="781">
      <c r="A781" s="17"/>
      <c r="AZ781" s="17"/>
    </row>
    <row r="782">
      <c r="A782" s="17"/>
      <c r="AZ782" s="17"/>
    </row>
    <row r="783">
      <c r="A783" s="17"/>
      <c r="AZ783" s="17"/>
    </row>
    <row r="784">
      <c r="A784" s="17"/>
      <c r="AZ784" s="17"/>
    </row>
    <row r="785">
      <c r="A785" s="17"/>
      <c r="AZ785" s="17"/>
    </row>
    <row r="786">
      <c r="A786" s="17"/>
      <c r="AZ786" s="17"/>
    </row>
    <row r="787">
      <c r="A787" s="17"/>
      <c r="AZ787" s="17"/>
    </row>
    <row r="788">
      <c r="A788" s="17"/>
      <c r="AZ788" s="17"/>
    </row>
    <row r="789">
      <c r="A789" s="17"/>
      <c r="AZ789" s="17"/>
    </row>
    <row r="790">
      <c r="A790" s="17"/>
      <c r="AZ790" s="17"/>
    </row>
    <row r="791">
      <c r="A791" s="17"/>
      <c r="AZ791" s="17"/>
    </row>
    <row r="792">
      <c r="A792" s="17"/>
      <c r="AZ792" s="17"/>
    </row>
    <row r="793">
      <c r="A793" s="17"/>
      <c r="AZ793" s="17"/>
    </row>
    <row r="794">
      <c r="A794" s="17"/>
      <c r="AZ794" s="17"/>
    </row>
    <row r="795">
      <c r="A795" s="17"/>
      <c r="AZ795" s="17"/>
    </row>
    <row r="796">
      <c r="A796" s="17"/>
      <c r="AZ796" s="17"/>
    </row>
    <row r="797">
      <c r="A797" s="17"/>
      <c r="AZ797" s="17"/>
    </row>
    <row r="798">
      <c r="A798" s="17"/>
      <c r="AZ798" s="17"/>
    </row>
    <row r="799">
      <c r="A799" s="17"/>
      <c r="AZ799" s="17"/>
    </row>
    <row r="800">
      <c r="A800" s="17"/>
      <c r="AZ800" s="17"/>
    </row>
    <row r="801">
      <c r="A801" s="17"/>
      <c r="AZ801" s="17"/>
    </row>
    <row r="802">
      <c r="A802" s="17"/>
      <c r="AZ802" s="17"/>
    </row>
    <row r="803">
      <c r="A803" s="17"/>
      <c r="AZ803" s="17"/>
    </row>
    <row r="804">
      <c r="A804" s="17"/>
      <c r="AZ804" s="17"/>
    </row>
    <row r="805">
      <c r="A805" s="17"/>
      <c r="AZ805" s="17"/>
    </row>
    <row r="806">
      <c r="A806" s="17"/>
      <c r="AZ806" s="17"/>
    </row>
    <row r="807">
      <c r="A807" s="17"/>
      <c r="AZ807" s="17"/>
    </row>
    <row r="808">
      <c r="A808" s="17"/>
      <c r="AZ808" s="17"/>
    </row>
    <row r="809">
      <c r="A809" s="17"/>
      <c r="AZ809" s="17"/>
    </row>
    <row r="810">
      <c r="A810" s="17"/>
      <c r="AZ810" s="17"/>
    </row>
    <row r="811">
      <c r="A811" s="17"/>
      <c r="AZ811" s="17"/>
    </row>
    <row r="812">
      <c r="A812" s="17"/>
      <c r="AZ812" s="17"/>
    </row>
    <row r="813">
      <c r="A813" s="17"/>
      <c r="AZ813" s="17"/>
    </row>
    <row r="814">
      <c r="A814" s="17"/>
      <c r="AZ814" s="17"/>
    </row>
    <row r="815">
      <c r="A815" s="17"/>
      <c r="AZ815" s="17"/>
    </row>
    <row r="816">
      <c r="A816" s="17"/>
      <c r="AZ816" s="17"/>
    </row>
    <row r="817">
      <c r="A817" s="17"/>
      <c r="AZ817" s="17"/>
    </row>
    <row r="818">
      <c r="A818" s="17"/>
      <c r="AZ818" s="17"/>
    </row>
    <row r="819">
      <c r="A819" s="17"/>
      <c r="AZ819" s="17"/>
    </row>
    <row r="820">
      <c r="A820" s="17"/>
      <c r="AZ820" s="17"/>
    </row>
    <row r="821">
      <c r="A821" s="17"/>
      <c r="AZ821" s="17"/>
    </row>
    <row r="822">
      <c r="A822" s="17"/>
      <c r="AZ822" s="17"/>
    </row>
    <row r="823">
      <c r="A823" s="17"/>
      <c r="AZ823" s="17"/>
    </row>
    <row r="824">
      <c r="A824" s="17"/>
      <c r="AZ824" s="17"/>
    </row>
    <row r="825">
      <c r="A825" s="17"/>
      <c r="AZ825" s="17"/>
    </row>
    <row r="826">
      <c r="A826" s="17"/>
      <c r="AZ826" s="17"/>
    </row>
    <row r="827">
      <c r="A827" s="17"/>
      <c r="AZ827" s="17"/>
    </row>
    <row r="828">
      <c r="A828" s="17"/>
      <c r="AZ828" s="17"/>
    </row>
    <row r="829">
      <c r="A829" s="17"/>
      <c r="AZ829" s="17"/>
    </row>
    <row r="830">
      <c r="A830" s="17"/>
      <c r="AZ830" s="17"/>
    </row>
    <row r="831">
      <c r="A831" s="17"/>
      <c r="AZ831" s="17"/>
    </row>
    <row r="832">
      <c r="A832" s="17"/>
      <c r="AZ832" s="17"/>
    </row>
    <row r="833">
      <c r="A833" s="17"/>
      <c r="AZ833" s="17"/>
    </row>
    <row r="834">
      <c r="A834" s="17"/>
      <c r="AZ834" s="17"/>
    </row>
    <row r="835">
      <c r="A835" s="17"/>
      <c r="AZ835" s="17"/>
    </row>
    <row r="836">
      <c r="A836" s="17"/>
      <c r="AZ836" s="17"/>
    </row>
    <row r="837">
      <c r="A837" s="17"/>
      <c r="AZ837" s="17"/>
    </row>
    <row r="838">
      <c r="A838" s="17"/>
      <c r="AZ838" s="17"/>
    </row>
    <row r="839">
      <c r="A839" s="17"/>
      <c r="AZ839" s="17"/>
    </row>
    <row r="840">
      <c r="A840" s="17"/>
      <c r="AZ840" s="17"/>
    </row>
    <row r="841">
      <c r="A841" s="17"/>
      <c r="AZ841" s="17"/>
    </row>
    <row r="842">
      <c r="A842" s="17"/>
      <c r="AZ842" s="17"/>
    </row>
    <row r="843">
      <c r="A843" s="17"/>
      <c r="AZ843" s="17"/>
    </row>
    <row r="844">
      <c r="A844" s="17"/>
      <c r="AZ844" s="17"/>
    </row>
    <row r="845">
      <c r="A845" s="17"/>
      <c r="AZ845" s="17"/>
    </row>
    <row r="846">
      <c r="A846" s="17"/>
      <c r="AZ846" s="17"/>
    </row>
    <row r="847">
      <c r="A847" s="17"/>
      <c r="AZ847" s="17"/>
    </row>
    <row r="848">
      <c r="A848" s="17"/>
      <c r="AZ848" s="17"/>
    </row>
    <row r="849">
      <c r="A849" s="17"/>
      <c r="AZ849" s="17"/>
    </row>
    <row r="850">
      <c r="A850" s="17"/>
      <c r="AZ850" s="17"/>
    </row>
    <row r="851">
      <c r="A851" s="17"/>
      <c r="AZ851" s="17"/>
    </row>
    <row r="852">
      <c r="A852" s="17"/>
      <c r="AZ852" s="17"/>
    </row>
    <row r="853">
      <c r="A853" s="17"/>
      <c r="AZ853" s="17"/>
    </row>
    <row r="854">
      <c r="A854" s="17"/>
      <c r="AZ854" s="17"/>
    </row>
    <row r="855">
      <c r="A855" s="17"/>
      <c r="AZ855" s="17"/>
    </row>
    <row r="856">
      <c r="A856" s="17"/>
      <c r="AZ856" s="17"/>
    </row>
    <row r="857">
      <c r="A857" s="17"/>
      <c r="AZ857" s="17"/>
    </row>
    <row r="858">
      <c r="A858" s="17"/>
      <c r="AZ858" s="17"/>
    </row>
    <row r="859">
      <c r="A859" s="17"/>
      <c r="AZ859" s="17"/>
    </row>
    <row r="860">
      <c r="A860" s="17"/>
      <c r="AZ860" s="17"/>
    </row>
    <row r="861">
      <c r="A861" s="17"/>
      <c r="AZ861" s="17"/>
    </row>
    <row r="862">
      <c r="A862" s="17"/>
      <c r="AZ862" s="17"/>
    </row>
    <row r="863">
      <c r="A863" s="17"/>
      <c r="AZ863" s="17"/>
    </row>
    <row r="864">
      <c r="A864" s="17"/>
      <c r="AZ864" s="17"/>
    </row>
    <row r="865">
      <c r="A865" s="17"/>
      <c r="AZ865" s="17"/>
    </row>
    <row r="866">
      <c r="A866" s="17"/>
      <c r="AZ866" s="17"/>
    </row>
    <row r="867">
      <c r="A867" s="17"/>
      <c r="AZ867" s="17"/>
    </row>
    <row r="868">
      <c r="A868" s="17"/>
      <c r="AZ868" s="17"/>
    </row>
    <row r="869">
      <c r="A869" s="17"/>
      <c r="AZ869" s="17"/>
    </row>
    <row r="870">
      <c r="A870" s="17"/>
      <c r="AZ870" s="17"/>
    </row>
    <row r="871">
      <c r="A871" s="17"/>
      <c r="AZ871" s="17"/>
    </row>
    <row r="872">
      <c r="A872" s="17"/>
      <c r="AZ872" s="17"/>
    </row>
    <row r="873">
      <c r="A873" s="17"/>
      <c r="AZ873" s="17"/>
    </row>
    <row r="874">
      <c r="A874" s="17"/>
      <c r="AZ874" s="17"/>
    </row>
    <row r="875">
      <c r="A875" s="17"/>
      <c r="AZ875" s="17"/>
    </row>
    <row r="876">
      <c r="A876" s="17"/>
      <c r="AZ876" s="17"/>
    </row>
    <row r="877">
      <c r="A877" s="17"/>
      <c r="AZ877" s="17"/>
    </row>
    <row r="878">
      <c r="A878" s="17"/>
      <c r="AZ878" s="17"/>
    </row>
    <row r="879">
      <c r="A879" s="17"/>
      <c r="AZ879" s="17"/>
    </row>
    <row r="880">
      <c r="A880" s="17"/>
      <c r="AZ880" s="17"/>
    </row>
    <row r="881">
      <c r="A881" s="17"/>
      <c r="AZ881" s="17"/>
    </row>
    <row r="882">
      <c r="A882" s="17"/>
      <c r="AZ882" s="17"/>
    </row>
    <row r="883">
      <c r="A883" s="17"/>
      <c r="AZ883" s="17"/>
    </row>
    <row r="884">
      <c r="A884" s="17"/>
      <c r="AZ884" s="17"/>
    </row>
    <row r="885">
      <c r="A885" s="17"/>
      <c r="AZ885" s="17"/>
    </row>
    <row r="886">
      <c r="A886" s="17"/>
      <c r="AZ886" s="17"/>
    </row>
    <row r="887">
      <c r="A887" s="17"/>
      <c r="AZ887" s="17"/>
    </row>
    <row r="888">
      <c r="A888" s="17"/>
      <c r="AZ888" s="17"/>
    </row>
    <row r="889">
      <c r="A889" s="17"/>
      <c r="AZ889" s="17"/>
    </row>
    <row r="890">
      <c r="A890" s="17"/>
      <c r="AZ890" s="17"/>
    </row>
    <row r="891">
      <c r="A891" s="17"/>
      <c r="AZ891" s="17"/>
    </row>
    <row r="892">
      <c r="A892" s="17"/>
      <c r="AZ892" s="17"/>
    </row>
    <row r="893">
      <c r="A893" s="17"/>
      <c r="AZ893" s="17"/>
    </row>
    <row r="894">
      <c r="A894" s="17"/>
      <c r="AZ894" s="17"/>
    </row>
    <row r="895">
      <c r="A895" s="17"/>
      <c r="AZ895" s="17"/>
    </row>
    <row r="896">
      <c r="A896" s="17"/>
      <c r="AZ896" s="17"/>
    </row>
    <row r="897">
      <c r="A897" s="17"/>
      <c r="AZ897" s="17"/>
    </row>
    <row r="898">
      <c r="A898" s="17"/>
      <c r="AZ898" s="17"/>
    </row>
    <row r="899">
      <c r="A899" s="17"/>
      <c r="AZ899" s="17"/>
    </row>
    <row r="900">
      <c r="A900" s="17"/>
      <c r="AZ900" s="17"/>
    </row>
    <row r="901">
      <c r="A901" s="17"/>
      <c r="AZ901" s="17"/>
    </row>
    <row r="902">
      <c r="A902" s="17"/>
      <c r="AZ902" s="17"/>
    </row>
    <row r="903">
      <c r="A903" s="17"/>
      <c r="AZ903" s="17"/>
    </row>
    <row r="904">
      <c r="A904" s="17"/>
      <c r="AZ904" s="17"/>
    </row>
    <row r="905">
      <c r="A905" s="17"/>
      <c r="AZ905" s="17"/>
    </row>
    <row r="906">
      <c r="A906" s="17"/>
      <c r="AZ906" s="17"/>
    </row>
    <row r="907">
      <c r="A907" s="17"/>
      <c r="AZ907" s="17"/>
    </row>
    <row r="908">
      <c r="A908" s="17"/>
      <c r="AZ908" s="17"/>
    </row>
    <row r="909">
      <c r="A909" s="17"/>
      <c r="AZ909" s="17"/>
    </row>
    <row r="910">
      <c r="A910" s="17"/>
      <c r="AZ910" s="17"/>
    </row>
    <row r="911">
      <c r="A911" s="17"/>
      <c r="AZ911" s="17"/>
    </row>
    <row r="912">
      <c r="A912" s="17"/>
      <c r="AZ912" s="17"/>
    </row>
    <row r="913">
      <c r="A913" s="17"/>
      <c r="AZ913" s="17"/>
    </row>
    <row r="914">
      <c r="A914" s="17"/>
      <c r="AZ914" s="17"/>
    </row>
    <row r="915">
      <c r="A915" s="17"/>
      <c r="AZ915" s="17"/>
    </row>
    <row r="916">
      <c r="A916" s="17"/>
      <c r="AZ916" s="17"/>
    </row>
    <row r="917">
      <c r="A917" s="17"/>
      <c r="AZ917" s="17"/>
    </row>
    <row r="918">
      <c r="A918" s="17"/>
      <c r="AZ918" s="17"/>
    </row>
    <row r="919">
      <c r="A919" s="17"/>
      <c r="AZ919" s="17"/>
    </row>
    <row r="920">
      <c r="A920" s="17"/>
      <c r="AZ920" s="17"/>
    </row>
    <row r="921">
      <c r="A921" s="17"/>
      <c r="AZ921" s="17"/>
    </row>
    <row r="922">
      <c r="A922" s="17"/>
      <c r="AZ922" s="17"/>
    </row>
    <row r="923">
      <c r="A923" s="17"/>
      <c r="AZ923" s="17"/>
    </row>
    <row r="924">
      <c r="A924" s="17"/>
      <c r="AZ924" s="17"/>
    </row>
    <row r="925">
      <c r="A925" s="17"/>
      <c r="AZ925" s="17"/>
    </row>
    <row r="926">
      <c r="A926" s="17"/>
      <c r="AZ926" s="17"/>
    </row>
    <row r="927">
      <c r="A927" s="17"/>
      <c r="AZ927" s="17"/>
    </row>
    <row r="928">
      <c r="A928" s="17"/>
      <c r="AZ928" s="17"/>
    </row>
    <row r="929">
      <c r="A929" s="17"/>
      <c r="AZ929" s="17"/>
    </row>
    <row r="930">
      <c r="A930" s="17"/>
      <c r="AZ930" s="17"/>
    </row>
    <row r="931">
      <c r="A931" s="17"/>
      <c r="AZ931" s="17"/>
    </row>
    <row r="932">
      <c r="A932" s="17"/>
      <c r="AZ932" s="17"/>
    </row>
    <row r="933">
      <c r="A933" s="17"/>
      <c r="AZ933" s="17"/>
    </row>
    <row r="934">
      <c r="A934" s="17"/>
      <c r="AZ934" s="17"/>
    </row>
    <row r="935">
      <c r="A935" s="17"/>
      <c r="AZ935" s="17"/>
    </row>
    <row r="936">
      <c r="A936" s="17"/>
      <c r="AZ936" s="17"/>
    </row>
    <row r="937">
      <c r="A937" s="17"/>
      <c r="AZ937" s="17"/>
    </row>
    <row r="938">
      <c r="A938" s="17"/>
      <c r="AZ938" s="17"/>
    </row>
    <row r="939">
      <c r="A939" s="17"/>
      <c r="AZ939" s="17"/>
    </row>
    <row r="940">
      <c r="A940" s="17"/>
      <c r="AZ940" s="17"/>
    </row>
    <row r="941">
      <c r="A941" s="17"/>
      <c r="AZ941" s="17"/>
    </row>
    <row r="942">
      <c r="A942" s="17"/>
      <c r="AZ942" s="17"/>
    </row>
    <row r="943">
      <c r="A943" s="17"/>
      <c r="AZ943" s="17"/>
    </row>
    <row r="944">
      <c r="A944" s="17"/>
      <c r="AZ944" s="17"/>
    </row>
    <row r="945">
      <c r="A945" s="17"/>
      <c r="AZ945" s="17"/>
    </row>
    <row r="946">
      <c r="A946" s="17"/>
      <c r="AZ946" s="17"/>
    </row>
    <row r="947">
      <c r="A947" s="17"/>
      <c r="AZ947" s="17"/>
    </row>
    <row r="948">
      <c r="A948" s="17"/>
      <c r="AZ948" s="17"/>
    </row>
    <row r="949">
      <c r="A949" s="17"/>
      <c r="AZ949" s="17"/>
    </row>
    <row r="950">
      <c r="A950" s="17"/>
      <c r="AZ950" s="17"/>
    </row>
    <row r="951">
      <c r="A951" s="17"/>
      <c r="AZ951" s="17"/>
    </row>
    <row r="952">
      <c r="A952" s="17"/>
      <c r="AZ952" s="17"/>
    </row>
    <row r="953">
      <c r="A953" s="17"/>
      <c r="AZ953" s="17"/>
    </row>
    <row r="954">
      <c r="A954" s="17"/>
      <c r="AZ954" s="17"/>
    </row>
    <row r="955">
      <c r="A955" s="17"/>
      <c r="AZ955" s="17"/>
    </row>
    <row r="956">
      <c r="A956" s="17"/>
      <c r="AZ956" s="17"/>
    </row>
    <row r="957">
      <c r="A957" s="17"/>
      <c r="AZ957" s="17"/>
    </row>
    <row r="958">
      <c r="A958" s="17"/>
      <c r="AZ958" s="17"/>
    </row>
    <row r="959">
      <c r="A959" s="17"/>
      <c r="AZ959" s="17"/>
    </row>
    <row r="960">
      <c r="A960" s="17"/>
      <c r="AZ960" s="17"/>
    </row>
    <row r="961">
      <c r="A961" s="17"/>
      <c r="AZ961" s="17"/>
    </row>
    <row r="962">
      <c r="A962" s="17"/>
      <c r="AZ962" s="17"/>
    </row>
    <row r="963">
      <c r="A963" s="17"/>
      <c r="AZ963" s="17"/>
    </row>
    <row r="964">
      <c r="A964" s="17"/>
      <c r="AZ964" s="17"/>
    </row>
    <row r="965">
      <c r="A965" s="17"/>
      <c r="AZ965" s="17"/>
    </row>
    <row r="966">
      <c r="A966" s="17"/>
      <c r="AZ966" s="17"/>
    </row>
    <row r="967">
      <c r="A967" s="17"/>
      <c r="AZ967" s="17"/>
    </row>
    <row r="968">
      <c r="A968" s="17"/>
      <c r="AZ968" s="17"/>
    </row>
    <row r="969">
      <c r="A969" s="17"/>
      <c r="AZ969" s="17"/>
    </row>
    <row r="970">
      <c r="A970" s="17"/>
      <c r="AZ970" s="17"/>
    </row>
    <row r="971">
      <c r="A971" s="17"/>
      <c r="AZ971" s="17"/>
    </row>
    <row r="972">
      <c r="A972" s="17"/>
      <c r="AZ972" s="17"/>
    </row>
    <row r="973">
      <c r="A973" s="17"/>
      <c r="AZ973" s="17"/>
    </row>
    <row r="974">
      <c r="A974" s="17"/>
      <c r="AZ974" s="17"/>
    </row>
    <row r="975">
      <c r="A975" s="17"/>
      <c r="AZ975" s="17"/>
    </row>
    <row r="976">
      <c r="A976" s="17"/>
      <c r="AZ976" s="17"/>
    </row>
    <row r="977">
      <c r="A977" s="17"/>
      <c r="AZ977" s="17"/>
    </row>
    <row r="978">
      <c r="A978" s="17"/>
      <c r="AZ978" s="17"/>
    </row>
    <row r="979">
      <c r="A979" s="17"/>
      <c r="AZ979" s="17"/>
    </row>
    <row r="980">
      <c r="A980" s="17"/>
      <c r="AZ980" s="17"/>
    </row>
    <row r="981">
      <c r="A981" s="17"/>
      <c r="AZ981" s="17"/>
    </row>
    <row r="982">
      <c r="A982" s="17"/>
      <c r="AZ982" s="17"/>
    </row>
    <row r="983">
      <c r="A983" s="17"/>
      <c r="AZ983" s="17"/>
    </row>
    <row r="984">
      <c r="A984" s="17"/>
      <c r="AZ984" s="17"/>
    </row>
    <row r="985">
      <c r="A985" s="17"/>
      <c r="AZ985" s="17"/>
    </row>
    <row r="986">
      <c r="A986" s="17"/>
      <c r="AZ986" s="17"/>
    </row>
    <row r="987">
      <c r="A987" s="17"/>
      <c r="AZ987" s="17"/>
    </row>
    <row r="988">
      <c r="A988" s="17"/>
      <c r="AZ988" s="17"/>
    </row>
    <row r="989">
      <c r="A989" s="17"/>
      <c r="AZ989" s="17"/>
    </row>
    <row r="990">
      <c r="A990" s="17"/>
      <c r="AZ990" s="17"/>
    </row>
    <row r="991">
      <c r="A991" s="17"/>
      <c r="AZ991" s="17"/>
    </row>
    <row r="992">
      <c r="A992" s="17"/>
      <c r="AZ992" s="17"/>
    </row>
    <row r="993">
      <c r="A993" s="17"/>
      <c r="AZ993" s="17"/>
    </row>
    <row r="994">
      <c r="A994" s="17"/>
      <c r="AZ994" s="17"/>
    </row>
    <row r="995">
      <c r="A995" s="17"/>
      <c r="AZ995" s="17"/>
    </row>
    <row r="996">
      <c r="A996" s="17"/>
      <c r="AZ996" s="17"/>
    </row>
    <row r="997">
      <c r="A997" s="17"/>
      <c r="AZ997" s="17"/>
    </row>
    <row r="998">
      <c r="A998" s="17"/>
      <c r="AZ998" s="17"/>
    </row>
    <row r="999">
      <c r="A999" s="17"/>
      <c r="AZ999" s="1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93" width="3.0"/>
  </cols>
  <sheetData>
    <row r="1">
      <c r="A1" s="17"/>
      <c r="B1" s="17">
        <f t="array" ref="B1:CE1">SEQUENCE(1,82,0)</f>
        <v>0</v>
      </c>
      <c r="C1" s="17">
        <v>1.0</v>
      </c>
      <c r="D1" s="17">
        <v>2.0</v>
      </c>
      <c r="E1" s="17">
        <v>3.0</v>
      </c>
      <c r="F1" s="17">
        <v>4.0</v>
      </c>
      <c r="G1" s="17">
        <v>5.0</v>
      </c>
      <c r="H1" s="17">
        <v>6.0</v>
      </c>
      <c r="I1" s="17">
        <v>7.0</v>
      </c>
      <c r="J1" s="17">
        <v>8.0</v>
      </c>
      <c r="K1" s="17">
        <v>9.0</v>
      </c>
      <c r="L1" s="17">
        <v>10.0</v>
      </c>
      <c r="M1" s="17">
        <v>11.0</v>
      </c>
      <c r="N1" s="17">
        <v>12.0</v>
      </c>
      <c r="O1" s="17">
        <v>13.0</v>
      </c>
      <c r="P1" s="17">
        <v>14.0</v>
      </c>
      <c r="Q1" s="17">
        <v>15.0</v>
      </c>
      <c r="R1" s="17">
        <v>16.0</v>
      </c>
      <c r="S1" s="17">
        <v>17.0</v>
      </c>
      <c r="T1" s="17">
        <v>18.0</v>
      </c>
      <c r="U1" s="17">
        <v>19.0</v>
      </c>
      <c r="V1" s="17">
        <v>20.0</v>
      </c>
      <c r="W1" s="17">
        <v>21.0</v>
      </c>
      <c r="X1" s="17">
        <v>22.0</v>
      </c>
      <c r="Y1" s="17">
        <v>23.0</v>
      </c>
      <c r="Z1" s="17">
        <v>24.0</v>
      </c>
      <c r="AA1" s="17">
        <v>25.0</v>
      </c>
      <c r="AB1" s="17">
        <v>26.0</v>
      </c>
      <c r="AC1" s="17">
        <v>27.0</v>
      </c>
      <c r="AD1" s="17">
        <v>28.0</v>
      </c>
      <c r="AE1" s="17">
        <v>29.0</v>
      </c>
      <c r="AF1" s="17">
        <v>30.0</v>
      </c>
      <c r="AG1" s="17">
        <v>31.0</v>
      </c>
      <c r="AH1" s="17">
        <v>32.0</v>
      </c>
      <c r="AI1" s="17">
        <v>33.0</v>
      </c>
      <c r="AJ1" s="17">
        <v>34.0</v>
      </c>
      <c r="AK1" s="17">
        <v>35.0</v>
      </c>
      <c r="AL1" s="17">
        <v>36.0</v>
      </c>
      <c r="AM1" s="17">
        <v>37.0</v>
      </c>
      <c r="AN1" s="17">
        <v>38.0</v>
      </c>
      <c r="AO1" s="17">
        <v>39.0</v>
      </c>
      <c r="AP1" s="17">
        <v>40.0</v>
      </c>
      <c r="AQ1" s="17">
        <v>41.0</v>
      </c>
      <c r="AR1" s="17">
        <v>42.0</v>
      </c>
      <c r="AS1" s="17">
        <v>43.0</v>
      </c>
      <c r="AT1" s="17">
        <v>44.0</v>
      </c>
      <c r="AU1" s="17">
        <v>45.0</v>
      </c>
      <c r="AV1" s="17">
        <v>46.0</v>
      </c>
      <c r="AW1" s="17">
        <v>47.0</v>
      </c>
      <c r="AX1" s="17">
        <v>48.0</v>
      </c>
      <c r="AY1" s="17">
        <v>49.0</v>
      </c>
      <c r="AZ1" s="17">
        <v>50.0</v>
      </c>
      <c r="BA1" s="17">
        <v>51.0</v>
      </c>
      <c r="BB1" s="17">
        <v>52.0</v>
      </c>
      <c r="BC1" s="17">
        <v>53.0</v>
      </c>
      <c r="BD1" s="17">
        <v>54.0</v>
      </c>
      <c r="BE1" s="17">
        <v>55.0</v>
      </c>
      <c r="BF1" s="17">
        <v>56.0</v>
      </c>
      <c r="BG1" s="17">
        <v>57.0</v>
      </c>
      <c r="BH1" s="17">
        <v>58.0</v>
      </c>
      <c r="BI1" s="17">
        <v>59.0</v>
      </c>
      <c r="BJ1" s="17">
        <v>60.0</v>
      </c>
      <c r="BK1" s="17">
        <v>61.0</v>
      </c>
      <c r="BL1" s="17">
        <v>62.0</v>
      </c>
      <c r="BM1" s="17">
        <v>63.0</v>
      </c>
      <c r="BN1" s="17">
        <v>64.0</v>
      </c>
      <c r="BO1" s="17">
        <v>65.0</v>
      </c>
      <c r="BP1" s="17">
        <v>66.0</v>
      </c>
      <c r="BQ1" s="17">
        <v>67.0</v>
      </c>
      <c r="BR1" s="17">
        <v>68.0</v>
      </c>
      <c r="BS1" s="17">
        <v>69.0</v>
      </c>
      <c r="BT1" s="17">
        <v>70.0</v>
      </c>
      <c r="BU1" s="17">
        <v>71.0</v>
      </c>
      <c r="BV1" s="17">
        <v>72.0</v>
      </c>
      <c r="BW1" s="17">
        <v>73.0</v>
      </c>
      <c r="BX1" s="17">
        <v>74.0</v>
      </c>
      <c r="BY1" s="17">
        <v>75.0</v>
      </c>
      <c r="BZ1" s="17">
        <v>76.0</v>
      </c>
      <c r="CA1" s="17">
        <v>77.0</v>
      </c>
      <c r="CB1" s="17">
        <v>78.0</v>
      </c>
      <c r="CC1" s="17">
        <v>79.0</v>
      </c>
      <c r="CD1" s="17">
        <v>80.0</v>
      </c>
      <c r="CE1" s="17">
        <v>81.0</v>
      </c>
      <c r="CF1" s="17"/>
      <c r="CG1" s="17"/>
      <c r="CH1" s="17"/>
      <c r="CI1" s="17"/>
      <c r="CJ1" s="17"/>
      <c r="CK1" s="17"/>
      <c r="CL1" s="17"/>
      <c r="CM1" s="17"/>
      <c r="CN1" s="17"/>
      <c r="CO1" s="17"/>
    </row>
    <row r="2">
      <c r="A2" s="17">
        <f t="array" ref="A2:A114">SEQUENCE(113,1,0)</f>
        <v>0</v>
      </c>
      <c r="B2" s="60">
        <f t="array" ref="B2:CE114">B1:CE1*CF2:CF114+B115:CE115*A2:A114</f>
        <v>0</v>
      </c>
      <c r="C2" s="60">
        <v>112.0</v>
      </c>
      <c r="D2" s="60">
        <v>224.0</v>
      </c>
      <c r="E2" s="60">
        <v>336.0</v>
      </c>
      <c r="F2" s="60">
        <v>448.0</v>
      </c>
      <c r="G2" s="60">
        <v>560.0</v>
      </c>
      <c r="H2" s="60">
        <v>672.0</v>
      </c>
      <c r="I2" s="60">
        <v>784.0</v>
      </c>
      <c r="J2" s="60">
        <v>896.0</v>
      </c>
      <c r="K2" s="60">
        <v>1008.0</v>
      </c>
      <c r="L2" s="60">
        <v>1120.0</v>
      </c>
      <c r="M2" s="60">
        <v>1232.0</v>
      </c>
      <c r="N2" s="60">
        <v>1344.0</v>
      </c>
      <c r="O2" s="60">
        <v>1456.0</v>
      </c>
      <c r="P2" s="60">
        <v>1568.0</v>
      </c>
      <c r="Q2" s="60">
        <v>1680.0</v>
      </c>
      <c r="R2" s="60">
        <v>1792.0</v>
      </c>
      <c r="S2" s="60">
        <v>1904.0</v>
      </c>
      <c r="T2" s="60">
        <v>2016.0</v>
      </c>
      <c r="U2" s="60">
        <v>2128.0</v>
      </c>
      <c r="V2" s="60">
        <v>2240.0</v>
      </c>
      <c r="W2" s="60">
        <v>2352.0</v>
      </c>
      <c r="X2" s="60">
        <v>2464.0</v>
      </c>
      <c r="Y2" s="60">
        <v>2576.0</v>
      </c>
      <c r="Z2" s="60">
        <v>2688.0</v>
      </c>
      <c r="AA2" s="60">
        <v>2800.0</v>
      </c>
      <c r="AB2" s="60">
        <v>2912.0</v>
      </c>
      <c r="AC2" s="60">
        <v>3024.0</v>
      </c>
      <c r="AD2" s="60">
        <v>3136.0</v>
      </c>
      <c r="AE2" s="60">
        <v>3248.0</v>
      </c>
      <c r="AF2" s="60">
        <v>3360.0</v>
      </c>
      <c r="AG2" s="60">
        <v>3472.0</v>
      </c>
      <c r="AH2" s="60">
        <v>3584.0</v>
      </c>
      <c r="AI2" s="60">
        <v>3696.0</v>
      </c>
      <c r="AJ2" s="60">
        <v>3808.0</v>
      </c>
      <c r="AK2" s="60">
        <v>3920.0</v>
      </c>
      <c r="AL2" s="60">
        <v>4032.0</v>
      </c>
      <c r="AM2" s="60">
        <v>4144.0</v>
      </c>
      <c r="AN2" s="60">
        <v>4256.0</v>
      </c>
      <c r="AO2" s="60">
        <v>4368.0</v>
      </c>
      <c r="AP2" s="60">
        <v>4480.0</v>
      </c>
      <c r="AQ2" s="60">
        <v>4592.0</v>
      </c>
      <c r="AR2" s="60">
        <v>4704.0</v>
      </c>
      <c r="AS2" s="60">
        <v>4816.0</v>
      </c>
      <c r="AT2" s="60">
        <v>4928.0</v>
      </c>
      <c r="AU2" s="60">
        <v>5040.0</v>
      </c>
      <c r="AV2" s="60">
        <v>5152.0</v>
      </c>
      <c r="AW2" s="60">
        <v>5264.0</v>
      </c>
      <c r="AX2" s="60">
        <v>5376.0</v>
      </c>
      <c r="AY2" s="60">
        <v>5488.0</v>
      </c>
      <c r="AZ2" s="60">
        <v>5600.0</v>
      </c>
      <c r="BA2" s="60">
        <v>5712.0</v>
      </c>
      <c r="BB2" s="60">
        <v>5824.0</v>
      </c>
      <c r="BC2" s="60">
        <v>5936.0</v>
      </c>
      <c r="BD2" s="60">
        <v>6048.0</v>
      </c>
      <c r="BE2" s="60">
        <v>6160.0</v>
      </c>
      <c r="BF2" s="60">
        <v>6272.0</v>
      </c>
      <c r="BG2" s="60">
        <v>6384.0</v>
      </c>
      <c r="BH2" s="60">
        <v>6496.0</v>
      </c>
      <c r="BI2" s="60">
        <v>6608.0</v>
      </c>
      <c r="BJ2" s="60">
        <v>6720.0</v>
      </c>
      <c r="BK2" s="60">
        <v>6832.0</v>
      </c>
      <c r="BL2" s="60">
        <v>6944.0</v>
      </c>
      <c r="BM2" s="60">
        <v>7056.0</v>
      </c>
      <c r="BN2" s="60">
        <v>7168.0</v>
      </c>
      <c r="BO2" s="60">
        <v>7280.0</v>
      </c>
      <c r="BP2" s="60">
        <v>7392.0</v>
      </c>
      <c r="BQ2" s="60">
        <v>7504.0</v>
      </c>
      <c r="BR2" s="60">
        <v>7616.0</v>
      </c>
      <c r="BS2" s="60">
        <v>7728.0</v>
      </c>
      <c r="BT2" s="60">
        <v>7840.0</v>
      </c>
      <c r="BU2" s="60">
        <v>7952.0</v>
      </c>
      <c r="BV2" s="60">
        <v>8064.0</v>
      </c>
      <c r="BW2" s="60">
        <v>8176.0</v>
      </c>
      <c r="BX2" s="60">
        <v>8288.0</v>
      </c>
      <c r="BY2" s="60">
        <v>8400.0</v>
      </c>
      <c r="BZ2" s="60">
        <v>8512.0</v>
      </c>
      <c r="CA2" s="60">
        <v>8624.0</v>
      </c>
      <c r="CB2" s="60">
        <v>8736.0</v>
      </c>
      <c r="CC2" s="60">
        <v>8848.0</v>
      </c>
      <c r="CD2" s="60">
        <v>8960.0</v>
      </c>
      <c r="CE2" s="60">
        <v>9072.0</v>
      </c>
      <c r="CF2" s="17">
        <f t="array" ref="CF2:CF114">112-A2:A114</f>
        <v>112</v>
      </c>
    </row>
    <row r="3">
      <c r="A3" s="17">
        <v>1.0</v>
      </c>
      <c r="B3" s="60">
        <v>81.0</v>
      </c>
      <c r="C3" s="60">
        <v>191.0</v>
      </c>
      <c r="D3" s="60">
        <v>301.0</v>
      </c>
      <c r="E3" s="60">
        <v>411.0</v>
      </c>
      <c r="F3" s="60">
        <v>521.0</v>
      </c>
      <c r="G3" s="60">
        <v>631.0</v>
      </c>
      <c r="H3" s="60">
        <v>741.0</v>
      </c>
      <c r="I3" s="60">
        <v>851.0</v>
      </c>
      <c r="J3" s="60">
        <v>961.0</v>
      </c>
      <c r="K3" s="60">
        <v>1071.0</v>
      </c>
      <c r="L3" s="60">
        <v>1181.0</v>
      </c>
      <c r="M3" s="60">
        <v>1291.0</v>
      </c>
      <c r="N3" s="60">
        <v>1401.0</v>
      </c>
      <c r="O3" s="60">
        <v>1511.0</v>
      </c>
      <c r="P3" s="60">
        <v>1621.0</v>
      </c>
      <c r="Q3" s="60">
        <v>1731.0</v>
      </c>
      <c r="R3" s="60">
        <v>1841.0</v>
      </c>
      <c r="S3" s="60">
        <v>1951.0</v>
      </c>
      <c r="T3" s="60">
        <v>2061.0</v>
      </c>
      <c r="U3" s="60">
        <v>2171.0</v>
      </c>
      <c r="V3" s="60">
        <v>2281.0</v>
      </c>
      <c r="W3" s="60">
        <v>2391.0</v>
      </c>
      <c r="X3" s="60">
        <v>2501.0</v>
      </c>
      <c r="Y3" s="60">
        <v>2611.0</v>
      </c>
      <c r="Z3" s="60">
        <v>2721.0</v>
      </c>
      <c r="AA3" s="60">
        <v>2831.0</v>
      </c>
      <c r="AB3" s="60">
        <v>2941.0</v>
      </c>
      <c r="AC3" s="60">
        <v>3051.0</v>
      </c>
      <c r="AD3" s="60">
        <v>3161.0</v>
      </c>
      <c r="AE3" s="60">
        <v>3271.0</v>
      </c>
      <c r="AF3" s="60">
        <v>3381.0</v>
      </c>
      <c r="AG3" s="60">
        <v>3491.0</v>
      </c>
      <c r="AH3" s="60">
        <v>3601.0</v>
      </c>
      <c r="AI3" s="60">
        <v>3711.0</v>
      </c>
      <c r="AJ3" s="60">
        <v>3821.0</v>
      </c>
      <c r="AK3" s="60">
        <v>3931.0</v>
      </c>
      <c r="AL3" s="60">
        <v>4041.0</v>
      </c>
      <c r="AM3" s="60">
        <v>4151.0</v>
      </c>
      <c r="AN3" s="60">
        <v>4261.0</v>
      </c>
      <c r="AO3" s="60">
        <v>4371.0</v>
      </c>
      <c r="AP3" s="60">
        <v>4481.0</v>
      </c>
      <c r="AQ3" s="60">
        <v>4591.0</v>
      </c>
      <c r="AR3" s="60">
        <v>4701.0</v>
      </c>
      <c r="AS3" s="60">
        <v>4811.0</v>
      </c>
      <c r="AT3" s="60">
        <v>4921.0</v>
      </c>
      <c r="AU3" s="60">
        <v>5031.0</v>
      </c>
      <c r="AV3" s="60">
        <v>5141.0</v>
      </c>
      <c r="AW3" s="60">
        <v>5251.0</v>
      </c>
      <c r="AX3" s="60">
        <v>5361.0</v>
      </c>
      <c r="AY3" s="60">
        <v>5471.0</v>
      </c>
      <c r="AZ3" s="60">
        <v>5581.0</v>
      </c>
      <c r="BA3" s="60">
        <v>5691.0</v>
      </c>
      <c r="BB3" s="60">
        <v>5801.0</v>
      </c>
      <c r="BC3" s="60">
        <v>5911.0</v>
      </c>
      <c r="BD3" s="60">
        <v>6021.0</v>
      </c>
      <c r="BE3" s="60">
        <v>6131.0</v>
      </c>
      <c r="BF3" s="60">
        <v>6241.0</v>
      </c>
      <c r="BG3" s="60">
        <v>6351.0</v>
      </c>
      <c r="BH3" s="60">
        <v>6461.0</v>
      </c>
      <c r="BI3" s="60">
        <v>6571.0</v>
      </c>
      <c r="BJ3" s="60">
        <v>6681.0</v>
      </c>
      <c r="BK3" s="60">
        <v>6791.0</v>
      </c>
      <c r="BL3" s="60">
        <v>6901.0</v>
      </c>
      <c r="BM3" s="60">
        <v>7011.0</v>
      </c>
      <c r="BN3" s="60">
        <v>7121.0</v>
      </c>
      <c r="BO3" s="60">
        <v>7231.0</v>
      </c>
      <c r="BP3" s="60">
        <v>7341.0</v>
      </c>
      <c r="BQ3" s="60">
        <v>7451.0</v>
      </c>
      <c r="BR3" s="60">
        <v>7561.0</v>
      </c>
      <c r="BS3" s="60">
        <v>7671.0</v>
      </c>
      <c r="BT3" s="60">
        <v>7781.0</v>
      </c>
      <c r="BU3" s="60">
        <v>7891.0</v>
      </c>
      <c r="BV3" s="60">
        <v>8001.0</v>
      </c>
      <c r="BW3" s="60">
        <v>8111.0</v>
      </c>
      <c r="BX3" s="60">
        <v>8221.0</v>
      </c>
      <c r="BY3" s="60">
        <v>8331.0</v>
      </c>
      <c r="BZ3" s="60">
        <v>8441.0</v>
      </c>
      <c r="CA3" s="60">
        <v>8551.0</v>
      </c>
      <c r="CB3" s="60">
        <v>8661.0</v>
      </c>
      <c r="CC3" s="60">
        <v>8771.0</v>
      </c>
      <c r="CD3" s="60">
        <v>8881.0</v>
      </c>
      <c r="CE3" s="60">
        <v>8991.0</v>
      </c>
      <c r="CF3" s="17">
        <v>111.0</v>
      </c>
    </row>
    <row r="4">
      <c r="A4" s="17">
        <v>2.0</v>
      </c>
      <c r="B4" s="60">
        <v>162.0</v>
      </c>
      <c r="C4" s="60">
        <v>270.0</v>
      </c>
      <c r="D4" s="60">
        <v>378.0</v>
      </c>
      <c r="E4" s="60">
        <v>486.0</v>
      </c>
      <c r="F4" s="60">
        <v>594.0</v>
      </c>
      <c r="G4" s="60">
        <v>702.0</v>
      </c>
      <c r="H4" s="60">
        <v>810.0</v>
      </c>
      <c r="I4" s="60">
        <v>918.0</v>
      </c>
      <c r="J4" s="60">
        <v>1026.0</v>
      </c>
      <c r="K4" s="60">
        <v>1134.0</v>
      </c>
      <c r="L4" s="60">
        <v>1242.0</v>
      </c>
      <c r="M4" s="60">
        <v>1350.0</v>
      </c>
      <c r="N4" s="60">
        <v>1458.0</v>
      </c>
      <c r="O4" s="60">
        <v>1566.0</v>
      </c>
      <c r="P4" s="60">
        <v>1674.0</v>
      </c>
      <c r="Q4" s="60">
        <v>1782.0</v>
      </c>
      <c r="R4" s="60">
        <v>1890.0</v>
      </c>
      <c r="S4" s="60">
        <v>1998.0</v>
      </c>
      <c r="T4" s="60">
        <v>2106.0</v>
      </c>
      <c r="U4" s="60">
        <v>2214.0</v>
      </c>
      <c r="V4" s="60">
        <v>2322.0</v>
      </c>
      <c r="W4" s="60">
        <v>2430.0</v>
      </c>
      <c r="X4" s="60">
        <v>2538.0</v>
      </c>
      <c r="Y4" s="60">
        <v>2646.0</v>
      </c>
      <c r="Z4" s="60">
        <v>2754.0</v>
      </c>
      <c r="AA4" s="60">
        <v>2862.0</v>
      </c>
      <c r="AB4" s="60">
        <v>2970.0</v>
      </c>
      <c r="AC4" s="60">
        <v>3078.0</v>
      </c>
      <c r="AD4" s="60">
        <v>3186.0</v>
      </c>
      <c r="AE4" s="60">
        <v>3294.0</v>
      </c>
      <c r="AF4" s="60">
        <v>3402.0</v>
      </c>
      <c r="AG4" s="60">
        <v>3510.0</v>
      </c>
      <c r="AH4" s="60">
        <v>3618.0</v>
      </c>
      <c r="AI4" s="60">
        <v>3726.0</v>
      </c>
      <c r="AJ4" s="60">
        <v>3834.0</v>
      </c>
      <c r="AK4" s="60">
        <v>3942.0</v>
      </c>
      <c r="AL4" s="60">
        <v>4050.0</v>
      </c>
      <c r="AM4" s="60">
        <v>4158.0</v>
      </c>
      <c r="AN4" s="60">
        <v>4266.0</v>
      </c>
      <c r="AO4" s="60">
        <v>4374.0</v>
      </c>
      <c r="AP4" s="60">
        <v>4482.0</v>
      </c>
      <c r="AQ4" s="60">
        <v>4590.0</v>
      </c>
      <c r="AR4" s="60">
        <v>4698.0</v>
      </c>
      <c r="AS4" s="60">
        <v>4806.0</v>
      </c>
      <c r="AT4" s="60">
        <v>4914.0</v>
      </c>
      <c r="AU4" s="60">
        <v>5022.0</v>
      </c>
      <c r="AV4" s="60">
        <v>5130.0</v>
      </c>
      <c r="AW4" s="60">
        <v>5238.0</v>
      </c>
      <c r="AX4" s="60">
        <v>5346.0</v>
      </c>
      <c r="AY4" s="60">
        <v>5454.0</v>
      </c>
      <c r="AZ4" s="60">
        <v>5562.0</v>
      </c>
      <c r="BA4" s="60">
        <v>5670.0</v>
      </c>
      <c r="BB4" s="60">
        <v>5778.0</v>
      </c>
      <c r="BC4" s="60">
        <v>5886.0</v>
      </c>
      <c r="BD4" s="60">
        <v>5994.0</v>
      </c>
      <c r="BE4" s="60">
        <v>6102.0</v>
      </c>
      <c r="BF4" s="60">
        <v>6210.0</v>
      </c>
      <c r="BG4" s="60">
        <v>6318.0</v>
      </c>
      <c r="BH4" s="60">
        <v>6426.0</v>
      </c>
      <c r="BI4" s="60">
        <v>6534.0</v>
      </c>
      <c r="BJ4" s="60">
        <v>6642.0</v>
      </c>
      <c r="BK4" s="60">
        <v>6750.0</v>
      </c>
      <c r="BL4" s="60">
        <v>6858.0</v>
      </c>
      <c r="BM4" s="60">
        <v>6966.0</v>
      </c>
      <c r="BN4" s="60">
        <v>7074.0</v>
      </c>
      <c r="BO4" s="60">
        <v>7182.0</v>
      </c>
      <c r="BP4" s="60">
        <v>7290.0</v>
      </c>
      <c r="BQ4" s="60">
        <v>7398.0</v>
      </c>
      <c r="BR4" s="60">
        <v>7506.0</v>
      </c>
      <c r="BS4" s="60">
        <v>7614.0</v>
      </c>
      <c r="BT4" s="60">
        <v>7722.0</v>
      </c>
      <c r="BU4" s="60">
        <v>7830.0</v>
      </c>
      <c r="BV4" s="60">
        <v>7938.0</v>
      </c>
      <c r="BW4" s="60">
        <v>8046.0</v>
      </c>
      <c r="BX4" s="60">
        <v>8154.0</v>
      </c>
      <c r="BY4" s="60">
        <v>8262.0</v>
      </c>
      <c r="BZ4" s="60">
        <v>8370.0</v>
      </c>
      <c r="CA4" s="60">
        <v>8478.0</v>
      </c>
      <c r="CB4" s="60">
        <v>8586.0</v>
      </c>
      <c r="CC4" s="60">
        <v>8694.0</v>
      </c>
      <c r="CD4" s="60">
        <v>8802.0</v>
      </c>
      <c r="CE4" s="60">
        <v>8910.0</v>
      </c>
      <c r="CF4" s="17">
        <v>110.0</v>
      </c>
    </row>
    <row r="5">
      <c r="A5" s="17">
        <v>3.0</v>
      </c>
      <c r="B5" s="60">
        <v>243.0</v>
      </c>
      <c r="C5" s="60">
        <v>349.0</v>
      </c>
      <c r="D5" s="60">
        <v>455.0</v>
      </c>
      <c r="E5" s="60">
        <v>561.0</v>
      </c>
      <c r="F5" s="60">
        <v>667.0</v>
      </c>
      <c r="G5" s="60">
        <v>773.0</v>
      </c>
      <c r="H5" s="60">
        <v>879.0</v>
      </c>
      <c r="I5" s="60">
        <v>985.0</v>
      </c>
      <c r="J5" s="60">
        <v>1091.0</v>
      </c>
      <c r="K5" s="60">
        <v>1197.0</v>
      </c>
      <c r="L5" s="60">
        <v>1303.0</v>
      </c>
      <c r="M5" s="60">
        <v>1409.0</v>
      </c>
      <c r="N5" s="60">
        <v>1515.0</v>
      </c>
      <c r="O5" s="60">
        <v>1621.0</v>
      </c>
      <c r="P5" s="60">
        <v>1727.0</v>
      </c>
      <c r="Q5" s="60">
        <v>1833.0</v>
      </c>
      <c r="R5" s="60">
        <v>1939.0</v>
      </c>
      <c r="S5" s="60">
        <v>2045.0</v>
      </c>
      <c r="T5" s="60">
        <v>2151.0</v>
      </c>
      <c r="U5" s="60">
        <v>2257.0</v>
      </c>
      <c r="V5" s="60">
        <v>2363.0</v>
      </c>
      <c r="W5" s="60">
        <v>2469.0</v>
      </c>
      <c r="X5" s="60">
        <v>2575.0</v>
      </c>
      <c r="Y5" s="60">
        <v>2681.0</v>
      </c>
      <c r="Z5" s="60">
        <v>2787.0</v>
      </c>
      <c r="AA5" s="60">
        <v>2893.0</v>
      </c>
      <c r="AB5" s="60">
        <v>2999.0</v>
      </c>
      <c r="AC5" s="60">
        <v>3105.0</v>
      </c>
      <c r="AD5" s="60">
        <v>3211.0</v>
      </c>
      <c r="AE5" s="60">
        <v>3317.0</v>
      </c>
      <c r="AF5" s="60">
        <v>3423.0</v>
      </c>
      <c r="AG5" s="60">
        <v>3529.0</v>
      </c>
      <c r="AH5" s="60">
        <v>3635.0</v>
      </c>
      <c r="AI5" s="60">
        <v>3741.0</v>
      </c>
      <c r="AJ5" s="60">
        <v>3847.0</v>
      </c>
      <c r="AK5" s="60">
        <v>3953.0</v>
      </c>
      <c r="AL5" s="60">
        <v>4059.0</v>
      </c>
      <c r="AM5" s="60">
        <v>4165.0</v>
      </c>
      <c r="AN5" s="60">
        <v>4271.0</v>
      </c>
      <c r="AO5" s="60">
        <v>4377.0</v>
      </c>
      <c r="AP5" s="60">
        <v>4483.0</v>
      </c>
      <c r="AQ5" s="60">
        <v>4589.0</v>
      </c>
      <c r="AR5" s="60">
        <v>4695.0</v>
      </c>
      <c r="AS5" s="60">
        <v>4801.0</v>
      </c>
      <c r="AT5" s="60">
        <v>4907.0</v>
      </c>
      <c r="AU5" s="60">
        <v>5013.0</v>
      </c>
      <c r="AV5" s="60">
        <v>5119.0</v>
      </c>
      <c r="AW5" s="60">
        <v>5225.0</v>
      </c>
      <c r="AX5" s="60">
        <v>5331.0</v>
      </c>
      <c r="AY5" s="60">
        <v>5437.0</v>
      </c>
      <c r="AZ5" s="60">
        <v>5543.0</v>
      </c>
      <c r="BA5" s="60">
        <v>5649.0</v>
      </c>
      <c r="BB5" s="60">
        <v>5755.0</v>
      </c>
      <c r="BC5" s="60">
        <v>5861.0</v>
      </c>
      <c r="BD5" s="60">
        <v>5967.0</v>
      </c>
      <c r="BE5" s="60">
        <v>6073.0</v>
      </c>
      <c r="BF5" s="60">
        <v>6179.0</v>
      </c>
      <c r="BG5" s="60">
        <v>6285.0</v>
      </c>
      <c r="BH5" s="60">
        <v>6391.0</v>
      </c>
      <c r="BI5" s="60">
        <v>6497.0</v>
      </c>
      <c r="BJ5" s="60">
        <v>6603.0</v>
      </c>
      <c r="BK5" s="60">
        <v>6709.0</v>
      </c>
      <c r="BL5" s="60">
        <v>6815.0</v>
      </c>
      <c r="BM5" s="60">
        <v>6921.0</v>
      </c>
      <c r="BN5" s="60">
        <v>7027.0</v>
      </c>
      <c r="BO5" s="60">
        <v>7133.0</v>
      </c>
      <c r="BP5" s="60">
        <v>7239.0</v>
      </c>
      <c r="BQ5" s="60">
        <v>7345.0</v>
      </c>
      <c r="BR5" s="60">
        <v>7451.0</v>
      </c>
      <c r="BS5" s="60">
        <v>7557.0</v>
      </c>
      <c r="BT5" s="60">
        <v>7663.0</v>
      </c>
      <c r="BU5" s="60">
        <v>7769.0</v>
      </c>
      <c r="BV5" s="60">
        <v>7875.0</v>
      </c>
      <c r="BW5" s="60">
        <v>7981.0</v>
      </c>
      <c r="BX5" s="60">
        <v>8087.0</v>
      </c>
      <c r="BY5" s="60">
        <v>8193.0</v>
      </c>
      <c r="BZ5" s="60">
        <v>8299.0</v>
      </c>
      <c r="CA5" s="60">
        <v>8405.0</v>
      </c>
      <c r="CB5" s="60">
        <v>8511.0</v>
      </c>
      <c r="CC5" s="60">
        <v>8617.0</v>
      </c>
      <c r="CD5" s="60">
        <v>8723.0</v>
      </c>
      <c r="CE5" s="60">
        <v>8829.0</v>
      </c>
      <c r="CF5" s="17">
        <v>109.0</v>
      </c>
    </row>
    <row r="6">
      <c r="A6" s="17">
        <v>4.0</v>
      </c>
      <c r="B6" s="60">
        <v>324.0</v>
      </c>
      <c r="C6" s="60">
        <v>428.0</v>
      </c>
      <c r="D6" s="60">
        <v>532.0</v>
      </c>
      <c r="E6" s="60">
        <v>636.0</v>
      </c>
      <c r="F6" s="60">
        <v>740.0</v>
      </c>
      <c r="G6" s="60">
        <v>844.0</v>
      </c>
      <c r="H6" s="60">
        <v>948.0</v>
      </c>
      <c r="I6" s="60">
        <v>1052.0</v>
      </c>
      <c r="J6" s="60">
        <v>1156.0</v>
      </c>
      <c r="K6" s="60">
        <v>1260.0</v>
      </c>
      <c r="L6" s="60">
        <v>1364.0</v>
      </c>
      <c r="M6" s="60">
        <v>1468.0</v>
      </c>
      <c r="N6" s="60">
        <v>1572.0</v>
      </c>
      <c r="O6" s="60">
        <v>1676.0</v>
      </c>
      <c r="P6" s="60">
        <v>1780.0</v>
      </c>
      <c r="Q6" s="60">
        <v>1884.0</v>
      </c>
      <c r="R6" s="60">
        <v>1988.0</v>
      </c>
      <c r="S6" s="60">
        <v>2092.0</v>
      </c>
      <c r="T6" s="60">
        <v>2196.0</v>
      </c>
      <c r="U6" s="60">
        <v>2300.0</v>
      </c>
      <c r="V6" s="60">
        <v>2404.0</v>
      </c>
      <c r="W6" s="60">
        <v>2508.0</v>
      </c>
      <c r="X6" s="60">
        <v>2612.0</v>
      </c>
      <c r="Y6" s="60">
        <v>2716.0</v>
      </c>
      <c r="Z6" s="60">
        <v>2820.0</v>
      </c>
      <c r="AA6" s="60">
        <v>2924.0</v>
      </c>
      <c r="AB6" s="60">
        <v>3028.0</v>
      </c>
      <c r="AC6" s="60">
        <v>3132.0</v>
      </c>
      <c r="AD6" s="60">
        <v>3236.0</v>
      </c>
      <c r="AE6" s="60">
        <v>3340.0</v>
      </c>
      <c r="AF6" s="60">
        <v>3444.0</v>
      </c>
      <c r="AG6" s="60">
        <v>3548.0</v>
      </c>
      <c r="AH6" s="60">
        <v>3652.0</v>
      </c>
      <c r="AI6" s="60">
        <v>3756.0</v>
      </c>
      <c r="AJ6" s="60">
        <v>3860.0</v>
      </c>
      <c r="AK6" s="60">
        <v>3964.0</v>
      </c>
      <c r="AL6" s="60">
        <v>4068.0</v>
      </c>
      <c r="AM6" s="60">
        <v>4172.0</v>
      </c>
      <c r="AN6" s="60">
        <v>4276.0</v>
      </c>
      <c r="AO6" s="60">
        <v>4380.0</v>
      </c>
      <c r="AP6" s="60">
        <v>4484.0</v>
      </c>
      <c r="AQ6" s="60">
        <v>4588.0</v>
      </c>
      <c r="AR6" s="60">
        <v>4692.0</v>
      </c>
      <c r="AS6" s="60">
        <v>4796.0</v>
      </c>
      <c r="AT6" s="60">
        <v>4900.0</v>
      </c>
      <c r="AU6" s="60">
        <v>5004.0</v>
      </c>
      <c r="AV6" s="60">
        <v>5108.0</v>
      </c>
      <c r="AW6" s="60">
        <v>5212.0</v>
      </c>
      <c r="AX6" s="60">
        <v>5316.0</v>
      </c>
      <c r="AY6" s="60">
        <v>5420.0</v>
      </c>
      <c r="AZ6" s="60">
        <v>5524.0</v>
      </c>
      <c r="BA6" s="60">
        <v>5628.0</v>
      </c>
      <c r="BB6" s="60">
        <v>5732.0</v>
      </c>
      <c r="BC6" s="60">
        <v>5836.0</v>
      </c>
      <c r="BD6" s="60">
        <v>5940.0</v>
      </c>
      <c r="BE6" s="60">
        <v>6044.0</v>
      </c>
      <c r="BF6" s="60">
        <v>6148.0</v>
      </c>
      <c r="BG6" s="60">
        <v>6252.0</v>
      </c>
      <c r="BH6" s="60">
        <v>6356.0</v>
      </c>
      <c r="BI6" s="60">
        <v>6460.0</v>
      </c>
      <c r="BJ6" s="60">
        <v>6564.0</v>
      </c>
      <c r="BK6" s="60">
        <v>6668.0</v>
      </c>
      <c r="BL6" s="60">
        <v>6772.0</v>
      </c>
      <c r="BM6" s="60">
        <v>6876.0</v>
      </c>
      <c r="BN6" s="60">
        <v>6980.0</v>
      </c>
      <c r="BO6" s="60">
        <v>7084.0</v>
      </c>
      <c r="BP6" s="60">
        <v>7188.0</v>
      </c>
      <c r="BQ6" s="60">
        <v>7292.0</v>
      </c>
      <c r="BR6" s="60">
        <v>7396.0</v>
      </c>
      <c r="BS6" s="60">
        <v>7500.0</v>
      </c>
      <c r="BT6" s="60">
        <v>7604.0</v>
      </c>
      <c r="BU6" s="60">
        <v>7708.0</v>
      </c>
      <c r="BV6" s="60">
        <v>7812.0</v>
      </c>
      <c r="BW6" s="60">
        <v>7916.0</v>
      </c>
      <c r="BX6" s="60">
        <v>8020.0</v>
      </c>
      <c r="BY6" s="60">
        <v>8124.0</v>
      </c>
      <c r="BZ6" s="60">
        <v>8228.0</v>
      </c>
      <c r="CA6" s="60">
        <v>8332.0</v>
      </c>
      <c r="CB6" s="60">
        <v>8436.0</v>
      </c>
      <c r="CC6" s="60">
        <v>8540.0</v>
      </c>
      <c r="CD6" s="60">
        <v>8644.0</v>
      </c>
      <c r="CE6" s="60">
        <v>8748.0</v>
      </c>
      <c r="CF6" s="17">
        <v>108.0</v>
      </c>
    </row>
    <row r="7">
      <c r="A7" s="17">
        <v>5.0</v>
      </c>
      <c r="B7" s="60">
        <v>405.0</v>
      </c>
      <c r="C7" s="60">
        <v>507.0</v>
      </c>
      <c r="D7" s="60">
        <v>609.0</v>
      </c>
      <c r="E7" s="60">
        <v>711.0</v>
      </c>
      <c r="F7" s="60">
        <v>813.0</v>
      </c>
      <c r="G7" s="60">
        <v>915.0</v>
      </c>
      <c r="H7" s="60">
        <v>1017.0</v>
      </c>
      <c r="I7" s="60">
        <v>1119.0</v>
      </c>
      <c r="J7" s="60">
        <v>1221.0</v>
      </c>
      <c r="K7" s="60">
        <v>1323.0</v>
      </c>
      <c r="L7" s="60">
        <v>1425.0</v>
      </c>
      <c r="M7" s="60">
        <v>1527.0</v>
      </c>
      <c r="N7" s="60">
        <v>1629.0</v>
      </c>
      <c r="O7" s="60">
        <v>1731.0</v>
      </c>
      <c r="P7" s="60">
        <v>1833.0</v>
      </c>
      <c r="Q7" s="60">
        <v>1935.0</v>
      </c>
      <c r="R7" s="60">
        <v>2037.0</v>
      </c>
      <c r="S7" s="60">
        <v>2139.0</v>
      </c>
      <c r="T7" s="60">
        <v>2241.0</v>
      </c>
      <c r="U7" s="60">
        <v>2343.0</v>
      </c>
      <c r="V7" s="60">
        <v>2445.0</v>
      </c>
      <c r="W7" s="60">
        <v>2547.0</v>
      </c>
      <c r="X7" s="60">
        <v>2649.0</v>
      </c>
      <c r="Y7" s="60">
        <v>2751.0</v>
      </c>
      <c r="Z7" s="60">
        <v>2853.0</v>
      </c>
      <c r="AA7" s="60">
        <v>2955.0</v>
      </c>
      <c r="AB7" s="60">
        <v>3057.0</v>
      </c>
      <c r="AC7" s="60">
        <v>3159.0</v>
      </c>
      <c r="AD7" s="60">
        <v>3261.0</v>
      </c>
      <c r="AE7" s="60">
        <v>3363.0</v>
      </c>
      <c r="AF7" s="60">
        <v>3465.0</v>
      </c>
      <c r="AG7" s="60">
        <v>3567.0</v>
      </c>
      <c r="AH7" s="60">
        <v>3669.0</v>
      </c>
      <c r="AI7" s="60">
        <v>3771.0</v>
      </c>
      <c r="AJ7" s="60">
        <v>3873.0</v>
      </c>
      <c r="AK7" s="60">
        <v>3975.0</v>
      </c>
      <c r="AL7" s="60">
        <v>4077.0</v>
      </c>
      <c r="AM7" s="60">
        <v>4179.0</v>
      </c>
      <c r="AN7" s="60">
        <v>4281.0</v>
      </c>
      <c r="AO7" s="60">
        <v>4383.0</v>
      </c>
      <c r="AP7" s="60">
        <v>4485.0</v>
      </c>
      <c r="AQ7" s="60">
        <v>4587.0</v>
      </c>
      <c r="AR7" s="60">
        <v>4689.0</v>
      </c>
      <c r="AS7" s="60">
        <v>4791.0</v>
      </c>
      <c r="AT7" s="60">
        <v>4893.0</v>
      </c>
      <c r="AU7" s="60">
        <v>4995.0</v>
      </c>
      <c r="AV7" s="60">
        <v>5097.0</v>
      </c>
      <c r="AW7" s="60">
        <v>5199.0</v>
      </c>
      <c r="AX7" s="60">
        <v>5301.0</v>
      </c>
      <c r="AY7" s="60">
        <v>5403.0</v>
      </c>
      <c r="AZ7" s="60">
        <v>5505.0</v>
      </c>
      <c r="BA7" s="60">
        <v>5607.0</v>
      </c>
      <c r="BB7" s="60">
        <v>5709.0</v>
      </c>
      <c r="BC7" s="60">
        <v>5811.0</v>
      </c>
      <c r="BD7" s="60">
        <v>5913.0</v>
      </c>
      <c r="BE7" s="60">
        <v>6015.0</v>
      </c>
      <c r="BF7" s="60">
        <v>6117.0</v>
      </c>
      <c r="BG7" s="60">
        <v>6219.0</v>
      </c>
      <c r="BH7" s="60">
        <v>6321.0</v>
      </c>
      <c r="BI7" s="60">
        <v>6423.0</v>
      </c>
      <c r="BJ7" s="60">
        <v>6525.0</v>
      </c>
      <c r="BK7" s="60">
        <v>6627.0</v>
      </c>
      <c r="BL7" s="60">
        <v>6729.0</v>
      </c>
      <c r="BM7" s="60">
        <v>6831.0</v>
      </c>
      <c r="BN7" s="60">
        <v>6933.0</v>
      </c>
      <c r="BO7" s="60">
        <v>7035.0</v>
      </c>
      <c r="BP7" s="60">
        <v>7137.0</v>
      </c>
      <c r="BQ7" s="60">
        <v>7239.0</v>
      </c>
      <c r="BR7" s="60">
        <v>7341.0</v>
      </c>
      <c r="BS7" s="60">
        <v>7443.0</v>
      </c>
      <c r="BT7" s="60">
        <v>7545.0</v>
      </c>
      <c r="BU7" s="60">
        <v>7647.0</v>
      </c>
      <c r="BV7" s="60">
        <v>7749.0</v>
      </c>
      <c r="BW7" s="60">
        <v>7851.0</v>
      </c>
      <c r="BX7" s="60">
        <v>7953.0</v>
      </c>
      <c r="BY7" s="60">
        <v>8055.0</v>
      </c>
      <c r="BZ7" s="60">
        <v>8157.0</v>
      </c>
      <c r="CA7" s="60">
        <v>8259.0</v>
      </c>
      <c r="CB7" s="60">
        <v>8361.0</v>
      </c>
      <c r="CC7" s="60">
        <v>8463.0</v>
      </c>
      <c r="CD7" s="60">
        <v>8565.0</v>
      </c>
      <c r="CE7" s="60">
        <v>8667.0</v>
      </c>
      <c r="CF7" s="17">
        <v>107.0</v>
      </c>
    </row>
    <row r="8">
      <c r="A8" s="17">
        <v>6.0</v>
      </c>
      <c r="B8" s="60">
        <v>486.0</v>
      </c>
      <c r="C8" s="60">
        <v>586.0</v>
      </c>
      <c r="D8" s="60">
        <v>686.0</v>
      </c>
      <c r="E8" s="60">
        <v>786.0</v>
      </c>
      <c r="F8" s="60">
        <v>886.0</v>
      </c>
      <c r="G8" s="60">
        <v>986.0</v>
      </c>
      <c r="H8" s="60">
        <v>1086.0</v>
      </c>
      <c r="I8" s="60">
        <v>1186.0</v>
      </c>
      <c r="J8" s="60">
        <v>1286.0</v>
      </c>
      <c r="K8" s="60">
        <v>1386.0</v>
      </c>
      <c r="L8" s="60">
        <v>1486.0</v>
      </c>
      <c r="M8" s="60">
        <v>1586.0</v>
      </c>
      <c r="N8" s="60">
        <v>1686.0</v>
      </c>
      <c r="O8" s="60">
        <v>1786.0</v>
      </c>
      <c r="P8" s="60">
        <v>1886.0</v>
      </c>
      <c r="Q8" s="60">
        <v>1986.0</v>
      </c>
      <c r="R8" s="60">
        <v>2086.0</v>
      </c>
      <c r="S8" s="60">
        <v>2186.0</v>
      </c>
      <c r="T8" s="60">
        <v>2286.0</v>
      </c>
      <c r="U8" s="60">
        <v>2386.0</v>
      </c>
      <c r="V8" s="60">
        <v>2486.0</v>
      </c>
      <c r="W8" s="60">
        <v>2586.0</v>
      </c>
      <c r="X8" s="60">
        <v>2686.0</v>
      </c>
      <c r="Y8" s="60">
        <v>2786.0</v>
      </c>
      <c r="Z8" s="60">
        <v>2886.0</v>
      </c>
      <c r="AA8" s="60">
        <v>2986.0</v>
      </c>
      <c r="AB8" s="60">
        <v>3086.0</v>
      </c>
      <c r="AC8" s="60">
        <v>3186.0</v>
      </c>
      <c r="AD8" s="60">
        <v>3286.0</v>
      </c>
      <c r="AE8" s="60">
        <v>3386.0</v>
      </c>
      <c r="AF8" s="60">
        <v>3486.0</v>
      </c>
      <c r="AG8" s="60">
        <v>3586.0</v>
      </c>
      <c r="AH8" s="60">
        <v>3686.0</v>
      </c>
      <c r="AI8" s="60">
        <v>3786.0</v>
      </c>
      <c r="AJ8" s="60">
        <v>3886.0</v>
      </c>
      <c r="AK8" s="60">
        <v>3986.0</v>
      </c>
      <c r="AL8" s="60">
        <v>4086.0</v>
      </c>
      <c r="AM8" s="60">
        <v>4186.0</v>
      </c>
      <c r="AN8" s="60">
        <v>4286.0</v>
      </c>
      <c r="AO8" s="60">
        <v>4386.0</v>
      </c>
      <c r="AP8" s="60">
        <v>4486.0</v>
      </c>
      <c r="AQ8" s="60">
        <v>4586.0</v>
      </c>
      <c r="AR8" s="60">
        <v>4686.0</v>
      </c>
      <c r="AS8" s="60">
        <v>4786.0</v>
      </c>
      <c r="AT8" s="60">
        <v>4886.0</v>
      </c>
      <c r="AU8" s="60">
        <v>4986.0</v>
      </c>
      <c r="AV8" s="60">
        <v>5086.0</v>
      </c>
      <c r="AW8" s="60">
        <v>5186.0</v>
      </c>
      <c r="AX8" s="60">
        <v>5286.0</v>
      </c>
      <c r="AY8" s="60">
        <v>5386.0</v>
      </c>
      <c r="AZ8" s="60">
        <v>5486.0</v>
      </c>
      <c r="BA8" s="60">
        <v>5586.0</v>
      </c>
      <c r="BB8" s="60">
        <v>5686.0</v>
      </c>
      <c r="BC8" s="60">
        <v>5786.0</v>
      </c>
      <c r="BD8" s="60">
        <v>5886.0</v>
      </c>
      <c r="BE8" s="60">
        <v>5986.0</v>
      </c>
      <c r="BF8" s="60">
        <v>6086.0</v>
      </c>
      <c r="BG8" s="60">
        <v>6186.0</v>
      </c>
      <c r="BH8" s="60">
        <v>6286.0</v>
      </c>
      <c r="BI8" s="60">
        <v>6386.0</v>
      </c>
      <c r="BJ8" s="60">
        <v>6486.0</v>
      </c>
      <c r="BK8" s="60">
        <v>6586.0</v>
      </c>
      <c r="BL8" s="60">
        <v>6686.0</v>
      </c>
      <c r="BM8" s="60">
        <v>6786.0</v>
      </c>
      <c r="BN8" s="60">
        <v>6886.0</v>
      </c>
      <c r="BO8" s="60">
        <v>6986.0</v>
      </c>
      <c r="BP8" s="60">
        <v>7086.0</v>
      </c>
      <c r="BQ8" s="60">
        <v>7186.0</v>
      </c>
      <c r="BR8" s="60">
        <v>7286.0</v>
      </c>
      <c r="BS8" s="60">
        <v>7386.0</v>
      </c>
      <c r="BT8" s="60">
        <v>7486.0</v>
      </c>
      <c r="BU8" s="60">
        <v>7586.0</v>
      </c>
      <c r="BV8" s="60">
        <v>7686.0</v>
      </c>
      <c r="BW8" s="60">
        <v>7786.0</v>
      </c>
      <c r="BX8" s="60">
        <v>7886.0</v>
      </c>
      <c r="BY8" s="60">
        <v>7986.0</v>
      </c>
      <c r="BZ8" s="60">
        <v>8086.0</v>
      </c>
      <c r="CA8" s="60">
        <v>8186.0</v>
      </c>
      <c r="CB8" s="60">
        <v>8286.0</v>
      </c>
      <c r="CC8" s="60">
        <v>8386.0</v>
      </c>
      <c r="CD8" s="60">
        <v>8486.0</v>
      </c>
      <c r="CE8" s="60">
        <v>8586.0</v>
      </c>
      <c r="CF8" s="17">
        <v>106.0</v>
      </c>
    </row>
    <row r="9">
      <c r="A9" s="17">
        <v>7.0</v>
      </c>
      <c r="B9" s="60">
        <v>567.0</v>
      </c>
      <c r="C9" s="60">
        <v>665.0</v>
      </c>
      <c r="D9" s="60">
        <v>763.0</v>
      </c>
      <c r="E9" s="60">
        <v>861.0</v>
      </c>
      <c r="F9" s="60">
        <v>959.0</v>
      </c>
      <c r="G9" s="60">
        <v>1057.0</v>
      </c>
      <c r="H9" s="60">
        <v>1155.0</v>
      </c>
      <c r="I9" s="60">
        <v>1253.0</v>
      </c>
      <c r="J9" s="60">
        <v>1351.0</v>
      </c>
      <c r="K9" s="60">
        <v>1449.0</v>
      </c>
      <c r="L9" s="60">
        <v>1547.0</v>
      </c>
      <c r="M9" s="60">
        <v>1645.0</v>
      </c>
      <c r="N9" s="60">
        <v>1743.0</v>
      </c>
      <c r="O9" s="60">
        <v>1841.0</v>
      </c>
      <c r="P9" s="60">
        <v>1939.0</v>
      </c>
      <c r="Q9" s="60">
        <v>2037.0</v>
      </c>
      <c r="R9" s="60">
        <v>2135.0</v>
      </c>
      <c r="S9" s="60">
        <v>2233.0</v>
      </c>
      <c r="T9" s="60">
        <v>2331.0</v>
      </c>
      <c r="U9" s="60">
        <v>2429.0</v>
      </c>
      <c r="V9" s="60">
        <v>2527.0</v>
      </c>
      <c r="W9" s="60">
        <v>2625.0</v>
      </c>
      <c r="X9" s="60">
        <v>2723.0</v>
      </c>
      <c r="Y9" s="60">
        <v>2821.0</v>
      </c>
      <c r="Z9" s="60">
        <v>2919.0</v>
      </c>
      <c r="AA9" s="60">
        <v>3017.0</v>
      </c>
      <c r="AB9" s="60">
        <v>3115.0</v>
      </c>
      <c r="AC9" s="60">
        <v>3213.0</v>
      </c>
      <c r="AD9" s="60">
        <v>3311.0</v>
      </c>
      <c r="AE9" s="60">
        <v>3409.0</v>
      </c>
      <c r="AF9" s="60">
        <v>3507.0</v>
      </c>
      <c r="AG9" s="60">
        <v>3605.0</v>
      </c>
      <c r="AH9" s="60">
        <v>3703.0</v>
      </c>
      <c r="AI9" s="60">
        <v>3801.0</v>
      </c>
      <c r="AJ9" s="60">
        <v>3899.0</v>
      </c>
      <c r="AK9" s="60">
        <v>3997.0</v>
      </c>
      <c r="AL9" s="60">
        <v>4095.0</v>
      </c>
      <c r="AM9" s="60">
        <v>4193.0</v>
      </c>
      <c r="AN9" s="60">
        <v>4291.0</v>
      </c>
      <c r="AO9" s="60">
        <v>4389.0</v>
      </c>
      <c r="AP9" s="60">
        <v>4487.0</v>
      </c>
      <c r="AQ9" s="60">
        <v>4585.0</v>
      </c>
      <c r="AR9" s="60">
        <v>4683.0</v>
      </c>
      <c r="AS9" s="60">
        <v>4781.0</v>
      </c>
      <c r="AT9" s="60">
        <v>4879.0</v>
      </c>
      <c r="AU9" s="60">
        <v>4977.0</v>
      </c>
      <c r="AV9" s="60">
        <v>5075.0</v>
      </c>
      <c r="AW9" s="60">
        <v>5173.0</v>
      </c>
      <c r="AX9" s="60">
        <v>5271.0</v>
      </c>
      <c r="AY9" s="60">
        <v>5369.0</v>
      </c>
      <c r="AZ9" s="60">
        <v>5467.0</v>
      </c>
      <c r="BA9" s="60">
        <v>5565.0</v>
      </c>
      <c r="BB9" s="60">
        <v>5663.0</v>
      </c>
      <c r="BC9" s="60">
        <v>5761.0</v>
      </c>
      <c r="BD9" s="60">
        <v>5859.0</v>
      </c>
      <c r="BE9" s="60">
        <v>5957.0</v>
      </c>
      <c r="BF9" s="60">
        <v>6055.0</v>
      </c>
      <c r="BG9" s="60">
        <v>6153.0</v>
      </c>
      <c r="BH9" s="60">
        <v>6251.0</v>
      </c>
      <c r="BI9" s="60">
        <v>6349.0</v>
      </c>
      <c r="BJ9" s="60">
        <v>6447.0</v>
      </c>
      <c r="BK9" s="60">
        <v>6545.0</v>
      </c>
      <c r="BL9" s="60">
        <v>6643.0</v>
      </c>
      <c r="BM9" s="60">
        <v>6741.0</v>
      </c>
      <c r="BN9" s="60">
        <v>6839.0</v>
      </c>
      <c r="BO9" s="60">
        <v>6937.0</v>
      </c>
      <c r="BP9" s="60">
        <v>7035.0</v>
      </c>
      <c r="BQ9" s="60">
        <v>7133.0</v>
      </c>
      <c r="BR9" s="60">
        <v>7231.0</v>
      </c>
      <c r="BS9" s="60">
        <v>7329.0</v>
      </c>
      <c r="BT9" s="60">
        <v>7427.0</v>
      </c>
      <c r="BU9" s="60">
        <v>7525.0</v>
      </c>
      <c r="BV9" s="60">
        <v>7623.0</v>
      </c>
      <c r="BW9" s="60">
        <v>7721.0</v>
      </c>
      <c r="BX9" s="60">
        <v>7819.0</v>
      </c>
      <c r="BY9" s="60">
        <v>7917.0</v>
      </c>
      <c r="BZ9" s="60">
        <v>8015.0</v>
      </c>
      <c r="CA9" s="60">
        <v>8113.0</v>
      </c>
      <c r="CB9" s="60">
        <v>8211.0</v>
      </c>
      <c r="CC9" s="60">
        <v>8309.0</v>
      </c>
      <c r="CD9" s="60">
        <v>8407.0</v>
      </c>
      <c r="CE9" s="60">
        <v>8505.0</v>
      </c>
      <c r="CF9" s="17">
        <v>105.0</v>
      </c>
    </row>
    <row r="10">
      <c r="A10" s="17">
        <v>8.0</v>
      </c>
      <c r="B10" s="60">
        <v>648.0</v>
      </c>
      <c r="C10" s="60">
        <v>744.0</v>
      </c>
      <c r="D10" s="60">
        <v>840.0</v>
      </c>
      <c r="E10" s="60">
        <v>936.0</v>
      </c>
      <c r="F10" s="60">
        <v>1032.0</v>
      </c>
      <c r="G10" s="60">
        <v>1128.0</v>
      </c>
      <c r="H10" s="60">
        <v>1224.0</v>
      </c>
      <c r="I10" s="60">
        <v>1320.0</v>
      </c>
      <c r="J10" s="60">
        <v>1416.0</v>
      </c>
      <c r="K10" s="60">
        <v>1512.0</v>
      </c>
      <c r="L10" s="60">
        <v>1608.0</v>
      </c>
      <c r="M10" s="60">
        <v>1704.0</v>
      </c>
      <c r="N10" s="60">
        <v>1800.0</v>
      </c>
      <c r="O10" s="60">
        <v>1896.0</v>
      </c>
      <c r="P10" s="60">
        <v>1992.0</v>
      </c>
      <c r="Q10" s="60">
        <v>2088.0</v>
      </c>
      <c r="R10" s="60">
        <v>2184.0</v>
      </c>
      <c r="S10" s="60">
        <v>2280.0</v>
      </c>
      <c r="T10" s="60">
        <v>2376.0</v>
      </c>
      <c r="U10" s="60">
        <v>2472.0</v>
      </c>
      <c r="V10" s="60">
        <v>2568.0</v>
      </c>
      <c r="W10" s="60">
        <v>2664.0</v>
      </c>
      <c r="X10" s="60">
        <v>2760.0</v>
      </c>
      <c r="Y10" s="60">
        <v>2856.0</v>
      </c>
      <c r="Z10" s="60">
        <v>2952.0</v>
      </c>
      <c r="AA10" s="60">
        <v>3048.0</v>
      </c>
      <c r="AB10" s="60">
        <v>3144.0</v>
      </c>
      <c r="AC10" s="60">
        <v>3240.0</v>
      </c>
      <c r="AD10" s="60">
        <v>3336.0</v>
      </c>
      <c r="AE10" s="60">
        <v>3432.0</v>
      </c>
      <c r="AF10" s="60">
        <v>3528.0</v>
      </c>
      <c r="AG10" s="60">
        <v>3624.0</v>
      </c>
      <c r="AH10" s="60">
        <v>3720.0</v>
      </c>
      <c r="AI10" s="60">
        <v>3816.0</v>
      </c>
      <c r="AJ10" s="60">
        <v>3912.0</v>
      </c>
      <c r="AK10" s="60">
        <v>4008.0</v>
      </c>
      <c r="AL10" s="60">
        <v>4104.0</v>
      </c>
      <c r="AM10" s="60">
        <v>4200.0</v>
      </c>
      <c r="AN10" s="60">
        <v>4296.0</v>
      </c>
      <c r="AO10" s="60">
        <v>4392.0</v>
      </c>
      <c r="AP10" s="60">
        <v>4488.0</v>
      </c>
      <c r="AQ10" s="60">
        <v>4584.0</v>
      </c>
      <c r="AR10" s="60">
        <v>4680.0</v>
      </c>
      <c r="AS10" s="60">
        <v>4776.0</v>
      </c>
      <c r="AT10" s="60">
        <v>4872.0</v>
      </c>
      <c r="AU10" s="60">
        <v>4968.0</v>
      </c>
      <c r="AV10" s="60">
        <v>5064.0</v>
      </c>
      <c r="AW10" s="60">
        <v>5160.0</v>
      </c>
      <c r="AX10" s="60">
        <v>5256.0</v>
      </c>
      <c r="AY10" s="60">
        <v>5352.0</v>
      </c>
      <c r="AZ10" s="60">
        <v>5448.0</v>
      </c>
      <c r="BA10" s="60">
        <v>5544.0</v>
      </c>
      <c r="BB10" s="60">
        <v>5640.0</v>
      </c>
      <c r="BC10" s="60">
        <v>5736.0</v>
      </c>
      <c r="BD10" s="60">
        <v>5832.0</v>
      </c>
      <c r="BE10" s="60">
        <v>5928.0</v>
      </c>
      <c r="BF10" s="60">
        <v>6024.0</v>
      </c>
      <c r="BG10" s="60">
        <v>6120.0</v>
      </c>
      <c r="BH10" s="60">
        <v>6216.0</v>
      </c>
      <c r="BI10" s="60">
        <v>6312.0</v>
      </c>
      <c r="BJ10" s="60">
        <v>6408.0</v>
      </c>
      <c r="BK10" s="60">
        <v>6504.0</v>
      </c>
      <c r="BL10" s="60">
        <v>6600.0</v>
      </c>
      <c r="BM10" s="60">
        <v>6696.0</v>
      </c>
      <c r="BN10" s="60">
        <v>6792.0</v>
      </c>
      <c r="BO10" s="60">
        <v>6888.0</v>
      </c>
      <c r="BP10" s="60">
        <v>6984.0</v>
      </c>
      <c r="BQ10" s="60">
        <v>7080.0</v>
      </c>
      <c r="BR10" s="60">
        <v>7176.0</v>
      </c>
      <c r="BS10" s="60">
        <v>7272.0</v>
      </c>
      <c r="BT10" s="60">
        <v>7368.0</v>
      </c>
      <c r="BU10" s="60">
        <v>7464.0</v>
      </c>
      <c r="BV10" s="60">
        <v>7560.0</v>
      </c>
      <c r="BW10" s="60">
        <v>7656.0</v>
      </c>
      <c r="BX10" s="60">
        <v>7752.0</v>
      </c>
      <c r="BY10" s="60">
        <v>7848.0</v>
      </c>
      <c r="BZ10" s="60">
        <v>7944.0</v>
      </c>
      <c r="CA10" s="60">
        <v>8040.0</v>
      </c>
      <c r="CB10" s="60">
        <v>8136.0</v>
      </c>
      <c r="CC10" s="60">
        <v>8232.0</v>
      </c>
      <c r="CD10" s="60">
        <v>8328.0</v>
      </c>
      <c r="CE10" s="60">
        <v>8424.0</v>
      </c>
      <c r="CF10" s="17">
        <v>104.0</v>
      </c>
    </row>
    <row r="11">
      <c r="A11" s="17">
        <v>9.0</v>
      </c>
      <c r="B11" s="60">
        <v>729.0</v>
      </c>
      <c r="C11" s="60">
        <v>823.0</v>
      </c>
      <c r="D11" s="60">
        <v>917.0</v>
      </c>
      <c r="E11" s="60">
        <v>1011.0</v>
      </c>
      <c r="F11" s="60">
        <v>1105.0</v>
      </c>
      <c r="G11" s="60">
        <v>1199.0</v>
      </c>
      <c r="H11" s="60">
        <v>1293.0</v>
      </c>
      <c r="I11" s="60">
        <v>1387.0</v>
      </c>
      <c r="J11" s="60">
        <v>1481.0</v>
      </c>
      <c r="K11" s="60">
        <v>1575.0</v>
      </c>
      <c r="L11" s="60">
        <v>1669.0</v>
      </c>
      <c r="M11" s="60">
        <v>1763.0</v>
      </c>
      <c r="N11" s="60">
        <v>1857.0</v>
      </c>
      <c r="O11" s="60">
        <v>1951.0</v>
      </c>
      <c r="P11" s="60">
        <v>2045.0</v>
      </c>
      <c r="Q11" s="60">
        <v>2139.0</v>
      </c>
      <c r="R11" s="60">
        <v>2233.0</v>
      </c>
      <c r="S11" s="60">
        <v>2327.0</v>
      </c>
      <c r="T11" s="60">
        <v>2421.0</v>
      </c>
      <c r="U11" s="60">
        <v>2515.0</v>
      </c>
      <c r="V11" s="60">
        <v>2609.0</v>
      </c>
      <c r="W11" s="60">
        <v>2703.0</v>
      </c>
      <c r="X11" s="60">
        <v>2797.0</v>
      </c>
      <c r="Y11" s="60">
        <v>2891.0</v>
      </c>
      <c r="Z11" s="60">
        <v>2985.0</v>
      </c>
      <c r="AA11" s="60">
        <v>3079.0</v>
      </c>
      <c r="AB11" s="60">
        <v>3173.0</v>
      </c>
      <c r="AC11" s="60">
        <v>3267.0</v>
      </c>
      <c r="AD11" s="60">
        <v>3361.0</v>
      </c>
      <c r="AE11" s="60">
        <v>3455.0</v>
      </c>
      <c r="AF11" s="60">
        <v>3549.0</v>
      </c>
      <c r="AG11" s="60">
        <v>3643.0</v>
      </c>
      <c r="AH11" s="60">
        <v>3737.0</v>
      </c>
      <c r="AI11" s="60">
        <v>3831.0</v>
      </c>
      <c r="AJ11" s="60">
        <v>3925.0</v>
      </c>
      <c r="AK11" s="60">
        <v>4019.0</v>
      </c>
      <c r="AL11" s="60">
        <v>4113.0</v>
      </c>
      <c r="AM11" s="60">
        <v>4207.0</v>
      </c>
      <c r="AN11" s="60">
        <v>4301.0</v>
      </c>
      <c r="AO11" s="60">
        <v>4395.0</v>
      </c>
      <c r="AP11" s="60">
        <v>4489.0</v>
      </c>
      <c r="AQ11" s="60">
        <v>4583.0</v>
      </c>
      <c r="AR11" s="60">
        <v>4677.0</v>
      </c>
      <c r="AS11" s="60">
        <v>4771.0</v>
      </c>
      <c r="AT11" s="60">
        <v>4865.0</v>
      </c>
      <c r="AU11" s="60">
        <v>4959.0</v>
      </c>
      <c r="AV11" s="60">
        <v>5053.0</v>
      </c>
      <c r="AW11" s="60">
        <v>5147.0</v>
      </c>
      <c r="AX11" s="60">
        <v>5241.0</v>
      </c>
      <c r="AY11" s="60">
        <v>5335.0</v>
      </c>
      <c r="AZ11" s="60">
        <v>5429.0</v>
      </c>
      <c r="BA11" s="60">
        <v>5523.0</v>
      </c>
      <c r="BB11" s="60">
        <v>5617.0</v>
      </c>
      <c r="BC11" s="60">
        <v>5711.0</v>
      </c>
      <c r="BD11" s="60">
        <v>5805.0</v>
      </c>
      <c r="BE11" s="60">
        <v>5899.0</v>
      </c>
      <c r="BF11" s="60">
        <v>5993.0</v>
      </c>
      <c r="BG11" s="60">
        <v>6087.0</v>
      </c>
      <c r="BH11" s="60">
        <v>6181.0</v>
      </c>
      <c r="BI11" s="60">
        <v>6275.0</v>
      </c>
      <c r="BJ11" s="60">
        <v>6369.0</v>
      </c>
      <c r="BK11" s="60">
        <v>6463.0</v>
      </c>
      <c r="BL11" s="60">
        <v>6557.0</v>
      </c>
      <c r="BM11" s="60">
        <v>6651.0</v>
      </c>
      <c r="BN11" s="60">
        <v>6745.0</v>
      </c>
      <c r="BO11" s="60">
        <v>6839.0</v>
      </c>
      <c r="BP11" s="60">
        <v>6933.0</v>
      </c>
      <c r="BQ11" s="60">
        <v>7027.0</v>
      </c>
      <c r="BR11" s="60">
        <v>7121.0</v>
      </c>
      <c r="BS11" s="60">
        <v>7215.0</v>
      </c>
      <c r="BT11" s="60">
        <v>7309.0</v>
      </c>
      <c r="BU11" s="60">
        <v>7403.0</v>
      </c>
      <c r="BV11" s="60">
        <v>7497.0</v>
      </c>
      <c r="BW11" s="60">
        <v>7591.0</v>
      </c>
      <c r="BX11" s="60">
        <v>7685.0</v>
      </c>
      <c r="BY11" s="60">
        <v>7779.0</v>
      </c>
      <c r="BZ11" s="60">
        <v>7873.0</v>
      </c>
      <c r="CA11" s="60">
        <v>7967.0</v>
      </c>
      <c r="CB11" s="60">
        <v>8061.0</v>
      </c>
      <c r="CC11" s="60">
        <v>8155.0</v>
      </c>
      <c r="CD11" s="60">
        <v>8249.0</v>
      </c>
      <c r="CE11" s="60">
        <v>8343.0</v>
      </c>
      <c r="CF11" s="17">
        <v>103.0</v>
      </c>
    </row>
    <row r="12">
      <c r="A12" s="17">
        <v>10.0</v>
      </c>
      <c r="B12" s="60">
        <v>810.0</v>
      </c>
      <c r="C12" s="60">
        <v>902.0</v>
      </c>
      <c r="D12" s="60">
        <v>994.0</v>
      </c>
      <c r="E12" s="60">
        <v>1086.0</v>
      </c>
      <c r="F12" s="60">
        <v>1178.0</v>
      </c>
      <c r="G12" s="60">
        <v>1270.0</v>
      </c>
      <c r="H12" s="60">
        <v>1362.0</v>
      </c>
      <c r="I12" s="60">
        <v>1454.0</v>
      </c>
      <c r="J12" s="60">
        <v>1546.0</v>
      </c>
      <c r="K12" s="60">
        <v>1638.0</v>
      </c>
      <c r="L12" s="60">
        <v>1730.0</v>
      </c>
      <c r="M12" s="60">
        <v>1822.0</v>
      </c>
      <c r="N12" s="60">
        <v>1914.0</v>
      </c>
      <c r="O12" s="60">
        <v>2006.0</v>
      </c>
      <c r="P12" s="60">
        <v>2098.0</v>
      </c>
      <c r="Q12" s="60">
        <v>2190.0</v>
      </c>
      <c r="R12" s="60">
        <v>2282.0</v>
      </c>
      <c r="S12" s="60">
        <v>2374.0</v>
      </c>
      <c r="T12" s="60">
        <v>2466.0</v>
      </c>
      <c r="U12" s="60">
        <v>2558.0</v>
      </c>
      <c r="V12" s="60">
        <v>2650.0</v>
      </c>
      <c r="W12" s="60">
        <v>2742.0</v>
      </c>
      <c r="X12" s="60">
        <v>2834.0</v>
      </c>
      <c r="Y12" s="60">
        <v>2926.0</v>
      </c>
      <c r="Z12" s="60">
        <v>3018.0</v>
      </c>
      <c r="AA12" s="60">
        <v>3110.0</v>
      </c>
      <c r="AB12" s="60">
        <v>3202.0</v>
      </c>
      <c r="AC12" s="60">
        <v>3294.0</v>
      </c>
      <c r="AD12" s="60">
        <v>3386.0</v>
      </c>
      <c r="AE12" s="60">
        <v>3478.0</v>
      </c>
      <c r="AF12" s="60">
        <v>3570.0</v>
      </c>
      <c r="AG12" s="60">
        <v>3662.0</v>
      </c>
      <c r="AH12" s="60">
        <v>3754.0</v>
      </c>
      <c r="AI12" s="60">
        <v>3846.0</v>
      </c>
      <c r="AJ12" s="60">
        <v>3938.0</v>
      </c>
      <c r="AK12" s="60">
        <v>4030.0</v>
      </c>
      <c r="AL12" s="60">
        <v>4122.0</v>
      </c>
      <c r="AM12" s="60">
        <v>4214.0</v>
      </c>
      <c r="AN12" s="60">
        <v>4306.0</v>
      </c>
      <c r="AO12" s="60">
        <v>4398.0</v>
      </c>
      <c r="AP12" s="60">
        <v>4490.0</v>
      </c>
      <c r="AQ12" s="60">
        <v>4582.0</v>
      </c>
      <c r="AR12" s="60">
        <v>4674.0</v>
      </c>
      <c r="AS12" s="60">
        <v>4766.0</v>
      </c>
      <c r="AT12" s="60">
        <v>4858.0</v>
      </c>
      <c r="AU12" s="60">
        <v>4950.0</v>
      </c>
      <c r="AV12" s="60">
        <v>5042.0</v>
      </c>
      <c r="AW12" s="60">
        <v>5134.0</v>
      </c>
      <c r="AX12" s="60">
        <v>5226.0</v>
      </c>
      <c r="AY12" s="60">
        <v>5318.0</v>
      </c>
      <c r="AZ12" s="60">
        <v>5410.0</v>
      </c>
      <c r="BA12" s="60">
        <v>5502.0</v>
      </c>
      <c r="BB12" s="60">
        <v>5594.0</v>
      </c>
      <c r="BC12" s="60">
        <v>5686.0</v>
      </c>
      <c r="BD12" s="60">
        <v>5778.0</v>
      </c>
      <c r="BE12" s="60">
        <v>5870.0</v>
      </c>
      <c r="BF12" s="60">
        <v>5962.0</v>
      </c>
      <c r="BG12" s="60">
        <v>6054.0</v>
      </c>
      <c r="BH12" s="60">
        <v>6146.0</v>
      </c>
      <c r="BI12" s="60">
        <v>6238.0</v>
      </c>
      <c r="BJ12" s="60">
        <v>6330.0</v>
      </c>
      <c r="BK12" s="60">
        <v>6422.0</v>
      </c>
      <c r="BL12" s="60">
        <v>6514.0</v>
      </c>
      <c r="BM12" s="60">
        <v>6606.0</v>
      </c>
      <c r="BN12" s="60">
        <v>6698.0</v>
      </c>
      <c r="BO12" s="60">
        <v>6790.0</v>
      </c>
      <c r="BP12" s="60">
        <v>6882.0</v>
      </c>
      <c r="BQ12" s="60">
        <v>6974.0</v>
      </c>
      <c r="BR12" s="60">
        <v>7066.0</v>
      </c>
      <c r="BS12" s="60">
        <v>7158.0</v>
      </c>
      <c r="BT12" s="60">
        <v>7250.0</v>
      </c>
      <c r="BU12" s="60">
        <v>7342.0</v>
      </c>
      <c r="BV12" s="60">
        <v>7434.0</v>
      </c>
      <c r="BW12" s="60">
        <v>7526.0</v>
      </c>
      <c r="BX12" s="60">
        <v>7618.0</v>
      </c>
      <c r="BY12" s="60">
        <v>7710.0</v>
      </c>
      <c r="BZ12" s="60">
        <v>7802.0</v>
      </c>
      <c r="CA12" s="60">
        <v>7894.0</v>
      </c>
      <c r="CB12" s="60">
        <v>7986.0</v>
      </c>
      <c r="CC12" s="60">
        <v>8078.0</v>
      </c>
      <c r="CD12" s="60">
        <v>8170.0</v>
      </c>
      <c r="CE12" s="60">
        <v>8262.0</v>
      </c>
      <c r="CF12" s="17">
        <v>102.0</v>
      </c>
    </row>
    <row r="13">
      <c r="A13" s="17">
        <v>11.0</v>
      </c>
      <c r="B13" s="60">
        <v>891.0</v>
      </c>
      <c r="C13" s="60">
        <v>981.0</v>
      </c>
      <c r="D13" s="60">
        <v>1071.0</v>
      </c>
      <c r="E13" s="60">
        <v>1161.0</v>
      </c>
      <c r="F13" s="60">
        <v>1251.0</v>
      </c>
      <c r="G13" s="60">
        <v>1341.0</v>
      </c>
      <c r="H13" s="60">
        <v>1431.0</v>
      </c>
      <c r="I13" s="60">
        <v>1521.0</v>
      </c>
      <c r="J13" s="60">
        <v>1611.0</v>
      </c>
      <c r="K13" s="60">
        <v>1701.0</v>
      </c>
      <c r="L13" s="60">
        <v>1791.0</v>
      </c>
      <c r="M13" s="60">
        <v>1881.0</v>
      </c>
      <c r="N13" s="60">
        <v>1971.0</v>
      </c>
      <c r="O13" s="60">
        <v>2061.0</v>
      </c>
      <c r="P13" s="60">
        <v>2151.0</v>
      </c>
      <c r="Q13" s="60">
        <v>2241.0</v>
      </c>
      <c r="R13" s="60">
        <v>2331.0</v>
      </c>
      <c r="S13" s="60">
        <v>2421.0</v>
      </c>
      <c r="T13" s="60">
        <v>2511.0</v>
      </c>
      <c r="U13" s="60">
        <v>2601.0</v>
      </c>
      <c r="V13" s="60">
        <v>2691.0</v>
      </c>
      <c r="W13" s="60">
        <v>2781.0</v>
      </c>
      <c r="X13" s="60">
        <v>2871.0</v>
      </c>
      <c r="Y13" s="60">
        <v>2961.0</v>
      </c>
      <c r="Z13" s="60">
        <v>3051.0</v>
      </c>
      <c r="AA13" s="60">
        <v>3141.0</v>
      </c>
      <c r="AB13" s="60">
        <v>3231.0</v>
      </c>
      <c r="AC13" s="60">
        <v>3321.0</v>
      </c>
      <c r="AD13" s="60">
        <v>3411.0</v>
      </c>
      <c r="AE13" s="60">
        <v>3501.0</v>
      </c>
      <c r="AF13" s="60">
        <v>3591.0</v>
      </c>
      <c r="AG13" s="60">
        <v>3681.0</v>
      </c>
      <c r="AH13" s="60">
        <v>3771.0</v>
      </c>
      <c r="AI13" s="60">
        <v>3861.0</v>
      </c>
      <c r="AJ13" s="60">
        <v>3951.0</v>
      </c>
      <c r="AK13" s="60">
        <v>4041.0</v>
      </c>
      <c r="AL13" s="60">
        <v>4131.0</v>
      </c>
      <c r="AM13" s="60">
        <v>4221.0</v>
      </c>
      <c r="AN13" s="60">
        <v>4311.0</v>
      </c>
      <c r="AO13" s="60">
        <v>4401.0</v>
      </c>
      <c r="AP13" s="60">
        <v>4491.0</v>
      </c>
      <c r="AQ13" s="60">
        <v>4581.0</v>
      </c>
      <c r="AR13" s="60">
        <v>4671.0</v>
      </c>
      <c r="AS13" s="60">
        <v>4761.0</v>
      </c>
      <c r="AT13" s="60">
        <v>4851.0</v>
      </c>
      <c r="AU13" s="60">
        <v>4941.0</v>
      </c>
      <c r="AV13" s="60">
        <v>5031.0</v>
      </c>
      <c r="AW13" s="60">
        <v>5121.0</v>
      </c>
      <c r="AX13" s="60">
        <v>5211.0</v>
      </c>
      <c r="AY13" s="60">
        <v>5301.0</v>
      </c>
      <c r="AZ13" s="60">
        <v>5391.0</v>
      </c>
      <c r="BA13" s="60">
        <v>5481.0</v>
      </c>
      <c r="BB13" s="60">
        <v>5571.0</v>
      </c>
      <c r="BC13" s="60">
        <v>5661.0</v>
      </c>
      <c r="BD13" s="60">
        <v>5751.0</v>
      </c>
      <c r="BE13" s="60">
        <v>5841.0</v>
      </c>
      <c r="BF13" s="60">
        <v>5931.0</v>
      </c>
      <c r="BG13" s="60">
        <v>6021.0</v>
      </c>
      <c r="BH13" s="60">
        <v>6111.0</v>
      </c>
      <c r="BI13" s="60">
        <v>6201.0</v>
      </c>
      <c r="BJ13" s="60">
        <v>6291.0</v>
      </c>
      <c r="BK13" s="60">
        <v>6381.0</v>
      </c>
      <c r="BL13" s="60">
        <v>6471.0</v>
      </c>
      <c r="BM13" s="60">
        <v>6561.0</v>
      </c>
      <c r="BN13" s="60">
        <v>6651.0</v>
      </c>
      <c r="BO13" s="60">
        <v>6741.0</v>
      </c>
      <c r="BP13" s="60">
        <v>6831.0</v>
      </c>
      <c r="BQ13" s="60">
        <v>6921.0</v>
      </c>
      <c r="BR13" s="60">
        <v>7011.0</v>
      </c>
      <c r="BS13" s="60">
        <v>7101.0</v>
      </c>
      <c r="BT13" s="60">
        <v>7191.0</v>
      </c>
      <c r="BU13" s="60">
        <v>7281.0</v>
      </c>
      <c r="BV13" s="60">
        <v>7371.0</v>
      </c>
      <c r="BW13" s="60">
        <v>7461.0</v>
      </c>
      <c r="BX13" s="60">
        <v>7551.0</v>
      </c>
      <c r="BY13" s="60">
        <v>7641.0</v>
      </c>
      <c r="BZ13" s="60">
        <v>7731.0</v>
      </c>
      <c r="CA13" s="60">
        <v>7821.0</v>
      </c>
      <c r="CB13" s="60">
        <v>7911.0</v>
      </c>
      <c r="CC13" s="60">
        <v>8001.0</v>
      </c>
      <c r="CD13" s="60">
        <v>8091.0</v>
      </c>
      <c r="CE13" s="60">
        <v>8181.0</v>
      </c>
      <c r="CF13" s="17">
        <v>101.0</v>
      </c>
    </row>
    <row r="14">
      <c r="A14" s="17">
        <v>12.0</v>
      </c>
      <c r="B14" s="60">
        <v>972.0</v>
      </c>
      <c r="C14" s="60">
        <v>1060.0</v>
      </c>
      <c r="D14" s="60">
        <v>1148.0</v>
      </c>
      <c r="E14" s="60">
        <v>1236.0</v>
      </c>
      <c r="F14" s="60">
        <v>1324.0</v>
      </c>
      <c r="G14" s="60">
        <v>1412.0</v>
      </c>
      <c r="H14" s="60">
        <v>1500.0</v>
      </c>
      <c r="I14" s="60">
        <v>1588.0</v>
      </c>
      <c r="J14" s="60">
        <v>1676.0</v>
      </c>
      <c r="K14" s="60">
        <v>1764.0</v>
      </c>
      <c r="L14" s="60">
        <v>1852.0</v>
      </c>
      <c r="M14" s="60">
        <v>1940.0</v>
      </c>
      <c r="N14" s="60">
        <v>2028.0</v>
      </c>
      <c r="O14" s="60">
        <v>2116.0</v>
      </c>
      <c r="P14" s="60">
        <v>2204.0</v>
      </c>
      <c r="Q14" s="60">
        <v>2292.0</v>
      </c>
      <c r="R14" s="60">
        <v>2380.0</v>
      </c>
      <c r="S14" s="60">
        <v>2468.0</v>
      </c>
      <c r="T14" s="60">
        <v>2556.0</v>
      </c>
      <c r="U14" s="60">
        <v>2644.0</v>
      </c>
      <c r="V14" s="60">
        <v>2732.0</v>
      </c>
      <c r="W14" s="60">
        <v>2820.0</v>
      </c>
      <c r="X14" s="60">
        <v>2908.0</v>
      </c>
      <c r="Y14" s="60">
        <v>2996.0</v>
      </c>
      <c r="Z14" s="60">
        <v>3084.0</v>
      </c>
      <c r="AA14" s="60">
        <v>3172.0</v>
      </c>
      <c r="AB14" s="60">
        <v>3260.0</v>
      </c>
      <c r="AC14" s="60">
        <v>3348.0</v>
      </c>
      <c r="AD14" s="60">
        <v>3436.0</v>
      </c>
      <c r="AE14" s="60">
        <v>3524.0</v>
      </c>
      <c r="AF14" s="60">
        <v>3612.0</v>
      </c>
      <c r="AG14" s="60">
        <v>3700.0</v>
      </c>
      <c r="AH14" s="60">
        <v>3788.0</v>
      </c>
      <c r="AI14" s="60">
        <v>3876.0</v>
      </c>
      <c r="AJ14" s="60">
        <v>3964.0</v>
      </c>
      <c r="AK14" s="60">
        <v>4052.0</v>
      </c>
      <c r="AL14" s="60">
        <v>4140.0</v>
      </c>
      <c r="AM14" s="60">
        <v>4228.0</v>
      </c>
      <c r="AN14" s="60">
        <v>4316.0</v>
      </c>
      <c r="AO14" s="60">
        <v>4404.0</v>
      </c>
      <c r="AP14" s="60">
        <v>4492.0</v>
      </c>
      <c r="AQ14" s="60">
        <v>4580.0</v>
      </c>
      <c r="AR14" s="60">
        <v>4668.0</v>
      </c>
      <c r="AS14" s="60">
        <v>4756.0</v>
      </c>
      <c r="AT14" s="60">
        <v>4844.0</v>
      </c>
      <c r="AU14" s="60">
        <v>4932.0</v>
      </c>
      <c r="AV14" s="60">
        <v>5020.0</v>
      </c>
      <c r="AW14" s="60">
        <v>5108.0</v>
      </c>
      <c r="AX14" s="60">
        <v>5196.0</v>
      </c>
      <c r="AY14" s="60">
        <v>5284.0</v>
      </c>
      <c r="AZ14" s="60">
        <v>5372.0</v>
      </c>
      <c r="BA14" s="60">
        <v>5460.0</v>
      </c>
      <c r="BB14" s="60">
        <v>5548.0</v>
      </c>
      <c r="BC14" s="60">
        <v>5636.0</v>
      </c>
      <c r="BD14" s="60">
        <v>5724.0</v>
      </c>
      <c r="BE14" s="60">
        <v>5812.0</v>
      </c>
      <c r="BF14" s="60">
        <v>5900.0</v>
      </c>
      <c r="BG14" s="60">
        <v>5988.0</v>
      </c>
      <c r="BH14" s="60">
        <v>6076.0</v>
      </c>
      <c r="BI14" s="60">
        <v>6164.0</v>
      </c>
      <c r="BJ14" s="60">
        <v>6252.0</v>
      </c>
      <c r="BK14" s="60">
        <v>6340.0</v>
      </c>
      <c r="BL14" s="60">
        <v>6428.0</v>
      </c>
      <c r="BM14" s="60">
        <v>6516.0</v>
      </c>
      <c r="BN14" s="60">
        <v>6604.0</v>
      </c>
      <c r="BO14" s="60">
        <v>6692.0</v>
      </c>
      <c r="BP14" s="60">
        <v>6780.0</v>
      </c>
      <c r="BQ14" s="60">
        <v>6868.0</v>
      </c>
      <c r="BR14" s="60">
        <v>6956.0</v>
      </c>
      <c r="BS14" s="60">
        <v>7044.0</v>
      </c>
      <c r="BT14" s="60">
        <v>7132.0</v>
      </c>
      <c r="BU14" s="60">
        <v>7220.0</v>
      </c>
      <c r="BV14" s="60">
        <v>7308.0</v>
      </c>
      <c r="BW14" s="60">
        <v>7396.0</v>
      </c>
      <c r="BX14" s="60">
        <v>7484.0</v>
      </c>
      <c r="BY14" s="60">
        <v>7572.0</v>
      </c>
      <c r="BZ14" s="60">
        <v>7660.0</v>
      </c>
      <c r="CA14" s="60">
        <v>7748.0</v>
      </c>
      <c r="CB14" s="60">
        <v>7836.0</v>
      </c>
      <c r="CC14" s="60">
        <v>7924.0</v>
      </c>
      <c r="CD14" s="60">
        <v>8012.0</v>
      </c>
      <c r="CE14" s="60">
        <v>8100.0</v>
      </c>
      <c r="CF14" s="17">
        <v>100.0</v>
      </c>
    </row>
    <row r="15">
      <c r="A15" s="17">
        <v>13.0</v>
      </c>
      <c r="B15" s="60">
        <v>1053.0</v>
      </c>
      <c r="C15" s="60">
        <v>1139.0</v>
      </c>
      <c r="D15" s="60">
        <v>1225.0</v>
      </c>
      <c r="E15" s="60">
        <v>1311.0</v>
      </c>
      <c r="F15" s="60">
        <v>1397.0</v>
      </c>
      <c r="G15" s="60">
        <v>1483.0</v>
      </c>
      <c r="H15" s="60">
        <v>1569.0</v>
      </c>
      <c r="I15" s="60">
        <v>1655.0</v>
      </c>
      <c r="J15" s="60">
        <v>1741.0</v>
      </c>
      <c r="K15" s="60">
        <v>1827.0</v>
      </c>
      <c r="L15" s="60">
        <v>1913.0</v>
      </c>
      <c r="M15" s="60">
        <v>1999.0</v>
      </c>
      <c r="N15" s="60">
        <v>2085.0</v>
      </c>
      <c r="O15" s="60">
        <v>2171.0</v>
      </c>
      <c r="P15" s="60">
        <v>2257.0</v>
      </c>
      <c r="Q15" s="60">
        <v>2343.0</v>
      </c>
      <c r="R15" s="60">
        <v>2429.0</v>
      </c>
      <c r="S15" s="60">
        <v>2515.0</v>
      </c>
      <c r="T15" s="60">
        <v>2601.0</v>
      </c>
      <c r="U15" s="60">
        <v>2687.0</v>
      </c>
      <c r="V15" s="60">
        <v>2773.0</v>
      </c>
      <c r="W15" s="60">
        <v>2859.0</v>
      </c>
      <c r="X15" s="60">
        <v>2945.0</v>
      </c>
      <c r="Y15" s="60">
        <v>3031.0</v>
      </c>
      <c r="Z15" s="60">
        <v>3117.0</v>
      </c>
      <c r="AA15" s="60">
        <v>3203.0</v>
      </c>
      <c r="AB15" s="60">
        <v>3289.0</v>
      </c>
      <c r="AC15" s="60">
        <v>3375.0</v>
      </c>
      <c r="AD15" s="60">
        <v>3461.0</v>
      </c>
      <c r="AE15" s="60">
        <v>3547.0</v>
      </c>
      <c r="AF15" s="60">
        <v>3633.0</v>
      </c>
      <c r="AG15" s="60">
        <v>3719.0</v>
      </c>
      <c r="AH15" s="60">
        <v>3805.0</v>
      </c>
      <c r="AI15" s="60">
        <v>3891.0</v>
      </c>
      <c r="AJ15" s="60">
        <v>3977.0</v>
      </c>
      <c r="AK15" s="60">
        <v>4063.0</v>
      </c>
      <c r="AL15" s="60">
        <v>4149.0</v>
      </c>
      <c r="AM15" s="60">
        <v>4235.0</v>
      </c>
      <c r="AN15" s="60">
        <v>4321.0</v>
      </c>
      <c r="AO15" s="60">
        <v>4407.0</v>
      </c>
      <c r="AP15" s="60">
        <v>4493.0</v>
      </c>
      <c r="AQ15" s="60">
        <v>4579.0</v>
      </c>
      <c r="AR15" s="60">
        <v>4665.0</v>
      </c>
      <c r="AS15" s="60">
        <v>4751.0</v>
      </c>
      <c r="AT15" s="60">
        <v>4837.0</v>
      </c>
      <c r="AU15" s="60">
        <v>4923.0</v>
      </c>
      <c r="AV15" s="60">
        <v>5009.0</v>
      </c>
      <c r="AW15" s="60">
        <v>5095.0</v>
      </c>
      <c r="AX15" s="60">
        <v>5181.0</v>
      </c>
      <c r="AY15" s="60">
        <v>5267.0</v>
      </c>
      <c r="AZ15" s="60">
        <v>5353.0</v>
      </c>
      <c r="BA15" s="60">
        <v>5439.0</v>
      </c>
      <c r="BB15" s="60">
        <v>5525.0</v>
      </c>
      <c r="BC15" s="60">
        <v>5611.0</v>
      </c>
      <c r="BD15" s="60">
        <v>5697.0</v>
      </c>
      <c r="BE15" s="60">
        <v>5783.0</v>
      </c>
      <c r="BF15" s="60">
        <v>5869.0</v>
      </c>
      <c r="BG15" s="60">
        <v>5955.0</v>
      </c>
      <c r="BH15" s="60">
        <v>6041.0</v>
      </c>
      <c r="BI15" s="60">
        <v>6127.0</v>
      </c>
      <c r="BJ15" s="60">
        <v>6213.0</v>
      </c>
      <c r="BK15" s="60">
        <v>6299.0</v>
      </c>
      <c r="BL15" s="60">
        <v>6385.0</v>
      </c>
      <c r="BM15" s="60">
        <v>6471.0</v>
      </c>
      <c r="BN15" s="60">
        <v>6557.0</v>
      </c>
      <c r="BO15" s="60">
        <v>6643.0</v>
      </c>
      <c r="BP15" s="60">
        <v>6729.0</v>
      </c>
      <c r="BQ15" s="60">
        <v>6815.0</v>
      </c>
      <c r="BR15" s="60">
        <v>6901.0</v>
      </c>
      <c r="BS15" s="60">
        <v>6987.0</v>
      </c>
      <c r="BT15" s="60">
        <v>7073.0</v>
      </c>
      <c r="BU15" s="60">
        <v>7159.0</v>
      </c>
      <c r="BV15" s="60">
        <v>7245.0</v>
      </c>
      <c r="BW15" s="60">
        <v>7331.0</v>
      </c>
      <c r="BX15" s="60">
        <v>7417.0</v>
      </c>
      <c r="BY15" s="60">
        <v>7503.0</v>
      </c>
      <c r="BZ15" s="60">
        <v>7589.0</v>
      </c>
      <c r="CA15" s="60">
        <v>7675.0</v>
      </c>
      <c r="CB15" s="60">
        <v>7761.0</v>
      </c>
      <c r="CC15" s="60">
        <v>7847.0</v>
      </c>
      <c r="CD15" s="60">
        <v>7933.0</v>
      </c>
      <c r="CE15" s="60">
        <v>8019.0</v>
      </c>
      <c r="CF15" s="17">
        <v>99.0</v>
      </c>
    </row>
    <row r="16">
      <c r="A16" s="17">
        <v>14.0</v>
      </c>
      <c r="B16" s="60">
        <v>1134.0</v>
      </c>
      <c r="C16" s="60">
        <v>1218.0</v>
      </c>
      <c r="D16" s="60">
        <v>1302.0</v>
      </c>
      <c r="E16" s="60">
        <v>1386.0</v>
      </c>
      <c r="F16" s="60">
        <v>1470.0</v>
      </c>
      <c r="G16" s="60">
        <v>1554.0</v>
      </c>
      <c r="H16" s="60">
        <v>1638.0</v>
      </c>
      <c r="I16" s="60">
        <v>1722.0</v>
      </c>
      <c r="J16" s="60">
        <v>1806.0</v>
      </c>
      <c r="K16" s="60">
        <v>1890.0</v>
      </c>
      <c r="L16" s="60">
        <v>1974.0</v>
      </c>
      <c r="M16" s="60">
        <v>2058.0</v>
      </c>
      <c r="N16" s="60">
        <v>2142.0</v>
      </c>
      <c r="O16" s="60">
        <v>2226.0</v>
      </c>
      <c r="P16" s="60">
        <v>2310.0</v>
      </c>
      <c r="Q16" s="60">
        <v>2394.0</v>
      </c>
      <c r="R16" s="60">
        <v>2478.0</v>
      </c>
      <c r="S16" s="60">
        <v>2562.0</v>
      </c>
      <c r="T16" s="60">
        <v>2646.0</v>
      </c>
      <c r="U16" s="60">
        <v>2730.0</v>
      </c>
      <c r="V16" s="60">
        <v>2814.0</v>
      </c>
      <c r="W16" s="60">
        <v>2898.0</v>
      </c>
      <c r="X16" s="60">
        <v>2982.0</v>
      </c>
      <c r="Y16" s="60">
        <v>3066.0</v>
      </c>
      <c r="Z16" s="60">
        <v>3150.0</v>
      </c>
      <c r="AA16" s="60">
        <v>3234.0</v>
      </c>
      <c r="AB16" s="60">
        <v>3318.0</v>
      </c>
      <c r="AC16" s="60">
        <v>3402.0</v>
      </c>
      <c r="AD16" s="60">
        <v>3486.0</v>
      </c>
      <c r="AE16" s="60">
        <v>3570.0</v>
      </c>
      <c r="AF16" s="60">
        <v>3654.0</v>
      </c>
      <c r="AG16" s="60">
        <v>3738.0</v>
      </c>
      <c r="AH16" s="60">
        <v>3822.0</v>
      </c>
      <c r="AI16" s="60">
        <v>3906.0</v>
      </c>
      <c r="AJ16" s="60">
        <v>3990.0</v>
      </c>
      <c r="AK16" s="60">
        <v>4074.0</v>
      </c>
      <c r="AL16" s="60">
        <v>4158.0</v>
      </c>
      <c r="AM16" s="60">
        <v>4242.0</v>
      </c>
      <c r="AN16" s="60">
        <v>4326.0</v>
      </c>
      <c r="AO16" s="60">
        <v>4410.0</v>
      </c>
      <c r="AP16" s="60">
        <v>4494.0</v>
      </c>
      <c r="AQ16" s="60">
        <v>4578.0</v>
      </c>
      <c r="AR16" s="60">
        <v>4662.0</v>
      </c>
      <c r="AS16" s="60">
        <v>4746.0</v>
      </c>
      <c r="AT16" s="60">
        <v>4830.0</v>
      </c>
      <c r="AU16" s="60">
        <v>4914.0</v>
      </c>
      <c r="AV16" s="60">
        <v>4998.0</v>
      </c>
      <c r="AW16" s="60">
        <v>5082.0</v>
      </c>
      <c r="AX16" s="60">
        <v>5166.0</v>
      </c>
      <c r="AY16" s="60">
        <v>5250.0</v>
      </c>
      <c r="AZ16" s="60">
        <v>5334.0</v>
      </c>
      <c r="BA16" s="60">
        <v>5418.0</v>
      </c>
      <c r="BB16" s="60">
        <v>5502.0</v>
      </c>
      <c r="BC16" s="60">
        <v>5586.0</v>
      </c>
      <c r="BD16" s="60">
        <v>5670.0</v>
      </c>
      <c r="BE16" s="60">
        <v>5754.0</v>
      </c>
      <c r="BF16" s="60">
        <v>5838.0</v>
      </c>
      <c r="BG16" s="60">
        <v>5922.0</v>
      </c>
      <c r="BH16" s="60">
        <v>6006.0</v>
      </c>
      <c r="BI16" s="60">
        <v>6090.0</v>
      </c>
      <c r="BJ16" s="60">
        <v>6174.0</v>
      </c>
      <c r="BK16" s="60">
        <v>6258.0</v>
      </c>
      <c r="BL16" s="60">
        <v>6342.0</v>
      </c>
      <c r="BM16" s="60">
        <v>6426.0</v>
      </c>
      <c r="BN16" s="60">
        <v>6510.0</v>
      </c>
      <c r="BO16" s="60">
        <v>6594.0</v>
      </c>
      <c r="BP16" s="60">
        <v>6678.0</v>
      </c>
      <c r="BQ16" s="60">
        <v>6762.0</v>
      </c>
      <c r="BR16" s="60">
        <v>6846.0</v>
      </c>
      <c r="BS16" s="60">
        <v>6930.0</v>
      </c>
      <c r="BT16" s="60">
        <v>7014.0</v>
      </c>
      <c r="BU16" s="60">
        <v>7098.0</v>
      </c>
      <c r="BV16" s="60">
        <v>7182.0</v>
      </c>
      <c r="BW16" s="60">
        <v>7266.0</v>
      </c>
      <c r="BX16" s="60">
        <v>7350.0</v>
      </c>
      <c r="BY16" s="60">
        <v>7434.0</v>
      </c>
      <c r="BZ16" s="60">
        <v>7518.0</v>
      </c>
      <c r="CA16" s="60">
        <v>7602.0</v>
      </c>
      <c r="CB16" s="60">
        <v>7686.0</v>
      </c>
      <c r="CC16" s="60">
        <v>7770.0</v>
      </c>
      <c r="CD16" s="60">
        <v>7854.0</v>
      </c>
      <c r="CE16" s="60">
        <v>7938.0</v>
      </c>
      <c r="CF16" s="17">
        <v>98.0</v>
      </c>
    </row>
    <row r="17">
      <c r="A17" s="17">
        <v>15.0</v>
      </c>
      <c r="B17" s="60">
        <v>1215.0</v>
      </c>
      <c r="C17" s="60">
        <v>1297.0</v>
      </c>
      <c r="D17" s="60">
        <v>1379.0</v>
      </c>
      <c r="E17" s="60">
        <v>1461.0</v>
      </c>
      <c r="F17" s="60">
        <v>1543.0</v>
      </c>
      <c r="G17" s="60">
        <v>1625.0</v>
      </c>
      <c r="H17" s="60">
        <v>1707.0</v>
      </c>
      <c r="I17" s="60">
        <v>1789.0</v>
      </c>
      <c r="J17" s="60">
        <v>1871.0</v>
      </c>
      <c r="K17" s="60">
        <v>1953.0</v>
      </c>
      <c r="L17" s="60">
        <v>2035.0</v>
      </c>
      <c r="M17" s="60">
        <v>2117.0</v>
      </c>
      <c r="N17" s="60">
        <v>2199.0</v>
      </c>
      <c r="O17" s="60">
        <v>2281.0</v>
      </c>
      <c r="P17" s="60">
        <v>2363.0</v>
      </c>
      <c r="Q17" s="60">
        <v>2445.0</v>
      </c>
      <c r="R17" s="60">
        <v>2527.0</v>
      </c>
      <c r="S17" s="60">
        <v>2609.0</v>
      </c>
      <c r="T17" s="60">
        <v>2691.0</v>
      </c>
      <c r="U17" s="60">
        <v>2773.0</v>
      </c>
      <c r="V17" s="60">
        <v>2855.0</v>
      </c>
      <c r="W17" s="60">
        <v>2937.0</v>
      </c>
      <c r="X17" s="60">
        <v>3019.0</v>
      </c>
      <c r="Y17" s="60">
        <v>3101.0</v>
      </c>
      <c r="Z17" s="60">
        <v>3183.0</v>
      </c>
      <c r="AA17" s="60">
        <v>3265.0</v>
      </c>
      <c r="AB17" s="60">
        <v>3347.0</v>
      </c>
      <c r="AC17" s="60">
        <v>3429.0</v>
      </c>
      <c r="AD17" s="60">
        <v>3511.0</v>
      </c>
      <c r="AE17" s="60">
        <v>3593.0</v>
      </c>
      <c r="AF17" s="60">
        <v>3675.0</v>
      </c>
      <c r="AG17" s="60">
        <v>3757.0</v>
      </c>
      <c r="AH17" s="60">
        <v>3839.0</v>
      </c>
      <c r="AI17" s="60">
        <v>3921.0</v>
      </c>
      <c r="AJ17" s="60">
        <v>4003.0</v>
      </c>
      <c r="AK17" s="60">
        <v>4085.0</v>
      </c>
      <c r="AL17" s="60">
        <v>4167.0</v>
      </c>
      <c r="AM17" s="60">
        <v>4249.0</v>
      </c>
      <c r="AN17" s="60">
        <v>4331.0</v>
      </c>
      <c r="AO17" s="60">
        <v>4413.0</v>
      </c>
      <c r="AP17" s="60">
        <v>4495.0</v>
      </c>
      <c r="AQ17" s="60">
        <v>4577.0</v>
      </c>
      <c r="AR17" s="60">
        <v>4659.0</v>
      </c>
      <c r="AS17" s="60">
        <v>4741.0</v>
      </c>
      <c r="AT17" s="60">
        <v>4823.0</v>
      </c>
      <c r="AU17" s="60">
        <v>4905.0</v>
      </c>
      <c r="AV17" s="60">
        <v>4987.0</v>
      </c>
      <c r="AW17" s="60">
        <v>5069.0</v>
      </c>
      <c r="AX17" s="60">
        <v>5151.0</v>
      </c>
      <c r="AY17" s="60">
        <v>5233.0</v>
      </c>
      <c r="AZ17" s="60">
        <v>5315.0</v>
      </c>
      <c r="BA17" s="60">
        <v>5397.0</v>
      </c>
      <c r="BB17" s="60">
        <v>5479.0</v>
      </c>
      <c r="BC17" s="60">
        <v>5561.0</v>
      </c>
      <c r="BD17" s="60">
        <v>5643.0</v>
      </c>
      <c r="BE17" s="60">
        <v>5725.0</v>
      </c>
      <c r="BF17" s="60">
        <v>5807.0</v>
      </c>
      <c r="BG17" s="60">
        <v>5889.0</v>
      </c>
      <c r="BH17" s="60">
        <v>5971.0</v>
      </c>
      <c r="BI17" s="60">
        <v>6053.0</v>
      </c>
      <c r="BJ17" s="60">
        <v>6135.0</v>
      </c>
      <c r="BK17" s="60">
        <v>6217.0</v>
      </c>
      <c r="BL17" s="60">
        <v>6299.0</v>
      </c>
      <c r="BM17" s="60">
        <v>6381.0</v>
      </c>
      <c r="BN17" s="60">
        <v>6463.0</v>
      </c>
      <c r="BO17" s="60">
        <v>6545.0</v>
      </c>
      <c r="BP17" s="60">
        <v>6627.0</v>
      </c>
      <c r="BQ17" s="60">
        <v>6709.0</v>
      </c>
      <c r="BR17" s="60">
        <v>6791.0</v>
      </c>
      <c r="BS17" s="60">
        <v>6873.0</v>
      </c>
      <c r="BT17" s="60">
        <v>6955.0</v>
      </c>
      <c r="BU17" s="60">
        <v>7037.0</v>
      </c>
      <c r="BV17" s="60">
        <v>7119.0</v>
      </c>
      <c r="BW17" s="60">
        <v>7201.0</v>
      </c>
      <c r="BX17" s="60">
        <v>7283.0</v>
      </c>
      <c r="BY17" s="60">
        <v>7365.0</v>
      </c>
      <c r="BZ17" s="60">
        <v>7447.0</v>
      </c>
      <c r="CA17" s="60">
        <v>7529.0</v>
      </c>
      <c r="CB17" s="60">
        <v>7611.0</v>
      </c>
      <c r="CC17" s="60">
        <v>7693.0</v>
      </c>
      <c r="CD17" s="60">
        <v>7775.0</v>
      </c>
      <c r="CE17" s="60">
        <v>7857.0</v>
      </c>
      <c r="CF17" s="17">
        <v>97.0</v>
      </c>
    </row>
    <row r="18">
      <c r="A18" s="17">
        <v>16.0</v>
      </c>
      <c r="B18" s="60">
        <v>1296.0</v>
      </c>
      <c r="C18" s="60">
        <v>1376.0</v>
      </c>
      <c r="D18" s="60">
        <v>1456.0</v>
      </c>
      <c r="E18" s="60">
        <v>1536.0</v>
      </c>
      <c r="F18" s="60">
        <v>1616.0</v>
      </c>
      <c r="G18" s="60">
        <v>1696.0</v>
      </c>
      <c r="H18" s="60">
        <v>1776.0</v>
      </c>
      <c r="I18" s="60">
        <v>1856.0</v>
      </c>
      <c r="J18" s="60">
        <v>1936.0</v>
      </c>
      <c r="K18" s="60">
        <v>2016.0</v>
      </c>
      <c r="L18" s="60">
        <v>2096.0</v>
      </c>
      <c r="M18" s="60">
        <v>2176.0</v>
      </c>
      <c r="N18" s="60">
        <v>2256.0</v>
      </c>
      <c r="O18" s="60">
        <v>2336.0</v>
      </c>
      <c r="P18" s="60">
        <v>2416.0</v>
      </c>
      <c r="Q18" s="60">
        <v>2496.0</v>
      </c>
      <c r="R18" s="60">
        <v>2576.0</v>
      </c>
      <c r="S18" s="60">
        <v>2656.0</v>
      </c>
      <c r="T18" s="60">
        <v>2736.0</v>
      </c>
      <c r="U18" s="60">
        <v>2816.0</v>
      </c>
      <c r="V18" s="60">
        <v>2896.0</v>
      </c>
      <c r="W18" s="60">
        <v>2976.0</v>
      </c>
      <c r="X18" s="60">
        <v>3056.0</v>
      </c>
      <c r="Y18" s="60">
        <v>3136.0</v>
      </c>
      <c r="Z18" s="60">
        <v>3216.0</v>
      </c>
      <c r="AA18" s="60">
        <v>3296.0</v>
      </c>
      <c r="AB18" s="60">
        <v>3376.0</v>
      </c>
      <c r="AC18" s="60">
        <v>3456.0</v>
      </c>
      <c r="AD18" s="60">
        <v>3536.0</v>
      </c>
      <c r="AE18" s="60">
        <v>3616.0</v>
      </c>
      <c r="AF18" s="60">
        <v>3696.0</v>
      </c>
      <c r="AG18" s="60">
        <v>3776.0</v>
      </c>
      <c r="AH18" s="60">
        <v>3856.0</v>
      </c>
      <c r="AI18" s="60">
        <v>3936.0</v>
      </c>
      <c r="AJ18" s="60">
        <v>4016.0</v>
      </c>
      <c r="AK18" s="60">
        <v>4096.0</v>
      </c>
      <c r="AL18" s="60">
        <v>4176.0</v>
      </c>
      <c r="AM18" s="60">
        <v>4256.0</v>
      </c>
      <c r="AN18" s="60">
        <v>4336.0</v>
      </c>
      <c r="AO18" s="60">
        <v>4416.0</v>
      </c>
      <c r="AP18" s="60">
        <v>4496.0</v>
      </c>
      <c r="AQ18" s="60">
        <v>4576.0</v>
      </c>
      <c r="AR18" s="60">
        <v>4656.0</v>
      </c>
      <c r="AS18" s="60">
        <v>4736.0</v>
      </c>
      <c r="AT18" s="60">
        <v>4816.0</v>
      </c>
      <c r="AU18" s="60">
        <v>4896.0</v>
      </c>
      <c r="AV18" s="60">
        <v>4976.0</v>
      </c>
      <c r="AW18" s="60">
        <v>5056.0</v>
      </c>
      <c r="AX18" s="60">
        <v>5136.0</v>
      </c>
      <c r="AY18" s="60">
        <v>5216.0</v>
      </c>
      <c r="AZ18" s="60">
        <v>5296.0</v>
      </c>
      <c r="BA18" s="60">
        <v>5376.0</v>
      </c>
      <c r="BB18" s="60">
        <v>5456.0</v>
      </c>
      <c r="BC18" s="60">
        <v>5536.0</v>
      </c>
      <c r="BD18" s="60">
        <v>5616.0</v>
      </c>
      <c r="BE18" s="60">
        <v>5696.0</v>
      </c>
      <c r="BF18" s="60">
        <v>5776.0</v>
      </c>
      <c r="BG18" s="60">
        <v>5856.0</v>
      </c>
      <c r="BH18" s="60">
        <v>5936.0</v>
      </c>
      <c r="BI18" s="60">
        <v>6016.0</v>
      </c>
      <c r="BJ18" s="60">
        <v>6096.0</v>
      </c>
      <c r="BK18" s="60">
        <v>6176.0</v>
      </c>
      <c r="BL18" s="60">
        <v>6256.0</v>
      </c>
      <c r="BM18" s="60">
        <v>6336.0</v>
      </c>
      <c r="BN18" s="60">
        <v>6416.0</v>
      </c>
      <c r="BO18" s="60">
        <v>6496.0</v>
      </c>
      <c r="BP18" s="60">
        <v>6576.0</v>
      </c>
      <c r="BQ18" s="60">
        <v>6656.0</v>
      </c>
      <c r="BR18" s="60">
        <v>6736.0</v>
      </c>
      <c r="BS18" s="60">
        <v>6816.0</v>
      </c>
      <c r="BT18" s="60">
        <v>6896.0</v>
      </c>
      <c r="BU18" s="60">
        <v>6976.0</v>
      </c>
      <c r="BV18" s="60">
        <v>7056.0</v>
      </c>
      <c r="BW18" s="60">
        <v>7136.0</v>
      </c>
      <c r="BX18" s="60">
        <v>7216.0</v>
      </c>
      <c r="BY18" s="60">
        <v>7296.0</v>
      </c>
      <c r="BZ18" s="60">
        <v>7376.0</v>
      </c>
      <c r="CA18" s="60">
        <v>7456.0</v>
      </c>
      <c r="CB18" s="60">
        <v>7536.0</v>
      </c>
      <c r="CC18" s="60">
        <v>7616.0</v>
      </c>
      <c r="CD18" s="60">
        <v>7696.0</v>
      </c>
      <c r="CE18" s="60">
        <v>7776.0</v>
      </c>
      <c r="CF18" s="17">
        <v>96.0</v>
      </c>
    </row>
    <row r="19">
      <c r="A19" s="17">
        <v>17.0</v>
      </c>
      <c r="B19" s="60">
        <v>1377.0</v>
      </c>
      <c r="C19" s="60">
        <v>1455.0</v>
      </c>
      <c r="D19" s="60">
        <v>1533.0</v>
      </c>
      <c r="E19" s="60">
        <v>1611.0</v>
      </c>
      <c r="F19" s="60">
        <v>1689.0</v>
      </c>
      <c r="G19" s="60">
        <v>1767.0</v>
      </c>
      <c r="H19" s="60">
        <v>1845.0</v>
      </c>
      <c r="I19" s="60">
        <v>1923.0</v>
      </c>
      <c r="J19" s="60">
        <v>2001.0</v>
      </c>
      <c r="K19" s="60">
        <v>2079.0</v>
      </c>
      <c r="L19" s="60">
        <v>2157.0</v>
      </c>
      <c r="M19" s="60">
        <v>2235.0</v>
      </c>
      <c r="N19" s="60">
        <v>2313.0</v>
      </c>
      <c r="O19" s="60">
        <v>2391.0</v>
      </c>
      <c r="P19" s="60">
        <v>2469.0</v>
      </c>
      <c r="Q19" s="60">
        <v>2547.0</v>
      </c>
      <c r="R19" s="60">
        <v>2625.0</v>
      </c>
      <c r="S19" s="60">
        <v>2703.0</v>
      </c>
      <c r="T19" s="60">
        <v>2781.0</v>
      </c>
      <c r="U19" s="60">
        <v>2859.0</v>
      </c>
      <c r="V19" s="60">
        <v>2937.0</v>
      </c>
      <c r="W19" s="60">
        <v>3015.0</v>
      </c>
      <c r="X19" s="60">
        <v>3093.0</v>
      </c>
      <c r="Y19" s="60">
        <v>3171.0</v>
      </c>
      <c r="Z19" s="60">
        <v>3249.0</v>
      </c>
      <c r="AA19" s="60">
        <v>3327.0</v>
      </c>
      <c r="AB19" s="60">
        <v>3405.0</v>
      </c>
      <c r="AC19" s="60">
        <v>3483.0</v>
      </c>
      <c r="AD19" s="60">
        <v>3561.0</v>
      </c>
      <c r="AE19" s="60">
        <v>3639.0</v>
      </c>
      <c r="AF19" s="60">
        <v>3717.0</v>
      </c>
      <c r="AG19" s="60">
        <v>3795.0</v>
      </c>
      <c r="AH19" s="60">
        <v>3873.0</v>
      </c>
      <c r="AI19" s="60">
        <v>3951.0</v>
      </c>
      <c r="AJ19" s="60">
        <v>4029.0</v>
      </c>
      <c r="AK19" s="60">
        <v>4107.0</v>
      </c>
      <c r="AL19" s="60">
        <v>4185.0</v>
      </c>
      <c r="AM19" s="60">
        <v>4263.0</v>
      </c>
      <c r="AN19" s="60">
        <v>4341.0</v>
      </c>
      <c r="AO19" s="60">
        <v>4419.0</v>
      </c>
      <c r="AP19" s="60">
        <v>4497.0</v>
      </c>
      <c r="AQ19" s="60">
        <v>4575.0</v>
      </c>
      <c r="AR19" s="60">
        <v>4653.0</v>
      </c>
      <c r="AS19" s="60">
        <v>4731.0</v>
      </c>
      <c r="AT19" s="60">
        <v>4809.0</v>
      </c>
      <c r="AU19" s="60">
        <v>4887.0</v>
      </c>
      <c r="AV19" s="60">
        <v>4965.0</v>
      </c>
      <c r="AW19" s="60">
        <v>5043.0</v>
      </c>
      <c r="AX19" s="60">
        <v>5121.0</v>
      </c>
      <c r="AY19" s="60">
        <v>5199.0</v>
      </c>
      <c r="AZ19" s="60">
        <v>5277.0</v>
      </c>
      <c r="BA19" s="60">
        <v>5355.0</v>
      </c>
      <c r="BB19" s="60">
        <v>5433.0</v>
      </c>
      <c r="BC19" s="60">
        <v>5511.0</v>
      </c>
      <c r="BD19" s="60">
        <v>5589.0</v>
      </c>
      <c r="BE19" s="60">
        <v>5667.0</v>
      </c>
      <c r="BF19" s="60">
        <v>5745.0</v>
      </c>
      <c r="BG19" s="60">
        <v>5823.0</v>
      </c>
      <c r="BH19" s="60">
        <v>5901.0</v>
      </c>
      <c r="BI19" s="60">
        <v>5979.0</v>
      </c>
      <c r="BJ19" s="60">
        <v>6057.0</v>
      </c>
      <c r="BK19" s="60">
        <v>6135.0</v>
      </c>
      <c r="BL19" s="60">
        <v>6213.0</v>
      </c>
      <c r="BM19" s="60">
        <v>6291.0</v>
      </c>
      <c r="BN19" s="60">
        <v>6369.0</v>
      </c>
      <c r="BO19" s="60">
        <v>6447.0</v>
      </c>
      <c r="BP19" s="60">
        <v>6525.0</v>
      </c>
      <c r="BQ19" s="60">
        <v>6603.0</v>
      </c>
      <c r="BR19" s="60">
        <v>6681.0</v>
      </c>
      <c r="BS19" s="60">
        <v>6759.0</v>
      </c>
      <c r="BT19" s="60">
        <v>6837.0</v>
      </c>
      <c r="BU19" s="60">
        <v>6915.0</v>
      </c>
      <c r="BV19" s="60">
        <v>6993.0</v>
      </c>
      <c r="BW19" s="60">
        <v>7071.0</v>
      </c>
      <c r="BX19" s="60">
        <v>7149.0</v>
      </c>
      <c r="BY19" s="60">
        <v>7227.0</v>
      </c>
      <c r="BZ19" s="60">
        <v>7305.0</v>
      </c>
      <c r="CA19" s="60">
        <v>7383.0</v>
      </c>
      <c r="CB19" s="60">
        <v>7461.0</v>
      </c>
      <c r="CC19" s="60">
        <v>7539.0</v>
      </c>
      <c r="CD19" s="60">
        <v>7617.0</v>
      </c>
      <c r="CE19" s="60">
        <v>7695.0</v>
      </c>
      <c r="CF19" s="17">
        <v>95.0</v>
      </c>
    </row>
    <row r="20">
      <c r="A20" s="17">
        <v>18.0</v>
      </c>
      <c r="B20" s="60">
        <v>1458.0</v>
      </c>
      <c r="C20" s="60">
        <v>1534.0</v>
      </c>
      <c r="D20" s="60">
        <v>1610.0</v>
      </c>
      <c r="E20" s="60">
        <v>1686.0</v>
      </c>
      <c r="F20" s="60">
        <v>1762.0</v>
      </c>
      <c r="G20" s="60">
        <v>1838.0</v>
      </c>
      <c r="H20" s="60">
        <v>1914.0</v>
      </c>
      <c r="I20" s="60">
        <v>1990.0</v>
      </c>
      <c r="J20" s="60">
        <v>2066.0</v>
      </c>
      <c r="K20" s="60">
        <v>2142.0</v>
      </c>
      <c r="L20" s="60">
        <v>2218.0</v>
      </c>
      <c r="M20" s="60">
        <v>2294.0</v>
      </c>
      <c r="N20" s="60">
        <v>2370.0</v>
      </c>
      <c r="O20" s="60">
        <v>2446.0</v>
      </c>
      <c r="P20" s="60">
        <v>2522.0</v>
      </c>
      <c r="Q20" s="60">
        <v>2598.0</v>
      </c>
      <c r="R20" s="60">
        <v>2674.0</v>
      </c>
      <c r="S20" s="60">
        <v>2750.0</v>
      </c>
      <c r="T20" s="60">
        <v>2826.0</v>
      </c>
      <c r="U20" s="60">
        <v>2902.0</v>
      </c>
      <c r="V20" s="60">
        <v>2978.0</v>
      </c>
      <c r="W20" s="60">
        <v>3054.0</v>
      </c>
      <c r="X20" s="60">
        <v>3130.0</v>
      </c>
      <c r="Y20" s="60">
        <v>3206.0</v>
      </c>
      <c r="Z20" s="60">
        <v>3282.0</v>
      </c>
      <c r="AA20" s="60">
        <v>3358.0</v>
      </c>
      <c r="AB20" s="60">
        <v>3434.0</v>
      </c>
      <c r="AC20" s="60">
        <v>3510.0</v>
      </c>
      <c r="AD20" s="60">
        <v>3586.0</v>
      </c>
      <c r="AE20" s="60">
        <v>3662.0</v>
      </c>
      <c r="AF20" s="60">
        <v>3738.0</v>
      </c>
      <c r="AG20" s="60">
        <v>3814.0</v>
      </c>
      <c r="AH20" s="60">
        <v>3890.0</v>
      </c>
      <c r="AI20" s="60">
        <v>3966.0</v>
      </c>
      <c r="AJ20" s="60">
        <v>4042.0</v>
      </c>
      <c r="AK20" s="60">
        <v>4118.0</v>
      </c>
      <c r="AL20" s="60">
        <v>4194.0</v>
      </c>
      <c r="AM20" s="60">
        <v>4270.0</v>
      </c>
      <c r="AN20" s="60">
        <v>4346.0</v>
      </c>
      <c r="AO20" s="60">
        <v>4422.0</v>
      </c>
      <c r="AP20" s="60">
        <v>4498.0</v>
      </c>
      <c r="AQ20" s="60">
        <v>4574.0</v>
      </c>
      <c r="AR20" s="60">
        <v>4650.0</v>
      </c>
      <c r="AS20" s="60">
        <v>4726.0</v>
      </c>
      <c r="AT20" s="60">
        <v>4802.0</v>
      </c>
      <c r="AU20" s="60">
        <v>4878.0</v>
      </c>
      <c r="AV20" s="60">
        <v>4954.0</v>
      </c>
      <c r="AW20" s="60">
        <v>5030.0</v>
      </c>
      <c r="AX20" s="60">
        <v>5106.0</v>
      </c>
      <c r="AY20" s="60">
        <v>5182.0</v>
      </c>
      <c r="AZ20" s="60">
        <v>5258.0</v>
      </c>
      <c r="BA20" s="60">
        <v>5334.0</v>
      </c>
      <c r="BB20" s="60">
        <v>5410.0</v>
      </c>
      <c r="BC20" s="60">
        <v>5486.0</v>
      </c>
      <c r="BD20" s="60">
        <v>5562.0</v>
      </c>
      <c r="BE20" s="60">
        <v>5638.0</v>
      </c>
      <c r="BF20" s="60">
        <v>5714.0</v>
      </c>
      <c r="BG20" s="60">
        <v>5790.0</v>
      </c>
      <c r="BH20" s="60">
        <v>5866.0</v>
      </c>
      <c r="BI20" s="60">
        <v>5942.0</v>
      </c>
      <c r="BJ20" s="60">
        <v>6018.0</v>
      </c>
      <c r="BK20" s="60">
        <v>6094.0</v>
      </c>
      <c r="BL20" s="60">
        <v>6170.0</v>
      </c>
      <c r="BM20" s="60">
        <v>6246.0</v>
      </c>
      <c r="BN20" s="60">
        <v>6322.0</v>
      </c>
      <c r="BO20" s="60">
        <v>6398.0</v>
      </c>
      <c r="BP20" s="60">
        <v>6474.0</v>
      </c>
      <c r="BQ20" s="60">
        <v>6550.0</v>
      </c>
      <c r="BR20" s="60">
        <v>6626.0</v>
      </c>
      <c r="BS20" s="60">
        <v>6702.0</v>
      </c>
      <c r="BT20" s="60">
        <v>6778.0</v>
      </c>
      <c r="BU20" s="60">
        <v>6854.0</v>
      </c>
      <c r="BV20" s="60">
        <v>6930.0</v>
      </c>
      <c r="BW20" s="60">
        <v>7006.0</v>
      </c>
      <c r="BX20" s="60">
        <v>7082.0</v>
      </c>
      <c r="BY20" s="60">
        <v>7158.0</v>
      </c>
      <c r="BZ20" s="60">
        <v>7234.0</v>
      </c>
      <c r="CA20" s="60">
        <v>7310.0</v>
      </c>
      <c r="CB20" s="60">
        <v>7386.0</v>
      </c>
      <c r="CC20" s="60">
        <v>7462.0</v>
      </c>
      <c r="CD20" s="60">
        <v>7538.0</v>
      </c>
      <c r="CE20" s="60">
        <v>7614.0</v>
      </c>
      <c r="CF20" s="17">
        <v>94.0</v>
      </c>
    </row>
    <row r="21">
      <c r="A21" s="17">
        <v>19.0</v>
      </c>
      <c r="B21" s="60">
        <v>1539.0</v>
      </c>
      <c r="C21" s="60">
        <v>1613.0</v>
      </c>
      <c r="D21" s="60">
        <v>1687.0</v>
      </c>
      <c r="E21" s="60">
        <v>1761.0</v>
      </c>
      <c r="F21" s="60">
        <v>1835.0</v>
      </c>
      <c r="G21" s="60">
        <v>1909.0</v>
      </c>
      <c r="H21" s="60">
        <v>1983.0</v>
      </c>
      <c r="I21" s="60">
        <v>2057.0</v>
      </c>
      <c r="J21" s="60">
        <v>2131.0</v>
      </c>
      <c r="K21" s="60">
        <v>2205.0</v>
      </c>
      <c r="L21" s="60">
        <v>2279.0</v>
      </c>
      <c r="M21" s="60">
        <v>2353.0</v>
      </c>
      <c r="N21" s="60">
        <v>2427.0</v>
      </c>
      <c r="O21" s="60">
        <v>2501.0</v>
      </c>
      <c r="P21" s="60">
        <v>2575.0</v>
      </c>
      <c r="Q21" s="60">
        <v>2649.0</v>
      </c>
      <c r="R21" s="60">
        <v>2723.0</v>
      </c>
      <c r="S21" s="60">
        <v>2797.0</v>
      </c>
      <c r="T21" s="60">
        <v>2871.0</v>
      </c>
      <c r="U21" s="60">
        <v>2945.0</v>
      </c>
      <c r="V21" s="60">
        <v>3019.0</v>
      </c>
      <c r="W21" s="60">
        <v>3093.0</v>
      </c>
      <c r="X21" s="60">
        <v>3167.0</v>
      </c>
      <c r="Y21" s="60">
        <v>3241.0</v>
      </c>
      <c r="Z21" s="60">
        <v>3315.0</v>
      </c>
      <c r="AA21" s="60">
        <v>3389.0</v>
      </c>
      <c r="AB21" s="60">
        <v>3463.0</v>
      </c>
      <c r="AC21" s="60">
        <v>3537.0</v>
      </c>
      <c r="AD21" s="60">
        <v>3611.0</v>
      </c>
      <c r="AE21" s="60">
        <v>3685.0</v>
      </c>
      <c r="AF21" s="60">
        <v>3759.0</v>
      </c>
      <c r="AG21" s="60">
        <v>3833.0</v>
      </c>
      <c r="AH21" s="60">
        <v>3907.0</v>
      </c>
      <c r="AI21" s="60">
        <v>3981.0</v>
      </c>
      <c r="AJ21" s="60">
        <v>4055.0</v>
      </c>
      <c r="AK21" s="60">
        <v>4129.0</v>
      </c>
      <c r="AL21" s="60">
        <v>4203.0</v>
      </c>
      <c r="AM21" s="60">
        <v>4277.0</v>
      </c>
      <c r="AN21" s="60">
        <v>4351.0</v>
      </c>
      <c r="AO21" s="60">
        <v>4425.0</v>
      </c>
      <c r="AP21" s="60">
        <v>4499.0</v>
      </c>
      <c r="AQ21" s="60">
        <v>4573.0</v>
      </c>
      <c r="AR21" s="60">
        <v>4647.0</v>
      </c>
      <c r="AS21" s="60">
        <v>4721.0</v>
      </c>
      <c r="AT21" s="60">
        <v>4795.0</v>
      </c>
      <c r="AU21" s="60">
        <v>4869.0</v>
      </c>
      <c r="AV21" s="60">
        <v>4943.0</v>
      </c>
      <c r="AW21" s="60">
        <v>5017.0</v>
      </c>
      <c r="AX21" s="60">
        <v>5091.0</v>
      </c>
      <c r="AY21" s="60">
        <v>5165.0</v>
      </c>
      <c r="AZ21" s="60">
        <v>5239.0</v>
      </c>
      <c r="BA21" s="60">
        <v>5313.0</v>
      </c>
      <c r="BB21" s="60">
        <v>5387.0</v>
      </c>
      <c r="BC21" s="60">
        <v>5461.0</v>
      </c>
      <c r="BD21" s="60">
        <v>5535.0</v>
      </c>
      <c r="BE21" s="60">
        <v>5609.0</v>
      </c>
      <c r="BF21" s="60">
        <v>5683.0</v>
      </c>
      <c r="BG21" s="60">
        <v>5757.0</v>
      </c>
      <c r="BH21" s="60">
        <v>5831.0</v>
      </c>
      <c r="BI21" s="60">
        <v>5905.0</v>
      </c>
      <c r="BJ21" s="60">
        <v>5979.0</v>
      </c>
      <c r="BK21" s="60">
        <v>6053.0</v>
      </c>
      <c r="BL21" s="60">
        <v>6127.0</v>
      </c>
      <c r="BM21" s="60">
        <v>6201.0</v>
      </c>
      <c r="BN21" s="60">
        <v>6275.0</v>
      </c>
      <c r="BO21" s="60">
        <v>6349.0</v>
      </c>
      <c r="BP21" s="60">
        <v>6423.0</v>
      </c>
      <c r="BQ21" s="60">
        <v>6497.0</v>
      </c>
      <c r="BR21" s="60">
        <v>6571.0</v>
      </c>
      <c r="BS21" s="60">
        <v>6645.0</v>
      </c>
      <c r="BT21" s="60">
        <v>6719.0</v>
      </c>
      <c r="BU21" s="60">
        <v>6793.0</v>
      </c>
      <c r="BV21" s="60">
        <v>6867.0</v>
      </c>
      <c r="BW21" s="60">
        <v>6941.0</v>
      </c>
      <c r="BX21" s="60">
        <v>7015.0</v>
      </c>
      <c r="BY21" s="60">
        <v>7089.0</v>
      </c>
      <c r="BZ21" s="60">
        <v>7163.0</v>
      </c>
      <c r="CA21" s="60">
        <v>7237.0</v>
      </c>
      <c r="CB21" s="60">
        <v>7311.0</v>
      </c>
      <c r="CC21" s="60">
        <v>7385.0</v>
      </c>
      <c r="CD21" s="60">
        <v>7459.0</v>
      </c>
      <c r="CE21" s="60">
        <v>7533.0</v>
      </c>
      <c r="CF21" s="17">
        <v>93.0</v>
      </c>
    </row>
    <row r="22">
      <c r="A22" s="17">
        <v>20.0</v>
      </c>
      <c r="B22" s="60">
        <v>1620.0</v>
      </c>
      <c r="C22" s="60">
        <v>1692.0</v>
      </c>
      <c r="D22" s="60">
        <v>1764.0</v>
      </c>
      <c r="E22" s="60">
        <v>1836.0</v>
      </c>
      <c r="F22" s="60">
        <v>1908.0</v>
      </c>
      <c r="G22" s="60">
        <v>1980.0</v>
      </c>
      <c r="H22" s="60">
        <v>2052.0</v>
      </c>
      <c r="I22" s="60">
        <v>2124.0</v>
      </c>
      <c r="J22" s="60">
        <v>2196.0</v>
      </c>
      <c r="K22" s="60">
        <v>2268.0</v>
      </c>
      <c r="L22" s="60">
        <v>2340.0</v>
      </c>
      <c r="M22" s="60">
        <v>2412.0</v>
      </c>
      <c r="N22" s="60">
        <v>2484.0</v>
      </c>
      <c r="O22" s="60">
        <v>2556.0</v>
      </c>
      <c r="P22" s="60">
        <v>2628.0</v>
      </c>
      <c r="Q22" s="60">
        <v>2700.0</v>
      </c>
      <c r="R22" s="60">
        <v>2772.0</v>
      </c>
      <c r="S22" s="60">
        <v>2844.0</v>
      </c>
      <c r="T22" s="60">
        <v>2916.0</v>
      </c>
      <c r="U22" s="60">
        <v>2988.0</v>
      </c>
      <c r="V22" s="60">
        <v>3060.0</v>
      </c>
      <c r="W22" s="60">
        <v>3132.0</v>
      </c>
      <c r="X22" s="60">
        <v>3204.0</v>
      </c>
      <c r="Y22" s="60">
        <v>3276.0</v>
      </c>
      <c r="Z22" s="60">
        <v>3348.0</v>
      </c>
      <c r="AA22" s="60">
        <v>3420.0</v>
      </c>
      <c r="AB22" s="60">
        <v>3492.0</v>
      </c>
      <c r="AC22" s="60">
        <v>3564.0</v>
      </c>
      <c r="AD22" s="60">
        <v>3636.0</v>
      </c>
      <c r="AE22" s="60">
        <v>3708.0</v>
      </c>
      <c r="AF22" s="60">
        <v>3780.0</v>
      </c>
      <c r="AG22" s="60">
        <v>3852.0</v>
      </c>
      <c r="AH22" s="60">
        <v>3924.0</v>
      </c>
      <c r="AI22" s="60">
        <v>3996.0</v>
      </c>
      <c r="AJ22" s="60">
        <v>4068.0</v>
      </c>
      <c r="AK22" s="60">
        <v>4140.0</v>
      </c>
      <c r="AL22" s="60">
        <v>4212.0</v>
      </c>
      <c r="AM22" s="60">
        <v>4284.0</v>
      </c>
      <c r="AN22" s="60">
        <v>4356.0</v>
      </c>
      <c r="AO22" s="60">
        <v>4428.0</v>
      </c>
      <c r="AP22" s="60">
        <v>4500.0</v>
      </c>
      <c r="AQ22" s="60">
        <v>4572.0</v>
      </c>
      <c r="AR22" s="60">
        <v>4644.0</v>
      </c>
      <c r="AS22" s="60">
        <v>4716.0</v>
      </c>
      <c r="AT22" s="60">
        <v>4788.0</v>
      </c>
      <c r="AU22" s="60">
        <v>4860.0</v>
      </c>
      <c r="AV22" s="60">
        <v>4932.0</v>
      </c>
      <c r="AW22" s="60">
        <v>5004.0</v>
      </c>
      <c r="AX22" s="60">
        <v>5076.0</v>
      </c>
      <c r="AY22" s="60">
        <v>5148.0</v>
      </c>
      <c r="AZ22" s="60">
        <v>5220.0</v>
      </c>
      <c r="BA22" s="60">
        <v>5292.0</v>
      </c>
      <c r="BB22" s="60">
        <v>5364.0</v>
      </c>
      <c r="BC22" s="60">
        <v>5436.0</v>
      </c>
      <c r="BD22" s="60">
        <v>5508.0</v>
      </c>
      <c r="BE22" s="60">
        <v>5580.0</v>
      </c>
      <c r="BF22" s="60">
        <v>5652.0</v>
      </c>
      <c r="BG22" s="60">
        <v>5724.0</v>
      </c>
      <c r="BH22" s="60">
        <v>5796.0</v>
      </c>
      <c r="BI22" s="60">
        <v>5868.0</v>
      </c>
      <c r="BJ22" s="60">
        <v>5940.0</v>
      </c>
      <c r="BK22" s="60">
        <v>6012.0</v>
      </c>
      <c r="BL22" s="60">
        <v>6084.0</v>
      </c>
      <c r="BM22" s="60">
        <v>6156.0</v>
      </c>
      <c r="BN22" s="60">
        <v>6228.0</v>
      </c>
      <c r="BO22" s="60">
        <v>6300.0</v>
      </c>
      <c r="BP22" s="60">
        <v>6372.0</v>
      </c>
      <c r="BQ22" s="60">
        <v>6444.0</v>
      </c>
      <c r="BR22" s="60">
        <v>6516.0</v>
      </c>
      <c r="BS22" s="60">
        <v>6588.0</v>
      </c>
      <c r="BT22" s="60">
        <v>6660.0</v>
      </c>
      <c r="BU22" s="60">
        <v>6732.0</v>
      </c>
      <c r="BV22" s="60">
        <v>6804.0</v>
      </c>
      <c r="BW22" s="60">
        <v>6876.0</v>
      </c>
      <c r="BX22" s="60">
        <v>6948.0</v>
      </c>
      <c r="BY22" s="60">
        <v>7020.0</v>
      </c>
      <c r="BZ22" s="60">
        <v>7092.0</v>
      </c>
      <c r="CA22" s="60">
        <v>7164.0</v>
      </c>
      <c r="CB22" s="60">
        <v>7236.0</v>
      </c>
      <c r="CC22" s="60">
        <v>7308.0</v>
      </c>
      <c r="CD22" s="60">
        <v>7380.0</v>
      </c>
      <c r="CE22" s="60">
        <v>7452.0</v>
      </c>
      <c r="CF22" s="17">
        <v>92.0</v>
      </c>
    </row>
    <row r="23">
      <c r="A23" s="17">
        <v>21.0</v>
      </c>
      <c r="B23" s="60">
        <v>1701.0</v>
      </c>
      <c r="C23" s="60">
        <v>1771.0</v>
      </c>
      <c r="D23" s="60">
        <v>1841.0</v>
      </c>
      <c r="E23" s="60">
        <v>1911.0</v>
      </c>
      <c r="F23" s="60">
        <v>1981.0</v>
      </c>
      <c r="G23" s="60">
        <v>2051.0</v>
      </c>
      <c r="H23" s="60">
        <v>2121.0</v>
      </c>
      <c r="I23" s="60">
        <v>2191.0</v>
      </c>
      <c r="J23" s="60">
        <v>2261.0</v>
      </c>
      <c r="K23" s="60">
        <v>2331.0</v>
      </c>
      <c r="L23" s="60">
        <v>2401.0</v>
      </c>
      <c r="M23" s="60">
        <v>2471.0</v>
      </c>
      <c r="N23" s="60">
        <v>2541.0</v>
      </c>
      <c r="O23" s="60">
        <v>2611.0</v>
      </c>
      <c r="P23" s="60">
        <v>2681.0</v>
      </c>
      <c r="Q23" s="60">
        <v>2751.0</v>
      </c>
      <c r="R23" s="60">
        <v>2821.0</v>
      </c>
      <c r="S23" s="60">
        <v>2891.0</v>
      </c>
      <c r="T23" s="60">
        <v>2961.0</v>
      </c>
      <c r="U23" s="60">
        <v>3031.0</v>
      </c>
      <c r="V23" s="60">
        <v>3101.0</v>
      </c>
      <c r="W23" s="60">
        <v>3171.0</v>
      </c>
      <c r="X23" s="60">
        <v>3241.0</v>
      </c>
      <c r="Y23" s="60">
        <v>3311.0</v>
      </c>
      <c r="Z23" s="60">
        <v>3381.0</v>
      </c>
      <c r="AA23" s="60">
        <v>3451.0</v>
      </c>
      <c r="AB23" s="60">
        <v>3521.0</v>
      </c>
      <c r="AC23" s="60">
        <v>3591.0</v>
      </c>
      <c r="AD23" s="60">
        <v>3661.0</v>
      </c>
      <c r="AE23" s="60">
        <v>3731.0</v>
      </c>
      <c r="AF23" s="60">
        <v>3801.0</v>
      </c>
      <c r="AG23" s="60">
        <v>3871.0</v>
      </c>
      <c r="AH23" s="60">
        <v>3941.0</v>
      </c>
      <c r="AI23" s="60">
        <v>4011.0</v>
      </c>
      <c r="AJ23" s="60">
        <v>4081.0</v>
      </c>
      <c r="AK23" s="60">
        <v>4151.0</v>
      </c>
      <c r="AL23" s="60">
        <v>4221.0</v>
      </c>
      <c r="AM23" s="60">
        <v>4291.0</v>
      </c>
      <c r="AN23" s="60">
        <v>4361.0</v>
      </c>
      <c r="AO23" s="60">
        <v>4431.0</v>
      </c>
      <c r="AP23" s="60">
        <v>4501.0</v>
      </c>
      <c r="AQ23" s="60">
        <v>4571.0</v>
      </c>
      <c r="AR23" s="60">
        <v>4641.0</v>
      </c>
      <c r="AS23" s="60">
        <v>4711.0</v>
      </c>
      <c r="AT23" s="60">
        <v>4781.0</v>
      </c>
      <c r="AU23" s="60">
        <v>4851.0</v>
      </c>
      <c r="AV23" s="60">
        <v>4921.0</v>
      </c>
      <c r="AW23" s="60">
        <v>4991.0</v>
      </c>
      <c r="AX23" s="60">
        <v>5061.0</v>
      </c>
      <c r="AY23" s="60">
        <v>5131.0</v>
      </c>
      <c r="AZ23" s="60">
        <v>5201.0</v>
      </c>
      <c r="BA23" s="60">
        <v>5271.0</v>
      </c>
      <c r="BB23" s="60">
        <v>5341.0</v>
      </c>
      <c r="BC23" s="60">
        <v>5411.0</v>
      </c>
      <c r="BD23" s="60">
        <v>5481.0</v>
      </c>
      <c r="BE23" s="60">
        <v>5551.0</v>
      </c>
      <c r="BF23" s="60">
        <v>5621.0</v>
      </c>
      <c r="BG23" s="60">
        <v>5691.0</v>
      </c>
      <c r="BH23" s="60">
        <v>5761.0</v>
      </c>
      <c r="BI23" s="60">
        <v>5831.0</v>
      </c>
      <c r="BJ23" s="60">
        <v>5901.0</v>
      </c>
      <c r="BK23" s="60">
        <v>5971.0</v>
      </c>
      <c r="BL23" s="60">
        <v>6041.0</v>
      </c>
      <c r="BM23" s="60">
        <v>6111.0</v>
      </c>
      <c r="BN23" s="60">
        <v>6181.0</v>
      </c>
      <c r="BO23" s="60">
        <v>6251.0</v>
      </c>
      <c r="BP23" s="60">
        <v>6321.0</v>
      </c>
      <c r="BQ23" s="60">
        <v>6391.0</v>
      </c>
      <c r="BR23" s="60">
        <v>6461.0</v>
      </c>
      <c r="BS23" s="60">
        <v>6531.0</v>
      </c>
      <c r="BT23" s="60">
        <v>6601.0</v>
      </c>
      <c r="BU23" s="60">
        <v>6671.0</v>
      </c>
      <c r="BV23" s="60">
        <v>6741.0</v>
      </c>
      <c r="BW23" s="60">
        <v>6811.0</v>
      </c>
      <c r="BX23" s="60">
        <v>6881.0</v>
      </c>
      <c r="BY23" s="60">
        <v>6951.0</v>
      </c>
      <c r="BZ23" s="60">
        <v>7021.0</v>
      </c>
      <c r="CA23" s="60">
        <v>7091.0</v>
      </c>
      <c r="CB23" s="60">
        <v>7161.0</v>
      </c>
      <c r="CC23" s="60">
        <v>7231.0</v>
      </c>
      <c r="CD23" s="60">
        <v>7301.0</v>
      </c>
      <c r="CE23" s="60">
        <v>7371.0</v>
      </c>
      <c r="CF23" s="17">
        <v>91.0</v>
      </c>
    </row>
    <row r="24">
      <c r="A24" s="17">
        <v>22.0</v>
      </c>
      <c r="B24" s="60">
        <v>1782.0</v>
      </c>
      <c r="C24" s="60">
        <v>1850.0</v>
      </c>
      <c r="D24" s="60">
        <v>1918.0</v>
      </c>
      <c r="E24" s="60">
        <v>1986.0</v>
      </c>
      <c r="F24" s="60">
        <v>2054.0</v>
      </c>
      <c r="G24" s="60">
        <v>2122.0</v>
      </c>
      <c r="H24" s="60">
        <v>2190.0</v>
      </c>
      <c r="I24" s="60">
        <v>2258.0</v>
      </c>
      <c r="J24" s="60">
        <v>2326.0</v>
      </c>
      <c r="K24" s="60">
        <v>2394.0</v>
      </c>
      <c r="L24" s="60">
        <v>2462.0</v>
      </c>
      <c r="M24" s="60">
        <v>2530.0</v>
      </c>
      <c r="N24" s="60">
        <v>2598.0</v>
      </c>
      <c r="O24" s="60">
        <v>2666.0</v>
      </c>
      <c r="P24" s="60">
        <v>2734.0</v>
      </c>
      <c r="Q24" s="60">
        <v>2802.0</v>
      </c>
      <c r="R24" s="60">
        <v>2870.0</v>
      </c>
      <c r="S24" s="60">
        <v>2938.0</v>
      </c>
      <c r="T24" s="60">
        <v>3006.0</v>
      </c>
      <c r="U24" s="60">
        <v>3074.0</v>
      </c>
      <c r="V24" s="60">
        <v>3142.0</v>
      </c>
      <c r="W24" s="60">
        <v>3210.0</v>
      </c>
      <c r="X24" s="60">
        <v>3278.0</v>
      </c>
      <c r="Y24" s="60">
        <v>3346.0</v>
      </c>
      <c r="Z24" s="60">
        <v>3414.0</v>
      </c>
      <c r="AA24" s="60">
        <v>3482.0</v>
      </c>
      <c r="AB24" s="60">
        <v>3550.0</v>
      </c>
      <c r="AC24" s="60">
        <v>3618.0</v>
      </c>
      <c r="AD24" s="60">
        <v>3686.0</v>
      </c>
      <c r="AE24" s="60">
        <v>3754.0</v>
      </c>
      <c r="AF24" s="60">
        <v>3822.0</v>
      </c>
      <c r="AG24" s="60">
        <v>3890.0</v>
      </c>
      <c r="AH24" s="60">
        <v>3958.0</v>
      </c>
      <c r="AI24" s="60">
        <v>4026.0</v>
      </c>
      <c r="AJ24" s="60">
        <v>4094.0</v>
      </c>
      <c r="AK24" s="60">
        <v>4162.0</v>
      </c>
      <c r="AL24" s="60">
        <v>4230.0</v>
      </c>
      <c r="AM24" s="60">
        <v>4298.0</v>
      </c>
      <c r="AN24" s="60">
        <v>4366.0</v>
      </c>
      <c r="AO24" s="60">
        <v>4434.0</v>
      </c>
      <c r="AP24" s="60">
        <v>4502.0</v>
      </c>
      <c r="AQ24" s="60">
        <v>4570.0</v>
      </c>
      <c r="AR24" s="60">
        <v>4638.0</v>
      </c>
      <c r="AS24" s="60">
        <v>4706.0</v>
      </c>
      <c r="AT24" s="60">
        <v>4774.0</v>
      </c>
      <c r="AU24" s="60">
        <v>4842.0</v>
      </c>
      <c r="AV24" s="60">
        <v>4910.0</v>
      </c>
      <c r="AW24" s="60">
        <v>4978.0</v>
      </c>
      <c r="AX24" s="60">
        <v>5046.0</v>
      </c>
      <c r="AY24" s="60">
        <v>5114.0</v>
      </c>
      <c r="AZ24" s="60">
        <v>5182.0</v>
      </c>
      <c r="BA24" s="60">
        <v>5250.0</v>
      </c>
      <c r="BB24" s="60">
        <v>5318.0</v>
      </c>
      <c r="BC24" s="60">
        <v>5386.0</v>
      </c>
      <c r="BD24" s="60">
        <v>5454.0</v>
      </c>
      <c r="BE24" s="60">
        <v>5522.0</v>
      </c>
      <c r="BF24" s="60">
        <v>5590.0</v>
      </c>
      <c r="BG24" s="60">
        <v>5658.0</v>
      </c>
      <c r="BH24" s="60">
        <v>5726.0</v>
      </c>
      <c r="BI24" s="60">
        <v>5794.0</v>
      </c>
      <c r="BJ24" s="60">
        <v>5862.0</v>
      </c>
      <c r="BK24" s="60">
        <v>5930.0</v>
      </c>
      <c r="BL24" s="60">
        <v>5998.0</v>
      </c>
      <c r="BM24" s="60">
        <v>6066.0</v>
      </c>
      <c r="BN24" s="60">
        <v>6134.0</v>
      </c>
      <c r="BO24" s="60">
        <v>6202.0</v>
      </c>
      <c r="BP24" s="60">
        <v>6270.0</v>
      </c>
      <c r="BQ24" s="60">
        <v>6338.0</v>
      </c>
      <c r="BR24" s="60">
        <v>6406.0</v>
      </c>
      <c r="BS24" s="60">
        <v>6474.0</v>
      </c>
      <c r="BT24" s="60">
        <v>6542.0</v>
      </c>
      <c r="BU24" s="60">
        <v>6610.0</v>
      </c>
      <c r="BV24" s="60">
        <v>6678.0</v>
      </c>
      <c r="BW24" s="60">
        <v>6746.0</v>
      </c>
      <c r="BX24" s="60">
        <v>6814.0</v>
      </c>
      <c r="BY24" s="60">
        <v>6882.0</v>
      </c>
      <c r="BZ24" s="60">
        <v>6950.0</v>
      </c>
      <c r="CA24" s="60">
        <v>7018.0</v>
      </c>
      <c r="CB24" s="60">
        <v>7086.0</v>
      </c>
      <c r="CC24" s="60">
        <v>7154.0</v>
      </c>
      <c r="CD24" s="60">
        <v>7222.0</v>
      </c>
      <c r="CE24" s="60">
        <v>7290.0</v>
      </c>
      <c r="CF24" s="17">
        <v>90.0</v>
      </c>
    </row>
    <row r="25">
      <c r="A25" s="17">
        <v>23.0</v>
      </c>
      <c r="B25" s="60">
        <v>1863.0</v>
      </c>
      <c r="C25" s="60">
        <v>1929.0</v>
      </c>
      <c r="D25" s="60">
        <v>1995.0</v>
      </c>
      <c r="E25" s="60">
        <v>2061.0</v>
      </c>
      <c r="F25" s="60">
        <v>2127.0</v>
      </c>
      <c r="G25" s="60">
        <v>2193.0</v>
      </c>
      <c r="H25" s="60">
        <v>2259.0</v>
      </c>
      <c r="I25" s="60">
        <v>2325.0</v>
      </c>
      <c r="J25" s="60">
        <v>2391.0</v>
      </c>
      <c r="K25" s="60">
        <v>2457.0</v>
      </c>
      <c r="L25" s="60">
        <v>2523.0</v>
      </c>
      <c r="M25" s="60">
        <v>2589.0</v>
      </c>
      <c r="N25" s="60">
        <v>2655.0</v>
      </c>
      <c r="O25" s="60">
        <v>2721.0</v>
      </c>
      <c r="P25" s="60">
        <v>2787.0</v>
      </c>
      <c r="Q25" s="60">
        <v>2853.0</v>
      </c>
      <c r="R25" s="60">
        <v>2919.0</v>
      </c>
      <c r="S25" s="60">
        <v>2985.0</v>
      </c>
      <c r="T25" s="60">
        <v>3051.0</v>
      </c>
      <c r="U25" s="60">
        <v>3117.0</v>
      </c>
      <c r="V25" s="60">
        <v>3183.0</v>
      </c>
      <c r="W25" s="60">
        <v>3249.0</v>
      </c>
      <c r="X25" s="60">
        <v>3315.0</v>
      </c>
      <c r="Y25" s="60">
        <v>3381.0</v>
      </c>
      <c r="Z25" s="60">
        <v>3447.0</v>
      </c>
      <c r="AA25" s="60">
        <v>3513.0</v>
      </c>
      <c r="AB25" s="60">
        <v>3579.0</v>
      </c>
      <c r="AC25" s="60">
        <v>3645.0</v>
      </c>
      <c r="AD25" s="60">
        <v>3711.0</v>
      </c>
      <c r="AE25" s="60">
        <v>3777.0</v>
      </c>
      <c r="AF25" s="60">
        <v>3843.0</v>
      </c>
      <c r="AG25" s="60">
        <v>3909.0</v>
      </c>
      <c r="AH25" s="60">
        <v>3975.0</v>
      </c>
      <c r="AI25" s="60">
        <v>4041.0</v>
      </c>
      <c r="AJ25" s="60">
        <v>4107.0</v>
      </c>
      <c r="AK25" s="60">
        <v>4173.0</v>
      </c>
      <c r="AL25" s="60">
        <v>4239.0</v>
      </c>
      <c r="AM25" s="60">
        <v>4305.0</v>
      </c>
      <c r="AN25" s="60">
        <v>4371.0</v>
      </c>
      <c r="AO25" s="60">
        <v>4437.0</v>
      </c>
      <c r="AP25" s="60">
        <v>4503.0</v>
      </c>
      <c r="AQ25" s="60">
        <v>4569.0</v>
      </c>
      <c r="AR25" s="60">
        <v>4635.0</v>
      </c>
      <c r="AS25" s="60">
        <v>4701.0</v>
      </c>
      <c r="AT25" s="60">
        <v>4767.0</v>
      </c>
      <c r="AU25" s="60">
        <v>4833.0</v>
      </c>
      <c r="AV25" s="60">
        <v>4899.0</v>
      </c>
      <c r="AW25" s="60">
        <v>4965.0</v>
      </c>
      <c r="AX25" s="60">
        <v>5031.0</v>
      </c>
      <c r="AY25" s="60">
        <v>5097.0</v>
      </c>
      <c r="AZ25" s="60">
        <v>5163.0</v>
      </c>
      <c r="BA25" s="60">
        <v>5229.0</v>
      </c>
      <c r="BB25" s="60">
        <v>5295.0</v>
      </c>
      <c r="BC25" s="60">
        <v>5361.0</v>
      </c>
      <c r="BD25" s="60">
        <v>5427.0</v>
      </c>
      <c r="BE25" s="60">
        <v>5493.0</v>
      </c>
      <c r="BF25" s="60">
        <v>5559.0</v>
      </c>
      <c r="BG25" s="60">
        <v>5625.0</v>
      </c>
      <c r="BH25" s="60">
        <v>5691.0</v>
      </c>
      <c r="BI25" s="60">
        <v>5757.0</v>
      </c>
      <c r="BJ25" s="60">
        <v>5823.0</v>
      </c>
      <c r="BK25" s="60">
        <v>5889.0</v>
      </c>
      <c r="BL25" s="60">
        <v>5955.0</v>
      </c>
      <c r="BM25" s="60">
        <v>6021.0</v>
      </c>
      <c r="BN25" s="60">
        <v>6087.0</v>
      </c>
      <c r="BO25" s="60">
        <v>6153.0</v>
      </c>
      <c r="BP25" s="60">
        <v>6219.0</v>
      </c>
      <c r="BQ25" s="60">
        <v>6285.0</v>
      </c>
      <c r="BR25" s="60">
        <v>6351.0</v>
      </c>
      <c r="BS25" s="60">
        <v>6417.0</v>
      </c>
      <c r="BT25" s="60">
        <v>6483.0</v>
      </c>
      <c r="BU25" s="60">
        <v>6549.0</v>
      </c>
      <c r="BV25" s="60">
        <v>6615.0</v>
      </c>
      <c r="BW25" s="60">
        <v>6681.0</v>
      </c>
      <c r="BX25" s="60">
        <v>6747.0</v>
      </c>
      <c r="BY25" s="60">
        <v>6813.0</v>
      </c>
      <c r="BZ25" s="60">
        <v>6879.0</v>
      </c>
      <c r="CA25" s="60">
        <v>6945.0</v>
      </c>
      <c r="CB25" s="60">
        <v>7011.0</v>
      </c>
      <c r="CC25" s="60">
        <v>7077.0</v>
      </c>
      <c r="CD25" s="60">
        <v>7143.0</v>
      </c>
      <c r="CE25" s="60">
        <v>7209.0</v>
      </c>
      <c r="CF25" s="17">
        <v>89.0</v>
      </c>
    </row>
    <row r="26">
      <c r="A26" s="17">
        <v>24.0</v>
      </c>
      <c r="B26" s="60">
        <v>1944.0</v>
      </c>
      <c r="C26" s="60">
        <v>2008.0</v>
      </c>
      <c r="D26" s="60">
        <v>2072.0</v>
      </c>
      <c r="E26" s="60">
        <v>2136.0</v>
      </c>
      <c r="F26" s="60">
        <v>2200.0</v>
      </c>
      <c r="G26" s="60">
        <v>2264.0</v>
      </c>
      <c r="H26" s="60">
        <v>2328.0</v>
      </c>
      <c r="I26" s="60">
        <v>2392.0</v>
      </c>
      <c r="J26" s="60">
        <v>2456.0</v>
      </c>
      <c r="K26" s="60">
        <v>2520.0</v>
      </c>
      <c r="L26" s="60">
        <v>2584.0</v>
      </c>
      <c r="M26" s="60">
        <v>2648.0</v>
      </c>
      <c r="N26" s="60">
        <v>2712.0</v>
      </c>
      <c r="O26" s="60">
        <v>2776.0</v>
      </c>
      <c r="P26" s="60">
        <v>2840.0</v>
      </c>
      <c r="Q26" s="60">
        <v>2904.0</v>
      </c>
      <c r="R26" s="60">
        <v>2968.0</v>
      </c>
      <c r="S26" s="60">
        <v>3032.0</v>
      </c>
      <c r="T26" s="60">
        <v>3096.0</v>
      </c>
      <c r="U26" s="60">
        <v>3160.0</v>
      </c>
      <c r="V26" s="60">
        <v>3224.0</v>
      </c>
      <c r="W26" s="60">
        <v>3288.0</v>
      </c>
      <c r="X26" s="60">
        <v>3352.0</v>
      </c>
      <c r="Y26" s="60">
        <v>3416.0</v>
      </c>
      <c r="Z26" s="60">
        <v>3480.0</v>
      </c>
      <c r="AA26" s="60">
        <v>3544.0</v>
      </c>
      <c r="AB26" s="60">
        <v>3608.0</v>
      </c>
      <c r="AC26" s="60">
        <v>3672.0</v>
      </c>
      <c r="AD26" s="60">
        <v>3736.0</v>
      </c>
      <c r="AE26" s="60">
        <v>3800.0</v>
      </c>
      <c r="AF26" s="60">
        <v>3864.0</v>
      </c>
      <c r="AG26" s="60">
        <v>3928.0</v>
      </c>
      <c r="AH26" s="60">
        <v>3992.0</v>
      </c>
      <c r="AI26" s="60">
        <v>4056.0</v>
      </c>
      <c r="AJ26" s="60">
        <v>4120.0</v>
      </c>
      <c r="AK26" s="60">
        <v>4184.0</v>
      </c>
      <c r="AL26" s="60">
        <v>4248.0</v>
      </c>
      <c r="AM26" s="60">
        <v>4312.0</v>
      </c>
      <c r="AN26" s="60">
        <v>4376.0</v>
      </c>
      <c r="AO26" s="60">
        <v>4440.0</v>
      </c>
      <c r="AP26" s="60">
        <v>4504.0</v>
      </c>
      <c r="AQ26" s="60">
        <v>4568.0</v>
      </c>
      <c r="AR26" s="60">
        <v>4632.0</v>
      </c>
      <c r="AS26" s="60">
        <v>4696.0</v>
      </c>
      <c r="AT26" s="60">
        <v>4760.0</v>
      </c>
      <c r="AU26" s="60">
        <v>4824.0</v>
      </c>
      <c r="AV26" s="60">
        <v>4888.0</v>
      </c>
      <c r="AW26" s="60">
        <v>4952.0</v>
      </c>
      <c r="AX26" s="60">
        <v>5016.0</v>
      </c>
      <c r="AY26" s="60">
        <v>5080.0</v>
      </c>
      <c r="AZ26" s="60">
        <v>5144.0</v>
      </c>
      <c r="BA26" s="60">
        <v>5208.0</v>
      </c>
      <c r="BB26" s="60">
        <v>5272.0</v>
      </c>
      <c r="BC26" s="60">
        <v>5336.0</v>
      </c>
      <c r="BD26" s="60">
        <v>5400.0</v>
      </c>
      <c r="BE26" s="60">
        <v>5464.0</v>
      </c>
      <c r="BF26" s="60">
        <v>5528.0</v>
      </c>
      <c r="BG26" s="60">
        <v>5592.0</v>
      </c>
      <c r="BH26" s="60">
        <v>5656.0</v>
      </c>
      <c r="BI26" s="60">
        <v>5720.0</v>
      </c>
      <c r="BJ26" s="60">
        <v>5784.0</v>
      </c>
      <c r="BK26" s="60">
        <v>5848.0</v>
      </c>
      <c r="BL26" s="60">
        <v>5912.0</v>
      </c>
      <c r="BM26" s="60">
        <v>5976.0</v>
      </c>
      <c r="BN26" s="60">
        <v>6040.0</v>
      </c>
      <c r="BO26" s="60">
        <v>6104.0</v>
      </c>
      <c r="BP26" s="60">
        <v>6168.0</v>
      </c>
      <c r="BQ26" s="60">
        <v>6232.0</v>
      </c>
      <c r="BR26" s="60">
        <v>6296.0</v>
      </c>
      <c r="BS26" s="60">
        <v>6360.0</v>
      </c>
      <c r="BT26" s="60">
        <v>6424.0</v>
      </c>
      <c r="BU26" s="60">
        <v>6488.0</v>
      </c>
      <c r="BV26" s="60">
        <v>6552.0</v>
      </c>
      <c r="BW26" s="60">
        <v>6616.0</v>
      </c>
      <c r="BX26" s="60">
        <v>6680.0</v>
      </c>
      <c r="BY26" s="60">
        <v>6744.0</v>
      </c>
      <c r="BZ26" s="60">
        <v>6808.0</v>
      </c>
      <c r="CA26" s="60">
        <v>6872.0</v>
      </c>
      <c r="CB26" s="60">
        <v>6936.0</v>
      </c>
      <c r="CC26" s="60">
        <v>7000.0</v>
      </c>
      <c r="CD26" s="60">
        <v>7064.0</v>
      </c>
      <c r="CE26" s="60">
        <v>7128.0</v>
      </c>
      <c r="CF26" s="17">
        <v>88.0</v>
      </c>
    </row>
    <row r="27">
      <c r="A27" s="17">
        <v>25.0</v>
      </c>
      <c r="B27" s="60">
        <v>2025.0</v>
      </c>
      <c r="C27" s="60">
        <v>2087.0</v>
      </c>
      <c r="D27" s="60">
        <v>2149.0</v>
      </c>
      <c r="E27" s="60">
        <v>2211.0</v>
      </c>
      <c r="F27" s="60">
        <v>2273.0</v>
      </c>
      <c r="G27" s="60">
        <v>2335.0</v>
      </c>
      <c r="H27" s="60">
        <v>2397.0</v>
      </c>
      <c r="I27" s="60">
        <v>2459.0</v>
      </c>
      <c r="J27" s="60">
        <v>2521.0</v>
      </c>
      <c r="K27" s="60">
        <v>2583.0</v>
      </c>
      <c r="L27" s="60">
        <v>2645.0</v>
      </c>
      <c r="M27" s="60">
        <v>2707.0</v>
      </c>
      <c r="N27" s="60">
        <v>2769.0</v>
      </c>
      <c r="O27" s="60">
        <v>2831.0</v>
      </c>
      <c r="P27" s="60">
        <v>2893.0</v>
      </c>
      <c r="Q27" s="60">
        <v>2955.0</v>
      </c>
      <c r="R27" s="60">
        <v>3017.0</v>
      </c>
      <c r="S27" s="60">
        <v>3079.0</v>
      </c>
      <c r="T27" s="60">
        <v>3141.0</v>
      </c>
      <c r="U27" s="60">
        <v>3203.0</v>
      </c>
      <c r="V27" s="60">
        <v>3265.0</v>
      </c>
      <c r="W27" s="60">
        <v>3327.0</v>
      </c>
      <c r="X27" s="60">
        <v>3389.0</v>
      </c>
      <c r="Y27" s="60">
        <v>3451.0</v>
      </c>
      <c r="Z27" s="60">
        <v>3513.0</v>
      </c>
      <c r="AA27" s="60">
        <v>3575.0</v>
      </c>
      <c r="AB27" s="60">
        <v>3637.0</v>
      </c>
      <c r="AC27" s="60">
        <v>3699.0</v>
      </c>
      <c r="AD27" s="60">
        <v>3761.0</v>
      </c>
      <c r="AE27" s="60">
        <v>3823.0</v>
      </c>
      <c r="AF27" s="60">
        <v>3885.0</v>
      </c>
      <c r="AG27" s="60">
        <v>3947.0</v>
      </c>
      <c r="AH27" s="60">
        <v>4009.0</v>
      </c>
      <c r="AI27" s="60">
        <v>4071.0</v>
      </c>
      <c r="AJ27" s="60">
        <v>4133.0</v>
      </c>
      <c r="AK27" s="60">
        <v>4195.0</v>
      </c>
      <c r="AL27" s="60">
        <v>4257.0</v>
      </c>
      <c r="AM27" s="60">
        <v>4319.0</v>
      </c>
      <c r="AN27" s="60">
        <v>4381.0</v>
      </c>
      <c r="AO27" s="60">
        <v>4443.0</v>
      </c>
      <c r="AP27" s="60">
        <v>4505.0</v>
      </c>
      <c r="AQ27" s="60">
        <v>4567.0</v>
      </c>
      <c r="AR27" s="60">
        <v>4629.0</v>
      </c>
      <c r="AS27" s="60">
        <v>4691.0</v>
      </c>
      <c r="AT27" s="60">
        <v>4753.0</v>
      </c>
      <c r="AU27" s="60">
        <v>4815.0</v>
      </c>
      <c r="AV27" s="60">
        <v>4877.0</v>
      </c>
      <c r="AW27" s="60">
        <v>4939.0</v>
      </c>
      <c r="AX27" s="60">
        <v>5001.0</v>
      </c>
      <c r="AY27" s="60">
        <v>5063.0</v>
      </c>
      <c r="AZ27" s="60">
        <v>5125.0</v>
      </c>
      <c r="BA27" s="60">
        <v>5187.0</v>
      </c>
      <c r="BB27" s="60">
        <v>5249.0</v>
      </c>
      <c r="BC27" s="60">
        <v>5311.0</v>
      </c>
      <c r="BD27" s="60">
        <v>5373.0</v>
      </c>
      <c r="BE27" s="60">
        <v>5435.0</v>
      </c>
      <c r="BF27" s="60">
        <v>5497.0</v>
      </c>
      <c r="BG27" s="60">
        <v>5559.0</v>
      </c>
      <c r="BH27" s="60">
        <v>5621.0</v>
      </c>
      <c r="BI27" s="60">
        <v>5683.0</v>
      </c>
      <c r="BJ27" s="60">
        <v>5745.0</v>
      </c>
      <c r="BK27" s="60">
        <v>5807.0</v>
      </c>
      <c r="BL27" s="60">
        <v>5869.0</v>
      </c>
      <c r="BM27" s="60">
        <v>5931.0</v>
      </c>
      <c r="BN27" s="60">
        <v>5993.0</v>
      </c>
      <c r="BO27" s="60">
        <v>6055.0</v>
      </c>
      <c r="BP27" s="60">
        <v>6117.0</v>
      </c>
      <c r="BQ27" s="60">
        <v>6179.0</v>
      </c>
      <c r="BR27" s="60">
        <v>6241.0</v>
      </c>
      <c r="BS27" s="60">
        <v>6303.0</v>
      </c>
      <c r="BT27" s="60">
        <v>6365.0</v>
      </c>
      <c r="BU27" s="60">
        <v>6427.0</v>
      </c>
      <c r="BV27" s="60">
        <v>6489.0</v>
      </c>
      <c r="BW27" s="60">
        <v>6551.0</v>
      </c>
      <c r="BX27" s="60">
        <v>6613.0</v>
      </c>
      <c r="BY27" s="60">
        <v>6675.0</v>
      </c>
      <c r="BZ27" s="60">
        <v>6737.0</v>
      </c>
      <c r="CA27" s="60">
        <v>6799.0</v>
      </c>
      <c r="CB27" s="60">
        <v>6861.0</v>
      </c>
      <c r="CC27" s="60">
        <v>6923.0</v>
      </c>
      <c r="CD27" s="60">
        <v>6985.0</v>
      </c>
      <c r="CE27" s="60">
        <v>7047.0</v>
      </c>
      <c r="CF27" s="17">
        <v>87.0</v>
      </c>
    </row>
    <row r="28">
      <c r="A28" s="17">
        <v>26.0</v>
      </c>
      <c r="B28" s="60">
        <v>2106.0</v>
      </c>
      <c r="C28" s="60">
        <v>2166.0</v>
      </c>
      <c r="D28" s="60">
        <v>2226.0</v>
      </c>
      <c r="E28" s="60">
        <v>2286.0</v>
      </c>
      <c r="F28" s="60">
        <v>2346.0</v>
      </c>
      <c r="G28" s="60">
        <v>2406.0</v>
      </c>
      <c r="H28" s="60">
        <v>2466.0</v>
      </c>
      <c r="I28" s="60">
        <v>2526.0</v>
      </c>
      <c r="J28" s="60">
        <v>2586.0</v>
      </c>
      <c r="K28" s="60">
        <v>2646.0</v>
      </c>
      <c r="L28" s="60">
        <v>2706.0</v>
      </c>
      <c r="M28" s="60">
        <v>2766.0</v>
      </c>
      <c r="N28" s="60">
        <v>2826.0</v>
      </c>
      <c r="O28" s="60">
        <v>2886.0</v>
      </c>
      <c r="P28" s="60">
        <v>2946.0</v>
      </c>
      <c r="Q28" s="60">
        <v>3006.0</v>
      </c>
      <c r="R28" s="60">
        <v>3066.0</v>
      </c>
      <c r="S28" s="60">
        <v>3126.0</v>
      </c>
      <c r="T28" s="60">
        <v>3186.0</v>
      </c>
      <c r="U28" s="60">
        <v>3246.0</v>
      </c>
      <c r="V28" s="60">
        <v>3306.0</v>
      </c>
      <c r="W28" s="60">
        <v>3366.0</v>
      </c>
      <c r="X28" s="60">
        <v>3426.0</v>
      </c>
      <c r="Y28" s="60">
        <v>3486.0</v>
      </c>
      <c r="Z28" s="60">
        <v>3546.0</v>
      </c>
      <c r="AA28" s="60">
        <v>3606.0</v>
      </c>
      <c r="AB28" s="60">
        <v>3666.0</v>
      </c>
      <c r="AC28" s="60">
        <v>3726.0</v>
      </c>
      <c r="AD28" s="60">
        <v>3786.0</v>
      </c>
      <c r="AE28" s="60">
        <v>3846.0</v>
      </c>
      <c r="AF28" s="60">
        <v>3906.0</v>
      </c>
      <c r="AG28" s="60">
        <v>3966.0</v>
      </c>
      <c r="AH28" s="60">
        <v>4026.0</v>
      </c>
      <c r="AI28" s="60">
        <v>4086.0</v>
      </c>
      <c r="AJ28" s="60">
        <v>4146.0</v>
      </c>
      <c r="AK28" s="60">
        <v>4206.0</v>
      </c>
      <c r="AL28" s="60">
        <v>4266.0</v>
      </c>
      <c r="AM28" s="60">
        <v>4326.0</v>
      </c>
      <c r="AN28" s="60">
        <v>4386.0</v>
      </c>
      <c r="AO28" s="60">
        <v>4446.0</v>
      </c>
      <c r="AP28" s="60">
        <v>4506.0</v>
      </c>
      <c r="AQ28" s="60">
        <v>4566.0</v>
      </c>
      <c r="AR28" s="60">
        <v>4626.0</v>
      </c>
      <c r="AS28" s="60">
        <v>4686.0</v>
      </c>
      <c r="AT28" s="60">
        <v>4746.0</v>
      </c>
      <c r="AU28" s="60">
        <v>4806.0</v>
      </c>
      <c r="AV28" s="60">
        <v>4866.0</v>
      </c>
      <c r="AW28" s="60">
        <v>4926.0</v>
      </c>
      <c r="AX28" s="60">
        <v>4986.0</v>
      </c>
      <c r="AY28" s="60">
        <v>5046.0</v>
      </c>
      <c r="AZ28" s="60">
        <v>5106.0</v>
      </c>
      <c r="BA28" s="60">
        <v>5166.0</v>
      </c>
      <c r="BB28" s="60">
        <v>5226.0</v>
      </c>
      <c r="BC28" s="60">
        <v>5286.0</v>
      </c>
      <c r="BD28" s="60">
        <v>5346.0</v>
      </c>
      <c r="BE28" s="60">
        <v>5406.0</v>
      </c>
      <c r="BF28" s="60">
        <v>5466.0</v>
      </c>
      <c r="BG28" s="60">
        <v>5526.0</v>
      </c>
      <c r="BH28" s="60">
        <v>5586.0</v>
      </c>
      <c r="BI28" s="60">
        <v>5646.0</v>
      </c>
      <c r="BJ28" s="60">
        <v>5706.0</v>
      </c>
      <c r="BK28" s="60">
        <v>5766.0</v>
      </c>
      <c r="BL28" s="60">
        <v>5826.0</v>
      </c>
      <c r="BM28" s="60">
        <v>5886.0</v>
      </c>
      <c r="BN28" s="60">
        <v>5946.0</v>
      </c>
      <c r="BO28" s="60">
        <v>6006.0</v>
      </c>
      <c r="BP28" s="60">
        <v>6066.0</v>
      </c>
      <c r="BQ28" s="60">
        <v>6126.0</v>
      </c>
      <c r="BR28" s="60">
        <v>6186.0</v>
      </c>
      <c r="BS28" s="60">
        <v>6246.0</v>
      </c>
      <c r="BT28" s="60">
        <v>6306.0</v>
      </c>
      <c r="BU28" s="60">
        <v>6366.0</v>
      </c>
      <c r="BV28" s="60">
        <v>6426.0</v>
      </c>
      <c r="BW28" s="60">
        <v>6486.0</v>
      </c>
      <c r="BX28" s="60">
        <v>6546.0</v>
      </c>
      <c r="BY28" s="60">
        <v>6606.0</v>
      </c>
      <c r="BZ28" s="60">
        <v>6666.0</v>
      </c>
      <c r="CA28" s="60">
        <v>6726.0</v>
      </c>
      <c r="CB28" s="60">
        <v>6786.0</v>
      </c>
      <c r="CC28" s="60">
        <v>6846.0</v>
      </c>
      <c r="CD28" s="60">
        <v>6906.0</v>
      </c>
      <c r="CE28" s="60">
        <v>6966.0</v>
      </c>
      <c r="CF28" s="17">
        <v>86.0</v>
      </c>
    </row>
    <row r="29">
      <c r="A29" s="17">
        <v>27.0</v>
      </c>
      <c r="B29" s="60">
        <v>2187.0</v>
      </c>
      <c r="C29" s="60">
        <v>2245.0</v>
      </c>
      <c r="D29" s="60">
        <v>2303.0</v>
      </c>
      <c r="E29" s="60">
        <v>2361.0</v>
      </c>
      <c r="F29" s="60">
        <v>2419.0</v>
      </c>
      <c r="G29" s="60">
        <v>2477.0</v>
      </c>
      <c r="H29" s="60">
        <v>2535.0</v>
      </c>
      <c r="I29" s="60">
        <v>2593.0</v>
      </c>
      <c r="J29" s="60">
        <v>2651.0</v>
      </c>
      <c r="K29" s="60">
        <v>2709.0</v>
      </c>
      <c r="L29" s="60">
        <v>2767.0</v>
      </c>
      <c r="M29" s="60">
        <v>2825.0</v>
      </c>
      <c r="N29" s="60">
        <v>2883.0</v>
      </c>
      <c r="O29" s="60">
        <v>2941.0</v>
      </c>
      <c r="P29" s="60">
        <v>2999.0</v>
      </c>
      <c r="Q29" s="60">
        <v>3057.0</v>
      </c>
      <c r="R29" s="60">
        <v>3115.0</v>
      </c>
      <c r="S29" s="60">
        <v>3173.0</v>
      </c>
      <c r="T29" s="60">
        <v>3231.0</v>
      </c>
      <c r="U29" s="60">
        <v>3289.0</v>
      </c>
      <c r="V29" s="60">
        <v>3347.0</v>
      </c>
      <c r="W29" s="60">
        <v>3405.0</v>
      </c>
      <c r="X29" s="60">
        <v>3463.0</v>
      </c>
      <c r="Y29" s="60">
        <v>3521.0</v>
      </c>
      <c r="Z29" s="60">
        <v>3579.0</v>
      </c>
      <c r="AA29" s="60">
        <v>3637.0</v>
      </c>
      <c r="AB29" s="60">
        <v>3695.0</v>
      </c>
      <c r="AC29" s="60">
        <v>3753.0</v>
      </c>
      <c r="AD29" s="60">
        <v>3811.0</v>
      </c>
      <c r="AE29" s="60">
        <v>3869.0</v>
      </c>
      <c r="AF29" s="60">
        <v>3927.0</v>
      </c>
      <c r="AG29" s="60">
        <v>3985.0</v>
      </c>
      <c r="AH29" s="60">
        <v>4043.0</v>
      </c>
      <c r="AI29" s="60">
        <v>4101.0</v>
      </c>
      <c r="AJ29" s="60">
        <v>4159.0</v>
      </c>
      <c r="AK29" s="60">
        <v>4217.0</v>
      </c>
      <c r="AL29" s="60">
        <v>4275.0</v>
      </c>
      <c r="AM29" s="60">
        <v>4333.0</v>
      </c>
      <c r="AN29" s="60">
        <v>4391.0</v>
      </c>
      <c r="AO29" s="60">
        <v>4449.0</v>
      </c>
      <c r="AP29" s="60">
        <v>4507.0</v>
      </c>
      <c r="AQ29" s="60">
        <v>4565.0</v>
      </c>
      <c r="AR29" s="60">
        <v>4623.0</v>
      </c>
      <c r="AS29" s="60">
        <v>4681.0</v>
      </c>
      <c r="AT29" s="60">
        <v>4739.0</v>
      </c>
      <c r="AU29" s="60">
        <v>4797.0</v>
      </c>
      <c r="AV29" s="60">
        <v>4855.0</v>
      </c>
      <c r="AW29" s="60">
        <v>4913.0</v>
      </c>
      <c r="AX29" s="60">
        <v>4971.0</v>
      </c>
      <c r="AY29" s="60">
        <v>5029.0</v>
      </c>
      <c r="AZ29" s="60">
        <v>5087.0</v>
      </c>
      <c r="BA29" s="60">
        <v>5145.0</v>
      </c>
      <c r="BB29" s="60">
        <v>5203.0</v>
      </c>
      <c r="BC29" s="60">
        <v>5261.0</v>
      </c>
      <c r="BD29" s="60">
        <v>5319.0</v>
      </c>
      <c r="BE29" s="60">
        <v>5377.0</v>
      </c>
      <c r="BF29" s="60">
        <v>5435.0</v>
      </c>
      <c r="BG29" s="60">
        <v>5493.0</v>
      </c>
      <c r="BH29" s="60">
        <v>5551.0</v>
      </c>
      <c r="BI29" s="60">
        <v>5609.0</v>
      </c>
      <c r="BJ29" s="60">
        <v>5667.0</v>
      </c>
      <c r="BK29" s="60">
        <v>5725.0</v>
      </c>
      <c r="BL29" s="60">
        <v>5783.0</v>
      </c>
      <c r="BM29" s="60">
        <v>5841.0</v>
      </c>
      <c r="BN29" s="60">
        <v>5899.0</v>
      </c>
      <c r="BO29" s="60">
        <v>5957.0</v>
      </c>
      <c r="BP29" s="60">
        <v>6015.0</v>
      </c>
      <c r="BQ29" s="60">
        <v>6073.0</v>
      </c>
      <c r="BR29" s="60">
        <v>6131.0</v>
      </c>
      <c r="BS29" s="60">
        <v>6189.0</v>
      </c>
      <c r="BT29" s="60">
        <v>6247.0</v>
      </c>
      <c r="BU29" s="60">
        <v>6305.0</v>
      </c>
      <c r="BV29" s="60">
        <v>6363.0</v>
      </c>
      <c r="BW29" s="60">
        <v>6421.0</v>
      </c>
      <c r="BX29" s="60">
        <v>6479.0</v>
      </c>
      <c r="BY29" s="60">
        <v>6537.0</v>
      </c>
      <c r="BZ29" s="60">
        <v>6595.0</v>
      </c>
      <c r="CA29" s="60">
        <v>6653.0</v>
      </c>
      <c r="CB29" s="60">
        <v>6711.0</v>
      </c>
      <c r="CC29" s="60">
        <v>6769.0</v>
      </c>
      <c r="CD29" s="60">
        <v>6827.0</v>
      </c>
      <c r="CE29" s="60">
        <v>6885.0</v>
      </c>
      <c r="CF29" s="17">
        <v>85.0</v>
      </c>
    </row>
    <row r="30">
      <c r="A30" s="17">
        <v>28.0</v>
      </c>
      <c r="B30" s="60">
        <v>2268.0</v>
      </c>
      <c r="C30" s="60">
        <v>2324.0</v>
      </c>
      <c r="D30" s="60">
        <v>2380.0</v>
      </c>
      <c r="E30" s="60">
        <v>2436.0</v>
      </c>
      <c r="F30" s="60">
        <v>2492.0</v>
      </c>
      <c r="G30" s="60">
        <v>2548.0</v>
      </c>
      <c r="H30" s="60">
        <v>2604.0</v>
      </c>
      <c r="I30" s="60">
        <v>2660.0</v>
      </c>
      <c r="J30" s="60">
        <v>2716.0</v>
      </c>
      <c r="K30" s="60">
        <v>2772.0</v>
      </c>
      <c r="L30" s="60">
        <v>2828.0</v>
      </c>
      <c r="M30" s="60">
        <v>2884.0</v>
      </c>
      <c r="N30" s="60">
        <v>2940.0</v>
      </c>
      <c r="O30" s="60">
        <v>2996.0</v>
      </c>
      <c r="P30" s="60">
        <v>3052.0</v>
      </c>
      <c r="Q30" s="60">
        <v>3108.0</v>
      </c>
      <c r="R30" s="60">
        <v>3164.0</v>
      </c>
      <c r="S30" s="60">
        <v>3220.0</v>
      </c>
      <c r="T30" s="60">
        <v>3276.0</v>
      </c>
      <c r="U30" s="60">
        <v>3332.0</v>
      </c>
      <c r="V30" s="60">
        <v>3388.0</v>
      </c>
      <c r="W30" s="60">
        <v>3444.0</v>
      </c>
      <c r="X30" s="60">
        <v>3500.0</v>
      </c>
      <c r="Y30" s="60">
        <v>3556.0</v>
      </c>
      <c r="Z30" s="60">
        <v>3612.0</v>
      </c>
      <c r="AA30" s="60">
        <v>3668.0</v>
      </c>
      <c r="AB30" s="60">
        <v>3724.0</v>
      </c>
      <c r="AC30" s="60">
        <v>3780.0</v>
      </c>
      <c r="AD30" s="60">
        <v>3836.0</v>
      </c>
      <c r="AE30" s="60">
        <v>3892.0</v>
      </c>
      <c r="AF30" s="60">
        <v>3948.0</v>
      </c>
      <c r="AG30" s="60">
        <v>4004.0</v>
      </c>
      <c r="AH30" s="60">
        <v>4060.0</v>
      </c>
      <c r="AI30" s="60">
        <v>4116.0</v>
      </c>
      <c r="AJ30" s="60">
        <v>4172.0</v>
      </c>
      <c r="AK30" s="60">
        <v>4228.0</v>
      </c>
      <c r="AL30" s="60">
        <v>4284.0</v>
      </c>
      <c r="AM30" s="60">
        <v>4340.0</v>
      </c>
      <c r="AN30" s="60">
        <v>4396.0</v>
      </c>
      <c r="AO30" s="60">
        <v>4452.0</v>
      </c>
      <c r="AP30" s="60">
        <v>4508.0</v>
      </c>
      <c r="AQ30" s="60">
        <v>4564.0</v>
      </c>
      <c r="AR30" s="60">
        <v>4620.0</v>
      </c>
      <c r="AS30" s="60">
        <v>4676.0</v>
      </c>
      <c r="AT30" s="60">
        <v>4732.0</v>
      </c>
      <c r="AU30" s="60">
        <v>4788.0</v>
      </c>
      <c r="AV30" s="60">
        <v>4844.0</v>
      </c>
      <c r="AW30" s="60">
        <v>4900.0</v>
      </c>
      <c r="AX30" s="60">
        <v>4956.0</v>
      </c>
      <c r="AY30" s="60">
        <v>5012.0</v>
      </c>
      <c r="AZ30" s="60">
        <v>5068.0</v>
      </c>
      <c r="BA30" s="60">
        <v>5124.0</v>
      </c>
      <c r="BB30" s="60">
        <v>5180.0</v>
      </c>
      <c r="BC30" s="60">
        <v>5236.0</v>
      </c>
      <c r="BD30" s="60">
        <v>5292.0</v>
      </c>
      <c r="BE30" s="60">
        <v>5348.0</v>
      </c>
      <c r="BF30" s="60">
        <v>5404.0</v>
      </c>
      <c r="BG30" s="60">
        <v>5460.0</v>
      </c>
      <c r="BH30" s="60">
        <v>5516.0</v>
      </c>
      <c r="BI30" s="60">
        <v>5572.0</v>
      </c>
      <c r="BJ30" s="60">
        <v>5628.0</v>
      </c>
      <c r="BK30" s="60">
        <v>5684.0</v>
      </c>
      <c r="BL30" s="60">
        <v>5740.0</v>
      </c>
      <c r="BM30" s="60">
        <v>5796.0</v>
      </c>
      <c r="BN30" s="60">
        <v>5852.0</v>
      </c>
      <c r="BO30" s="60">
        <v>5908.0</v>
      </c>
      <c r="BP30" s="60">
        <v>5964.0</v>
      </c>
      <c r="BQ30" s="60">
        <v>6020.0</v>
      </c>
      <c r="BR30" s="60">
        <v>6076.0</v>
      </c>
      <c r="BS30" s="60">
        <v>6132.0</v>
      </c>
      <c r="BT30" s="60">
        <v>6188.0</v>
      </c>
      <c r="BU30" s="60">
        <v>6244.0</v>
      </c>
      <c r="BV30" s="60">
        <v>6300.0</v>
      </c>
      <c r="BW30" s="60">
        <v>6356.0</v>
      </c>
      <c r="BX30" s="60">
        <v>6412.0</v>
      </c>
      <c r="BY30" s="60">
        <v>6468.0</v>
      </c>
      <c r="BZ30" s="60">
        <v>6524.0</v>
      </c>
      <c r="CA30" s="60">
        <v>6580.0</v>
      </c>
      <c r="CB30" s="60">
        <v>6636.0</v>
      </c>
      <c r="CC30" s="60">
        <v>6692.0</v>
      </c>
      <c r="CD30" s="60">
        <v>6748.0</v>
      </c>
      <c r="CE30" s="60">
        <v>6804.0</v>
      </c>
      <c r="CF30" s="17">
        <v>84.0</v>
      </c>
    </row>
    <row r="31">
      <c r="A31" s="17">
        <v>29.0</v>
      </c>
      <c r="B31" s="60">
        <v>2349.0</v>
      </c>
      <c r="C31" s="60">
        <v>2403.0</v>
      </c>
      <c r="D31" s="60">
        <v>2457.0</v>
      </c>
      <c r="E31" s="60">
        <v>2511.0</v>
      </c>
      <c r="F31" s="60">
        <v>2565.0</v>
      </c>
      <c r="G31" s="60">
        <v>2619.0</v>
      </c>
      <c r="H31" s="60">
        <v>2673.0</v>
      </c>
      <c r="I31" s="60">
        <v>2727.0</v>
      </c>
      <c r="J31" s="60">
        <v>2781.0</v>
      </c>
      <c r="K31" s="60">
        <v>2835.0</v>
      </c>
      <c r="L31" s="60">
        <v>2889.0</v>
      </c>
      <c r="M31" s="60">
        <v>2943.0</v>
      </c>
      <c r="N31" s="60">
        <v>2997.0</v>
      </c>
      <c r="O31" s="60">
        <v>3051.0</v>
      </c>
      <c r="P31" s="60">
        <v>3105.0</v>
      </c>
      <c r="Q31" s="60">
        <v>3159.0</v>
      </c>
      <c r="R31" s="60">
        <v>3213.0</v>
      </c>
      <c r="S31" s="60">
        <v>3267.0</v>
      </c>
      <c r="T31" s="60">
        <v>3321.0</v>
      </c>
      <c r="U31" s="60">
        <v>3375.0</v>
      </c>
      <c r="V31" s="60">
        <v>3429.0</v>
      </c>
      <c r="W31" s="60">
        <v>3483.0</v>
      </c>
      <c r="X31" s="60">
        <v>3537.0</v>
      </c>
      <c r="Y31" s="60">
        <v>3591.0</v>
      </c>
      <c r="Z31" s="60">
        <v>3645.0</v>
      </c>
      <c r="AA31" s="60">
        <v>3699.0</v>
      </c>
      <c r="AB31" s="60">
        <v>3753.0</v>
      </c>
      <c r="AC31" s="60">
        <v>3807.0</v>
      </c>
      <c r="AD31" s="60">
        <v>3861.0</v>
      </c>
      <c r="AE31" s="60">
        <v>3915.0</v>
      </c>
      <c r="AF31" s="60">
        <v>3969.0</v>
      </c>
      <c r="AG31" s="60">
        <v>4023.0</v>
      </c>
      <c r="AH31" s="60">
        <v>4077.0</v>
      </c>
      <c r="AI31" s="60">
        <v>4131.0</v>
      </c>
      <c r="AJ31" s="60">
        <v>4185.0</v>
      </c>
      <c r="AK31" s="60">
        <v>4239.0</v>
      </c>
      <c r="AL31" s="60">
        <v>4293.0</v>
      </c>
      <c r="AM31" s="60">
        <v>4347.0</v>
      </c>
      <c r="AN31" s="60">
        <v>4401.0</v>
      </c>
      <c r="AO31" s="60">
        <v>4455.0</v>
      </c>
      <c r="AP31" s="60">
        <v>4509.0</v>
      </c>
      <c r="AQ31" s="60">
        <v>4563.0</v>
      </c>
      <c r="AR31" s="60">
        <v>4617.0</v>
      </c>
      <c r="AS31" s="60">
        <v>4671.0</v>
      </c>
      <c r="AT31" s="60">
        <v>4725.0</v>
      </c>
      <c r="AU31" s="60">
        <v>4779.0</v>
      </c>
      <c r="AV31" s="60">
        <v>4833.0</v>
      </c>
      <c r="AW31" s="60">
        <v>4887.0</v>
      </c>
      <c r="AX31" s="60">
        <v>4941.0</v>
      </c>
      <c r="AY31" s="60">
        <v>4995.0</v>
      </c>
      <c r="AZ31" s="60">
        <v>5049.0</v>
      </c>
      <c r="BA31" s="60">
        <v>5103.0</v>
      </c>
      <c r="BB31" s="60">
        <v>5157.0</v>
      </c>
      <c r="BC31" s="60">
        <v>5211.0</v>
      </c>
      <c r="BD31" s="60">
        <v>5265.0</v>
      </c>
      <c r="BE31" s="60">
        <v>5319.0</v>
      </c>
      <c r="BF31" s="60">
        <v>5373.0</v>
      </c>
      <c r="BG31" s="60">
        <v>5427.0</v>
      </c>
      <c r="BH31" s="60">
        <v>5481.0</v>
      </c>
      <c r="BI31" s="60">
        <v>5535.0</v>
      </c>
      <c r="BJ31" s="60">
        <v>5589.0</v>
      </c>
      <c r="BK31" s="60">
        <v>5643.0</v>
      </c>
      <c r="BL31" s="60">
        <v>5697.0</v>
      </c>
      <c r="BM31" s="60">
        <v>5751.0</v>
      </c>
      <c r="BN31" s="60">
        <v>5805.0</v>
      </c>
      <c r="BO31" s="60">
        <v>5859.0</v>
      </c>
      <c r="BP31" s="60">
        <v>5913.0</v>
      </c>
      <c r="BQ31" s="60">
        <v>5967.0</v>
      </c>
      <c r="BR31" s="60">
        <v>6021.0</v>
      </c>
      <c r="BS31" s="60">
        <v>6075.0</v>
      </c>
      <c r="BT31" s="60">
        <v>6129.0</v>
      </c>
      <c r="BU31" s="60">
        <v>6183.0</v>
      </c>
      <c r="BV31" s="60">
        <v>6237.0</v>
      </c>
      <c r="BW31" s="60">
        <v>6291.0</v>
      </c>
      <c r="BX31" s="60">
        <v>6345.0</v>
      </c>
      <c r="BY31" s="60">
        <v>6399.0</v>
      </c>
      <c r="BZ31" s="60">
        <v>6453.0</v>
      </c>
      <c r="CA31" s="60">
        <v>6507.0</v>
      </c>
      <c r="CB31" s="60">
        <v>6561.0</v>
      </c>
      <c r="CC31" s="60">
        <v>6615.0</v>
      </c>
      <c r="CD31" s="60">
        <v>6669.0</v>
      </c>
      <c r="CE31" s="60">
        <v>6723.0</v>
      </c>
      <c r="CF31" s="17">
        <v>83.0</v>
      </c>
    </row>
    <row r="32">
      <c r="A32" s="17">
        <v>30.0</v>
      </c>
      <c r="B32" s="60">
        <v>2430.0</v>
      </c>
      <c r="C32" s="60">
        <v>2482.0</v>
      </c>
      <c r="D32" s="60">
        <v>2534.0</v>
      </c>
      <c r="E32" s="60">
        <v>2586.0</v>
      </c>
      <c r="F32" s="60">
        <v>2638.0</v>
      </c>
      <c r="G32" s="60">
        <v>2690.0</v>
      </c>
      <c r="H32" s="60">
        <v>2742.0</v>
      </c>
      <c r="I32" s="60">
        <v>2794.0</v>
      </c>
      <c r="J32" s="60">
        <v>2846.0</v>
      </c>
      <c r="K32" s="60">
        <v>2898.0</v>
      </c>
      <c r="L32" s="60">
        <v>2950.0</v>
      </c>
      <c r="M32" s="60">
        <v>3002.0</v>
      </c>
      <c r="N32" s="60">
        <v>3054.0</v>
      </c>
      <c r="O32" s="60">
        <v>3106.0</v>
      </c>
      <c r="P32" s="60">
        <v>3158.0</v>
      </c>
      <c r="Q32" s="60">
        <v>3210.0</v>
      </c>
      <c r="R32" s="60">
        <v>3262.0</v>
      </c>
      <c r="S32" s="60">
        <v>3314.0</v>
      </c>
      <c r="T32" s="60">
        <v>3366.0</v>
      </c>
      <c r="U32" s="60">
        <v>3418.0</v>
      </c>
      <c r="V32" s="60">
        <v>3470.0</v>
      </c>
      <c r="W32" s="60">
        <v>3522.0</v>
      </c>
      <c r="X32" s="60">
        <v>3574.0</v>
      </c>
      <c r="Y32" s="60">
        <v>3626.0</v>
      </c>
      <c r="Z32" s="60">
        <v>3678.0</v>
      </c>
      <c r="AA32" s="60">
        <v>3730.0</v>
      </c>
      <c r="AB32" s="60">
        <v>3782.0</v>
      </c>
      <c r="AC32" s="60">
        <v>3834.0</v>
      </c>
      <c r="AD32" s="60">
        <v>3886.0</v>
      </c>
      <c r="AE32" s="60">
        <v>3938.0</v>
      </c>
      <c r="AF32" s="60">
        <v>3990.0</v>
      </c>
      <c r="AG32" s="60">
        <v>4042.0</v>
      </c>
      <c r="AH32" s="60">
        <v>4094.0</v>
      </c>
      <c r="AI32" s="60">
        <v>4146.0</v>
      </c>
      <c r="AJ32" s="60">
        <v>4198.0</v>
      </c>
      <c r="AK32" s="60">
        <v>4250.0</v>
      </c>
      <c r="AL32" s="60">
        <v>4302.0</v>
      </c>
      <c r="AM32" s="60">
        <v>4354.0</v>
      </c>
      <c r="AN32" s="60">
        <v>4406.0</v>
      </c>
      <c r="AO32" s="60">
        <v>4458.0</v>
      </c>
      <c r="AP32" s="60">
        <v>4510.0</v>
      </c>
      <c r="AQ32" s="60">
        <v>4562.0</v>
      </c>
      <c r="AR32" s="60">
        <v>4614.0</v>
      </c>
      <c r="AS32" s="60">
        <v>4666.0</v>
      </c>
      <c r="AT32" s="60">
        <v>4718.0</v>
      </c>
      <c r="AU32" s="60">
        <v>4770.0</v>
      </c>
      <c r="AV32" s="60">
        <v>4822.0</v>
      </c>
      <c r="AW32" s="60">
        <v>4874.0</v>
      </c>
      <c r="AX32" s="60">
        <v>4926.0</v>
      </c>
      <c r="AY32" s="60">
        <v>4978.0</v>
      </c>
      <c r="AZ32" s="60">
        <v>5030.0</v>
      </c>
      <c r="BA32" s="60">
        <v>5082.0</v>
      </c>
      <c r="BB32" s="60">
        <v>5134.0</v>
      </c>
      <c r="BC32" s="60">
        <v>5186.0</v>
      </c>
      <c r="BD32" s="60">
        <v>5238.0</v>
      </c>
      <c r="BE32" s="60">
        <v>5290.0</v>
      </c>
      <c r="BF32" s="60">
        <v>5342.0</v>
      </c>
      <c r="BG32" s="60">
        <v>5394.0</v>
      </c>
      <c r="BH32" s="60">
        <v>5446.0</v>
      </c>
      <c r="BI32" s="60">
        <v>5498.0</v>
      </c>
      <c r="BJ32" s="60">
        <v>5550.0</v>
      </c>
      <c r="BK32" s="60">
        <v>5602.0</v>
      </c>
      <c r="BL32" s="60">
        <v>5654.0</v>
      </c>
      <c r="BM32" s="60">
        <v>5706.0</v>
      </c>
      <c r="BN32" s="60">
        <v>5758.0</v>
      </c>
      <c r="BO32" s="60">
        <v>5810.0</v>
      </c>
      <c r="BP32" s="60">
        <v>5862.0</v>
      </c>
      <c r="BQ32" s="60">
        <v>5914.0</v>
      </c>
      <c r="BR32" s="60">
        <v>5966.0</v>
      </c>
      <c r="BS32" s="60">
        <v>6018.0</v>
      </c>
      <c r="BT32" s="60">
        <v>6070.0</v>
      </c>
      <c r="BU32" s="60">
        <v>6122.0</v>
      </c>
      <c r="BV32" s="60">
        <v>6174.0</v>
      </c>
      <c r="BW32" s="60">
        <v>6226.0</v>
      </c>
      <c r="BX32" s="60">
        <v>6278.0</v>
      </c>
      <c r="BY32" s="60">
        <v>6330.0</v>
      </c>
      <c r="BZ32" s="60">
        <v>6382.0</v>
      </c>
      <c r="CA32" s="60">
        <v>6434.0</v>
      </c>
      <c r="CB32" s="60">
        <v>6486.0</v>
      </c>
      <c r="CC32" s="60">
        <v>6538.0</v>
      </c>
      <c r="CD32" s="60">
        <v>6590.0</v>
      </c>
      <c r="CE32" s="60">
        <v>6642.0</v>
      </c>
      <c r="CF32" s="17">
        <v>82.0</v>
      </c>
    </row>
    <row r="33">
      <c r="A33" s="17">
        <v>31.0</v>
      </c>
      <c r="B33" s="60">
        <v>2511.0</v>
      </c>
      <c r="C33" s="60">
        <v>2561.0</v>
      </c>
      <c r="D33" s="60">
        <v>2611.0</v>
      </c>
      <c r="E33" s="60">
        <v>2661.0</v>
      </c>
      <c r="F33" s="60">
        <v>2711.0</v>
      </c>
      <c r="G33" s="60">
        <v>2761.0</v>
      </c>
      <c r="H33" s="60">
        <v>2811.0</v>
      </c>
      <c r="I33" s="60">
        <v>2861.0</v>
      </c>
      <c r="J33" s="60">
        <v>2911.0</v>
      </c>
      <c r="K33" s="60">
        <v>2961.0</v>
      </c>
      <c r="L33" s="60">
        <v>3011.0</v>
      </c>
      <c r="M33" s="60">
        <v>3061.0</v>
      </c>
      <c r="N33" s="60">
        <v>3111.0</v>
      </c>
      <c r="O33" s="60">
        <v>3161.0</v>
      </c>
      <c r="P33" s="60">
        <v>3211.0</v>
      </c>
      <c r="Q33" s="60">
        <v>3261.0</v>
      </c>
      <c r="R33" s="60">
        <v>3311.0</v>
      </c>
      <c r="S33" s="60">
        <v>3361.0</v>
      </c>
      <c r="T33" s="60">
        <v>3411.0</v>
      </c>
      <c r="U33" s="60">
        <v>3461.0</v>
      </c>
      <c r="V33" s="60">
        <v>3511.0</v>
      </c>
      <c r="W33" s="60">
        <v>3561.0</v>
      </c>
      <c r="X33" s="60">
        <v>3611.0</v>
      </c>
      <c r="Y33" s="60">
        <v>3661.0</v>
      </c>
      <c r="Z33" s="60">
        <v>3711.0</v>
      </c>
      <c r="AA33" s="60">
        <v>3761.0</v>
      </c>
      <c r="AB33" s="60">
        <v>3811.0</v>
      </c>
      <c r="AC33" s="60">
        <v>3861.0</v>
      </c>
      <c r="AD33" s="60">
        <v>3911.0</v>
      </c>
      <c r="AE33" s="60">
        <v>3961.0</v>
      </c>
      <c r="AF33" s="60">
        <v>4011.0</v>
      </c>
      <c r="AG33" s="60">
        <v>4061.0</v>
      </c>
      <c r="AH33" s="60">
        <v>4111.0</v>
      </c>
      <c r="AI33" s="60">
        <v>4161.0</v>
      </c>
      <c r="AJ33" s="60">
        <v>4211.0</v>
      </c>
      <c r="AK33" s="60">
        <v>4261.0</v>
      </c>
      <c r="AL33" s="60">
        <v>4311.0</v>
      </c>
      <c r="AM33" s="60">
        <v>4361.0</v>
      </c>
      <c r="AN33" s="60">
        <v>4411.0</v>
      </c>
      <c r="AO33" s="60">
        <v>4461.0</v>
      </c>
      <c r="AP33" s="60">
        <v>4511.0</v>
      </c>
      <c r="AQ33" s="60">
        <v>4561.0</v>
      </c>
      <c r="AR33" s="60">
        <v>4611.0</v>
      </c>
      <c r="AS33" s="60">
        <v>4661.0</v>
      </c>
      <c r="AT33" s="60">
        <v>4711.0</v>
      </c>
      <c r="AU33" s="60">
        <v>4761.0</v>
      </c>
      <c r="AV33" s="60">
        <v>4811.0</v>
      </c>
      <c r="AW33" s="60">
        <v>4861.0</v>
      </c>
      <c r="AX33" s="60">
        <v>4911.0</v>
      </c>
      <c r="AY33" s="60">
        <v>4961.0</v>
      </c>
      <c r="AZ33" s="60">
        <v>5011.0</v>
      </c>
      <c r="BA33" s="60">
        <v>5061.0</v>
      </c>
      <c r="BB33" s="60">
        <v>5111.0</v>
      </c>
      <c r="BC33" s="60">
        <v>5161.0</v>
      </c>
      <c r="BD33" s="60">
        <v>5211.0</v>
      </c>
      <c r="BE33" s="60">
        <v>5261.0</v>
      </c>
      <c r="BF33" s="60">
        <v>5311.0</v>
      </c>
      <c r="BG33" s="60">
        <v>5361.0</v>
      </c>
      <c r="BH33" s="60">
        <v>5411.0</v>
      </c>
      <c r="BI33" s="60">
        <v>5461.0</v>
      </c>
      <c r="BJ33" s="60">
        <v>5511.0</v>
      </c>
      <c r="BK33" s="60">
        <v>5561.0</v>
      </c>
      <c r="BL33" s="60">
        <v>5611.0</v>
      </c>
      <c r="BM33" s="60">
        <v>5661.0</v>
      </c>
      <c r="BN33" s="60">
        <v>5711.0</v>
      </c>
      <c r="BO33" s="60">
        <v>5761.0</v>
      </c>
      <c r="BP33" s="60">
        <v>5811.0</v>
      </c>
      <c r="BQ33" s="60">
        <v>5861.0</v>
      </c>
      <c r="BR33" s="60">
        <v>5911.0</v>
      </c>
      <c r="BS33" s="60">
        <v>5961.0</v>
      </c>
      <c r="BT33" s="60">
        <v>6011.0</v>
      </c>
      <c r="BU33" s="60">
        <v>6061.0</v>
      </c>
      <c r="BV33" s="60">
        <v>6111.0</v>
      </c>
      <c r="BW33" s="60">
        <v>6161.0</v>
      </c>
      <c r="BX33" s="60">
        <v>6211.0</v>
      </c>
      <c r="BY33" s="60">
        <v>6261.0</v>
      </c>
      <c r="BZ33" s="60">
        <v>6311.0</v>
      </c>
      <c r="CA33" s="60">
        <v>6361.0</v>
      </c>
      <c r="CB33" s="60">
        <v>6411.0</v>
      </c>
      <c r="CC33" s="60">
        <v>6461.0</v>
      </c>
      <c r="CD33" s="60">
        <v>6511.0</v>
      </c>
      <c r="CE33" s="60">
        <v>6561.0</v>
      </c>
      <c r="CF33" s="17">
        <v>81.0</v>
      </c>
    </row>
    <row r="34">
      <c r="A34" s="17">
        <v>32.0</v>
      </c>
      <c r="B34" s="60">
        <v>2592.0</v>
      </c>
      <c r="C34" s="60">
        <v>2640.0</v>
      </c>
      <c r="D34" s="60">
        <v>2688.0</v>
      </c>
      <c r="E34" s="60">
        <v>2736.0</v>
      </c>
      <c r="F34" s="60">
        <v>2784.0</v>
      </c>
      <c r="G34" s="60">
        <v>2832.0</v>
      </c>
      <c r="H34" s="60">
        <v>2880.0</v>
      </c>
      <c r="I34" s="60">
        <v>2928.0</v>
      </c>
      <c r="J34" s="60">
        <v>2976.0</v>
      </c>
      <c r="K34" s="60">
        <v>3024.0</v>
      </c>
      <c r="L34" s="60">
        <v>3072.0</v>
      </c>
      <c r="M34" s="60">
        <v>3120.0</v>
      </c>
      <c r="N34" s="60">
        <v>3168.0</v>
      </c>
      <c r="O34" s="60">
        <v>3216.0</v>
      </c>
      <c r="P34" s="60">
        <v>3264.0</v>
      </c>
      <c r="Q34" s="60">
        <v>3312.0</v>
      </c>
      <c r="R34" s="60">
        <v>3360.0</v>
      </c>
      <c r="S34" s="60">
        <v>3408.0</v>
      </c>
      <c r="T34" s="60">
        <v>3456.0</v>
      </c>
      <c r="U34" s="60">
        <v>3504.0</v>
      </c>
      <c r="V34" s="60">
        <v>3552.0</v>
      </c>
      <c r="W34" s="60">
        <v>3600.0</v>
      </c>
      <c r="X34" s="60">
        <v>3648.0</v>
      </c>
      <c r="Y34" s="60">
        <v>3696.0</v>
      </c>
      <c r="Z34" s="60">
        <v>3744.0</v>
      </c>
      <c r="AA34" s="60">
        <v>3792.0</v>
      </c>
      <c r="AB34" s="60">
        <v>3840.0</v>
      </c>
      <c r="AC34" s="60">
        <v>3888.0</v>
      </c>
      <c r="AD34" s="60">
        <v>3936.0</v>
      </c>
      <c r="AE34" s="60">
        <v>3984.0</v>
      </c>
      <c r="AF34" s="60">
        <v>4032.0</v>
      </c>
      <c r="AG34" s="60">
        <v>4080.0</v>
      </c>
      <c r="AH34" s="60">
        <v>4128.0</v>
      </c>
      <c r="AI34" s="60">
        <v>4176.0</v>
      </c>
      <c r="AJ34" s="60">
        <v>4224.0</v>
      </c>
      <c r="AK34" s="60">
        <v>4272.0</v>
      </c>
      <c r="AL34" s="60">
        <v>4320.0</v>
      </c>
      <c r="AM34" s="60">
        <v>4368.0</v>
      </c>
      <c r="AN34" s="60">
        <v>4416.0</v>
      </c>
      <c r="AO34" s="60">
        <v>4464.0</v>
      </c>
      <c r="AP34" s="60">
        <v>4512.0</v>
      </c>
      <c r="AQ34" s="60">
        <v>4560.0</v>
      </c>
      <c r="AR34" s="60">
        <v>4608.0</v>
      </c>
      <c r="AS34" s="60">
        <v>4656.0</v>
      </c>
      <c r="AT34" s="60">
        <v>4704.0</v>
      </c>
      <c r="AU34" s="60">
        <v>4752.0</v>
      </c>
      <c r="AV34" s="60">
        <v>4800.0</v>
      </c>
      <c r="AW34" s="60">
        <v>4848.0</v>
      </c>
      <c r="AX34" s="60">
        <v>4896.0</v>
      </c>
      <c r="AY34" s="60">
        <v>4944.0</v>
      </c>
      <c r="AZ34" s="60">
        <v>4992.0</v>
      </c>
      <c r="BA34" s="60">
        <v>5040.0</v>
      </c>
      <c r="BB34" s="60">
        <v>5088.0</v>
      </c>
      <c r="BC34" s="60">
        <v>5136.0</v>
      </c>
      <c r="BD34" s="60">
        <v>5184.0</v>
      </c>
      <c r="BE34" s="60">
        <v>5232.0</v>
      </c>
      <c r="BF34" s="60">
        <v>5280.0</v>
      </c>
      <c r="BG34" s="60">
        <v>5328.0</v>
      </c>
      <c r="BH34" s="60">
        <v>5376.0</v>
      </c>
      <c r="BI34" s="60">
        <v>5424.0</v>
      </c>
      <c r="BJ34" s="60">
        <v>5472.0</v>
      </c>
      <c r="BK34" s="60">
        <v>5520.0</v>
      </c>
      <c r="BL34" s="60">
        <v>5568.0</v>
      </c>
      <c r="BM34" s="60">
        <v>5616.0</v>
      </c>
      <c r="BN34" s="60">
        <v>5664.0</v>
      </c>
      <c r="BO34" s="60">
        <v>5712.0</v>
      </c>
      <c r="BP34" s="60">
        <v>5760.0</v>
      </c>
      <c r="BQ34" s="60">
        <v>5808.0</v>
      </c>
      <c r="BR34" s="60">
        <v>5856.0</v>
      </c>
      <c r="BS34" s="60">
        <v>5904.0</v>
      </c>
      <c r="BT34" s="60">
        <v>5952.0</v>
      </c>
      <c r="BU34" s="60">
        <v>6000.0</v>
      </c>
      <c r="BV34" s="60">
        <v>6048.0</v>
      </c>
      <c r="BW34" s="60">
        <v>6096.0</v>
      </c>
      <c r="BX34" s="60">
        <v>6144.0</v>
      </c>
      <c r="BY34" s="60">
        <v>6192.0</v>
      </c>
      <c r="BZ34" s="60">
        <v>6240.0</v>
      </c>
      <c r="CA34" s="60">
        <v>6288.0</v>
      </c>
      <c r="CB34" s="60">
        <v>6336.0</v>
      </c>
      <c r="CC34" s="60">
        <v>6384.0</v>
      </c>
      <c r="CD34" s="60">
        <v>6432.0</v>
      </c>
      <c r="CE34" s="60">
        <v>6480.0</v>
      </c>
      <c r="CF34" s="17">
        <v>80.0</v>
      </c>
    </row>
    <row r="35">
      <c r="A35" s="17">
        <v>33.0</v>
      </c>
      <c r="B35" s="60">
        <v>2673.0</v>
      </c>
      <c r="C35" s="60">
        <v>2719.0</v>
      </c>
      <c r="D35" s="60">
        <v>2765.0</v>
      </c>
      <c r="E35" s="60">
        <v>2811.0</v>
      </c>
      <c r="F35" s="60">
        <v>2857.0</v>
      </c>
      <c r="G35" s="60">
        <v>2903.0</v>
      </c>
      <c r="H35" s="60">
        <v>2949.0</v>
      </c>
      <c r="I35" s="60">
        <v>2995.0</v>
      </c>
      <c r="J35" s="60">
        <v>3041.0</v>
      </c>
      <c r="K35" s="60">
        <v>3087.0</v>
      </c>
      <c r="L35" s="60">
        <v>3133.0</v>
      </c>
      <c r="M35" s="60">
        <v>3179.0</v>
      </c>
      <c r="N35" s="60">
        <v>3225.0</v>
      </c>
      <c r="O35" s="60">
        <v>3271.0</v>
      </c>
      <c r="P35" s="60">
        <v>3317.0</v>
      </c>
      <c r="Q35" s="60">
        <v>3363.0</v>
      </c>
      <c r="R35" s="60">
        <v>3409.0</v>
      </c>
      <c r="S35" s="60">
        <v>3455.0</v>
      </c>
      <c r="T35" s="60">
        <v>3501.0</v>
      </c>
      <c r="U35" s="60">
        <v>3547.0</v>
      </c>
      <c r="V35" s="60">
        <v>3593.0</v>
      </c>
      <c r="W35" s="60">
        <v>3639.0</v>
      </c>
      <c r="X35" s="60">
        <v>3685.0</v>
      </c>
      <c r="Y35" s="60">
        <v>3731.0</v>
      </c>
      <c r="Z35" s="60">
        <v>3777.0</v>
      </c>
      <c r="AA35" s="60">
        <v>3823.0</v>
      </c>
      <c r="AB35" s="60">
        <v>3869.0</v>
      </c>
      <c r="AC35" s="60">
        <v>3915.0</v>
      </c>
      <c r="AD35" s="60">
        <v>3961.0</v>
      </c>
      <c r="AE35" s="60">
        <v>4007.0</v>
      </c>
      <c r="AF35" s="60">
        <v>4053.0</v>
      </c>
      <c r="AG35" s="60">
        <v>4099.0</v>
      </c>
      <c r="AH35" s="60">
        <v>4145.0</v>
      </c>
      <c r="AI35" s="60">
        <v>4191.0</v>
      </c>
      <c r="AJ35" s="60">
        <v>4237.0</v>
      </c>
      <c r="AK35" s="60">
        <v>4283.0</v>
      </c>
      <c r="AL35" s="60">
        <v>4329.0</v>
      </c>
      <c r="AM35" s="60">
        <v>4375.0</v>
      </c>
      <c r="AN35" s="60">
        <v>4421.0</v>
      </c>
      <c r="AO35" s="60">
        <v>4467.0</v>
      </c>
      <c r="AP35" s="60">
        <v>4513.0</v>
      </c>
      <c r="AQ35" s="60">
        <v>4559.0</v>
      </c>
      <c r="AR35" s="60">
        <v>4605.0</v>
      </c>
      <c r="AS35" s="60">
        <v>4651.0</v>
      </c>
      <c r="AT35" s="60">
        <v>4697.0</v>
      </c>
      <c r="AU35" s="60">
        <v>4743.0</v>
      </c>
      <c r="AV35" s="60">
        <v>4789.0</v>
      </c>
      <c r="AW35" s="60">
        <v>4835.0</v>
      </c>
      <c r="AX35" s="60">
        <v>4881.0</v>
      </c>
      <c r="AY35" s="60">
        <v>4927.0</v>
      </c>
      <c r="AZ35" s="60">
        <v>4973.0</v>
      </c>
      <c r="BA35" s="60">
        <v>5019.0</v>
      </c>
      <c r="BB35" s="60">
        <v>5065.0</v>
      </c>
      <c r="BC35" s="60">
        <v>5111.0</v>
      </c>
      <c r="BD35" s="60">
        <v>5157.0</v>
      </c>
      <c r="BE35" s="60">
        <v>5203.0</v>
      </c>
      <c r="BF35" s="60">
        <v>5249.0</v>
      </c>
      <c r="BG35" s="60">
        <v>5295.0</v>
      </c>
      <c r="BH35" s="60">
        <v>5341.0</v>
      </c>
      <c r="BI35" s="60">
        <v>5387.0</v>
      </c>
      <c r="BJ35" s="60">
        <v>5433.0</v>
      </c>
      <c r="BK35" s="60">
        <v>5479.0</v>
      </c>
      <c r="BL35" s="60">
        <v>5525.0</v>
      </c>
      <c r="BM35" s="60">
        <v>5571.0</v>
      </c>
      <c r="BN35" s="60">
        <v>5617.0</v>
      </c>
      <c r="BO35" s="60">
        <v>5663.0</v>
      </c>
      <c r="BP35" s="60">
        <v>5709.0</v>
      </c>
      <c r="BQ35" s="60">
        <v>5755.0</v>
      </c>
      <c r="BR35" s="60">
        <v>5801.0</v>
      </c>
      <c r="BS35" s="60">
        <v>5847.0</v>
      </c>
      <c r="BT35" s="60">
        <v>5893.0</v>
      </c>
      <c r="BU35" s="60">
        <v>5939.0</v>
      </c>
      <c r="BV35" s="60">
        <v>5985.0</v>
      </c>
      <c r="BW35" s="60">
        <v>6031.0</v>
      </c>
      <c r="BX35" s="60">
        <v>6077.0</v>
      </c>
      <c r="BY35" s="60">
        <v>6123.0</v>
      </c>
      <c r="BZ35" s="60">
        <v>6169.0</v>
      </c>
      <c r="CA35" s="60">
        <v>6215.0</v>
      </c>
      <c r="CB35" s="60">
        <v>6261.0</v>
      </c>
      <c r="CC35" s="60">
        <v>6307.0</v>
      </c>
      <c r="CD35" s="60">
        <v>6353.0</v>
      </c>
      <c r="CE35" s="60">
        <v>6399.0</v>
      </c>
      <c r="CF35" s="17">
        <v>79.0</v>
      </c>
    </row>
    <row r="36">
      <c r="A36" s="17">
        <v>34.0</v>
      </c>
      <c r="B36" s="60">
        <v>2754.0</v>
      </c>
      <c r="C36" s="60">
        <v>2798.0</v>
      </c>
      <c r="D36" s="60">
        <v>2842.0</v>
      </c>
      <c r="E36" s="60">
        <v>2886.0</v>
      </c>
      <c r="F36" s="60">
        <v>2930.0</v>
      </c>
      <c r="G36" s="60">
        <v>2974.0</v>
      </c>
      <c r="H36" s="60">
        <v>3018.0</v>
      </c>
      <c r="I36" s="60">
        <v>3062.0</v>
      </c>
      <c r="J36" s="60">
        <v>3106.0</v>
      </c>
      <c r="K36" s="60">
        <v>3150.0</v>
      </c>
      <c r="L36" s="60">
        <v>3194.0</v>
      </c>
      <c r="M36" s="60">
        <v>3238.0</v>
      </c>
      <c r="N36" s="60">
        <v>3282.0</v>
      </c>
      <c r="O36" s="60">
        <v>3326.0</v>
      </c>
      <c r="P36" s="60">
        <v>3370.0</v>
      </c>
      <c r="Q36" s="60">
        <v>3414.0</v>
      </c>
      <c r="R36" s="60">
        <v>3458.0</v>
      </c>
      <c r="S36" s="60">
        <v>3502.0</v>
      </c>
      <c r="T36" s="60">
        <v>3546.0</v>
      </c>
      <c r="U36" s="60">
        <v>3590.0</v>
      </c>
      <c r="V36" s="60">
        <v>3634.0</v>
      </c>
      <c r="W36" s="60">
        <v>3678.0</v>
      </c>
      <c r="X36" s="60">
        <v>3722.0</v>
      </c>
      <c r="Y36" s="60">
        <v>3766.0</v>
      </c>
      <c r="Z36" s="60">
        <v>3810.0</v>
      </c>
      <c r="AA36" s="60">
        <v>3854.0</v>
      </c>
      <c r="AB36" s="60">
        <v>3898.0</v>
      </c>
      <c r="AC36" s="60">
        <v>3942.0</v>
      </c>
      <c r="AD36" s="60">
        <v>3986.0</v>
      </c>
      <c r="AE36" s="60">
        <v>4030.0</v>
      </c>
      <c r="AF36" s="60">
        <v>4074.0</v>
      </c>
      <c r="AG36" s="60">
        <v>4118.0</v>
      </c>
      <c r="AH36" s="60">
        <v>4162.0</v>
      </c>
      <c r="AI36" s="60">
        <v>4206.0</v>
      </c>
      <c r="AJ36" s="60">
        <v>4250.0</v>
      </c>
      <c r="AK36" s="60">
        <v>4294.0</v>
      </c>
      <c r="AL36" s="60">
        <v>4338.0</v>
      </c>
      <c r="AM36" s="60">
        <v>4382.0</v>
      </c>
      <c r="AN36" s="60">
        <v>4426.0</v>
      </c>
      <c r="AO36" s="60">
        <v>4470.0</v>
      </c>
      <c r="AP36" s="60">
        <v>4514.0</v>
      </c>
      <c r="AQ36" s="60">
        <v>4558.0</v>
      </c>
      <c r="AR36" s="60">
        <v>4602.0</v>
      </c>
      <c r="AS36" s="60">
        <v>4646.0</v>
      </c>
      <c r="AT36" s="60">
        <v>4690.0</v>
      </c>
      <c r="AU36" s="60">
        <v>4734.0</v>
      </c>
      <c r="AV36" s="60">
        <v>4778.0</v>
      </c>
      <c r="AW36" s="60">
        <v>4822.0</v>
      </c>
      <c r="AX36" s="60">
        <v>4866.0</v>
      </c>
      <c r="AY36" s="60">
        <v>4910.0</v>
      </c>
      <c r="AZ36" s="60">
        <v>4954.0</v>
      </c>
      <c r="BA36" s="60">
        <v>4998.0</v>
      </c>
      <c r="BB36" s="60">
        <v>5042.0</v>
      </c>
      <c r="BC36" s="60">
        <v>5086.0</v>
      </c>
      <c r="BD36" s="60">
        <v>5130.0</v>
      </c>
      <c r="BE36" s="60">
        <v>5174.0</v>
      </c>
      <c r="BF36" s="60">
        <v>5218.0</v>
      </c>
      <c r="BG36" s="60">
        <v>5262.0</v>
      </c>
      <c r="BH36" s="60">
        <v>5306.0</v>
      </c>
      <c r="BI36" s="60">
        <v>5350.0</v>
      </c>
      <c r="BJ36" s="60">
        <v>5394.0</v>
      </c>
      <c r="BK36" s="60">
        <v>5438.0</v>
      </c>
      <c r="BL36" s="60">
        <v>5482.0</v>
      </c>
      <c r="BM36" s="60">
        <v>5526.0</v>
      </c>
      <c r="BN36" s="60">
        <v>5570.0</v>
      </c>
      <c r="BO36" s="60">
        <v>5614.0</v>
      </c>
      <c r="BP36" s="60">
        <v>5658.0</v>
      </c>
      <c r="BQ36" s="60">
        <v>5702.0</v>
      </c>
      <c r="BR36" s="60">
        <v>5746.0</v>
      </c>
      <c r="BS36" s="60">
        <v>5790.0</v>
      </c>
      <c r="BT36" s="60">
        <v>5834.0</v>
      </c>
      <c r="BU36" s="60">
        <v>5878.0</v>
      </c>
      <c r="BV36" s="60">
        <v>5922.0</v>
      </c>
      <c r="BW36" s="60">
        <v>5966.0</v>
      </c>
      <c r="BX36" s="60">
        <v>6010.0</v>
      </c>
      <c r="BY36" s="60">
        <v>6054.0</v>
      </c>
      <c r="BZ36" s="60">
        <v>6098.0</v>
      </c>
      <c r="CA36" s="60">
        <v>6142.0</v>
      </c>
      <c r="CB36" s="60">
        <v>6186.0</v>
      </c>
      <c r="CC36" s="60">
        <v>6230.0</v>
      </c>
      <c r="CD36" s="60">
        <v>6274.0</v>
      </c>
      <c r="CE36" s="60">
        <v>6318.0</v>
      </c>
      <c r="CF36" s="17">
        <v>78.0</v>
      </c>
    </row>
    <row r="37">
      <c r="A37" s="17">
        <v>35.0</v>
      </c>
      <c r="B37" s="60">
        <v>2835.0</v>
      </c>
      <c r="C37" s="60">
        <v>2877.0</v>
      </c>
      <c r="D37" s="60">
        <v>2919.0</v>
      </c>
      <c r="E37" s="60">
        <v>2961.0</v>
      </c>
      <c r="F37" s="60">
        <v>3003.0</v>
      </c>
      <c r="G37" s="60">
        <v>3045.0</v>
      </c>
      <c r="H37" s="60">
        <v>3087.0</v>
      </c>
      <c r="I37" s="60">
        <v>3129.0</v>
      </c>
      <c r="J37" s="60">
        <v>3171.0</v>
      </c>
      <c r="K37" s="60">
        <v>3213.0</v>
      </c>
      <c r="L37" s="60">
        <v>3255.0</v>
      </c>
      <c r="M37" s="60">
        <v>3297.0</v>
      </c>
      <c r="N37" s="60">
        <v>3339.0</v>
      </c>
      <c r="O37" s="60">
        <v>3381.0</v>
      </c>
      <c r="P37" s="60">
        <v>3423.0</v>
      </c>
      <c r="Q37" s="60">
        <v>3465.0</v>
      </c>
      <c r="R37" s="60">
        <v>3507.0</v>
      </c>
      <c r="S37" s="60">
        <v>3549.0</v>
      </c>
      <c r="T37" s="60">
        <v>3591.0</v>
      </c>
      <c r="U37" s="60">
        <v>3633.0</v>
      </c>
      <c r="V37" s="60">
        <v>3675.0</v>
      </c>
      <c r="W37" s="60">
        <v>3717.0</v>
      </c>
      <c r="X37" s="60">
        <v>3759.0</v>
      </c>
      <c r="Y37" s="60">
        <v>3801.0</v>
      </c>
      <c r="Z37" s="60">
        <v>3843.0</v>
      </c>
      <c r="AA37" s="60">
        <v>3885.0</v>
      </c>
      <c r="AB37" s="60">
        <v>3927.0</v>
      </c>
      <c r="AC37" s="60">
        <v>3969.0</v>
      </c>
      <c r="AD37" s="60">
        <v>4011.0</v>
      </c>
      <c r="AE37" s="60">
        <v>4053.0</v>
      </c>
      <c r="AF37" s="60">
        <v>4095.0</v>
      </c>
      <c r="AG37" s="60">
        <v>4137.0</v>
      </c>
      <c r="AH37" s="60">
        <v>4179.0</v>
      </c>
      <c r="AI37" s="60">
        <v>4221.0</v>
      </c>
      <c r="AJ37" s="60">
        <v>4263.0</v>
      </c>
      <c r="AK37" s="60">
        <v>4305.0</v>
      </c>
      <c r="AL37" s="60">
        <v>4347.0</v>
      </c>
      <c r="AM37" s="60">
        <v>4389.0</v>
      </c>
      <c r="AN37" s="60">
        <v>4431.0</v>
      </c>
      <c r="AO37" s="60">
        <v>4473.0</v>
      </c>
      <c r="AP37" s="60">
        <v>4515.0</v>
      </c>
      <c r="AQ37" s="60">
        <v>4557.0</v>
      </c>
      <c r="AR37" s="60">
        <v>4599.0</v>
      </c>
      <c r="AS37" s="60">
        <v>4641.0</v>
      </c>
      <c r="AT37" s="60">
        <v>4683.0</v>
      </c>
      <c r="AU37" s="60">
        <v>4725.0</v>
      </c>
      <c r="AV37" s="60">
        <v>4767.0</v>
      </c>
      <c r="AW37" s="60">
        <v>4809.0</v>
      </c>
      <c r="AX37" s="60">
        <v>4851.0</v>
      </c>
      <c r="AY37" s="60">
        <v>4893.0</v>
      </c>
      <c r="AZ37" s="60">
        <v>4935.0</v>
      </c>
      <c r="BA37" s="60">
        <v>4977.0</v>
      </c>
      <c r="BB37" s="60">
        <v>5019.0</v>
      </c>
      <c r="BC37" s="60">
        <v>5061.0</v>
      </c>
      <c r="BD37" s="60">
        <v>5103.0</v>
      </c>
      <c r="BE37" s="60">
        <v>5145.0</v>
      </c>
      <c r="BF37" s="60">
        <v>5187.0</v>
      </c>
      <c r="BG37" s="60">
        <v>5229.0</v>
      </c>
      <c r="BH37" s="60">
        <v>5271.0</v>
      </c>
      <c r="BI37" s="60">
        <v>5313.0</v>
      </c>
      <c r="BJ37" s="60">
        <v>5355.0</v>
      </c>
      <c r="BK37" s="60">
        <v>5397.0</v>
      </c>
      <c r="BL37" s="60">
        <v>5439.0</v>
      </c>
      <c r="BM37" s="60">
        <v>5481.0</v>
      </c>
      <c r="BN37" s="60">
        <v>5523.0</v>
      </c>
      <c r="BO37" s="60">
        <v>5565.0</v>
      </c>
      <c r="BP37" s="60">
        <v>5607.0</v>
      </c>
      <c r="BQ37" s="60">
        <v>5649.0</v>
      </c>
      <c r="BR37" s="60">
        <v>5691.0</v>
      </c>
      <c r="BS37" s="60">
        <v>5733.0</v>
      </c>
      <c r="BT37" s="60">
        <v>5775.0</v>
      </c>
      <c r="BU37" s="60">
        <v>5817.0</v>
      </c>
      <c r="BV37" s="60">
        <v>5859.0</v>
      </c>
      <c r="BW37" s="60">
        <v>5901.0</v>
      </c>
      <c r="BX37" s="60">
        <v>5943.0</v>
      </c>
      <c r="BY37" s="60">
        <v>5985.0</v>
      </c>
      <c r="BZ37" s="60">
        <v>6027.0</v>
      </c>
      <c r="CA37" s="60">
        <v>6069.0</v>
      </c>
      <c r="CB37" s="60">
        <v>6111.0</v>
      </c>
      <c r="CC37" s="60">
        <v>6153.0</v>
      </c>
      <c r="CD37" s="60">
        <v>6195.0</v>
      </c>
      <c r="CE37" s="60">
        <v>6237.0</v>
      </c>
      <c r="CF37" s="17">
        <v>77.0</v>
      </c>
    </row>
    <row r="38">
      <c r="A38" s="17">
        <v>36.0</v>
      </c>
      <c r="B38" s="60">
        <v>2916.0</v>
      </c>
      <c r="C38" s="60">
        <v>2956.0</v>
      </c>
      <c r="D38" s="60">
        <v>2996.0</v>
      </c>
      <c r="E38" s="60">
        <v>3036.0</v>
      </c>
      <c r="F38" s="60">
        <v>3076.0</v>
      </c>
      <c r="G38" s="60">
        <v>3116.0</v>
      </c>
      <c r="H38" s="60">
        <v>3156.0</v>
      </c>
      <c r="I38" s="60">
        <v>3196.0</v>
      </c>
      <c r="J38" s="60">
        <v>3236.0</v>
      </c>
      <c r="K38" s="60">
        <v>3276.0</v>
      </c>
      <c r="L38" s="60">
        <v>3316.0</v>
      </c>
      <c r="M38" s="60">
        <v>3356.0</v>
      </c>
      <c r="N38" s="60">
        <v>3396.0</v>
      </c>
      <c r="O38" s="60">
        <v>3436.0</v>
      </c>
      <c r="P38" s="60">
        <v>3476.0</v>
      </c>
      <c r="Q38" s="60">
        <v>3516.0</v>
      </c>
      <c r="R38" s="60">
        <v>3556.0</v>
      </c>
      <c r="S38" s="60">
        <v>3596.0</v>
      </c>
      <c r="T38" s="60">
        <v>3636.0</v>
      </c>
      <c r="U38" s="60">
        <v>3676.0</v>
      </c>
      <c r="V38" s="60">
        <v>3716.0</v>
      </c>
      <c r="W38" s="60">
        <v>3756.0</v>
      </c>
      <c r="X38" s="60">
        <v>3796.0</v>
      </c>
      <c r="Y38" s="60">
        <v>3836.0</v>
      </c>
      <c r="Z38" s="60">
        <v>3876.0</v>
      </c>
      <c r="AA38" s="60">
        <v>3916.0</v>
      </c>
      <c r="AB38" s="60">
        <v>3956.0</v>
      </c>
      <c r="AC38" s="60">
        <v>3996.0</v>
      </c>
      <c r="AD38" s="60">
        <v>4036.0</v>
      </c>
      <c r="AE38" s="60">
        <v>4076.0</v>
      </c>
      <c r="AF38" s="60">
        <v>4116.0</v>
      </c>
      <c r="AG38" s="60">
        <v>4156.0</v>
      </c>
      <c r="AH38" s="60">
        <v>4196.0</v>
      </c>
      <c r="AI38" s="60">
        <v>4236.0</v>
      </c>
      <c r="AJ38" s="60">
        <v>4276.0</v>
      </c>
      <c r="AK38" s="60">
        <v>4316.0</v>
      </c>
      <c r="AL38" s="60">
        <v>4356.0</v>
      </c>
      <c r="AM38" s="60">
        <v>4396.0</v>
      </c>
      <c r="AN38" s="60">
        <v>4436.0</v>
      </c>
      <c r="AO38" s="60">
        <v>4476.0</v>
      </c>
      <c r="AP38" s="60">
        <v>4516.0</v>
      </c>
      <c r="AQ38" s="60">
        <v>4556.0</v>
      </c>
      <c r="AR38" s="60">
        <v>4596.0</v>
      </c>
      <c r="AS38" s="60">
        <v>4636.0</v>
      </c>
      <c r="AT38" s="60">
        <v>4676.0</v>
      </c>
      <c r="AU38" s="60">
        <v>4716.0</v>
      </c>
      <c r="AV38" s="60">
        <v>4756.0</v>
      </c>
      <c r="AW38" s="60">
        <v>4796.0</v>
      </c>
      <c r="AX38" s="60">
        <v>4836.0</v>
      </c>
      <c r="AY38" s="60">
        <v>4876.0</v>
      </c>
      <c r="AZ38" s="60">
        <v>4916.0</v>
      </c>
      <c r="BA38" s="60">
        <v>4956.0</v>
      </c>
      <c r="BB38" s="60">
        <v>4996.0</v>
      </c>
      <c r="BC38" s="60">
        <v>5036.0</v>
      </c>
      <c r="BD38" s="60">
        <v>5076.0</v>
      </c>
      <c r="BE38" s="60">
        <v>5116.0</v>
      </c>
      <c r="BF38" s="60">
        <v>5156.0</v>
      </c>
      <c r="BG38" s="60">
        <v>5196.0</v>
      </c>
      <c r="BH38" s="60">
        <v>5236.0</v>
      </c>
      <c r="BI38" s="60">
        <v>5276.0</v>
      </c>
      <c r="BJ38" s="60">
        <v>5316.0</v>
      </c>
      <c r="BK38" s="60">
        <v>5356.0</v>
      </c>
      <c r="BL38" s="60">
        <v>5396.0</v>
      </c>
      <c r="BM38" s="60">
        <v>5436.0</v>
      </c>
      <c r="BN38" s="60">
        <v>5476.0</v>
      </c>
      <c r="BO38" s="60">
        <v>5516.0</v>
      </c>
      <c r="BP38" s="60">
        <v>5556.0</v>
      </c>
      <c r="BQ38" s="60">
        <v>5596.0</v>
      </c>
      <c r="BR38" s="60">
        <v>5636.0</v>
      </c>
      <c r="BS38" s="60">
        <v>5676.0</v>
      </c>
      <c r="BT38" s="60">
        <v>5716.0</v>
      </c>
      <c r="BU38" s="60">
        <v>5756.0</v>
      </c>
      <c r="BV38" s="60">
        <v>5796.0</v>
      </c>
      <c r="BW38" s="60">
        <v>5836.0</v>
      </c>
      <c r="BX38" s="60">
        <v>5876.0</v>
      </c>
      <c r="BY38" s="60">
        <v>5916.0</v>
      </c>
      <c r="BZ38" s="60">
        <v>5956.0</v>
      </c>
      <c r="CA38" s="60">
        <v>5996.0</v>
      </c>
      <c r="CB38" s="60">
        <v>6036.0</v>
      </c>
      <c r="CC38" s="60">
        <v>6076.0</v>
      </c>
      <c r="CD38" s="60">
        <v>6116.0</v>
      </c>
      <c r="CE38" s="60">
        <v>6156.0</v>
      </c>
      <c r="CF38" s="17">
        <v>76.0</v>
      </c>
    </row>
    <row r="39">
      <c r="A39" s="17">
        <v>37.0</v>
      </c>
      <c r="B39" s="60">
        <v>2997.0</v>
      </c>
      <c r="C39" s="60">
        <v>3035.0</v>
      </c>
      <c r="D39" s="60">
        <v>3073.0</v>
      </c>
      <c r="E39" s="60">
        <v>3111.0</v>
      </c>
      <c r="F39" s="60">
        <v>3149.0</v>
      </c>
      <c r="G39" s="60">
        <v>3187.0</v>
      </c>
      <c r="H39" s="60">
        <v>3225.0</v>
      </c>
      <c r="I39" s="60">
        <v>3263.0</v>
      </c>
      <c r="J39" s="60">
        <v>3301.0</v>
      </c>
      <c r="K39" s="60">
        <v>3339.0</v>
      </c>
      <c r="L39" s="60">
        <v>3377.0</v>
      </c>
      <c r="M39" s="60">
        <v>3415.0</v>
      </c>
      <c r="N39" s="60">
        <v>3453.0</v>
      </c>
      <c r="O39" s="60">
        <v>3491.0</v>
      </c>
      <c r="P39" s="60">
        <v>3529.0</v>
      </c>
      <c r="Q39" s="60">
        <v>3567.0</v>
      </c>
      <c r="R39" s="60">
        <v>3605.0</v>
      </c>
      <c r="S39" s="60">
        <v>3643.0</v>
      </c>
      <c r="T39" s="60">
        <v>3681.0</v>
      </c>
      <c r="U39" s="60">
        <v>3719.0</v>
      </c>
      <c r="V39" s="60">
        <v>3757.0</v>
      </c>
      <c r="W39" s="60">
        <v>3795.0</v>
      </c>
      <c r="X39" s="60">
        <v>3833.0</v>
      </c>
      <c r="Y39" s="60">
        <v>3871.0</v>
      </c>
      <c r="Z39" s="60">
        <v>3909.0</v>
      </c>
      <c r="AA39" s="60">
        <v>3947.0</v>
      </c>
      <c r="AB39" s="60">
        <v>3985.0</v>
      </c>
      <c r="AC39" s="60">
        <v>4023.0</v>
      </c>
      <c r="AD39" s="60">
        <v>4061.0</v>
      </c>
      <c r="AE39" s="60">
        <v>4099.0</v>
      </c>
      <c r="AF39" s="60">
        <v>4137.0</v>
      </c>
      <c r="AG39" s="60">
        <v>4175.0</v>
      </c>
      <c r="AH39" s="60">
        <v>4213.0</v>
      </c>
      <c r="AI39" s="60">
        <v>4251.0</v>
      </c>
      <c r="AJ39" s="60">
        <v>4289.0</v>
      </c>
      <c r="AK39" s="60">
        <v>4327.0</v>
      </c>
      <c r="AL39" s="60">
        <v>4365.0</v>
      </c>
      <c r="AM39" s="60">
        <v>4403.0</v>
      </c>
      <c r="AN39" s="60">
        <v>4441.0</v>
      </c>
      <c r="AO39" s="60">
        <v>4479.0</v>
      </c>
      <c r="AP39" s="60">
        <v>4517.0</v>
      </c>
      <c r="AQ39" s="60">
        <v>4555.0</v>
      </c>
      <c r="AR39" s="60">
        <v>4593.0</v>
      </c>
      <c r="AS39" s="60">
        <v>4631.0</v>
      </c>
      <c r="AT39" s="60">
        <v>4669.0</v>
      </c>
      <c r="AU39" s="60">
        <v>4707.0</v>
      </c>
      <c r="AV39" s="60">
        <v>4745.0</v>
      </c>
      <c r="AW39" s="60">
        <v>4783.0</v>
      </c>
      <c r="AX39" s="60">
        <v>4821.0</v>
      </c>
      <c r="AY39" s="60">
        <v>4859.0</v>
      </c>
      <c r="AZ39" s="60">
        <v>4897.0</v>
      </c>
      <c r="BA39" s="60">
        <v>4935.0</v>
      </c>
      <c r="BB39" s="60">
        <v>4973.0</v>
      </c>
      <c r="BC39" s="60">
        <v>5011.0</v>
      </c>
      <c r="BD39" s="60">
        <v>5049.0</v>
      </c>
      <c r="BE39" s="60">
        <v>5087.0</v>
      </c>
      <c r="BF39" s="60">
        <v>5125.0</v>
      </c>
      <c r="BG39" s="60">
        <v>5163.0</v>
      </c>
      <c r="BH39" s="60">
        <v>5201.0</v>
      </c>
      <c r="BI39" s="60">
        <v>5239.0</v>
      </c>
      <c r="BJ39" s="60">
        <v>5277.0</v>
      </c>
      <c r="BK39" s="60">
        <v>5315.0</v>
      </c>
      <c r="BL39" s="60">
        <v>5353.0</v>
      </c>
      <c r="BM39" s="60">
        <v>5391.0</v>
      </c>
      <c r="BN39" s="60">
        <v>5429.0</v>
      </c>
      <c r="BO39" s="60">
        <v>5467.0</v>
      </c>
      <c r="BP39" s="60">
        <v>5505.0</v>
      </c>
      <c r="BQ39" s="60">
        <v>5543.0</v>
      </c>
      <c r="BR39" s="60">
        <v>5581.0</v>
      </c>
      <c r="BS39" s="60">
        <v>5619.0</v>
      </c>
      <c r="BT39" s="60">
        <v>5657.0</v>
      </c>
      <c r="BU39" s="60">
        <v>5695.0</v>
      </c>
      <c r="BV39" s="60">
        <v>5733.0</v>
      </c>
      <c r="BW39" s="60">
        <v>5771.0</v>
      </c>
      <c r="BX39" s="60">
        <v>5809.0</v>
      </c>
      <c r="BY39" s="60">
        <v>5847.0</v>
      </c>
      <c r="BZ39" s="60">
        <v>5885.0</v>
      </c>
      <c r="CA39" s="60">
        <v>5923.0</v>
      </c>
      <c r="CB39" s="60">
        <v>5961.0</v>
      </c>
      <c r="CC39" s="60">
        <v>5999.0</v>
      </c>
      <c r="CD39" s="60">
        <v>6037.0</v>
      </c>
      <c r="CE39" s="60">
        <v>6075.0</v>
      </c>
      <c r="CF39" s="17">
        <v>75.0</v>
      </c>
    </row>
    <row r="40">
      <c r="A40" s="17">
        <v>38.0</v>
      </c>
      <c r="B40" s="60">
        <v>3078.0</v>
      </c>
      <c r="C40" s="60">
        <v>3114.0</v>
      </c>
      <c r="D40" s="60">
        <v>3150.0</v>
      </c>
      <c r="E40" s="60">
        <v>3186.0</v>
      </c>
      <c r="F40" s="60">
        <v>3222.0</v>
      </c>
      <c r="G40" s="60">
        <v>3258.0</v>
      </c>
      <c r="H40" s="60">
        <v>3294.0</v>
      </c>
      <c r="I40" s="60">
        <v>3330.0</v>
      </c>
      <c r="J40" s="60">
        <v>3366.0</v>
      </c>
      <c r="K40" s="60">
        <v>3402.0</v>
      </c>
      <c r="L40" s="60">
        <v>3438.0</v>
      </c>
      <c r="M40" s="60">
        <v>3474.0</v>
      </c>
      <c r="N40" s="60">
        <v>3510.0</v>
      </c>
      <c r="O40" s="60">
        <v>3546.0</v>
      </c>
      <c r="P40" s="60">
        <v>3582.0</v>
      </c>
      <c r="Q40" s="60">
        <v>3618.0</v>
      </c>
      <c r="R40" s="60">
        <v>3654.0</v>
      </c>
      <c r="S40" s="60">
        <v>3690.0</v>
      </c>
      <c r="T40" s="60">
        <v>3726.0</v>
      </c>
      <c r="U40" s="60">
        <v>3762.0</v>
      </c>
      <c r="V40" s="60">
        <v>3798.0</v>
      </c>
      <c r="W40" s="60">
        <v>3834.0</v>
      </c>
      <c r="X40" s="60">
        <v>3870.0</v>
      </c>
      <c r="Y40" s="60">
        <v>3906.0</v>
      </c>
      <c r="Z40" s="60">
        <v>3942.0</v>
      </c>
      <c r="AA40" s="60">
        <v>3978.0</v>
      </c>
      <c r="AB40" s="60">
        <v>4014.0</v>
      </c>
      <c r="AC40" s="60">
        <v>4050.0</v>
      </c>
      <c r="AD40" s="60">
        <v>4086.0</v>
      </c>
      <c r="AE40" s="60">
        <v>4122.0</v>
      </c>
      <c r="AF40" s="60">
        <v>4158.0</v>
      </c>
      <c r="AG40" s="60">
        <v>4194.0</v>
      </c>
      <c r="AH40" s="60">
        <v>4230.0</v>
      </c>
      <c r="AI40" s="60">
        <v>4266.0</v>
      </c>
      <c r="AJ40" s="60">
        <v>4302.0</v>
      </c>
      <c r="AK40" s="60">
        <v>4338.0</v>
      </c>
      <c r="AL40" s="60">
        <v>4374.0</v>
      </c>
      <c r="AM40" s="60">
        <v>4410.0</v>
      </c>
      <c r="AN40" s="60">
        <v>4446.0</v>
      </c>
      <c r="AO40" s="60">
        <v>4482.0</v>
      </c>
      <c r="AP40" s="70">
        <v>4518.0</v>
      </c>
      <c r="AQ40" s="70">
        <v>4554.0</v>
      </c>
      <c r="AR40" s="60">
        <v>4590.0</v>
      </c>
      <c r="AS40" s="60">
        <v>4626.0</v>
      </c>
      <c r="AT40" s="60">
        <v>4662.0</v>
      </c>
      <c r="AU40" s="60">
        <v>4698.0</v>
      </c>
      <c r="AV40" s="60">
        <v>4734.0</v>
      </c>
      <c r="AW40" s="60">
        <v>4770.0</v>
      </c>
      <c r="AX40" s="60">
        <v>4806.0</v>
      </c>
      <c r="AY40" s="60">
        <v>4842.0</v>
      </c>
      <c r="AZ40" s="60">
        <v>4878.0</v>
      </c>
      <c r="BA40" s="60">
        <v>4914.0</v>
      </c>
      <c r="BB40" s="60">
        <v>4950.0</v>
      </c>
      <c r="BC40" s="60">
        <v>4986.0</v>
      </c>
      <c r="BD40" s="60">
        <v>5022.0</v>
      </c>
      <c r="BE40" s="60">
        <v>5058.0</v>
      </c>
      <c r="BF40" s="60">
        <v>5094.0</v>
      </c>
      <c r="BG40" s="60">
        <v>5130.0</v>
      </c>
      <c r="BH40" s="60">
        <v>5166.0</v>
      </c>
      <c r="BI40" s="60">
        <v>5202.0</v>
      </c>
      <c r="BJ40" s="60">
        <v>5238.0</v>
      </c>
      <c r="BK40" s="60">
        <v>5274.0</v>
      </c>
      <c r="BL40" s="60">
        <v>5310.0</v>
      </c>
      <c r="BM40" s="60">
        <v>5346.0</v>
      </c>
      <c r="BN40" s="60">
        <v>5382.0</v>
      </c>
      <c r="BO40" s="60">
        <v>5418.0</v>
      </c>
      <c r="BP40" s="60">
        <v>5454.0</v>
      </c>
      <c r="BQ40" s="60">
        <v>5490.0</v>
      </c>
      <c r="BR40" s="60">
        <v>5526.0</v>
      </c>
      <c r="BS40" s="60">
        <v>5562.0</v>
      </c>
      <c r="BT40" s="60">
        <v>5598.0</v>
      </c>
      <c r="BU40" s="60">
        <v>5634.0</v>
      </c>
      <c r="BV40" s="60">
        <v>5670.0</v>
      </c>
      <c r="BW40" s="60">
        <v>5706.0</v>
      </c>
      <c r="BX40" s="60">
        <v>5742.0</v>
      </c>
      <c r="BY40" s="60">
        <v>5778.0</v>
      </c>
      <c r="BZ40" s="60">
        <v>5814.0</v>
      </c>
      <c r="CA40" s="60">
        <v>5850.0</v>
      </c>
      <c r="CB40" s="60">
        <v>5886.0</v>
      </c>
      <c r="CC40" s="60">
        <v>5922.0</v>
      </c>
      <c r="CD40" s="60">
        <v>5958.0</v>
      </c>
      <c r="CE40" s="60">
        <v>5994.0</v>
      </c>
      <c r="CF40" s="17">
        <v>74.0</v>
      </c>
    </row>
    <row r="41">
      <c r="A41" s="17">
        <v>39.0</v>
      </c>
      <c r="B41" s="60">
        <v>3159.0</v>
      </c>
      <c r="C41" s="60">
        <v>3193.0</v>
      </c>
      <c r="D41" s="60">
        <v>3227.0</v>
      </c>
      <c r="E41" s="60">
        <v>3261.0</v>
      </c>
      <c r="F41" s="60">
        <v>3295.0</v>
      </c>
      <c r="G41" s="60">
        <v>3329.0</v>
      </c>
      <c r="H41" s="60">
        <v>3363.0</v>
      </c>
      <c r="I41" s="60">
        <v>3397.0</v>
      </c>
      <c r="J41" s="60">
        <v>3431.0</v>
      </c>
      <c r="K41" s="60">
        <v>3465.0</v>
      </c>
      <c r="L41" s="60">
        <v>3499.0</v>
      </c>
      <c r="M41" s="60">
        <v>3533.0</v>
      </c>
      <c r="N41" s="60">
        <v>3567.0</v>
      </c>
      <c r="O41" s="60">
        <v>3601.0</v>
      </c>
      <c r="P41" s="60">
        <v>3635.0</v>
      </c>
      <c r="Q41" s="60">
        <v>3669.0</v>
      </c>
      <c r="R41" s="60">
        <v>3703.0</v>
      </c>
      <c r="S41" s="60">
        <v>3737.0</v>
      </c>
      <c r="T41" s="60">
        <v>3771.0</v>
      </c>
      <c r="U41" s="60">
        <v>3805.0</v>
      </c>
      <c r="V41" s="60">
        <v>3839.0</v>
      </c>
      <c r="W41" s="60">
        <v>3873.0</v>
      </c>
      <c r="X41" s="60">
        <v>3907.0</v>
      </c>
      <c r="Y41" s="60">
        <v>3941.0</v>
      </c>
      <c r="Z41" s="60">
        <v>3975.0</v>
      </c>
      <c r="AA41" s="60">
        <v>4009.0</v>
      </c>
      <c r="AB41" s="60">
        <v>4043.0</v>
      </c>
      <c r="AC41" s="60">
        <v>4077.0</v>
      </c>
      <c r="AD41" s="60">
        <v>4111.0</v>
      </c>
      <c r="AE41" s="60">
        <v>4145.0</v>
      </c>
      <c r="AF41" s="60">
        <v>4179.0</v>
      </c>
      <c r="AG41" s="60">
        <v>4213.0</v>
      </c>
      <c r="AH41" s="60">
        <v>4247.0</v>
      </c>
      <c r="AI41" s="60">
        <v>4281.0</v>
      </c>
      <c r="AJ41" s="60">
        <v>4315.0</v>
      </c>
      <c r="AK41" s="60">
        <v>4349.0</v>
      </c>
      <c r="AL41" s="60">
        <v>4383.0</v>
      </c>
      <c r="AM41" s="60">
        <v>4417.0</v>
      </c>
      <c r="AN41" s="60">
        <v>4451.0</v>
      </c>
      <c r="AO41" s="60">
        <v>4485.0</v>
      </c>
      <c r="AP41" s="60">
        <v>4519.0</v>
      </c>
      <c r="AQ41" s="60">
        <v>4553.0</v>
      </c>
      <c r="AR41" s="60">
        <v>4587.0</v>
      </c>
      <c r="AS41" s="60">
        <v>4621.0</v>
      </c>
      <c r="AT41" s="60">
        <v>4655.0</v>
      </c>
      <c r="AU41" s="60">
        <v>4689.0</v>
      </c>
      <c r="AV41" s="60">
        <v>4723.0</v>
      </c>
      <c r="AW41" s="60">
        <v>4757.0</v>
      </c>
      <c r="AX41" s="60">
        <v>4791.0</v>
      </c>
      <c r="AY41" s="60">
        <v>4825.0</v>
      </c>
      <c r="AZ41" s="60">
        <v>4859.0</v>
      </c>
      <c r="BA41" s="60">
        <v>4893.0</v>
      </c>
      <c r="BB41" s="60">
        <v>4927.0</v>
      </c>
      <c r="BC41" s="60">
        <v>4961.0</v>
      </c>
      <c r="BD41" s="60">
        <v>4995.0</v>
      </c>
      <c r="BE41" s="60">
        <v>5029.0</v>
      </c>
      <c r="BF41" s="60">
        <v>5063.0</v>
      </c>
      <c r="BG41" s="60">
        <v>5097.0</v>
      </c>
      <c r="BH41" s="60">
        <v>5131.0</v>
      </c>
      <c r="BI41" s="60">
        <v>5165.0</v>
      </c>
      <c r="BJ41" s="60">
        <v>5199.0</v>
      </c>
      <c r="BK41" s="60">
        <v>5233.0</v>
      </c>
      <c r="BL41" s="60">
        <v>5267.0</v>
      </c>
      <c r="BM41" s="60">
        <v>5301.0</v>
      </c>
      <c r="BN41" s="60">
        <v>5335.0</v>
      </c>
      <c r="BO41" s="60">
        <v>5369.0</v>
      </c>
      <c r="BP41" s="60">
        <v>5403.0</v>
      </c>
      <c r="BQ41" s="60">
        <v>5437.0</v>
      </c>
      <c r="BR41" s="60">
        <v>5471.0</v>
      </c>
      <c r="BS41" s="60">
        <v>5505.0</v>
      </c>
      <c r="BT41" s="60">
        <v>5539.0</v>
      </c>
      <c r="BU41" s="60">
        <v>5573.0</v>
      </c>
      <c r="BV41" s="60">
        <v>5607.0</v>
      </c>
      <c r="BW41" s="60">
        <v>5641.0</v>
      </c>
      <c r="BX41" s="60">
        <v>5675.0</v>
      </c>
      <c r="BY41" s="60">
        <v>5709.0</v>
      </c>
      <c r="BZ41" s="60">
        <v>5743.0</v>
      </c>
      <c r="CA41" s="60">
        <v>5777.0</v>
      </c>
      <c r="CB41" s="60">
        <v>5811.0</v>
      </c>
      <c r="CC41" s="60">
        <v>5845.0</v>
      </c>
      <c r="CD41" s="60">
        <v>5879.0</v>
      </c>
      <c r="CE41" s="60">
        <v>5913.0</v>
      </c>
      <c r="CF41" s="17">
        <v>73.0</v>
      </c>
    </row>
    <row r="42">
      <c r="A42" s="17">
        <v>40.0</v>
      </c>
      <c r="B42" s="60">
        <v>3240.0</v>
      </c>
      <c r="C42" s="60">
        <v>3272.0</v>
      </c>
      <c r="D42" s="60">
        <v>3304.0</v>
      </c>
      <c r="E42" s="60">
        <v>3336.0</v>
      </c>
      <c r="F42" s="60">
        <v>3368.0</v>
      </c>
      <c r="G42" s="60">
        <v>3400.0</v>
      </c>
      <c r="H42" s="60">
        <v>3432.0</v>
      </c>
      <c r="I42" s="60">
        <v>3464.0</v>
      </c>
      <c r="J42" s="60">
        <v>3496.0</v>
      </c>
      <c r="K42" s="60">
        <v>3528.0</v>
      </c>
      <c r="L42" s="60">
        <v>3560.0</v>
      </c>
      <c r="M42" s="60">
        <v>3592.0</v>
      </c>
      <c r="N42" s="60">
        <v>3624.0</v>
      </c>
      <c r="O42" s="60">
        <v>3656.0</v>
      </c>
      <c r="P42" s="60">
        <v>3688.0</v>
      </c>
      <c r="Q42" s="60">
        <v>3720.0</v>
      </c>
      <c r="R42" s="60">
        <v>3752.0</v>
      </c>
      <c r="S42" s="60">
        <v>3784.0</v>
      </c>
      <c r="T42" s="60">
        <v>3816.0</v>
      </c>
      <c r="U42" s="60">
        <v>3848.0</v>
      </c>
      <c r="V42" s="60">
        <v>3880.0</v>
      </c>
      <c r="W42" s="60">
        <v>3912.0</v>
      </c>
      <c r="X42" s="60">
        <v>3944.0</v>
      </c>
      <c r="Y42" s="60">
        <v>3976.0</v>
      </c>
      <c r="Z42" s="60">
        <v>4008.0</v>
      </c>
      <c r="AA42" s="60">
        <v>4040.0</v>
      </c>
      <c r="AB42" s="60">
        <v>4072.0</v>
      </c>
      <c r="AC42" s="60">
        <v>4104.0</v>
      </c>
      <c r="AD42" s="60">
        <v>4136.0</v>
      </c>
      <c r="AE42" s="60">
        <v>4168.0</v>
      </c>
      <c r="AF42" s="60">
        <v>4200.0</v>
      </c>
      <c r="AG42" s="60">
        <v>4232.0</v>
      </c>
      <c r="AH42" s="60">
        <v>4264.0</v>
      </c>
      <c r="AI42" s="60">
        <v>4296.0</v>
      </c>
      <c r="AJ42" s="60">
        <v>4328.0</v>
      </c>
      <c r="AK42" s="60">
        <v>4360.0</v>
      </c>
      <c r="AL42" s="60">
        <v>4392.0</v>
      </c>
      <c r="AM42" s="60">
        <v>4424.0</v>
      </c>
      <c r="AN42" s="60">
        <v>4456.0</v>
      </c>
      <c r="AO42" s="70">
        <v>4488.0</v>
      </c>
      <c r="AP42" s="60">
        <v>4520.0</v>
      </c>
      <c r="AQ42" s="60">
        <v>4552.0</v>
      </c>
      <c r="AR42" s="70">
        <v>4584.0</v>
      </c>
      <c r="AS42" s="60">
        <v>4616.0</v>
      </c>
      <c r="AT42" s="60">
        <v>4648.0</v>
      </c>
      <c r="AU42" s="60">
        <v>4680.0</v>
      </c>
      <c r="AV42" s="60">
        <v>4712.0</v>
      </c>
      <c r="AW42" s="60">
        <v>4744.0</v>
      </c>
      <c r="AX42" s="60">
        <v>4776.0</v>
      </c>
      <c r="AY42" s="60">
        <v>4808.0</v>
      </c>
      <c r="AZ42" s="60">
        <v>4840.0</v>
      </c>
      <c r="BA42" s="60">
        <v>4872.0</v>
      </c>
      <c r="BB42" s="60">
        <v>4904.0</v>
      </c>
      <c r="BC42" s="60">
        <v>4936.0</v>
      </c>
      <c r="BD42" s="60">
        <v>4968.0</v>
      </c>
      <c r="BE42" s="60">
        <v>5000.0</v>
      </c>
      <c r="BF42" s="60">
        <v>5032.0</v>
      </c>
      <c r="BG42" s="60">
        <v>5064.0</v>
      </c>
      <c r="BH42" s="60">
        <v>5096.0</v>
      </c>
      <c r="BI42" s="60">
        <v>5128.0</v>
      </c>
      <c r="BJ42" s="60">
        <v>5160.0</v>
      </c>
      <c r="BK42" s="60">
        <v>5192.0</v>
      </c>
      <c r="BL42" s="60">
        <v>5224.0</v>
      </c>
      <c r="BM42" s="60">
        <v>5256.0</v>
      </c>
      <c r="BN42" s="60">
        <v>5288.0</v>
      </c>
      <c r="BO42" s="60">
        <v>5320.0</v>
      </c>
      <c r="BP42" s="60">
        <v>5352.0</v>
      </c>
      <c r="BQ42" s="60">
        <v>5384.0</v>
      </c>
      <c r="BR42" s="60">
        <v>5416.0</v>
      </c>
      <c r="BS42" s="60">
        <v>5448.0</v>
      </c>
      <c r="BT42" s="60">
        <v>5480.0</v>
      </c>
      <c r="BU42" s="60">
        <v>5512.0</v>
      </c>
      <c r="BV42" s="60">
        <v>5544.0</v>
      </c>
      <c r="BW42" s="60">
        <v>5576.0</v>
      </c>
      <c r="BX42" s="60">
        <v>5608.0</v>
      </c>
      <c r="BY42" s="60">
        <v>5640.0</v>
      </c>
      <c r="BZ42" s="60">
        <v>5672.0</v>
      </c>
      <c r="CA42" s="60">
        <v>5704.0</v>
      </c>
      <c r="CB42" s="60">
        <v>5736.0</v>
      </c>
      <c r="CC42" s="60">
        <v>5768.0</v>
      </c>
      <c r="CD42" s="60">
        <v>5800.0</v>
      </c>
      <c r="CE42" s="60">
        <v>5832.0</v>
      </c>
      <c r="CF42" s="17">
        <v>72.0</v>
      </c>
    </row>
    <row r="43">
      <c r="A43" s="17">
        <v>41.0</v>
      </c>
      <c r="B43" s="60">
        <v>3321.0</v>
      </c>
      <c r="C43" s="60">
        <v>3351.0</v>
      </c>
      <c r="D43" s="60">
        <v>3381.0</v>
      </c>
      <c r="E43" s="60">
        <v>3411.0</v>
      </c>
      <c r="F43" s="60">
        <v>3441.0</v>
      </c>
      <c r="G43" s="60">
        <v>3471.0</v>
      </c>
      <c r="H43" s="60">
        <v>3501.0</v>
      </c>
      <c r="I43" s="60">
        <v>3531.0</v>
      </c>
      <c r="J43" s="60">
        <v>3561.0</v>
      </c>
      <c r="K43" s="60">
        <v>3591.0</v>
      </c>
      <c r="L43" s="60">
        <v>3621.0</v>
      </c>
      <c r="M43" s="60">
        <v>3651.0</v>
      </c>
      <c r="N43" s="60">
        <v>3681.0</v>
      </c>
      <c r="O43" s="60">
        <v>3711.0</v>
      </c>
      <c r="P43" s="60">
        <v>3741.0</v>
      </c>
      <c r="Q43" s="60">
        <v>3771.0</v>
      </c>
      <c r="R43" s="60">
        <v>3801.0</v>
      </c>
      <c r="S43" s="60">
        <v>3831.0</v>
      </c>
      <c r="T43" s="60">
        <v>3861.0</v>
      </c>
      <c r="U43" s="60">
        <v>3891.0</v>
      </c>
      <c r="V43" s="60">
        <v>3921.0</v>
      </c>
      <c r="W43" s="60">
        <v>3951.0</v>
      </c>
      <c r="X43" s="60">
        <v>3981.0</v>
      </c>
      <c r="Y43" s="60">
        <v>4011.0</v>
      </c>
      <c r="Z43" s="60">
        <v>4041.0</v>
      </c>
      <c r="AA43" s="60">
        <v>4071.0</v>
      </c>
      <c r="AB43" s="60">
        <v>4101.0</v>
      </c>
      <c r="AC43" s="60">
        <v>4131.0</v>
      </c>
      <c r="AD43" s="60">
        <v>4161.0</v>
      </c>
      <c r="AE43" s="60">
        <v>4191.0</v>
      </c>
      <c r="AF43" s="60">
        <v>4221.0</v>
      </c>
      <c r="AG43" s="60">
        <v>4251.0</v>
      </c>
      <c r="AH43" s="60">
        <v>4281.0</v>
      </c>
      <c r="AI43" s="60">
        <v>4311.0</v>
      </c>
      <c r="AJ43" s="60">
        <v>4341.0</v>
      </c>
      <c r="AK43" s="60">
        <v>4371.0</v>
      </c>
      <c r="AL43" s="60">
        <v>4401.0</v>
      </c>
      <c r="AM43" s="60">
        <v>4431.0</v>
      </c>
      <c r="AN43" s="70">
        <v>4461.0</v>
      </c>
      <c r="AO43" s="60">
        <v>4491.0</v>
      </c>
      <c r="AP43" s="60">
        <v>4521.0</v>
      </c>
      <c r="AQ43" s="60">
        <v>4551.0</v>
      </c>
      <c r="AR43" s="60">
        <v>4581.0</v>
      </c>
      <c r="AS43" s="70">
        <v>4611.0</v>
      </c>
      <c r="AT43" s="60">
        <v>4641.0</v>
      </c>
      <c r="AU43" s="60">
        <v>4671.0</v>
      </c>
      <c r="AV43" s="60">
        <v>4701.0</v>
      </c>
      <c r="AW43" s="60">
        <v>4731.0</v>
      </c>
      <c r="AX43" s="60">
        <v>4761.0</v>
      </c>
      <c r="AY43" s="60">
        <v>4791.0</v>
      </c>
      <c r="AZ43" s="60">
        <v>4821.0</v>
      </c>
      <c r="BA43" s="60">
        <v>4851.0</v>
      </c>
      <c r="BB43" s="60">
        <v>4881.0</v>
      </c>
      <c r="BC43" s="60">
        <v>4911.0</v>
      </c>
      <c r="BD43" s="60">
        <v>4941.0</v>
      </c>
      <c r="BE43" s="60">
        <v>4971.0</v>
      </c>
      <c r="BF43" s="60">
        <v>5001.0</v>
      </c>
      <c r="BG43" s="60">
        <v>5031.0</v>
      </c>
      <c r="BH43" s="60">
        <v>5061.0</v>
      </c>
      <c r="BI43" s="60">
        <v>5091.0</v>
      </c>
      <c r="BJ43" s="60">
        <v>5121.0</v>
      </c>
      <c r="BK43" s="60">
        <v>5151.0</v>
      </c>
      <c r="BL43" s="60">
        <v>5181.0</v>
      </c>
      <c r="BM43" s="60">
        <v>5211.0</v>
      </c>
      <c r="BN43" s="60">
        <v>5241.0</v>
      </c>
      <c r="BO43" s="60">
        <v>5271.0</v>
      </c>
      <c r="BP43" s="60">
        <v>5301.0</v>
      </c>
      <c r="BQ43" s="60">
        <v>5331.0</v>
      </c>
      <c r="BR43" s="60">
        <v>5361.0</v>
      </c>
      <c r="BS43" s="60">
        <v>5391.0</v>
      </c>
      <c r="BT43" s="60">
        <v>5421.0</v>
      </c>
      <c r="BU43" s="60">
        <v>5451.0</v>
      </c>
      <c r="BV43" s="60">
        <v>5481.0</v>
      </c>
      <c r="BW43" s="60">
        <v>5511.0</v>
      </c>
      <c r="BX43" s="60">
        <v>5541.0</v>
      </c>
      <c r="BY43" s="60">
        <v>5571.0</v>
      </c>
      <c r="BZ43" s="60">
        <v>5601.0</v>
      </c>
      <c r="CA43" s="60">
        <v>5631.0</v>
      </c>
      <c r="CB43" s="60">
        <v>5661.0</v>
      </c>
      <c r="CC43" s="60">
        <v>5691.0</v>
      </c>
      <c r="CD43" s="60">
        <v>5721.0</v>
      </c>
      <c r="CE43" s="60">
        <v>5751.0</v>
      </c>
      <c r="CF43" s="17">
        <v>71.0</v>
      </c>
    </row>
    <row r="44">
      <c r="A44" s="17">
        <v>42.0</v>
      </c>
      <c r="B44" s="60">
        <v>3402.0</v>
      </c>
      <c r="C44" s="60">
        <v>3430.0</v>
      </c>
      <c r="D44" s="60">
        <v>3458.0</v>
      </c>
      <c r="E44" s="60">
        <v>3486.0</v>
      </c>
      <c r="F44" s="60">
        <v>3514.0</v>
      </c>
      <c r="G44" s="60">
        <v>3542.0</v>
      </c>
      <c r="H44" s="60">
        <v>3570.0</v>
      </c>
      <c r="I44" s="60">
        <v>3598.0</v>
      </c>
      <c r="J44" s="60">
        <v>3626.0</v>
      </c>
      <c r="K44" s="60">
        <v>3654.0</v>
      </c>
      <c r="L44" s="60">
        <v>3682.0</v>
      </c>
      <c r="M44" s="60">
        <v>3710.0</v>
      </c>
      <c r="N44" s="60">
        <v>3738.0</v>
      </c>
      <c r="O44" s="60">
        <v>3766.0</v>
      </c>
      <c r="P44" s="60">
        <v>3794.0</v>
      </c>
      <c r="Q44" s="60">
        <v>3822.0</v>
      </c>
      <c r="R44" s="60">
        <v>3850.0</v>
      </c>
      <c r="S44" s="60">
        <v>3878.0</v>
      </c>
      <c r="T44" s="60">
        <v>3906.0</v>
      </c>
      <c r="U44" s="60">
        <v>3934.0</v>
      </c>
      <c r="V44" s="60">
        <v>3962.0</v>
      </c>
      <c r="W44" s="60">
        <v>3990.0</v>
      </c>
      <c r="X44" s="60">
        <v>4018.0</v>
      </c>
      <c r="Y44" s="60">
        <v>4046.0</v>
      </c>
      <c r="Z44" s="60">
        <v>4074.0</v>
      </c>
      <c r="AA44" s="60">
        <v>4102.0</v>
      </c>
      <c r="AB44" s="60">
        <v>4130.0</v>
      </c>
      <c r="AC44" s="60">
        <v>4158.0</v>
      </c>
      <c r="AD44" s="60">
        <v>4186.0</v>
      </c>
      <c r="AE44" s="60">
        <v>4214.0</v>
      </c>
      <c r="AF44" s="60">
        <v>4242.0</v>
      </c>
      <c r="AG44" s="60">
        <v>4270.0</v>
      </c>
      <c r="AH44" s="60">
        <v>4298.0</v>
      </c>
      <c r="AI44" s="60">
        <v>4326.0</v>
      </c>
      <c r="AJ44" s="60">
        <v>4354.0</v>
      </c>
      <c r="AK44" s="60">
        <v>4382.0</v>
      </c>
      <c r="AL44" s="60">
        <v>4410.0</v>
      </c>
      <c r="AM44" s="60">
        <v>4438.0</v>
      </c>
      <c r="AN44" s="60">
        <v>4466.0</v>
      </c>
      <c r="AO44" s="60">
        <v>4494.0</v>
      </c>
      <c r="AP44" s="60">
        <v>4522.0</v>
      </c>
      <c r="AQ44" s="60">
        <v>4550.0</v>
      </c>
      <c r="AR44" s="60">
        <v>4578.0</v>
      </c>
      <c r="AS44" s="60">
        <v>4606.0</v>
      </c>
      <c r="AT44" s="60">
        <v>4634.0</v>
      </c>
      <c r="AU44" s="60">
        <v>4662.0</v>
      </c>
      <c r="AV44" s="60">
        <v>4690.0</v>
      </c>
      <c r="AW44" s="60">
        <v>4718.0</v>
      </c>
      <c r="AX44" s="60">
        <v>4746.0</v>
      </c>
      <c r="AY44" s="60">
        <v>4774.0</v>
      </c>
      <c r="AZ44" s="60">
        <v>4802.0</v>
      </c>
      <c r="BA44" s="60">
        <v>4830.0</v>
      </c>
      <c r="BB44" s="60">
        <v>4858.0</v>
      </c>
      <c r="BC44" s="60">
        <v>4886.0</v>
      </c>
      <c r="BD44" s="60">
        <v>4914.0</v>
      </c>
      <c r="BE44" s="60">
        <v>4942.0</v>
      </c>
      <c r="BF44" s="60">
        <v>4970.0</v>
      </c>
      <c r="BG44" s="60">
        <v>4998.0</v>
      </c>
      <c r="BH44" s="60">
        <v>5026.0</v>
      </c>
      <c r="BI44" s="60">
        <v>5054.0</v>
      </c>
      <c r="BJ44" s="60">
        <v>5082.0</v>
      </c>
      <c r="BK44" s="60">
        <v>5110.0</v>
      </c>
      <c r="BL44" s="60">
        <v>5138.0</v>
      </c>
      <c r="BM44" s="60">
        <v>5166.0</v>
      </c>
      <c r="BN44" s="60">
        <v>5194.0</v>
      </c>
      <c r="BO44" s="60">
        <v>5222.0</v>
      </c>
      <c r="BP44" s="60">
        <v>5250.0</v>
      </c>
      <c r="BQ44" s="60">
        <v>5278.0</v>
      </c>
      <c r="BR44" s="60">
        <v>5306.0</v>
      </c>
      <c r="BS44" s="60">
        <v>5334.0</v>
      </c>
      <c r="BT44" s="60">
        <v>5362.0</v>
      </c>
      <c r="BU44" s="60">
        <v>5390.0</v>
      </c>
      <c r="BV44" s="60">
        <v>5418.0</v>
      </c>
      <c r="BW44" s="60">
        <v>5446.0</v>
      </c>
      <c r="BX44" s="60">
        <v>5474.0</v>
      </c>
      <c r="BY44" s="60">
        <v>5502.0</v>
      </c>
      <c r="BZ44" s="60">
        <v>5530.0</v>
      </c>
      <c r="CA44" s="60">
        <v>5558.0</v>
      </c>
      <c r="CB44" s="60">
        <v>5586.0</v>
      </c>
      <c r="CC44" s="60">
        <v>5614.0</v>
      </c>
      <c r="CD44" s="60">
        <v>5642.0</v>
      </c>
      <c r="CE44" s="60">
        <v>5670.0</v>
      </c>
      <c r="CF44" s="17">
        <v>70.0</v>
      </c>
    </row>
    <row r="45">
      <c r="A45" s="17">
        <v>43.0</v>
      </c>
      <c r="B45" s="60">
        <v>3483.0</v>
      </c>
      <c r="C45" s="60">
        <v>3509.0</v>
      </c>
      <c r="D45" s="60">
        <v>3535.0</v>
      </c>
      <c r="E45" s="60">
        <v>3561.0</v>
      </c>
      <c r="F45" s="60">
        <v>3587.0</v>
      </c>
      <c r="G45" s="60">
        <v>3613.0</v>
      </c>
      <c r="H45" s="60">
        <v>3639.0</v>
      </c>
      <c r="I45" s="60">
        <v>3665.0</v>
      </c>
      <c r="J45" s="60">
        <v>3691.0</v>
      </c>
      <c r="K45" s="60">
        <v>3717.0</v>
      </c>
      <c r="L45" s="60">
        <v>3743.0</v>
      </c>
      <c r="M45" s="60">
        <v>3769.0</v>
      </c>
      <c r="N45" s="60">
        <v>3795.0</v>
      </c>
      <c r="O45" s="60">
        <v>3821.0</v>
      </c>
      <c r="P45" s="60">
        <v>3847.0</v>
      </c>
      <c r="Q45" s="60">
        <v>3873.0</v>
      </c>
      <c r="R45" s="60">
        <v>3899.0</v>
      </c>
      <c r="S45" s="60">
        <v>3925.0</v>
      </c>
      <c r="T45" s="60">
        <v>3951.0</v>
      </c>
      <c r="U45" s="60">
        <v>3977.0</v>
      </c>
      <c r="V45" s="60">
        <v>4003.0</v>
      </c>
      <c r="W45" s="60">
        <v>4029.0</v>
      </c>
      <c r="X45" s="60">
        <v>4055.0</v>
      </c>
      <c r="Y45" s="60">
        <v>4081.0</v>
      </c>
      <c r="Z45" s="60">
        <v>4107.0</v>
      </c>
      <c r="AA45" s="60">
        <v>4133.0</v>
      </c>
      <c r="AB45" s="60">
        <v>4159.0</v>
      </c>
      <c r="AC45" s="60">
        <v>4185.0</v>
      </c>
      <c r="AD45" s="60">
        <v>4211.0</v>
      </c>
      <c r="AE45" s="60">
        <v>4237.0</v>
      </c>
      <c r="AF45" s="60">
        <v>4263.0</v>
      </c>
      <c r="AG45" s="60">
        <v>4289.0</v>
      </c>
      <c r="AH45" s="60">
        <v>4315.0</v>
      </c>
      <c r="AI45" s="60">
        <v>4341.0</v>
      </c>
      <c r="AJ45" s="60">
        <v>4367.0</v>
      </c>
      <c r="AK45" s="60">
        <v>4393.0</v>
      </c>
      <c r="AL45" s="60">
        <v>4419.0</v>
      </c>
      <c r="AM45" s="70">
        <v>4445.0</v>
      </c>
      <c r="AN45" s="60">
        <v>4471.0</v>
      </c>
      <c r="AO45" s="60">
        <v>4497.0</v>
      </c>
      <c r="AP45" s="60">
        <v>4523.0</v>
      </c>
      <c r="AQ45" s="60">
        <v>4549.0</v>
      </c>
      <c r="AR45" s="60">
        <v>4575.0</v>
      </c>
      <c r="AS45" s="60">
        <v>4601.0</v>
      </c>
      <c r="AT45" s="70">
        <v>4627.0</v>
      </c>
      <c r="AU45" s="60">
        <v>4653.0</v>
      </c>
      <c r="AV45" s="60">
        <v>4679.0</v>
      </c>
      <c r="AW45" s="60">
        <v>4705.0</v>
      </c>
      <c r="AX45" s="60">
        <v>4731.0</v>
      </c>
      <c r="AY45" s="60">
        <v>4757.0</v>
      </c>
      <c r="AZ45" s="60">
        <v>4783.0</v>
      </c>
      <c r="BA45" s="60">
        <v>4809.0</v>
      </c>
      <c r="BB45" s="60">
        <v>4835.0</v>
      </c>
      <c r="BC45" s="60">
        <v>4861.0</v>
      </c>
      <c r="BD45" s="60">
        <v>4887.0</v>
      </c>
      <c r="BE45" s="60">
        <v>4913.0</v>
      </c>
      <c r="BF45" s="60">
        <v>4939.0</v>
      </c>
      <c r="BG45" s="60">
        <v>4965.0</v>
      </c>
      <c r="BH45" s="60">
        <v>4991.0</v>
      </c>
      <c r="BI45" s="60">
        <v>5017.0</v>
      </c>
      <c r="BJ45" s="60">
        <v>5043.0</v>
      </c>
      <c r="BK45" s="60">
        <v>5069.0</v>
      </c>
      <c r="BL45" s="60">
        <v>5095.0</v>
      </c>
      <c r="BM45" s="60">
        <v>5121.0</v>
      </c>
      <c r="BN45" s="60">
        <v>5147.0</v>
      </c>
      <c r="BO45" s="60">
        <v>5173.0</v>
      </c>
      <c r="BP45" s="60">
        <v>5199.0</v>
      </c>
      <c r="BQ45" s="60">
        <v>5225.0</v>
      </c>
      <c r="BR45" s="60">
        <v>5251.0</v>
      </c>
      <c r="BS45" s="60">
        <v>5277.0</v>
      </c>
      <c r="BT45" s="60">
        <v>5303.0</v>
      </c>
      <c r="BU45" s="60">
        <v>5329.0</v>
      </c>
      <c r="BV45" s="60">
        <v>5355.0</v>
      </c>
      <c r="BW45" s="60">
        <v>5381.0</v>
      </c>
      <c r="BX45" s="60">
        <v>5407.0</v>
      </c>
      <c r="BY45" s="60">
        <v>5433.0</v>
      </c>
      <c r="BZ45" s="60">
        <v>5459.0</v>
      </c>
      <c r="CA45" s="60">
        <v>5485.0</v>
      </c>
      <c r="CB45" s="60">
        <v>5511.0</v>
      </c>
      <c r="CC45" s="60">
        <v>5537.0</v>
      </c>
      <c r="CD45" s="60">
        <v>5563.0</v>
      </c>
      <c r="CE45" s="60">
        <v>5589.0</v>
      </c>
      <c r="CF45" s="17">
        <v>69.0</v>
      </c>
    </row>
    <row r="46">
      <c r="A46" s="17">
        <v>44.0</v>
      </c>
      <c r="B46" s="60">
        <v>3564.0</v>
      </c>
      <c r="C46" s="60">
        <v>3588.0</v>
      </c>
      <c r="D46" s="60">
        <v>3612.0</v>
      </c>
      <c r="E46" s="60">
        <v>3636.0</v>
      </c>
      <c r="F46" s="60">
        <v>3660.0</v>
      </c>
      <c r="G46" s="60">
        <v>3684.0</v>
      </c>
      <c r="H46" s="60">
        <v>3708.0</v>
      </c>
      <c r="I46" s="60">
        <v>3732.0</v>
      </c>
      <c r="J46" s="60">
        <v>3756.0</v>
      </c>
      <c r="K46" s="60">
        <v>3780.0</v>
      </c>
      <c r="L46" s="60">
        <v>3804.0</v>
      </c>
      <c r="M46" s="60">
        <v>3828.0</v>
      </c>
      <c r="N46" s="60">
        <v>3852.0</v>
      </c>
      <c r="O46" s="60">
        <v>3876.0</v>
      </c>
      <c r="P46" s="60">
        <v>3900.0</v>
      </c>
      <c r="Q46" s="60">
        <v>3924.0</v>
      </c>
      <c r="R46" s="60">
        <v>3948.0</v>
      </c>
      <c r="S46" s="60">
        <v>3972.0</v>
      </c>
      <c r="T46" s="60">
        <v>3996.0</v>
      </c>
      <c r="U46" s="60">
        <v>4020.0</v>
      </c>
      <c r="V46" s="60">
        <v>4044.0</v>
      </c>
      <c r="W46" s="60">
        <v>4068.0</v>
      </c>
      <c r="X46" s="60">
        <v>4092.0</v>
      </c>
      <c r="Y46" s="60">
        <v>4116.0</v>
      </c>
      <c r="Z46" s="60">
        <v>4140.0</v>
      </c>
      <c r="AA46" s="60">
        <v>4164.0</v>
      </c>
      <c r="AB46" s="60">
        <v>4188.0</v>
      </c>
      <c r="AC46" s="60">
        <v>4212.0</v>
      </c>
      <c r="AD46" s="60">
        <v>4236.0</v>
      </c>
      <c r="AE46" s="60">
        <v>4260.0</v>
      </c>
      <c r="AF46" s="60">
        <v>4284.0</v>
      </c>
      <c r="AG46" s="60">
        <v>4308.0</v>
      </c>
      <c r="AH46" s="60">
        <v>4332.0</v>
      </c>
      <c r="AI46" s="60">
        <v>4356.0</v>
      </c>
      <c r="AJ46" s="60">
        <v>4380.0</v>
      </c>
      <c r="AK46" s="60">
        <v>4404.0</v>
      </c>
      <c r="AL46" s="70">
        <v>4428.0</v>
      </c>
      <c r="AM46" s="60">
        <v>4452.0</v>
      </c>
      <c r="AN46" s="60">
        <v>4476.0</v>
      </c>
      <c r="AO46" s="60">
        <v>4500.0</v>
      </c>
      <c r="AP46" s="60">
        <v>4524.0</v>
      </c>
      <c r="AQ46" s="60">
        <v>4548.0</v>
      </c>
      <c r="AR46" s="60">
        <v>4572.0</v>
      </c>
      <c r="AS46" s="60">
        <v>4596.0</v>
      </c>
      <c r="AT46" s="60">
        <v>4620.0</v>
      </c>
      <c r="AU46" s="70">
        <v>4644.0</v>
      </c>
      <c r="AV46" s="60">
        <v>4668.0</v>
      </c>
      <c r="AW46" s="60">
        <v>4692.0</v>
      </c>
      <c r="AX46" s="60">
        <v>4716.0</v>
      </c>
      <c r="AY46" s="60">
        <v>4740.0</v>
      </c>
      <c r="AZ46" s="60">
        <v>4764.0</v>
      </c>
      <c r="BA46" s="60">
        <v>4788.0</v>
      </c>
      <c r="BB46" s="60">
        <v>4812.0</v>
      </c>
      <c r="BC46" s="60">
        <v>4836.0</v>
      </c>
      <c r="BD46" s="60">
        <v>4860.0</v>
      </c>
      <c r="BE46" s="60">
        <v>4884.0</v>
      </c>
      <c r="BF46" s="60">
        <v>4908.0</v>
      </c>
      <c r="BG46" s="60">
        <v>4932.0</v>
      </c>
      <c r="BH46" s="60">
        <v>4956.0</v>
      </c>
      <c r="BI46" s="60">
        <v>4980.0</v>
      </c>
      <c r="BJ46" s="60">
        <v>5004.0</v>
      </c>
      <c r="BK46" s="60">
        <v>5028.0</v>
      </c>
      <c r="BL46" s="60">
        <v>5052.0</v>
      </c>
      <c r="BM46" s="60">
        <v>5076.0</v>
      </c>
      <c r="BN46" s="60">
        <v>5100.0</v>
      </c>
      <c r="BO46" s="60">
        <v>5124.0</v>
      </c>
      <c r="BP46" s="60">
        <v>5148.0</v>
      </c>
      <c r="BQ46" s="60">
        <v>5172.0</v>
      </c>
      <c r="BR46" s="60">
        <v>5196.0</v>
      </c>
      <c r="BS46" s="60">
        <v>5220.0</v>
      </c>
      <c r="BT46" s="60">
        <v>5244.0</v>
      </c>
      <c r="BU46" s="60">
        <v>5268.0</v>
      </c>
      <c r="BV46" s="60">
        <v>5292.0</v>
      </c>
      <c r="BW46" s="60">
        <v>5316.0</v>
      </c>
      <c r="BX46" s="60">
        <v>5340.0</v>
      </c>
      <c r="BY46" s="60">
        <v>5364.0</v>
      </c>
      <c r="BZ46" s="60">
        <v>5388.0</v>
      </c>
      <c r="CA46" s="60">
        <v>5412.0</v>
      </c>
      <c r="CB46" s="60">
        <v>5436.0</v>
      </c>
      <c r="CC46" s="60">
        <v>5460.0</v>
      </c>
      <c r="CD46" s="60">
        <v>5484.0</v>
      </c>
      <c r="CE46" s="60">
        <v>5508.0</v>
      </c>
      <c r="CF46" s="17">
        <v>68.0</v>
      </c>
    </row>
    <row r="47">
      <c r="A47" s="17">
        <v>45.0</v>
      </c>
      <c r="B47" s="60">
        <v>3645.0</v>
      </c>
      <c r="C47" s="60">
        <v>3667.0</v>
      </c>
      <c r="D47" s="60">
        <v>3689.0</v>
      </c>
      <c r="E47" s="60">
        <v>3711.0</v>
      </c>
      <c r="F47" s="60">
        <v>3733.0</v>
      </c>
      <c r="G47" s="60">
        <v>3755.0</v>
      </c>
      <c r="H47" s="60">
        <v>3777.0</v>
      </c>
      <c r="I47" s="60">
        <v>3799.0</v>
      </c>
      <c r="J47" s="60">
        <v>3821.0</v>
      </c>
      <c r="K47" s="60">
        <v>3843.0</v>
      </c>
      <c r="L47" s="60">
        <v>3865.0</v>
      </c>
      <c r="M47" s="60">
        <v>3887.0</v>
      </c>
      <c r="N47" s="60">
        <v>3909.0</v>
      </c>
      <c r="O47" s="60">
        <v>3931.0</v>
      </c>
      <c r="P47" s="60">
        <v>3953.0</v>
      </c>
      <c r="Q47" s="60">
        <v>3975.0</v>
      </c>
      <c r="R47" s="60">
        <v>3997.0</v>
      </c>
      <c r="S47" s="60">
        <v>4019.0</v>
      </c>
      <c r="T47" s="60">
        <v>4041.0</v>
      </c>
      <c r="U47" s="60">
        <v>4063.0</v>
      </c>
      <c r="V47" s="60">
        <v>4085.0</v>
      </c>
      <c r="W47" s="60">
        <v>4107.0</v>
      </c>
      <c r="X47" s="60">
        <v>4129.0</v>
      </c>
      <c r="Y47" s="60">
        <v>4151.0</v>
      </c>
      <c r="Z47" s="60">
        <v>4173.0</v>
      </c>
      <c r="AA47" s="60">
        <v>4195.0</v>
      </c>
      <c r="AB47" s="60">
        <v>4217.0</v>
      </c>
      <c r="AC47" s="60">
        <v>4239.0</v>
      </c>
      <c r="AD47" s="60">
        <v>4261.0</v>
      </c>
      <c r="AE47" s="60">
        <v>4283.0</v>
      </c>
      <c r="AF47" s="60">
        <v>4305.0</v>
      </c>
      <c r="AG47" s="60">
        <v>4327.0</v>
      </c>
      <c r="AH47" s="60">
        <v>4349.0</v>
      </c>
      <c r="AI47" s="60">
        <v>4371.0</v>
      </c>
      <c r="AJ47" s="60">
        <v>4393.0</v>
      </c>
      <c r="AK47" s="60">
        <v>4415.0</v>
      </c>
      <c r="AL47" s="60">
        <v>4437.0</v>
      </c>
      <c r="AM47" s="60">
        <v>4459.0</v>
      </c>
      <c r="AN47" s="60">
        <v>4481.0</v>
      </c>
      <c r="AO47" s="60">
        <v>4503.0</v>
      </c>
      <c r="AP47" s="60">
        <v>4525.0</v>
      </c>
      <c r="AQ47" s="60">
        <v>4547.0</v>
      </c>
      <c r="AR47" s="60">
        <v>4569.0</v>
      </c>
      <c r="AS47" s="60">
        <v>4591.0</v>
      </c>
      <c r="AT47" s="60">
        <v>4613.0</v>
      </c>
      <c r="AU47" s="60">
        <v>4635.0</v>
      </c>
      <c r="AV47" s="60">
        <v>4657.0</v>
      </c>
      <c r="AW47" s="60">
        <v>4679.0</v>
      </c>
      <c r="AX47" s="60">
        <v>4701.0</v>
      </c>
      <c r="AY47" s="60">
        <v>4723.0</v>
      </c>
      <c r="AZ47" s="60">
        <v>4745.0</v>
      </c>
      <c r="BA47" s="60">
        <v>4767.0</v>
      </c>
      <c r="BB47" s="60">
        <v>4789.0</v>
      </c>
      <c r="BC47" s="60">
        <v>4811.0</v>
      </c>
      <c r="BD47" s="60">
        <v>4833.0</v>
      </c>
      <c r="BE47" s="60">
        <v>4855.0</v>
      </c>
      <c r="BF47" s="60">
        <v>4877.0</v>
      </c>
      <c r="BG47" s="60">
        <v>4899.0</v>
      </c>
      <c r="BH47" s="60">
        <v>4921.0</v>
      </c>
      <c r="BI47" s="60">
        <v>4943.0</v>
      </c>
      <c r="BJ47" s="60">
        <v>4965.0</v>
      </c>
      <c r="BK47" s="60">
        <v>4987.0</v>
      </c>
      <c r="BL47" s="60">
        <v>5009.0</v>
      </c>
      <c r="BM47" s="60">
        <v>5031.0</v>
      </c>
      <c r="BN47" s="60">
        <v>5053.0</v>
      </c>
      <c r="BO47" s="60">
        <v>5075.0</v>
      </c>
      <c r="BP47" s="60">
        <v>5097.0</v>
      </c>
      <c r="BQ47" s="60">
        <v>5119.0</v>
      </c>
      <c r="BR47" s="60">
        <v>5141.0</v>
      </c>
      <c r="BS47" s="60">
        <v>5163.0</v>
      </c>
      <c r="BT47" s="60">
        <v>5185.0</v>
      </c>
      <c r="BU47" s="60">
        <v>5207.0</v>
      </c>
      <c r="BV47" s="60">
        <v>5229.0</v>
      </c>
      <c r="BW47" s="60">
        <v>5251.0</v>
      </c>
      <c r="BX47" s="60">
        <v>5273.0</v>
      </c>
      <c r="BY47" s="60">
        <v>5295.0</v>
      </c>
      <c r="BZ47" s="60">
        <v>5317.0</v>
      </c>
      <c r="CA47" s="60">
        <v>5339.0</v>
      </c>
      <c r="CB47" s="60">
        <v>5361.0</v>
      </c>
      <c r="CC47" s="60">
        <v>5383.0</v>
      </c>
      <c r="CD47" s="60">
        <v>5405.0</v>
      </c>
      <c r="CE47" s="60">
        <v>5427.0</v>
      </c>
      <c r="CF47" s="17">
        <v>67.0</v>
      </c>
    </row>
    <row r="48">
      <c r="A48" s="17">
        <v>46.0</v>
      </c>
      <c r="B48" s="60">
        <v>3726.0</v>
      </c>
      <c r="C48" s="60">
        <v>3746.0</v>
      </c>
      <c r="D48" s="60">
        <v>3766.0</v>
      </c>
      <c r="E48" s="60">
        <v>3786.0</v>
      </c>
      <c r="F48" s="60">
        <v>3806.0</v>
      </c>
      <c r="G48" s="60">
        <v>3826.0</v>
      </c>
      <c r="H48" s="60">
        <v>3846.0</v>
      </c>
      <c r="I48" s="60">
        <v>3866.0</v>
      </c>
      <c r="J48" s="60">
        <v>3886.0</v>
      </c>
      <c r="K48" s="60">
        <v>3906.0</v>
      </c>
      <c r="L48" s="60">
        <v>3926.0</v>
      </c>
      <c r="M48" s="60">
        <v>3946.0</v>
      </c>
      <c r="N48" s="60">
        <v>3966.0</v>
      </c>
      <c r="O48" s="60">
        <v>3986.0</v>
      </c>
      <c r="P48" s="60">
        <v>4006.0</v>
      </c>
      <c r="Q48" s="60">
        <v>4026.0</v>
      </c>
      <c r="R48" s="60">
        <v>4046.0</v>
      </c>
      <c r="S48" s="60">
        <v>4066.0</v>
      </c>
      <c r="T48" s="60">
        <v>4086.0</v>
      </c>
      <c r="U48" s="60">
        <v>4106.0</v>
      </c>
      <c r="V48" s="60">
        <v>4126.0</v>
      </c>
      <c r="W48" s="60">
        <v>4146.0</v>
      </c>
      <c r="X48" s="60">
        <v>4166.0</v>
      </c>
      <c r="Y48" s="60">
        <v>4186.0</v>
      </c>
      <c r="Z48" s="60">
        <v>4206.0</v>
      </c>
      <c r="AA48" s="60">
        <v>4226.0</v>
      </c>
      <c r="AB48" s="60">
        <v>4246.0</v>
      </c>
      <c r="AC48" s="60">
        <v>4266.0</v>
      </c>
      <c r="AD48" s="60">
        <v>4286.0</v>
      </c>
      <c r="AE48" s="60">
        <v>4306.0</v>
      </c>
      <c r="AF48" s="60">
        <v>4326.0</v>
      </c>
      <c r="AG48" s="60">
        <v>4346.0</v>
      </c>
      <c r="AH48" s="60">
        <v>4366.0</v>
      </c>
      <c r="AI48" s="60">
        <v>4386.0</v>
      </c>
      <c r="AJ48" s="60">
        <v>4406.0</v>
      </c>
      <c r="AK48" s="70">
        <v>4426.0</v>
      </c>
      <c r="AL48" s="60">
        <v>4446.0</v>
      </c>
      <c r="AM48" s="60">
        <v>4466.0</v>
      </c>
      <c r="AN48" s="60">
        <v>4486.0</v>
      </c>
      <c r="AO48" s="60">
        <v>4506.0</v>
      </c>
      <c r="AP48" s="60">
        <v>4526.0</v>
      </c>
      <c r="AQ48" s="60">
        <v>4546.0</v>
      </c>
      <c r="AR48" s="60">
        <v>4566.0</v>
      </c>
      <c r="AS48" s="60">
        <v>4586.0</v>
      </c>
      <c r="AT48" s="60">
        <v>4606.0</v>
      </c>
      <c r="AU48" s="60">
        <v>4626.0</v>
      </c>
      <c r="AV48" s="70">
        <v>4646.0</v>
      </c>
      <c r="AW48" s="60">
        <v>4666.0</v>
      </c>
      <c r="AX48" s="60">
        <v>4686.0</v>
      </c>
      <c r="AY48" s="60">
        <v>4706.0</v>
      </c>
      <c r="AZ48" s="60">
        <v>4726.0</v>
      </c>
      <c r="BA48" s="60">
        <v>4746.0</v>
      </c>
      <c r="BB48" s="60">
        <v>4766.0</v>
      </c>
      <c r="BC48" s="60">
        <v>4786.0</v>
      </c>
      <c r="BD48" s="60">
        <v>4806.0</v>
      </c>
      <c r="BE48" s="60">
        <v>4826.0</v>
      </c>
      <c r="BF48" s="60">
        <v>4846.0</v>
      </c>
      <c r="BG48" s="60">
        <v>4866.0</v>
      </c>
      <c r="BH48" s="60">
        <v>4886.0</v>
      </c>
      <c r="BI48" s="60">
        <v>4906.0</v>
      </c>
      <c r="BJ48" s="60">
        <v>4926.0</v>
      </c>
      <c r="BK48" s="60">
        <v>4946.0</v>
      </c>
      <c r="BL48" s="60">
        <v>4966.0</v>
      </c>
      <c r="BM48" s="60">
        <v>4986.0</v>
      </c>
      <c r="BN48" s="60">
        <v>5006.0</v>
      </c>
      <c r="BO48" s="60">
        <v>5026.0</v>
      </c>
      <c r="BP48" s="60">
        <v>5046.0</v>
      </c>
      <c r="BQ48" s="60">
        <v>5066.0</v>
      </c>
      <c r="BR48" s="60">
        <v>5086.0</v>
      </c>
      <c r="BS48" s="60">
        <v>5106.0</v>
      </c>
      <c r="BT48" s="60">
        <v>5126.0</v>
      </c>
      <c r="BU48" s="60">
        <v>5146.0</v>
      </c>
      <c r="BV48" s="60">
        <v>5166.0</v>
      </c>
      <c r="BW48" s="60">
        <v>5186.0</v>
      </c>
      <c r="BX48" s="60">
        <v>5206.0</v>
      </c>
      <c r="BY48" s="60">
        <v>5226.0</v>
      </c>
      <c r="BZ48" s="60">
        <v>5246.0</v>
      </c>
      <c r="CA48" s="60">
        <v>5266.0</v>
      </c>
      <c r="CB48" s="60">
        <v>5286.0</v>
      </c>
      <c r="CC48" s="60">
        <v>5306.0</v>
      </c>
      <c r="CD48" s="60">
        <v>5326.0</v>
      </c>
      <c r="CE48" s="60">
        <v>5346.0</v>
      </c>
      <c r="CF48" s="17">
        <v>66.0</v>
      </c>
    </row>
    <row r="49">
      <c r="A49" s="17">
        <v>47.0</v>
      </c>
      <c r="B49" s="60">
        <v>3807.0</v>
      </c>
      <c r="C49" s="60">
        <v>3825.0</v>
      </c>
      <c r="D49" s="60">
        <v>3843.0</v>
      </c>
      <c r="E49" s="60">
        <v>3861.0</v>
      </c>
      <c r="F49" s="60">
        <v>3879.0</v>
      </c>
      <c r="G49" s="60">
        <v>3897.0</v>
      </c>
      <c r="H49" s="60">
        <v>3915.0</v>
      </c>
      <c r="I49" s="60">
        <v>3933.0</v>
      </c>
      <c r="J49" s="60">
        <v>3951.0</v>
      </c>
      <c r="K49" s="60">
        <v>3969.0</v>
      </c>
      <c r="L49" s="60">
        <v>3987.0</v>
      </c>
      <c r="M49" s="60">
        <v>4005.0</v>
      </c>
      <c r="N49" s="60">
        <v>4023.0</v>
      </c>
      <c r="O49" s="60">
        <v>4041.0</v>
      </c>
      <c r="P49" s="60">
        <v>4059.0</v>
      </c>
      <c r="Q49" s="60">
        <v>4077.0</v>
      </c>
      <c r="R49" s="60">
        <v>4095.0</v>
      </c>
      <c r="S49" s="60">
        <v>4113.0</v>
      </c>
      <c r="T49" s="60">
        <v>4131.0</v>
      </c>
      <c r="U49" s="60">
        <v>4149.0</v>
      </c>
      <c r="V49" s="60">
        <v>4167.0</v>
      </c>
      <c r="W49" s="60">
        <v>4185.0</v>
      </c>
      <c r="X49" s="60">
        <v>4203.0</v>
      </c>
      <c r="Y49" s="60">
        <v>4221.0</v>
      </c>
      <c r="Z49" s="60">
        <v>4239.0</v>
      </c>
      <c r="AA49" s="60">
        <v>4257.0</v>
      </c>
      <c r="AB49" s="60">
        <v>4275.0</v>
      </c>
      <c r="AC49" s="60">
        <v>4293.0</v>
      </c>
      <c r="AD49" s="60">
        <v>4311.0</v>
      </c>
      <c r="AE49" s="60">
        <v>4329.0</v>
      </c>
      <c r="AF49" s="60">
        <v>4347.0</v>
      </c>
      <c r="AG49" s="60">
        <v>4365.0</v>
      </c>
      <c r="AH49" s="60">
        <v>4383.0</v>
      </c>
      <c r="AI49" s="60">
        <v>4401.0</v>
      </c>
      <c r="AJ49" s="70">
        <v>4419.0</v>
      </c>
      <c r="AK49" s="60">
        <v>4437.0</v>
      </c>
      <c r="AL49" s="60">
        <v>4455.0</v>
      </c>
      <c r="AM49" s="60">
        <v>4473.0</v>
      </c>
      <c r="AN49" s="60">
        <v>4491.0</v>
      </c>
      <c r="AO49" s="60">
        <v>4509.0</v>
      </c>
      <c r="AP49" s="60">
        <v>4527.0</v>
      </c>
      <c r="AQ49" s="60">
        <v>4545.0</v>
      </c>
      <c r="AR49" s="60">
        <v>4563.0</v>
      </c>
      <c r="AS49" s="60">
        <v>4581.0</v>
      </c>
      <c r="AT49" s="60">
        <v>4599.0</v>
      </c>
      <c r="AU49" s="60">
        <v>4617.0</v>
      </c>
      <c r="AV49" s="60">
        <v>4635.0</v>
      </c>
      <c r="AW49" s="70">
        <v>4653.0</v>
      </c>
      <c r="AX49" s="60">
        <v>4671.0</v>
      </c>
      <c r="AY49" s="60">
        <v>4689.0</v>
      </c>
      <c r="AZ49" s="60">
        <v>4707.0</v>
      </c>
      <c r="BA49" s="60">
        <v>4725.0</v>
      </c>
      <c r="BB49" s="60">
        <v>4743.0</v>
      </c>
      <c r="BC49" s="60">
        <v>4761.0</v>
      </c>
      <c r="BD49" s="60">
        <v>4779.0</v>
      </c>
      <c r="BE49" s="60">
        <v>4797.0</v>
      </c>
      <c r="BF49" s="60">
        <v>4815.0</v>
      </c>
      <c r="BG49" s="60">
        <v>4833.0</v>
      </c>
      <c r="BH49" s="60">
        <v>4851.0</v>
      </c>
      <c r="BI49" s="60">
        <v>4869.0</v>
      </c>
      <c r="BJ49" s="60">
        <v>4887.0</v>
      </c>
      <c r="BK49" s="60">
        <v>4905.0</v>
      </c>
      <c r="BL49" s="60">
        <v>4923.0</v>
      </c>
      <c r="BM49" s="60">
        <v>4941.0</v>
      </c>
      <c r="BN49" s="60">
        <v>4959.0</v>
      </c>
      <c r="BO49" s="60">
        <v>4977.0</v>
      </c>
      <c r="BP49" s="60">
        <v>4995.0</v>
      </c>
      <c r="BQ49" s="60">
        <v>5013.0</v>
      </c>
      <c r="BR49" s="60">
        <v>5031.0</v>
      </c>
      <c r="BS49" s="60">
        <v>5049.0</v>
      </c>
      <c r="BT49" s="60">
        <v>5067.0</v>
      </c>
      <c r="BU49" s="60">
        <v>5085.0</v>
      </c>
      <c r="BV49" s="60">
        <v>5103.0</v>
      </c>
      <c r="BW49" s="60">
        <v>5121.0</v>
      </c>
      <c r="BX49" s="60">
        <v>5139.0</v>
      </c>
      <c r="BY49" s="60">
        <v>5157.0</v>
      </c>
      <c r="BZ49" s="60">
        <v>5175.0</v>
      </c>
      <c r="CA49" s="60">
        <v>5193.0</v>
      </c>
      <c r="CB49" s="60">
        <v>5211.0</v>
      </c>
      <c r="CC49" s="60">
        <v>5229.0</v>
      </c>
      <c r="CD49" s="60">
        <v>5247.0</v>
      </c>
      <c r="CE49" s="60">
        <v>5265.0</v>
      </c>
      <c r="CF49" s="17">
        <v>65.0</v>
      </c>
    </row>
    <row r="50">
      <c r="A50" s="17">
        <v>48.0</v>
      </c>
      <c r="B50" s="60">
        <v>3888.0</v>
      </c>
      <c r="C50" s="60">
        <v>3904.0</v>
      </c>
      <c r="D50" s="60">
        <v>3920.0</v>
      </c>
      <c r="E50" s="60">
        <v>3936.0</v>
      </c>
      <c r="F50" s="60">
        <v>3952.0</v>
      </c>
      <c r="G50" s="60">
        <v>3968.0</v>
      </c>
      <c r="H50" s="60">
        <v>3984.0</v>
      </c>
      <c r="I50" s="60">
        <v>4000.0</v>
      </c>
      <c r="J50" s="60">
        <v>4016.0</v>
      </c>
      <c r="K50" s="60">
        <v>4032.0</v>
      </c>
      <c r="L50" s="60">
        <v>4048.0</v>
      </c>
      <c r="M50" s="60">
        <v>4064.0</v>
      </c>
      <c r="N50" s="60">
        <v>4080.0</v>
      </c>
      <c r="O50" s="60">
        <v>4096.0</v>
      </c>
      <c r="P50" s="60">
        <v>4112.0</v>
      </c>
      <c r="Q50" s="60">
        <v>4128.0</v>
      </c>
      <c r="R50" s="60">
        <v>4144.0</v>
      </c>
      <c r="S50" s="60">
        <v>4160.0</v>
      </c>
      <c r="T50" s="60">
        <v>4176.0</v>
      </c>
      <c r="U50" s="60">
        <v>4192.0</v>
      </c>
      <c r="V50" s="60">
        <v>4208.0</v>
      </c>
      <c r="W50" s="60">
        <v>4224.0</v>
      </c>
      <c r="X50" s="60">
        <v>4240.0</v>
      </c>
      <c r="Y50" s="60">
        <v>4256.0</v>
      </c>
      <c r="Z50" s="60">
        <v>4272.0</v>
      </c>
      <c r="AA50" s="60">
        <v>4288.0</v>
      </c>
      <c r="AB50" s="60">
        <v>4304.0</v>
      </c>
      <c r="AC50" s="60">
        <v>4320.0</v>
      </c>
      <c r="AD50" s="60">
        <v>4336.0</v>
      </c>
      <c r="AE50" s="60">
        <v>4352.0</v>
      </c>
      <c r="AF50" s="60">
        <v>4368.0</v>
      </c>
      <c r="AG50" s="60">
        <v>4384.0</v>
      </c>
      <c r="AH50" s="60">
        <v>4400.0</v>
      </c>
      <c r="AI50" s="63">
        <v>4416.0</v>
      </c>
      <c r="AJ50" s="60">
        <v>4432.0</v>
      </c>
      <c r="AK50" s="60">
        <v>4448.0</v>
      </c>
      <c r="AL50" s="60">
        <v>4464.0</v>
      </c>
      <c r="AM50" s="60">
        <v>4480.0</v>
      </c>
      <c r="AN50" s="60">
        <v>4496.0</v>
      </c>
      <c r="AO50" s="60">
        <v>4512.0</v>
      </c>
      <c r="AP50" s="60">
        <v>4528.0</v>
      </c>
      <c r="AQ50" s="60">
        <v>4544.0</v>
      </c>
      <c r="AR50" s="60">
        <v>4560.0</v>
      </c>
      <c r="AS50" s="60">
        <v>4576.0</v>
      </c>
      <c r="AT50" s="60">
        <v>4592.0</v>
      </c>
      <c r="AU50" s="60">
        <v>4608.0</v>
      </c>
      <c r="AV50" s="60">
        <v>4624.0</v>
      </c>
      <c r="AW50" s="60">
        <v>4640.0</v>
      </c>
      <c r="AX50" s="70">
        <v>4656.0</v>
      </c>
      <c r="AY50" s="60">
        <v>4672.0</v>
      </c>
      <c r="AZ50" s="60">
        <v>4688.0</v>
      </c>
      <c r="BA50" s="60">
        <v>4704.0</v>
      </c>
      <c r="BB50" s="60">
        <v>4720.0</v>
      </c>
      <c r="BC50" s="60">
        <v>4736.0</v>
      </c>
      <c r="BD50" s="60">
        <v>4752.0</v>
      </c>
      <c r="BE50" s="60">
        <v>4768.0</v>
      </c>
      <c r="BF50" s="60">
        <v>4784.0</v>
      </c>
      <c r="BG50" s="60">
        <v>4800.0</v>
      </c>
      <c r="BH50" s="60">
        <v>4816.0</v>
      </c>
      <c r="BI50" s="60">
        <v>4832.0</v>
      </c>
      <c r="BJ50" s="60">
        <v>4848.0</v>
      </c>
      <c r="BK50" s="60">
        <v>4864.0</v>
      </c>
      <c r="BL50" s="60">
        <v>4880.0</v>
      </c>
      <c r="BM50" s="60">
        <v>4896.0</v>
      </c>
      <c r="BN50" s="60">
        <v>4912.0</v>
      </c>
      <c r="BO50" s="60">
        <v>4928.0</v>
      </c>
      <c r="BP50" s="60">
        <v>4944.0</v>
      </c>
      <c r="BQ50" s="60">
        <v>4960.0</v>
      </c>
      <c r="BR50" s="60">
        <v>4976.0</v>
      </c>
      <c r="BS50" s="60">
        <v>4992.0</v>
      </c>
      <c r="BT50" s="60">
        <v>5008.0</v>
      </c>
      <c r="BU50" s="60">
        <v>5024.0</v>
      </c>
      <c r="BV50" s="60">
        <v>5040.0</v>
      </c>
      <c r="BW50" s="60">
        <v>5056.0</v>
      </c>
      <c r="BX50" s="60">
        <v>5072.0</v>
      </c>
      <c r="BY50" s="60">
        <v>5088.0</v>
      </c>
      <c r="BZ50" s="60">
        <v>5104.0</v>
      </c>
      <c r="CA50" s="60">
        <v>5120.0</v>
      </c>
      <c r="CB50" s="60">
        <v>5136.0</v>
      </c>
      <c r="CC50" s="60">
        <v>5152.0</v>
      </c>
      <c r="CD50" s="60">
        <v>5168.0</v>
      </c>
      <c r="CE50" s="60">
        <v>5184.0</v>
      </c>
      <c r="CF50" s="17">
        <v>64.0</v>
      </c>
    </row>
    <row r="51">
      <c r="A51" s="17">
        <v>49.0</v>
      </c>
      <c r="B51" s="60">
        <v>3969.0</v>
      </c>
      <c r="C51" s="60">
        <v>3983.0</v>
      </c>
      <c r="D51" s="60">
        <v>3997.0</v>
      </c>
      <c r="E51" s="60">
        <v>4011.0</v>
      </c>
      <c r="F51" s="60">
        <v>4025.0</v>
      </c>
      <c r="G51" s="60">
        <v>4039.0</v>
      </c>
      <c r="H51" s="60">
        <v>4053.0</v>
      </c>
      <c r="I51" s="60">
        <v>4067.0</v>
      </c>
      <c r="J51" s="60">
        <v>4081.0</v>
      </c>
      <c r="K51" s="60">
        <v>4095.0</v>
      </c>
      <c r="L51" s="60">
        <v>4109.0</v>
      </c>
      <c r="M51" s="60">
        <v>4123.0</v>
      </c>
      <c r="N51" s="60">
        <v>4137.0</v>
      </c>
      <c r="O51" s="60">
        <v>4151.0</v>
      </c>
      <c r="P51" s="60">
        <v>4165.0</v>
      </c>
      <c r="Q51" s="60">
        <v>4179.0</v>
      </c>
      <c r="R51" s="60">
        <v>4193.0</v>
      </c>
      <c r="S51" s="60">
        <v>4207.0</v>
      </c>
      <c r="T51" s="60">
        <v>4221.0</v>
      </c>
      <c r="U51" s="60">
        <v>4235.0</v>
      </c>
      <c r="V51" s="60">
        <v>4249.0</v>
      </c>
      <c r="W51" s="60">
        <v>4263.0</v>
      </c>
      <c r="X51" s="60">
        <v>4277.0</v>
      </c>
      <c r="Y51" s="60">
        <v>4291.0</v>
      </c>
      <c r="Z51" s="60">
        <v>4305.0</v>
      </c>
      <c r="AA51" s="60">
        <v>4319.0</v>
      </c>
      <c r="AB51" s="60">
        <v>4333.0</v>
      </c>
      <c r="AC51" s="60">
        <v>4347.0</v>
      </c>
      <c r="AD51" s="60">
        <v>4361.0</v>
      </c>
      <c r="AE51" s="60">
        <v>4375.0</v>
      </c>
      <c r="AF51" s="60">
        <v>4389.0</v>
      </c>
      <c r="AG51" s="60">
        <v>4403.0</v>
      </c>
      <c r="AH51" s="60">
        <v>4417.0</v>
      </c>
      <c r="AI51" s="60">
        <v>4431.0</v>
      </c>
      <c r="AJ51" s="60">
        <v>4445.0</v>
      </c>
      <c r="AK51" s="60">
        <v>4459.0</v>
      </c>
      <c r="AL51" s="60">
        <v>4473.0</v>
      </c>
      <c r="AM51" s="60">
        <v>4487.0</v>
      </c>
      <c r="AN51" s="60">
        <v>4501.0</v>
      </c>
      <c r="AO51" s="60">
        <v>4515.0</v>
      </c>
      <c r="AP51" s="60">
        <v>4529.0</v>
      </c>
      <c r="AQ51" s="60">
        <v>4543.0</v>
      </c>
      <c r="AR51" s="60">
        <v>4557.0</v>
      </c>
      <c r="AS51" s="60">
        <v>4571.0</v>
      </c>
      <c r="AT51" s="60">
        <v>4585.0</v>
      </c>
      <c r="AU51" s="60">
        <v>4599.0</v>
      </c>
      <c r="AV51" s="60">
        <v>4613.0</v>
      </c>
      <c r="AW51" s="60">
        <v>4627.0</v>
      </c>
      <c r="AX51" s="60">
        <v>4641.0</v>
      </c>
      <c r="AY51" s="60">
        <v>4655.0</v>
      </c>
      <c r="AZ51" s="60">
        <v>4669.0</v>
      </c>
      <c r="BA51" s="60">
        <v>4683.0</v>
      </c>
      <c r="BB51" s="60">
        <v>4697.0</v>
      </c>
      <c r="BC51" s="60">
        <v>4711.0</v>
      </c>
      <c r="BD51" s="60">
        <v>4725.0</v>
      </c>
      <c r="BE51" s="60">
        <v>4739.0</v>
      </c>
      <c r="BF51" s="60">
        <v>4753.0</v>
      </c>
      <c r="BG51" s="60">
        <v>4767.0</v>
      </c>
      <c r="BH51" s="60">
        <v>4781.0</v>
      </c>
      <c r="BI51" s="60">
        <v>4795.0</v>
      </c>
      <c r="BJ51" s="60">
        <v>4809.0</v>
      </c>
      <c r="BK51" s="60">
        <v>4823.0</v>
      </c>
      <c r="BL51" s="60">
        <v>4837.0</v>
      </c>
      <c r="BM51" s="60">
        <v>4851.0</v>
      </c>
      <c r="BN51" s="60">
        <v>4865.0</v>
      </c>
      <c r="BO51" s="60">
        <v>4879.0</v>
      </c>
      <c r="BP51" s="60">
        <v>4893.0</v>
      </c>
      <c r="BQ51" s="60">
        <v>4907.0</v>
      </c>
      <c r="BR51" s="60">
        <v>4921.0</v>
      </c>
      <c r="BS51" s="60">
        <v>4935.0</v>
      </c>
      <c r="BT51" s="60">
        <v>4949.0</v>
      </c>
      <c r="BU51" s="60">
        <v>4963.0</v>
      </c>
      <c r="BV51" s="60">
        <v>4977.0</v>
      </c>
      <c r="BW51" s="60">
        <v>4991.0</v>
      </c>
      <c r="BX51" s="60">
        <v>5005.0</v>
      </c>
      <c r="BY51" s="60">
        <v>5019.0</v>
      </c>
      <c r="BZ51" s="60">
        <v>5033.0</v>
      </c>
      <c r="CA51" s="60">
        <v>5047.0</v>
      </c>
      <c r="CB51" s="60">
        <v>5061.0</v>
      </c>
      <c r="CC51" s="60">
        <v>5075.0</v>
      </c>
      <c r="CD51" s="60">
        <v>5089.0</v>
      </c>
      <c r="CE51" s="60">
        <v>5103.0</v>
      </c>
      <c r="CF51" s="17">
        <v>63.0</v>
      </c>
    </row>
    <row r="52">
      <c r="A52" s="17">
        <v>50.0</v>
      </c>
      <c r="B52" s="60">
        <v>4050.0</v>
      </c>
      <c r="C52" s="60">
        <v>4062.0</v>
      </c>
      <c r="D52" s="60">
        <v>4074.0</v>
      </c>
      <c r="E52" s="60">
        <v>4086.0</v>
      </c>
      <c r="F52" s="60">
        <v>4098.0</v>
      </c>
      <c r="G52" s="60">
        <v>4110.0</v>
      </c>
      <c r="H52" s="60">
        <v>4122.0</v>
      </c>
      <c r="I52" s="60">
        <v>4134.0</v>
      </c>
      <c r="J52" s="60">
        <v>4146.0</v>
      </c>
      <c r="K52" s="60">
        <v>4158.0</v>
      </c>
      <c r="L52" s="60">
        <v>4170.0</v>
      </c>
      <c r="M52" s="60">
        <v>4182.0</v>
      </c>
      <c r="N52" s="60">
        <v>4194.0</v>
      </c>
      <c r="O52" s="60">
        <v>4206.0</v>
      </c>
      <c r="P52" s="60">
        <v>4218.0</v>
      </c>
      <c r="Q52" s="60">
        <v>4230.0</v>
      </c>
      <c r="R52" s="60">
        <v>4242.0</v>
      </c>
      <c r="S52" s="60">
        <v>4254.0</v>
      </c>
      <c r="T52" s="60">
        <v>4266.0</v>
      </c>
      <c r="U52" s="60">
        <v>4278.0</v>
      </c>
      <c r="V52" s="60">
        <v>4290.0</v>
      </c>
      <c r="W52" s="60">
        <v>4302.0</v>
      </c>
      <c r="X52" s="60">
        <v>4314.0</v>
      </c>
      <c r="Y52" s="60">
        <v>4326.0</v>
      </c>
      <c r="Z52" s="60">
        <v>4338.0</v>
      </c>
      <c r="AA52" s="60">
        <v>4350.0</v>
      </c>
      <c r="AB52" s="60">
        <v>4362.0</v>
      </c>
      <c r="AC52" s="60">
        <v>4374.0</v>
      </c>
      <c r="AD52" s="60">
        <v>4386.0</v>
      </c>
      <c r="AE52" s="60">
        <v>4398.0</v>
      </c>
      <c r="AF52" s="60">
        <v>4410.0</v>
      </c>
      <c r="AG52" s="60">
        <v>4422.0</v>
      </c>
      <c r="AH52" s="70">
        <v>4434.0</v>
      </c>
      <c r="AI52" s="60">
        <v>4446.0</v>
      </c>
      <c r="AJ52" s="60">
        <v>4458.0</v>
      </c>
      <c r="AK52" s="60">
        <v>4470.0</v>
      </c>
      <c r="AL52" s="60">
        <v>4482.0</v>
      </c>
      <c r="AM52" s="60">
        <v>4494.0</v>
      </c>
      <c r="AN52" s="60">
        <v>4506.0</v>
      </c>
      <c r="AO52" s="60">
        <v>4518.0</v>
      </c>
      <c r="AP52" s="60">
        <v>4530.0</v>
      </c>
      <c r="AQ52" s="60">
        <v>4542.0</v>
      </c>
      <c r="AR52" s="60">
        <v>4554.0</v>
      </c>
      <c r="AS52" s="60">
        <v>4566.0</v>
      </c>
      <c r="AT52" s="60">
        <v>4578.0</v>
      </c>
      <c r="AU52" s="60">
        <v>4590.0</v>
      </c>
      <c r="AV52" s="60">
        <v>4602.0</v>
      </c>
      <c r="AW52" s="60">
        <v>4614.0</v>
      </c>
      <c r="AX52" s="60">
        <v>4626.0</v>
      </c>
      <c r="AY52" s="70">
        <v>4638.0</v>
      </c>
      <c r="AZ52" s="60">
        <v>4650.0</v>
      </c>
      <c r="BA52" s="60">
        <v>4662.0</v>
      </c>
      <c r="BB52" s="60">
        <v>4674.0</v>
      </c>
      <c r="BC52" s="60">
        <v>4686.0</v>
      </c>
      <c r="BD52" s="60">
        <v>4698.0</v>
      </c>
      <c r="BE52" s="60">
        <v>4710.0</v>
      </c>
      <c r="BF52" s="60">
        <v>4722.0</v>
      </c>
      <c r="BG52" s="60">
        <v>4734.0</v>
      </c>
      <c r="BH52" s="60">
        <v>4746.0</v>
      </c>
      <c r="BI52" s="60">
        <v>4758.0</v>
      </c>
      <c r="BJ52" s="60">
        <v>4770.0</v>
      </c>
      <c r="BK52" s="60">
        <v>4782.0</v>
      </c>
      <c r="BL52" s="60">
        <v>4794.0</v>
      </c>
      <c r="BM52" s="60">
        <v>4806.0</v>
      </c>
      <c r="BN52" s="60">
        <v>4818.0</v>
      </c>
      <c r="BO52" s="60">
        <v>4830.0</v>
      </c>
      <c r="BP52" s="60">
        <v>4842.0</v>
      </c>
      <c r="BQ52" s="60">
        <v>4854.0</v>
      </c>
      <c r="BR52" s="60">
        <v>4866.0</v>
      </c>
      <c r="BS52" s="60">
        <v>4878.0</v>
      </c>
      <c r="BT52" s="60">
        <v>4890.0</v>
      </c>
      <c r="BU52" s="60">
        <v>4902.0</v>
      </c>
      <c r="BV52" s="60">
        <v>4914.0</v>
      </c>
      <c r="BW52" s="60">
        <v>4926.0</v>
      </c>
      <c r="BX52" s="60">
        <v>4938.0</v>
      </c>
      <c r="BY52" s="60">
        <v>4950.0</v>
      </c>
      <c r="BZ52" s="60">
        <v>4962.0</v>
      </c>
      <c r="CA52" s="60">
        <v>4974.0</v>
      </c>
      <c r="CB52" s="60">
        <v>4986.0</v>
      </c>
      <c r="CC52" s="60">
        <v>4998.0</v>
      </c>
      <c r="CD52" s="60">
        <v>5010.0</v>
      </c>
      <c r="CE52" s="60">
        <v>5022.0</v>
      </c>
      <c r="CF52" s="17">
        <v>62.0</v>
      </c>
    </row>
    <row r="53">
      <c r="A53" s="17">
        <v>51.0</v>
      </c>
      <c r="B53" s="60">
        <v>4131.0</v>
      </c>
      <c r="C53" s="60">
        <v>4141.0</v>
      </c>
      <c r="D53" s="60">
        <v>4151.0</v>
      </c>
      <c r="E53" s="60">
        <v>4161.0</v>
      </c>
      <c r="F53" s="60">
        <v>4171.0</v>
      </c>
      <c r="G53" s="60">
        <v>4181.0</v>
      </c>
      <c r="H53" s="60">
        <v>4191.0</v>
      </c>
      <c r="I53" s="60">
        <v>4201.0</v>
      </c>
      <c r="J53" s="60">
        <v>4211.0</v>
      </c>
      <c r="K53" s="60">
        <v>4221.0</v>
      </c>
      <c r="L53" s="60">
        <v>4231.0</v>
      </c>
      <c r="M53" s="60">
        <v>4241.0</v>
      </c>
      <c r="N53" s="60">
        <v>4251.0</v>
      </c>
      <c r="O53" s="60">
        <v>4261.0</v>
      </c>
      <c r="P53" s="60">
        <v>4271.0</v>
      </c>
      <c r="Q53" s="60">
        <v>4281.0</v>
      </c>
      <c r="R53" s="60">
        <v>4291.0</v>
      </c>
      <c r="S53" s="60">
        <v>4301.0</v>
      </c>
      <c r="T53" s="60">
        <v>4311.0</v>
      </c>
      <c r="U53" s="60">
        <v>4321.0</v>
      </c>
      <c r="V53" s="60">
        <v>4331.0</v>
      </c>
      <c r="W53" s="60">
        <v>4341.0</v>
      </c>
      <c r="X53" s="60">
        <v>4351.0</v>
      </c>
      <c r="Y53" s="60">
        <v>4361.0</v>
      </c>
      <c r="Z53" s="60">
        <v>4371.0</v>
      </c>
      <c r="AA53" s="60">
        <v>4381.0</v>
      </c>
      <c r="AB53" s="60">
        <v>4391.0</v>
      </c>
      <c r="AC53" s="60">
        <v>4401.0</v>
      </c>
      <c r="AD53" s="60">
        <v>4411.0</v>
      </c>
      <c r="AE53" s="60">
        <v>4421.0</v>
      </c>
      <c r="AF53" s="60">
        <v>4431.0</v>
      </c>
      <c r="AG53" s="70">
        <v>4441.0</v>
      </c>
      <c r="AH53" s="60">
        <v>4451.0</v>
      </c>
      <c r="AI53" s="60">
        <v>4461.0</v>
      </c>
      <c r="AJ53" s="60">
        <v>4471.0</v>
      </c>
      <c r="AK53" s="60">
        <v>4481.0</v>
      </c>
      <c r="AL53" s="60">
        <v>4491.0</v>
      </c>
      <c r="AM53" s="60">
        <v>4501.0</v>
      </c>
      <c r="AN53" s="60">
        <v>4511.0</v>
      </c>
      <c r="AO53" s="60">
        <v>4521.0</v>
      </c>
      <c r="AP53" s="60">
        <v>4531.0</v>
      </c>
      <c r="AQ53" s="60">
        <v>4541.0</v>
      </c>
      <c r="AR53" s="60">
        <v>4551.0</v>
      </c>
      <c r="AS53" s="60">
        <v>4561.0</v>
      </c>
      <c r="AT53" s="60">
        <v>4571.0</v>
      </c>
      <c r="AU53" s="60">
        <v>4581.0</v>
      </c>
      <c r="AV53" s="60">
        <v>4591.0</v>
      </c>
      <c r="AW53" s="60">
        <v>4601.0</v>
      </c>
      <c r="AX53" s="60">
        <v>4611.0</v>
      </c>
      <c r="AY53" s="60">
        <v>4621.0</v>
      </c>
      <c r="AZ53" s="70">
        <v>4631.0</v>
      </c>
      <c r="BA53" s="60">
        <v>4641.0</v>
      </c>
      <c r="BB53" s="60">
        <v>4651.0</v>
      </c>
      <c r="BC53" s="60">
        <v>4661.0</v>
      </c>
      <c r="BD53" s="60">
        <v>4671.0</v>
      </c>
      <c r="BE53" s="60">
        <v>4681.0</v>
      </c>
      <c r="BF53" s="60">
        <v>4691.0</v>
      </c>
      <c r="BG53" s="60">
        <v>4701.0</v>
      </c>
      <c r="BH53" s="60">
        <v>4711.0</v>
      </c>
      <c r="BI53" s="60">
        <v>4721.0</v>
      </c>
      <c r="BJ53" s="60">
        <v>4731.0</v>
      </c>
      <c r="BK53" s="60">
        <v>4741.0</v>
      </c>
      <c r="BL53" s="60">
        <v>4751.0</v>
      </c>
      <c r="BM53" s="60">
        <v>4761.0</v>
      </c>
      <c r="BN53" s="60">
        <v>4771.0</v>
      </c>
      <c r="BO53" s="60">
        <v>4781.0</v>
      </c>
      <c r="BP53" s="60">
        <v>4791.0</v>
      </c>
      <c r="BQ53" s="60">
        <v>4801.0</v>
      </c>
      <c r="BR53" s="60">
        <v>4811.0</v>
      </c>
      <c r="BS53" s="60">
        <v>4821.0</v>
      </c>
      <c r="BT53" s="60">
        <v>4831.0</v>
      </c>
      <c r="BU53" s="60">
        <v>4841.0</v>
      </c>
      <c r="BV53" s="60">
        <v>4851.0</v>
      </c>
      <c r="BW53" s="60">
        <v>4861.0</v>
      </c>
      <c r="BX53" s="60">
        <v>4871.0</v>
      </c>
      <c r="BY53" s="60">
        <v>4881.0</v>
      </c>
      <c r="BZ53" s="60">
        <v>4891.0</v>
      </c>
      <c r="CA53" s="60">
        <v>4901.0</v>
      </c>
      <c r="CB53" s="60">
        <v>4911.0</v>
      </c>
      <c r="CC53" s="60">
        <v>4921.0</v>
      </c>
      <c r="CD53" s="60">
        <v>4931.0</v>
      </c>
      <c r="CE53" s="60">
        <v>4941.0</v>
      </c>
      <c r="CF53" s="17">
        <v>61.0</v>
      </c>
    </row>
    <row r="54">
      <c r="A54" s="17">
        <v>52.0</v>
      </c>
      <c r="B54" s="60">
        <v>4212.0</v>
      </c>
      <c r="C54" s="60">
        <v>4220.0</v>
      </c>
      <c r="D54" s="60">
        <v>4228.0</v>
      </c>
      <c r="E54" s="60">
        <v>4236.0</v>
      </c>
      <c r="F54" s="60">
        <v>4244.0</v>
      </c>
      <c r="G54" s="60">
        <v>4252.0</v>
      </c>
      <c r="H54" s="60">
        <v>4260.0</v>
      </c>
      <c r="I54" s="60">
        <v>4268.0</v>
      </c>
      <c r="J54" s="60">
        <v>4276.0</v>
      </c>
      <c r="K54" s="60">
        <v>4284.0</v>
      </c>
      <c r="L54" s="60">
        <v>4292.0</v>
      </c>
      <c r="M54" s="60">
        <v>4300.0</v>
      </c>
      <c r="N54" s="60">
        <v>4308.0</v>
      </c>
      <c r="O54" s="60">
        <v>4316.0</v>
      </c>
      <c r="P54" s="60">
        <v>4324.0</v>
      </c>
      <c r="Q54" s="60">
        <v>4332.0</v>
      </c>
      <c r="R54" s="60">
        <v>4340.0</v>
      </c>
      <c r="S54" s="60">
        <v>4348.0</v>
      </c>
      <c r="T54" s="60">
        <v>4356.0</v>
      </c>
      <c r="U54" s="60">
        <v>4364.0</v>
      </c>
      <c r="V54" s="60">
        <v>4372.0</v>
      </c>
      <c r="W54" s="60">
        <v>4380.0</v>
      </c>
      <c r="X54" s="60">
        <v>4388.0</v>
      </c>
      <c r="Y54" s="60">
        <v>4396.0</v>
      </c>
      <c r="Z54" s="60">
        <v>4404.0</v>
      </c>
      <c r="AA54" s="60">
        <v>4412.0</v>
      </c>
      <c r="AB54" s="60">
        <v>4420.0</v>
      </c>
      <c r="AC54" s="60">
        <v>4428.0</v>
      </c>
      <c r="AD54" s="60">
        <v>4436.0</v>
      </c>
      <c r="AE54" s="60">
        <v>4444.0</v>
      </c>
      <c r="AF54" s="70">
        <v>4452.0</v>
      </c>
      <c r="AG54" s="60">
        <v>4460.0</v>
      </c>
      <c r="AH54" s="60">
        <v>4468.0</v>
      </c>
      <c r="AI54" s="60">
        <v>4476.0</v>
      </c>
      <c r="AJ54" s="60">
        <v>4484.0</v>
      </c>
      <c r="AK54" s="60">
        <v>4492.0</v>
      </c>
      <c r="AL54" s="60">
        <v>4500.0</v>
      </c>
      <c r="AM54" s="60">
        <v>4508.0</v>
      </c>
      <c r="AN54" s="60">
        <v>4516.0</v>
      </c>
      <c r="AO54" s="60">
        <v>4524.0</v>
      </c>
      <c r="AP54" s="60">
        <v>4532.0</v>
      </c>
      <c r="AQ54" s="60">
        <v>4540.0</v>
      </c>
      <c r="AR54" s="60">
        <v>4548.0</v>
      </c>
      <c r="AS54" s="60">
        <v>4556.0</v>
      </c>
      <c r="AT54" s="60">
        <v>4564.0</v>
      </c>
      <c r="AU54" s="60">
        <v>4572.0</v>
      </c>
      <c r="AV54" s="60">
        <v>4580.0</v>
      </c>
      <c r="AW54" s="60">
        <v>4588.0</v>
      </c>
      <c r="AX54" s="60">
        <v>4596.0</v>
      </c>
      <c r="AY54" s="60">
        <v>4604.0</v>
      </c>
      <c r="AZ54" s="60">
        <v>4612.0</v>
      </c>
      <c r="BA54" s="70">
        <v>4620.0</v>
      </c>
      <c r="BB54" s="60">
        <v>4628.0</v>
      </c>
      <c r="BC54" s="60">
        <v>4636.0</v>
      </c>
      <c r="BD54" s="60">
        <v>4644.0</v>
      </c>
      <c r="BE54" s="60">
        <v>4652.0</v>
      </c>
      <c r="BF54" s="60">
        <v>4660.0</v>
      </c>
      <c r="BG54" s="60">
        <v>4668.0</v>
      </c>
      <c r="BH54" s="60">
        <v>4676.0</v>
      </c>
      <c r="BI54" s="60">
        <v>4684.0</v>
      </c>
      <c r="BJ54" s="60">
        <v>4692.0</v>
      </c>
      <c r="BK54" s="60">
        <v>4700.0</v>
      </c>
      <c r="BL54" s="60">
        <v>4708.0</v>
      </c>
      <c r="BM54" s="60">
        <v>4716.0</v>
      </c>
      <c r="BN54" s="60">
        <v>4724.0</v>
      </c>
      <c r="BO54" s="60">
        <v>4732.0</v>
      </c>
      <c r="BP54" s="60">
        <v>4740.0</v>
      </c>
      <c r="BQ54" s="60">
        <v>4748.0</v>
      </c>
      <c r="BR54" s="60">
        <v>4756.0</v>
      </c>
      <c r="BS54" s="60">
        <v>4764.0</v>
      </c>
      <c r="BT54" s="60">
        <v>4772.0</v>
      </c>
      <c r="BU54" s="60">
        <v>4780.0</v>
      </c>
      <c r="BV54" s="60">
        <v>4788.0</v>
      </c>
      <c r="BW54" s="60">
        <v>4796.0</v>
      </c>
      <c r="BX54" s="60">
        <v>4804.0</v>
      </c>
      <c r="BY54" s="60">
        <v>4812.0</v>
      </c>
      <c r="BZ54" s="60">
        <v>4820.0</v>
      </c>
      <c r="CA54" s="60">
        <v>4828.0</v>
      </c>
      <c r="CB54" s="60">
        <v>4836.0</v>
      </c>
      <c r="CC54" s="60">
        <v>4844.0</v>
      </c>
      <c r="CD54" s="60">
        <v>4852.0</v>
      </c>
      <c r="CE54" s="60">
        <v>4860.0</v>
      </c>
      <c r="CF54" s="17">
        <v>60.0</v>
      </c>
    </row>
    <row r="55">
      <c r="A55" s="17">
        <v>53.0</v>
      </c>
      <c r="B55" s="60">
        <v>4293.0</v>
      </c>
      <c r="C55" s="60">
        <v>4299.0</v>
      </c>
      <c r="D55" s="60">
        <v>4305.0</v>
      </c>
      <c r="E55" s="60">
        <v>4311.0</v>
      </c>
      <c r="F55" s="60">
        <v>4317.0</v>
      </c>
      <c r="G55" s="60">
        <v>4323.0</v>
      </c>
      <c r="H55" s="60">
        <v>4329.0</v>
      </c>
      <c r="I55" s="60">
        <v>4335.0</v>
      </c>
      <c r="J55" s="60">
        <v>4341.0</v>
      </c>
      <c r="K55" s="60">
        <v>4347.0</v>
      </c>
      <c r="L55" s="60">
        <v>4353.0</v>
      </c>
      <c r="M55" s="60">
        <v>4359.0</v>
      </c>
      <c r="N55" s="60">
        <v>4365.0</v>
      </c>
      <c r="O55" s="60">
        <v>4371.0</v>
      </c>
      <c r="P55" s="60">
        <v>4377.0</v>
      </c>
      <c r="Q55" s="60">
        <v>4383.0</v>
      </c>
      <c r="R55" s="60">
        <v>4389.0</v>
      </c>
      <c r="S55" s="60">
        <v>4395.0</v>
      </c>
      <c r="T55" s="60">
        <v>4401.0</v>
      </c>
      <c r="U55" s="60">
        <v>4407.0</v>
      </c>
      <c r="V55" s="60">
        <v>4413.0</v>
      </c>
      <c r="W55" s="60">
        <v>4419.0</v>
      </c>
      <c r="X55" s="60">
        <v>4425.0</v>
      </c>
      <c r="Y55" s="60">
        <v>4431.0</v>
      </c>
      <c r="Z55" s="60">
        <v>4437.0</v>
      </c>
      <c r="AA55" s="60">
        <v>4443.0</v>
      </c>
      <c r="AB55" s="60">
        <v>4449.0</v>
      </c>
      <c r="AC55" s="60">
        <v>4455.0</v>
      </c>
      <c r="AD55" s="60">
        <v>4461.0</v>
      </c>
      <c r="AE55" s="70">
        <v>4467.0</v>
      </c>
      <c r="AF55" s="60">
        <v>4473.0</v>
      </c>
      <c r="AG55" s="60">
        <v>4479.0</v>
      </c>
      <c r="AH55" s="60">
        <v>4485.0</v>
      </c>
      <c r="AI55" s="60">
        <v>4491.0</v>
      </c>
      <c r="AJ55" s="60">
        <v>4497.0</v>
      </c>
      <c r="AK55" s="60">
        <v>4503.0</v>
      </c>
      <c r="AL55" s="60">
        <v>4509.0</v>
      </c>
      <c r="AM55" s="60">
        <v>4515.0</v>
      </c>
      <c r="AN55" s="60">
        <v>4521.0</v>
      </c>
      <c r="AO55" s="60">
        <v>4527.0</v>
      </c>
      <c r="AP55" s="60">
        <v>4533.0</v>
      </c>
      <c r="AQ55" s="60">
        <v>4539.0</v>
      </c>
      <c r="AR55" s="60">
        <v>4545.0</v>
      </c>
      <c r="AS55" s="60">
        <v>4551.0</v>
      </c>
      <c r="AT55" s="60">
        <v>4557.0</v>
      </c>
      <c r="AU55" s="60">
        <v>4563.0</v>
      </c>
      <c r="AV55" s="60">
        <v>4569.0</v>
      </c>
      <c r="AW55" s="60">
        <v>4575.0</v>
      </c>
      <c r="AX55" s="60">
        <v>4581.0</v>
      </c>
      <c r="AY55" s="60">
        <v>4587.0</v>
      </c>
      <c r="AZ55" s="60">
        <v>4593.0</v>
      </c>
      <c r="BA55" s="60">
        <v>4599.0</v>
      </c>
      <c r="BB55" s="70">
        <v>4605.0</v>
      </c>
      <c r="BC55" s="60">
        <v>4611.0</v>
      </c>
      <c r="BD55" s="60">
        <v>4617.0</v>
      </c>
      <c r="BE55" s="60">
        <v>4623.0</v>
      </c>
      <c r="BF55" s="60">
        <v>4629.0</v>
      </c>
      <c r="BG55" s="60">
        <v>4635.0</v>
      </c>
      <c r="BH55" s="60">
        <v>4641.0</v>
      </c>
      <c r="BI55" s="60">
        <v>4647.0</v>
      </c>
      <c r="BJ55" s="60">
        <v>4653.0</v>
      </c>
      <c r="BK55" s="60">
        <v>4659.0</v>
      </c>
      <c r="BL55" s="60">
        <v>4665.0</v>
      </c>
      <c r="BM55" s="60">
        <v>4671.0</v>
      </c>
      <c r="BN55" s="60">
        <v>4677.0</v>
      </c>
      <c r="BO55" s="60">
        <v>4683.0</v>
      </c>
      <c r="BP55" s="60">
        <v>4689.0</v>
      </c>
      <c r="BQ55" s="60">
        <v>4695.0</v>
      </c>
      <c r="BR55" s="60">
        <v>4701.0</v>
      </c>
      <c r="BS55" s="60">
        <v>4707.0</v>
      </c>
      <c r="BT55" s="60">
        <v>4713.0</v>
      </c>
      <c r="BU55" s="60">
        <v>4719.0</v>
      </c>
      <c r="BV55" s="60">
        <v>4725.0</v>
      </c>
      <c r="BW55" s="60">
        <v>4731.0</v>
      </c>
      <c r="BX55" s="60">
        <v>4737.0</v>
      </c>
      <c r="BY55" s="60">
        <v>4743.0</v>
      </c>
      <c r="BZ55" s="60">
        <v>4749.0</v>
      </c>
      <c r="CA55" s="60">
        <v>4755.0</v>
      </c>
      <c r="CB55" s="60">
        <v>4761.0</v>
      </c>
      <c r="CC55" s="60">
        <v>4767.0</v>
      </c>
      <c r="CD55" s="60">
        <v>4773.0</v>
      </c>
      <c r="CE55" s="60">
        <v>4779.0</v>
      </c>
      <c r="CF55" s="17">
        <v>59.0</v>
      </c>
    </row>
    <row r="56">
      <c r="A56" s="17">
        <v>54.0</v>
      </c>
      <c r="B56" s="60">
        <v>4374.0</v>
      </c>
      <c r="C56" s="60">
        <v>4378.0</v>
      </c>
      <c r="D56" s="60">
        <v>4382.0</v>
      </c>
      <c r="E56" s="60">
        <v>4386.0</v>
      </c>
      <c r="F56" s="60">
        <v>4390.0</v>
      </c>
      <c r="G56" s="60">
        <v>4394.0</v>
      </c>
      <c r="H56" s="60">
        <v>4398.0</v>
      </c>
      <c r="I56" s="60">
        <v>4402.0</v>
      </c>
      <c r="J56" s="60">
        <v>4406.0</v>
      </c>
      <c r="K56" s="60">
        <v>4410.0</v>
      </c>
      <c r="L56" s="60">
        <v>4414.0</v>
      </c>
      <c r="M56" s="60">
        <v>4418.0</v>
      </c>
      <c r="N56" s="60">
        <v>4422.0</v>
      </c>
      <c r="O56" s="60">
        <v>4426.0</v>
      </c>
      <c r="P56" s="60">
        <v>4430.0</v>
      </c>
      <c r="Q56" s="60">
        <v>4434.0</v>
      </c>
      <c r="R56" s="60">
        <v>4438.0</v>
      </c>
      <c r="S56" s="60">
        <v>4442.0</v>
      </c>
      <c r="T56" s="60">
        <v>4446.0</v>
      </c>
      <c r="U56" s="60">
        <v>4450.0</v>
      </c>
      <c r="V56" s="60">
        <v>4454.0</v>
      </c>
      <c r="W56" s="60">
        <v>4458.0</v>
      </c>
      <c r="X56" s="60">
        <v>4462.0</v>
      </c>
      <c r="Y56" s="60">
        <v>4466.0</v>
      </c>
      <c r="Z56" s="60">
        <v>4470.0</v>
      </c>
      <c r="AA56" s="60">
        <v>4474.0</v>
      </c>
      <c r="AB56" s="60">
        <v>4478.0</v>
      </c>
      <c r="AC56" s="60">
        <v>4482.0</v>
      </c>
      <c r="AD56" s="70">
        <v>4486.0</v>
      </c>
      <c r="AE56" s="60">
        <v>4490.0</v>
      </c>
      <c r="AF56" s="60">
        <v>4494.0</v>
      </c>
      <c r="AG56" s="60">
        <v>4498.0</v>
      </c>
      <c r="AH56" s="60">
        <v>4502.0</v>
      </c>
      <c r="AI56" s="60">
        <v>4506.0</v>
      </c>
      <c r="AJ56" s="60">
        <v>4510.0</v>
      </c>
      <c r="AK56" s="60">
        <v>4514.0</v>
      </c>
      <c r="AL56" s="60">
        <v>4518.0</v>
      </c>
      <c r="AM56" s="60">
        <v>4522.0</v>
      </c>
      <c r="AN56" s="60">
        <v>4526.0</v>
      </c>
      <c r="AO56" s="60">
        <v>4530.0</v>
      </c>
      <c r="AP56" s="60">
        <v>4534.0</v>
      </c>
      <c r="AQ56" s="60">
        <v>4538.0</v>
      </c>
      <c r="AR56" s="60">
        <v>4542.0</v>
      </c>
      <c r="AS56" s="60">
        <v>4546.0</v>
      </c>
      <c r="AT56" s="60">
        <v>4550.0</v>
      </c>
      <c r="AU56" s="60">
        <v>4554.0</v>
      </c>
      <c r="AV56" s="60">
        <v>4558.0</v>
      </c>
      <c r="AW56" s="60">
        <v>4562.0</v>
      </c>
      <c r="AX56" s="60">
        <v>4566.0</v>
      </c>
      <c r="AY56" s="60">
        <v>4570.0</v>
      </c>
      <c r="AZ56" s="60">
        <v>4574.0</v>
      </c>
      <c r="BA56" s="60">
        <v>4578.0</v>
      </c>
      <c r="BB56" s="60">
        <v>4582.0</v>
      </c>
      <c r="BC56" s="70">
        <v>4586.0</v>
      </c>
      <c r="BD56" s="60">
        <v>4590.0</v>
      </c>
      <c r="BE56" s="60">
        <v>4594.0</v>
      </c>
      <c r="BF56" s="60">
        <v>4598.0</v>
      </c>
      <c r="BG56" s="60">
        <v>4602.0</v>
      </c>
      <c r="BH56" s="60">
        <v>4606.0</v>
      </c>
      <c r="BI56" s="60">
        <v>4610.0</v>
      </c>
      <c r="BJ56" s="60">
        <v>4614.0</v>
      </c>
      <c r="BK56" s="60">
        <v>4618.0</v>
      </c>
      <c r="BL56" s="60">
        <v>4622.0</v>
      </c>
      <c r="BM56" s="60">
        <v>4626.0</v>
      </c>
      <c r="BN56" s="60">
        <v>4630.0</v>
      </c>
      <c r="BO56" s="60">
        <v>4634.0</v>
      </c>
      <c r="BP56" s="60">
        <v>4638.0</v>
      </c>
      <c r="BQ56" s="60">
        <v>4642.0</v>
      </c>
      <c r="BR56" s="60">
        <v>4646.0</v>
      </c>
      <c r="BS56" s="60">
        <v>4650.0</v>
      </c>
      <c r="BT56" s="60">
        <v>4654.0</v>
      </c>
      <c r="BU56" s="60">
        <v>4658.0</v>
      </c>
      <c r="BV56" s="60">
        <v>4662.0</v>
      </c>
      <c r="BW56" s="60">
        <v>4666.0</v>
      </c>
      <c r="BX56" s="60">
        <v>4670.0</v>
      </c>
      <c r="BY56" s="60">
        <v>4674.0</v>
      </c>
      <c r="BZ56" s="60">
        <v>4678.0</v>
      </c>
      <c r="CA56" s="60">
        <v>4682.0</v>
      </c>
      <c r="CB56" s="60">
        <v>4686.0</v>
      </c>
      <c r="CC56" s="60">
        <v>4690.0</v>
      </c>
      <c r="CD56" s="60">
        <v>4694.0</v>
      </c>
      <c r="CE56" s="60">
        <v>4698.0</v>
      </c>
      <c r="CF56" s="17">
        <v>58.0</v>
      </c>
    </row>
    <row r="57">
      <c r="A57" s="17">
        <v>55.0</v>
      </c>
      <c r="B57" s="60">
        <v>4455.0</v>
      </c>
      <c r="C57" s="60">
        <v>4457.0</v>
      </c>
      <c r="D57" s="60">
        <v>4459.0</v>
      </c>
      <c r="E57" s="60">
        <v>4461.0</v>
      </c>
      <c r="F57" s="60">
        <v>4463.0</v>
      </c>
      <c r="G57" s="60">
        <v>4465.0</v>
      </c>
      <c r="H57" s="60">
        <v>4467.0</v>
      </c>
      <c r="I57" s="60">
        <v>4469.0</v>
      </c>
      <c r="J57" s="60">
        <v>4471.0</v>
      </c>
      <c r="K57" s="60">
        <v>4473.0</v>
      </c>
      <c r="L57" s="60">
        <v>4475.0</v>
      </c>
      <c r="M57" s="60">
        <v>4477.0</v>
      </c>
      <c r="N57" s="60">
        <v>4479.0</v>
      </c>
      <c r="O57" s="60">
        <v>4481.0</v>
      </c>
      <c r="P57" s="60">
        <v>4483.0</v>
      </c>
      <c r="Q57" s="60">
        <v>4485.0</v>
      </c>
      <c r="R57" s="60">
        <v>4487.0</v>
      </c>
      <c r="S57" s="60">
        <v>4489.0</v>
      </c>
      <c r="T57" s="60">
        <v>4491.0</v>
      </c>
      <c r="U57" s="60">
        <v>4493.0</v>
      </c>
      <c r="V57" s="60">
        <v>4495.0</v>
      </c>
      <c r="W57" s="60">
        <v>4497.0</v>
      </c>
      <c r="X57" s="60">
        <v>4499.0</v>
      </c>
      <c r="Y57" s="60">
        <v>4501.0</v>
      </c>
      <c r="Z57" s="60">
        <v>4503.0</v>
      </c>
      <c r="AA57" s="60">
        <v>4505.0</v>
      </c>
      <c r="AB57" s="60">
        <v>4507.0</v>
      </c>
      <c r="AC57" s="70">
        <v>4509.0</v>
      </c>
      <c r="AD57" s="60">
        <v>4511.0</v>
      </c>
      <c r="AE57" s="60">
        <v>4513.0</v>
      </c>
      <c r="AF57" s="60">
        <v>4515.0</v>
      </c>
      <c r="AG57" s="60">
        <v>4517.0</v>
      </c>
      <c r="AH57" s="60">
        <v>4519.0</v>
      </c>
      <c r="AI57" s="60">
        <v>4521.0</v>
      </c>
      <c r="AJ57" s="60">
        <v>4523.0</v>
      </c>
      <c r="AK57" s="60">
        <v>4525.0</v>
      </c>
      <c r="AL57" s="60">
        <v>4527.0</v>
      </c>
      <c r="AM57" s="60">
        <v>4529.0</v>
      </c>
      <c r="AN57" s="60">
        <v>4531.0</v>
      </c>
      <c r="AO57" s="60">
        <v>4533.0</v>
      </c>
      <c r="AP57" s="60">
        <v>4535.0</v>
      </c>
      <c r="AQ57" s="60">
        <v>4537.0</v>
      </c>
      <c r="AR57" s="60">
        <v>4539.0</v>
      </c>
      <c r="AS57" s="60">
        <v>4541.0</v>
      </c>
      <c r="AT57" s="60">
        <v>4543.0</v>
      </c>
      <c r="AU57" s="60">
        <v>4545.0</v>
      </c>
      <c r="AV57" s="60">
        <v>4547.0</v>
      </c>
      <c r="AW57" s="60">
        <v>4549.0</v>
      </c>
      <c r="AX57" s="60">
        <v>4551.0</v>
      </c>
      <c r="AY57" s="60">
        <v>4553.0</v>
      </c>
      <c r="AZ57" s="60">
        <v>4555.0</v>
      </c>
      <c r="BA57" s="60">
        <v>4557.0</v>
      </c>
      <c r="BB57" s="60">
        <v>4559.0</v>
      </c>
      <c r="BC57" s="60">
        <v>4561.0</v>
      </c>
      <c r="BD57" s="70">
        <v>4563.0</v>
      </c>
      <c r="BE57" s="60">
        <v>4565.0</v>
      </c>
      <c r="BF57" s="60">
        <v>4567.0</v>
      </c>
      <c r="BG57" s="60">
        <v>4569.0</v>
      </c>
      <c r="BH57" s="60">
        <v>4571.0</v>
      </c>
      <c r="BI57" s="60">
        <v>4573.0</v>
      </c>
      <c r="BJ57" s="60">
        <v>4575.0</v>
      </c>
      <c r="BK57" s="60">
        <v>4577.0</v>
      </c>
      <c r="BL57" s="60">
        <v>4579.0</v>
      </c>
      <c r="BM57" s="60">
        <v>4581.0</v>
      </c>
      <c r="BN57" s="60">
        <v>4583.0</v>
      </c>
      <c r="BO57" s="60">
        <v>4585.0</v>
      </c>
      <c r="BP57" s="60">
        <v>4587.0</v>
      </c>
      <c r="BQ57" s="60">
        <v>4589.0</v>
      </c>
      <c r="BR57" s="60">
        <v>4591.0</v>
      </c>
      <c r="BS57" s="60">
        <v>4593.0</v>
      </c>
      <c r="BT57" s="60">
        <v>4595.0</v>
      </c>
      <c r="BU57" s="60">
        <v>4597.0</v>
      </c>
      <c r="BV57" s="60">
        <v>4599.0</v>
      </c>
      <c r="BW57" s="60">
        <v>4601.0</v>
      </c>
      <c r="BX57" s="60">
        <v>4603.0</v>
      </c>
      <c r="BY57" s="60">
        <v>4605.0</v>
      </c>
      <c r="BZ57" s="60">
        <v>4607.0</v>
      </c>
      <c r="CA57" s="60">
        <v>4609.0</v>
      </c>
      <c r="CB57" s="60">
        <v>4611.0</v>
      </c>
      <c r="CC57" s="60">
        <v>4613.0</v>
      </c>
      <c r="CD57" s="60">
        <v>4615.0</v>
      </c>
      <c r="CE57" s="60">
        <v>4617.0</v>
      </c>
      <c r="CF57" s="17">
        <v>57.0</v>
      </c>
    </row>
    <row r="58">
      <c r="A58" s="17">
        <v>56.0</v>
      </c>
      <c r="B58" s="60">
        <v>4536.0</v>
      </c>
      <c r="C58" s="60">
        <v>4536.0</v>
      </c>
      <c r="D58" s="60">
        <v>4536.0</v>
      </c>
      <c r="E58" s="60">
        <v>4536.0</v>
      </c>
      <c r="F58" s="60">
        <v>4536.0</v>
      </c>
      <c r="G58" s="60">
        <v>4536.0</v>
      </c>
      <c r="H58" s="60">
        <v>4536.0</v>
      </c>
      <c r="I58" s="60">
        <v>4536.0</v>
      </c>
      <c r="J58" s="60">
        <v>4536.0</v>
      </c>
      <c r="K58" s="60">
        <v>4536.0</v>
      </c>
      <c r="L58" s="60">
        <v>4536.0</v>
      </c>
      <c r="M58" s="60">
        <v>4536.0</v>
      </c>
      <c r="N58" s="60">
        <v>4536.0</v>
      </c>
      <c r="O58" s="60">
        <v>4536.0</v>
      </c>
      <c r="P58" s="60">
        <v>4536.0</v>
      </c>
      <c r="Q58" s="60">
        <v>4536.0</v>
      </c>
      <c r="R58" s="60">
        <v>4536.0</v>
      </c>
      <c r="S58" s="60">
        <v>4536.0</v>
      </c>
      <c r="T58" s="60">
        <v>4536.0</v>
      </c>
      <c r="U58" s="60">
        <v>4536.0</v>
      </c>
      <c r="V58" s="60">
        <v>4536.0</v>
      </c>
      <c r="W58" s="60">
        <v>4536.0</v>
      </c>
      <c r="X58" s="60">
        <v>4536.0</v>
      </c>
      <c r="Y58" s="60">
        <v>4536.0</v>
      </c>
      <c r="Z58" s="60">
        <v>4536.0</v>
      </c>
      <c r="AA58" s="60">
        <v>4536.0</v>
      </c>
      <c r="AB58" s="70">
        <v>4536.0</v>
      </c>
      <c r="AC58" s="60">
        <v>4536.0</v>
      </c>
      <c r="AD58" s="60">
        <v>4536.0</v>
      </c>
      <c r="AE58" s="60">
        <v>4536.0</v>
      </c>
      <c r="AF58" s="60">
        <v>4536.0</v>
      </c>
      <c r="AG58" s="60">
        <v>4536.0</v>
      </c>
      <c r="AH58" s="60">
        <v>4536.0</v>
      </c>
      <c r="AI58" s="60">
        <v>4536.0</v>
      </c>
      <c r="AJ58" s="60">
        <v>4536.0</v>
      </c>
      <c r="AK58" s="60">
        <v>4536.0</v>
      </c>
      <c r="AL58" s="60">
        <v>4536.0</v>
      </c>
      <c r="AM58" s="60">
        <v>4536.0</v>
      </c>
      <c r="AN58" s="60">
        <v>4536.0</v>
      </c>
      <c r="AO58" s="60">
        <v>4536.0</v>
      </c>
      <c r="AP58" s="60">
        <v>4536.0</v>
      </c>
      <c r="AQ58" s="60">
        <v>4536.0</v>
      </c>
      <c r="AR58" s="60">
        <v>4536.0</v>
      </c>
      <c r="AS58" s="60">
        <v>4536.0</v>
      </c>
      <c r="AT58" s="60">
        <v>4536.0</v>
      </c>
      <c r="AU58" s="60">
        <v>4536.0</v>
      </c>
      <c r="AV58" s="60">
        <v>4536.0</v>
      </c>
      <c r="AW58" s="60">
        <v>4536.0</v>
      </c>
      <c r="AX58" s="60">
        <v>4536.0</v>
      </c>
      <c r="AY58" s="60">
        <v>4536.0</v>
      </c>
      <c r="AZ58" s="60">
        <v>4536.0</v>
      </c>
      <c r="BA58" s="60">
        <v>4536.0</v>
      </c>
      <c r="BB58" s="60">
        <v>4536.0</v>
      </c>
      <c r="BC58" s="60">
        <v>4536.0</v>
      </c>
      <c r="BD58" s="60">
        <v>4536.0</v>
      </c>
      <c r="BE58" s="70">
        <v>4536.0</v>
      </c>
      <c r="BF58" s="60">
        <v>4536.0</v>
      </c>
      <c r="BG58" s="60">
        <v>4536.0</v>
      </c>
      <c r="BH58" s="60">
        <v>4536.0</v>
      </c>
      <c r="BI58" s="60">
        <v>4536.0</v>
      </c>
      <c r="BJ58" s="60">
        <v>4536.0</v>
      </c>
      <c r="BK58" s="60">
        <v>4536.0</v>
      </c>
      <c r="BL58" s="60">
        <v>4536.0</v>
      </c>
      <c r="BM58" s="60">
        <v>4536.0</v>
      </c>
      <c r="BN58" s="60">
        <v>4536.0</v>
      </c>
      <c r="BO58" s="60">
        <v>4536.0</v>
      </c>
      <c r="BP58" s="60">
        <v>4536.0</v>
      </c>
      <c r="BQ58" s="60">
        <v>4536.0</v>
      </c>
      <c r="BR58" s="60">
        <v>4536.0</v>
      </c>
      <c r="BS58" s="60">
        <v>4536.0</v>
      </c>
      <c r="BT58" s="60">
        <v>4536.0</v>
      </c>
      <c r="BU58" s="60">
        <v>4536.0</v>
      </c>
      <c r="BV58" s="60">
        <v>4536.0</v>
      </c>
      <c r="BW58" s="60">
        <v>4536.0</v>
      </c>
      <c r="BX58" s="60">
        <v>4536.0</v>
      </c>
      <c r="BY58" s="60">
        <v>4536.0</v>
      </c>
      <c r="BZ58" s="60">
        <v>4536.0</v>
      </c>
      <c r="CA58" s="60">
        <v>4536.0</v>
      </c>
      <c r="CB58" s="60">
        <v>4536.0</v>
      </c>
      <c r="CC58" s="60">
        <v>4536.0</v>
      </c>
      <c r="CD58" s="60">
        <v>4536.0</v>
      </c>
      <c r="CE58" s="60">
        <v>4536.0</v>
      </c>
      <c r="CF58" s="17">
        <v>56.0</v>
      </c>
    </row>
    <row r="59">
      <c r="A59" s="17">
        <v>57.0</v>
      </c>
      <c r="B59" s="60">
        <v>4617.0</v>
      </c>
      <c r="C59" s="60">
        <v>4615.0</v>
      </c>
      <c r="D59" s="60">
        <v>4613.0</v>
      </c>
      <c r="E59" s="60">
        <v>4611.0</v>
      </c>
      <c r="F59" s="60">
        <v>4609.0</v>
      </c>
      <c r="G59" s="60">
        <v>4607.0</v>
      </c>
      <c r="H59" s="60">
        <v>4605.0</v>
      </c>
      <c r="I59" s="60">
        <v>4603.0</v>
      </c>
      <c r="J59" s="60">
        <v>4601.0</v>
      </c>
      <c r="K59" s="60">
        <v>4599.0</v>
      </c>
      <c r="L59" s="60">
        <v>4597.0</v>
      </c>
      <c r="M59" s="60">
        <v>4595.0</v>
      </c>
      <c r="N59" s="60">
        <v>4593.0</v>
      </c>
      <c r="O59" s="60">
        <v>4591.0</v>
      </c>
      <c r="P59" s="60">
        <v>4589.0</v>
      </c>
      <c r="Q59" s="60">
        <v>4587.0</v>
      </c>
      <c r="R59" s="60">
        <v>4585.0</v>
      </c>
      <c r="S59" s="60">
        <v>4583.0</v>
      </c>
      <c r="T59" s="60">
        <v>4581.0</v>
      </c>
      <c r="U59" s="60">
        <v>4579.0</v>
      </c>
      <c r="V59" s="60">
        <v>4577.0</v>
      </c>
      <c r="W59" s="60">
        <v>4575.0</v>
      </c>
      <c r="X59" s="60">
        <v>4573.0</v>
      </c>
      <c r="Y59" s="60">
        <v>4571.0</v>
      </c>
      <c r="Z59" s="60">
        <v>4569.0</v>
      </c>
      <c r="AA59" s="60">
        <v>4567.0</v>
      </c>
      <c r="AB59" s="60">
        <v>4565.0</v>
      </c>
      <c r="AC59" s="70">
        <v>4563.0</v>
      </c>
      <c r="AD59" s="60">
        <v>4561.0</v>
      </c>
      <c r="AE59" s="60">
        <v>4559.0</v>
      </c>
      <c r="AF59" s="60">
        <v>4557.0</v>
      </c>
      <c r="AG59" s="60">
        <v>4555.0</v>
      </c>
      <c r="AH59" s="60">
        <v>4553.0</v>
      </c>
      <c r="AI59" s="60">
        <v>4551.0</v>
      </c>
      <c r="AJ59" s="60">
        <v>4549.0</v>
      </c>
      <c r="AK59" s="60">
        <v>4547.0</v>
      </c>
      <c r="AL59" s="60">
        <v>4545.0</v>
      </c>
      <c r="AM59" s="60">
        <v>4543.0</v>
      </c>
      <c r="AN59" s="60">
        <v>4541.0</v>
      </c>
      <c r="AO59" s="60">
        <v>4539.0</v>
      </c>
      <c r="AP59" s="60">
        <v>4537.0</v>
      </c>
      <c r="AQ59" s="60">
        <v>4535.0</v>
      </c>
      <c r="AR59" s="60">
        <v>4533.0</v>
      </c>
      <c r="AS59" s="60">
        <v>4531.0</v>
      </c>
      <c r="AT59" s="60">
        <v>4529.0</v>
      </c>
      <c r="AU59" s="60">
        <v>4527.0</v>
      </c>
      <c r="AV59" s="60">
        <v>4525.0</v>
      </c>
      <c r="AW59" s="60">
        <v>4523.0</v>
      </c>
      <c r="AX59" s="60">
        <v>4521.0</v>
      </c>
      <c r="AY59" s="60">
        <v>4519.0</v>
      </c>
      <c r="AZ59" s="60">
        <v>4517.0</v>
      </c>
      <c r="BA59" s="60">
        <v>4515.0</v>
      </c>
      <c r="BB59" s="60">
        <v>4513.0</v>
      </c>
      <c r="BC59" s="60">
        <v>4511.0</v>
      </c>
      <c r="BD59" s="70">
        <v>4509.0</v>
      </c>
      <c r="BE59" s="60">
        <v>4507.0</v>
      </c>
      <c r="BF59" s="60">
        <v>4505.0</v>
      </c>
      <c r="BG59" s="60">
        <v>4503.0</v>
      </c>
      <c r="BH59" s="60">
        <v>4501.0</v>
      </c>
      <c r="BI59" s="60">
        <v>4499.0</v>
      </c>
      <c r="BJ59" s="60">
        <v>4497.0</v>
      </c>
      <c r="BK59" s="60">
        <v>4495.0</v>
      </c>
      <c r="BL59" s="60">
        <v>4493.0</v>
      </c>
      <c r="BM59" s="60">
        <v>4491.0</v>
      </c>
      <c r="BN59" s="60">
        <v>4489.0</v>
      </c>
      <c r="BO59" s="60">
        <v>4487.0</v>
      </c>
      <c r="BP59" s="60">
        <v>4485.0</v>
      </c>
      <c r="BQ59" s="60">
        <v>4483.0</v>
      </c>
      <c r="BR59" s="60">
        <v>4481.0</v>
      </c>
      <c r="BS59" s="60">
        <v>4479.0</v>
      </c>
      <c r="BT59" s="60">
        <v>4477.0</v>
      </c>
      <c r="BU59" s="60">
        <v>4475.0</v>
      </c>
      <c r="BV59" s="60">
        <v>4473.0</v>
      </c>
      <c r="BW59" s="60">
        <v>4471.0</v>
      </c>
      <c r="BX59" s="60">
        <v>4469.0</v>
      </c>
      <c r="BY59" s="60">
        <v>4467.0</v>
      </c>
      <c r="BZ59" s="60">
        <v>4465.0</v>
      </c>
      <c r="CA59" s="60">
        <v>4463.0</v>
      </c>
      <c r="CB59" s="60">
        <v>4461.0</v>
      </c>
      <c r="CC59" s="60">
        <v>4459.0</v>
      </c>
      <c r="CD59" s="60">
        <v>4457.0</v>
      </c>
      <c r="CE59" s="60">
        <v>4455.0</v>
      </c>
      <c r="CF59" s="17">
        <v>55.0</v>
      </c>
    </row>
    <row r="60">
      <c r="A60" s="17">
        <v>58.0</v>
      </c>
      <c r="B60" s="60">
        <v>4698.0</v>
      </c>
      <c r="C60" s="60">
        <v>4694.0</v>
      </c>
      <c r="D60" s="60">
        <v>4690.0</v>
      </c>
      <c r="E60" s="60">
        <v>4686.0</v>
      </c>
      <c r="F60" s="60">
        <v>4682.0</v>
      </c>
      <c r="G60" s="60">
        <v>4678.0</v>
      </c>
      <c r="H60" s="60">
        <v>4674.0</v>
      </c>
      <c r="I60" s="60">
        <v>4670.0</v>
      </c>
      <c r="J60" s="60">
        <v>4666.0</v>
      </c>
      <c r="K60" s="60">
        <v>4662.0</v>
      </c>
      <c r="L60" s="60">
        <v>4658.0</v>
      </c>
      <c r="M60" s="60">
        <v>4654.0</v>
      </c>
      <c r="N60" s="60">
        <v>4650.0</v>
      </c>
      <c r="O60" s="60">
        <v>4646.0</v>
      </c>
      <c r="P60" s="60">
        <v>4642.0</v>
      </c>
      <c r="Q60" s="60">
        <v>4638.0</v>
      </c>
      <c r="R60" s="60">
        <v>4634.0</v>
      </c>
      <c r="S60" s="60">
        <v>4630.0</v>
      </c>
      <c r="T60" s="60">
        <v>4626.0</v>
      </c>
      <c r="U60" s="60">
        <v>4622.0</v>
      </c>
      <c r="V60" s="60">
        <v>4618.0</v>
      </c>
      <c r="W60" s="60">
        <v>4614.0</v>
      </c>
      <c r="X60" s="60">
        <v>4610.0</v>
      </c>
      <c r="Y60" s="60">
        <v>4606.0</v>
      </c>
      <c r="Z60" s="60">
        <v>4602.0</v>
      </c>
      <c r="AA60" s="60">
        <v>4598.0</v>
      </c>
      <c r="AB60" s="60">
        <v>4594.0</v>
      </c>
      <c r="AC60" s="60">
        <v>4590.0</v>
      </c>
      <c r="AD60" s="70">
        <v>4586.0</v>
      </c>
      <c r="AE60" s="60">
        <v>4582.0</v>
      </c>
      <c r="AF60" s="60">
        <v>4578.0</v>
      </c>
      <c r="AG60" s="60">
        <v>4574.0</v>
      </c>
      <c r="AH60" s="60">
        <v>4570.0</v>
      </c>
      <c r="AI60" s="60">
        <v>4566.0</v>
      </c>
      <c r="AJ60" s="60">
        <v>4562.0</v>
      </c>
      <c r="AK60" s="60">
        <v>4558.0</v>
      </c>
      <c r="AL60" s="60">
        <v>4554.0</v>
      </c>
      <c r="AM60" s="60">
        <v>4550.0</v>
      </c>
      <c r="AN60" s="60">
        <v>4546.0</v>
      </c>
      <c r="AO60" s="60">
        <v>4542.0</v>
      </c>
      <c r="AP60" s="60">
        <v>4538.0</v>
      </c>
      <c r="AQ60" s="60">
        <v>4534.0</v>
      </c>
      <c r="AR60" s="60">
        <v>4530.0</v>
      </c>
      <c r="AS60" s="60">
        <v>4526.0</v>
      </c>
      <c r="AT60" s="60">
        <v>4522.0</v>
      </c>
      <c r="AU60" s="60">
        <v>4518.0</v>
      </c>
      <c r="AV60" s="60">
        <v>4514.0</v>
      </c>
      <c r="AW60" s="60">
        <v>4510.0</v>
      </c>
      <c r="AX60" s="60">
        <v>4506.0</v>
      </c>
      <c r="AY60" s="60">
        <v>4502.0</v>
      </c>
      <c r="AZ60" s="60">
        <v>4498.0</v>
      </c>
      <c r="BA60" s="60">
        <v>4494.0</v>
      </c>
      <c r="BB60" s="60">
        <v>4490.0</v>
      </c>
      <c r="BC60" s="70">
        <v>4486.0</v>
      </c>
      <c r="BD60" s="60">
        <v>4482.0</v>
      </c>
      <c r="BE60" s="60">
        <v>4478.0</v>
      </c>
      <c r="BF60" s="60">
        <v>4474.0</v>
      </c>
      <c r="BG60" s="60">
        <v>4470.0</v>
      </c>
      <c r="BH60" s="60">
        <v>4466.0</v>
      </c>
      <c r="BI60" s="60">
        <v>4462.0</v>
      </c>
      <c r="BJ60" s="60">
        <v>4458.0</v>
      </c>
      <c r="BK60" s="60">
        <v>4454.0</v>
      </c>
      <c r="BL60" s="60">
        <v>4450.0</v>
      </c>
      <c r="BM60" s="60">
        <v>4446.0</v>
      </c>
      <c r="BN60" s="60">
        <v>4442.0</v>
      </c>
      <c r="BO60" s="60">
        <v>4438.0</v>
      </c>
      <c r="BP60" s="60">
        <v>4434.0</v>
      </c>
      <c r="BQ60" s="60">
        <v>4430.0</v>
      </c>
      <c r="BR60" s="60">
        <v>4426.0</v>
      </c>
      <c r="BS60" s="60">
        <v>4422.0</v>
      </c>
      <c r="BT60" s="60">
        <v>4418.0</v>
      </c>
      <c r="BU60" s="60">
        <v>4414.0</v>
      </c>
      <c r="BV60" s="60">
        <v>4410.0</v>
      </c>
      <c r="BW60" s="60">
        <v>4406.0</v>
      </c>
      <c r="BX60" s="60">
        <v>4402.0</v>
      </c>
      <c r="BY60" s="60">
        <v>4398.0</v>
      </c>
      <c r="BZ60" s="60">
        <v>4394.0</v>
      </c>
      <c r="CA60" s="60">
        <v>4390.0</v>
      </c>
      <c r="CB60" s="60">
        <v>4386.0</v>
      </c>
      <c r="CC60" s="60">
        <v>4382.0</v>
      </c>
      <c r="CD60" s="60">
        <v>4378.0</v>
      </c>
      <c r="CE60" s="60">
        <v>4374.0</v>
      </c>
      <c r="CF60" s="17">
        <v>54.0</v>
      </c>
    </row>
    <row r="61">
      <c r="A61" s="17">
        <v>59.0</v>
      </c>
      <c r="B61" s="60">
        <v>4779.0</v>
      </c>
      <c r="C61" s="60">
        <v>4773.0</v>
      </c>
      <c r="D61" s="60">
        <v>4767.0</v>
      </c>
      <c r="E61" s="60">
        <v>4761.0</v>
      </c>
      <c r="F61" s="60">
        <v>4755.0</v>
      </c>
      <c r="G61" s="60">
        <v>4749.0</v>
      </c>
      <c r="H61" s="60">
        <v>4743.0</v>
      </c>
      <c r="I61" s="60">
        <v>4737.0</v>
      </c>
      <c r="J61" s="60">
        <v>4731.0</v>
      </c>
      <c r="K61" s="60">
        <v>4725.0</v>
      </c>
      <c r="L61" s="60">
        <v>4719.0</v>
      </c>
      <c r="M61" s="60">
        <v>4713.0</v>
      </c>
      <c r="N61" s="60">
        <v>4707.0</v>
      </c>
      <c r="O61" s="60">
        <v>4701.0</v>
      </c>
      <c r="P61" s="60">
        <v>4695.0</v>
      </c>
      <c r="Q61" s="60">
        <v>4689.0</v>
      </c>
      <c r="R61" s="60">
        <v>4683.0</v>
      </c>
      <c r="S61" s="60">
        <v>4677.0</v>
      </c>
      <c r="T61" s="60">
        <v>4671.0</v>
      </c>
      <c r="U61" s="60">
        <v>4665.0</v>
      </c>
      <c r="V61" s="60">
        <v>4659.0</v>
      </c>
      <c r="W61" s="60">
        <v>4653.0</v>
      </c>
      <c r="X61" s="60">
        <v>4647.0</v>
      </c>
      <c r="Y61" s="60">
        <v>4641.0</v>
      </c>
      <c r="Z61" s="60">
        <v>4635.0</v>
      </c>
      <c r="AA61" s="60">
        <v>4629.0</v>
      </c>
      <c r="AB61" s="60">
        <v>4623.0</v>
      </c>
      <c r="AC61" s="60">
        <v>4617.0</v>
      </c>
      <c r="AD61" s="60">
        <v>4611.0</v>
      </c>
      <c r="AE61" s="70">
        <v>4605.0</v>
      </c>
      <c r="AF61" s="60">
        <v>4599.0</v>
      </c>
      <c r="AG61" s="60">
        <v>4593.0</v>
      </c>
      <c r="AH61" s="60">
        <v>4587.0</v>
      </c>
      <c r="AI61" s="60">
        <v>4581.0</v>
      </c>
      <c r="AJ61" s="60">
        <v>4575.0</v>
      </c>
      <c r="AK61" s="60">
        <v>4569.0</v>
      </c>
      <c r="AL61" s="60">
        <v>4563.0</v>
      </c>
      <c r="AM61" s="60">
        <v>4557.0</v>
      </c>
      <c r="AN61" s="60">
        <v>4551.0</v>
      </c>
      <c r="AO61" s="60">
        <v>4545.0</v>
      </c>
      <c r="AP61" s="60">
        <v>4539.0</v>
      </c>
      <c r="AQ61" s="60">
        <v>4533.0</v>
      </c>
      <c r="AR61" s="60">
        <v>4527.0</v>
      </c>
      <c r="AS61" s="60">
        <v>4521.0</v>
      </c>
      <c r="AT61" s="60">
        <v>4515.0</v>
      </c>
      <c r="AU61" s="60">
        <v>4509.0</v>
      </c>
      <c r="AV61" s="60">
        <v>4503.0</v>
      </c>
      <c r="AW61" s="60">
        <v>4497.0</v>
      </c>
      <c r="AX61" s="60">
        <v>4491.0</v>
      </c>
      <c r="AY61" s="60">
        <v>4485.0</v>
      </c>
      <c r="AZ61" s="60">
        <v>4479.0</v>
      </c>
      <c r="BA61" s="60">
        <v>4473.0</v>
      </c>
      <c r="BB61" s="70">
        <v>4467.0</v>
      </c>
      <c r="BC61" s="60">
        <v>4461.0</v>
      </c>
      <c r="BD61" s="60">
        <v>4455.0</v>
      </c>
      <c r="BE61" s="60">
        <v>4449.0</v>
      </c>
      <c r="BF61" s="60">
        <v>4443.0</v>
      </c>
      <c r="BG61" s="60">
        <v>4437.0</v>
      </c>
      <c r="BH61" s="60">
        <v>4431.0</v>
      </c>
      <c r="BI61" s="60">
        <v>4425.0</v>
      </c>
      <c r="BJ61" s="60">
        <v>4419.0</v>
      </c>
      <c r="BK61" s="60">
        <v>4413.0</v>
      </c>
      <c r="BL61" s="60">
        <v>4407.0</v>
      </c>
      <c r="BM61" s="60">
        <v>4401.0</v>
      </c>
      <c r="BN61" s="60">
        <v>4395.0</v>
      </c>
      <c r="BO61" s="60">
        <v>4389.0</v>
      </c>
      <c r="BP61" s="60">
        <v>4383.0</v>
      </c>
      <c r="BQ61" s="60">
        <v>4377.0</v>
      </c>
      <c r="BR61" s="60">
        <v>4371.0</v>
      </c>
      <c r="BS61" s="60">
        <v>4365.0</v>
      </c>
      <c r="BT61" s="60">
        <v>4359.0</v>
      </c>
      <c r="BU61" s="60">
        <v>4353.0</v>
      </c>
      <c r="BV61" s="60">
        <v>4347.0</v>
      </c>
      <c r="BW61" s="60">
        <v>4341.0</v>
      </c>
      <c r="BX61" s="60">
        <v>4335.0</v>
      </c>
      <c r="BY61" s="60">
        <v>4329.0</v>
      </c>
      <c r="BZ61" s="60">
        <v>4323.0</v>
      </c>
      <c r="CA61" s="60">
        <v>4317.0</v>
      </c>
      <c r="CB61" s="60">
        <v>4311.0</v>
      </c>
      <c r="CC61" s="60">
        <v>4305.0</v>
      </c>
      <c r="CD61" s="60">
        <v>4299.0</v>
      </c>
      <c r="CE61" s="60">
        <v>4293.0</v>
      </c>
      <c r="CF61" s="17">
        <v>53.0</v>
      </c>
    </row>
    <row r="62">
      <c r="A62" s="17">
        <v>60.0</v>
      </c>
      <c r="B62" s="60">
        <v>4860.0</v>
      </c>
      <c r="C62" s="60">
        <v>4852.0</v>
      </c>
      <c r="D62" s="60">
        <v>4844.0</v>
      </c>
      <c r="E62" s="60">
        <v>4836.0</v>
      </c>
      <c r="F62" s="60">
        <v>4828.0</v>
      </c>
      <c r="G62" s="60">
        <v>4820.0</v>
      </c>
      <c r="H62" s="60">
        <v>4812.0</v>
      </c>
      <c r="I62" s="60">
        <v>4804.0</v>
      </c>
      <c r="J62" s="60">
        <v>4796.0</v>
      </c>
      <c r="K62" s="60">
        <v>4788.0</v>
      </c>
      <c r="L62" s="60">
        <v>4780.0</v>
      </c>
      <c r="M62" s="60">
        <v>4772.0</v>
      </c>
      <c r="N62" s="60">
        <v>4764.0</v>
      </c>
      <c r="O62" s="60">
        <v>4756.0</v>
      </c>
      <c r="P62" s="60">
        <v>4748.0</v>
      </c>
      <c r="Q62" s="60">
        <v>4740.0</v>
      </c>
      <c r="R62" s="60">
        <v>4732.0</v>
      </c>
      <c r="S62" s="60">
        <v>4724.0</v>
      </c>
      <c r="T62" s="60">
        <v>4716.0</v>
      </c>
      <c r="U62" s="60">
        <v>4708.0</v>
      </c>
      <c r="V62" s="60">
        <v>4700.0</v>
      </c>
      <c r="W62" s="60">
        <v>4692.0</v>
      </c>
      <c r="X62" s="60">
        <v>4684.0</v>
      </c>
      <c r="Y62" s="60">
        <v>4676.0</v>
      </c>
      <c r="Z62" s="60">
        <v>4668.0</v>
      </c>
      <c r="AA62" s="60">
        <v>4660.0</v>
      </c>
      <c r="AB62" s="60">
        <v>4652.0</v>
      </c>
      <c r="AC62" s="60">
        <v>4644.0</v>
      </c>
      <c r="AD62" s="60">
        <v>4636.0</v>
      </c>
      <c r="AE62" s="60">
        <v>4628.0</v>
      </c>
      <c r="AF62" s="70">
        <v>4620.0</v>
      </c>
      <c r="AG62" s="60">
        <v>4612.0</v>
      </c>
      <c r="AH62" s="60">
        <v>4604.0</v>
      </c>
      <c r="AI62" s="60">
        <v>4596.0</v>
      </c>
      <c r="AJ62" s="60">
        <v>4588.0</v>
      </c>
      <c r="AK62" s="60">
        <v>4580.0</v>
      </c>
      <c r="AL62" s="60">
        <v>4572.0</v>
      </c>
      <c r="AM62" s="60">
        <v>4564.0</v>
      </c>
      <c r="AN62" s="60">
        <v>4556.0</v>
      </c>
      <c r="AO62" s="60">
        <v>4548.0</v>
      </c>
      <c r="AP62" s="60">
        <v>4540.0</v>
      </c>
      <c r="AQ62" s="60">
        <v>4532.0</v>
      </c>
      <c r="AR62" s="60">
        <v>4524.0</v>
      </c>
      <c r="AS62" s="60">
        <v>4516.0</v>
      </c>
      <c r="AT62" s="60">
        <v>4508.0</v>
      </c>
      <c r="AU62" s="60">
        <v>4500.0</v>
      </c>
      <c r="AV62" s="60">
        <v>4492.0</v>
      </c>
      <c r="AW62" s="60">
        <v>4484.0</v>
      </c>
      <c r="AX62" s="60">
        <v>4476.0</v>
      </c>
      <c r="AY62" s="60">
        <v>4468.0</v>
      </c>
      <c r="AZ62" s="60">
        <v>4460.0</v>
      </c>
      <c r="BA62" s="70">
        <v>4452.0</v>
      </c>
      <c r="BB62" s="60">
        <v>4444.0</v>
      </c>
      <c r="BC62" s="60">
        <v>4436.0</v>
      </c>
      <c r="BD62" s="60">
        <v>4428.0</v>
      </c>
      <c r="BE62" s="60">
        <v>4420.0</v>
      </c>
      <c r="BF62" s="60">
        <v>4412.0</v>
      </c>
      <c r="BG62" s="60">
        <v>4404.0</v>
      </c>
      <c r="BH62" s="60">
        <v>4396.0</v>
      </c>
      <c r="BI62" s="60">
        <v>4388.0</v>
      </c>
      <c r="BJ62" s="60">
        <v>4380.0</v>
      </c>
      <c r="BK62" s="60">
        <v>4372.0</v>
      </c>
      <c r="BL62" s="60">
        <v>4364.0</v>
      </c>
      <c r="BM62" s="60">
        <v>4356.0</v>
      </c>
      <c r="BN62" s="60">
        <v>4348.0</v>
      </c>
      <c r="BO62" s="60">
        <v>4340.0</v>
      </c>
      <c r="BP62" s="60">
        <v>4332.0</v>
      </c>
      <c r="BQ62" s="60">
        <v>4324.0</v>
      </c>
      <c r="BR62" s="60">
        <v>4316.0</v>
      </c>
      <c r="BS62" s="60">
        <v>4308.0</v>
      </c>
      <c r="BT62" s="60">
        <v>4300.0</v>
      </c>
      <c r="BU62" s="60">
        <v>4292.0</v>
      </c>
      <c r="BV62" s="60">
        <v>4284.0</v>
      </c>
      <c r="BW62" s="60">
        <v>4276.0</v>
      </c>
      <c r="BX62" s="60">
        <v>4268.0</v>
      </c>
      <c r="BY62" s="60">
        <v>4260.0</v>
      </c>
      <c r="BZ62" s="60">
        <v>4252.0</v>
      </c>
      <c r="CA62" s="60">
        <v>4244.0</v>
      </c>
      <c r="CB62" s="60">
        <v>4236.0</v>
      </c>
      <c r="CC62" s="60">
        <v>4228.0</v>
      </c>
      <c r="CD62" s="60">
        <v>4220.0</v>
      </c>
      <c r="CE62" s="60">
        <v>4212.0</v>
      </c>
      <c r="CF62" s="17">
        <v>52.0</v>
      </c>
    </row>
    <row r="63">
      <c r="A63" s="17">
        <v>61.0</v>
      </c>
      <c r="B63" s="60">
        <v>4941.0</v>
      </c>
      <c r="C63" s="60">
        <v>4931.0</v>
      </c>
      <c r="D63" s="60">
        <v>4921.0</v>
      </c>
      <c r="E63" s="60">
        <v>4911.0</v>
      </c>
      <c r="F63" s="60">
        <v>4901.0</v>
      </c>
      <c r="G63" s="60">
        <v>4891.0</v>
      </c>
      <c r="H63" s="60">
        <v>4881.0</v>
      </c>
      <c r="I63" s="60">
        <v>4871.0</v>
      </c>
      <c r="J63" s="60">
        <v>4861.0</v>
      </c>
      <c r="K63" s="60">
        <v>4851.0</v>
      </c>
      <c r="L63" s="60">
        <v>4841.0</v>
      </c>
      <c r="M63" s="60">
        <v>4831.0</v>
      </c>
      <c r="N63" s="60">
        <v>4821.0</v>
      </c>
      <c r="O63" s="60">
        <v>4811.0</v>
      </c>
      <c r="P63" s="60">
        <v>4801.0</v>
      </c>
      <c r="Q63" s="60">
        <v>4791.0</v>
      </c>
      <c r="R63" s="60">
        <v>4781.0</v>
      </c>
      <c r="S63" s="60">
        <v>4771.0</v>
      </c>
      <c r="T63" s="60">
        <v>4761.0</v>
      </c>
      <c r="U63" s="60">
        <v>4751.0</v>
      </c>
      <c r="V63" s="60">
        <v>4741.0</v>
      </c>
      <c r="W63" s="60">
        <v>4731.0</v>
      </c>
      <c r="X63" s="60">
        <v>4721.0</v>
      </c>
      <c r="Y63" s="60">
        <v>4711.0</v>
      </c>
      <c r="Z63" s="60">
        <v>4701.0</v>
      </c>
      <c r="AA63" s="60">
        <v>4691.0</v>
      </c>
      <c r="AB63" s="60">
        <v>4681.0</v>
      </c>
      <c r="AC63" s="60">
        <v>4671.0</v>
      </c>
      <c r="AD63" s="60">
        <v>4661.0</v>
      </c>
      <c r="AE63" s="60">
        <v>4651.0</v>
      </c>
      <c r="AF63" s="60">
        <v>4641.0</v>
      </c>
      <c r="AG63" s="70">
        <v>4631.0</v>
      </c>
      <c r="AH63" s="60">
        <v>4621.0</v>
      </c>
      <c r="AI63" s="60">
        <v>4611.0</v>
      </c>
      <c r="AJ63" s="60">
        <v>4601.0</v>
      </c>
      <c r="AK63" s="60">
        <v>4591.0</v>
      </c>
      <c r="AL63" s="60">
        <v>4581.0</v>
      </c>
      <c r="AM63" s="60">
        <v>4571.0</v>
      </c>
      <c r="AN63" s="60">
        <v>4561.0</v>
      </c>
      <c r="AO63" s="60">
        <v>4551.0</v>
      </c>
      <c r="AP63" s="60">
        <v>4541.0</v>
      </c>
      <c r="AQ63" s="60">
        <v>4531.0</v>
      </c>
      <c r="AR63" s="60">
        <v>4521.0</v>
      </c>
      <c r="AS63" s="60">
        <v>4511.0</v>
      </c>
      <c r="AT63" s="60">
        <v>4501.0</v>
      </c>
      <c r="AU63" s="60">
        <v>4491.0</v>
      </c>
      <c r="AV63" s="60">
        <v>4481.0</v>
      </c>
      <c r="AW63" s="60">
        <v>4471.0</v>
      </c>
      <c r="AX63" s="60">
        <v>4461.0</v>
      </c>
      <c r="AY63" s="60">
        <v>4451.0</v>
      </c>
      <c r="AZ63" s="70">
        <v>4441.0</v>
      </c>
      <c r="BA63" s="60">
        <v>4431.0</v>
      </c>
      <c r="BB63" s="60">
        <v>4421.0</v>
      </c>
      <c r="BC63" s="60">
        <v>4411.0</v>
      </c>
      <c r="BD63" s="60">
        <v>4401.0</v>
      </c>
      <c r="BE63" s="60">
        <v>4391.0</v>
      </c>
      <c r="BF63" s="60">
        <v>4381.0</v>
      </c>
      <c r="BG63" s="60">
        <v>4371.0</v>
      </c>
      <c r="BH63" s="60">
        <v>4361.0</v>
      </c>
      <c r="BI63" s="60">
        <v>4351.0</v>
      </c>
      <c r="BJ63" s="60">
        <v>4341.0</v>
      </c>
      <c r="BK63" s="60">
        <v>4331.0</v>
      </c>
      <c r="BL63" s="60">
        <v>4321.0</v>
      </c>
      <c r="BM63" s="60">
        <v>4311.0</v>
      </c>
      <c r="BN63" s="60">
        <v>4301.0</v>
      </c>
      <c r="BO63" s="60">
        <v>4291.0</v>
      </c>
      <c r="BP63" s="60">
        <v>4281.0</v>
      </c>
      <c r="BQ63" s="60">
        <v>4271.0</v>
      </c>
      <c r="BR63" s="60">
        <v>4261.0</v>
      </c>
      <c r="BS63" s="60">
        <v>4251.0</v>
      </c>
      <c r="BT63" s="60">
        <v>4241.0</v>
      </c>
      <c r="BU63" s="60">
        <v>4231.0</v>
      </c>
      <c r="BV63" s="60">
        <v>4221.0</v>
      </c>
      <c r="BW63" s="60">
        <v>4211.0</v>
      </c>
      <c r="BX63" s="60">
        <v>4201.0</v>
      </c>
      <c r="BY63" s="60">
        <v>4191.0</v>
      </c>
      <c r="BZ63" s="60">
        <v>4181.0</v>
      </c>
      <c r="CA63" s="60">
        <v>4171.0</v>
      </c>
      <c r="CB63" s="60">
        <v>4161.0</v>
      </c>
      <c r="CC63" s="60">
        <v>4151.0</v>
      </c>
      <c r="CD63" s="60">
        <v>4141.0</v>
      </c>
      <c r="CE63" s="60">
        <v>4131.0</v>
      </c>
      <c r="CF63" s="17">
        <v>51.0</v>
      </c>
    </row>
    <row r="64">
      <c r="A64" s="17">
        <v>62.0</v>
      </c>
      <c r="B64" s="60">
        <v>5022.0</v>
      </c>
      <c r="C64" s="60">
        <v>5010.0</v>
      </c>
      <c r="D64" s="60">
        <v>4998.0</v>
      </c>
      <c r="E64" s="60">
        <v>4986.0</v>
      </c>
      <c r="F64" s="60">
        <v>4974.0</v>
      </c>
      <c r="G64" s="60">
        <v>4962.0</v>
      </c>
      <c r="H64" s="60">
        <v>4950.0</v>
      </c>
      <c r="I64" s="60">
        <v>4938.0</v>
      </c>
      <c r="J64" s="60">
        <v>4926.0</v>
      </c>
      <c r="K64" s="60">
        <v>4914.0</v>
      </c>
      <c r="L64" s="60">
        <v>4902.0</v>
      </c>
      <c r="M64" s="60">
        <v>4890.0</v>
      </c>
      <c r="N64" s="60">
        <v>4878.0</v>
      </c>
      <c r="O64" s="60">
        <v>4866.0</v>
      </c>
      <c r="P64" s="60">
        <v>4854.0</v>
      </c>
      <c r="Q64" s="60">
        <v>4842.0</v>
      </c>
      <c r="R64" s="60">
        <v>4830.0</v>
      </c>
      <c r="S64" s="60">
        <v>4818.0</v>
      </c>
      <c r="T64" s="60">
        <v>4806.0</v>
      </c>
      <c r="U64" s="60">
        <v>4794.0</v>
      </c>
      <c r="V64" s="60">
        <v>4782.0</v>
      </c>
      <c r="W64" s="60">
        <v>4770.0</v>
      </c>
      <c r="X64" s="60">
        <v>4758.0</v>
      </c>
      <c r="Y64" s="60">
        <v>4746.0</v>
      </c>
      <c r="Z64" s="60">
        <v>4734.0</v>
      </c>
      <c r="AA64" s="60">
        <v>4722.0</v>
      </c>
      <c r="AB64" s="60">
        <v>4710.0</v>
      </c>
      <c r="AC64" s="60">
        <v>4698.0</v>
      </c>
      <c r="AD64" s="60">
        <v>4686.0</v>
      </c>
      <c r="AE64" s="60">
        <v>4674.0</v>
      </c>
      <c r="AF64" s="60">
        <v>4662.0</v>
      </c>
      <c r="AG64" s="60">
        <v>4650.0</v>
      </c>
      <c r="AH64" s="70">
        <v>4638.0</v>
      </c>
      <c r="AI64" s="60">
        <v>4626.0</v>
      </c>
      <c r="AJ64" s="60">
        <v>4614.0</v>
      </c>
      <c r="AK64" s="60">
        <v>4602.0</v>
      </c>
      <c r="AL64" s="60">
        <v>4590.0</v>
      </c>
      <c r="AM64" s="60">
        <v>4578.0</v>
      </c>
      <c r="AN64" s="60">
        <v>4566.0</v>
      </c>
      <c r="AO64" s="60">
        <v>4554.0</v>
      </c>
      <c r="AP64" s="60">
        <v>4542.0</v>
      </c>
      <c r="AQ64" s="60">
        <v>4530.0</v>
      </c>
      <c r="AR64" s="60">
        <v>4518.0</v>
      </c>
      <c r="AS64" s="60">
        <v>4506.0</v>
      </c>
      <c r="AT64" s="60">
        <v>4494.0</v>
      </c>
      <c r="AU64" s="60">
        <v>4482.0</v>
      </c>
      <c r="AV64" s="60">
        <v>4470.0</v>
      </c>
      <c r="AW64" s="60">
        <v>4458.0</v>
      </c>
      <c r="AX64" s="60">
        <v>4446.0</v>
      </c>
      <c r="AY64" s="70">
        <v>4434.0</v>
      </c>
      <c r="AZ64" s="60">
        <v>4422.0</v>
      </c>
      <c r="BA64" s="60">
        <v>4410.0</v>
      </c>
      <c r="BB64" s="60">
        <v>4398.0</v>
      </c>
      <c r="BC64" s="60">
        <v>4386.0</v>
      </c>
      <c r="BD64" s="60">
        <v>4374.0</v>
      </c>
      <c r="BE64" s="60">
        <v>4362.0</v>
      </c>
      <c r="BF64" s="60">
        <v>4350.0</v>
      </c>
      <c r="BG64" s="60">
        <v>4338.0</v>
      </c>
      <c r="BH64" s="60">
        <v>4326.0</v>
      </c>
      <c r="BI64" s="60">
        <v>4314.0</v>
      </c>
      <c r="BJ64" s="60">
        <v>4302.0</v>
      </c>
      <c r="BK64" s="60">
        <v>4290.0</v>
      </c>
      <c r="BL64" s="60">
        <v>4278.0</v>
      </c>
      <c r="BM64" s="60">
        <v>4266.0</v>
      </c>
      <c r="BN64" s="60">
        <v>4254.0</v>
      </c>
      <c r="BO64" s="60">
        <v>4242.0</v>
      </c>
      <c r="BP64" s="60">
        <v>4230.0</v>
      </c>
      <c r="BQ64" s="60">
        <v>4218.0</v>
      </c>
      <c r="BR64" s="60">
        <v>4206.0</v>
      </c>
      <c r="BS64" s="60">
        <v>4194.0</v>
      </c>
      <c r="BT64" s="60">
        <v>4182.0</v>
      </c>
      <c r="BU64" s="60">
        <v>4170.0</v>
      </c>
      <c r="BV64" s="60">
        <v>4158.0</v>
      </c>
      <c r="BW64" s="60">
        <v>4146.0</v>
      </c>
      <c r="BX64" s="60">
        <v>4134.0</v>
      </c>
      <c r="BY64" s="60">
        <v>4122.0</v>
      </c>
      <c r="BZ64" s="60">
        <v>4110.0</v>
      </c>
      <c r="CA64" s="60">
        <v>4098.0</v>
      </c>
      <c r="CB64" s="60">
        <v>4086.0</v>
      </c>
      <c r="CC64" s="60">
        <v>4074.0</v>
      </c>
      <c r="CD64" s="60">
        <v>4062.0</v>
      </c>
      <c r="CE64" s="60">
        <v>4050.0</v>
      </c>
      <c r="CF64" s="17">
        <v>50.0</v>
      </c>
    </row>
    <row r="65">
      <c r="A65" s="17">
        <v>63.0</v>
      </c>
      <c r="B65" s="60">
        <v>5103.0</v>
      </c>
      <c r="C65" s="60">
        <v>5089.0</v>
      </c>
      <c r="D65" s="60">
        <v>5075.0</v>
      </c>
      <c r="E65" s="60">
        <v>5061.0</v>
      </c>
      <c r="F65" s="60">
        <v>5047.0</v>
      </c>
      <c r="G65" s="60">
        <v>5033.0</v>
      </c>
      <c r="H65" s="60">
        <v>5019.0</v>
      </c>
      <c r="I65" s="60">
        <v>5005.0</v>
      </c>
      <c r="J65" s="60">
        <v>4991.0</v>
      </c>
      <c r="K65" s="60">
        <v>4977.0</v>
      </c>
      <c r="L65" s="60">
        <v>4963.0</v>
      </c>
      <c r="M65" s="60">
        <v>4949.0</v>
      </c>
      <c r="N65" s="60">
        <v>4935.0</v>
      </c>
      <c r="O65" s="60">
        <v>4921.0</v>
      </c>
      <c r="P65" s="60">
        <v>4907.0</v>
      </c>
      <c r="Q65" s="60">
        <v>4893.0</v>
      </c>
      <c r="R65" s="60">
        <v>4879.0</v>
      </c>
      <c r="S65" s="60">
        <v>4865.0</v>
      </c>
      <c r="T65" s="60">
        <v>4851.0</v>
      </c>
      <c r="U65" s="60">
        <v>4837.0</v>
      </c>
      <c r="V65" s="60">
        <v>4823.0</v>
      </c>
      <c r="W65" s="60">
        <v>4809.0</v>
      </c>
      <c r="X65" s="60">
        <v>4795.0</v>
      </c>
      <c r="Y65" s="60">
        <v>4781.0</v>
      </c>
      <c r="Z65" s="60">
        <v>4767.0</v>
      </c>
      <c r="AA65" s="60">
        <v>4753.0</v>
      </c>
      <c r="AB65" s="60">
        <v>4739.0</v>
      </c>
      <c r="AC65" s="60">
        <v>4725.0</v>
      </c>
      <c r="AD65" s="60">
        <v>4711.0</v>
      </c>
      <c r="AE65" s="60">
        <v>4697.0</v>
      </c>
      <c r="AF65" s="60">
        <v>4683.0</v>
      </c>
      <c r="AG65" s="60">
        <v>4669.0</v>
      </c>
      <c r="AH65" s="60">
        <v>4655.0</v>
      </c>
      <c r="AI65" s="60">
        <v>4641.0</v>
      </c>
      <c r="AJ65" s="60">
        <v>4627.0</v>
      </c>
      <c r="AK65" s="60">
        <v>4613.0</v>
      </c>
      <c r="AL65" s="60">
        <v>4599.0</v>
      </c>
      <c r="AM65" s="60">
        <v>4585.0</v>
      </c>
      <c r="AN65" s="60">
        <v>4571.0</v>
      </c>
      <c r="AO65" s="60">
        <v>4557.0</v>
      </c>
      <c r="AP65" s="60">
        <v>4543.0</v>
      </c>
      <c r="AQ65" s="60">
        <v>4529.0</v>
      </c>
      <c r="AR65" s="60">
        <v>4515.0</v>
      </c>
      <c r="AS65" s="60">
        <v>4501.0</v>
      </c>
      <c r="AT65" s="60">
        <v>4487.0</v>
      </c>
      <c r="AU65" s="60">
        <v>4473.0</v>
      </c>
      <c r="AV65" s="60">
        <v>4459.0</v>
      </c>
      <c r="AW65" s="60">
        <v>4445.0</v>
      </c>
      <c r="AX65" s="60">
        <v>4431.0</v>
      </c>
      <c r="AY65" s="60">
        <v>4417.0</v>
      </c>
      <c r="AZ65" s="60">
        <v>4403.0</v>
      </c>
      <c r="BA65" s="60">
        <v>4389.0</v>
      </c>
      <c r="BB65" s="60">
        <v>4375.0</v>
      </c>
      <c r="BC65" s="60">
        <v>4361.0</v>
      </c>
      <c r="BD65" s="60">
        <v>4347.0</v>
      </c>
      <c r="BE65" s="60">
        <v>4333.0</v>
      </c>
      <c r="BF65" s="60">
        <v>4319.0</v>
      </c>
      <c r="BG65" s="60">
        <v>4305.0</v>
      </c>
      <c r="BH65" s="60">
        <v>4291.0</v>
      </c>
      <c r="BI65" s="60">
        <v>4277.0</v>
      </c>
      <c r="BJ65" s="60">
        <v>4263.0</v>
      </c>
      <c r="BK65" s="60">
        <v>4249.0</v>
      </c>
      <c r="BL65" s="60">
        <v>4235.0</v>
      </c>
      <c r="BM65" s="60">
        <v>4221.0</v>
      </c>
      <c r="BN65" s="60">
        <v>4207.0</v>
      </c>
      <c r="BO65" s="60">
        <v>4193.0</v>
      </c>
      <c r="BP65" s="60">
        <v>4179.0</v>
      </c>
      <c r="BQ65" s="60">
        <v>4165.0</v>
      </c>
      <c r="BR65" s="60">
        <v>4151.0</v>
      </c>
      <c r="BS65" s="60">
        <v>4137.0</v>
      </c>
      <c r="BT65" s="60">
        <v>4123.0</v>
      </c>
      <c r="BU65" s="60">
        <v>4109.0</v>
      </c>
      <c r="BV65" s="60">
        <v>4095.0</v>
      </c>
      <c r="BW65" s="60">
        <v>4081.0</v>
      </c>
      <c r="BX65" s="60">
        <v>4067.0</v>
      </c>
      <c r="BY65" s="60">
        <v>4053.0</v>
      </c>
      <c r="BZ65" s="60">
        <v>4039.0</v>
      </c>
      <c r="CA65" s="60">
        <v>4025.0</v>
      </c>
      <c r="CB65" s="60">
        <v>4011.0</v>
      </c>
      <c r="CC65" s="60">
        <v>3997.0</v>
      </c>
      <c r="CD65" s="60">
        <v>3983.0</v>
      </c>
      <c r="CE65" s="60">
        <v>3969.0</v>
      </c>
      <c r="CF65" s="17">
        <v>49.0</v>
      </c>
    </row>
    <row r="66">
      <c r="A66" s="17">
        <v>64.0</v>
      </c>
      <c r="B66" s="60">
        <v>5184.0</v>
      </c>
      <c r="C66" s="60">
        <v>5168.0</v>
      </c>
      <c r="D66" s="60">
        <v>5152.0</v>
      </c>
      <c r="E66" s="60">
        <v>5136.0</v>
      </c>
      <c r="F66" s="60">
        <v>5120.0</v>
      </c>
      <c r="G66" s="60">
        <v>5104.0</v>
      </c>
      <c r="H66" s="60">
        <v>5088.0</v>
      </c>
      <c r="I66" s="60">
        <v>5072.0</v>
      </c>
      <c r="J66" s="60">
        <v>5056.0</v>
      </c>
      <c r="K66" s="60">
        <v>5040.0</v>
      </c>
      <c r="L66" s="60">
        <v>5024.0</v>
      </c>
      <c r="M66" s="60">
        <v>5008.0</v>
      </c>
      <c r="N66" s="60">
        <v>4992.0</v>
      </c>
      <c r="O66" s="60">
        <v>4976.0</v>
      </c>
      <c r="P66" s="60">
        <v>4960.0</v>
      </c>
      <c r="Q66" s="60">
        <v>4944.0</v>
      </c>
      <c r="R66" s="60">
        <v>4928.0</v>
      </c>
      <c r="S66" s="60">
        <v>4912.0</v>
      </c>
      <c r="T66" s="60">
        <v>4896.0</v>
      </c>
      <c r="U66" s="60">
        <v>4880.0</v>
      </c>
      <c r="V66" s="60">
        <v>4864.0</v>
      </c>
      <c r="W66" s="60">
        <v>4848.0</v>
      </c>
      <c r="X66" s="60">
        <v>4832.0</v>
      </c>
      <c r="Y66" s="60">
        <v>4816.0</v>
      </c>
      <c r="Z66" s="60">
        <v>4800.0</v>
      </c>
      <c r="AA66" s="60">
        <v>4784.0</v>
      </c>
      <c r="AB66" s="60">
        <v>4768.0</v>
      </c>
      <c r="AC66" s="60">
        <v>4752.0</v>
      </c>
      <c r="AD66" s="60">
        <v>4736.0</v>
      </c>
      <c r="AE66" s="60">
        <v>4720.0</v>
      </c>
      <c r="AF66" s="60">
        <v>4704.0</v>
      </c>
      <c r="AG66" s="60">
        <v>4688.0</v>
      </c>
      <c r="AH66" s="60">
        <v>4672.0</v>
      </c>
      <c r="AI66" s="70">
        <v>4656.0</v>
      </c>
      <c r="AJ66" s="60">
        <v>4640.0</v>
      </c>
      <c r="AK66" s="60">
        <v>4624.0</v>
      </c>
      <c r="AL66" s="60">
        <v>4608.0</v>
      </c>
      <c r="AM66" s="60">
        <v>4592.0</v>
      </c>
      <c r="AN66" s="60">
        <v>4576.0</v>
      </c>
      <c r="AO66" s="60">
        <v>4560.0</v>
      </c>
      <c r="AP66" s="60">
        <v>4544.0</v>
      </c>
      <c r="AQ66" s="60">
        <v>4528.0</v>
      </c>
      <c r="AR66" s="60">
        <v>4512.0</v>
      </c>
      <c r="AS66" s="60">
        <v>4496.0</v>
      </c>
      <c r="AT66" s="60">
        <v>4480.0</v>
      </c>
      <c r="AU66" s="60">
        <v>4464.0</v>
      </c>
      <c r="AV66" s="60">
        <v>4448.0</v>
      </c>
      <c r="AW66" s="60">
        <v>4432.0</v>
      </c>
      <c r="AX66" s="63">
        <v>4416.0</v>
      </c>
      <c r="AY66" s="60">
        <v>4400.0</v>
      </c>
      <c r="AZ66" s="60">
        <v>4384.0</v>
      </c>
      <c r="BA66" s="60">
        <v>4368.0</v>
      </c>
      <c r="BB66" s="60">
        <v>4352.0</v>
      </c>
      <c r="BC66" s="60">
        <v>4336.0</v>
      </c>
      <c r="BD66" s="60">
        <v>4320.0</v>
      </c>
      <c r="BE66" s="60">
        <v>4304.0</v>
      </c>
      <c r="BF66" s="60">
        <v>4288.0</v>
      </c>
      <c r="BG66" s="60">
        <v>4272.0</v>
      </c>
      <c r="BH66" s="60">
        <v>4256.0</v>
      </c>
      <c r="BI66" s="60">
        <v>4240.0</v>
      </c>
      <c r="BJ66" s="60">
        <v>4224.0</v>
      </c>
      <c r="BK66" s="60">
        <v>4208.0</v>
      </c>
      <c r="BL66" s="60">
        <v>4192.0</v>
      </c>
      <c r="BM66" s="60">
        <v>4176.0</v>
      </c>
      <c r="BN66" s="60">
        <v>4160.0</v>
      </c>
      <c r="BO66" s="60">
        <v>4144.0</v>
      </c>
      <c r="BP66" s="60">
        <v>4128.0</v>
      </c>
      <c r="BQ66" s="60">
        <v>4112.0</v>
      </c>
      <c r="BR66" s="60">
        <v>4096.0</v>
      </c>
      <c r="BS66" s="60">
        <v>4080.0</v>
      </c>
      <c r="BT66" s="60">
        <v>4064.0</v>
      </c>
      <c r="BU66" s="60">
        <v>4048.0</v>
      </c>
      <c r="BV66" s="60">
        <v>4032.0</v>
      </c>
      <c r="BW66" s="60">
        <v>4016.0</v>
      </c>
      <c r="BX66" s="60">
        <v>4000.0</v>
      </c>
      <c r="BY66" s="60">
        <v>3984.0</v>
      </c>
      <c r="BZ66" s="60">
        <v>3968.0</v>
      </c>
      <c r="CA66" s="60">
        <v>3952.0</v>
      </c>
      <c r="CB66" s="60">
        <v>3936.0</v>
      </c>
      <c r="CC66" s="60">
        <v>3920.0</v>
      </c>
      <c r="CD66" s="60">
        <v>3904.0</v>
      </c>
      <c r="CE66" s="60">
        <v>3888.0</v>
      </c>
      <c r="CF66" s="17">
        <v>48.0</v>
      </c>
    </row>
    <row r="67">
      <c r="A67" s="17">
        <v>65.0</v>
      </c>
      <c r="B67" s="60">
        <v>5265.0</v>
      </c>
      <c r="C67" s="60">
        <v>5247.0</v>
      </c>
      <c r="D67" s="60">
        <v>5229.0</v>
      </c>
      <c r="E67" s="60">
        <v>5211.0</v>
      </c>
      <c r="F67" s="60">
        <v>5193.0</v>
      </c>
      <c r="G67" s="60">
        <v>5175.0</v>
      </c>
      <c r="H67" s="60">
        <v>5157.0</v>
      </c>
      <c r="I67" s="60">
        <v>5139.0</v>
      </c>
      <c r="J67" s="60">
        <v>5121.0</v>
      </c>
      <c r="K67" s="60">
        <v>5103.0</v>
      </c>
      <c r="L67" s="60">
        <v>5085.0</v>
      </c>
      <c r="M67" s="60">
        <v>5067.0</v>
      </c>
      <c r="N67" s="60">
        <v>5049.0</v>
      </c>
      <c r="O67" s="60">
        <v>5031.0</v>
      </c>
      <c r="P67" s="60">
        <v>5013.0</v>
      </c>
      <c r="Q67" s="60">
        <v>4995.0</v>
      </c>
      <c r="R67" s="60">
        <v>4977.0</v>
      </c>
      <c r="S67" s="60">
        <v>4959.0</v>
      </c>
      <c r="T67" s="60">
        <v>4941.0</v>
      </c>
      <c r="U67" s="60">
        <v>4923.0</v>
      </c>
      <c r="V67" s="60">
        <v>4905.0</v>
      </c>
      <c r="W67" s="60">
        <v>4887.0</v>
      </c>
      <c r="X67" s="60">
        <v>4869.0</v>
      </c>
      <c r="Y67" s="60">
        <v>4851.0</v>
      </c>
      <c r="Z67" s="60">
        <v>4833.0</v>
      </c>
      <c r="AA67" s="60">
        <v>4815.0</v>
      </c>
      <c r="AB67" s="60">
        <v>4797.0</v>
      </c>
      <c r="AC67" s="60">
        <v>4779.0</v>
      </c>
      <c r="AD67" s="60">
        <v>4761.0</v>
      </c>
      <c r="AE67" s="60">
        <v>4743.0</v>
      </c>
      <c r="AF67" s="60">
        <v>4725.0</v>
      </c>
      <c r="AG67" s="60">
        <v>4707.0</v>
      </c>
      <c r="AH67" s="60">
        <v>4689.0</v>
      </c>
      <c r="AI67" s="60">
        <v>4671.0</v>
      </c>
      <c r="AJ67" s="70">
        <v>4653.0</v>
      </c>
      <c r="AK67" s="60">
        <v>4635.0</v>
      </c>
      <c r="AL67" s="60">
        <v>4617.0</v>
      </c>
      <c r="AM67" s="60">
        <v>4599.0</v>
      </c>
      <c r="AN67" s="60">
        <v>4581.0</v>
      </c>
      <c r="AO67" s="60">
        <v>4563.0</v>
      </c>
      <c r="AP67" s="60">
        <v>4545.0</v>
      </c>
      <c r="AQ67" s="60">
        <v>4527.0</v>
      </c>
      <c r="AR67" s="60">
        <v>4509.0</v>
      </c>
      <c r="AS67" s="60">
        <v>4491.0</v>
      </c>
      <c r="AT67" s="60">
        <v>4473.0</v>
      </c>
      <c r="AU67" s="60">
        <v>4455.0</v>
      </c>
      <c r="AV67" s="60">
        <v>4437.0</v>
      </c>
      <c r="AW67" s="70">
        <v>4419.0</v>
      </c>
      <c r="AX67" s="60">
        <v>4401.0</v>
      </c>
      <c r="AY67" s="60">
        <v>4383.0</v>
      </c>
      <c r="AZ67" s="60">
        <v>4365.0</v>
      </c>
      <c r="BA67" s="60">
        <v>4347.0</v>
      </c>
      <c r="BB67" s="60">
        <v>4329.0</v>
      </c>
      <c r="BC67" s="60">
        <v>4311.0</v>
      </c>
      <c r="BD67" s="60">
        <v>4293.0</v>
      </c>
      <c r="BE67" s="60">
        <v>4275.0</v>
      </c>
      <c r="BF67" s="60">
        <v>4257.0</v>
      </c>
      <c r="BG67" s="60">
        <v>4239.0</v>
      </c>
      <c r="BH67" s="60">
        <v>4221.0</v>
      </c>
      <c r="BI67" s="60">
        <v>4203.0</v>
      </c>
      <c r="BJ67" s="60">
        <v>4185.0</v>
      </c>
      <c r="BK67" s="60">
        <v>4167.0</v>
      </c>
      <c r="BL67" s="60">
        <v>4149.0</v>
      </c>
      <c r="BM67" s="60">
        <v>4131.0</v>
      </c>
      <c r="BN67" s="60">
        <v>4113.0</v>
      </c>
      <c r="BO67" s="60">
        <v>4095.0</v>
      </c>
      <c r="BP67" s="60">
        <v>4077.0</v>
      </c>
      <c r="BQ67" s="60">
        <v>4059.0</v>
      </c>
      <c r="BR67" s="60">
        <v>4041.0</v>
      </c>
      <c r="BS67" s="60">
        <v>4023.0</v>
      </c>
      <c r="BT67" s="60">
        <v>4005.0</v>
      </c>
      <c r="BU67" s="60">
        <v>3987.0</v>
      </c>
      <c r="BV67" s="60">
        <v>3969.0</v>
      </c>
      <c r="BW67" s="60">
        <v>3951.0</v>
      </c>
      <c r="BX67" s="60">
        <v>3933.0</v>
      </c>
      <c r="BY67" s="60">
        <v>3915.0</v>
      </c>
      <c r="BZ67" s="60">
        <v>3897.0</v>
      </c>
      <c r="CA67" s="60">
        <v>3879.0</v>
      </c>
      <c r="CB67" s="60">
        <v>3861.0</v>
      </c>
      <c r="CC67" s="60">
        <v>3843.0</v>
      </c>
      <c r="CD67" s="60">
        <v>3825.0</v>
      </c>
      <c r="CE67" s="60">
        <v>3807.0</v>
      </c>
      <c r="CF67" s="17">
        <v>47.0</v>
      </c>
    </row>
    <row r="68">
      <c r="A68" s="17">
        <v>66.0</v>
      </c>
      <c r="B68" s="60">
        <v>5346.0</v>
      </c>
      <c r="C68" s="60">
        <v>5326.0</v>
      </c>
      <c r="D68" s="60">
        <v>5306.0</v>
      </c>
      <c r="E68" s="60">
        <v>5286.0</v>
      </c>
      <c r="F68" s="60">
        <v>5266.0</v>
      </c>
      <c r="G68" s="60">
        <v>5246.0</v>
      </c>
      <c r="H68" s="60">
        <v>5226.0</v>
      </c>
      <c r="I68" s="60">
        <v>5206.0</v>
      </c>
      <c r="J68" s="60">
        <v>5186.0</v>
      </c>
      <c r="K68" s="60">
        <v>5166.0</v>
      </c>
      <c r="L68" s="60">
        <v>5146.0</v>
      </c>
      <c r="M68" s="60">
        <v>5126.0</v>
      </c>
      <c r="N68" s="60">
        <v>5106.0</v>
      </c>
      <c r="O68" s="60">
        <v>5086.0</v>
      </c>
      <c r="P68" s="60">
        <v>5066.0</v>
      </c>
      <c r="Q68" s="60">
        <v>5046.0</v>
      </c>
      <c r="R68" s="60">
        <v>5026.0</v>
      </c>
      <c r="S68" s="60">
        <v>5006.0</v>
      </c>
      <c r="T68" s="60">
        <v>4986.0</v>
      </c>
      <c r="U68" s="60">
        <v>4966.0</v>
      </c>
      <c r="V68" s="60">
        <v>4946.0</v>
      </c>
      <c r="W68" s="60">
        <v>4926.0</v>
      </c>
      <c r="X68" s="60">
        <v>4906.0</v>
      </c>
      <c r="Y68" s="60">
        <v>4886.0</v>
      </c>
      <c r="Z68" s="60">
        <v>4866.0</v>
      </c>
      <c r="AA68" s="60">
        <v>4846.0</v>
      </c>
      <c r="AB68" s="60">
        <v>4826.0</v>
      </c>
      <c r="AC68" s="60">
        <v>4806.0</v>
      </c>
      <c r="AD68" s="60">
        <v>4786.0</v>
      </c>
      <c r="AE68" s="60">
        <v>4766.0</v>
      </c>
      <c r="AF68" s="60">
        <v>4746.0</v>
      </c>
      <c r="AG68" s="60">
        <v>4726.0</v>
      </c>
      <c r="AH68" s="60">
        <v>4706.0</v>
      </c>
      <c r="AI68" s="60">
        <v>4686.0</v>
      </c>
      <c r="AJ68" s="60">
        <v>4666.0</v>
      </c>
      <c r="AK68" s="70">
        <v>4646.0</v>
      </c>
      <c r="AL68" s="60">
        <v>4626.0</v>
      </c>
      <c r="AM68" s="60">
        <v>4606.0</v>
      </c>
      <c r="AN68" s="60">
        <v>4586.0</v>
      </c>
      <c r="AO68" s="60">
        <v>4566.0</v>
      </c>
      <c r="AP68" s="60">
        <v>4546.0</v>
      </c>
      <c r="AQ68" s="60">
        <v>4526.0</v>
      </c>
      <c r="AR68" s="60">
        <v>4506.0</v>
      </c>
      <c r="AS68" s="60">
        <v>4486.0</v>
      </c>
      <c r="AT68" s="60">
        <v>4466.0</v>
      </c>
      <c r="AU68" s="60">
        <v>4446.0</v>
      </c>
      <c r="AV68" s="70">
        <v>4426.0</v>
      </c>
      <c r="AW68" s="60">
        <v>4406.0</v>
      </c>
      <c r="AX68" s="60">
        <v>4386.0</v>
      </c>
      <c r="AY68" s="60">
        <v>4366.0</v>
      </c>
      <c r="AZ68" s="60">
        <v>4346.0</v>
      </c>
      <c r="BA68" s="60">
        <v>4326.0</v>
      </c>
      <c r="BB68" s="60">
        <v>4306.0</v>
      </c>
      <c r="BC68" s="60">
        <v>4286.0</v>
      </c>
      <c r="BD68" s="60">
        <v>4266.0</v>
      </c>
      <c r="BE68" s="60">
        <v>4246.0</v>
      </c>
      <c r="BF68" s="60">
        <v>4226.0</v>
      </c>
      <c r="BG68" s="60">
        <v>4206.0</v>
      </c>
      <c r="BH68" s="60">
        <v>4186.0</v>
      </c>
      <c r="BI68" s="60">
        <v>4166.0</v>
      </c>
      <c r="BJ68" s="60">
        <v>4146.0</v>
      </c>
      <c r="BK68" s="60">
        <v>4126.0</v>
      </c>
      <c r="BL68" s="60">
        <v>4106.0</v>
      </c>
      <c r="BM68" s="60">
        <v>4086.0</v>
      </c>
      <c r="BN68" s="60">
        <v>4066.0</v>
      </c>
      <c r="BO68" s="60">
        <v>4046.0</v>
      </c>
      <c r="BP68" s="60">
        <v>4026.0</v>
      </c>
      <c r="BQ68" s="60">
        <v>4006.0</v>
      </c>
      <c r="BR68" s="60">
        <v>3986.0</v>
      </c>
      <c r="BS68" s="60">
        <v>3966.0</v>
      </c>
      <c r="BT68" s="60">
        <v>3946.0</v>
      </c>
      <c r="BU68" s="60">
        <v>3926.0</v>
      </c>
      <c r="BV68" s="60">
        <v>3906.0</v>
      </c>
      <c r="BW68" s="60">
        <v>3886.0</v>
      </c>
      <c r="BX68" s="60">
        <v>3866.0</v>
      </c>
      <c r="BY68" s="60">
        <v>3846.0</v>
      </c>
      <c r="BZ68" s="60">
        <v>3826.0</v>
      </c>
      <c r="CA68" s="60">
        <v>3806.0</v>
      </c>
      <c r="CB68" s="60">
        <v>3786.0</v>
      </c>
      <c r="CC68" s="60">
        <v>3766.0</v>
      </c>
      <c r="CD68" s="60">
        <v>3746.0</v>
      </c>
      <c r="CE68" s="60">
        <v>3726.0</v>
      </c>
      <c r="CF68" s="17">
        <v>46.0</v>
      </c>
    </row>
    <row r="69">
      <c r="A69" s="17">
        <v>67.0</v>
      </c>
      <c r="B69" s="60">
        <v>5427.0</v>
      </c>
      <c r="C69" s="60">
        <v>5405.0</v>
      </c>
      <c r="D69" s="60">
        <v>5383.0</v>
      </c>
      <c r="E69" s="60">
        <v>5361.0</v>
      </c>
      <c r="F69" s="60">
        <v>5339.0</v>
      </c>
      <c r="G69" s="60">
        <v>5317.0</v>
      </c>
      <c r="H69" s="60">
        <v>5295.0</v>
      </c>
      <c r="I69" s="60">
        <v>5273.0</v>
      </c>
      <c r="J69" s="60">
        <v>5251.0</v>
      </c>
      <c r="K69" s="60">
        <v>5229.0</v>
      </c>
      <c r="L69" s="60">
        <v>5207.0</v>
      </c>
      <c r="M69" s="60">
        <v>5185.0</v>
      </c>
      <c r="N69" s="60">
        <v>5163.0</v>
      </c>
      <c r="O69" s="60">
        <v>5141.0</v>
      </c>
      <c r="P69" s="60">
        <v>5119.0</v>
      </c>
      <c r="Q69" s="60">
        <v>5097.0</v>
      </c>
      <c r="R69" s="60">
        <v>5075.0</v>
      </c>
      <c r="S69" s="60">
        <v>5053.0</v>
      </c>
      <c r="T69" s="60">
        <v>5031.0</v>
      </c>
      <c r="U69" s="60">
        <v>5009.0</v>
      </c>
      <c r="V69" s="60">
        <v>4987.0</v>
      </c>
      <c r="W69" s="60">
        <v>4965.0</v>
      </c>
      <c r="X69" s="60">
        <v>4943.0</v>
      </c>
      <c r="Y69" s="60">
        <v>4921.0</v>
      </c>
      <c r="Z69" s="60">
        <v>4899.0</v>
      </c>
      <c r="AA69" s="60">
        <v>4877.0</v>
      </c>
      <c r="AB69" s="60">
        <v>4855.0</v>
      </c>
      <c r="AC69" s="60">
        <v>4833.0</v>
      </c>
      <c r="AD69" s="60">
        <v>4811.0</v>
      </c>
      <c r="AE69" s="60">
        <v>4789.0</v>
      </c>
      <c r="AF69" s="60">
        <v>4767.0</v>
      </c>
      <c r="AG69" s="60">
        <v>4745.0</v>
      </c>
      <c r="AH69" s="60">
        <v>4723.0</v>
      </c>
      <c r="AI69" s="60">
        <v>4701.0</v>
      </c>
      <c r="AJ69" s="60">
        <v>4679.0</v>
      </c>
      <c r="AK69" s="60">
        <v>4657.0</v>
      </c>
      <c r="AL69" s="60">
        <v>4635.0</v>
      </c>
      <c r="AM69" s="60">
        <v>4613.0</v>
      </c>
      <c r="AN69" s="60">
        <v>4591.0</v>
      </c>
      <c r="AO69" s="60">
        <v>4569.0</v>
      </c>
      <c r="AP69" s="60">
        <v>4547.0</v>
      </c>
      <c r="AQ69" s="60">
        <v>4525.0</v>
      </c>
      <c r="AR69" s="60">
        <v>4503.0</v>
      </c>
      <c r="AS69" s="60">
        <v>4481.0</v>
      </c>
      <c r="AT69" s="60">
        <v>4459.0</v>
      </c>
      <c r="AU69" s="60">
        <v>4437.0</v>
      </c>
      <c r="AV69" s="60">
        <v>4415.0</v>
      </c>
      <c r="AW69" s="60">
        <v>4393.0</v>
      </c>
      <c r="AX69" s="60">
        <v>4371.0</v>
      </c>
      <c r="AY69" s="60">
        <v>4349.0</v>
      </c>
      <c r="AZ69" s="60">
        <v>4327.0</v>
      </c>
      <c r="BA69" s="60">
        <v>4305.0</v>
      </c>
      <c r="BB69" s="60">
        <v>4283.0</v>
      </c>
      <c r="BC69" s="60">
        <v>4261.0</v>
      </c>
      <c r="BD69" s="60">
        <v>4239.0</v>
      </c>
      <c r="BE69" s="60">
        <v>4217.0</v>
      </c>
      <c r="BF69" s="60">
        <v>4195.0</v>
      </c>
      <c r="BG69" s="60">
        <v>4173.0</v>
      </c>
      <c r="BH69" s="60">
        <v>4151.0</v>
      </c>
      <c r="BI69" s="60">
        <v>4129.0</v>
      </c>
      <c r="BJ69" s="60">
        <v>4107.0</v>
      </c>
      <c r="BK69" s="60">
        <v>4085.0</v>
      </c>
      <c r="BL69" s="60">
        <v>4063.0</v>
      </c>
      <c r="BM69" s="60">
        <v>4041.0</v>
      </c>
      <c r="BN69" s="60">
        <v>4019.0</v>
      </c>
      <c r="BO69" s="60">
        <v>3997.0</v>
      </c>
      <c r="BP69" s="60">
        <v>3975.0</v>
      </c>
      <c r="BQ69" s="60">
        <v>3953.0</v>
      </c>
      <c r="BR69" s="60">
        <v>3931.0</v>
      </c>
      <c r="BS69" s="60">
        <v>3909.0</v>
      </c>
      <c r="BT69" s="60">
        <v>3887.0</v>
      </c>
      <c r="BU69" s="60">
        <v>3865.0</v>
      </c>
      <c r="BV69" s="60">
        <v>3843.0</v>
      </c>
      <c r="BW69" s="60">
        <v>3821.0</v>
      </c>
      <c r="BX69" s="60">
        <v>3799.0</v>
      </c>
      <c r="BY69" s="60">
        <v>3777.0</v>
      </c>
      <c r="BZ69" s="60">
        <v>3755.0</v>
      </c>
      <c r="CA69" s="60">
        <v>3733.0</v>
      </c>
      <c r="CB69" s="60">
        <v>3711.0</v>
      </c>
      <c r="CC69" s="60">
        <v>3689.0</v>
      </c>
      <c r="CD69" s="60">
        <v>3667.0</v>
      </c>
      <c r="CE69" s="60">
        <v>3645.0</v>
      </c>
      <c r="CF69" s="17">
        <v>45.0</v>
      </c>
    </row>
    <row r="70">
      <c r="A70" s="17">
        <v>68.0</v>
      </c>
      <c r="B70" s="60">
        <v>5508.0</v>
      </c>
      <c r="C70" s="60">
        <v>5484.0</v>
      </c>
      <c r="D70" s="60">
        <v>5460.0</v>
      </c>
      <c r="E70" s="60">
        <v>5436.0</v>
      </c>
      <c r="F70" s="60">
        <v>5412.0</v>
      </c>
      <c r="G70" s="60">
        <v>5388.0</v>
      </c>
      <c r="H70" s="60">
        <v>5364.0</v>
      </c>
      <c r="I70" s="60">
        <v>5340.0</v>
      </c>
      <c r="J70" s="60">
        <v>5316.0</v>
      </c>
      <c r="K70" s="60">
        <v>5292.0</v>
      </c>
      <c r="L70" s="60">
        <v>5268.0</v>
      </c>
      <c r="M70" s="60">
        <v>5244.0</v>
      </c>
      <c r="N70" s="60">
        <v>5220.0</v>
      </c>
      <c r="O70" s="60">
        <v>5196.0</v>
      </c>
      <c r="P70" s="60">
        <v>5172.0</v>
      </c>
      <c r="Q70" s="60">
        <v>5148.0</v>
      </c>
      <c r="R70" s="60">
        <v>5124.0</v>
      </c>
      <c r="S70" s="60">
        <v>5100.0</v>
      </c>
      <c r="T70" s="60">
        <v>5076.0</v>
      </c>
      <c r="U70" s="60">
        <v>5052.0</v>
      </c>
      <c r="V70" s="60">
        <v>5028.0</v>
      </c>
      <c r="W70" s="60">
        <v>5004.0</v>
      </c>
      <c r="X70" s="60">
        <v>4980.0</v>
      </c>
      <c r="Y70" s="60">
        <v>4956.0</v>
      </c>
      <c r="Z70" s="60">
        <v>4932.0</v>
      </c>
      <c r="AA70" s="60">
        <v>4908.0</v>
      </c>
      <c r="AB70" s="60">
        <v>4884.0</v>
      </c>
      <c r="AC70" s="60">
        <v>4860.0</v>
      </c>
      <c r="AD70" s="60">
        <v>4836.0</v>
      </c>
      <c r="AE70" s="60">
        <v>4812.0</v>
      </c>
      <c r="AF70" s="60">
        <v>4788.0</v>
      </c>
      <c r="AG70" s="60">
        <v>4764.0</v>
      </c>
      <c r="AH70" s="60">
        <v>4740.0</v>
      </c>
      <c r="AI70" s="60">
        <v>4716.0</v>
      </c>
      <c r="AJ70" s="60">
        <v>4692.0</v>
      </c>
      <c r="AK70" s="60">
        <v>4668.0</v>
      </c>
      <c r="AL70" s="70">
        <v>4644.0</v>
      </c>
      <c r="AM70" s="60">
        <v>4620.0</v>
      </c>
      <c r="AN70" s="60">
        <v>4596.0</v>
      </c>
      <c r="AO70" s="60">
        <v>4572.0</v>
      </c>
      <c r="AP70" s="60">
        <v>4548.0</v>
      </c>
      <c r="AQ70" s="60">
        <v>4524.0</v>
      </c>
      <c r="AR70" s="60">
        <v>4500.0</v>
      </c>
      <c r="AS70" s="60">
        <v>4476.0</v>
      </c>
      <c r="AT70" s="60">
        <v>4452.0</v>
      </c>
      <c r="AU70" s="70">
        <v>4428.0</v>
      </c>
      <c r="AV70" s="60">
        <v>4404.0</v>
      </c>
      <c r="AW70" s="60">
        <v>4380.0</v>
      </c>
      <c r="AX70" s="60">
        <v>4356.0</v>
      </c>
      <c r="AY70" s="60">
        <v>4332.0</v>
      </c>
      <c r="AZ70" s="60">
        <v>4308.0</v>
      </c>
      <c r="BA70" s="60">
        <v>4284.0</v>
      </c>
      <c r="BB70" s="60">
        <v>4260.0</v>
      </c>
      <c r="BC70" s="60">
        <v>4236.0</v>
      </c>
      <c r="BD70" s="60">
        <v>4212.0</v>
      </c>
      <c r="BE70" s="60">
        <v>4188.0</v>
      </c>
      <c r="BF70" s="60">
        <v>4164.0</v>
      </c>
      <c r="BG70" s="60">
        <v>4140.0</v>
      </c>
      <c r="BH70" s="60">
        <v>4116.0</v>
      </c>
      <c r="BI70" s="60">
        <v>4092.0</v>
      </c>
      <c r="BJ70" s="60">
        <v>4068.0</v>
      </c>
      <c r="BK70" s="60">
        <v>4044.0</v>
      </c>
      <c r="BL70" s="60">
        <v>4020.0</v>
      </c>
      <c r="BM70" s="60">
        <v>3996.0</v>
      </c>
      <c r="BN70" s="60">
        <v>3972.0</v>
      </c>
      <c r="BO70" s="60">
        <v>3948.0</v>
      </c>
      <c r="BP70" s="60">
        <v>3924.0</v>
      </c>
      <c r="BQ70" s="60">
        <v>3900.0</v>
      </c>
      <c r="BR70" s="60">
        <v>3876.0</v>
      </c>
      <c r="BS70" s="60">
        <v>3852.0</v>
      </c>
      <c r="BT70" s="60">
        <v>3828.0</v>
      </c>
      <c r="BU70" s="60">
        <v>3804.0</v>
      </c>
      <c r="BV70" s="60">
        <v>3780.0</v>
      </c>
      <c r="BW70" s="60">
        <v>3756.0</v>
      </c>
      <c r="BX70" s="60">
        <v>3732.0</v>
      </c>
      <c r="BY70" s="60">
        <v>3708.0</v>
      </c>
      <c r="BZ70" s="60">
        <v>3684.0</v>
      </c>
      <c r="CA70" s="60">
        <v>3660.0</v>
      </c>
      <c r="CB70" s="60">
        <v>3636.0</v>
      </c>
      <c r="CC70" s="60">
        <v>3612.0</v>
      </c>
      <c r="CD70" s="60">
        <v>3588.0</v>
      </c>
      <c r="CE70" s="60">
        <v>3564.0</v>
      </c>
      <c r="CF70" s="17">
        <v>44.0</v>
      </c>
    </row>
    <row r="71">
      <c r="A71" s="17">
        <v>69.0</v>
      </c>
      <c r="B71" s="60">
        <v>5589.0</v>
      </c>
      <c r="C71" s="60">
        <v>5563.0</v>
      </c>
      <c r="D71" s="60">
        <v>5537.0</v>
      </c>
      <c r="E71" s="60">
        <v>5511.0</v>
      </c>
      <c r="F71" s="60">
        <v>5485.0</v>
      </c>
      <c r="G71" s="60">
        <v>5459.0</v>
      </c>
      <c r="H71" s="60">
        <v>5433.0</v>
      </c>
      <c r="I71" s="60">
        <v>5407.0</v>
      </c>
      <c r="J71" s="60">
        <v>5381.0</v>
      </c>
      <c r="K71" s="60">
        <v>5355.0</v>
      </c>
      <c r="L71" s="60">
        <v>5329.0</v>
      </c>
      <c r="M71" s="60">
        <v>5303.0</v>
      </c>
      <c r="N71" s="60">
        <v>5277.0</v>
      </c>
      <c r="O71" s="60">
        <v>5251.0</v>
      </c>
      <c r="P71" s="60">
        <v>5225.0</v>
      </c>
      <c r="Q71" s="60">
        <v>5199.0</v>
      </c>
      <c r="R71" s="60">
        <v>5173.0</v>
      </c>
      <c r="S71" s="60">
        <v>5147.0</v>
      </c>
      <c r="T71" s="60">
        <v>5121.0</v>
      </c>
      <c r="U71" s="60">
        <v>5095.0</v>
      </c>
      <c r="V71" s="60">
        <v>5069.0</v>
      </c>
      <c r="W71" s="60">
        <v>5043.0</v>
      </c>
      <c r="X71" s="60">
        <v>5017.0</v>
      </c>
      <c r="Y71" s="60">
        <v>4991.0</v>
      </c>
      <c r="Z71" s="60">
        <v>4965.0</v>
      </c>
      <c r="AA71" s="60">
        <v>4939.0</v>
      </c>
      <c r="AB71" s="60">
        <v>4913.0</v>
      </c>
      <c r="AC71" s="60">
        <v>4887.0</v>
      </c>
      <c r="AD71" s="60">
        <v>4861.0</v>
      </c>
      <c r="AE71" s="60">
        <v>4835.0</v>
      </c>
      <c r="AF71" s="60">
        <v>4809.0</v>
      </c>
      <c r="AG71" s="60">
        <v>4783.0</v>
      </c>
      <c r="AH71" s="60">
        <v>4757.0</v>
      </c>
      <c r="AI71" s="60">
        <v>4731.0</v>
      </c>
      <c r="AJ71" s="60">
        <v>4705.0</v>
      </c>
      <c r="AK71" s="60">
        <v>4679.0</v>
      </c>
      <c r="AL71" s="60">
        <v>4653.0</v>
      </c>
      <c r="AM71" s="70">
        <v>4627.0</v>
      </c>
      <c r="AN71" s="60">
        <v>4601.0</v>
      </c>
      <c r="AO71" s="60">
        <v>4575.0</v>
      </c>
      <c r="AP71" s="60">
        <v>4549.0</v>
      </c>
      <c r="AQ71" s="60">
        <v>4523.0</v>
      </c>
      <c r="AR71" s="60">
        <v>4497.0</v>
      </c>
      <c r="AS71" s="60">
        <v>4471.0</v>
      </c>
      <c r="AT71" s="70">
        <v>4445.0</v>
      </c>
      <c r="AU71" s="60">
        <v>4419.0</v>
      </c>
      <c r="AV71" s="60">
        <v>4393.0</v>
      </c>
      <c r="AW71" s="60">
        <v>4367.0</v>
      </c>
      <c r="AX71" s="60">
        <v>4341.0</v>
      </c>
      <c r="AY71" s="60">
        <v>4315.0</v>
      </c>
      <c r="AZ71" s="60">
        <v>4289.0</v>
      </c>
      <c r="BA71" s="60">
        <v>4263.0</v>
      </c>
      <c r="BB71" s="60">
        <v>4237.0</v>
      </c>
      <c r="BC71" s="60">
        <v>4211.0</v>
      </c>
      <c r="BD71" s="60">
        <v>4185.0</v>
      </c>
      <c r="BE71" s="60">
        <v>4159.0</v>
      </c>
      <c r="BF71" s="60">
        <v>4133.0</v>
      </c>
      <c r="BG71" s="60">
        <v>4107.0</v>
      </c>
      <c r="BH71" s="60">
        <v>4081.0</v>
      </c>
      <c r="BI71" s="60">
        <v>4055.0</v>
      </c>
      <c r="BJ71" s="60">
        <v>4029.0</v>
      </c>
      <c r="BK71" s="60">
        <v>4003.0</v>
      </c>
      <c r="BL71" s="60">
        <v>3977.0</v>
      </c>
      <c r="BM71" s="60">
        <v>3951.0</v>
      </c>
      <c r="BN71" s="60">
        <v>3925.0</v>
      </c>
      <c r="BO71" s="60">
        <v>3899.0</v>
      </c>
      <c r="BP71" s="60">
        <v>3873.0</v>
      </c>
      <c r="BQ71" s="60">
        <v>3847.0</v>
      </c>
      <c r="BR71" s="60">
        <v>3821.0</v>
      </c>
      <c r="BS71" s="60">
        <v>3795.0</v>
      </c>
      <c r="BT71" s="60">
        <v>3769.0</v>
      </c>
      <c r="BU71" s="60">
        <v>3743.0</v>
      </c>
      <c r="BV71" s="60">
        <v>3717.0</v>
      </c>
      <c r="BW71" s="60">
        <v>3691.0</v>
      </c>
      <c r="BX71" s="60">
        <v>3665.0</v>
      </c>
      <c r="BY71" s="60">
        <v>3639.0</v>
      </c>
      <c r="BZ71" s="60">
        <v>3613.0</v>
      </c>
      <c r="CA71" s="60">
        <v>3587.0</v>
      </c>
      <c r="CB71" s="60">
        <v>3561.0</v>
      </c>
      <c r="CC71" s="60">
        <v>3535.0</v>
      </c>
      <c r="CD71" s="60">
        <v>3509.0</v>
      </c>
      <c r="CE71" s="60">
        <v>3483.0</v>
      </c>
      <c r="CF71" s="17">
        <v>43.0</v>
      </c>
    </row>
    <row r="72">
      <c r="A72" s="17">
        <v>70.0</v>
      </c>
      <c r="B72" s="60">
        <v>5670.0</v>
      </c>
      <c r="C72" s="60">
        <v>5642.0</v>
      </c>
      <c r="D72" s="60">
        <v>5614.0</v>
      </c>
      <c r="E72" s="60">
        <v>5586.0</v>
      </c>
      <c r="F72" s="60">
        <v>5558.0</v>
      </c>
      <c r="G72" s="60">
        <v>5530.0</v>
      </c>
      <c r="H72" s="60">
        <v>5502.0</v>
      </c>
      <c r="I72" s="60">
        <v>5474.0</v>
      </c>
      <c r="J72" s="60">
        <v>5446.0</v>
      </c>
      <c r="K72" s="60">
        <v>5418.0</v>
      </c>
      <c r="L72" s="60">
        <v>5390.0</v>
      </c>
      <c r="M72" s="60">
        <v>5362.0</v>
      </c>
      <c r="N72" s="60">
        <v>5334.0</v>
      </c>
      <c r="O72" s="60">
        <v>5306.0</v>
      </c>
      <c r="P72" s="60">
        <v>5278.0</v>
      </c>
      <c r="Q72" s="60">
        <v>5250.0</v>
      </c>
      <c r="R72" s="60">
        <v>5222.0</v>
      </c>
      <c r="S72" s="60">
        <v>5194.0</v>
      </c>
      <c r="T72" s="60">
        <v>5166.0</v>
      </c>
      <c r="U72" s="60">
        <v>5138.0</v>
      </c>
      <c r="V72" s="60">
        <v>5110.0</v>
      </c>
      <c r="W72" s="60">
        <v>5082.0</v>
      </c>
      <c r="X72" s="60">
        <v>5054.0</v>
      </c>
      <c r="Y72" s="60">
        <v>5026.0</v>
      </c>
      <c r="Z72" s="60">
        <v>4998.0</v>
      </c>
      <c r="AA72" s="60">
        <v>4970.0</v>
      </c>
      <c r="AB72" s="60">
        <v>4942.0</v>
      </c>
      <c r="AC72" s="60">
        <v>4914.0</v>
      </c>
      <c r="AD72" s="60">
        <v>4886.0</v>
      </c>
      <c r="AE72" s="60">
        <v>4858.0</v>
      </c>
      <c r="AF72" s="60">
        <v>4830.0</v>
      </c>
      <c r="AG72" s="60">
        <v>4802.0</v>
      </c>
      <c r="AH72" s="60">
        <v>4774.0</v>
      </c>
      <c r="AI72" s="60">
        <v>4746.0</v>
      </c>
      <c r="AJ72" s="60">
        <v>4718.0</v>
      </c>
      <c r="AK72" s="60">
        <v>4690.0</v>
      </c>
      <c r="AL72" s="60">
        <v>4662.0</v>
      </c>
      <c r="AM72" s="60">
        <v>4634.0</v>
      </c>
      <c r="AN72" s="60">
        <v>4606.0</v>
      </c>
      <c r="AO72" s="60">
        <v>4578.0</v>
      </c>
      <c r="AP72" s="60">
        <v>4550.0</v>
      </c>
      <c r="AQ72" s="60">
        <v>4522.0</v>
      </c>
      <c r="AR72" s="60">
        <v>4494.0</v>
      </c>
      <c r="AS72" s="60">
        <v>4466.0</v>
      </c>
      <c r="AT72" s="60">
        <v>4438.0</v>
      </c>
      <c r="AU72" s="60">
        <v>4410.0</v>
      </c>
      <c r="AV72" s="60">
        <v>4382.0</v>
      </c>
      <c r="AW72" s="60">
        <v>4354.0</v>
      </c>
      <c r="AX72" s="60">
        <v>4326.0</v>
      </c>
      <c r="AY72" s="60">
        <v>4298.0</v>
      </c>
      <c r="AZ72" s="60">
        <v>4270.0</v>
      </c>
      <c r="BA72" s="60">
        <v>4242.0</v>
      </c>
      <c r="BB72" s="60">
        <v>4214.0</v>
      </c>
      <c r="BC72" s="60">
        <v>4186.0</v>
      </c>
      <c r="BD72" s="60">
        <v>4158.0</v>
      </c>
      <c r="BE72" s="60">
        <v>4130.0</v>
      </c>
      <c r="BF72" s="60">
        <v>4102.0</v>
      </c>
      <c r="BG72" s="60">
        <v>4074.0</v>
      </c>
      <c r="BH72" s="60">
        <v>4046.0</v>
      </c>
      <c r="BI72" s="60">
        <v>4018.0</v>
      </c>
      <c r="BJ72" s="60">
        <v>3990.0</v>
      </c>
      <c r="BK72" s="60">
        <v>3962.0</v>
      </c>
      <c r="BL72" s="60">
        <v>3934.0</v>
      </c>
      <c r="BM72" s="60">
        <v>3906.0</v>
      </c>
      <c r="BN72" s="60">
        <v>3878.0</v>
      </c>
      <c r="BO72" s="60">
        <v>3850.0</v>
      </c>
      <c r="BP72" s="60">
        <v>3822.0</v>
      </c>
      <c r="BQ72" s="60">
        <v>3794.0</v>
      </c>
      <c r="BR72" s="60">
        <v>3766.0</v>
      </c>
      <c r="BS72" s="60">
        <v>3738.0</v>
      </c>
      <c r="BT72" s="60">
        <v>3710.0</v>
      </c>
      <c r="BU72" s="60">
        <v>3682.0</v>
      </c>
      <c r="BV72" s="60">
        <v>3654.0</v>
      </c>
      <c r="BW72" s="60">
        <v>3626.0</v>
      </c>
      <c r="BX72" s="60">
        <v>3598.0</v>
      </c>
      <c r="BY72" s="60">
        <v>3570.0</v>
      </c>
      <c r="BZ72" s="60">
        <v>3542.0</v>
      </c>
      <c r="CA72" s="60">
        <v>3514.0</v>
      </c>
      <c r="CB72" s="60">
        <v>3486.0</v>
      </c>
      <c r="CC72" s="60">
        <v>3458.0</v>
      </c>
      <c r="CD72" s="60">
        <v>3430.0</v>
      </c>
      <c r="CE72" s="60">
        <v>3402.0</v>
      </c>
      <c r="CF72" s="17">
        <v>42.0</v>
      </c>
    </row>
    <row r="73">
      <c r="A73" s="17">
        <v>71.0</v>
      </c>
      <c r="B73" s="60">
        <v>5751.0</v>
      </c>
      <c r="C73" s="60">
        <v>5721.0</v>
      </c>
      <c r="D73" s="60">
        <v>5691.0</v>
      </c>
      <c r="E73" s="60">
        <v>5661.0</v>
      </c>
      <c r="F73" s="60">
        <v>5631.0</v>
      </c>
      <c r="G73" s="60">
        <v>5601.0</v>
      </c>
      <c r="H73" s="60">
        <v>5571.0</v>
      </c>
      <c r="I73" s="60">
        <v>5541.0</v>
      </c>
      <c r="J73" s="60">
        <v>5511.0</v>
      </c>
      <c r="K73" s="60">
        <v>5481.0</v>
      </c>
      <c r="L73" s="60">
        <v>5451.0</v>
      </c>
      <c r="M73" s="60">
        <v>5421.0</v>
      </c>
      <c r="N73" s="60">
        <v>5391.0</v>
      </c>
      <c r="O73" s="60">
        <v>5361.0</v>
      </c>
      <c r="P73" s="60">
        <v>5331.0</v>
      </c>
      <c r="Q73" s="60">
        <v>5301.0</v>
      </c>
      <c r="R73" s="60">
        <v>5271.0</v>
      </c>
      <c r="S73" s="60">
        <v>5241.0</v>
      </c>
      <c r="T73" s="60">
        <v>5211.0</v>
      </c>
      <c r="U73" s="60">
        <v>5181.0</v>
      </c>
      <c r="V73" s="60">
        <v>5151.0</v>
      </c>
      <c r="W73" s="60">
        <v>5121.0</v>
      </c>
      <c r="X73" s="60">
        <v>5091.0</v>
      </c>
      <c r="Y73" s="60">
        <v>5061.0</v>
      </c>
      <c r="Z73" s="60">
        <v>5031.0</v>
      </c>
      <c r="AA73" s="60">
        <v>5001.0</v>
      </c>
      <c r="AB73" s="60">
        <v>4971.0</v>
      </c>
      <c r="AC73" s="60">
        <v>4941.0</v>
      </c>
      <c r="AD73" s="60">
        <v>4911.0</v>
      </c>
      <c r="AE73" s="60">
        <v>4881.0</v>
      </c>
      <c r="AF73" s="60">
        <v>4851.0</v>
      </c>
      <c r="AG73" s="60">
        <v>4821.0</v>
      </c>
      <c r="AH73" s="60">
        <v>4791.0</v>
      </c>
      <c r="AI73" s="60">
        <v>4761.0</v>
      </c>
      <c r="AJ73" s="60">
        <v>4731.0</v>
      </c>
      <c r="AK73" s="60">
        <v>4701.0</v>
      </c>
      <c r="AL73" s="60">
        <v>4671.0</v>
      </c>
      <c r="AM73" s="60">
        <v>4641.0</v>
      </c>
      <c r="AN73" s="70">
        <v>4611.0</v>
      </c>
      <c r="AO73" s="60">
        <v>4581.0</v>
      </c>
      <c r="AP73" s="60">
        <v>4551.0</v>
      </c>
      <c r="AQ73" s="60">
        <v>4521.0</v>
      </c>
      <c r="AR73" s="60">
        <v>4491.0</v>
      </c>
      <c r="AS73" s="70">
        <v>4461.0</v>
      </c>
      <c r="AT73" s="60">
        <v>4431.0</v>
      </c>
      <c r="AU73" s="60">
        <v>4401.0</v>
      </c>
      <c r="AV73" s="60">
        <v>4371.0</v>
      </c>
      <c r="AW73" s="60">
        <v>4341.0</v>
      </c>
      <c r="AX73" s="60">
        <v>4311.0</v>
      </c>
      <c r="AY73" s="60">
        <v>4281.0</v>
      </c>
      <c r="AZ73" s="60">
        <v>4251.0</v>
      </c>
      <c r="BA73" s="60">
        <v>4221.0</v>
      </c>
      <c r="BB73" s="60">
        <v>4191.0</v>
      </c>
      <c r="BC73" s="60">
        <v>4161.0</v>
      </c>
      <c r="BD73" s="60">
        <v>4131.0</v>
      </c>
      <c r="BE73" s="60">
        <v>4101.0</v>
      </c>
      <c r="BF73" s="60">
        <v>4071.0</v>
      </c>
      <c r="BG73" s="60">
        <v>4041.0</v>
      </c>
      <c r="BH73" s="60">
        <v>4011.0</v>
      </c>
      <c r="BI73" s="60">
        <v>3981.0</v>
      </c>
      <c r="BJ73" s="60">
        <v>3951.0</v>
      </c>
      <c r="BK73" s="60">
        <v>3921.0</v>
      </c>
      <c r="BL73" s="60">
        <v>3891.0</v>
      </c>
      <c r="BM73" s="60">
        <v>3861.0</v>
      </c>
      <c r="BN73" s="60">
        <v>3831.0</v>
      </c>
      <c r="BO73" s="60">
        <v>3801.0</v>
      </c>
      <c r="BP73" s="60">
        <v>3771.0</v>
      </c>
      <c r="BQ73" s="60">
        <v>3741.0</v>
      </c>
      <c r="BR73" s="60">
        <v>3711.0</v>
      </c>
      <c r="BS73" s="60">
        <v>3681.0</v>
      </c>
      <c r="BT73" s="60">
        <v>3651.0</v>
      </c>
      <c r="BU73" s="60">
        <v>3621.0</v>
      </c>
      <c r="BV73" s="60">
        <v>3591.0</v>
      </c>
      <c r="BW73" s="60">
        <v>3561.0</v>
      </c>
      <c r="BX73" s="60">
        <v>3531.0</v>
      </c>
      <c r="BY73" s="60">
        <v>3501.0</v>
      </c>
      <c r="BZ73" s="60">
        <v>3471.0</v>
      </c>
      <c r="CA73" s="60">
        <v>3441.0</v>
      </c>
      <c r="CB73" s="60">
        <v>3411.0</v>
      </c>
      <c r="CC73" s="60">
        <v>3381.0</v>
      </c>
      <c r="CD73" s="60">
        <v>3351.0</v>
      </c>
      <c r="CE73" s="60">
        <v>3321.0</v>
      </c>
      <c r="CF73" s="17">
        <v>41.0</v>
      </c>
    </row>
    <row r="74">
      <c r="A74" s="17">
        <v>72.0</v>
      </c>
      <c r="B74" s="60">
        <v>5832.0</v>
      </c>
      <c r="C74" s="60">
        <v>5800.0</v>
      </c>
      <c r="D74" s="60">
        <v>5768.0</v>
      </c>
      <c r="E74" s="60">
        <v>5736.0</v>
      </c>
      <c r="F74" s="60">
        <v>5704.0</v>
      </c>
      <c r="G74" s="60">
        <v>5672.0</v>
      </c>
      <c r="H74" s="60">
        <v>5640.0</v>
      </c>
      <c r="I74" s="60">
        <v>5608.0</v>
      </c>
      <c r="J74" s="60">
        <v>5576.0</v>
      </c>
      <c r="K74" s="60">
        <v>5544.0</v>
      </c>
      <c r="L74" s="60">
        <v>5512.0</v>
      </c>
      <c r="M74" s="60">
        <v>5480.0</v>
      </c>
      <c r="N74" s="60">
        <v>5448.0</v>
      </c>
      <c r="O74" s="60">
        <v>5416.0</v>
      </c>
      <c r="P74" s="60">
        <v>5384.0</v>
      </c>
      <c r="Q74" s="60">
        <v>5352.0</v>
      </c>
      <c r="R74" s="60">
        <v>5320.0</v>
      </c>
      <c r="S74" s="60">
        <v>5288.0</v>
      </c>
      <c r="T74" s="60">
        <v>5256.0</v>
      </c>
      <c r="U74" s="60">
        <v>5224.0</v>
      </c>
      <c r="V74" s="60">
        <v>5192.0</v>
      </c>
      <c r="W74" s="60">
        <v>5160.0</v>
      </c>
      <c r="X74" s="60">
        <v>5128.0</v>
      </c>
      <c r="Y74" s="60">
        <v>5096.0</v>
      </c>
      <c r="Z74" s="60">
        <v>5064.0</v>
      </c>
      <c r="AA74" s="60">
        <v>5032.0</v>
      </c>
      <c r="AB74" s="60">
        <v>5000.0</v>
      </c>
      <c r="AC74" s="60">
        <v>4968.0</v>
      </c>
      <c r="AD74" s="60">
        <v>4936.0</v>
      </c>
      <c r="AE74" s="60">
        <v>4904.0</v>
      </c>
      <c r="AF74" s="60">
        <v>4872.0</v>
      </c>
      <c r="AG74" s="60">
        <v>4840.0</v>
      </c>
      <c r="AH74" s="60">
        <v>4808.0</v>
      </c>
      <c r="AI74" s="60">
        <v>4776.0</v>
      </c>
      <c r="AJ74" s="60">
        <v>4744.0</v>
      </c>
      <c r="AK74" s="60">
        <v>4712.0</v>
      </c>
      <c r="AL74" s="60">
        <v>4680.0</v>
      </c>
      <c r="AM74" s="60">
        <v>4648.0</v>
      </c>
      <c r="AN74" s="60">
        <v>4616.0</v>
      </c>
      <c r="AO74" s="70">
        <v>4584.0</v>
      </c>
      <c r="AP74" s="60">
        <v>4552.0</v>
      </c>
      <c r="AQ74" s="60">
        <v>4520.0</v>
      </c>
      <c r="AR74" s="70">
        <v>4488.0</v>
      </c>
      <c r="AS74" s="60">
        <v>4456.0</v>
      </c>
      <c r="AT74" s="60">
        <v>4424.0</v>
      </c>
      <c r="AU74" s="60">
        <v>4392.0</v>
      </c>
      <c r="AV74" s="60">
        <v>4360.0</v>
      </c>
      <c r="AW74" s="60">
        <v>4328.0</v>
      </c>
      <c r="AX74" s="60">
        <v>4296.0</v>
      </c>
      <c r="AY74" s="60">
        <v>4264.0</v>
      </c>
      <c r="AZ74" s="60">
        <v>4232.0</v>
      </c>
      <c r="BA74" s="60">
        <v>4200.0</v>
      </c>
      <c r="BB74" s="60">
        <v>4168.0</v>
      </c>
      <c r="BC74" s="60">
        <v>4136.0</v>
      </c>
      <c r="BD74" s="60">
        <v>4104.0</v>
      </c>
      <c r="BE74" s="60">
        <v>4072.0</v>
      </c>
      <c r="BF74" s="60">
        <v>4040.0</v>
      </c>
      <c r="BG74" s="60">
        <v>4008.0</v>
      </c>
      <c r="BH74" s="60">
        <v>3976.0</v>
      </c>
      <c r="BI74" s="60">
        <v>3944.0</v>
      </c>
      <c r="BJ74" s="60">
        <v>3912.0</v>
      </c>
      <c r="BK74" s="60">
        <v>3880.0</v>
      </c>
      <c r="BL74" s="60">
        <v>3848.0</v>
      </c>
      <c r="BM74" s="60">
        <v>3816.0</v>
      </c>
      <c r="BN74" s="60">
        <v>3784.0</v>
      </c>
      <c r="BO74" s="60">
        <v>3752.0</v>
      </c>
      <c r="BP74" s="60">
        <v>3720.0</v>
      </c>
      <c r="BQ74" s="60">
        <v>3688.0</v>
      </c>
      <c r="BR74" s="60">
        <v>3656.0</v>
      </c>
      <c r="BS74" s="60">
        <v>3624.0</v>
      </c>
      <c r="BT74" s="60">
        <v>3592.0</v>
      </c>
      <c r="BU74" s="60">
        <v>3560.0</v>
      </c>
      <c r="BV74" s="60">
        <v>3528.0</v>
      </c>
      <c r="BW74" s="60">
        <v>3496.0</v>
      </c>
      <c r="BX74" s="60">
        <v>3464.0</v>
      </c>
      <c r="BY74" s="60">
        <v>3432.0</v>
      </c>
      <c r="BZ74" s="60">
        <v>3400.0</v>
      </c>
      <c r="CA74" s="60">
        <v>3368.0</v>
      </c>
      <c r="CB74" s="60">
        <v>3336.0</v>
      </c>
      <c r="CC74" s="60">
        <v>3304.0</v>
      </c>
      <c r="CD74" s="60">
        <v>3272.0</v>
      </c>
      <c r="CE74" s="60">
        <v>3240.0</v>
      </c>
      <c r="CF74" s="17">
        <v>40.0</v>
      </c>
    </row>
    <row r="75">
      <c r="A75" s="17">
        <v>73.0</v>
      </c>
      <c r="B75" s="60">
        <v>5913.0</v>
      </c>
      <c r="C75" s="60">
        <v>5879.0</v>
      </c>
      <c r="D75" s="60">
        <v>5845.0</v>
      </c>
      <c r="E75" s="60">
        <v>5811.0</v>
      </c>
      <c r="F75" s="60">
        <v>5777.0</v>
      </c>
      <c r="G75" s="60">
        <v>5743.0</v>
      </c>
      <c r="H75" s="60">
        <v>5709.0</v>
      </c>
      <c r="I75" s="60">
        <v>5675.0</v>
      </c>
      <c r="J75" s="60">
        <v>5641.0</v>
      </c>
      <c r="K75" s="60">
        <v>5607.0</v>
      </c>
      <c r="L75" s="60">
        <v>5573.0</v>
      </c>
      <c r="M75" s="60">
        <v>5539.0</v>
      </c>
      <c r="N75" s="60">
        <v>5505.0</v>
      </c>
      <c r="O75" s="60">
        <v>5471.0</v>
      </c>
      <c r="P75" s="60">
        <v>5437.0</v>
      </c>
      <c r="Q75" s="60">
        <v>5403.0</v>
      </c>
      <c r="R75" s="60">
        <v>5369.0</v>
      </c>
      <c r="S75" s="60">
        <v>5335.0</v>
      </c>
      <c r="T75" s="60">
        <v>5301.0</v>
      </c>
      <c r="U75" s="60">
        <v>5267.0</v>
      </c>
      <c r="V75" s="60">
        <v>5233.0</v>
      </c>
      <c r="W75" s="60">
        <v>5199.0</v>
      </c>
      <c r="X75" s="60">
        <v>5165.0</v>
      </c>
      <c r="Y75" s="60">
        <v>5131.0</v>
      </c>
      <c r="Z75" s="60">
        <v>5097.0</v>
      </c>
      <c r="AA75" s="60">
        <v>5063.0</v>
      </c>
      <c r="AB75" s="60">
        <v>5029.0</v>
      </c>
      <c r="AC75" s="60">
        <v>4995.0</v>
      </c>
      <c r="AD75" s="60">
        <v>4961.0</v>
      </c>
      <c r="AE75" s="60">
        <v>4927.0</v>
      </c>
      <c r="AF75" s="60">
        <v>4893.0</v>
      </c>
      <c r="AG75" s="60">
        <v>4859.0</v>
      </c>
      <c r="AH75" s="60">
        <v>4825.0</v>
      </c>
      <c r="AI75" s="60">
        <v>4791.0</v>
      </c>
      <c r="AJ75" s="60">
        <v>4757.0</v>
      </c>
      <c r="AK75" s="60">
        <v>4723.0</v>
      </c>
      <c r="AL75" s="60">
        <v>4689.0</v>
      </c>
      <c r="AM75" s="60">
        <v>4655.0</v>
      </c>
      <c r="AN75" s="60">
        <v>4621.0</v>
      </c>
      <c r="AO75" s="60">
        <v>4587.0</v>
      </c>
      <c r="AP75" s="60">
        <v>4553.0</v>
      </c>
      <c r="AQ75" s="60">
        <v>4519.0</v>
      </c>
      <c r="AR75" s="60">
        <v>4485.0</v>
      </c>
      <c r="AS75" s="60">
        <v>4451.0</v>
      </c>
      <c r="AT75" s="60">
        <v>4417.0</v>
      </c>
      <c r="AU75" s="60">
        <v>4383.0</v>
      </c>
      <c r="AV75" s="60">
        <v>4349.0</v>
      </c>
      <c r="AW75" s="60">
        <v>4315.0</v>
      </c>
      <c r="AX75" s="60">
        <v>4281.0</v>
      </c>
      <c r="AY75" s="60">
        <v>4247.0</v>
      </c>
      <c r="AZ75" s="60">
        <v>4213.0</v>
      </c>
      <c r="BA75" s="60">
        <v>4179.0</v>
      </c>
      <c r="BB75" s="60">
        <v>4145.0</v>
      </c>
      <c r="BC75" s="60">
        <v>4111.0</v>
      </c>
      <c r="BD75" s="60">
        <v>4077.0</v>
      </c>
      <c r="BE75" s="60">
        <v>4043.0</v>
      </c>
      <c r="BF75" s="60">
        <v>4009.0</v>
      </c>
      <c r="BG75" s="60">
        <v>3975.0</v>
      </c>
      <c r="BH75" s="60">
        <v>3941.0</v>
      </c>
      <c r="BI75" s="60">
        <v>3907.0</v>
      </c>
      <c r="BJ75" s="60">
        <v>3873.0</v>
      </c>
      <c r="BK75" s="60">
        <v>3839.0</v>
      </c>
      <c r="BL75" s="60">
        <v>3805.0</v>
      </c>
      <c r="BM75" s="60">
        <v>3771.0</v>
      </c>
      <c r="BN75" s="60">
        <v>3737.0</v>
      </c>
      <c r="BO75" s="60">
        <v>3703.0</v>
      </c>
      <c r="BP75" s="60">
        <v>3669.0</v>
      </c>
      <c r="BQ75" s="60">
        <v>3635.0</v>
      </c>
      <c r="BR75" s="60">
        <v>3601.0</v>
      </c>
      <c r="BS75" s="60">
        <v>3567.0</v>
      </c>
      <c r="BT75" s="60">
        <v>3533.0</v>
      </c>
      <c r="BU75" s="60">
        <v>3499.0</v>
      </c>
      <c r="BV75" s="60">
        <v>3465.0</v>
      </c>
      <c r="BW75" s="60">
        <v>3431.0</v>
      </c>
      <c r="BX75" s="60">
        <v>3397.0</v>
      </c>
      <c r="BY75" s="60">
        <v>3363.0</v>
      </c>
      <c r="BZ75" s="60">
        <v>3329.0</v>
      </c>
      <c r="CA75" s="60">
        <v>3295.0</v>
      </c>
      <c r="CB75" s="60">
        <v>3261.0</v>
      </c>
      <c r="CC75" s="60">
        <v>3227.0</v>
      </c>
      <c r="CD75" s="60">
        <v>3193.0</v>
      </c>
      <c r="CE75" s="60">
        <v>3159.0</v>
      </c>
      <c r="CF75" s="17">
        <v>39.0</v>
      </c>
    </row>
    <row r="76">
      <c r="A76" s="17">
        <v>74.0</v>
      </c>
      <c r="B76" s="60">
        <v>5994.0</v>
      </c>
      <c r="C76" s="60">
        <v>5958.0</v>
      </c>
      <c r="D76" s="60">
        <v>5922.0</v>
      </c>
      <c r="E76" s="60">
        <v>5886.0</v>
      </c>
      <c r="F76" s="60">
        <v>5850.0</v>
      </c>
      <c r="G76" s="60">
        <v>5814.0</v>
      </c>
      <c r="H76" s="60">
        <v>5778.0</v>
      </c>
      <c r="I76" s="60">
        <v>5742.0</v>
      </c>
      <c r="J76" s="60">
        <v>5706.0</v>
      </c>
      <c r="K76" s="60">
        <v>5670.0</v>
      </c>
      <c r="L76" s="60">
        <v>5634.0</v>
      </c>
      <c r="M76" s="60">
        <v>5598.0</v>
      </c>
      <c r="N76" s="60">
        <v>5562.0</v>
      </c>
      <c r="O76" s="60">
        <v>5526.0</v>
      </c>
      <c r="P76" s="60">
        <v>5490.0</v>
      </c>
      <c r="Q76" s="60">
        <v>5454.0</v>
      </c>
      <c r="R76" s="60">
        <v>5418.0</v>
      </c>
      <c r="S76" s="60">
        <v>5382.0</v>
      </c>
      <c r="T76" s="60">
        <v>5346.0</v>
      </c>
      <c r="U76" s="60">
        <v>5310.0</v>
      </c>
      <c r="V76" s="60">
        <v>5274.0</v>
      </c>
      <c r="W76" s="60">
        <v>5238.0</v>
      </c>
      <c r="X76" s="60">
        <v>5202.0</v>
      </c>
      <c r="Y76" s="60">
        <v>5166.0</v>
      </c>
      <c r="Z76" s="60">
        <v>5130.0</v>
      </c>
      <c r="AA76" s="60">
        <v>5094.0</v>
      </c>
      <c r="AB76" s="60">
        <v>5058.0</v>
      </c>
      <c r="AC76" s="60">
        <v>5022.0</v>
      </c>
      <c r="AD76" s="60">
        <v>4986.0</v>
      </c>
      <c r="AE76" s="60">
        <v>4950.0</v>
      </c>
      <c r="AF76" s="60">
        <v>4914.0</v>
      </c>
      <c r="AG76" s="60">
        <v>4878.0</v>
      </c>
      <c r="AH76" s="60">
        <v>4842.0</v>
      </c>
      <c r="AI76" s="60">
        <v>4806.0</v>
      </c>
      <c r="AJ76" s="60">
        <v>4770.0</v>
      </c>
      <c r="AK76" s="60">
        <v>4734.0</v>
      </c>
      <c r="AL76" s="60">
        <v>4698.0</v>
      </c>
      <c r="AM76" s="60">
        <v>4662.0</v>
      </c>
      <c r="AN76" s="60">
        <v>4626.0</v>
      </c>
      <c r="AO76" s="60">
        <v>4590.0</v>
      </c>
      <c r="AP76" s="70">
        <v>4554.0</v>
      </c>
      <c r="AQ76" s="70">
        <v>4518.0</v>
      </c>
      <c r="AR76" s="60">
        <v>4482.0</v>
      </c>
      <c r="AS76" s="60">
        <v>4446.0</v>
      </c>
      <c r="AT76" s="60">
        <v>4410.0</v>
      </c>
      <c r="AU76" s="60">
        <v>4374.0</v>
      </c>
      <c r="AV76" s="60">
        <v>4338.0</v>
      </c>
      <c r="AW76" s="60">
        <v>4302.0</v>
      </c>
      <c r="AX76" s="60">
        <v>4266.0</v>
      </c>
      <c r="AY76" s="60">
        <v>4230.0</v>
      </c>
      <c r="AZ76" s="60">
        <v>4194.0</v>
      </c>
      <c r="BA76" s="60">
        <v>4158.0</v>
      </c>
      <c r="BB76" s="60">
        <v>4122.0</v>
      </c>
      <c r="BC76" s="60">
        <v>4086.0</v>
      </c>
      <c r="BD76" s="60">
        <v>4050.0</v>
      </c>
      <c r="BE76" s="60">
        <v>4014.0</v>
      </c>
      <c r="BF76" s="60">
        <v>3978.0</v>
      </c>
      <c r="BG76" s="60">
        <v>3942.0</v>
      </c>
      <c r="BH76" s="60">
        <v>3906.0</v>
      </c>
      <c r="BI76" s="60">
        <v>3870.0</v>
      </c>
      <c r="BJ76" s="60">
        <v>3834.0</v>
      </c>
      <c r="BK76" s="60">
        <v>3798.0</v>
      </c>
      <c r="BL76" s="60">
        <v>3762.0</v>
      </c>
      <c r="BM76" s="60">
        <v>3726.0</v>
      </c>
      <c r="BN76" s="60">
        <v>3690.0</v>
      </c>
      <c r="BO76" s="60">
        <v>3654.0</v>
      </c>
      <c r="BP76" s="60">
        <v>3618.0</v>
      </c>
      <c r="BQ76" s="60">
        <v>3582.0</v>
      </c>
      <c r="BR76" s="60">
        <v>3546.0</v>
      </c>
      <c r="BS76" s="60">
        <v>3510.0</v>
      </c>
      <c r="BT76" s="60">
        <v>3474.0</v>
      </c>
      <c r="BU76" s="60">
        <v>3438.0</v>
      </c>
      <c r="BV76" s="60">
        <v>3402.0</v>
      </c>
      <c r="BW76" s="60">
        <v>3366.0</v>
      </c>
      <c r="BX76" s="60">
        <v>3330.0</v>
      </c>
      <c r="BY76" s="60">
        <v>3294.0</v>
      </c>
      <c r="BZ76" s="60">
        <v>3258.0</v>
      </c>
      <c r="CA76" s="60">
        <v>3222.0</v>
      </c>
      <c r="CB76" s="60">
        <v>3186.0</v>
      </c>
      <c r="CC76" s="60">
        <v>3150.0</v>
      </c>
      <c r="CD76" s="60">
        <v>3114.0</v>
      </c>
      <c r="CE76" s="60">
        <v>3078.0</v>
      </c>
      <c r="CF76" s="17">
        <v>38.0</v>
      </c>
    </row>
    <row r="77">
      <c r="A77" s="17">
        <v>75.0</v>
      </c>
      <c r="B77" s="60">
        <v>6075.0</v>
      </c>
      <c r="C77" s="60">
        <v>6037.0</v>
      </c>
      <c r="D77" s="60">
        <v>5999.0</v>
      </c>
      <c r="E77" s="60">
        <v>5961.0</v>
      </c>
      <c r="F77" s="60">
        <v>5923.0</v>
      </c>
      <c r="G77" s="60">
        <v>5885.0</v>
      </c>
      <c r="H77" s="60">
        <v>5847.0</v>
      </c>
      <c r="I77" s="60">
        <v>5809.0</v>
      </c>
      <c r="J77" s="60">
        <v>5771.0</v>
      </c>
      <c r="K77" s="60">
        <v>5733.0</v>
      </c>
      <c r="L77" s="60">
        <v>5695.0</v>
      </c>
      <c r="M77" s="60">
        <v>5657.0</v>
      </c>
      <c r="N77" s="60">
        <v>5619.0</v>
      </c>
      <c r="O77" s="60">
        <v>5581.0</v>
      </c>
      <c r="P77" s="60">
        <v>5543.0</v>
      </c>
      <c r="Q77" s="60">
        <v>5505.0</v>
      </c>
      <c r="R77" s="60">
        <v>5467.0</v>
      </c>
      <c r="S77" s="60">
        <v>5429.0</v>
      </c>
      <c r="T77" s="60">
        <v>5391.0</v>
      </c>
      <c r="U77" s="60">
        <v>5353.0</v>
      </c>
      <c r="V77" s="60">
        <v>5315.0</v>
      </c>
      <c r="W77" s="60">
        <v>5277.0</v>
      </c>
      <c r="X77" s="60">
        <v>5239.0</v>
      </c>
      <c r="Y77" s="60">
        <v>5201.0</v>
      </c>
      <c r="Z77" s="60">
        <v>5163.0</v>
      </c>
      <c r="AA77" s="60">
        <v>5125.0</v>
      </c>
      <c r="AB77" s="60">
        <v>5087.0</v>
      </c>
      <c r="AC77" s="60">
        <v>5049.0</v>
      </c>
      <c r="AD77" s="60">
        <v>5011.0</v>
      </c>
      <c r="AE77" s="60">
        <v>4973.0</v>
      </c>
      <c r="AF77" s="60">
        <v>4935.0</v>
      </c>
      <c r="AG77" s="60">
        <v>4897.0</v>
      </c>
      <c r="AH77" s="60">
        <v>4859.0</v>
      </c>
      <c r="AI77" s="60">
        <v>4821.0</v>
      </c>
      <c r="AJ77" s="60">
        <v>4783.0</v>
      </c>
      <c r="AK77" s="60">
        <v>4745.0</v>
      </c>
      <c r="AL77" s="60">
        <v>4707.0</v>
      </c>
      <c r="AM77" s="60">
        <v>4669.0</v>
      </c>
      <c r="AN77" s="60">
        <v>4631.0</v>
      </c>
      <c r="AO77" s="60">
        <v>4593.0</v>
      </c>
      <c r="AP77" s="60">
        <v>4555.0</v>
      </c>
      <c r="AQ77" s="60">
        <v>4517.0</v>
      </c>
      <c r="AR77" s="60">
        <v>4479.0</v>
      </c>
      <c r="AS77" s="60">
        <v>4441.0</v>
      </c>
      <c r="AT77" s="60">
        <v>4403.0</v>
      </c>
      <c r="AU77" s="60">
        <v>4365.0</v>
      </c>
      <c r="AV77" s="60">
        <v>4327.0</v>
      </c>
      <c r="AW77" s="60">
        <v>4289.0</v>
      </c>
      <c r="AX77" s="60">
        <v>4251.0</v>
      </c>
      <c r="AY77" s="60">
        <v>4213.0</v>
      </c>
      <c r="AZ77" s="60">
        <v>4175.0</v>
      </c>
      <c r="BA77" s="60">
        <v>4137.0</v>
      </c>
      <c r="BB77" s="60">
        <v>4099.0</v>
      </c>
      <c r="BC77" s="60">
        <v>4061.0</v>
      </c>
      <c r="BD77" s="60">
        <v>4023.0</v>
      </c>
      <c r="BE77" s="60">
        <v>3985.0</v>
      </c>
      <c r="BF77" s="60">
        <v>3947.0</v>
      </c>
      <c r="BG77" s="60">
        <v>3909.0</v>
      </c>
      <c r="BH77" s="60">
        <v>3871.0</v>
      </c>
      <c r="BI77" s="60">
        <v>3833.0</v>
      </c>
      <c r="BJ77" s="60">
        <v>3795.0</v>
      </c>
      <c r="BK77" s="60">
        <v>3757.0</v>
      </c>
      <c r="BL77" s="60">
        <v>3719.0</v>
      </c>
      <c r="BM77" s="60">
        <v>3681.0</v>
      </c>
      <c r="BN77" s="60">
        <v>3643.0</v>
      </c>
      <c r="BO77" s="60">
        <v>3605.0</v>
      </c>
      <c r="BP77" s="60">
        <v>3567.0</v>
      </c>
      <c r="BQ77" s="60">
        <v>3529.0</v>
      </c>
      <c r="BR77" s="60">
        <v>3491.0</v>
      </c>
      <c r="BS77" s="60">
        <v>3453.0</v>
      </c>
      <c r="BT77" s="60">
        <v>3415.0</v>
      </c>
      <c r="BU77" s="60">
        <v>3377.0</v>
      </c>
      <c r="BV77" s="60">
        <v>3339.0</v>
      </c>
      <c r="BW77" s="60">
        <v>3301.0</v>
      </c>
      <c r="BX77" s="60">
        <v>3263.0</v>
      </c>
      <c r="BY77" s="60">
        <v>3225.0</v>
      </c>
      <c r="BZ77" s="60">
        <v>3187.0</v>
      </c>
      <c r="CA77" s="60">
        <v>3149.0</v>
      </c>
      <c r="CB77" s="60">
        <v>3111.0</v>
      </c>
      <c r="CC77" s="60">
        <v>3073.0</v>
      </c>
      <c r="CD77" s="60">
        <v>3035.0</v>
      </c>
      <c r="CE77" s="60">
        <v>2997.0</v>
      </c>
      <c r="CF77" s="17">
        <v>37.0</v>
      </c>
    </row>
    <row r="78">
      <c r="A78" s="17">
        <v>76.0</v>
      </c>
      <c r="B78" s="60">
        <v>6156.0</v>
      </c>
      <c r="C78" s="60">
        <v>6116.0</v>
      </c>
      <c r="D78" s="60">
        <v>6076.0</v>
      </c>
      <c r="E78" s="60">
        <v>6036.0</v>
      </c>
      <c r="F78" s="60">
        <v>5996.0</v>
      </c>
      <c r="G78" s="60">
        <v>5956.0</v>
      </c>
      <c r="H78" s="60">
        <v>5916.0</v>
      </c>
      <c r="I78" s="60">
        <v>5876.0</v>
      </c>
      <c r="J78" s="60">
        <v>5836.0</v>
      </c>
      <c r="K78" s="60">
        <v>5796.0</v>
      </c>
      <c r="L78" s="60">
        <v>5756.0</v>
      </c>
      <c r="M78" s="60">
        <v>5716.0</v>
      </c>
      <c r="N78" s="60">
        <v>5676.0</v>
      </c>
      <c r="O78" s="60">
        <v>5636.0</v>
      </c>
      <c r="P78" s="60">
        <v>5596.0</v>
      </c>
      <c r="Q78" s="60">
        <v>5556.0</v>
      </c>
      <c r="R78" s="60">
        <v>5516.0</v>
      </c>
      <c r="S78" s="60">
        <v>5476.0</v>
      </c>
      <c r="T78" s="60">
        <v>5436.0</v>
      </c>
      <c r="U78" s="60">
        <v>5396.0</v>
      </c>
      <c r="V78" s="60">
        <v>5356.0</v>
      </c>
      <c r="W78" s="60">
        <v>5316.0</v>
      </c>
      <c r="X78" s="60">
        <v>5276.0</v>
      </c>
      <c r="Y78" s="60">
        <v>5236.0</v>
      </c>
      <c r="Z78" s="60">
        <v>5196.0</v>
      </c>
      <c r="AA78" s="60">
        <v>5156.0</v>
      </c>
      <c r="AB78" s="60">
        <v>5116.0</v>
      </c>
      <c r="AC78" s="60">
        <v>5076.0</v>
      </c>
      <c r="AD78" s="60">
        <v>5036.0</v>
      </c>
      <c r="AE78" s="60">
        <v>4996.0</v>
      </c>
      <c r="AF78" s="60">
        <v>4956.0</v>
      </c>
      <c r="AG78" s="60">
        <v>4916.0</v>
      </c>
      <c r="AH78" s="60">
        <v>4876.0</v>
      </c>
      <c r="AI78" s="60">
        <v>4836.0</v>
      </c>
      <c r="AJ78" s="60">
        <v>4796.0</v>
      </c>
      <c r="AK78" s="60">
        <v>4756.0</v>
      </c>
      <c r="AL78" s="60">
        <v>4716.0</v>
      </c>
      <c r="AM78" s="60">
        <v>4676.0</v>
      </c>
      <c r="AN78" s="60">
        <v>4636.0</v>
      </c>
      <c r="AO78" s="60">
        <v>4596.0</v>
      </c>
      <c r="AP78" s="60">
        <v>4556.0</v>
      </c>
      <c r="AQ78" s="60">
        <v>4516.0</v>
      </c>
      <c r="AR78" s="60">
        <v>4476.0</v>
      </c>
      <c r="AS78" s="60">
        <v>4436.0</v>
      </c>
      <c r="AT78" s="60">
        <v>4396.0</v>
      </c>
      <c r="AU78" s="60">
        <v>4356.0</v>
      </c>
      <c r="AV78" s="60">
        <v>4316.0</v>
      </c>
      <c r="AW78" s="60">
        <v>4276.0</v>
      </c>
      <c r="AX78" s="60">
        <v>4236.0</v>
      </c>
      <c r="AY78" s="60">
        <v>4196.0</v>
      </c>
      <c r="AZ78" s="60">
        <v>4156.0</v>
      </c>
      <c r="BA78" s="60">
        <v>4116.0</v>
      </c>
      <c r="BB78" s="60">
        <v>4076.0</v>
      </c>
      <c r="BC78" s="60">
        <v>4036.0</v>
      </c>
      <c r="BD78" s="60">
        <v>3996.0</v>
      </c>
      <c r="BE78" s="60">
        <v>3956.0</v>
      </c>
      <c r="BF78" s="60">
        <v>3916.0</v>
      </c>
      <c r="BG78" s="60">
        <v>3876.0</v>
      </c>
      <c r="BH78" s="60">
        <v>3836.0</v>
      </c>
      <c r="BI78" s="60">
        <v>3796.0</v>
      </c>
      <c r="BJ78" s="60">
        <v>3756.0</v>
      </c>
      <c r="BK78" s="60">
        <v>3716.0</v>
      </c>
      <c r="BL78" s="60">
        <v>3676.0</v>
      </c>
      <c r="BM78" s="60">
        <v>3636.0</v>
      </c>
      <c r="BN78" s="60">
        <v>3596.0</v>
      </c>
      <c r="BO78" s="60">
        <v>3556.0</v>
      </c>
      <c r="BP78" s="60">
        <v>3516.0</v>
      </c>
      <c r="BQ78" s="60">
        <v>3476.0</v>
      </c>
      <c r="BR78" s="60">
        <v>3436.0</v>
      </c>
      <c r="BS78" s="60">
        <v>3396.0</v>
      </c>
      <c r="BT78" s="60">
        <v>3356.0</v>
      </c>
      <c r="BU78" s="60">
        <v>3316.0</v>
      </c>
      <c r="BV78" s="60">
        <v>3276.0</v>
      </c>
      <c r="BW78" s="60">
        <v>3236.0</v>
      </c>
      <c r="BX78" s="60">
        <v>3196.0</v>
      </c>
      <c r="BY78" s="60">
        <v>3156.0</v>
      </c>
      <c r="BZ78" s="60">
        <v>3116.0</v>
      </c>
      <c r="CA78" s="60">
        <v>3076.0</v>
      </c>
      <c r="CB78" s="60">
        <v>3036.0</v>
      </c>
      <c r="CC78" s="60">
        <v>2996.0</v>
      </c>
      <c r="CD78" s="60">
        <v>2956.0</v>
      </c>
      <c r="CE78" s="60">
        <v>2916.0</v>
      </c>
      <c r="CF78" s="17">
        <v>36.0</v>
      </c>
    </row>
    <row r="79">
      <c r="A79" s="17">
        <v>77.0</v>
      </c>
      <c r="B79" s="60">
        <v>6237.0</v>
      </c>
      <c r="C79" s="60">
        <v>6195.0</v>
      </c>
      <c r="D79" s="60">
        <v>6153.0</v>
      </c>
      <c r="E79" s="60">
        <v>6111.0</v>
      </c>
      <c r="F79" s="60">
        <v>6069.0</v>
      </c>
      <c r="G79" s="60">
        <v>6027.0</v>
      </c>
      <c r="H79" s="60">
        <v>5985.0</v>
      </c>
      <c r="I79" s="60">
        <v>5943.0</v>
      </c>
      <c r="J79" s="60">
        <v>5901.0</v>
      </c>
      <c r="K79" s="60">
        <v>5859.0</v>
      </c>
      <c r="L79" s="60">
        <v>5817.0</v>
      </c>
      <c r="M79" s="60">
        <v>5775.0</v>
      </c>
      <c r="N79" s="60">
        <v>5733.0</v>
      </c>
      <c r="O79" s="60">
        <v>5691.0</v>
      </c>
      <c r="P79" s="60">
        <v>5649.0</v>
      </c>
      <c r="Q79" s="60">
        <v>5607.0</v>
      </c>
      <c r="R79" s="60">
        <v>5565.0</v>
      </c>
      <c r="S79" s="60">
        <v>5523.0</v>
      </c>
      <c r="T79" s="60">
        <v>5481.0</v>
      </c>
      <c r="U79" s="60">
        <v>5439.0</v>
      </c>
      <c r="V79" s="60">
        <v>5397.0</v>
      </c>
      <c r="W79" s="60">
        <v>5355.0</v>
      </c>
      <c r="X79" s="60">
        <v>5313.0</v>
      </c>
      <c r="Y79" s="60">
        <v>5271.0</v>
      </c>
      <c r="Z79" s="60">
        <v>5229.0</v>
      </c>
      <c r="AA79" s="60">
        <v>5187.0</v>
      </c>
      <c r="AB79" s="60">
        <v>5145.0</v>
      </c>
      <c r="AC79" s="60">
        <v>5103.0</v>
      </c>
      <c r="AD79" s="60">
        <v>5061.0</v>
      </c>
      <c r="AE79" s="60">
        <v>5019.0</v>
      </c>
      <c r="AF79" s="60">
        <v>4977.0</v>
      </c>
      <c r="AG79" s="60">
        <v>4935.0</v>
      </c>
      <c r="AH79" s="60">
        <v>4893.0</v>
      </c>
      <c r="AI79" s="60">
        <v>4851.0</v>
      </c>
      <c r="AJ79" s="60">
        <v>4809.0</v>
      </c>
      <c r="AK79" s="60">
        <v>4767.0</v>
      </c>
      <c r="AL79" s="60">
        <v>4725.0</v>
      </c>
      <c r="AM79" s="60">
        <v>4683.0</v>
      </c>
      <c r="AN79" s="60">
        <v>4641.0</v>
      </c>
      <c r="AO79" s="60">
        <v>4599.0</v>
      </c>
      <c r="AP79" s="60">
        <v>4557.0</v>
      </c>
      <c r="AQ79" s="60">
        <v>4515.0</v>
      </c>
      <c r="AR79" s="60">
        <v>4473.0</v>
      </c>
      <c r="AS79" s="60">
        <v>4431.0</v>
      </c>
      <c r="AT79" s="60">
        <v>4389.0</v>
      </c>
      <c r="AU79" s="60">
        <v>4347.0</v>
      </c>
      <c r="AV79" s="60">
        <v>4305.0</v>
      </c>
      <c r="AW79" s="60">
        <v>4263.0</v>
      </c>
      <c r="AX79" s="60">
        <v>4221.0</v>
      </c>
      <c r="AY79" s="60">
        <v>4179.0</v>
      </c>
      <c r="AZ79" s="60">
        <v>4137.0</v>
      </c>
      <c r="BA79" s="60">
        <v>4095.0</v>
      </c>
      <c r="BB79" s="60">
        <v>4053.0</v>
      </c>
      <c r="BC79" s="60">
        <v>4011.0</v>
      </c>
      <c r="BD79" s="60">
        <v>3969.0</v>
      </c>
      <c r="BE79" s="60">
        <v>3927.0</v>
      </c>
      <c r="BF79" s="60">
        <v>3885.0</v>
      </c>
      <c r="BG79" s="60">
        <v>3843.0</v>
      </c>
      <c r="BH79" s="60">
        <v>3801.0</v>
      </c>
      <c r="BI79" s="60">
        <v>3759.0</v>
      </c>
      <c r="BJ79" s="60">
        <v>3717.0</v>
      </c>
      <c r="BK79" s="60">
        <v>3675.0</v>
      </c>
      <c r="BL79" s="60">
        <v>3633.0</v>
      </c>
      <c r="BM79" s="60">
        <v>3591.0</v>
      </c>
      <c r="BN79" s="60">
        <v>3549.0</v>
      </c>
      <c r="BO79" s="60">
        <v>3507.0</v>
      </c>
      <c r="BP79" s="60">
        <v>3465.0</v>
      </c>
      <c r="BQ79" s="60">
        <v>3423.0</v>
      </c>
      <c r="BR79" s="60">
        <v>3381.0</v>
      </c>
      <c r="BS79" s="60">
        <v>3339.0</v>
      </c>
      <c r="BT79" s="60">
        <v>3297.0</v>
      </c>
      <c r="BU79" s="60">
        <v>3255.0</v>
      </c>
      <c r="BV79" s="60">
        <v>3213.0</v>
      </c>
      <c r="BW79" s="60">
        <v>3171.0</v>
      </c>
      <c r="BX79" s="60">
        <v>3129.0</v>
      </c>
      <c r="BY79" s="60">
        <v>3087.0</v>
      </c>
      <c r="BZ79" s="60">
        <v>3045.0</v>
      </c>
      <c r="CA79" s="60">
        <v>3003.0</v>
      </c>
      <c r="CB79" s="60">
        <v>2961.0</v>
      </c>
      <c r="CC79" s="60">
        <v>2919.0</v>
      </c>
      <c r="CD79" s="60">
        <v>2877.0</v>
      </c>
      <c r="CE79" s="60">
        <v>2835.0</v>
      </c>
      <c r="CF79" s="17">
        <v>35.0</v>
      </c>
    </row>
    <row r="80">
      <c r="A80" s="17">
        <v>78.0</v>
      </c>
      <c r="B80" s="60">
        <v>6318.0</v>
      </c>
      <c r="C80" s="60">
        <v>6274.0</v>
      </c>
      <c r="D80" s="60">
        <v>6230.0</v>
      </c>
      <c r="E80" s="60">
        <v>6186.0</v>
      </c>
      <c r="F80" s="60">
        <v>6142.0</v>
      </c>
      <c r="G80" s="60">
        <v>6098.0</v>
      </c>
      <c r="H80" s="60">
        <v>6054.0</v>
      </c>
      <c r="I80" s="60">
        <v>6010.0</v>
      </c>
      <c r="J80" s="60">
        <v>5966.0</v>
      </c>
      <c r="K80" s="60">
        <v>5922.0</v>
      </c>
      <c r="L80" s="60">
        <v>5878.0</v>
      </c>
      <c r="M80" s="60">
        <v>5834.0</v>
      </c>
      <c r="N80" s="60">
        <v>5790.0</v>
      </c>
      <c r="O80" s="60">
        <v>5746.0</v>
      </c>
      <c r="P80" s="60">
        <v>5702.0</v>
      </c>
      <c r="Q80" s="60">
        <v>5658.0</v>
      </c>
      <c r="R80" s="60">
        <v>5614.0</v>
      </c>
      <c r="S80" s="60">
        <v>5570.0</v>
      </c>
      <c r="T80" s="60">
        <v>5526.0</v>
      </c>
      <c r="U80" s="60">
        <v>5482.0</v>
      </c>
      <c r="V80" s="60">
        <v>5438.0</v>
      </c>
      <c r="W80" s="60">
        <v>5394.0</v>
      </c>
      <c r="X80" s="60">
        <v>5350.0</v>
      </c>
      <c r="Y80" s="60">
        <v>5306.0</v>
      </c>
      <c r="Z80" s="60">
        <v>5262.0</v>
      </c>
      <c r="AA80" s="60">
        <v>5218.0</v>
      </c>
      <c r="AB80" s="60">
        <v>5174.0</v>
      </c>
      <c r="AC80" s="60">
        <v>5130.0</v>
      </c>
      <c r="AD80" s="60">
        <v>5086.0</v>
      </c>
      <c r="AE80" s="60">
        <v>5042.0</v>
      </c>
      <c r="AF80" s="60">
        <v>4998.0</v>
      </c>
      <c r="AG80" s="60">
        <v>4954.0</v>
      </c>
      <c r="AH80" s="60">
        <v>4910.0</v>
      </c>
      <c r="AI80" s="60">
        <v>4866.0</v>
      </c>
      <c r="AJ80" s="60">
        <v>4822.0</v>
      </c>
      <c r="AK80" s="60">
        <v>4778.0</v>
      </c>
      <c r="AL80" s="60">
        <v>4734.0</v>
      </c>
      <c r="AM80" s="60">
        <v>4690.0</v>
      </c>
      <c r="AN80" s="60">
        <v>4646.0</v>
      </c>
      <c r="AO80" s="60">
        <v>4602.0</v>
      </c>
      <c r="AP80" s="60">
        <v>4558.0</v>
      </c>
      <c r="AQ80" s="60">
        <v>4514.0</v>
      </c>
      <c r="AR80" s="60">
        <v>4470.0</v>
      </c>
      <c r="AS80" s="60">
        <v>4426.0</v>
      </c>
      <c r="AT80" s="60">
        <v>4382.0</v>
      </c>
      <c r="AU80" s="60">
        <v>4338.0</v>
      </c>
      <c r="AV80" s="60">
        <v>4294.0</v>
      </c>
      <c r="AW80" s="60">
        <v>4250.0</v>
      </c>
      <c r="AX80" s="60">
        <v>4206.0</v>
      </c>
      <c r="AY80" s="60">
        <v>4162.0</v>
      </c>
      <c r="AZ80" s="60">
        <v>4118.0</v>
      </c>
      <c r="BA80" s="60">
        <v>4074.0</v>
      </c>
      <c r="BB80" s="60">
        <v>4030.0</v>
      </c>
      <c r="BC80" s="60">
        <v>3986.0</v>
      </c>
      <c r="BD80" s="60">
        <v>3942.0</v>
      </c>
      <c r="BE80" s="60">
        <v>3898.0</v>
      </c>
      <c r="BF80" s="60">
        <v>3854.0</v>
      </c>
      <c r="BG80" s="60">
        <v>3810.0</v>
      </c>
      <c r="BH80" s="60">
        <v>3766.0</v>
      </c>
      <c r="BI80" s="60">
        <v>3722.0</v>
      </c>
      <c r="BJ80" s="60">
        <v>3678.0</v>
      </c>
      <c r="BK80" s="60">
        <v>3634.0</v>
      </c>
      <c r="BL80" s="60">
        <v>3590.0</v>
      </c>
      <c r="BM80" s="60">
        <v>3546.0</v>
      </c>
      <c r="BN80" s="60">
        <v>3502.0</v>
      </c>
      <c r="BO80" s="60">
        <v>3458.0</v>
      </c>
      <c r="BP80" s="60">
        <v>3414.0</v>
      </c>
      <c r="BQ80" s="60">
        <v>3370.0</v>
      </c>
      <c r="BR80" s="60">
        <v>3326.0</v>
      </c>
      <c r="BS80" s="60">
        <v>3282.0</v>
      </c>
      <c r="BT80" s="60">
        <v>3238.0</v>
      </c>
      <c r="BU80" s="60">
        <v>3194.0</v>
      </c>
      <c r="BV80" s="60">
        <v>3150.0</v>
      </c>
      <c r="BW80" s="60">
        <v>3106.0</v>
      </c>
      <c r="BX80" s="60">
        <v>3062.0</v>
      </c>
      <c r="BY80" s="60">
        <v>3018.0</v>
      </c>
      <c r="BZ80" s="60">
        <v>2974.0</v>
      </c>
      <c r="CA80" s="60">
        <v>2930.0</v>
      </c>
      <c r="CB80" s="60">
        <v>2886.0</v>
      </c>
      <c r="CC80" s="60">
        <v>2842.0</v>
      </c>
      <c r="CD80" s="60">
        <v>2798.0</v>
      </c>
      <c r="CE80" s="60">
        <v>2754.0</v>
      </c>
      <c r="CF80" s="17">
        <v>34.0</v>
      </c>
    </row>
    <row r="81">
      <c r="A81" s="17">
        <v>79.0</v>
      </c>
      <c r="B81" s="60">
        <v>6399.0</v>
      </c>
      <c r="C81" s="60">
        <v>6353.0</v>
      </c>
      <c r="D81" s="60">
        <v>6307.0</v>
      </c>
      <c r="E81" s="60">
        <v>6261.0</v>
      </c>
      <c r="F81" s="60">
        <v>6215.0</v>
      </c>
      <c r="G81" s="60">
        <v>6169.0</v>
      </c>
      <c r="H81" s="60">
        <v>6123.0</v>
      </c>
      <c r="I81" s="60">
        <v>6077.0</v>
      </c>
      <c r="J81" s="60">
        <v>6031.0</v>
      </c>
      <c r="K81" s="60">
        <v>5985.0</v>
      </c>
      <c r="L81" s="60">
        <v>5939.0</v>
      </c>
      <c r="M81" s="60">
        <v>5893.0</v>
      </c>
      <c r="N81" s="60">
        <v>5847.0</v>
      </c>
      <c r="O81" s="60">
        <v>5801.0</v>
      </c>
      <c r="P81" s="60">
        <v>5755.0</v>
      </c>
      <c r="Q81" s="60">
        <v>5709.0</v>
      </c>
      <c r="R81" s="60">
        <v>5663.0</v>
      </c>
      <c r="S81" s="60">
        <v>5617.0</v>
      </c>
      <c r="T81" s="60">
        <v>5571.0</v>
      </c>
      <c r="U81" s="60">
        <v>5525.0</v>
      </c>
      <c r="V81" s="60">
        <v>5479.0</v>
      </c>
      <c r="W81" s="60">
        <v>5433.0</v>
      </c>
      <c r="X81" s="60">
        <v>5387.0</v>
      </c>
      <c r="Y81" s="60">
        <v>5341.0</v>
      </c>
      <c r="Z81" s="60">
        <v>5295.0</v>
      </c>
      <c r="AA81" s="60">
        <v>5249.0</v>
      </c>
      <c r="AB81" s="60">
        <v>5203.0</v>
      </c>
      <c r="AC81" s="60">
        <v>5157.0</v>
      </c>
      <c r="AD81" s="60">
        <v>5111.0</v>
      </c>
      <c r="AE81" s="60">
        <v>5065.0</v>
      </c>
      <c r="AF81" s="60">
        <v>5019.0</v>
      </c>
      <c r="AG81" s="60">
        <v>4973.0</v>
      </c>
      <c r="AH81" s="60">
        <v>4927.0</v>
      </c>
      <c r="AI81" s="60">
        <v>4881.0</v>
      </c>
      <c r="AJ81" s="60">
        <v>4835.0</v>
      </c>
      <c r="AK81" s="60">
        <v>4789.0</v>
      </c>
      <c r="AL81" s="60">
        <v>4743.0</v>
      </c>
      <c r="AM81" s="60">
        <v>4697.0</v>
      </c>
      <c r="AN81" s="60">
        <v>4651.0</v>
      </c>
      <c r="AO81" s="60">
        <v>4605.0</v>
      </c>
      <c r="AP81" s="60">
        <v>4559.0</v>
      </c>
      <c r="AQ81" s="60">
        <v>4513.0</v>
      </c>
      <c r="AR81" s="60">
        <v>4467.0</v>
      </c>
      <c r="AS81" s="60">
        <v>4421.0</v>
      </c>
      <c r="AT81" s="60">
        <v>4375.0</v>
      </c>
      <c r="AU81" s="60">
        <v>4329.0</v>
      </c>
      <c r="AV81" s="60">
        <v>4283.0</v>
      </c>
      <c r="AW81" s="60">
        <v>4237.0</v>
      </c>
      <c r="AX81" s="60">
        <v>4191.0</v>
      </c>
      <c r="AY81" s="60">
        <v>4145.0</v>
      </c>
      <c r="AZ81" s="60">
        <v>4099.0</v>
      </c>
      <c r="BA81" s="60">
        <v>4053.0</v>
      </c>
      <c r="BB81" s="60">
        <v>4007.0</v>
      </c>
      <c r="BC81" s="60">
        <v>3961.0</v>
      </c>
      <c r="BD81" s="60">
        <v>3915.0</v>
      </c>
      <c r="BE81" s="60">
        <v>3869.0</v>
      </c>
      <c r="BF81" s="60">
        <v>3823.0</v>
      </c>
      <c r="BG81" s="60">
        <v>3777.0</v>
      </c>
      <c r="BH81" s="60">
        <v>3731.0</v>
      </c>
      <c r="BI81" s="60">
        <v>3685.0</v>
      </c>
      <c r="BJ81" s="60">
        <v>3639.0</v>
      </c>
      <c r="BK81" s="60">
        <v>3593.0</v>
      </c>
      <c r="BL81" s="60">
        <v>3547.0</v>
      </c>
      <c r="BM81" s="60">
        <v>3501.0</v>
      </c>
      <c r="BN81" s="60">
        <v>3455.0</v>
      </c>
      <c r="BO81" s="60">
        <v>3409.0</v>
      </c>
      <c r="BP81" s="60">
        <v>3363.0</v>
      </c>
      <c r="BQ81" s="60">
        <v>3317.0</v>
      </c>
      <c r="BR81" s="60">
        <v>3271.0</v>
      </c>
      <c r="BS81" s="60">
        <v>3225.0</v>
      </c>
      <c r="BT81" s="60">
        <v>3179.0</v>
      </c>
      <c r="BU81" s="60">
        <v>3133.0</v>
      </c>
      <c r="BV81" s="60">
        <v>3087.0</v>
      </c>
      <c r="BW81" s="60">
        <v>3041.0</v>
      </c>
      <c r="BX81" s="60">
        <v>2995.0</v>
      </c>
      <c r="BY81" s="60">
        <v>2949.0</v>
      </c>
      <c r="BZ81" s="60">
        <v>2903.0</v>
      </c>
      <c r="CA81" s="60">
        <v>2857.0</v>
      </c>
      <c r="CB81" s="60">
        <v>2811.0</v>
      </c>
      <c r="CC81" s="60">
        <v>2765.0</v>
      </c>
      <c r="CD81" s="60">
        <v>2719.0</v>
      </c>
      <c r="CE81" s="60">
        <v>2673.0</v>
      </c>
      <c r="CF81" s="17">
        <v>33.0</v>
      </c>
    </row>
    <row r="82">
      <c r="A82" s="17">
        <v>80.0</v>
      </c>
      <c r="B82" s="60">
        <v>6480.0</v>
      </c>
      <c r="C82" s="60">
        <v>6432.0</v>
      </c>
      <c r="D82" s="60">
        <v>6384.0</v>
      </c>
      <c r="E82" s="60">
        <v>6336.0</v>
      </c>
      <c r="F82" s="60">
        <v>6288.0</v>
      </c>
      <c r="G82" s="60">
        <v>6240.0</v>
      </c>
      <c r="H82" s="60">
        <v>6192.0</v>
      </c>
      <c r="I82" s="60">
        <v>6144.0</v>
      </c>
      <c r="J82" s="60">
        <v>6096.0</v>
      </c>
      <c r="K82" s="60">
        <v>6048.0</v>
      </c>
      <c r="L82" s="60">
        <v>6000.0</v>
      </c>
      <c r="M82" s="60">
        <v>5952.0</v>
      </c>
      <c r="N82" s="60">
        <v>5904.0</v>
      </c>
      <c r="O82" s="60">
        <v>5856.0</v>
      </c>
      <c r="P82" s="60">
        <v>5808.0</v>
      </c>
      <c r="Q82" s="60">
        <v>5760.0</v>
      </c>
      <c r="R82" s="60">
        <v>5712.0</v>
      </c>
      <c r="S82" s="60">
        <v>5664.0</v>
      </c>
      <c r="T82" s="60">
        <v>5616.0</v>
      </c>
      <c r="U82" s="60">
        <v>5568.0</v>
      </c>
      <c r="V82" s="60">
        <v>5520.0</v>
      </c>
      <c r="W82" s="60">
        <v>5472.0</v>
      </c>
      <c r="X82" s="60">
        <v>5424.0</v>
      </c>
      <c r="Y82" s="60">
        <v>5376.0</v>
      </c>
      <c r="Z82" s="60">
        <v>5328.0</v>
      </c>
      <c r="AA82" s="60">
        <v>5280.0</v>
      </c>
      <c r="AB82" s="60">
        <v>5232.0</v>
      </c>
      <c r="AC82" s="60">
        <v>5184.0</v>
      </c>
      <c r="AD82" s="60">
        <v>5136.0</v>
      </c>
      <c r="AE82" s="60">
        <v>5088.0</v>
      </c>
      <c r="AF82" s="60">
        <v>5040.0</v>
      </c>
      <c r="AG82" s="60">
        <v>4992.0</v>
      </c>
      <c r="AH82" s="60">
        <v>4944.0</v>
      </c>
      <c r="AI82" s="60">
        <v>4896.0</v>
      </c>
      <c r="AJ82" s="60">
        <v>4848.0</v>
      </c>
      <c r="AK82" s="60">
        <v>4800.0</v>
      </c>
      <c r="AL82" s="60">
        <v>4752.0</v>
      </c>
      <c r="AM82" s="60">
        <v>4704.0</v>
      </c>
      <c r="AN82" s="60">
        <v>4656.0</v>
      </c>
      <c r="AO82" s="60">
        <v>4608.0</v>
      </c>
      <c r="AP82" s="60">
        <v>4560.0</v>
      </c>
      <c r="AQ82" s="60">
        <v>4512.0</v>
      </c>
      <c r="AR82" s="60">
        <v>4464.0</v>
      </c>
      <c r="AS82" s="60">
        <v>4416.0</v>
      </c>
      <c r="AT82" s="60">
        <v>4368.0</v>
      </c>
      <c r="AU82" s="60">
        <v>4320.0</v>
      </c>
      <c r="AV82" s="60">
        <v>4272.0</v>
      </c>
      <c r="AW82" s="60">
        <v>4224.0</v>
      </c>
      <c r="AX82" s="60">
        <v>4176.0</v>
      </c>
      <c r="AY82" s="60">
        <v>4128.0</v>
      </c>
      <c r="AZ82" s="60">
        <v>4080.0</v>
      </c>
      <c r="BA82" s="60">
        <v>4032.0</v>
      </c>
      <c r="BB82" s="60">
        <v>3984.0</v>
      </c>
      <c r="BC82" s="60">
        <v>3936.0</v>
      </c>
      <c r="BD82" s="60">
        <v>3888.0</v>
      </c>
      <c r="BE82" s="60">
        <v>3840.0</v>
      </c>
      <c r="BF82" s="60">
        <v>3792.0</v>
      </c>
      <c r="BG82" s="60">
        <v>3744.0</v>
      </c>
      <c r="BH82" s="60">
        <v>3696.0</v>
      </c>
      <c r="BI82" s="60">
        <v>3648.0</v>
      </c>
      <c r="BJ82" s="60">
        <v>3600.0</v>
      </c>
      <c r="BK82" s="60">
        <v>3552.0</v>
      </c>
      <c r="BL82" s="60">
        <v>3504.0</v>
      </c>
      <c r="BM82" s="60">
        <v>3456.0</v>
      </c>
      <c r="BN82" s="60">
        <v>3408.0</v>
      </c>
      <c r="BO82" s="60">
        <v>3360.0</v>
      </c>
      <c r="BP82" s="60">
        <v>3312.0</v>
      </c>
      <c r="BQ82" s="60">
        <v>3264.0</v>
      </c>
      <c r="BR82" s="60">
        <v>3216.0</v>
      </c>
      <c r="BS82" s="60">
        <v>3168.0</v>
      </c>
      <c r="BT82" s="60">
        <v>3120.0</v>
      </c>
      <c r="BU82" s="60">
        <v>3072.0</v>
      </c>
      <c r="BV82" s="60">
        <v>3024.0</v>
      </c>
      <c r="BW82" s="60">
        <v>2976.0</v>
      </c>
      <c r="BX82" s="60">
        <v>2928.0</v>
      </c>
      <c r="BY82" s="60">
        <v>2880.0</v>
      </c>
      <c r="BZ82" s="60">
        <v>2832.0</v>
      </c>
      <c r="CA82" s="60">
        <v>2784.0</v>
      </c>
      <c r="CB82" s="60">
        <v>2736.0</v>
      </c>
      <c r="CC82" s="60">
        <v>2688.0</v>
      </c>
      <c r="CD82" s="60">
        <v>2640.0</v>
      </c>
      <c r="CE82" s="60">
        <v>2592.0</v>
      </c>
      <c r="CF82" s="17">
        <v>32.0</v>
      </c>
    </row>
    <row r="83">
      <c r="A83" s="17">
        <v>81.0</v>
      </c>
      <c r="B83" s="60">
        <v>6561.0</v>
      </c>
      <c r="C83" s="60">
        <v>6511.0</v>
      </c>
      <c r="D83" s="60">
        <v>6461.0</v>
      </c>
      <c r="E83" s="60">
        <v>6411.0</v>
      </c>
      <c r="F83" s="60">
        <v>6361.0</v>
      </c>
      <c r="G83" s="60">
        <v>6311.0</v>
      </c>
      <c r="H83" s="60">
        <v>6261.0</v>
      </c>
      <c r="I83" s="60">
        <v>6211.0</v>
      </c>
      <c r="J83" s="60">
        <v>6161.0</v>
      </c>
      <c r="K83" s="60">
        <v>6111.0</v>
      </c>
      <c r="L83" s="60">
        <v>6061.0</v>
      </c>
      <c r="M83" s="60">
        <v>6011.0</v>
      </c>
      <c r="N83" s="60">
        <v>5961.0</v>
      </c>
      <c r="O83" s="60">
        <v>5911.0</v>
      </c>
      <c r="P83" s="60">
        <v>5861.0</v>
      </c>
      <c r="Q83" s="60">
        <v>5811.0</v>
      </c>
      <c r="R83" s="60">
        <v>5761.0</v>
      </c>
      <c r="S83" s="60">
        <v>5711.0</v>
      </c>
      <c r="T83" s="60">
        <v>5661.0</v>
      </c>
      <c r="U83" s="60">
        <v>5611.0</v>
      </c>
      <c r="V83" s="60">
        <v>5561.0</v>
      </c>
      <c r="W83" s="60">
        <v>5511.0</v>
      </c>
      <c r="X83" s="60">
        <v>5461.0</v>
      </c>
      <c r="Y83" s="60">
        <v>5411.0</v>
      </c>
      <c r="Z83" s="60">
        <v>5361.0</v>
      </c>
      <c r="AA83" s="60">
        <v>5311.0</v>
      </c>
      <c r="AB83" s="60">
        <v>5261.0</v>
      </c>
      <c r="AC83" s="60">
        <v>5211.0</v>
      </c>
      <c r="AD83" s="60">
        <v>5161.0</v>
      </c>
      <c r="AE83" s="60">
        <v>5111.0</v>
      </c>
      <c r="AF83" s="60">
        <v>5061.0</v>
      </c>
      <c r="AG83" s="60">
        <v>5011.0</v>
      </c>
      <c r="AH83" s="60">
        <v>4961.0</v>
      </c>
      <c r="AI83" s="60">
        <v>4911.0</v>
      </c>
      <c r="AJ83" s="60">
        <v>4861.0</v>
      </c>
      <c r="AK83" s="60">
        <v>4811.0</v>
      </c>
      <c r="AL83" s="60">
        <v>4761.0</v>
      </c>
      <c r="AM83" s="60">
        <v>4711.0</v>
      </c>
      <c r="AN83" s="60">
        <v>4661.0</v>
      </c>
      <c r="AO83" s="60">
        <v>4611.0</v>
      </c>
      <c r="AP83" s="60">
        <v>4561.0</v>
      </c>
      <c r="AQ83" s="60">
        <v>4511.0</v>
      </c>
      <c r="AR83" s="60">
        <v>4461.0</v>
      </c>
      <c r="AS83" s="60">
        <v>4411.0</v>
      </c>
      <c r="AT83" s="60">
        <v>4361.0</v>
      </c>
      <c r="AU83" s="60">
        <v>4311.0</v>
      </c>
      <c r="AV83" s="60">
        <v>4261.0</v>
      </c>
      <c r="AW83" s="60">
        <v>4211.0</v>
      </c>
      <c r="AX83" s="60">
        <v>4161.0</v>
      </c>
      <c r="AY83" s="60">
        <v>4111.0</v>
      </c>
      <c r="AZ83" s="60">
        <v>4061.0</v>
      </c>
      <c r="BA83" s="60">
        <v>4011.0</v>
      </c>
      <c r="BB83" s="60">
        <v>3961.0</v>
      </c>
      <c r="BC83" s="60">
        <v>3911.0</v>
      </c>
      <c r="BD83" s="60">
        <v>3861.0</v>
      </c>
      <c r="BE83" s="60">
        <v>3811.0</v>
      </c>
      <c r="BF83" s="60">
        <v>3761.0</v>
      </c>
      <c r="BG83" s="60">
        <v>3711.0</v>
      </c>
      <c r="BH83" s="60">
        <v>3661.0</v>
      </c>
      <c r="BI83" s="60">
        <v>3611.0</v>
      </c>
      <c r="BJ83" s="60">
        <v>3561.0</v>
      </c>
      <c r="BK83" s="60">
        <v>3511.0</v>
      </c>
      <c r="BL83" s="60">
        <v>3461.0</v>
      </c>
      <c r="BM83" s="60">
        <v>3411.0</v>
      </c>
      <c r="BN83" s="60">
        <v>3361.0</v>
      </c>
      <c r="BO83" s="60">
        <v>3311.0</v>
      </c>
      <c r="BP83" s="60">
        <v>3261.0</v>
      </c>
      <c r="BQ83" s="60">
        <v>3211.0</v>
      </c>
      <c r="BR83" s="60">
        <v>3161.0</v>
      </c>
      <c r="BS83" s="60">
        <v>3111.0</v>
      </c>
      <c r="BT83" s="60">
        <v>3061.0</v>
      </c>
      <c r="BU83" s="60">
        <v>3011.0</v>
      </c>
      <c r="BV83" s="60">
        <v>2961.0</v>
      </c>
      <c r="BW83" s="60">
        <v>2911.0</v>
      </c>
      <c r="BX83" s="60">
        <v>2861.0</v>
      </c>
      <c r="BY83" s="60">
        <v>2811.0</v>
      </c>
      <c r="BZ83" s="60">
        <v>2761.0</v>
      </c>
      <c r="CA83" s="60">
        <v>2711.0</v>
      </c>
      <c r="CB83" s="60">
        <v>2661.0</v>
      </c>
      <c r="CC83" s="60">
        <v>2611.0</v>
      </c>
      <c r="CD83" s="60">
        <v>2561.0</v>
      </c>
      <c r="CE83" s="60">
        <v>2511.0</v>
      </c>
      <c r="CF83" s="17">
        <v>31.0</v>
      </c>
    </row>
    <row r="84">
      <c r="A84" s="17">
        <v>82.0</v>
      </c>
      <c r="B84" s="60">
        <v>6642.0</v>
      </c>
      <c r="C84" s="60">
        <v>6590.0</v>
      </c>
      <c r="D84" s="60">
        <v>6538.0</v>
      </c>
      <c r="E84" s="60">
        <v>6486.0</v>
      </c>
      <c r="F84" s="60">
        <v>6434.0</v>
      </c>
      <c r="G84" s="60">
        <v>6382.0</v>
      </c>
      <c r="H84" s="60">
        <v>6330.0</v>
      </c>
      <c r="I84" s="60">
        <v>6278.0</v>
      </c>
      <c r="J84" s="60">
        <v>6226.0</v>
      </c>
      <c r="K84" s="60">
        <v>6174.0</v>
      </c>
      <c r="L84" s="60">
        <v>6122.0</v>
      </c>
      <c r="M84" s="60">
        <v>6070.0</v>
      </c>
      <c r="N84" s="60">
        <v>6018.0</v>
      </c>
      <c r="O84" s="60">
        <v>5966.0</v>
      </c>
      <c r="P84" s="60">
        <v>5914.0</v>
      </c>
      <c r="Q84" s="60">
        <v>5862.0</v>
      </c>
      <c r="R84" s="60">
        <v>5810.0</v>
      </c>
      <c r="S84" s="60">
        <v>5758.0</v>
      </c>
      <c r="T84" s="60">
        <v>5706.0</v>
      </c>
      <c r="U84" s="60">
        <v>5654.0</v>
      </c>
      <c r="V84" s="60">
        <v>5602.0</v>
      </c>
      <c r="W84" s="60">
        <v>5550.0</v>
      </c>
      <c r="X84" s="60">
        <v>5498.0</v>
      </c>
      <c r="Y84" s="60">
        <v>5446.0</v>
      </c>
      <c r="Z84" s="60">
        <v>5394.0</v>
      </c>
      <c r="AA84" s="60">
        <v>5342.0</v>
      </c>
      <c r="AB84" s="60">
        <v>5290.0</v>
      </c>
      <c r="AC84" s="60">
        <v>5238.0</v>
      </c>
      <c r="AD84" s="60">
        <v>5186.0</v>
      </c>
      <c r="AE84" s="60">
        <v>5134.0</v>
      </c>
      <c r="AF84" s="60">
        <v>5082.0</v>
      </c>
      <c r="AG84" s="60">
        <v>5030.0</v>
      </c>
      <c r="AH84" s="60">
        <v>4978.0</v>
      </c>
      <c r="AI84" s="60">
        <v>4926.0</v>
      </c>
      <c r="AJ84" s="60">
        <v>4874.0</v>
      </c>
      <c r="AK84" s="60">
        <v>4822.0</v>
      </c>
      <c r="AL84" s="60">
        <v>4770.0</v>
      </c>
      <c r="AM84" s="60">
        <v>4718.0</v>
      </c>
      <c r="AN84" s="60">
        <v>4666.0</v>
      </c>
      <c r="AO84" s="60">
        <v>4614.0</v>
      </c>
      <c r="AP84" s="60">
        <v>4562.0</v>
      </c>
      <c r="AQ84" s="60">
        <v>4510.0</v>
      </c>
      <c r="AR84" s="60">
        <v>4458.0</v>
      </c>
      <c r="AS84" s="60">
        <v>4406.0</v>
      </c>
      <c r="AT84" s="60">
        <v>4354.0</v>
      </c>
      <c r="AU84" s="60">
        <v>4302.0</v>
      </c>
      <c r="AV84" s="60">
        <v>4250.0</v>
      </c>
      <c r="AW84" s="60">
        <v>4198.0</v>
      </c>
      <c r="AX84" s="60">
        <v>4146.0</v>
      </c>
      <c r="AY84" s="60">
        <v>4094.0</v>
      </c>
      <c r="AZ84" s="60">
        <v>4042.0</v>
      </c>
      <c r="BA84" s="60">
        <v>3990.0</v>
      </c>
      <c r="BB84" s="60">
        <v>3938.0</v>
      </c>
      <c r="BC84" s="60">
        <v>3886.0</v>
      </c>
      <c r="BD84" s="60">
        <v>3834.0</v>
      </c>
      <c r="BE84" s="60">
        <v>3782.0</v>
      </c>
      <c r="BF84" s="60">
        <v>3730.0</v>
      </c>
      <c r="BG84" s="60">
        <v>3678.0</v>
      </c>
      <c r="BH84" s="60">
        <v>3626.0</v>
      </c>
      <c r="BI84" s="60">
        <v>3574.0</v>
      </c>
      <c r="BJ84" s="60">
        <v>3522.0</v>
      </c>
      <c r="BK84" s="60">
        <v>3470.0</v>
      </c>
      <c r="BL84" s="60">
        <v>3418.0</v>
      </c>
      <c r="BM84" s="60">
        <v>3366.0</v>
      </c>
      <c r="BN84" s="60">
        <v>3314.0</v>
      </c>
      <c r="BO84" s="60">
        <v>3262.0</v>
      </c>
      <c r="BP84" s="60">
        <v>3210.0</v>
      </c>
      <c r="BQ84" s="60">
        <v>3158.0</v>
      </c>
      <c r="BR84" s="60">
        <v>3106.0</v>
      </c>
      <c r="BS84" s="60">
        <v>3054.0</v>
      </c>
      <c r="BT84" s="60">
        <v>3002.0</v>
      </c>
      <c r="BU84" s="60">
        <v>2950.0</v>
      </c>
      <c r="BV84" s="60">
        <v>2898.0</v>
      </c>
      <c r="BW84" s="60">
        <v>2846.0</v>
      </c>
      <c r="BX84" s="60">
        <v>2794.0</v>
      </c>
      <c r="BY84" s="60">
        <v>2742.0</v>
      </c>
      <c r="BZ84" s="60">
        <v>2690.0</v>
      </c>
      <c r="CA84" s="60">
        <v>2638.0</v>
      </c>
      <c r="CB84" s="60">
        <v>2586.0</v>
      </c>
      <c r="CC84" s="60">
        <v>2534.0</v>
      </c>
      <c r="CD84" s="60">
        <v>2482.0</v>
      </c>
      <c r="CE84" s="60">
        <v>2430.0</v>
      </c>
      <c r="CF84" s="17">
        <v>30.0</v>
      </c>
    </row>
    <row r="85">
      <c r="A85" s="17">
        <v>83.0</v>
      </c>
      <c r="B85" s="60">
        <v>6723.0</v>
      </c>
      <c r="C85" s="60">
        <v>6669.0</v>
      </c>
      <c r="D85" s="60">
        <v>6615.0</v>
      </c>
      <c r="E85" s="60">
        <v>6561.0</v>
      </c>
      <c r="F85" s="60">
        <v>6507.0</v>
      </c>
      <c r="G85" s="60">
        <v>6453.0</v>
      </c>
      <c r="H85" s="60">
        <v>6399.0</v>
      </c>
      <c r="I85" s="60">
        <v>6345.0</v>
      </c>
      <c r="J85" s="60">
        <v>6291.0</v>
      </c>
      <c r="K85" s="60">
        <v>6237.0</v>
      </c>
      <c r="L85" s="60">
        <v>6183.0</v>
      </c>
      <c r="M85" s="60">
        <v>6129.0</v>
      </c>
      <c r="N85" s="60">
        <v>6075.0</v>
      </c>
      <c r="O85" s="60">
        <v>6021.0</v>
      </c>
      <c r="P85" s="60">
        <v>5967.0</v>
      </c>
      <c r="Q85" s="60">
        <v>5913.0</v>
      </c>
      <c r="R85" s="60">
        <v>5859.0</v>
      </c>
      <c r="S85" s="60">
        <v>5805.0</v>
      </c>
      <c r="T85" s="60">
        <v>5751.0</v>
      </c>
      <c r="U85" s="60">
        <v>5697.0</v>
      </c>
      <c r="V85" s="60">
        <v>5643.0</v>
      </c>
      <c r="W85" s="60">
        <v>5589.0</v>
      </c>
      <c r="X85" s="60">
        <v>5535.0</v>
      </c>
      <c r="Y85" s="60">
        <v>5481.0</v>
      </c>
      <c r="Z85" s="60">
        <v>5427.0</v>
      </c>
      <c r="AA85" s="60">
        <v>5373.0</v>
      </c>
      <c r="AB85" s="60">
        <v>5319.0</v>
      </c>
      <c r="AC85" s="60">
        <v>5265.0</v>
      </c>
      <c r="AD85" s="60">
        <v>5211.0</v>
      </c>
      <c r="AE85" s="60">
        <v>5157.0</v>
      </c>
      <c r="AF85" s="60">
        <v>5103.0</v>
      </c>
      <c r="AG85" s="60">
        <v>5049.0</v>
      </c>
      <c r="AH85" s="60">
        <v>4995.0</v>
      </c>
      <c r="AI85" s="60">
        <v>4941.0</v>
      </c>
      <c r="AJ85" s="60">
        <v>4887.0</v>
      </c>
      <c r="AK85" s="60">
        <v>4833.0</v>
      </c>
      <c r="AL85" s="60">
        <v>4779.0</v>
      </c>
      <c r="AM85" s="60">
        <v>4725.0</v>
      </c>
      <c r="AN85" s="60">
        <v>4671.0</v>
      </c>
      <c r="AO85" s="60">
        <v>4617.0</v>
      </c>
      <c r="AP85" s="60">
        <v>4563.0</v>
      </c>
      <c r="AQ85" s="60">
        <v>4509.0</v>
      </c>
      <c r="AR85" s="60">
        <v>4455.0</v>
      </c>
      <c r="AS85" s="60">
        <v>4401.0</v>
      </c>
      <c r="AT85" s="60">
        <v>4347.0</v>
      </c>
      <c r="AU85" s="60">
        <v>4293.0</v>
      </c>
      <c r="AV85" s="60">
        <v>4239.0</v>
      </c>
      <c r="AW85" s="60">
        <v>4185.0</v>
      </c>
      <c r="AX85" s="60">
        <v>4131.0</v>
      </c>
      <c r="AY85" s="60">
        <v>4077.0</v>
      </c>
      <c r="AZ85" s="60">
        <v>4023.0</v>
      </c>
      <c r="BA85" s="60">
        <v>3969.0</v>
      </c>
      <c r="BB85" s="60">
        <v>3915.0</v>
      </c>
      <c r="BC85" s="60">
        <v>3861.0</v>
      </c>
      <c r="BD85" s="60">
        <v>3807.0</v>
      </c>
      <c r="BE85" s="60">
        <v>3753.0</v>
      </c>
      <c r="BF85" s="60">
        <v>3699.0</v>
      </c>
      <c r="BG85" s="60">
        <v>3645.0</v>
      </c>
      <c r="BH85" s="60">
        <v>3591.0</v>
      </c>
      <c r="BI85" s="60">
        <v>3537.0</v>
      </c>
      <c r="BJ85" s="60">
        <v>3483.0</v>
      </c>
      <c r="BK85" s="60">
        <v>3429.0</v>
      </c>
      <c r="BL85" s="60">
        <v>3375.0</v>
      </c>
      <c r="BM85" s="60">
        <v>3321.0</v>
      </c>
      <c r="BN85" s="60">
        <v>3267.0</v>
      </c>
      <c r="BO85" s="60">
        <v>3213.0</v>
      </c>
      <c r="BP85" s="60">
        <v>3159.0</v>
      </c>
      <c r="BQ85" s="60">
        <v>3105.0</v>
      </c>
      <c r="BR85" s="60">
        <v>3051.0</v>
      </c>
      <c r="BS85" s="60">
        <v>2997.0</v>
      </c>
      <c r="BT85" s="60">
        <v>2943.0</v>
      </c>
      <c r="BU85" s="60">
        <v>2889.0</v>
      </c>
      <c r="BV85" s="60">
        <v>2835.0</v>
      </c>
      <c r="BW85" s="60">
        <v>2781.0</v>
      </c>
      <c r="BX85" s="60">
        <v>2727.0</v>
      </c>
      <c r="BY85" s="60">
        <v>2673.0</v>
      </c>
      <c r="BZ85" s="60">
        <v>2619.0</v>
      </c>
      <c r="CA85" s="60">
        <v>2565.0</v>
      </c>
      <c r="CB85" s="60">
        <v>2511.0</v>
      </c>
      <c r="CC85" s="60">
        <v>2457.0</v>
      </c>
      <c r="CD85" s="60">
        <v>2403.0</v>
      </c>
      <c r="CE85" s="60">
        <v>2349.0</v>
      </c>
      <c r="CF85" s="17">
        <v>29.0</v>
      </c>
    </row>
    <row r="86">
      <c r="A86" s="17">
        <v>84.0</v>
      </c>
      <c r="B86" s="60">
        <v>6804.0</v>
      </c>
      <c r="C86" s="60">
        <v>6748.0</v>
      </c>
      <c r="D86" s="60">
        <v>6692.0</v>
      </c>
      <c r="E86" s="60">
        <v>6636.0</v>
      </c>
      <c r="F86" s="60">
        <v>6580.0</v>
      </c>
      <c r="G86" s="60">
        <v>6524.0</v>
      </c>
      <c r="H86" s="60">
        <v>6468.0</v>
      </c>
      <c r="I86" s="60">
        <v>6412.0</v>
      </c>
      <c r="J86" s="60">
        <v>6356.0</v>
      </c>
      <c r="K86" s="60">
        <v>6300.0</v>
      </c>
      <c r="L86" s="60">
        <v>6244.0</v>
      </c>
      <c r="M86" s="60">
        <v>6188.0</v>
      </c>
      <c r="N86" s="60">
        <v>6132.0</v>
      </c>
      <c r="O86" s="60">
        <v>6076.0</v>
      </c>
      <c r="P86" s="60">
        <v>6020.0</v>
      </c>
      <c r="Q86" s="60">
        <v>5964.0</v>
      </c>
      <c r="R86" s="60">
        <v>5908.0</v>
      </c>
      <c r="S86" s="60">
        <v>5852.0</v>
      </c>
      <c r="T86" s="60">
        <v>5796.0</v>
      </c>
      <c r="U86" s="60">
        <v>5740.0</v>
      </c>
      <c r="V86" s="60">
        <v>5684.0</v>
      </c>
      <c r="W86" s="60">
        <v>5628.0</v>
      </c>
      <c r="X86" s="60">
        <v>5572.0</v>
      </c>
      <c r="Y86" s="60">
        <v>5516.0</v>
      </c>
      <c r="Z86" s="60">
        <v>5460.0</v>
      </c>
      <c r="AA86" s="60">
        <v>5404.0</v>
      </c>
      <c r="AB86" s="60">
        <v>5348.0</v>
      </c>
      <c r="AC86" s="60">
        <v>5292.0</v>
      </c>
      <c r="AD86" s="60">
        <v>5236.0</v>
      </c>
      <c r="AE86" s="60">
        <v>5180.0</v>
      </c>
      <c r="AF86" s="60">
        <v>5124.0</v>
      </c>
      <c r="AG86" s="60">
        <v>5068.0</v>
      </c>
      <c r="AH86" s="60">
        <v>5012.0</v>
      </c>
      <c r="AI86" s="60">
        <v>4956.0</v>
      </c>
      <c r="AJ86" s="60">
        <v>4900.0</v>
      </c>
      <c r="AK86" s="60">
        <v>4844.0</v>
      </c>
      <c r="AL86" s="60">
        <v>4788.0</v>
      </c>
      <c r="AM86" s="60">
        <v>4732.0</v>
      </c>
      <c r="AN86" s="60">
        <v>4676.0</v>
      </c>
      <c r="AO86" s="60">
        <v>4620.0</v>
      </c>
      <c r="AP86" s="60">
        <v>4564.0</v>
      </c>
      <c r="AQ86" s="60">
        <v>4508.0</v>
      </c>
      <c r="AR86" s="60">
        <v>4452.0</v>
      </c>
      <c r="AS86" s="60">
        <v>4396.0</v>
      </c>
      <c r="AT86" s="60">
        <v>4340.0</v>
      </c>
      <c r="AU86" s="60">
        <v>4284.0</v>
      </c>
      <c r="AV86" s="60">
        <v>4228.0</v>
      </c>
      <c r="AW86" s="60">
        <v>4172.0</v>
      </c>
      <c r="AX86" s="60">
        <v>4116.0</v>
      </c>
      <c r="AY86" s="60">
        <v>4060.0</v>
      </c>
      <c r="AZ86" s="60">
        <v>4004.0</v>
      </c>
      <c r="BA86" s="60">
        <v>3948.0</v>
      </c>
      <c r="BB86" s="60">
        <v>3892.0</v>
      </c>
      <c r="BC86" s="60">
        <v>3836.0</v>
      </c>
      <c r="BD86" s="60">
        <v>3780.0</v>
      </c>
      <c r="BE86" s="60">
        <v>3724.0</v>
      </c>
      <c r="BF86" s="60">
        <v>3668.0</v>
      </c>
      <c r="BG86" s="60">
        <v>3612.0</v>
      </c>
      <c r="BH86" s="60">
        <v>3556.0</v>
      </c>
      <c r="BI86" s="60">
        <v>3500.0</v>
      </c>
      <c r="BJ86" s="60">
        <v>3444.0</v>
      </c>
      <c r="BK86" s="60">
        <v>3388.0</v>
      </c>
      <c r="BL86" s="60">
        <v>3332.0</v>
      </c>
      <c r="BM86" s="60">
        <v>3276.0</v>
      </c>
      <c r="BN86" s="60">
        <v>3220.0</v>
      </c>
      <c r="BO86" s="60">
        <v>3164.0</v>
      </c>
      <c r="BP86" s="60">
        <v>3108.0</v>
      </c>
      <c r="BQ86" s="60">
        <v>3052.0</v>
      </c>
      <c r="BR86" s="60">
        <v>2996.0</v>
      </c>
      <c r="BS86" s="60">
        <v>2940.0</v>
      </c>
      <c r="BT86" s="60">
        <v>2884.0</v>
      </c>
      <c r="BU86" s="60">
        <v>2828.0</v>
      </c>
      <c r="BV86" s="60">
        <v>2772.0</v>
      </c>
      <c r="BW86" s="60">
        <v>2716.0</v>
      </c>
      <c r="BX86" s="60">
        <v>2660.0</v>
      </c>
      <c r="BY86" s="60">
        <v>2604.0</v>
      </c>
      <c r="BZ86" s="60">
        <v>2548.0</v>
      </c>
      <c r="CA86" s="60">
        <v>2492.0</v>
      </c>
      <c r="CB86" s="60">
        <v>2436.0</v>
      </c>
      <c r="CC86" s="60">
        <v>2380.0</v>
      </c>
      <c r="CD86" s="60">
        <v>2324.0</v>
      </c>
      <c r="CE86" s="60">
        <v>2268.0</v>
      </c>
      <c r="CF86" s="17">
        <v>28.0</v>
      </c>
    </row>
    <row r="87">
      <c r="A87" s="17">
        <v>85.0</v>
      </c>
      <c r="B87" s="60">
        <v>6885.0</v>
      </c>
      <c r="C87" s="60">
        <v>6827.0</v>
      </c>
      <c r="D87" s="60">
        <v>6769.0</v>
      </c>
      <c r="E87" s="60">
        <v>6711.0</v>
      </c>
      <c r="F87" s="60">
        <v>6653.0</v>
      </c>
      <c r="G87" s="60">
        <v>6595.0</v>
      </c>
      <c r="H87" s="60">
        <v>6537.0</v>
      </c>
      <c r="I87" s="60">
        <v>6479.0</v>
      </c>
      <c r="J87" s="60">
        <v>6421.0</v>
      </c>
      <c r="K87" s="60">
        <v>6363.0</v>
      </c>
      <c r="L87" s="60">
        <v>6305.0</v>
      </c>
      <c r="M87" s="60">
        <v>6247.0</v>
      </c>
      <c r="N87" s="60">
        <v>6189.0</v>
      </c>
      <c r="O87" s="60">
        <v>6131.0</v>
      </c>
      <c r="P87" s="60">
        <v>6073.0</v>
      </c>
      <c r="Q87" s="60">
        <v>6015.0</v>
      </c>
      <c r="R87" s="60">
        <v>5957.0</v>
      </c>
      <c r="S87" s="60">
        <v>5899.0</v>
      </c>
      <c r="T87" s="60">
        <v>5841.0</v>
      </c>
      <c r="U87" s="60">
        <v>5783.0</v>
      </c>
      <c r="V87" s="60">
        <v>5725.0</v>
      </c>
      <c r="W87" s="60">
        <v>5667.0</v>
      </c>
      <c r="X87" s="60">
        <v>5609.0</v>
      </c>
      <c r="Y87" s="60">
        <v>5551.0</v>
      </c>
      <c r="Z87" s="60">
        <v>5493.0</v>
      </c>
      <c r="AA87" s="60">
        <v>5435.0</v>
      </c>
      <c r="AB87" s="60">
        <v>5377.0</v>
      </c>
      <c r="AC87" s="60">
        <v>5319.0</v>
      </c>
      <c r="AD87" s="60">
        <v>5261.0</v>
      </c>
      <c r="AE87" s="60">
        <v>5203.0</v>
      </c>
      <c r="AF87" s="60">
        <v>5145.0</v>
      </c>
      <c r="AG87" s="60">
        <v>5087.0</v>
      </c>
      <c r="AH87" s="60">
        <v>5029.0</v>
      </c>
      <c r="AI87" s="60">
        <v>4971.0</v>
      </c>
      <c r="AJ87" s="60">
        <v>4913.0</v>
      </c>
      <c r="AK87" s="60">
        <v>4855.0</v>
      </c>
      <c r="AL87" s="60">
        <v>4797.0</v>
      </c>
      <c r="AM87" s="60">
        <v>4739.0</v>
      </c>
      <c r="AN87" s="60">
        <v>4681.0</v>
      </c>
      <c r="AO87" s="60">
        <v>4623.0</v>
      </c>
      <c r="AP87" s="60">
        <v>4565.0</v>
      </c>
      <c r="AQ87" s="60">
        <v>4507.0</v>
      </c>
      <c r="AR87" s="60">
        <v>4449.0</v>
      </c>
      <c r="AS87" s="60">
        <v>4391.0</v>
      </c>
      <c r="AT87" s="60">
        <v>4333.0</v>
      </c>
      <c r="AU87" s="60">
        <v>4275.0</v>
      </c>
      <c r="AV87" s="60">
        <v>4217.0</v>
      </c>
      <c r="AW87" s="60">
        <v>4159.0</v>
      </c>
      <c r="AX87" s="60">
        <v>4101.0</v>
      </c>
      <c r="AY87" s="60">
        <v>4043.0</v>
      </c>
      <c r="AZ87" s="60">
        <v>3985.0</v>
      </c>
      <c r="BA87" s="60">
        <v>3927.0</v>
      </c>
      <c r="BB87" s="60">
        <v>3869.0</v>
      </c>
      <c r="BC87" s="60">
        <v>3811.0</v>
      </c>
      <c r="BD87" s="60">
        <v>3753.0</v>
      </c>
      <c r="BE87" s="60">
        <v>3695.0</v>
      </c>
      <c r="BF87" s="60">
        <v>3637.0</v>
      </c>
      <c r="BG87" s="60">
        <v>3579.0</v>
      </c>
      <c r="BH87" s="60">
        <v>3521.0</v>
      </c>
      <c r="BI87" s="60">
        <v>3463.0</v>
      </c>
      <c r="BJ87" s="60">
        <v>3405.0</v>
      </c>
      <c r="BK87" s="60">
        <v>3347.0</v>
      </c>
      <c r="BL87" s="60">
        <v>3289.0</v>
      </c>
      <c r="BM87" s="60">
        <v>3231.0</v>
      </c>
      <c r="BN87" s="60">
        <v>3173.0</v>
      </c>
      <c r="BO87" s="60">
        <v>3115.0</v>
      </c>
      <c r="BP87" s="60">
        <v>3057.0</v>
      </c>
      <c r="BQ87" s="60">
        <v>2999.0</v>
      </c>
      <c r="BR87" s="60">
        <v>2941.0</v>
      </c>
      <c r="BS87" s="60">
        <v>2883.0</v>
      </c>
      <c r="BT87" s="60">
        <v>2825.0</v>
      </c>
      <c r="BU87" s="60">
        <v>2767.0</v>
      </c>
      <c r="BV87" s="60">
        <v>2709.0</v>
      </c>
      <c r="BW87" s="60">
        <v>2651.0</v>
      </c>
      <c r="BX87" s="60">
        <v>2593.0</v>
      </c>
      <c r="BY87" s="60">
        <v>2535.0</v>
      </c>
      <c r="BZ87" s="60">
        <v>2477.0</v>
      </c>
      <c r="CA87" s="60">
        <v>2419.0</v>
      </c>
      <c r="CB87" s="60">
        <v>2361.0</v>
      </c>
      <c r="CC87" s="60">
        <v>2303.0</v>
      </c>
      <c r="CD87" s="60">
        <v>2245.0</v>
      </c>
      <c r="CE87" s="60">
        <v>2187.0</v>
      </c>
      <c r="CF87" s="17">
        <v>27.0</v>
      </c>
    </row>
    <row r="88">
      <c r="A88" s="17">
        <v>86.0</v>
      </c>
      <c r="B88" s="60">
        <v>6966.0</v>
      </c>
      <c r="C88" s="60">
        <v>6906.0</v>
      </c>
      <c r="D88" s="60">
        <v>6846.0</v>
      </c>
      <c r="E88" s="60">
        <v>6786.0</v>
      </c>
      <c r="F88" s="60">
        <v>6726.0</v>
      </c>
      <c r="G88" s="60">
        <v>6666.0</v>
      </c>
      <c r="H88" s="60">
        <v>6606.0</v>
      </c>
      <c r="I88" s="60">
        <v>6546.0</v>
      </c>
      <c r="J88" s="60">
        <v>6486.0</v>
      </c>
      <c r="K88" s="60">
        <v>6426.0</v>
      </c>
      <c r="L88" s="60">
        <v>6366.0</v>
      </c>
      <c r="M88" s="60">
        <v>6306.0</v>
      </c>
      <c r="N88" s="60">
        <v>6246.0</v>
      </c>
      <c r="O88" s="60">
        <v>6186.0</v>
      </c>
      <c r="P88" s="60">
        <v>6126.0</v>
      </c>
      <c r="Q88" s="60">
        <v>6066.0</v>
      </c>
      <c r="R88" s="60">
        <v>6006.0</v>
      </c>
      <c r="S88" s="60">
        <v>5946.0</v>
      </c>
      <c r="T88" s="60">
        <v>5886.0</v>
      </c>
      <c r="U88" s="60">
        <v>5826.0</v>
      </c>
      <c r="V88" s="60">
        <v>5766.0</v>
      </c>
      <c r="W88" s="60">
        <v>5706.0</v>
      </c>
      <c r="X88" s="60">
        <v>5646.0</v>
      </c>
      <c r="Y88" s="60">
        <v>5586.0</v>
      </c>
      <c r="Z88" s="60">
        <v>5526.0</v>
      </c>
      <c r="AA88" s="60">
        <v>5466.0</v>
      </c>
      <c r="AB88" s="60">
        <v>5406.0</v>
      </c>
      <c r="AC88" s="60">
        <v>5346.0</v>
      </c>
      <c r="AD88" s="60">
        <v>5286.0</v>
      </c>
      <c r="AE88" s="60">
        <v>5226.0</v>
      </c>
      <c r="AF88" s="60">
        <v>5166.0</v>
      </c>
      <c r="AG88" s="60">
        <v>5106.0</v>
      </c>
      <c r="AH88" s="60">
        <v>5046.0</v>
      </c>
      <c r="AI88" s="60">
        <v>4986.0</v>
      </c>
      <c r="AJ88" s="60">
        <v>4926.0</v>
      </c>
      <c r="AK88" s="60">
        <v>4866.0</v>
      </c>
      <c r="AL88" s="60">
        <v>4806.0</v>
      </c>
      <c r="AM88" s="60">
        <v>4746.0</v>
      </c>
      <c r="AN88" s="60">
        <v>4686.0</v>
      </c>
      <c r="AO88" s="60">
        <v>4626.0</v>
      </c>
      <c r="AP88" s="60">
        <v>4566.0</v>
      </c>
      <c r="AQ88" s="60">
        <v>4506.0</v>
      </c>
      <c r="AR88" s="60">
        <v>4446.0</v>
      </c>
      <c r="AS88" s="60">
        <v>4386.0</v>
      </c>
      <c r="AT88" s="60">
        <v>4326.0</v>
      </c>
      <c r="AU88" s="60">
        <v>4266.0</v>
      </c>
      <c r="AV88" s="60">
        <v>4206.0</v>
      </c>
      <c r="AW88" s="60">
        <v>4146.0</v>
      </c>
      <c r="AX88" s="60">
        <v>4086.0</v>
      </c>
      <c r="AY88" s="60">
        <v>4026.0</v>
      </c>
      <c r="AZ88" s="60">
        <v>3966.0</v>
      </c>
      <c r="BA88" s="60">
        <v>3906.0</v>
      </c>
      <c r="BB88" s="60">
        <v>3846.0</v>
      </c>
      <c r="BC88" s="60">
        <v>3786.0</v>
      </c>
      <c r="BD88" s="60">
        <v>3726.0</v>
      </c>
      <c r="BE88" s="60">
        <v>3666.0</v>
      </c>
      <c r="BF88" s="60">
        <v>3606.0</v>
      </c>
      <c r="BG88" s="60">
        <v>3546.0</v>
      </c>
      <c r="BH88" s="60">
        <v>3486.0</v>
      </c>
      <c r="BI88" s="60">
        <v>3426.0</v>
      </c>
      <c r="BJ88" s="60">
        <v>3366.0</v>
      </c>
      <c r="BK88" s="60">
        <v>3306.0</v>
      </c>
      <c r="BL88" s="60">
        <v>3246.0</v>
      </c>
      <c r="BM88" s="60">
        <v>3186.0</v>
      </c>
      <c r="BN88" s="60">
        <v>3126.0</v>
      </c>
      <c r="BO88" s="60">
        <v>3066.0</v>
      </c>
      <c r="BP88" s="60">
        <v>3006.0</v>
      </c>
      <c r="BQ88" s="60">
        <v>2946.0</v>
      </c>
      <c r="BR88" s="60">
        <v>2886.0</v>
      </c>
      <c r="BS88" s="60">
        <v>2826.0</v>
      </c>
      <c r="BT88" s="60">
        <v>2766.0</v>
      </c>
      <c r="BU88" s="60">
        <v>2706.0</v>
      </c>
      <c r="BV88" s="60">
        <v>2646.0</v>
      </c>
      <c r="BW88" s="60">
        <v>2586.0</v>
      </c>
      <c r="BX88" s="60">
        <v>2526.0</v>
      </c>
      <c r="BY88" s="60">
        <v>2466.0</v>
      </c>
      <c r="BZ88" s="60">
        <v>2406.0</v>
      </c>
      <c r="CA88" s="60">
        <v>2346.0</v>
      </c>
      <c r="CB88" s="60">
        <v>2286.0</v>
      </c>
      <c r="CC88" s="60">
        <v>2226.0</v>
      </c>
      <c r="CD88" s="60">
        <v>2166.0</v>
      </c>
      <c r="CE88" s="60">
        <v>2106.0</v>
      </c>
      <c r="CF88" s="17">
        <v>26.0</v>
      </c>
    </row>
    <row r="89">
      <c r="A89" s="17">
        <v>87.0</v>
      </c>
      <c r="B89" s="60">
        <v>7047.0</v>
      </c>
      <c r="C89" s="60">
        <v>6985.0</v>
      </c>
      <c r="D89" s="60">
        <v>6923.0</v>
      </c>
      <c r="E89" s="60">
        <v>6861.0</v>
      </c>
      <c r="F89" s="60">
        <v>6799.0</v>
      </c>
      <c r="G89" s="60">
        <v>6737.0</v>
      </c>
      <c r="H89" s="60">
        <v>6675.0</v>
      </c>
      <c r="I89" s="60">
        <v>6613.0</v>
      </c>
      <c r="J89" s="60">
        <v>6551.0</v>
      </c>
      <c r="K89" s="60">
        <v>6489.0</v>
      </c>
      <c r="L89" s="60">
        <v>6427.0</v>
      </c>
      <c r="M89" s="60">
        <v>6365.0</v>
      </c>
      <c r="N89" s="60">
        <v>6303.0</v>
      </c>
      <c r="O89" s="60">
        <v>6241.0</v>
      </c>
      <c r="P89" s="60">
        <v>6179.0</v>
      </c>
      <c r="Q89" s="60">
        <v>6117.0</v>
      </c>
      <c r="R89" s="60">
        <v>6055.0</v>
      </c>
      <c r="S89" s="60">
        <v>5993.0</v>
      </c>
      <c r="T89" s="60">
        <v>5931.0</v>
      </c>
      <c r="U89" s="60">
        <v>5869.0</v>
      </c>
      <c r="V89" s="60">
        <v>5807.0</v>
      </c>
      <c r="W89" s="60">
        <v>5745.0</v>
      </c>
      <c r="X89" s="60">
        <v>5683.0</v>
      </c>
      <c r="Y89" s="60">
        <v>5621.0</v>
      </c>
      <c r="Z89" s="60">
        <v>5559.0</v>
      </c>
      <c r="AA89" s="60">
        <v>5497.0</v>
      </c>
      <c r="AB89" s="60">
        <v>5435.0</v>
      </c>
      <c r="AC89" s="60">
        <v>5373.0</v>
      </c>
      <c r="AD89" s="60">
        <v>5311.0</v>
      </c>
      <c r="AE89" s="60">
        <v>5249.0</v>
      </c>
      <c r="AF89" s="60">
        <v>5187.0</v>
      </c>
      <c r="AG89" s="60">
        <v>5125.0</v>
      </c>
      <c r="AH89" s="60">
        <v>5063.0</v>
      </c>
      <c r="AI89" s="60">
        <v>5001.0</v>
      </c>
      <c r="AJ89" s="60">
        <v>4939.0</v>
      </c>
      <c r="AK89" s="60">
        <v>4877.0</v>
      </c>
      <c r="AL89" s="60">
        <v>4815.0</v>
      </c>
      <c r="AM89" s="60">
        <v>4753.0</v>
      </c>
      <c r="AN89" s="60">
        <v>4691.0</v>
      </c>
      <c r="AO89" s="60">
        <v>4629.0</v>
      </c>
      <c r="AP89" s="60">
        <v>4567.0</v>
      </c>
      <c r="AQ89" s="60">
        <v>4505.0</v>
      </c>
      <c r="AR89" s="60">
        <v>4443.0</v>
      </c>
      <c r="AS89" s="60">
        <v>4381.0</v>
      </c>
      <c r="AT89" s="60">
        <v>4319.0</v>
      </c>
      <c r="AU89" s="60">
        <v>4257.0</v>
      </c>
      <c r="AV89" s="60">
        <v>4195.0</v>
      </c>
      <c r="AW89" s="60">
        <v>4133.0</v>
      </c>
      <c r="AX89" s="60">
        <v>4071.0</v>
      </c>
      <c r="AY89" s="60">
        <v>4009.0</v>
      </c>
      <c r="AZ89" s="60">
        <v>3947.0</v>
      </c>
      <c r="BA89" s="60">
        <v>3885.0</v>
      </c>
      <c r="BB89" s="60">
        <v>3823.0</v>
      </c>
      <c r="BC89" s="60">
        <v>3761.0</v>
      </c>
      <c r="BD89" s="60">
        <v>3699.0</v>
      </c>
      <c r="BE89" s="60">
        <v>3637.0</v>
      </c>
      <c r="BF89" s="60">
        <v>3575.0</v>
      </c>
      <c r="BG89" s="60">
        <v>3513.0</v>
      </c>
      <c r="BH89" s="60">
        <v>3451.0</v>
      </c>
      <c r="BI89" s="60">
        <v>3389.0</v>
      </c>
      <c r="BJ89" s="60">
        <v>3327.0</v>
      </c>
      <c r="BK89" s="60">
        <v>3265.0</v>
      </c>
      <c r="BL89" s="60">
        <v>3203.0</v>
      </c>
      <c r="BM89" s="60">
        <v>3141.0</v>
      </c>
      <c r="BN89" s="60">
        <v>3079.0</v>
      </c>
      <c r="BO89" s="60">
        <v>3017.0</v>
      </c>
      <c r="BP89" s="60">
        <v>2955.0</v>
      </c>
      <c r="BQ89" s="60">
        <v>2893.0</v>
      </c>
      <c r="BR89" s="60">
        <v>2831.0</v>
      </c>
      <c r="BS89" s="60">
        <v>2769.0</v>
      </c>
      <c r="BT89" s="60">
        <v>2707.0</v>
      </c>
      <c r="BU89" s="60">
        <v>2645.0</v>
      </c>
      <c r="BV89" s="60">
        <v>2583.0</v>
      </c>
      <c r="BW89" s="60">
        <v>2521.0</v>
      </c>
      <c r="BX89" s="60">
        <v>2459.0</v>
      </c>
      <c r="BY89" s="60">
        <v>2397.0</v>
      </c>
      <c r="BZ89" s="60">
        <v>2335.0</v>
      </c>
      <c r="CA89" s="60">
        <v>2273.0</v>
      </c>
      <c r="CB89" s="60">
        <v>2211.0</v>
      </c>
      <c r="CC89" s="60">
        <v>2149.0</v>
      </c>
      <c r="CD89" s="60">
        <v>2087.0</v>
      </c>
      <c r="CE89" s="60">
        <v>2025.0</v>
      </c>
      <c r="CF89" s="17">
        <v>25.0</v>
      </c>
    </row>
    <row r="90">
      <c r="A90" s="17">
        <v>88.0</v>
      </c>
      <c r="B90" s="60">
        <v>7128.0</v>
      </c>
      <c r="C90" s="60">
        <v>7064.0</v>
      </c>
      <c r="D90" s="60">
        <v>7000.0</v>
      </c>
      <c r="E90" s="60">
        <v>6936.0</v>
      </c>
      <c r="F90" s="60">
        <v>6872.0</v>
      </c>
      <c r="G90" s="60">
        <v>6808.0</v>
      </c>
      <c r="H90" s="60">
        <v>6744.0</v>
      </c>
      <c r="I90" s="60">
        <v>6680.0</v>
      </c>
      <c r="J90" s="60">
        <v>6616.0</v>
      </c>
      <c r="K90" s="60">
        <v>6552.0</v>
      </c>
      <c r="L90" s="60">
        <v>6488.0</v>
      </c>
      <c r="M90" s="60">
        <v>6424.0</v>
      </c>
      <c r="N90" s="60">
        <v>6360.0</v>
      </c>
      <c r="O90" s="60">
        <v>6296.0</v>
      </c>
      <c r="P90" s="60">
        <v>6232.0</v>
      </c>
      <c r="Q90" s="60">
        <v>6168.0</v>
      </c>
      <c r="R90" s="60">
        <v>6104.0</v>
      </c>
      <c r="S90" s="60">
        <v>6040.0</v>
      </c>
      <c r="T90" s="60">
        <v>5976.0</v>
      </c>
      <c r="U90" s="60">
        <v>5912.0</v>
      </c>
      <c r="V90" s="60">
        <v>5848.0</v>
      </c>
      <c r="W90" s="60">
        <v>5784.0</v>
      </c>
      <c r="X90" s="60">
        <v>5720.0</v>
      </c>
      <c r="Y90" s="60">
        <v>5656.0</v>
      </c>
      <c r="Z90" s="60">
        <v>5592.0</v>
      </c>
      <c r="AA90" s="60">
        <v>5528.0</v>
      </c>
      <c r="AB90" s="60">
        <v>5464.0</v>
      </c>
      <c r="AC90" s="60">
        <v>5400.0</v>
      </c>
      <c r="AD90" s="60">
        <v>5336.0</v>
      </c>
      <c r="AE90" s="60">
        <v>5272.0</v>
      </c>
      <c r="AF90" s="60">
        <v>5208.0</v>
      </c>
      <c r="AG90" s="60">
        <v>5144.0</v>
      </c>
      <c r="AH90" s="60">
        <v>5080.0</v>
      </c>
      <c r="AI90" s="60">
        <v>5016.0</v>
      </c>
      <c r="AJ90" s="60">
        <v>4952.0</v>
      </c>
      <c r="AK90" s="60">
        <v>4888.0</v>
      </c>
      <c r="AL90" s="60">
        <v>4824.0</v>
      </c>
      <c r="AM90" s="60">
        <v>4760.0</v>
      </c>
      <c r="AN90" s="60">
        <v>4696.0</v>
      </c>
      <c r="AO90" s="60">
        <v>4632.0</v>
      </c>
      <c r="AP90" s="60">
        <v>4568.0</v>
      </c>
      <c r="AQ90" s="60">
        <v>4504.0</v>
      </c>
      <c r="AR90" s="60">
        <v>4440.0</v>
      </c>
      <c r="AS90" s="60">
        <v>4376.0</v>
      </c>
      <c r="AT90" s="60">
        <v>4312.0</v>
      </c>
      <c r="AU90" s="60">
        <v>4248.0</v>
      </c>
      <c r="AV90" s="60">
        <v>4184.0</v>
      </c>
      <c r="AW90" s="60">
        <v>4120.0</v>
      </c>
      <c r="AX90" s="60">
        <v>4056.0</v>
      </c>
      <c r="AY90" s="60">
        <v>3992.0</v>
      </c>
      <c r="AZ90" s="60">
        <v>3928.0</v>
      </c>
      <c r="BA90" s="60">
        <v>3864.0</v>
      </c>
      <c r="BB90" s="60">
        <v>3800.0</v>
      </c>
      <c r="BC90" s="60">
        <v>3736.0</v>
      </c>
      <c r="BD90" s="60">
        <v>3672.0</v>
      </c>
      <c r="BE90" s="60">
        <v>3608.0</v>
      </c>
      <c r="BF90" s="60">
        <v>3544.0</v>
      </c>
      <c r="BG90" s="60">
        <v>3480.0</v>
      </c>
      <c r="BH90" s="60">
        <v>3416.0</v>
      </c>
      <c r="BI90" s="60">
        <v>3352.0</v>
      </c>
      <c r="BJ90" s="60">
        <v>3288.0</v>
      </c>
      <c r="BK90" s="60">
        <v>3224.0</v>
      </c>
      <c r="BL90" s="60">
        <v>3160.0</v>
      </c>
      <c r="BM90" s="60">
        <v>3096.0</v>
      </c>
      <c r="BN90" s="60">
        <v>3032.0</v>
      </c>
      <c r="BO90" s="60">
        <v>2968.0</v>
      </c>
      <c r="BP90" s="60">
        <v>2904.0</v>
      </c>
      <c r="BQ90" s="60">
        <v>2840.0</v>
      </c>
      <c r="BR90" s="60">
        <v>2776.0</v>
      </c>
      <c r="BS90" s="60">
        <v>2712.0</v>
      </c>
      <c r="BT90" s="60">
        <v>2648.0</v>
      </c>
      <c r="BU90" s="60">
        <v>2584.0</v>
      </c>
      <c r="BV90" s="60">
        <v>2520.0</v>
      </c>
      <c r="BW90" s="60">
        <v>2456.0</v>
      </c>
      <c r="BX90" s="60">
        <v>2392.0</v>
      </c>
      <c r="BY90" s="60">
        <v>2328.0</v>
      </c>
      <c r="BZ90" s="60">
        <v>2264.0</v>
      </c>
      <c r="CA90" s="60">
        <v>2200.0</v>
      </c>
      <c r="CB90" s="60">
        <v>2136.0</v>
      </c>
      <c r="CC90" s="60">
        <v>2072.0</v>
      </c>
      <c r="CD90" s="60">
        <v>2008.0</v>
      </c>
      <c r="CE90" s="60">
        <v>1944.0</v>
      </c>
      <c r="CF90" s="17">
        <v>24.0</v>
      </c>
    </row>
    <row r="91">
      <c r="A91" s="17">
        <v>89.0</v>
      </c>
      <c r="B91" s="60">
        <v>7209.0</v>
      </c>
      <c r="C91" s="60">
        <v>7143.0</v>
      </c>
      <c r="D91" s="60">
        <v>7077.0</v>
      </c>
      <c r="E91" s="60">
        <v>7011.0</v>
      </c>
      <c r="F91" s="60">
        <v>6945.0</v>
      </c>
      <c r="G91" s="60">
        <v>6879.0</v>
      </c>
      <c r="H91" s="60">
        <v>6813.0</v>
      </c>
      <c r="I91" s="60">
        <v>6747.0</v>
      </c>
      <c r="J91" s="60">
        <v>6681.0</v>
      </c>
      <c r="K91" s="60">
        <v>6615.0</v>
      </c>
      <c r="L91" s="60">
        <v>6549.0</v>
      </c>
      <c r="M91" s="60">
        <v>6483.0</v>
      </c>
      <c r="N91" s="60">
        <v>6417.0</v>
      </c>
      <c r="O91" s="60">
        <v>6351.0</v>
      </c>
      <c r="P91" s="60">
        <v>6285.0</v>
      </c>
      <c r="Q91" s="60">
        <v>6219.0</v>
      </c>
      <c r="R91" s="60">
        <v>6153.0</v>
      </c>
      <c r="S91" s="60">
        <v>6087.0</v>
      </c>
      <c r="T91" s="60">
        <v>6021.0</v>
      </c>
      <c r="U91" s="60">
        <v>5955.0</v>
      </c>
      <c r="V91" s="60">
        <v>5889.0</v>
      </c>
      <c r="W91" s="60">
        <v>5823.0</v>
      </c>
      <c r="X91" s="60">
        <v>5757.0</v>
      </c>
      <c r="Y91" s="60">
        <v>5691.0</v>
      </c>
      <c r="Z91" s="60">
        <v>5625.0</v>
      </c>
      <c r="AA91" s="60">
        <v>5559.0</v>
      </c>
      <c r="AB91" s="60">
        <v>5493.0</v>
      </c>
      <c r="AC91" s="60">
        <v>5427.0</v>
      </c>
      <c r="AD91" s="60">
        <v>5361.0</v>
      </c>
      <c r="AE91" s="60">
        <v>5295.0</v>
      </c>
      <c r="AF91" s="60">
        <v>5229.0</v>
      </c>
      <c r="AG91" s="60">
        <v>5163.0</v>
      </c>
      <c r="AH91" s="60">
        <v>5097.0</v>
      </c>
      <c r="AI91" s="60">
        <v>5031.0</v>
      </c>
      <c r="AJ91" s="60">
        <v>4965.0</v>
      </c>
      <c r="AK91" s="60">
        <v>4899.0</v>
      </c>
      <c r="AL91" s="60">
        <v>4833.0</v>
      </c>
      <c r="AM91" s="60">
        <v>4767.0</v>
      </c>
      <c r="AN91" s="60">
        <v>4701.0</v>
      </c>
      <c r="AO91" s="60">
        <v>4635.0</v>
      </c>
      <c r="AP91" s="60">
        <v>4569.0</v>
      </c>
      <c r="AQ91" s="60">
        <v>4503.0</v>
      </c>
      <c r="AR91" s="60">
        <v>4437.0</v>
      </c>
      <c r="AS91" s="60">
        <v>4371.0</v>
      </c>
      <c r="AT91" s="60">
        <v>4305.0</v>
      </c>
      <c r="AU91" s="60">
        <v>4239.0</v>
      </c>
      <c r="AV91" s="60">
        <v>4173.0</v>
      </c>
      <c r="AW91" s="60">
        <v>4107.0</v>
      </c>
      <c r="AX91" s="60">
        <v>4041.0</v>
      </c>
      <c r="AY91" s="60">
        <v>3975.0</v>
      </c>
      <c r="AZ91" s="60">
        <v>3909.0</v>
      </c>
      <c r="BA91" s="60">
        <v>3843.0</v>
      </c>
      <c r="BB91" s="60">
        <v>3777.0</v>
      </c>
      <c r="BC91" s="60">
        <v>3711.0</v>
      </c>
      <c r="BD91" s="60">
        <v>3645.0</v>
      </c>
      <c r="BE91" s="60">
        <v>3579.0</v>
      </c>
      <c r="BF91" s="60">
        <v>3513.0</v>
      </c>
      <c r="BG91" s="60">
        <v>3447.0</v>
      </c>
      <c r="BH91" s="60">
        <v>3381.0</v>
      </c>
      <c r="BI91" s="60">
        <v>3315.0</v>
      </c>
      <c r="BJ91" s="60">
        <v>3249.0</v>
      </c>
      <c r="BK91" s="60">
        <v>3183.0</v>
      </c>
      <c r="BL91" s="60">
        <v>3117.0</v>
      </c>
      <c r="BM91" s="60">
        <v>3051.0</v>
      </c>
      <c r="BN91" s="60">
        <v>2985.0</v>
      </c>
      <c r="BO91" s="60">
        <v>2919.0</v>
      </c>
      <c r="BP91" s="60">
        <v>2853.0</v>
      </c>
      <c r="BQ91" s="60">
        <v>2787.0</v>
      </c>
      <c r="BR91" s="60">
        <v>2721.0</v>
      </c>
      <c r="BS91" s="60">
        <v>2655.0</v>
      </c>
      <c r="BT91" s="60">
        <v>2589.0</v>
      </c>
      <c r="BU91" s="60">
        <v>2523.0</v>
      </c>
      <c r="BV91" s="60">
        <v>2457.0</v>
      </c>
      <c r="BW91" s="60">
        <v>2391.0</v>
      </c>
      <c r="BX91" s="60">
        <v>2325.0</v>
      </c>
      <c r="BY91" s="60">
        <v>2259.0</v>
      </c>
      <c r="BZ91" s="60">
        <v>2193.0</v>
      </c>
      <c r="CA91" s="60">
        <v>2127.0</v>
      </c>
      <c r="CB91" s="60">
        <v>2061.0</v>
      </c>
      <c r="CC91" s="60">
        <v>1995.0</v>
      </c>
      <c r="CD91" s="60">
        <v>1929.0</v>
      </c>
      <c r="CE91" s="60">
        <v>1863.0</v>
      </c>
      <c r="CF91" s="17">
        <v>23.0</v>
      </c>
    </row>
    <row r="92">
      <c r="A92" s="17">
        <v>90.0</v>
      </c>
      <c r="B92" s="60">
        <v>7290.0</v>
      </c>
      <c r="C92" s="60">
        <v>7222.0</v>
      </c>
      <c r="D92" s="60">
        <v>7154.0</v>
      </c>
      <c r="E92" s="60">
        <v>7086.0</v>
      </c>
      <c r="F92" s="60">
        <v>7018.0</v>
      </c>
      <c r="G92" s="60">
        <v>6950.0</v>
      </c>
      <c r="H92" s="60">
        <v>6882.0</v>
      </c>
      <c r="I92" s="60">
        <v>6814.0</v>
      </c>
      <c r="J92" s="60">
        <v>6746.0</v>
      </c>
      <c r="K92" s="60">
        <v>6678.0</v>
      </c>
      <c r="L92" s="60">
        <v>6610.0</v>
      </c>
      <c r="M92" s="60">
        <v>6542.0</v>
      </c>
      <c r="N92" s="60">
        <v>6474.0</v>
      </c>
      <c r="O92" s="60">
        <v>6406.0</v>
      </c>
      <c r="P92" s="60">
        <v>6338.0</v>
      </c>
      <c r="Q92" s="60">
        <v>6270.0</v>
      </c>
      <c r="R92" s="60">
        <v>6202.0</v>
      </c>
      <c r="S92" s="60">
        <v>6134.0</v>
      </c>
      <c r="T92" s="60">
        <v>6066.0</v>
      </c>
      <c r="U92" s="60">
        <v>5998.0</v>
      </c>
      <c r="V92" s="60">
        <v>5930.0</v>
      </c>
      <c r="W92" s="60">
        <v>5862.0</v>
      </c>
      <c r="X92" s="60">
        <v>5794.0</v>
      </c>
      <c r="Y92" s="60">
        <v>5726.0</v>
      </c>
      <c r="Z92" s="60">
        <v>5658.0</v>
      </c>
      <c r="AA92" s="60">
        <v>5590.0</v>
      </c>
      <c r="AB92" s="60">
        <v>5522.0</v>
      </c>
      <c r="AC92" s="60">
        <v>5454.0</v>
      </c>
      <c r="AD92" s="60">
        <v>5386.0</v>
      </c>
      <c r="AE92" s="60">
        <v>5318.0</v>
      </c>
      <c r="AF92" s="60">
        <v>5250.0</v>
      </c>
      <c r="AG92" s="60">
        <v>5182.0</v>
      </c>
      <c r="AH92" s="60">
        <v>5114.0</v>
      </c>
      <c r="AI92" s="60">
        <v>5046.0</v>
      </c>
      <c r="AJ92" s="60">
        <v>4978.0</v>
      </c>
      <c r="AK92" s="60">
        <v>4910.0</v>
      </c>
      <c r="AL92" s="60">
        <v>4842.0</v>
      </c>
      <c r="AM92" s="60">
        <v>4774.0</v>
      </c>
      <c r="AN92" s="60">
        <v>4706.0</v>
      </c>
      <c r="AO92" s="60">
        <v>4638.0</v>
      </c>
      <c r="AP92" s="60">
        <v>4570.0</v>
      </c>
      <c r="AQ92" s="60">
        <v>4502.0</v>
      </c>
      <c r="AR92" s="60">
        <v>4434.0</v>
      </c>
      <c r="AS92" s="60">
        <v>4366.0</v>
      </c>
      <c r="AT92" s="60">
        <v>4298.0</v>
      </c>
      <c r="AU92" s="60">
        <v>4230.0</v>
      </c>
      <c r="AV92" s="60">
        <v>4162.0</v>
      </c>
      <c r="AW92" s="60">
        <v>4094.0</v>
      </c>
      <c r="AX92" s="60">
        <v>4026.0</v>
      </c>
      <c r="AY92" s="60">
        <v>3958.0</v>
      </c>
      <c r="AZ92" s="60">
        <v>3890.0</v>
      </c>
      <c r="BA92" s="60">
        <v>3822.0</v>
      </c>
      <c r="BB92" s="60">
        <v>3754.0</v>
      </c>
      <c r="BC92" s="60">
        <v>3686.0</v>
      </c>
      <c r="BD92" s="60">
        <v>3618.0</v>
      </c>
      <c r="BE92" s="60">
        <v>3550.0</v>
      </c>
      <c r="BF92" s="60">
        <v>3482.0</v>
      </c>
      <c r="BG92" s="60">
        <v>3414.0</v>
      </c>
      <c r="BH92" s="60">
        <v>3346.0</v>
      </c>
      <c r="BI92" s="60">
        <v>3278.0</v>
      </c>
      <c r="BJ92" s="60">
        <v>3210.0</v>
      </c>
      <c r="BK92" s="60">
        <v>3142.0</v>
      </c>
      <c r="BL92" s="60">
        <v>3074.0</v>
      </c>
      <c r="BM92" s="60">
        <v>3006.0</v>
      </c>
      <c r="BN92" s="60">
        <v>2938.0</v>
      </c>
      <c r="BO92" s="60">
        <v>2870.0</v>
      </c>
      <c r="BP92" s="60">
        <v>2802.0</v>
      </c>
      <c r="BQ92" s="60">
        <v>2734.0</v>
      </c>
      <c r="BR92" s="60">
        <v>2666.0</v>
      </c>
      <c r="BS92" s="60">
        <v>2598.0</v>
      </c>
      <c r="BT92" s="60">
        <v>2530.0</v>
      </c>
      <c r="BU92" s="60">
        <v>2462.0</v>
      </c>
      <c r="BV92" s="60">
        <v>2394.0</v>
      </c>
      <c r="BW92" s="60">
        <v>2326.0</v>
      </c>
      <c r="BX92" s="60">
        <v>2258.0</v>
      </c>
      <c r="BY92" s="60">
        <v>2190.0</v>
      </c>
      <c r="BZ92" s="60">
        <v>2122.0</v>
      </c>
      <c r="CA92" s="60">
        <v>2054.0</v>
      </c>
      <c r="CB92" s="60">
        <v>1986.0</v>
      </c>
      <c r="CC92" s="60">
        <v>1918.0</v>
      </c>
      <c r="CD92" s="60">
        <v>1850.0</v>
      </c>
      <c r="CE92" s="60">
        <v>1782.0</v>
      </c>
      <c r="CF92" s="17">
        <v>22.0</v>
      </c>
    </row>
    <row r="93">
      <c r="A93" s="17">
        <v>91.0</v>
      </c>
      <c r="B93" s="60">
        <v>7371.0</v>
      </c>
      <c r="C93" s="60">
        <v>7301.0</v>
      </c>
      <c r="D93" s="60">
        <v>7231.0</v>
      </c>
      <c r="E93" s="60">
        <v>7161.0</v>
      </c>
      <c r="F93" s="60">
        <v>7091.0</v>
      </c>
      <c r="G93" s="60">
        <v>7021.0</v>
      </c>
      <c r="H93" s="60">
        <v>6951.0</v>
      </c>
      <c r="I93" s="60">
        <v>6881.0</v>
      </c>
      <c r="J93" s="60">
        <v>6811.0</v>
      </c>
      <c r="K93" s="60">
        <v>6741.0</v>
      </c>
      <c r="L93" s="60">
        <v>6671.0</v>
      </c>
      <c r="M93" s="60">
        <v>6601.0</v>
      </c>
      <c r="N93" s="60">
        <v>6531.0</v>
      </c>
      <c r="O93" s="60">
        <v>6461.0</v>
      </c>
      <c r="P93" s="60">
        <v>6391.0</v>
      </c>
      <c r="Q93" s="60">
        <v>6321.0</v>
      </c>
      <c r="R93" s="60">
        <v>6251.0</v>
      </c>
      <c r="S93" s="60">
        <v>6181.0</v>
      </c>
      <c r="T93" s="60">
        <v>6111.0</v>
      </c>
      <c r="U93" s="60">
        <v>6041.0</v>
      </c>
      <c r="V93" s="60">
        <v>5971.0</v>
      </c>
      <c r="W93" s="60">
        <v>5901.0</v>
      </c>
      <c r="X93" s="60">
        <v>5831.0</v>
      </c>
      <c r="Y93" s="60">
        <v>5761.0</v>
      </c>
      <c r="Z93" s="60">
        <v>5691.0</v>
      </c>
      <c r="AA93" s="60">
        <v>5621.0</v>
      </c>
      <c r="AB93" s="60">
        <v>5551.0</v>
      </c>
      <c r="AC93" s="60">
        <v>5481.0</v>
      </c>
      <c r="AD93" s="60">
        <v>5411.0</v>
      </c>
      <c r="AE93" s="60">
        <v>5341.0</v>
      </c>
      <c r="AF93" s="60">
        <v>5271.0</v>
      </c>
      <c r="AG93" s="60">
        <v>5201.0</v>
      </c>
      <c r="AH93" s="60">
        <v>5131.0</v>
      </c>
      <c r="AI93" s="60">
        <v>5061.0</v>
      </c>
      <c r="AJ93" s="60">
        <v>4991.0</v>
      </c>
      <c r="AK93" s="60">
        <v>4921.0</v>
      </c>
      <c r="AL93" s="60">
        <v>4851.0</v>
      </c>
      <c r="AM93" s="60">
        <v>4781.0</v>
      </c>
      <c r="AN93" s="60">
        <v>4711.0</v>
      </c>
      <c r="AO93" s="60">
        <v>4641.0</v>
      </c>
      <c r="AP93" s="60">
        <v>4571.0</v>
      </c>
      <c r="AQ93" s="60">
        <v>4501.0</v>
      </c>
      <c r="AR93" s="60">
        <v>4431.0</v>
      </c>
      <c r="AS93" s="60">
        <v>4361.0</v>
      </c>
      <c r="AT93" s="60">
        <v>4291.0</v>
      </c>
      <c r="AU93" s="60">
        <v>4221.0</v>
      </c>
      <c r="AV93" s="60">
        <v>4151.0</v>
      </c>
      <c r="AW93" s="60">
        <v>4081.0</v>
      </c>
      <c r="AX93" s="60">
        <v>4011.0</v>
      </c>
      <c r="AY93" s="60">
        <v>3941.0</v>
      </c>
      <c r="AZ93" s="60">
        <v>3871.0</v>
      </c>
      <c r="BA93" s="60">
        <v>3801.0</v>
      </c>
      <c r="BB93" s="60">
        <v>3731.0</v>
      </c>
      <c r="BC93" s="60">
        <v>3661.0</v>
      </c>
      <c r="BD93" s="60">
        <v>3591.0</v>
      </c>
      <c r="BE93" s="60">
        <v>3521.0</v>
      </c>
      <c r="BF93" s="60">
        <v>3451.0</v>
      </c>
      <c r="BG93" s="60">
        <v>3381.0</v>
      </c>
      <c r="BH93" s="60">
        <v>3311.0</v>
      </c>
      <c r="BI93" s="60">
        <v>3241.0</v>
      </c>
      <c r="BJ93" s="60">
        <v>3171.0</v>
      </c>
      <c r="BK93" s="60">
        <v>3101.0</v>
      </c>
      <c r="BL93" s="60">
        <v>3031.0</v>
      </c>
      <c r="BM93" s="60">
        <v>2961.0</v>
      </c>
      <c r="BN93" s="60">
        <v>2891.0</v>
      </c>
      <c r="BO93" s="60">
        <v>2821.0</v>
      </c>
      <c r="BP93" s="60">
        <v>2751.0</v>
      </c>
      <c r="BQ93" s="60">
        <v>2681.0</v>
      </c>
      <c r="BR93" s="60">
        <v>2611.0</v>
      </c>
      <c r="BS93" s="60">
        <v>2541.0</v>
      </c>
      <c r="BT93" s="60">
        <v>2471.0</v>
      </c>
      <c r="BU93" s="60">
        <v>2401.0</v>
      </c>
      <c r="BV93" s="60">
        <v>2331.0</v>
      </c>
      <c r="BW93" s="60">
        <v>2261.0</v>
      </c>
      <c r="BX93" s="60">
        <v>2191.0</v>
      </c>
      <c r="BY93" s="60">
        <v>2121.0</v>
      </c>
      <c r="BZ93" s="60">
        <v>2051.0</v>
      </c>
      <c r="CA93" s="60">
        <v>1981.0</v>
      </c>
      <c r="CB93" s="60">
        <v>1911.0</v>
      </c>
      <c r="CC93" s="60">
        <v>1841.0</v>
      </c>
      <c r="CD93" s="60">
        <v>1771.0</v>
      </c>
      <c r="CE93" s="60">
        <v>1701.0</v>
      </c>
      <c r="CF93" s="17">
        <v>21.0</v>
      </c>
    </row>
    <row r="94">
      <c r="A94" s="17">
        <v>92.0</v>
      </c>
      <c r="B94" s="60">
        <v>7452.0</v>
      </c>
      <c r="C94" s="60">
        <v>7380.0</v>
      </c>
      <c r="D94" s="60">
        <v>7308.0</v>
      </c>
      <c r="E94" s="60">
        <v>7236.0</v>
      </c>
      <c r="F94" s="60">
        <v>7164.0</v>
      </c>
      <c r="G94" s="60">
        <v>7092.0</v>
      </c>
      <c r="H94" s="60">
        <v>7020.0</v>
      </c>
      <c r="I94" s="60">
        <v>6948.0</v>
      </c>
      <c r="J94" s="60">
        <v>6876.0</v>
      </c>
      <c r="K94" s="60">
        <v>6804.0</v>
      </c>
      <c r="L94" s="60">
        <v>6732.0</v>
      </c>
      <c r="M94" s="60">
        <v>6660.0</v>
      </c>
      <c r="N94" s="60">
        <v>6588.0</v>
      </c>
      <c r="O94" s="60">
        <v>6516.0</v>
      </c>
      <c r="P94" s="60">
        <v>6444.0</v>
      </c>
      <c r="Q94" s="60">
        <v>6372.0</v>
      </c>
      <c r="R94" s="60">
        <v>6300.0</v>
      </c>
      <c r="S94" s="60">
        <v>6228.0</v>
      </c>
      <c r="T94" s="60">
        <v>6156.0</v>
      </c>
      <c r="U94" s="60">
        <v>6084.0</v>
      </c>
      <c r="V94" s="60">
        <v>6012.0</v>
      </c>
      <c r="W94" s="60">
        <v>5940.0</v>
      </c>
      <c r="X94" s="60">
        <v>5868.0</v>
      </c>
      <c r="Y94" s="60">
        <v>5796.0</v>
      </c>
      <c r="Z94" s="60">
        <v>5724.0</v>
      </c>
      <c r="AA94" s="60">
        <v>5652.0</v>
      </c>
      <c r="AB94" s="60">
        <v>5580.0</v>
      </c>
      <c r="AC94" s="60">
        <v>5508.0</v>
      </c>
      <c r="AD94" s="60">
        <v>5436.0</v>
      </c>
      <c r="AE94" s="60">
        <v>5364.0</v>
      </c>
      <c r="AF94" s="60">
        <v>5292.0</v>
      </c>
      <c r="AG94" s="60">
        <v>5220.0</v>
      </c>
      <c r="AH94" s="60">
        <v>5148.0</v>
      </c>
      <c r="AI94" s="60">
        <v>5076.0</v>
      </c>
      <c r="AJ94" s="60">
        <v>5004.0</v>
      </c>
      <c r="AK94" s="60">
        <v>4932.0</v>
      </c>
      <c r="AL94" s="60">
        <v>4860.0</v>
      </c>
      <c r="AM94" s="60">
        <v>4788.0</v>
      </c>
      <c r="AN94" s="60">
        <v>4716.0</v>
      </c>
      <c r="AO94" s="60">
        <v>4644.0</v>
      </c>
      <c r="AP94" s="60">
        <v>4572.0</v>
      </c>
      <c r="AQ94" s="60">
        <v>4500.0</v>
      </c>
      <c r="AR94" s="60">
        <v>4428.0</v>
      </c>
      <c r="AS94" s="60">
        <v>4356.0</v>
      </c>
      <c r="AT94" s="60">
        <v>4284.0</v>
      </c>
      <c r="AU94" s="60">
        <v>4212.0</v>
      </c>
      <c r="AV94" s="60">
        <v>4140.0</v>
      </c>
      <c r="AW94" s="60">
        <v>4068.0</v>
      </c>
      <c r="AX94" s="60">
        <v>3996.0</v>
      </c>
      <c r="AY94" s="60">
        <v>3924.0</v>
      </c>
      <c r="AZ94" s="60">
        <v>3852.0</v>
      </c>
      <c r="BA94" s="60">
        <v>3780.0</v>
      </c>
      <c r="BB94" s="60">
        <v>3708.0</v>
      </c>
      <c r="BC94" s="60">
        <v>3636.0</v>
      </c>
      <c r="BD94" s="60">
        <v>3564.0</v>
      </c>
      <c r="BE94" s="60">
        <v>3492.0</v>
      </c>
      <c r="BF94" s="60">
        <v>3420.0</v>
      </c>
      <c r="BG94" s="60">
        <v>3348.0</v>
      </c>
      <c r="BH94" s="60">
        <v>3276.0</v>
      </c>
      <c r="BI94" s="60">
        <v>3204.0</v>
      </c>
      <c r="BJ94" s="60">
        <v>3132.0</v>
      </c>
      <c r="BK94" s="60">
        <v>3060.0</v>
      </c>
      <c r="BL94" s="60">
        <v>2988.0</v>
      </c>
      <c r="BM94" s="60">
        <v>2916.0</v>
      </c>
      <c r="BN94" s="60">
        <v>2844.0</v>
      </c>
      <c r="BO94" s="60">
        <v>2772.0</v>
      </c>
      <c r="BP94" s="60">
        <v>2700.0</v>
      </c>
      <c r="BQ94" s="60">
        <v>2628.0</v>
      </c>
      <c r="BR94" s="60">
        <v>2556.0</v>
      </c>
      <c r="BS94" s="60">
        <v>2484.0</v>
      </c>
      <c r="BT94" s="60">
        <v>2412.0</v>
      </c>
      <c r="BU94" s="60">
        <v>2340.0</v>
      </c>
      <c r="BV94" s="60">
        <v>2268.0</v>
      </c>
      <c r="BW94" s="60">
        <v>2196.0</v>
      </c>
      <c r="BX94" s="60">
        <v>2124.0</v>
      </c>
      <c r="BY94" s="60">
        <v>2052.0</v>
      </c>
      <c r="BZ94" s="60">
        <v>1980.0</v>
      </c>
      <c r="CA94" s="60">
        <v>1908.0</v>
      </c>
      <c r="CB94" s="60">
        <v>1836.0</v>
      </c>
      <c r="CC94" s="60">
        <v>1764.0</v>
      </c>
      <c r="CD94" s="60">
        <v>1692.0</v>
      </c>
      <c r="CE94" s="60">
        <v>1620.0</v>
      </c>
      <c r="CF94" s="17">
        <v>20.0</v>
      </c>
    </row>
    <row r="95">
      <c r="A95" s="17">
        <v>93.0</v>
      </c>
      <c r="B95" s="60">
        <v>7533.0</v>
      </c>
      <c r="C95" s="60">
        <v>7459.0</v>
      </c>
      <c r="D95" s="60">
        <v>7385.0</v>
      </c>
      <c r="E95" s="60">
        <v>7311.0</v>
      </c>
      <c r="F95" s="60">
        <v>7237.0</v>
      </c>
      <c r="G95" s="60">
        <v>7163.0</v>
      </c>
      <c r="H95" s="60">
        <v>7089.0</v>
      </c>
      <c r="I95" s="60">
        <v>7015.0</v>
      </c>
      <c r="J95" s="60">
        <v>6941.0</v>
      </c>
      <c r="K95" s="60">
        <v>6867.0</v>
      </c>
      <c r="L95" s="60">
        <v>6793.0</v>
      </c>
      <c r="M95" s="60">
        <v>6719.0</v>
      </c>
      <c r="N95" s="60">
        <v>6645.0</v>
      </c>
      <c r="O95" s="60">
        <v>6571.0</v>
      </c>
      <c r="P95" s="60">
        <v>6497.0</v>
      </c>
      <c r="Q95" s="60">
        <v>6423.0</v>
      </c>
      <c r="R95" s="60">
        <v>6349.0</v>
      </c>
      <c r="S95" s="60">
        <v>6275.0</v>
      </c>
      <c r="T95" s="60">
        <v>6201.0</v>
      </c>
      <c r="U95" s="60">
        <v>6127.0</v>
      </c>
      <c r="V95" s="60">
        <v>6053.0</v>
      </c>
      <c r="W95" s="60">
        <v>5979.0</v>
      </c>
      <c r="X95" s="60">
        <v>5905.0</v>
      </c>
      <c r="Y95" s="60">
        <v>5831.0</v>
      </c>
      <c r="Z95" s="60">
        <v>5757.0</v>
      </c>
      <c r="AA95" s="60">
        <v>5683.0</v>
      </c>
      <c r="AB95" s="60">
        <v>5609.0</v>
      </c>
      <c r="AC95" s="60">
        <v>5535.0</v>
      </c>
      <c r="AD95" s="60">
        <v>5461.0</v>
      </c>
      <c r="AE95" s="60">
        <v>5387.0</v>
      </c>
      <c r="AF95" s="60">
        <v>5313.0</v>
      </c>
      <c r="AG95" s="60">
        <v>5239.0</v>
      </c>
      <c r="AH95" s="60">
        <v>5165.0</v>
      </c>
      <c r="AI95" s="60">
        <v>5091.0</v>
      </c>
      <c r="AJ95" s="60">
        <v>5017.0</v>
      </c>
      <c r="AK95" s="60">
        <v>4943.0</v>
      </c>
      <c r="AL95" s="60">
        <v>4869.0</v>
      </c>
      <c r="AM95" s="60">
        <v>4795.0</v>
      </c>
      <c r="AN95" s="60">
        <v>4721.0</v>
      </c>
      <c r="AO95" s="60">
        <v>4647.0</v>
      </c>
      <c r="AP95" s="60">
        <v>4573.0</v>
      </c>
      <c r="AQ95" s="60">
        <v>4499.0</v>
      </c>
      <c r="AR95" s="60">
        <v>4425.0</v>
      </c>
      <c r="AS95" s="60">
        <v>4351.0</v>
      </c>
      <c r="AT95" s="60">
        <v>4277.0</v>
      </c>
      <c r="AU95" s="60">
        <v>4203.0</v>
      </c>
      <c r="AV95" s="60">
        <v>4129.0</v>
      </c>
      <c r="AW95" s="60">
        <v>4055.0</v>
      </c>
      <c r="AX95" s="60">
        <v>3981.0</v>
      </c>
      <c r="AY95" s="60">
        <v>3907.0</v>
      </c>
      <c r="AZ95" s="60">
        <v>3833.0</v>
      </c>
      <c r="BA95" s="60">
        <v>3759.0</v>
      </c>
      <c r="BB95" s="60">
        <v>3685.0</v>
      </c>
      <c r="BC95" s="60">
        <v>3611.0</v>
      </c>
      <c r="BD95" s="60">
        <v>3537.0</v>
      </c>
      <c r="BE95" s="60">
        <v>3463.0</v>
      </c>
      <c r="BF95" s="60">
        <v>3389.0</v>
      </c>
      <c r="BG95" s="60">
        <v>3315.0</v>
      </c>
      <c r="BH95" s="60">
        <v>3241.0</v>
      </c>
      <c r="BI95" s="60">
        <v>3167.0</v>
      </c>
      <c r="BJ95" s="60">
        <v>3093.0</v>
      </c>
      <c r="BK95" s="60">
        <v>3019.0</v>
      </c>
      <c r="BL95" s="60">
        <v>2945.0</v>
      </c>
      <c r="BM95" s="60">
        <v>2871.0</v>
      </c>
      <c r="BN95" s="60">
        <v>2797.0</v>
      </c>
      <c r="BO95" s="60">
        <v>2723.0</v>
      </c>
      <c r="BP95" s="60">
        <v>2649.0</v>
      </c>
      <c r="BQ95" s="60">
        <v>2575.0</v>
      </c>
      <c r="BR95" s="60">
        <v>2501.0</v>
      </c>
      <c r="BS95" s="60">
        <v>2427.0</v>
      </c>
      <c r="BT95" s="60">
        <v>2353.0</v>
      </c>
      <c r="BU95" s="60">
        <v>2279.0</v>
      </c>
      <c r="BV95" s="60">
        <v>2205.0</v>
      </c>
      <c r="BW95" s="60">
        <v>2131.0</v>
      </c>
      <c r="BX95" s="60">
        <v>2057.0</v>
      </c>
      <c r="BY95" s="60">
        <v>1983.0</v>
      </c>
      <c r="BZ95" s="60">
        <v>1909.0</v>
      </c>
      <c r="CA95" s="60">
        <v>1835.0</v>
      </c>
      <c r="CB95" s="60">
        <v>1761.0</v>
      </c>
      <c r="CC95" s="60">
        <v>1687.0</v>
      </c>
      <c r="CD95" s="60">
        <v>1613.0</v>
      </c>
      <c r="CE95" s="60">
        <v>1539.0</v>
      </c>
      <c r="CF95" s="17">
        <v>19.0</v>
      </c>
    </row>
    <row r="96">
      <c r="A96" s="17">
        <v>94.0</v>
      </c>
      <c r="B96" s="60">
        <v>7614.0</v>
      </c>
      <c r="C96" s="60">
        <v>7538.0</v>
      </c>
      <c r="D96" s="60">
        <v>7462.0</v>
      </c>
      <c r="E96" s="60">
        <v>7386.0</v>
      </c>
      <c r="F96" s="60">
        <v>7310.0</v>
      </c>
      <c r="G96" s="60">
        <v>7234.0</v>
      </c>
      <c r="H96" s="60">
        <v>7158.0</v>
      </c>
      <c r="I96" s="60">
        <v>7082.0</v>
      </c>
      <c r="J96" s="60">
        <v>7006.0</v>
      </c>
      <c r="K96" s="60">
        <v>6930.0</v>
      </c>
      <c r="L96" s="60">
        <v>6854.0</v>
      </c>
      <c r="M96" s="60">
        <v>6778.0</v>
      </c>
      <c r="N96" s="60">
        <v>6702.0</v>
      </c>
      <c r="O96" s="60">
        <v>6626.0</v>
      </c>
      <c r="P96" s="60">
        <v>6550.0</v>
      </c>
      <c r="Q96" s="60">
        <v>6474.0</v>
      </c>
      <c r="R96" s="60">
        <v>6398.0</v>
      </c>
      <c r="S96" s="60">
        <v>6322.0</v>
      </c>
      <c r="T96" s="60">
        <v>6246.0</v>
      </c>
      <c r="U96" s="60">
        <v>6170.0</v>
      </c>
      <c r="V96" s="60">
        <v>6094.0</v>
      </c>
      <c r="W96" s="60">
        <v>6018.0</v>
      </c>
      <c r="X96" s="60">
        <v>5942.0</v>
      </c>
      <c r="Y96" s="60">
        <v>5866.0</v>
      </c>
      <c r="Z96" s="60">
        <v>5790.0</v>
      </c>
      <c r="AA96" s="60">
        <v>5714.0</v>
      </c>
      <c r="AB96" s="60">
        <v>5638.0</v>
      </c>
      <c r="AC96" s="60">
        <v>5562.0</v>
      </c>
      <c r="AD96" s="60">
        <v>5486.0</v>
      </c>
      <c r="AE96" s="60">
        <v>5410.0</v>
      </c>
      <c r="AF96" s="60">
        <v>5334.0</v>
      </c>
      <c r="AG96" s="60">
        <v>5258.0</v>
      </c>
      <c r="AH96" s="60">
        <v>5182.0</v>
      </c>
      <c r="AI96" s="60">
        <v>5106.0</v>
      </c>
      <c r="AJ96" s="60">
        <v>5030.0</v>
      </c>
      <c r="AK96" s="60">
        <v>4954.0</v>
      </c>
      <c r="AL96" s="60">
        <v>4878.0</v>
      </c>
      <c r="AM96" s="60">
        <v>4802.0</v>
      </c>
      <c r="AN96" s="60">
        <v>4726.0</v>
      </c>
      <c r="AO96" s="60">
        <v>4650.0</v>
      </c>
      <c r="AP96" s="60">
        <v>4574.0</v>
      </c>
      <c r="AQ96" s="60">
        <v>4498.0</v>
      </c>
      <c r="AR96" s="60">
        <v>4422.0</v>
      </c>
      <c r="AS96" s="60">
        <v>4346.0</v>
      </c>
      <c r="AT96" s="60">
        <v>4270.0</v>
      </c>
      <c r="AU96" s="60">
        <v>4194.0</v>
      </c>
      <c r="AV96" s="60">
        <v>4118.0</v>
      </c>
      <c r="AW96" s="60">
        <v>4042.0</v>
      </c>
      <c r="AX96" s="60">
        <v>3966.0</v>
      </c>
      <c r="AY96" s="60">
        <v>3890.0</v>
      </c>
      <c r="AZ96" s="60">
        <v>3814.0</v>
      </c>
      <c r="BA96" s="60">
        <v>3738.0</v>
      </c>
      <c r="BB96" s="60">
        <v>3662.0</v>
      </c>
      <c r="BC96" s="60">
        <v>3586.0</v>
      </c>
      <c r="BD96" s="60">
        <v>3510.0</v>
      </c>
      <c r="BE96" s="60">
        <v>3434.0</v>
      </c>
      <c r="BF96" s="60">
        <v>3358.0</v>
      </c>
      <c r="BG96" s="60">
        <v>3282.0</v>
      </c>
      <c r="BH96" s="60">
        <v>3206.0</v>
      </c>
      <c r="BI96" s="60">
        <v>3130.0</v>
      </c>
      <c r="BJ96" s="60">
        <v>3054.0</v>
      </c>
      <c r="BK96" s="60">
        <v>2978.0</v>
      </c>
      <c r="BL96" s="60">
        <v>2902.0</v>
      </c>
      <c r="BM96" s="60">
        <v>2826.0</v>
      </c>
      <c r="BN96" s="60">
        <v>2750.0</v>
      </c>
      <c r="BO96" s="60">
        <v>2674.0</v>
      </c>
      <c r="BP96" s="60">
        <v>2598.0</v>
      </c>
      <c r="BQ96" s="60">
        <v>2522.0</v>
      </c>
      <c r="BR96" s="60">
        <v>2446.0</v>
      </c>
      <c r="BS96" s="60">
        <v>2370.0</v>
      </c>
      <c r="BT96" s="60">
        <v>2294.0</v>
      </c>
      <c r="BU96" s="60">
        <v>2218.0</v>
      </c>
      <c r="BV96" s="60">
        <v>2142.0</v>
      </c>
      <c r="BW96" s="60">
        <v>2066.0</v>
      </c>
      <c r="BX96" s="60">
        <v>1990.0</v>
      </c>
      <c r="BY96" s="60">
        <v>1914.0</v>
      </c>
      <c r="BZ96" s="60">
        <v>1838.0</v>
      </c>
      <c r="CA96" s="60">
        <v>1762.0</v>
      </c>
      <c r="CB96" s="60">
        <v>1686.0</v>
      </c>
      <c r="CC96" s="60">
        <v>1610.0</v>
      </c>
      <c r="CD96" s="60">
        <v>1534.0</v>
      </c>
      <c r="CE96" s="60">
        <v>1458.0</v>
      </c>
      <c r="CF96" s="17">
        <v>18.0</v>
      </c>
    </row>
    <row r="97">
      <c r="A97" s="17">
        <v>95.0</v>
      </c>
      <c r="B97" s="60">
        <v>7695.0</v>
      </c>
      <c r="C97" s="60">
        <v>7617.0</v>
      </c>
      <c r="D97" s="60">
        <v>7539.0</v>
      </c>
      <c r="E97" s="60">
        <v>7461.0</v>
      </c>
      <c r="F97" s="60">
        <v>7383.0</v>
      </c>
      <c r="G97" s="60">
        <v>7305.0</v>
      </c>
      <c r="H97" s="60">
        <v>7227.0</v>
      </c>
      <c r="I97" s="60">
        <v>7149.0</v>
      </c>
      <c r="J97" s="60">
        <v>7071.0</v>
      </c>
      <c r="K97" s="60">
        <v>6993.0</v>
      </c>
      <c r="L97" s="60">
        <v>6915.0</v>
      </c>
      <c r="M97" s="60">
        <v>6837.0</v>
      </c>
      <c r="N97" s="60">
        <v>6759.0</v>
      </c>
      <c r="O97" s="60">
        <v>6681.0</v>
      </c>
      <c r="P97" s="60">
        <v>6603.0</v>
      </c>
      <c r="Q97" s="60">
        <v>6525.0</v>
      </c>
      <c r="R97" s="60">
        <v>6447.0</v>
      </c>
      <c r="S97" s="60">
        <v>6369.0</v>
      </c>
      <c r="T97" s="60">
        <v>6291.0</v>
      </c>
      <c r="U97" s="60">
        <v>6213.0</v>
      </c>
      <c r="V97" s="60">
        <v>6135.0</v>
      </c>
      <c r="W97" s="60">
        <v>6057.0</v>
      </c>
      <c r="X97" s="60">
        <v>5979.0</v>
      </c>
      <c r="Y97" s="60">
        <v>5901.0</v>
      </c>
      <c r="Z97" s="60">
        <v>5823.0</v>
      </c>
      <c r="AA97" s="60">
        <v>5745.0</v>
      </c>
      <c r="AB97" s="60">
        <v>5667.0</v>
      </c>
      <c r="AC97" s="60">
        <v>5589.0</v>
      </c>
      <c r="AD97" s="60">
        <v>5511.0</v>
      </c>
      <c r="AE97" s="60">
        <v>5433.0</v>
      </c>
      <c r="AF97" s="60">
        <v>5355.0</v>
      </c>
      <c r="AG97" s="60">
        <v>5277.0</v>
      </c>
      <c r="AH97" s="60">
        <v>5199.0</v>
      </c>
      <c r="AI97" s="60">
        <v>5121.0</v>
      </c>
      <c r="AJ97" s="60">
        <v>5043.0</v>
      </c>
      <c r="AK97" s="60">
        <v>4965.0</v>
      </c>
      <c r="AL97" s="60">
        <v>4887.0</v>
      </c>
      <c r="AM97" s="60">
        <v>4809.0</v>
      </c>
      <c r="AN97" s="60">
        <v>4731.0</v>
      </c>
      <c r="AO97" s="60">
        <v>4653.0</v>
      </c>
      <c r="AP97" s="60">
        <v>4575.0</v>
      </c>
      <c r="AQ97" s="60">
        <v>4497.0</v>
      </c>
      <c r="AR97" s="60">
        <v>4419.0</v>
      </c>
      <c r="AS97" s="60">
        <v>4341.0</v>
      </c>
      <c r="AT97" s="60">
        <v>4263.0</v>
      </c>
      <c r="AU97" s="60">
        <v>4185.0</v>
      </c>
      <c r="AV97" s="60">
        <v>4107.0</v>
      </c>
      <c r="AW97" s="60">
        <v>4029.0</v>
      </c>
      <c r="AX97" s="60">
        <v>3951.0</v>
      </c>
      <c r="AY97" s="60">
        <v>3873.0</v>
      </c>
      <c r="AZ97" s="60">
        <v>3795.0</v>
      </c>
      <c r="BA97" s="60">
        <v>3717.0</v>
      </c>
      <c r="BB97" s="60">
        <v>3639.0</v>
      </c>
      <c r="BC97" s="60">
        <v>3561.0</v>
      </c>
      <c r="BD97" s="60">
        <v>3483.0</v>
      </c>
      <c r="BE97" s="60">
        <v>3405.0</v>
      </c>
      <c r="BF97" s="60">
        <v>3327.0</v>
      </c>
      <c r="BG97" s="60">
        <v>3249.0</v>
      </c>
      <c r="BH97" s="60">
        <v>3171.0</v>
      </c>
      <c r="BI97" s="60">
        <v>3093.0</v>
      </c>
      <c r="BJ97" s="60">
        <v>3015.0</v>
      </c>
      <c r="BK97" s="60">
        <v>2937.0</v>
      </c>
      <c r="BL97" s="60">
        <v>2859.0</v>
      </c>
      <c r="BM97" s="60">
        <v>2781.0</v>
      </c>
      <c r="BN97" s="60">
        <v>2703.0</v>
      </c>
      <c r="BO97" s="60">
        <v>2625.0</v>
      </c>
      <c r="BP97" s="60">
        <v>2547.0</v>
      </c>
      <c r="BQ97" s="60">
        <v>2469.0</v>
      </c>
      <c r="BR97" s="60">
        <v>2391.0</v>
      </c>
      <c r="BS97" s="60">
        <v>2313.0</v>
      </c>
      <c r="BT97" s="60">
        <v>2235.0</v>
      </c>
      <c r="BU97" s="60">
        <v>2157.0</v>
      </c>
      <c r="BV97" s="60">
        <v>2079.0</v>
      </c>
      <c r="BW97" s="60">
        <v>2001.0</v>
      </c>
      <c r="BX97" s="60">
        <v>1923.0</v>
      </c>
      <c r="BY97" s="60">
        <v>1845.0</v>
      </c>
      <c r="BZ97" s="60">
        <v>1767.0</v>
      </c>
      <c r="CA97" s="60">
        <v>1689.0</v>
      </c>
      <c r="CB97" s="60">
        <v>1611.0</v>
      </c>
      <c r="CC97" s="60">
        <v>1533.0</v>
      </c>
      <c r="CD97" s="60">
        <v>1455.0</v>
      </c>
      <c r="CE97" s="60">
        <v>1377.0</v>
      </c>
      <c r="CF97" s="17">
        <v>17.0</v>
      </c>
    </row>
    <row r="98">
      <c r="A98" s="17">
        <v>96.0</v>
      </c>
      <c r="B98" s="60">
        <v>7776.0</v>
      </c>
      <c r="C98" s="60">
        <v>7696.0</v>
      </c>
      <c r="D98" s="60">
        <v>7616.0</v>
      </c>
      <c r="E98" s="60">
        <v>7536.0</v>
      </c>
      <c r="F98" s="60">
        <v>7456.0</v>
      </c>
      <c r="G98" s="60">
        <v>7376.0</v>
      </c>
      <c r="H98" s="60">
        <v>7296.0</v>
      </c>
      <c r="I98" s="60">
        <v>7216.0</v>
      </c>
      <c r="J98" s="60">
        <v>7136.0</v>
      </c>
      <c r="K98" s="60">
        <v>7056.0</v>
      </c>
      <c r="L98" s="60">
        <v>6976.0</v>
      </c>
      <c r="M98" s="60">
        <v>6896.0</v>
      </c>
      <c r="N98" s="60">
        <v>6816.0</v>
      </c>
      <c r="O98" s="60">
        <v>6736.0</v>
      </c>
      <c r="P98" s="60">
        <v>6656.0</v>
      </c>
      <c r="Q98" s="60">
        <v>6576.0</v>
      </c>
      <c r="R98" s="60">
        <v>6496.0</v>
      </c>
      <c r="S98" s="60">
        <v>6416.0</v>
      </c>
      <c r="T98" s="60">
        <v>6336.0</v>
      </c>
      <c r="U98" s="60">
        <v>6256.0</v>
      </c>
      <c r="V98" s="60">
        <v>6176.0</v>
      </c>
      <c r="W98" s="60">
        <v>6096.0</v>
      </c>
      <c r="X98" s="60">
        <v>6016.0</v>
      </c>
      <c r="Y98" s="60">
        <v>5936.0</v>
      </c>
      <c r="Z98" s="60">
        <v>5856.0</v>
      </c>
      <c r="AA98" s="60">
        <v>5776.0</v>
      </c>
      <c r="AB98" s="60">
        <v>5696.0</v>
      </c>
      <c r="AC98" s="60">
        <v>5616.0</v>
      </c>
      <c r="AD98" s="60">
        <v>5536.0</v>
      </c>
      <c r="AE98" s="60">
        <v>5456.0</v>
      </c>
      <c r="AF98" s="60">
        <v>5376.0</v>
      </c>
      <c r="AG98" s="60">
        <v>5296.0</v>
      </c>
      <c r="AH98" s="60">
        <v>5216.0</v>
      </c>
      <c r="AI98" s="60">
        <v>5136.0</v>
      </c>
      <c r="AJ98" s="60">
        <v>5056.0</v>
      </c>
      <c r="AK98" s="60">
        <v>4976.0</v>
      </c>
      <c r="AL98" s="60">
        <v>4896.0</v>
      </c>
      <c r="AM98" s="60">
        <v>4816.0</v>
      </c>
      <c r="AN98" s="60">
        <v>4736.0</v>
      </c>
      <c r="AO98" s="60">
        <v>4656.0</v>
      </c>
      <c r="AP98" s="60">
        <v>4576.0</v>
      </c>
      <c r="AQ98" s="60">
        <v>4496.0</v>
      </c>
      <c r="AR98" s="60">
        <v>4416.0</v>
      </c>
      <c r="AS98" s="60">
        <v>4336.0</v>
      </c>
      <c r="AT98" s="60">
        <v>4256.0</v>
      </c>
      <c r="AU98" s="60">
        <v>4176.0</v>
      </c>
      <c r="AV98" s="60">
        <v>4096.0</v>
      </c>
      <c r="AW98" s="60">
        <v>4016.0</v>
      </c>
      <c r="AX98" s="60">
        <v>3936.0</v>
      </c>
      <c r="AY98" s="60">
        <v>3856.0</v>
      </c>
      <c r="AZ98" s="60">
        <v>3776.0</v>
      </c>
      <c r="BA98" s="60">
        <v>3696.0</v>
      </c>
      <c r="BB98" s="60">
        <v>3616.0</v>
      </c>
      <c r="BC98" s="60">
        <v>3536.0</v>
      </c>
      <c r="BD98" s="60">
        <v>3456.0</v>
      </c>
      <c r="BE98" s="60">
        <v>3376.0</v>
      </c>
      <c r="BF98" s="60">
        <v>3296.0</v>
      </c>
      <c r="BG98" s="60">
        <v>3216.0</v>
      </c>
      <c r="BH98" s="60">
        <v>3136.0</v>
      </c>
      <c r="BI98" s="60">
        <v>3056.0</v>
      </c>
      <c r="BJ98" s="60">
        <v>2976.0</v>
      </c>
      <c r="BK98" s="60">
        <v>2896.0</v>
      </c>
      <c r="BL98" s="60">
        <v>2816.0</v>
      </c>
      <c r="BM98" s="60">
        <v>2736.0</v>
      </c>
      <c r="BN98" s="60">
        <v>2656.0</v>
      </c>
      <c r="BO98" s="60">
        <v>2576.0</v>
      </c>
      <c r="BP98" s="60">
        <v>2496.0</v>
      </c>
      <c r="BQ98" s="60">
        <v>2416.0</v>
      </c>
      <c r="BR98" s="60">
        <v>2336.0</v>
      </c>
      <c r="BS98" s="60">
        <v>2256.0</v>
      </c>
      <c r="BT98" s="60">
        <v>2176.0</v>
      </c>
      <c r="BU98" s="60">
        <v>2096.0</v>
      </c>
      <c r="BV98" s="60">
        <v>2016.0</v>
      </c>
      <c r="BW98" s="60">
        <v>1936.0</v>
      </c>
      <c r="BX98" s="60">
        <v>1856.0</v>
      </c>
      <c r="BY98" s="60">
        <v>1776.0</v>
      </c>
      <c r="BZ98" s="60">
        <v>1696.0</v>
      </c>
      <c r="CA98" s="60">
        <v>1616.0</v>
      </c>
      <c r="CB98" s="60">
        <v>1536.0</v>
      </c>
      <c r="CC98" s="60">
        <v>1456.0</v>
      </c>
      <c r="CD98" s="60">
        <v>1376.0</v>
      </c>
      <c r="CE98" s="60">
        <v>1296.0</v>
      </c>
      <c r="CF98" s="17">
        <v>16.0</v>
      </c>
    </row>
    <row r="99">
      <c r="A99" s="17">
        <v>97.0</v>
      </c>
      <c r="B99" s="60">
        <v>7857.0</v>
      </c>
      <c r="C99" s="60">
        <v>7775.0</v>
      </c>
      <c r="D99" s="60">
        <v>7693.0</v>
      </c>
      <c r="E99" s="60">
        <v>7611.0</v>
      </c>
      <c r="F99" s="60">
        <v>7529.0</v>
      </c>
      <c r="G99" s="60">
        <v>7447.0</v>
      </c>
      <c r="H99" s="60">
        <v>7365.0</v>
      </c>
      <c r="I99" s="60">
        <v>7283.0</v>
      </c>
      <c r="J99" s="60">
        <v>7201.0</v>
      </c>
      <c r="K99" s="60">
        <v>7119.0</v>
      </c>
      <c r="L99" s="60">
        <v>7037.0</v>
      </c>
      <c r="M99" s="60">
        <v>6955.0</v>
      </c>
      <c r="N99" s="60">
        <v>6873.0</v>
      </c>
      <c r="O99" s="60">
        <v>6791.0</v>
      </c>
      <c r="P99" s="60">
        <v>6709.0</v>
      </c>
      <c r="Q99" s="60">
        <v>6627.0</v>
      </c>
      <c r="R99" s="60">
        <v>6545.0</v>
      </c>
      <c r="S99" s="60">
        <v>6463.0</v>
      </c>
      <c r="T99" s="60">
        <v>6381.0</v>
      </c>
      <c r="U99" s="60">
        <v>6299.0</v>
      </c>
      <c r="V99" s="60">
        <v>6217.0</v>
      </c>
      <c r="W99" s="60">
        <v>6135.0</v>
      </c>
      <c r="X99" s="60">
        <v>6053.0</v>
      </c>
      <c r="Y99" s="60">
        <v>5971.0</v>
      </c>
      <c r="Z99" s="60">
        <v>5889.0</v>
      </c>
      <c r="AA99" s="60">
        <v>5807.0</v>
      </c>
      <c r="AB99" s="60">
        <v>5725.0</v>
      </c>
      <c r="AC99" s="60">
        <v>5643.0</v>
      </c>
      <c r="AD99" s="60">
        <v>5561.0</v>
      </c>
      <c r="AE99" s="60">
        <v>5479.0</v>
      </c>
      <c r="AF99" s="60">
        <v>5397.0</v>
      </c>
      <c r="AG99" s="60">
        <v>5315.0</v>
      </c>
      <c r="AH99" s="60">
        <v>5233.0</v>
      </c>
      <c r="AI99" s="60">
        <v>5151.0</v>
      </c>
      <c r="AJ99" s="60">
        <v>5069.0</v>
      </c>
      <c r="AK99" s="60">
        <v>4987.0</v>
      </c>
      <c r="AL99" s="60">
        <v>4905.0</v>
      </c>
      <c r="AM99" s="60">
        <v>4823.0</v>
      </c>
      <c r="AN99" s="60">
        <v>4741.0</v>
      </c>
      <c r="AO99" s="60">
        <v>4659.0</v>
      </c>
      <c r="AP99" s="60">
        <v>4577.0</v>
      </c>
      <c r="AQ99" s="60">
        <v>4495.0</v>
      </c>
      <c r="AR99" s="60">
        <v>4413.0</v>
      </c>
      <c r="AS99" s="60">
        <v>4331.0</v>
      </c>
      <c r="AT99" s="60">
        <v>4249.0</v>
      </c>
      <c r="AU99" s="60">
        <v>4167.0</v>
      </c>
      <c r="AV99" s="60">
        <v>4085.0</v>
      </c>
      <c r="AW99" s="60">
        <v>4003.0</v>
      </c>
      <c r="AX99" s="60">
        <v>3921.0</v>
      </c>
      <c r="AY99" s="60">
        <v>3839.0</v>
      </c>
      <c r="AZ99" s="60">
        <v>3757.0</v>
      </c>
      <c r="BA99" s="60">
        <v>3675.0</v>
      </c>
      <c r="BB99" s="60">
        <v>3593.0</v>
      </c>
      <c r="BC99" s="60">
        <v>3511.0</v>
      </c>
      <c r="BD99" s="60">
        <v>3429.0</v>
      </c>
      <c r="BE99" s="60">
        <v>3347.0</v>
      </c>
      <c r="BF99" s="60">
        <v>3265.0</v>
      </c>
      <c r="BG99" s="60">
        <v>3183.0</v>
      </c>
      <c r="BH99" s="60">
        <v>3101.0</v>
      </c>
      <c r="BI99" s="60">
        <v>3019.0</v>
      </c>
      <c r="BJ99" s="60">
        <v>2937.0</v>
      </c>
      <c r="BK99" s="60">
        <v>2855.0</v>
      </c>
      <c r="BL99" s="60">
        <v>2773.0</v>
      </c>
      <c r="BM99" s="60">
        <v>2691.0</v>
      </c>
      <c r="BN99" s="60">
        <v>2609.0</v>
      </c>
      <c r="BO99" s="60">
        <v>2527.0</v>
      </c>
      <c r="BP99" s="60">
        <v>2445.0</v>
      </c>
      <c r="BQ99" s="60">
        <v>2363.0</v>
      </c>
      <c r="BR99" s="60">
        <v>2281.0</v>
      </c>
      <c r="BS99" s="60">
        <v>2199.0</v>
      </c>
      <c r="BT99" s="60">
        <v>2117.0</v>
      </c>
      <c r="BU99" s="60">
        <v>2035.0</v>
      </c>
      <c r="BV99" s="60">
        <v>1953.0</v>
      </c>
      <c r="BW99" s="60">
        <v>1871.0</v>
      </c>
      <c r="BX99" s="60">
        <v>1789.0</v>
      </c>
      <c r="BY99" s="60">
        <v>1707.0</v>
      </c>
      <c r="BZ99" s="60">
        <v>1625.0</v>
      </c>
      <c r="CA99" s="60">
        <v>1543.0</v>
      </c>
      <c r="CB99" s="60">
        <v>1461.0</v>
      </c>
      <c r="CC99" s="60">
        <v>1379.0</v>
      </c>
      <c r="CD99" s="60">
        <v>1297.0</v>
      </c>
      <c r="CE99" s="60">
        <v>1215.0</v>
      </c>
      <c r="CF99" s="17">
        <v>15.0</v>
      </c>
    </row>
    <row r="100">
      <c r="A100" s="17">
        <v>98.0</v>
      </c>
      <c r="B100" s="60">
        <v>7938.0</v>
      </c>
      <c r="C100" s="60">
        <v>7854.0</v>
      </c>
      <c r="D100" s="60">
        <v>7770.0</v>
      </c>
      <c r="E100" s="60">
        <v>7686.0</v>
      </c>
      <c r="F100" s="60">
        <v>7602.0</v>
      </c>
      <c r="G100" s="60">
        <v>7518.0</v>
      </c>
      <c r="H100" s="60">
        <v>7434.0</v>
      </c>
      <c r="I100" s="60">
        <v>7350.0</v>
      </c>
      <c r="J100" s="60">
        <v>7266.0</v>
      </c>
      <c r="K100" s="60">
        <v>7182.0</v>
      </c>
      <c r="L100" s="60">
        <v>7098.0</v>
      </c>
      <c r="M100" s="60">
        <v>7014.0</v>
      </c>
      <c r="N100" s="60">
        <v>6930.0</v>
      </c>
      <c r="O100" s="60">
        <v>6846.0</v>
      </c>
      <c r="P100" s="60">
        <v>6762.0</v>
      </c>
      <c r="Q100" s="60">
        <v>6678.0</v>
      </c>
      <c r="R100" s="60">
        <v>6594.0</v>
      </c>
      <c r="S100" s="60">
        <v>6510.0</v>
      </c>
      <c r="T100" s="60">
        <v>6426.0</v>
      </c>
      <c r="U100" s="60">
        <v>6342.0</v>
      </c>
      <c r="V100" s="60">
        <v>6258.0</v>
      </c>
      <c r="W100" s="60">
        <v>6174.0</v>
      </c>
      <c r="X100" s="60">
        <v>6090.0</v>
      </c>
      <c r="Y100" s="60">
        <v>6006.0</v>
      </c>
      <c r="Z100" s="60">
        <v>5922.0</v>
      </c>
      <c r="AA100" s="60">
        <v>5838.0</v>
      </c>
      <c r="AB100" s="60">
        <v>5754.0</v>
      </c>
      <c r="AC100" s="60">
        <v>5670.0</v>
      </c>
      <c r="AD100" s="60">
        <v>5586.0</v>
      </c>
      <c r="AE100" s="60">
        <v>5502.0</v>
      </c>
      <c r="AF100" s="60">
        <v>5418.0</v>
      </c>
      <c r="AG100" s="60">
        <v>5334.0</v>
      </c>
      <c r="AH100" s="60">
        <v>5250.0</v>
      </c>
      <c r="AI100" s="60">
        <v>5166.0</v>
      </c>
      <c r="AJ100" s="60">
        <v>5082.0</v>
      </c>
      <c r="AK100" s="60">
        <v>4998.0</v>
      </c>
      <c r="AL100" s="60">
        <v>4914.0</v>
      </c>
      <c r="AM100" s="60">
        <v>4830.0</v>
      </c>
      <c r="AN100" s="60">
        <v>4746.0</v>
      </c>
      <c r="AO100" s="60">
        <v>4662.0</v>
      </c>
      <c r="AP100" s="60">
        <v>4578.0</v>
      </c>
      <c r="AQ100" s="60">
        <v>4494.0</v>
      </c>
      <c r="AR100" s="60">
        <v>4410.0</v>
      </c>
      <c r="AS100" s="60">
        <v>4326.0</v>
      </c>
      <c r="AT100" s="60">
        <v>4242.0</v>
      </c>
      <c r="AU100" s="60">
        <v>4158.0</v>
      </c>
      <c r="AV100" s="60">
        <v>4074.0</v>
      </c>
      <c r="AW100" s="60">
        <v>3990.0</v>
      </c>
      <c r="AX100" s="60">
        <v>3906.0</v>
      </c>
      <c r="AY100" s="60">
        <v>3822.0</v>
      </c>
      <c r="AZ100" s="60">
        <v>3738.0</v>
      </c>
      <c r="BA100" s="60">
        <v>3654.0</v>
      </c>
      <c r="BB100" s="60">
        <v>3570.0</v>
      </c>
      <c r="BC100" s="60">
        <v>3486.0</v>
      </c>
      <c r="BD100" s="60">
        <v>3402.0</v>
      </c>
      <c r="BE100" s="60">
        <v>3318.0</v>
      </c>
      <c r="BF100" s="60">
        <v>3234.0</v>
      </c>
      <c r="BG100" s="60">
        <v>3150.0</v>
      </c>
      <c r="BH100" s="60">
        <v>3066.0</v>
      </c>
      <c r="BI100" s="60">
        <v>2982.0</v>
      </c>
      <c r="BJ100" s="60">
        <v>2898.0</v>
      </c>
      <c r="BK100" s="60">
        <v>2814.0</v>
      </c>
      <c r="BL100" s="60">
        <v>2730.0</v>
      </c>
      <c r="BM100" s="60">
        <v>2646.0</v>
      </c>
      <c r="BN100" s="60">
        <v>2562.0</v>
      </c>
      <c r="BO100" s="60">
        <v>2478.0</v>
      </c>
      <c r="BP100" s="60">
        <v>2394.0</v>
      </c>
      <c r="BQ100" s="60">
        <v>2310.0</v>
      </c>
      <c r="BR100" s="60">
        <v>2226.0</v>
      </c>
      <c r="BS100" s="60">
        <v>2142.0</v>
      </c>
      <c r="BT100" s="60">
        <v>2058.0</v>
      </c>
      <c r="BU100" s="60">
        <v>1974.0</v>
      </c>
      <c r="BV100" s="60">
        <v>1890.0</v>
      </c>
      <c r="BW100" s="60">
        <v>1806.0</v>
      </c>
      <c r="BX100" s="60">
        <v>1722.0</v>
      </c>
      <c r="BY100" s="60">
        <v>1638.0</v>
      </c>
      <c r="BZ100" s="60">
        <v>1554.0</v>
      </c>
      <c r="CA100" s="60">
        <v>1470.0</v>
      </c>
      <c r="CB100" s="60">
        <v>1386.0</v>
      </c>
      <c r="CC100" s="60">
        <v>1302.0</v>
      </c>
      <c r="CD100" s="60">
        <v>1218.0</v>
      </c>
      <c r="CE100" s="60">
        <v>1134.0</v>
      </c>
      <c r="CF100" s="17">
        <v>14.0</v>
      </c>
    </row>
    <row r="101">
      <c r="A101" s="17">
        <v>99.0</v>
      </c>
      <c r="B101" s="60">
        <v>8019.0</v>
      </c>
      <c r="C101" s="60">
        <v>7933.0</v>
      </c>
      <c r="D101" s="60">
        <v>7847.0</v>
      </c>
      <c r="E101" s="60">
        <v>7761.0</v>
      </c>
      <c r="F101" s="60">
        <v>7675.0</v>
      </c>
      <c r="G101" s="60">
        <v>7589.0</v>
      </c>
      <c r="H101" s="60">
        <v>7503.0</v>
      </c>
      <c r="I101" s="60">
        <v>7417.0</v>
      </c>
      <c r="J101" s="60">
        <v>7331.0</v>
      </c>
      <c r="K101" s="60">
        <v>7245.0</v>
      </c>
      <c r="L101" s="60">
        <v>7159.0</v>
      </c>
      <c r="M101" s="60">
        <v>7073.0</v>
      </c>
      <c r="N101" s="60">
        <v>6987.0</v>
      </c>
      <c r="O101" s="60">
        <v>6901.0</v>
      </c>
      <c r="P101" s="60">
        <v>6815.0</v>
      </c>
      <c r="Q101" s="60">
        <v>6729.0</v>
      </c>
      <c r="R101" s="60">
        <v>6643.0</v>
      </c>
      <c r="S101" s="60">
        <v>6557.0</v>
      </c>
      <c r="T101" s="60">
        <v>6471.0</v>
      </c>
      <c r="U101" s="60">
        <v>6385.0</v>
      </c>
      <c r="V101" s="60">
        <v>6299.0</v>
      </c>
      <c r="W101" s="60">
        <v>6213.0</v>
      </c>
      <c r="X101" s="60">
        <v>6127.0</v>
      </c>
      <c r="Y101" s="60">
        <v>6041.0</v>
      </c>
      <c r="Z101" s="60">
        <v>5955.0</v>
      </c>
      <c r="AA101" s="60">
        <v>5869.0</v>
      </c>
      <c r="AB101" s="60">
        <v>5783.0</v>
      </c>
      <c r="AC101" s="60">
        <v>5697.0</v>
      </c>
      <c r="AD101" s="60">
        <v>5611.0</v>
      </c>
      <c r="AE101" s="60">
        <v>5525.0</v>
      </c>
      <c r="AF101" s="60">
        <v>5439.0</v>
      </c>
      <c r="AG101" s="60">
        <v>5353.0</v>
      </c>
      <c r="AH101" s="60">
        <v>5267.0</v>
      </c>
      <c r="AI101" s="60">
        <v>5181.0</v>
      </c>
      <c r="AJ101" s="60">
        <v>5095.0</v>
      </c>
      <c r="AK101" s="60">
        <v>5009.0</v>
      </c>
      <c r="AL101" s="60">
        <v>4923.0</v>
      </c>
      <c r="AM101" s="60">
        <v>4837.0</v>
      </c>
      <c r="AN101" s="60">
        <v>4751.0</v>
      </c>
      <c r="AO101" s="60">
        <v>4665.0</v>
      </c>
      <c r="AP101" s="60">
        <v>4579.0</v>
      </c>
      <c r="AQ101" s="60">
        <v>4493.0</v>
      </c>
      <c r="AR101" s="60">
        <v>4407.0</v>
      </c>
      <c r="AS101" s="60">
        <v>4321.0</v>
      </c>
      <c r="AT101" s="60">
        <v>4235.0</v>
      </c>
      <c r="AU101" s="60">
        <v>4149.0</v>
      </c>
      <c r="AV101" s="60">
        <v>4063.0</v>
      </c>
      <c r="AW101" s="60">
        <v>3977.0</v>
      </c>
      <c r="AX101" s="60">
        <v>3891.0</v>
      </c>
      <c r="AY101" s="60">
        <v>3805.0</v>
      </c>
      <c r="AZ101" s="60">
        <v>3719.0</v>
      </c>
      <c r="BA101" s="60">
        <v>3633.0</v>
      </c>
      <c r="BB101" s="60">
        <v>3547.0</v>
      </c>
      <c r="BC101" s="60">
        <v>3461.0</v>
      </c>
      <c r="BD101" s="60">
        <v>3375.0</v>
      </c>
      <c r="BE101" s="60">
        <v>3289.0</v>
      </c>
      <c r="BF101" s="60">
        <v>3203.0</v>
      </c>
      <c r="BG101" s="60">
        <v>3117.0</v>
      </c>
      <c r="BH101" s="60">
        <v>3031.0</v>
      </c>
      <c r="BI101" s="60">
        <v>2945.0</v>
      </c>
      <c r="BJ101" s="60">
        <v>2859.0</v>
      </c>
      <c r="BK101" s="60">
        <v>2773.0</v>
      </c>
      <c r="BL101" s="60">
        <v>2687.0</v>
      </c>
      <c r="BM101" s="60">
        <v>2601.0</v>
      </c>
      <c r="BN101" s="60">
        <v>2515.0</v>
      </c>
      <c r="BO101" s="60">
        <v>2429.0</v>
      </c>
      <c r="BP101" s="60">
        <v>2343.0</v>
      </c>
      <c r="BQ101" s="60">
        <v>2257.0</v>
      </c>
      <c r="BR101" s="60">
        <v>2171.0</v>
      </c>
      <c r="BS101" s="60">
        <v>2085.0</v>
      </c>
      <c r="BT101" s="60">
        <v>1999.0</v>
      </c>
      <c r="BU101" s="60">
        <v>1913.0</v>
      </c>
      <c r="BV101" s="60">
        <v>1827.0</v>
      </c>
      <c r="BW101" s="60">
        <v>1741.0</v>
      </c>
      <c r="BX101" s="60">
        <v>1655.0</v>
      </c>
      <c r="BY101" s="60">
        <v>1569.0</v>
      </c>
      <c r="BZ101" s="60">
        <v>1483.0</v>
      </c>
      <c r="CA101" s="60">
        <v>1397.0</v>
      </c>
      <c r="CB101" s="60">
        <v>1311.0</v>
      </c>
      <c r="CC101" s="60">
        <v>1225.0</v>
      </c>
      <c r="CD101" s="60">
        <v>1139.0</v>
      </c>
      <c r="CE101" s="60">
        <v>1053.0</v>
      </c>
      <c r="CF101" s="17">
        <v>13.0</v>
      </c>
    </row>
    <row r="102">
      <c r="A102" s="17">
        <v>100.0</v>
      </c>
      <c r="B102" s="60">
        <v>8100.0</v>
      </c>
      <c r="C102" s="60">
        <v>8012.0</v>
      </c>
      <c r="D102" s="60">
        <v>7924.0</v>
      </c>
      <c r="E102" s="60">
        <v>7836.0</v>
      </c>
      <c r="F102" s="60">
        <v>7748.0</v>
      </c>
      <c r="G102" s="60">
        <v>7660.0</v>
      </c>
      <c r="H102" s="60">
        <v>7572.0</v>
      </c>
      <c r="I102" s="60">
        <v>7484.0</v>
      </c>
      <c r="J102" s="60">
        <v>7396.0</v>
      </c>
      <c r="K102" s="60">
        <v>7308.0</v>
      </c>
      <c r="L102" s="60">
        <v>7220.0</v>
      </c>
      <c r="M102" s="60">
        <v>7132.0</v>
      </c>
      <c r="N102" s="60">
        <v>7044.0</v>
      </c>
      <c r="O102" s="60">
        <v>6956.0</v>
      </c>
      <c r="P102" s="60">
        <v>6868.0</v>
      </c>
      <c r="Q102" s="60">
        <v>6780.0</v>
      </c>
      <c r="R102" s="60">
        <v>6692.0</v>
      </c>
      <c r="S102" s="60">
        <v>6604.0</v>
      </c>
      <c r="T102" s="60">
        <v>6516.0</v>
      </c>
      <c r="U102" s="60">
        <v>6428.0</v>
      </c>
      <c r="V102" s="60">
        <v>6340.0</v>
      </c>
      <c r="W102" s="60">
        <v>6252.0</v>
      </c>
      <c r="X102" s="60">
        <v>6164.0</v>
      </c>
      <c r="Y102" s="60">
        <v>6076.0</v>
      </c>
      <c r="Z102" s="60">
        <v>5988.0</v>
      </c>
      <c r="AA102" s="60">
        <v>5900.0</v>
      </c>
      <c r="AB102" s="60">
        <v>5812.0</v>
      </c>
      <c r="AC102" s="60">
        <v>5724.0</v>
      </c>
      <c r="AD102" s="60">
        <v>5636.0</v>
      </c>
      <c r="AE102" s="60">
        <v>5548.0</v>
      </c>
      <c r="AF102" s="60">
        <v>5460.0</v>
      </c>
      <c r="AG102" s="60">
        <v>5372.0</v>
      </c>
      <c r="AH102" s="60">
        <v>5284.0</v>
      </c>
      <c r="AI102" s="60">
        <v>5196.0</v>
      </c>
      <c r="AJ102" s="60">
        <v>5108.0</v>
      </c>
      <c r="AK102" s="60">
        <v>5020.0</v>
      </c>
      <c r="AL102" s="60">
        <v>4932.0</v>
      </c>
      <c r="AM102" s="60">
        <v>4844.0</v>
      </c>
      <c r="AN102" s="60">
        <v>4756.0</v>
      </c>
      <c r="AO102" s="60">
        <v>4668.0</v>
      </c>
      <c r="AP102" s="60">
        <v>4580.0</v>
      </c>
      <c r="AQ102" s="60">
        <v>4492.0</v>
      </c>
      <c r="AR102" s="60">
        <v>4404.0</v>
      </c>
      <c r="AS102" s="60">
        <v>4316.0</v>
      </c>
      <c r="AT102" s="60">
        <v>4228.0</v>
      </c>
      <c r="AU102" s="60">
        <v>4140.0</v>
      </c>
      <c r="AV102" s="60">
        <v>4052.0</v>
      </c>
      <c r="AW102" s="60">
        <v>3964.0</v>
      </c>
      <c r="AX102" s="60">
        <v>3876.0</v>
      </c>
      <c r="AY102" s="60">
        <v>3788.0</v>
      </c>
      <c r="AZ102" s="60">
        <v>3700.0</v>
      </c>
      <c r="BA102" s="60">
        <v>3612.0</v>
      </c>
      <c r="BB102" s="60">
        <v>3524.0</v>
      </c>
      <c r="BC102" s="60">
        <v>3436.0</v>
      </c>
      <c r="BD102" s="60">
        <v>3348.0</v>
      </c>
      <c r="BE102" s="60">
        <v>3260.0</v>
      </c>
      <c r="BF102" s="60">
        <v>3172.0</v>
      </c>
      <c r="BG102" s="60">
        <v>3084.0</v>
      </c>
      <c r="BH102" s="60">
        <v>2996.0</v>
      </c>
      <c r="BI102" s="60">
        <v>2908.0</v>
      </c>
      <c r="BJ102" s="60">
        <v>2820.0</v>
      </c>
      <c r="BK102" s="60">
        <v>2732.0</v>
      </c>
      <c r="BL102" s="60">
        <v>2644.0</v>
      </c>
      <c r="BM102" s="60">
        <v>2556.0</v>
      </c>
      <c r="BN102" s="60">
        <v>2468.0</v>
      </c>
      <c r="BO102" s="60">
        <v>2380.0</v>
      </c>
      <c r="BP102" s="60">
        <v>2292.0</v>
      </c>
      <c r="BQ102" s="60">
        <v>2204.0</v>
      </c>
      <c r="BR102" s="60">
        <v>2116.0</v>
      </c>
      <c r="BS102" s="60">
        <v>2028.0</v>
      </c>
      <c r="BT102" s="60">
        <v>1940.0</v>
      </c>
      <c r="BU102" s="60">
        <v>1852.0</v>
      </c>
      <c r="BV102" s="60">
        <v>1764.0</v>
      </c>
      <c r="BW102" s="60">
        <v>1676.0</v>
      </c>
      <c r="BX102" s="60">
        <v>1588.0</v>
      </c>
      <c r="BY102" s="60">
        <v>1500.0</v>
      </c>
      <c r="BZ102" s="60">
        <v>1412.0</v>
      </c>
      <c r="CA102" s="60">
        <v>1324.0</v>
      </c>
      <c r="CB102" s="60">
        <v>1236.0</v>
      </c>
      <c r="CC102" s="60">
        <v>1148.0</v>
      </c>
      <c r="CD102" s="60">
        <v>1060.0</v>
      </c>
      <c r="CE102" s="60">
        <v>972.0</v>
      </c>
      <c r="CF102" s="17">
        <v>12.0</v>
      </c>
    </row>
    <row r="103">
      <c r="A103" s="17">
        <v>101.0</v>
      </c>
      <c r="B103" s="60">
        <v>8181.0</v>
      </c>
      <c r="C103" s="60">
        <v>8091.0</v>
      </c>
      <c r="D103" s="60">
        <v>8001.0</v>
      </c>
      <c r="E103" s="60">
        <v>7911.0</v>
      </c>
      <c r="F103" s="60">
        <v>7821.0</v>
      </c>
      <c r="G103" s="60">
        <v>7731.0</v>
      </c>
      <c r="H103" s="60">
        <v>7641.0</v>
      </c>
      <c r="I103" s="60">
        <v>7551.0</v>
      </c>
      <c r="J103" s="60">
        <v>7461.0</v>
      </c>
      <c r="K103" s="60">
        <v>7371.0</v>
      </c>
      <c r="L103" s="60">
        <v>7281.0</v>
      </c>
      <c r="M103" s="60">
        <v>7191.0</v>
      </c>
      <c r="N103" s="60">
        <v>7101.0</v>
      </c>
      <c r="O103" s="60">
        <v>7011.0</v>
      </c>
      <c r="P103" s="60">
        <v>6921.0</v>
      </c>
      <c r="Q103" s="60">
        <v>6831.0</v>
      </c>
      <c r="R103" s="60">
        <v>6741.0</v>
      </c>
      <c r="S103" s="60">
        <v>6651.0</v>
      </c>
      <c r="T103" s="60">
        <v>6561.0</v>
      </c>
      <c r="U103" s="60">
        <v>6471.0</v>
      </c>
      <c r="V103" s="60">
        <v>6381.0</v>
      </c>
      <c r="W103" s="60">
        <v>6291.0</v>
      </c>
      <c r="X103" s="60">
        <v>6201.0</v>
      </c>
      <c r="Y103" s="60">
        <v>6111.0</v>
      </c>
      <c r="Z103" s="60">
        <v>6021.0</v>
      </c>
      <c r="AA103" s="60">
        <v>5931.0</v>
      </c>
      <c r="AB103" s="60">
        <v>5841.0</v>
      </c>
      <c r="AC103" s="60">
        <v>5751.0</v>
      </c>
      <c r="AD103" s="60">
        <v>5661.0</v>
      </c>
      <c r="AE103" s="60">
        <v>5571.0</v>
      </c>
      <c r="AF103" s="60">
        <v>5481.0</v>
      </c>
      <c r="AG103" s="60">
        <v>5391.0</v>
      </c>
      <c r="AH103" s="60">
        <v>5301.0</v>
      </c>
      <c r="AI103" s="60">
        <v>5211.0</v>
      </c>
      <c r="AJ103" s="60">
        <v>5121.0</v>
      </c>
      <c r="AK103" s="60">
        <v>5031.0</v>
      </c>
      <c r="AL103" s="60">
        <v>4941.0</v>
      </c>
      <c r="AM103" s="60">
        <v>4851.0</v>
      </c>
      <c r="AN103" s="60">
        <v>4761.0</v>
      </c>
      <c r="AO103" s="60">
        <v>4671.0</v>
      </c>
      <c r="AP103" s="60">
        <v>4581.0</v>
      </c>
      <c r="AQ103" s="60">
        <v>4491.0</v>
      </c>
      <c r="AR103" s="60">
        <v>4401.0</v>
      </c>
      <c r="AS103" s="60">
        <v>4311.0</v>
      </c>
      <c r="AT103" s="60">
        <v>4221.0</v>
      </c>
      <c r="AU103" s="60">
        <v>4131.0</v>
      </c>
      <c r="AV103" s="60">
        <v>4041.0</v>
      </c>
      <c r="AW103" s="60">
        <v>3951.0</v>
      </c>
      <c r="AX103" s="60">
        <v>3861.0</v>
      </c>
      <c r="AY103" s="60">
        <v>3771.0</v>
      </c>
      <c r="AZ103" s="60">
        <v>3681.0</v>
      </c>
      <c r="BA103" s="60">
        <v>3591.0</v>
      </c>
      <c r="BB103" s="60">
        <v>3501.0</v>
      </c>
      <c r="BC103" s="60">
        <v>3411.0</v>
      </c>
      <c r="BD103" s="60">
        <v>3321.0</v>
      </c>
      <c r="BE103" s="60">
        <v>3231.0</v>
      </c>
      <c r="BF103" s="60">
        <v>3141.0</v>
      </c>
      <c r="BG103" s="60">
        <v>3051.0</v>
      </c>
      <c r="BH103" s="60">
        <v>2961.0</v>
      </c>
      <c r="BI103" s="60">
        <v>2871.0</v>
      </c>
      <c r="BJ103" s="60">
        <v>2781.0</v>
      </c>
      <c r="BK103" s="60">
        <v>2691.0</v>
      </c>
      <c r="BL103" s="60">
        <v>2601.0</v>
      </c>
      <c r="BM103" s="60">
        <v>2511.0</v>
      </c>
      <c r="BN103" s="60">
        <v>2421.0</v>
      </c>
      <c r="BO103" s="60">
        <v>2331.0</v>
      </c>
      <c r="BP103" s="60">
        <v>2241.0</v>
      </c>
      <c r="BQ103" s="60">
        <v>2151.0</v>
      </c>
      <c r="BR103" s="60">
        <v>2061.0</v>
      </c>
      <c r="BS103" s="60">
        <v>1971.0</v>
      </c>
      <c r="BT103" s="60">
        <v>1881.0</v>
      </c>
      <c r="BU103" s="60">
        <v>1791.0</v>
      </c>
      <c r="BV103" s="60">
        <v>1701.0</v>
      </c>
      <c r="BW103" s="60">
        <v>1611.0</v>
      </c>
      <c r="BX103" s="60">
        <v>1521.0</v>
      </c>
      <c r="BY103" s="60">
        <v>1431.0</v>
      </c>
      <c r="BZ103" s="60">
        <v>1341.0</v>
      </c>
      <c r="CA103" s="60">
        <v>1251.0</v>
      </c>
      <c r="CB103" s="60">
        <v>1161.0</v>
      </c>
      <c r="CC103" s="60">
        <v>1071.0</v>
      </c>
      <c r="CD103" s="60">
        <v>981.0</v>
      </c>
      <c r="CE103" s="60">
        <v>891.0</v>
      </c>
      <c r="CF103" s="17">
        <v>11.0</v>
      </c>
    </row>
    <row r="104">
      <c r="A104" s="17">
        <v>102.0</v>
      </c>
      <c r="B104" s="60">
        <v>8262.0</v>
      </c>
      <c r="C104" s="60">
        <v>8170.0</v>
      </c>
      <c r="D104" s="60">
        <v>8078.0</v>
      </c>
      <c r="E104" s="60">
        <v>7986.0</v>
      </c>
      <c r="F104" s="60">
        <v>7894.0</v>
      </c>
      <c r="G104" s="60">
        <v>7802.0</v>
      </c>
      <c r="H104" s="60">
        <v>7710.0</v>
      </c>
      <c r="I104" s="60">
        <v>7618.0</v>
      </c>
      <c r="J104" s="60">
        <v>7526.0</v>
      </c>
      <c r="K104" s="60">
        <v>7434.0</v>
      </c>
      <c r="L104" s="60">
        <v>7342.0</v>
      </c>
      <c r="M104" s="60">
        <v>7250.0</v>
      </c>
      <c r="N104" s="60">
        <v>7158.0</v>
      </c>
      <c r="O104" s="60">
        <v>7066.0</v>
      </c>
      <c r="P104" s="60">
        <v>6974.0</v>
      </c>
      <c r="Q104" s="60">
        <v>6882.0</v>
      </c>
      <c r="R104" s="60">
        <v>6790.0</v>
      </c>
      <c r="S104" s="60">
        <v>6698.0</v>
      </c>
      <c r="T104" s="60">
        <v>6606.0</v>
      </c>
      <c r="U104" s="60">
        <v>6514.0</v>
      </c>
      <c r="V104" s="60">
        <v>6422.0</v>
      </c>
      <c r="W104" s="60">
        <v>6330.0</v>
      </c>
      <c r="X104" s="60">
        <v>6238.0</v>
      </c>
      <c r="Y104" s="60">
        <v>6146.0</v>
      </c>
      <c r="Z104" s="60">
        <v>6054.0</v>
      </c>
      <c r="AA104" s="60">
        <v>5962.0</v>
      </c>
      <c r="AB104" s="60">
        <v>5870.0</v>
      </c>
      <c r="AC104" s="60">
        <v>5778.0</v>
      </c>
      <c r="AD104" s="60">
        <v>5686.0</v>
      </c>
      <c r="AE104" s="60">
        <v>5594.0</v>
      </c>
      <c r="AF104" s="60">
        <v>5502.0</v>
      </c>
      <c r="AG104" s="60">
        <v>5410.0</v>
      </c>
      <c r="AH104" s="60">
        <v>5318.0</v>
      </c>
      <c r="AI104" s="60">
        <v>5226.0</v>
      </c>
      <c r="AJ104" s="60">
        <v>5134.0</v>
      </c>
      <c r="AK104" s="60">
        <v>5042.0</v>
      </c>
      <c r="AL104" s="60">
        <v>4950.0</v>
      </c>
      <c r="AM104" s="60">
        <v>4858.0</v>
      </c>
      <c r="AN104" s="60">
        <v>4766.0</v>
      </c>
      <c r="AO104" s="60">
        <v>4674.0</v>
      </c>
      <c r="AP104" s="60">
        <v>4582.0</v>
      </c>
      <c r="AQ104" s="60">
        <v>4490.0</v>
      </c>
      <c r="AR104" s="60">
        <v>4398.0</v>
      </c>
      <c r="AS104" s="60">
        <v>4306.0</v>
      </c>
      <c r="AT104" s="60">
        <v>4214.0</v>
      </c>
      <c r="AU104" s="60">
        <v>4122.0</v>
      </c>
      <c r="AV104" s="60">
        <v>4030.0</v>
      </c>
      <c r="AW104" s="60">
        <v>3938.0</v>
      </c>
      <c r="AX104" s="60">
        <v>3846.0</v>
      </c>
      <c r="AY104" s="60">
        <v>3754.0</v>
      </c>
      <c r="AZ104" s="60">
        <v>3662.0</v>
      </c>
      <c r="BA104" s="60">
        <v>3570.0</v>
      </c>
      <c r="BB104" s="60">
        <v>3478.0</v>
      </c>
      <c r="BC104" s="60">
        <v>3386.0</v>
      </c>
      <c r="BD104" s="60">
        <v>3294.0</v>
      </c>
      <c r="BE104" s="60">
        <v>3202.0</v>
      </c>
      <c r="BF104" s="60">
        <v>3110.0</v>
      </c>
      <c r="BG104" s="60">
        <v>3018.0</v>
      </c>
      <c r="BH104" s="60">
        <v>2926.0</v>
      </c>
      <c r="BI104" s="60">
        <v>2834.0</v>
      </c>
      <c r="BJ104" s="60">
        <v>2742.0</v>
      </c>
      <c r="BK104" s="60">
        <v>2650.0</v>
      </c>
      <c r="BL104" s="60">
        <v>2558.0</v>
      </c>
      <c r="BM104" s="60">
        <v>2466.0</v>
      </c>
      <c r="BN104" s="60">
        <v>2374.0</v>
      </c>
      <c r="BO104" s="60">
        <v>2282.0</v>
      </c>
      <c r="BP104" s="60">
        <v>2190.0</v>
      </c>
      <c r="BQ104" s="60">
        <v>2098.0</v>
      </c>
      <c r="BR104" s="60">
        <v>2006.0</v>
      </c>
      <c r="BS104" s="60">
        <v>1914.0</v>
      </c>
      <c r="BT104" s="60">
        <v>1822.0</v>
      </c>
      <c r="BU104" s="60">
        <v>1730.0</v>
      </c>
      <c r="BV104" s="60">
        <v>1638.0</v>
      </c>
      <c r="BW104" s="60">
        <v>1546.0</v>
      </c>
      <c r="BX104" s="60">
        <v>1454.0</v>
      </c>
      <c r="BY104" s="60">
        <v>1362.0</v>
      </c>
      <c r="BZ104" s="60">
        <v>1270.0</v>
      </c>
      <c r="CA104" s="60">
        <v>1178.0</v>
      </c>
      <c r="CB104" s="60">
        <v>1086.0</v>
      </c>
      <c r="CC104" s="60">
        <v>994.0</v>
      </c>
      <c r="CD104" s="60">
        <v>902.0</v>
      </c>
      <c r="CE104" s="60">
        <v>810.0</v>
      </c>
      <c r="CF104" s="17">
        <v>10.0</v>
      </c>
    </row>
    <row r="105">
      <c r="A105" s="17">
        <v>103.0</v>
      </c>
      <c r="B105" s="60">
        <v>8343.0</v>
      </c>
      <c r="C105" s="60">
        <v>8249.0</v>
      </c>
      <c r="D105" s="60">
        <v>8155.0</v>
      </c>
      <c r="E105" s="60">
        <v>8061.0</v>
      </c>
      <c r="F105" s="60">
        <v>7967.0</v>
      </c>
      <c r="G105" s="60">
        <v>7873.0</v>
      </c>
      <c r="H105" s="60">
        <v>7779.0</v>
      </c>
      <c r="I105" s="60">
        <v>7685.0</v>
      </c>
      <c r="J105" s="60">
        <v>7591.0</v>
      </c>
      <c r="K105" s="60">
        <v>7497.0</v>
      </c>
      <c r="L105" s="60">
        <v>7403.0</v>
      </c>
      <c r="M105" s="60">
        <v>7309.0</v>
      </c>
      <c r="N105" s="60">
        <v>7215.0</v>
      </c>
      <c r="O105" s="60">
        <v>7121.0</v>
      </c>
      <c r="P105" s="60">
        <v>7027.0</v>
      </c>
      <c r="Q105" s="60">
        <v>6933.0</v>
      </c>
      <c r="R105" s="60">
        <v>6839.0</v>
      </c>
      <c r="S105" s="60">
        <v>6745.0</v>
      </c>
      <c r="T105" s="60">
        <v>6651.0</v>
      </c>
      <c r="U105" s="60">
        <v>6557.0</v>
      </c>
      <c r="V105" s="60">
        <v>6463.0</v>
      </c>
      <c r="W105" s="60">
        <v>6369.0</v>
      </c>
      <c r="X105" s="60">
        <v>6275.0</v>
      </c>
      <c r="Y105" s="60">
        <v>6181.0</v>
      </c>
      <c r="Z105" s="60">
        <v>6087.0</v>
      </c>
      <c r="AA105" s="60">
        <v>5993.0</v>
      </c>
      <c r="AB105" s="60">
        <v>5899.0</v>
      </c>
      <c r="AC105" s="60">
        <v>5805.0</v>
      </c>
      <c r="AD105" s="60">
        <v>5711.0</v>
      </c>
      <c r="AE105" s="60">
        <v>5617.0</v>
      </c>
      <c r="AF105" s="60">
        <v>5523.0</v>
      </c>
      <c r="AG105" s="60">
        <v>5429.0</v>
      </c>
      <c r="AH105" s="60">
        <v>5335.0</v>
      </c>
      <c r="AI105" s="60">
        <v>5241.0</v>
      </c>
      <c r="AJ105" s="60">
        <v>5147.0</v>
      </c>
      <c r="AK105" s="60">
        <v>5053.0</v>
      </c>
      <c r="AL105" s="60">
        <v>4959.0</v>
      </c>
      <c r="AM105" s="60">
        <v>4865.0</v>
      </c>
      <c r="AN105" s="60">
        <v>4771.0</v>
      </c>
      <c r="AO105" s="60">
        <v>4677.0</v>
      </c>
      <c r="AP105" s="60">
        <v>4583.0</v>
      </c>
      <c r="AQ105" s="60">
        <v>4489.0</v>
      </c>
      <c r="AR105" s="60">
        <v>4395.0</v>
      </c>
      <c r="AS105" s="60">
        <v>4301.0</v>
      </c>
      <c r="AT105" s="60">
        <v>4207.0</v>
      </c>
      <c r="AU105" s="60">
        <v>4113.0</v>
      </c>
      <c r="AV105" s="60">
        <v>4019.0</v>
      </c>
      <c r="AW105" s="60">
        <v>3925.0</v>
      </c>
      <c r="AX105" s="60">
        <v>3831.0</v>
      </c>
      <c r="AY105" s="60">
        <v>3737.0</v>
      </c>
      <c r="AZ105" s="60">
        <v>3643.0</v>
      </c>
      <c r="BA105" s="60">
        <v>3549.0</v>
      </c>
      <c r="BB105" s="60">
        <v>3455.0</v>
      </c>
      <c r="BC105" s="60">
        <v>3361.0</v>
      </c>
      <c r="BD105" s="60">
        <v>3267.0</v>
      </c>
      <c r="BE105" s="60">
        <v>3173.0</v>
      </c>
      <c r="BF105" s="60">
        <v>3079.0</v>
      </c>
      <c r="BG105" s="60">
        <v>2985.0</v>
      </c>
      <c r="BH105" s="60">
        <v>2891.0</v>
      </c>
      <c r="BI105" s="60">
        <v>2797.0</v>
      </c>
      <c r="BJ105" s="60">
        <v>2703.0</v>
      </c>
      <c r="BK105" s="60">
        <v>2609.0</v>
      </c>
      <c r="BL105" s="60">
        <v>2515.0</v>
      </c>
      <c r="BM105" s="60">
        <v>2421.0</v>
      </c>
      <c r="BN105" s="60">
        <v>2327.0</v>
      </c>
      <c r="BO105" s="60">
        <v>2233.0</v>
      </c>
      <c r="BP105" s="60">
        <v>2139.0</v>
      </c>
      <c r="BQ105" s="60">
        <v>2045.0</v>
      </c>
      <c r="BR105" s="60">
        <v>1951.0</v>
      </c>
      <c r="BS105" s="60">
        <v>1857.0</v>
      </c>
      <c r="BT105" s="60">
        <v>1763.0</v>
      </c>
      <c r="BU105" s="60">
        <v>1669.0</v>
      </c>
      <c r="BV105" s="60">
        <v>1575.0</v>
      </c>
      <c r="BW105" s="60">
        <v>1481.0</v>
      </c>
      <c r="BX105" s="60">
        <v>1387.0</v>
      </c>
      <c r="BY105" s="60">
        <v>1293.0</v>
      </c>
      <c r="BZ105" s="60">
        <v>1199.0</v>
      </c>
      <c r="CA105" s="60">
        <v>1105.0</v>
      </c>
      <c r="CB105" s="60">
        <v>1011.0</v>
      </c>
      <c r="CC105" s="60">
        <v>917.0</v>
      </c>
      <c r="CD105" s="60">
        <v>823.0</v>
      </c>
      <c r="CE105" s="60">
        <v>729.0</v>
      </c>
      <c r="CF105" s="17">
        <v>9.0</v>
      </c>
    </row>
    <row r="106">
      <c r="A106" s="17">
        <v>104.0</v>
      </c>
      <c r="B106" s="60">
        <v>8424.0</v>
      </c>
      <c r="C106" s="60">
        <v>8328.0</v>
      </c>
      <c r="D106" s="60">
        <v>8232.0</v>
      </c>
      <c r="E106" s="60">
        <v>8136.0</v>
      </c>
      <c r="F106" s="60">
        <v>8040.0</v>
      </c>
      <c r="G106" s="60">
        <v>7944.0</v>
      </c>
      <c r="H106" s="60">
        <v>7848.0</v>
      </c>
      <c r="I106" s="60">
        <v>7752.0</v>
      </c>
      <c r="J106" s="60">
        <v>7656.0</v>
      </c>
      <c r="K106" s="60">
        <v>7560.0</v>
      </c>
      <c r="L106" s="60">
        <v>7464.0</v>
      </c>
      <c r="M106" s="60">
        <v>7368.0</v>
      </c>
      <c r="N106" s="60">
        <v>7272.0</v>
      </c>
      <c r="O106" s="60">
        <v>7176.0</v>
      </c>
      <c r="P106" s="60">
        <v>7080.0</v>
      </c>
      <c r="Q106" s="60">
        <v>6984.0</v>
      </c>
      <c r="R106" s="60">
        <v>6888.0</v>
      </c>
      <c r="S106" s="60">
        <v>6792.0</v>
      </c>
      <c r="T106" s="60">
        <v>6696.0</v>
      </c>
      <c r="U106" s="60">
        <v>6600.0</v>
      </c>
      <c r="V106" s="60">
        <v>6504.0</v>
      </c>
      <c r="W106" s="60">
        <v>6408.0</v>
      </c>
      <c r="X106" s="60">
        <v>6312.0</v>
      </c>
      <c r="Y106" s="60">
        <v>6216.0</v>
      </c>
      <c r="Z106" s="60">
        <v>6120.0</v>
      </c>
      <c r="AA106" s="60">
        <v>6024.0</v>
      </c>
      <c r="AB106" s="60">
        <v>5928.0</v>
      </c>
      <c r="AC106" s="60">
        <v>5832.0</v>
      </c>
      <c r="AD106" s="60">
        <v>5736.0</v>
      </c>
      <c r="AE106" s="60">
        <v>5640.0</v>
      </c>
      <c r="AF106" s="60">
        <v>5544.0</v>
      </c>
      <c r="AG106" s="60">
        <v>5448.0</v>
      </c>
      <c r="AH106" s="60">
        <v>5352.0</v>
      </c>
      <c r="AI106" s="60">
        <v>5256.0</v>
      </c>
      <c r="AJ106" s="60">
        <v>5160.0</v>
      </c>
      <c r="AK106" s="60">
        <v>5064.0</v>
      </c>
      <c r="AL106" s="60">
        <v>4968.0</v>
      </c>
      <c r="AM106" s="60">
        <v>4872.0</v>
      </c>
      <c r="AN106" s="60">
        <v>4776.0</v>
      </c>
      <c r="AO106" s="60">
        <v>4680.0</v>
      </c>
      <c r="AP106" s="60">
        <v>4584.0</v>
      </c>
      <c r="AQ106" s="60">
        <v>4488.0</v>
      </c>
      <c r="AR106" s="60">
        <v>4392.0</v>
      </c>
      <c r="AS106" s="60">
        <v>4296.0</v>
      </c>
      <c r="AT106" s="60">
        <v>4200.0</v>
      </c>
      <c r="AU106" s="60">
        <v>4104.0</v>
      </c>
      <c r="AV106" s="60">
        <v>4008.0</v>
      </c>
      <c r="AW106" s="60">
        <v>3912.0</v>
      </c>
      <c r="AX106" s="60">
        <v>3816.0</v>
      </c>
      <c r="AY106" s="60">
        <v>3720.0</v>
      </c>
      <c r="AZ106" s="60">
        <v>3624.0</v>
      </c>
      <c r="BA106" s="60">
        <v>3528.0</v>
      </c>
      <c r="BB106" s="60">
        <v>3432.0</v>
      </c>
      <c r="BC106" s="60">
        <v>3336.0</v>
      </c>
      <c r="BD106" s="60">
        <v>3240.0</v>
      </c>
      <c r="BE106" s="60">
        <v>3144.0</v>
      </c>
      <c r="BF106" s="60">
        <v>3048.0</v>
      </c>
      <c r="BG106" s="60">
        <v>2952.0</v>
      </c>
      <c r="BH106" s="60">
        <v>2856.0</v>
      </c>
      <c r="BI106" s="60">
        <v>2760.0</v>
      </c>
      <c r="BJ106" s="60">
        <v>2664.0</v>
      </c>
      <c r="BK106" s="60">
        <v>2568.0</v>
      </c>
      <c r="BL106" s="60">
        <v>2472.0</v>
      </c>
      <c r="BM106" s="60">
        <v>2376.0</v>
      </c>
      <c r="BN106" s="60">
        <v>2280.0</v>
      </c>
      <c r="BO106" s="60">
        <v>2184.0</v>
      </c>
      <c r="BP106" s="60">
        <v>2088.0</v>
      </c>
      <c r="BQ106" s="60">
        <v>1992.0</v>
      </c>
      <c r="BR106" s="60">
        <v>1896.0</v>
      </c>
      <c r="BS106" s="60">
        <v>1800.0</v>
      </c>
      <c r="BT106" s="60">
        <v>1704.0</v>
      </c>
      <c r="BU106" s="60">
        <v>1608.0</v>
      </c>
      <c r="BV106" s="60">
        <v>1512.0</v>
      </c>
      <c r="BW106" s="60">
        <v>1416.0</v>
      </c>
      <c r="BX106" s="60">
        <v>1320.0</v>
      </c>
      <c r="BY106" s="60">
        <v>1224.0</v>
      </c>
      <c r="BZ106" s="60">
        <v>1128.0</v>
      </c>
      <c r="CA106" s="60">
        <v>1032.0</v>
      </c>
      <c r="CB106" s="60">
        <v>936.0</v>
      </c>
      <c r="CC106" s="60">
        <v>840.0</v>
      </c>
      <c r="CD106" s="60">
        <v>744.0</v>
      </c>
      <c r="CE106" s="60">
        <v>648.0</v>
      </c>
      <c r="CF106" s="17">
        <v>8.0</v>
      </c>
    </row>
    <row r="107">
      <c r="A107" s="17">
        <v>105.0</v>
      </c>
      <c r="B107" s="60">
        <v>8505.0</v>
      </c>
      <c r="C107" s="60">
        <v>8407.0</v>
      </c>
      <c r="D107" s="60">
        <v>8309.0</v>
      </c>
      <c r="E107" s="60">
        <v>8211.0</v>
      </c>
      <c r="F107" s="60">
        <v>8113.0</v>
      </c>
      <c r="G107" s="60">
        <v>8015.0</v>
      </c>
      <c r="H107" s="60">
        <v>7917.0</v>
      </c>
      <c r="I107" s="60">
        <v>7819.0</v>
      </c>
      <c r="J107" s="60">
        <v>7721.0</v>
      </c>
      <c r="K107" s="60">
        <v>7623.0</v>
      </c>
      <c r="L107" s="60">
        <v>7525.0</v>
      </c>
      <c r="M107" s="60">
        <v>7427.0</v>
      </c>
      <c r="N107" s="60">
        <v>7329.0</v>
      </c>
      <c r="O107" s="60">
        <v>7231.0</v>
      </c>
      <c r="P107" s="60">
        <v>7133.0</v>
      </c>
      <c r="Q107" s="60">
        <v>7035.0</v>
      </c>
      <c r="R107" s="60">
        <v>6937.0</v>
      </c>
      <c r="S107" s="60">
        <v>6839.0</v>
      </c>
      <c r="T107" s="60">
        <v>6741.0</v>
      </c>
      <c r="U107" s="60">
        <v>6643.0</v>
      </c>
      <c r="V107" s="60">
        <v>6545.0</v>
      </c>
      <c r="W107" s="60">
        <v>6447.0</v>
      </c>
      <c r="X107" s="60">
        <v>6349.0</v>
      </c>
      <c r="Y107" s="60">
        <v>6251.0</v>
      </c>
      <c r="Z107" s="60">
        <v>6153.0</v>
      </c>
      <c r="AA107" s="60">
        <v>6055.0</v>
      </c>
      <c r="AB107" s="60">
        <v>5957.0</v>
      </c>
      <c r="AC107" s="60">
        <v>5859.0</v>
      </c>
      <c r="AD107" s="60">
        <v>5761.0</v>
      </c>
      <c r="AE107" s="60">
        <v>5663.0</v>
      </c>
      <c r="AF107" s="60">
        <v>5565.0</v>
      </c>
      <c r="AG107" s="60">
        <v>5467.0</v>
      </c>
      <c r="AH107" s="60">
        <v>5369.0</v>
      </c>
      <c r="AI107" s="60">
        <v>5271.0</v>
      </c>
      <c r="AJ107" s="60">
        <v>5173.0</v>
      </c>
      <c r="AK107" s="60">
        <v>5075.0</v>
      </c>
      <c r="AL107" s="60">
        <v>4977.0</v>
      </c>
      <c r="AM107" s="60">
        <v>4879.0</v>
      </c>
      <c r="AN107" s="60">
        <v>4781.0</v>
      </c>
      <c r="AO107" s="60">
        <v>4683.0</v>
      </c>
      <c r="AP107" s="60">
        <v>4585.0</v>
      </c>
      <c r="AQ107" s="60">
        <v>4487.0</v>
      </c>
      <c r="AR107" s="60">
        <v>4389.0</v>
      </c>
      <c r="AS107" s="60">
        <v>4291.0</v>
      </c>
      <c r="AT107" s="60">
        <v>4193.0</v>
      </c>
      <c r="AU107" s="60">
        <v>4095.0</v>
      </c>
      <c r="AV107" s="60">
        <v>3997.0</v>
      </c>
      <c r="AW107" s="60">
        <v>3899.0</v>
      </c>
      <c r="AX107" s="60">
        <v>3801.0</v>
      </c>
      <c r="AY107" s="60">
        <v>3703.0</v>
      </c>
      <c r="AZ107" s="60">
        <v>3605.0</v>
      </c>
      <c r="BA107" s="60">
        <v>3507.0</v>
      </c>
      <c r="BB107" s="60">
        <v>3409.0</v>
      </c>
      <c r="BC107" s="60">
        <v>3311.0</v>
      </c>
      <c r="BD107" s="60">
        <v>3213.0</v>
      </c>
      <c r="BE107" s="60">
        <v>3115.0</v>
      </c>
      <c r="BF107" s="60">
        <v>3017.0</v>
      </c>
      <c r="BG107" s="60">
        <v>2919.0</v>
      </c>
      <c r="BH107" s="60">
        <v>2821.0</v>
      </c>
      <c r="BI107" s="60">
        <v>2723.0</v>
      </c>
      <c r="BJ107" s="60">
        <v>2625.0</v>
      </c>
      <c r="BK107" s="60">
        <v>2527.0</v>
      </c>
      <c r="BL107" s="60">
        <v>2429.0</v>
      </c>
      <c r="BM107" s="60">
        <v>2331.0</v>
      </c>
      <c r="BN107" s="60">
        <v>2233.0</v>
      </c>
      <c r="BO107" s="60">
        <v>2135.0</v>
      </c>
      <c r="BP107" s="60">
        <v>2037.0</v>
      </c>
      <c r="BQ107" s="60">
        <v>1939.0</v>
      </c>
      <c r="BR107" s="60">
        <v>1841.0</v>
      </c>
      <c r="BS107" s="60">
        <v>1743.0</v>
      </c>
      <c r="BT107" s="60">
        <v>1645.0</v>
      </c>
      <c r="BU107" s="60">
        <v>1547.0</v>
      </c>
      <c r="BV107" s="60">
        <v>1449.0</v>
      </c>
      <c r="BW107" s="60">
        <v>1351.0</v>
      </c>
      <c r="BX107" s="60">
        <v>1253.0</v>
      </c>
      <c r="BY107" s="60">
        <v>1155.0</v>
      </c>
      <c r="BZ107" s="60">
        <v>1057.0</v>
      </c>
      <c r="CA107" s="60">
        <v>959.0</v>
      </c>
      <c r="CB107" s="60">
        <v>861.0</v>
      </c>
      <c r="CC107" s="60">
        <v>763.0</v>
      </c>
      <c r="CD107" s="60">
        <v>665.0</v>
      </c>
      <c r="CE107" s="60">
        <v>567.0</v>
      </c>
      <c r="CF107" s="17">
        <v>7.0</v>
      </c>
    </row>
    <row r="108">
      <c r="A108" s="17">
        <v>106.0</v>
      </c>
      <c r="B108" s="60">
        <v>8586.0</v>
      </c>
      <c r="C108" s="60">
        <v>8486.0</v>
      </c>
      <c r="D108" s="60">
        <v>8386.0</v>
      </c>
      <c r="E108" s="60">
        <v>8286.0</v>
      </c>
      <c r="F108" s="60">
        <v>8186.0</v>
      </c>
      <c r="G108" s="60">
        <v>8086.0</v>
      </c>
      <c r="H108" s="60">
        <v>7986.0</v>
      </c>
      <c r="I108" s="60">
        <v>7886.0</v>
      </c>
      <c r="J108" s="60">
        <v>7786.0</v>
      </c>
      <c r="K108" s="60">
        <v>7686.0</v>
      </c>
      <c r="L108" s="60">
        <v>7586.0</v>
      </c>
      <c r="M108" s="60">
        <v>7486.0</v>
      </c>
      <c r="N108" s="60">
        <v>7386.0</v>
      </c>
      <c r="O108" s="60">
        <v>7286.0</v>
      </c>
      <c r="P108" s="60">
        <v>7186.0</v>
      </c>
      <c r="Q108" s="60">
        <v>7086.0</v>
      </c>
      <c r="R108" s="60">
        <v>6986.0</v>
      </c>
      <c r="S108" s="60">
        <v>6886.0</v>
      </c>
      <c r="T108" s="60">
        <v>6786.0</v>
      </c>
      <c r="U108" s="60">
        <v>6686.0</v>
      </c>
      <c r="V108" s="60">
        <v>6586.0</v>
      </c>
      <c r="W108" s="60">
        <v>6486.0</v>
      </c>
      <c r="X108" s="60">
        <v>6386.0</v>
      </c>
      <c r="Y108" s="60">
        <v>6286.0</v>
      </c>
      <c r="Z108" s="60">
        <v>6186.0</v>
      </c>
      <c r="AA108" s="60">
        <v>6086.0</v>
      </c>
      <c r="AB108" s="60">
        <v>5986.0</v>
      </c>
      <c r="AC108" s="60">
        <v>5886.0</v>
      </c>
      <c r="AD108" s="60">
        <v>5786.0</v>
      </c>
      <c r="AE108" s="60">
        <v>5686.0</v>
      </c>
      <c r="AF108" s="60">
        <v>5586.0</v>
      </c>
      <c r="AG108" s="60">
        <v>5486.0</v>
      </c>
      <c r="AH108" s="60">
        <v>5386.0</v>
      </c>
      <c r="AI108" s="60">
        <v>5286.0</v>
      </c>
      <c r="AJ108" s="60">
        <v>5186.0</v>
      </c>
      <c r="AK108" s="60">
        <v>5086.0</v>
      </c>
      <c r="AL108" s="60">
        <v>4986.0</v>
      </c>
      <c r="AM108" s="60">
        <v>4886.0</v>
      </c>
      <c r="AN108" s="60">
        <v>4786.0</v>
      </c>
      <c r="AO108" s="60">
        <v>4686.0</v>
      </c>
      <c r="AP108" s="60">
        <v>4586.0</v>
      </c>
      <c r="AQ108" s="60">
        <v>4486.0</v>
      </c>
      <c r="AR108" s="60">
        <v>4386.0</v>
      </c>
      <c r="AS108" s="60">
        <v>4286.0</v>
      </c>
      <c r="AT108" s="60">
        <v>4186.0</v>
      </c>
      <c r="AU108" s="60">
        <v>4086.0</v>
      </c>
      <c r="AV108" s="60">
        <v>3986.0</v>
      </c>
      <c r="AW108" s="60">
        <v>3886.0</v>
      </c>
      <c r="AX108" s="60">
        <v>3786.0</v>
      </c>
      <c r="AY108" s="60">
        <v>3686.0</v>
      </c>
      <c r="AZ108" s="60">
        <v>3586.0</v>
      </c>
      <c r="BA108" s="60">
        <v>3486.0</v>
      </c>
      <c r="BB108" s="60">
        <v>3386.0</v>
      </c>
      <c r="BC108" s="60">
        <v>3286.0</v>
      </c>
      <c r="BD108" s="60">
        <v>3186.0</v>
      </c>
      <c r="BE108" s="60">
        <v>3086.0</v>
      </c>
      <c r="BF108" s="60">
        <v>2986.0</v>
      </c>
      <c r="BG108" s="60">
        <v>2886.0</v>
      </c>
      <c r="BH108" s="60">
        <v>2786.0</v>
      </c>
      <c r="BI108" s="60">
        <v>2686.0</v>
      </c>
      <c r="BJ108" s="60">
        <v>2586.0</v>
      </c>
      <c r="BK108" s="60">
        <v>2486.0</v>
      </c>
      <c r="BL108" s="60">
        <v>2386.0</v>
      </c>
      <c r="BM108" s="60">
        <v>2286.0</v>
      </c>
      <c r="BN108" s="60">
        <v>2186.0</v>
      </c>
      <c r="BO108" s="60">
        <v>2086.0</v>
      </c>
      <c r="BP108" s="60">
        <v>1986.0</v>
      </c>
      <c r="BQ108" s="60">
        <v>1886.0</v>
      </c>
      <c r="BR108" s="60">
        <v>1786.0</v>
      </c>
      <c r="BS108" s="60">
        <v>1686.0</v>
      </c>
      <c r="BT108" s="60">
        <v>1586.0</v>
      </c>
      <c r="BU108" s="60">
        <v>1486.0</v>
      </c>
      <c r="BV108" s="60">
        <v>1386.0</v>
      </c>
      <c r="BW108" s="60">
        <v>1286.0</v>
      </c>
      <c r="BX108" s="60">
        <v>1186.0</v>
      </c>
      <c r="BY108" s="60">
        <v>1086.0</v>
      </c>
      <c r="BZ108" s="60">
        <v>986.0</v>
      </c>
      <c r="CA108" s="60">
        <v>886.0</v>
      </c>
      <c r="CB108" s="60">
        <v>786.0</v>
      </c>
      <c r="CC108" s="60">
        <v>686.0</v>
      </c>
      <c r="CD108" s="60">
        <v>586.0</v>
      </c>
      <c r="CE108" s="60">
        <v>486.0</v>
      </c>
      <c r="CF108" s="17">
        <v>6.0</v>
      </c>
    </row>
    <row r="109">
      <c r="A109" s="17">
        <v>107.0</v>
      </c>
      <c r="B109" s="60">
        <v>8667.0</v>
      </c>
      <c r="C109" s="60">
        <v>8565.0</v>
      </c>
      <c r="D109" s="60">
        <v>8463.0</v>
      </c>
      <c r="E109" s="60">
        <v>8361.0</v>
      </c>
      <c r="F109" s="60">
        <v>8259.0</v>
      </c>
      <c r="G109" s="60">
        <v>8157.0</v>
      </c>
      <c r="H109" s="60">
        <v>8055.0</v>
      </c>
      <c r="I109" s="60">
        <v>7953.0</v>
      </c>
      <c r="J109" s="60">
        <v>7851.0</v>
      </c>
      <c r="K109" s="60">
        <v>7749.0</v>
      </c>
      <c r="L109" s="60">
        <v>7647.0</v>
      </c>
      <c r="M109" s="60">
        <v>7545.0</v>
      </c>
      <c r="N109" s="60">
        <v>7443.0</v>
      </c>
      <c r="O109" s="60">
        <v>7341.0</v>
      </c>
      <c r="P109" s="60">
        <v>7239.0</v>
      </c>
      <c r="Q109" s="60">
        <v>7137.0</v>
      </c>
      <c r="R109" s="60">
        <v>7035.0</v>
      </c>
      <c r="S109" s="60">
        <v>6933.0</v>
      </c>
      <c r="T109" s="60">
        <v>6831.0</v>
      </c>
      <c r="U109" s="60">
        <v>6729.0</v>
      </c>
      <c r="V109" s="60">
        <v>6627.0</v>
      </c>
      <c r="W109" s="60">
        <v>6525.0</v>
      </c>
      <c r="X109" s="60">
        <v>6423.0</v>
      </c>
      <c r="Y109" s="60">
        <v>6321.0</v>
      </c>
      <c r="Z109" s="60">
        <v>6219.0</v>
      </c>
      <c r="AA109" s="60">
        <v>6117.0</v>
      </c>
      <c r="AB109" s="60">
        <v>6015.0</v>
      </c>
      <c r="AC109" s="60">
        <v>5913.0</v>
      </c>
      <c r="AD109" s="60">
        <v>5811.0</v>
      </c>
      <c r="AE109" s="60">
        <v>5709.0</v>
      </c>
      <c r="AF109" s="60">
        <v>5607.0</v>
      </c>
      <c r="AG109" s="60">
        <v>5505.0</v>
      </c>
      <c r="AH109" s="60">
        <v>5403.0</v>
      </c>
      <c r="AI109" s="60">
        <v>5301.0</v>
      </c>
      <c r="AJ109" s="60">
        <v>5199.0</v>
      </c>
      <c r="AK109" s="60">
        <v>5097.0</v>
      </c>
      <c r="AL109" s="60">
        <v>4995.0</v>
      </c>
      <c r="AM109" s="60">
        <v>4893.0</v>
      </c>
      <c r="AN109" s="60">
        <v>4791.0</v>
      </c>
      <c r="AO109" s="60">
        <v>4689.0</v>
      </c>
      <c r="AP109" s="60">
        <v>4587.0</v>
      </c>
      <c r="AQ109" s="60">
        <v>4485.0</v>
      </c>
      <c r="AR109" s="60">
        <v>4383.0</v>
      </c>
      <c r="AS109" s="60">
        <v>4281.0</v>
      </c>
      <c r="AT109" s="60">
        <v>4179.0</v>
      </c>
      <c r="AU109" s="60">
        <v>4077.0</v>
      </c>
      <c r="AV109" s="60">
        <v>3975.0</v>
      </c>
      <c r="AW109" s="60">
        <v>3873.0</v>
      </c>
      <c r="AX109" s="60">
        <v>3771.0</v>
      </c>
      <c r="AY109" s="60">
        <v>3669.0</v>
      </c>
      <c r="AZ109" s="60">
        <v>3567.0</v>
      </c>
      <c r="BA109" s="60">
        <v>3465.0</v>
      </c>
      <c r="BB109" s="60">
        <v>3363.0</v>
      </c>
      <c r="BC109" s="60">
        <v>3261.0</v>
      </c>
      <c r="BD109" s="60">
        <v>3159.0</v>
      </c>
      <c r="BE109" s="60">
        <v>3057.0</v>
      </c>
      <c r="BF109" s="60">
        <v>2955.0</v>
      </c>
      <c r="BG109" s="60">
        <v>2853.0</v>
      </c>
      <c r="BH109" s="60">
        <v>2751.0</v>
      </c>
      <c r="BI109" s="60">
        <v>2649.0</v>
      </c>
      <c r="BJ109" s="60">
        <v>2547.0</v>
      </c>
      <c r="BK109" s="60">
        <v>2445.0</v>
      </c>
      <c r="BL109" s="60">
        <v>2343.0</v>
      </c>
      <c r="BM109" s="60">
        <v>2241.0</v>
      </c>
      <c r="BN109" s="60">
        <v>2139.0</v>
      </c>
      <c r="BO109" s="60">
        <v>2037.0</v>
      </c>
      <c r="BP109" s="60">
        <v>1935.0</v>
      </c>
      <c r="BQ109" s="60">
        <v>1833.0</v>
      </c>
      <c r="BR109" s="60">
        <v>1731.0</v>
      </c>
      <c r="BS109" s="60">
        <v>1629.0</v>
      </c>
      <c r="BT109" s="60">
        <v>1527.0</v>
      </c>
      <c r="BU109" s="60">
        <v>1425.0</v>
      </c>
      <c r="BV109" s="60">
        <v>1323.0</v>
      </c>
      <c r="BW109" s="60">
        <v>1221.0</v>
      </c>
      <c r="BX109" s="60">
        <v>1119.0</v>
      </c>
      <c r="BY109" s="60">
        <v>1017.0</v>
      </c>
      <c r="BZ109" s="60">
        <v>915.0</v>
      </c>
      <c r="CA109" s="60">
        <v>813.0</v>
      </c>
      <c r="CB109" s="60">
        <v>711.0</v>
      </c>
      <c r="CC109" s="60">
        <v>609.0</v>
      </c>
      <c r="CD109" s="60">
        <v>507.0</v>
      </c>
      <c r="CE109" s="60">
        <v>405.0</v>
      </c>
      <c r="CF109" s="17">
        <v>5.0</v>
      </c>
    </row>
    <row r="110">
      <c r="A110" s="17">
        <v>108.0</v>
      </c>
      <c r="B110" s="60">
        <v>8748.0</v>
      </c>
      <c r="C110" s="60">
        <v>8644.0</v>
      </c>
      <c r="D110" s="60">
        <v>8540.0</v>
      </c>
      <c r="E110" s="60">
        <v>8436.0</v>
      </c>
      <c r="F110" s="60">
        <v>8332.0</v>
      </c>
      <c r="G110" s="60">
        <v>8228.0</v>
      </c>
      <c r="H110" s="60">
        <v>8124.0</v>
      </c>
      <c r="I110" s="60">
        <v>8020.0</v>
      </c>
      <c r="J110" s="60">
        <v>7916.0</v>
      </c>
      <c r="K110" s="60">
        <v>7812.0</v>
      </c>
      <c r="L110" s="60">
        <v>7708.0</v>
      </c>
      <c r="M110" s="60">
        <v>7604.0</v>
      </c>
      <c r="N110" s="60">
        <v>7500.0</v>
      </c>
      <c r="O110" s="60">
        <v>7396.0</v>
      </c>
      <c r="P110" s="60">
        <v>7292.0</v>
      </c>
      <c r="Q110" s="60">
        <v>7188.0</v>
      </c>
      <c r="R110" s="60">
        <v>7084.0</v>
      </c>
      <c r="S110" s="60">
        <v>6980.0</v>
      </c>
      <c r="T110" s="60">
        <v>6876.0</v>
      </c>
      <c r="U110" s="60">
        <v>6772.0</v>
      </c>
      <c r="V110" s="60">
        <v>6668.0</v>
      </c>
      <c r="W110" s="60">
        <v>6564.0</v>
      </c>
      <c r="X110" s="60">
        <v>6460.0</v>
      </c>
      <c r="Y110" s="60">
        <v>6356.0</v>
      </c>
      <c r="Z110" s="60">
        <v>6252.0</v>
      </c>
      <c r="AA110" s="60">
        <v>6148.0</v>
      </c>
      <c r="AB110" s="60">
        <v>6044.0</v>
      </c>
      <c r="AC110" s="60">
        <v>5940.0</v>
      </c>
      <c r="AD110" s="60">
        <v>5836.0</v>
      </c>
      <c r="AE110" s="60">
        <v>5732.0</v>
      </c>
      <c r="AF110" s="60">
        <v>5628.0</v>
      </c>
      <c r="AG110" s="60">
        <v>5524.0</v>
      </c>
      <c r="AH110" s="60">
        <v>5420.0</v>
      </c>
      <c r="AI110" s="60">
        <v>5316.0</v>
      </c>
      <c r="AJ110" s="60">
        <v>5212.0</v>
      </c>
      <c r="AK110" s="60">
        <v>5108.0</v>
      </c>
      <c r="AL110" s="60">
        <v>5004.0</v>
      </c>
      <c r="AM110" s="60">
        <v>4900.0</v>
      </c>
      <c r="AN110" s="60">
        <v>4796.0</v>
      </c>
      <c r="AO110" s="60">
        <v>4692.0</v>
      </c>
      <c r="AP110" s="60">
        <v>4588.0</v>
      </c>
      <c r="AQ110" s="60">
        <v>4484.0</v>
      </c>
      <c r="AR110" s="60">
        <v>4380.0</v>
      </c>
      <c r="AS110" s="60">
        <v>4276.0</v>
      </c>
      <c r="AT110" s="60">
        <v>4172.0</v>
      </c>
      <c r="AU110" s="60">
        <v>4068.0</v>
      </c>
      <c r="AV110" s="60">
        <v>3964.0</v>
      </c>
      <c r="AW110" s="60">
        <v>3860.0</v>
      </c>
      <c r="AX110" s="60">
        <v>3756.0</v>
      </c>
      <c r="AY110" s="60">
        <v>3652.0</v>
      </c>
      <c r="AZ110" s="60">
        <v>3548.0</v>
      </c>
      <c r="BA110" s="60">
        <v>3444.0</v>
      </c>
      <c r="BB110" s="60">
        <v>3340.0</v>
      </c>
      <c r="BC110" s="60">
        <v>3236.0</v>
      </c>
      <c r="BD110" s="60">
        <v>3132.0</v>
      </c>
      <c r="BE110" s="60">
        <v>3028.0</v>
      </c>
      <c r="BF110" s="60">
        <v>2924.0</v>
      </c>
      <c r="BG110" s="60">
        <v>2820.0</v>
      </c>
      <c r="BH110" s="60">
        <v>2716.0</v>
      </c>
      <c r="BI110" s="60">
        <v>2612.0</v>
      </c>
      <c r="BJ110" s="60">
        <v>2508.0</v>
      </c>
      <c r="BK110" s="60">
        <v>2404.0</v>
      </c>
      <c r="BL110" s="60">
        <v>2300.0</v>
      </c>
      <c r="BM110" s="60">
        <v>2196.0</v>
      </c>
      <c r="BN110" s="60">
        <v>2092.0</v>
      </c>
      <c r="BO110" s="60">
        <v>1988.0</v>
      </c>
      <c r="BP110" s="60">
        <v>1884.0</v>
      </c>
      <c r="BQ110" s="60">
        <v>1780.0</v>
      </c>
      <c r="BR110" s="60">
        <v>1676.0</v>
      </c>
      <c r="BS110" s="60">
        <v>1572.0</v>
      </c>
      <c r="BT110" s="60">
        <v>1468.0</v>
      </c>
      <c r="BU110" s="60">
        <v>1364.0</v>
      </c>
      <c r="BV110" s="60">
        <v>1260.0</v>
      </c>
      <c r="BW110" s="60">
        <v>1156.0</v>
      </c>
      <c r="BX110" s="60">
        <v>1052.0</v>
      </c>
      <c r="BY110" s="60">
        <v>948.0</v>
      </c>
      <c r="BZ110" s="60">
        <v>844.0</v>
      </c>
      <c r="CA110" s="60">
        <v>740.0</v>
      </c>
      <c r="CB110" s="60">
        <v>636.0</v>
      </c>
      <c r="CC110" s="60">
        <v>532.0</v>
      </c>
      <c r="CD110" s="60">
        <v>428.0</v>
      </c>
      <c r="CE110" s="60">
        <v>324.0</v>
      </c>
      <c r="CF110" s="17">
        <v>4.0</v>
      </c>
    </row>
    <row r="111">
      <c r="A111" s="17">
        <v>109.0</v>
      </c>
      <c r="B111" s="60">
        <v>8829.0</v>
      </c>
      <c r="C111" s="60">
        <v>8723.0</v>
      </c>
      <c r="D111" s="60">
        <v>8617.0</v>
      </c>
      <c r="E111" s="60">
        <v>8511.0</v>
      </c>
      <c r="F111" s="60">
        <v>8405.0</v>
      </c>
      <c r="G111" s="60">
        <v>8299.0</v>
      </c>
      <c r="H111" s="60">
        <v>8193.0</v>
      </c>
      <c r="I111" s="60">
        <v>8087.0</v>
      </c>
      <c r="J111" s="60">
        <v>7981.0</v>
      </c>
      <c r="K111" s="60">
        <v>7875.0</v>
      </c>
      <c r="L111" s="60">
        <v>7769.0</v>
      </c>
      <c r="M111" s="60">
        <v>7663.0</v>
      </c>
      <c r="N111" s="60">
        <v>7557.0</v>
      </c>
      <c r="O111" s="60">
        <v>7451.0</v>
      </c>
      <c r="P111" s="60">
        <v>7345.0</v>
      </c>
      <c r="Q111" s="60">
        <v>7239.0</v>
      </c>
      <c r="R111" s="60">
        <v>7133.0</v>
      </c>
      <c r="S111" s="60">
        <v>7027.0</v>
      </c>
      <c r="T111" s="60">
        <v>6921.0</v>
      </c>
      <c r="U111" s="60">
        <v>6815.0</v>
      </c>
      <c r="V111" s="60">
        <v>6709.0</v>
      </c>
      <c r="W111" s="60">
        <v>6603.0</v>
      </c>
      <c r="X111" s="60">
        <v>6497.0</v>
      </c>
      <c r="Y111" s="60">
        <v>6391.0</v>
      </c>
      <c r="Z111" s="60">
        <v>6285.0</v>
      </c>
      <c r="AA111" s="60">
        <v>6179.0</v>
      </c>
      <c r="AB111" s="60">
        <v>6073.0</v>
      </c>
      <c r="AC111" s="60">
        <v>5967.0</v>
      </c>
      <c r="AD111" s="60">
        <v>5861.0</v>
      </c>
      <c r="AE111" s="60">
        <v>5755.0</v>
      </c>
      <c r="AF111" s="60">
        <v>5649.0</v>
      </c>
      <c r="AG111" s="60">
        <v>5543.0</v>
      </c>
      <c r="AH111" s="60">
        <v>5437.0</v>
      </c>
      <c r="AI111" s="60">
        <v>5331.0</v>
      </c>
      <c r="AJ111" s="60">
        <v>5225.0</v>
      </c>
      <c r="AK111" s="60">
        <v>5119.0</v>
      </c>
      <c r="AL111" s="60">
        <v>5013.0</v>
      </c>
      <c r="AM111" s="60">
        <v>4907.0</v>
      </c>
      <c r="AN111" s="60">
        <v>4801.0</v>
      </c>
      <c r="AO111" s="60">
        <v>4695.0</v>
      </c>
      <c r="AP111" s="60">
        <v>4589.0</v>
      </c>
      <c r="AQ111" s="60">
        <v>4483.0</v>
      </c>
      <c r="AR111" s="60">
        <v>4377.0</v>
      </c>
      <c r="AS111" s="60">
        <v>4271.0</v>
      </c>
      <c r="AT111" s="60">
        <v>4165.0</v>
      </c>
      <c r="AU111" s="60">
        <v>4059.0</v>
      </c>
      <c r="AV111" s="60">
        <v>3953.0</v>
      </c>
      <c r="AW111" s="60">
        <v>3847.0</v>
      </c>
      <c r="AX111" s="60">
        <v>3741.0</v>
      </c>
      <c r="AY111" s="60">
        <v>3635.0</v>
      </c>
      <c r="AZ111" s="60">
        <v>3529.0</v>
      </c>
      <c r="BA111" s="60">
        <v>3423.0</v>
      </c>
      <c r="BB111" s="60">
        <v>3317.0</v>
      </c>
      <c r="BC111" s="60">
        <v>3211.0</v>
      </c>
      <c r="BD111" s="60">
        <v>3105.0</v>
      </c>
      <c r="BE111" s="60">
        <v>2999.0</v>
      </c>
      <c r="BF111" s="60">
        <v>2893.0</v>
      </c>
      <c r="BG111" s="60">
        <v>2787.0</v>
      </c>
      <c r="BH111" s="60">
        <v>2681.0</v>
      </c>
      <c r="BI111" s="60">
        <v>2575.0</v>
      </c>
      <c r="BJ111" s="60">
        <v>2469.0</v>
      </c>
      <c r="BK111" s="60">
        <v>2363.0</v>
      </c>
      <c r="BL111" s="60">
        <v>2257.0</v>
      </c>
      <c r="BM111" s="60">
        <v>2151.0</v>
      </c>
      <c r="BN111" s="60">
        <v>2045.0</v>
      </c>
      <c r="BO111" s="60">
        <v>1939.0</v>
      </c>
      <c r="BP111" s="60">
        <v>1833.0</v>
      </c>
      <c r="BQ111" s="60">
        <v>1727.0</v>
      </c>
      <c r="BR111" s="60">
        <v>1621.0</v>
      </c>
      <c r="BS111" s="60">
        <v>1515.0</v>
      </c>
      <c r="BT111" s="60">
        <v>1409.0</v>
      </c>
      <c r="BU111" s="60">
        <v>1303.0</v>
      </c>
      <c r="BV111" s="60">
        <v>1197.0</v>
      </c>
      <c r="BW111" s="60">
        <v>1091.0</v>
      </c>
      <c r="BX111" s="60">
        <v>985.0</v>
      </c>
      <c r="BY111" s="60">
        <v>879.0</v>
      </c>
      <c r="BZ111" s="60">
        <v>773.0</v>
      </c>
      <c r="CA111" s="60">
        <v>667.0</v>
      </c>
      <c r="CB111" s="60">
        <v>561.0</v>
      </c>
      <c r="CC111" s="60">
        <v>455.0</v>
      </c>
      <c r="CD111" s="60">
        <v>349.0</v>
      </c>
      <c r="CE111" s="60">
        <v>243.0</v>
      </c>
      <c r="CF111" s="17">
        <v>3.0</v>
      </c>
    </row>
    <row r="112">
      <c r="A112" s="17">
        <v>110.0</v>
      </c>
      <c r="B112" s="60">
        <v>8910.0</v>
      </c>
      <c r="C112" s="60">
        <v>8802.0</v>
      </c>
      <c r="D112" s="60">
        <v>8694.0</v>
      </c>
      <c r="E112" s="60">
        <v>8586.0</v>
      </c>
      <c r="F112" s="60">
        <v>8478.0</v>
      </c>
      <c r="G112" s="60">
        <v>8370.0</v>
      </c>
      <c r="H112" s="60">
        <v>8262.0</v>
      </c>
      <c r="I112" s="60">
        <v>8154.0</v>
      </c>
      <c r="J112" s="60">
        <v>8046.0</v>
      </c>
      <c r="K112" s="60">
        <v>7938.0</v>
      </c>
      <c r="L112" s="60">
        <v>7830.0</v>
      </c>
      <c r="M112" s="60">
        <v>7722.0</v>
      </c>
      <c r="N112" s="60">
        <v>7614.0</v>
      </c>
      <c r="O112" s="60">
        <v>7506.0</v>
      </c>
      <c r="P112" s="60">
        <v>7398.0</v>
      </c>
      <c r="Q112" s="60">
        <v>7290.0</v>
      </c>
      <c r="R112" s="60">
        <v>7182.0</v>
      </c>
      <c r="S112" s="60">
        <v>7074.0</v>
      </c>
      <c r="T112" s="60">
        <v>6966.0</v>
      </c>
      <c r="U112" s="60">
        <v>6858.0</v>
      </c>
      <c r="V112" s="60">
        <v>6750.0</v>
      </c>
      <c r="W112" s="60">
        <v>6642.0</v>
      </c>
      <c r="X112" s="60">
        <v>6534.0</v>
      </c>
      <c r="Y112" s="60">
        <v>6426.0</v>
      </c>
      <c r="Z112" s="60">
        <v>6318.0</v>
      </c>
      <c r="AA112" s="60">
        <v>6210.0</v>
      </c>
      <c r="AB112" s="60">
        <v>6102.0</v>
      </c>
      <c r="AC112" s="60">
        <v>5994.0</v>
      </c>
      <c r="AD112" s="60">
        <v>5886.0</v>
      </c>
      <c r="AE112" s="60">
        <v>5778.0</v>
      </c>
      <c r="AF112" s="60">
        <v>5670.0</v>
      </c>
      <c r="AG112" s="60">
        <v>5562.0</v>
      </c>
      <c r="AH112" s="60">
        <v>5454.0</v>
      </c>
      <c r="AI112" s="60">
        <v>5346.0</v>
      </c>
      <c r="AJ112" s="60">
        <v>5238.0</v>
      </c>
      <c r="AK112" s="60">
        <v>5130.0</v>
      </c>
      <c r="AL112" s="60">
        <v>5022.0</v>
      </c>
      <c r="AM112" s="60">
        <v>4914.0</v>
      </c>
      <c r="AN112" s="60">
        <v>4806.0</v>
      </c>
      <c r="AO112" s="60">
        <v>4698.0</v>
      </c>
      <c r="AP112" s="60">
        <v>4590.0</v>
      </c>
      <c r="AQ112" s="60">
        <v>4482.0</v>
      </c>
      <c r="AR112" s="60">
        <v>4374.0</v>
      </c>
      <c r="AS112" s="60">
        <v>4266.0</v>
      </c>
      <c r="AT112" s="60">
        <v>4158.0</v>
      </c>
      <c r="AU112" s="60">
        <v>4050.0</v>
      </c>
      <c r="AV112" s="60">
        <v>3942.0</v>
      </c>
      <c r="AW112" s="60">
        <v>3834.0</v>
      </c>
      <c r="AX112" s="60">
        <v>3726.0</v>
      </c>
      <c r="AY112" s="60">
        <v>3618.0</v>
      </c>
      <c r="AZ112" s="60">
        <v>3510.0</v>
      </c>
      <c r="BA112" s="60">
        <v>3402.0</v>
      </c>
      <c r="BB112" s="60">
        <v>3294.0</v>
      </c>
      <c r="BC112" s="60">
        <v>3186.0</v>
      </c>
      <c r="BD112" s="60">
        <v>3078.0</v>
      </c>
      <c r="BE112" s="60">
        <v>2970.0</v>
      </c>
      <c r="BF112" s="60">
        <v>2862.0</v>
      </c>
      <c r="BG112" s="60">
        <v>2754.0</v>
      </c>
      <c r="BH112" s="60">
        <v>2646.0</v>
      </c>
      <c r="BI112" s="60">
        <v>2538.0</v>
      </c>
      <c r="BJ112" s="60">
        <v>2430.0</v>
      </c>
      <c r="BK112" s="60">
        <v>2322.0</v>
      </c>
      <c r="BL112" s="60">
        <v>2214.0</v>
      </c>
      <c r="BM112" s="60">
        <v>2106.0</v>
      </c>
      <c r="BN112" s="60">
        <v>1998.0</v>
      </c>
      <c r="BO112" s="60">
        <v>1890.0</v>
      </c>
      <c r="BP112" s="60">
        <v>1782.0</v>
      </c>
      <c r="BQ112" s="60">
        <v>1674.0</v>
      </c>
      <c r="BR112" s="60">
        <v>1566.0</v>
      </c>
      <c r="BS112" s="60">
        <v>1458.0</v>
      </c>
      <c r="BT112" s="60">
        <v>1350.0</v>
      </c>
      <c r="BU112" s="60">
        <v>1242.0</v>
      </c>
      <c r="BV112" s="60">
        <v>1134.0</v>
      </c>
      <c r="BW112" s="60">
        <v>1026.0</v>
      </c>
      <c r="BX112" s="60">
        <v>918.0</v>
      </c>
      <c r="BY112" s="60">
        <v>810.0</v>
      </c>
      <c r="BZ112" s="60">
        <v>702.0</v>
      </c>
      <c r="CA112" s="60">
        <v>594.0</v>
      </c>
      <c r="CB112" s="60">
        <v>486.0</v>
      </c>
      <c r="CC112" s="60">
        <v>378.0</v>
      </c>
      <c r="CD112" s="60">
        <v>270.0</v>
      </c>
      <c r="CE112" s="60">
        <v>162.0</v>
      </c>
      <c r="CF112" s="17">
        <v>2.0</v>
      </c>
    </row>
    <row r="113">
      <c r="A113" s="17">
        <v>111.0</v>
      </c>
      <c r="B113" s="60">
        <v>8991.0</v>
      </c>
      <c r="C113" s="60">
        <v>8881.0</v>
      </c>
      <c r="D113" s="60">
        <v>8771.0</v>
      </c>
      <c r="E113" s="60">
        <v>8661.0</v>
      </c>
      <c r="F113" s="60">
        <v>8551.0</v>
      </c>
      <c r="G113" s="60">
        <v>8441.0</v>
      </c>
      <c r="H113" s="60">
        <v>8331.0</v>
      </c>
      <c r="I113" s="60">
        <v>8221.0</v>
      </c>
      <c r="J113" s="60">
        <v>8111.0</v>
      </c>
      <c r="K113" s="60">
        <v>8001.0</v>
      </c>
      <c r="L113" s="60">
        <v>7891.0</v>
      </c>
      <c r="M113" s="60">
        <v>7781.0</v>
      </c>
      <c r="N113" s="60">
        <v>7671.0</v>
      </c>
      <c r="O113" s="60">
        <v>7561.0</v>
      </c>
      <c r="P113" s="60">
        <v>7451.0</v>
      </c>
      <c r="Q113" s="60">
        <v>7341.0</v>
      </c>
      <c r="R113" s="60">
        <v>7231.0</v>
      </c>
      <c r="S113" s="60">
        <v>7121.0</v>
      </c>
      <c r="T113" s="60">
        <v>7011.0</v>
      </c>
      <c r="U113" s="60">
        <v>6901.0</v>
      </c>
      <c r="V113" s="60">
        <v>6791.0</v>
      </c>
      <c r="W113" s="60">
        <v>6681.0</v>
      </c>
      <c r="X113" s="60">
        <v>6571.0</v>
      </c>
      <c r="Y113" s="60">
        <v>6461.0</v>
      </c>
      <c r="Z113" s="60">
        <v>6351.0</v>
      </c>
      <c r="AA113" s="60">
        <v>6241.0</v>
      </c>
      <c r="AB113" s="60">
        <v>6131.0</v>
      </c>
      <c r="AC113" s="60">
        <v>6021.0</v>
      </c>
      <c r="AD113" s="60">
        <v>5911.0</v>
      </c>
      <c r="AE113" s="60">
        <v>5801.0</v>
      </c>
      <c r="AF113" s="60">
        <v>5691.0</v>
      </c>
      <c r="AG113" s="60">
        <v>5581.0</v>
      </c>
      <c r="AH113" s="60">
        <v>5471.0</v>
      </c>
      <c r="AI113" s="60">
        <v>5361.0</v>
      </c>
      <c r="AJ113" s="60">
        <v>5251.0</v>
      </c>
      <c r="AK113" s="60">
        <v>5141.0</v>
      </c>
      <c r="AL113" s="60">
        <v>5031.0</v>
      </c>
      <c r="AM113" s="60">
        <v>4921.0</v>
      </c>
      <c r="AN113" s="60">
        <v>4811.0</v>
      </c>
      <c r="AO113" s="60">
        <v>4701.0</v>
      </c>
      <c r="AP113" s="60">
        <v>4591.0</v>
      </c>
      <c r="AQ113" s="60">
        <v>4481.0</v>
      </c>
      <c r="AR113" s="60">
        <v>4371.0</v>
      </c>
      <c r="AS113" s="60">
        <v>4261.0</v>
      </c>
      <c r="AT113" s="60">
        <v>4151.0</v>
      </c>
      <c r="AU113" s="60">
        <v>4041.0</v>
      </c>
      <c r="AV113" s="60">
        <v>3931.0</v>
      </c>
      <c r="AW113" s="60">
        <v>3821.0</v>
      </c>
      <c r="AX113" s="60">
        <v>3711.0</v>
      </c>
      <c r="AY113" s="60">
        <v>3601.0</v>
      </c>
      <c r="AZ113" s="60">
        <v>3491.0</v>
      </c>
      <c r="BA113" s="60">
        <v>3381.0</v>
      </c>
      <c r="BB113" s="60">
        <v>3271.0</v>
      </c>
      <c r="BC113" s="60">
        <v>3161.0</v>
      </c>
      <c r="BD113" s="60">
        <v>3051.0</v>
      </c>
      <c r="BE113" s="60">
        <v>2941.0</v>
      </c>
      <c r="BF113" s="60">
        <v>2831.0</v>
      </c>
      <c r="BG113" s="60">
        <v>2721.0</v>
      </c>
      <c r="BH113" s="60">
        <v>2611.0</v>
      </c>
      <c r="BI113" s="60">
        <v>2501.0</v>
      </c>
      <c r="BJ113" s="60">
        <v>2391.0</v>
      </c>
      <c r="BK113" s="60">
        <v>2281.0</v>
      </c>
      <c r="BL113" s="60">
        <v>2171.0</v>
      </c>
      <c r="BM113" s="60">
        <v>2061.0</v>
      </c>
      <c r="BN113" s="60">
        <v>1951.0</v>
      </c>
      <c r="BO113" s="60">
        <v>1841.0</v>
      </c>
      <c r="BP113" s="60">
        <v>1731.0</v>
      </c>
      <c r="BQ113" s="60">
        <v>1621.0</v>
      </c>
      <c r="BR113" s="60">
        <v>1511.0</v>
      </c>
      <c r="BS113" s="60">
        <v>1401.0</v>
      </c>
      <c r="BT113" s="60">
        <v>1291.0</v>
      </c>
      <c r="BU113" s="60">
        <v>1181.0</v>
      </c>
      <c r="BV113" s="60">
        <v>1071.0</v>
      </c>
      <c r="BW113" s="60">
        <v>961.0</v>
      </c>
      <c r="BX113" s="60">
        <v>851.0</v>
      </c>
      <c r="BY113" s="60">
        <v>741.0</v>
      </c>
      <c r="BZ113" s="60">
        <v>631.0</v>
      </c>
      <c r="CA113" s="60">
        <v>521.0</v>
      </c>
      <c r="CB113" s="60">
        <v>411.0</v>
      </c>
      <c r="CC113" s="60">
        <v>301.0</v>
      </c>
      <c r="CD113" s="60">
        <v>191.0</v>
      </c>
      <c r="CE113" s="60">
        <v>81.0</v>
      </c>
      <c r="CF113" s="17">
        <v>1.0</v>
      </c>
    </row>
    <row r="114">
      <c r="A114" s="17">
        <v>112.0</v>
      </c>
      <c r="B114" s="60">
        <v>9072.0</v>
      </c>
      <c r="C114" s="60">
        <v>8960.0</v>
      </c>
      <c r="D114" s="60">
        <v>8848.0</v>
      </c>
      <c r="E114" s="60">
        <v>8736.0</v>
      </c>
      <c r="F114" s="60">
        <v>8624.0</v>
      </c>
      <c r="G114" s="60">
        <v>8512.0</v>
      </c>
      <c r="H114" s="60">
        <v>8400.0</v>
      </c>
      <c r="I114" s="60">
        <v>8288.0</v>
      </c>
      <c r="J114" s="60">
        <v>8176.0</v>
      </c>
      <c r="K114" s="60">
        <v>8064.0</v>
      </c>
      <c r="L114" s="60">
        <v>7952.0</v>
      </c>
      <c r="M114" s="60">
        <v>7840.0</v>
      </c>
      <c r="N114" s="60">
        <v>7728.0</v>
      </c>
      <c r="O114" s="60">
        <v>7616.0</v>
      </c>
      <c r="P114" s="60">
        <v>7504.0</v>
      </c>
      <c r="Q114" s="60">
        <v>7392.0</v>
      </c>
      <c r="R114" s="60">
        <v>7280.0</v>
      </c>
      <c r="S114" s="60">
        <v>7168.0</v>
      </c>
      <c r="T114" s="60">
        <v>7056.0</v>
      </c>
      <c r="U114" s="60">
        <v>6944.0</v>
      </c>
      <c r="V114" s="60">
        <v>6832.0</v>
      </c>
      <c r="W114" s="60">
        <v>6720.0</v>
      </c>
      <c r="X114" s="60">
        <v>6608.0</v>
      </c>
      <c r="Y114" s="60">
        <v>6496.0</v>
      </c>
      <c r="Z114" s="60">
        <v>6384.0</v>
      </c>
      <c r="AA114" s="60">
        <v>6272.0</v>
      </c>
      <c r="AB114" s="60">
        <v>6160.0</v>
      </c>
      <c r="AC114" s="60">
        <v>6048.0</v>
      </c>
      <c r="AD114" s="60">
        <v>5936.0</v>
      </c>
      <c r="AE114" s="60">
        <v>5824.0</v>
      </c>
      <c r="AF114" s="60">
        <v>5712.0</v>
      </c>
      <c r="AG114" s="60">
        <v>5600.0</v>
      </c>
      <c r="AH114" s="60">
        <v>5488.0</v>
      </c>
      <c r="AI114" s="60">
        <v>5376.0</v>
      </c>
      <c r="AJ114" s="60">
        <v>5264.0</v>
      </c>
      <c r="AK114" s="60">
        <v>5152.0</v>
      </c>
      <c r="AL114" s="60">
        <v>5040.0</v>
      </c>
      <c r="AM114" s="60">
        <v>4928.0</v>
      </c>
      <c r="AN114" s="60">
        <v>4816.0</v>
      </c>
      <c r="AO114" s="60">
        <v>4704.0</v>
      </c>
      <c r="AP114" s="60">
        <v>4592.0</v>
      </c>
      <c r="AQ114" s="60">
        <v>4480.0</v>
      </c>
      <c r="AR114" s="60">
        <v>4368.0</v>
      </c>
      <c r="AS114" s="60">
        <v>4256.0</v>
      </c>
      <c r="AT114" s="60">
        <v>4144.0</v>
      </c>
      <c r="AU114" s="60">
        <v>4032.0</v>
      </c>
      <c r="AV114" s="60">
        <v>3920.0</v>
      </c>
      <c r="AW114" s="60">
        <v>3808.0</v>
      </c>
      <c r="AX114" s="60">
        <v>3696.0</v>
      </c>
      <c r="AY114" s="60">
        <v>3584.0</v>
      </c>
      <c r="AZ114" s="60">
        <v>3472.0</v>
      </c>
      <c r="BA114" s="60">
        <v>3360.0</v>
      </c>
      <c r="BB114" s="60">
        <v>3248.0</v>
      </c>
      <c r="BC114" s="60">
        <v>3136.0</v>
      </c>
      <c r="BD114" s="60">
        <v>3024.0</v>
      </c>
      <c r="BE114" s="60">
        <v>2912.0</v>
      </c>
      <c r="BF114" s="60">
        <v>2800.0</v>
      </c>
      <c r="BG114" s="60">
        <v>2688.0</v>
      </c>
      <c r="BH114" s="60">
        <v>2576.0</v>
      </c>
      <c r="BI114" s="60">
        <v>2464.0</v>
      </c>
      <c r="BJ114" s="60">
        <v>2352.0</v>
      </c>
      <c r="BK114" s="60">
        <v>2240.0</v>
      </c>
      <c r="BL114" s="60">
        <v>2128.0</v>
      </c>
      <c r="BM114" s="60">
        <v>2016.0</v>
      </c>
      <c r="BN114" s="60">
        <v>1904.0</v>
      </c>
      <c r="BO114" s="60">
        <v>1792.0</v>
      </c>
      <c r="BP114" s="60">
        <v>1680.0</v>
      </c>
      <c r="BQ114" s="60">
        <v>1568.0</v>
      </c>
      <c r="BR114" s="60">
        <v>1456.0</v>
      </c>
      <c r="BS114" s="60">
        <v>1344.0</v>
      </c>
      <c r="BT114" s="60">
        <v>1232.0</v>
      </c>
      <c r="BU114" s="60">
        <v>1120.0</v>
      </c>
      <c r="BV114" s="60">
        <v>1008.0</v>
      </c>
      <c r="BW114" s="60">
        <v>896.0</v>
      </c>
      <c r="BX114" s="60">
        <v>784.0</v>
      </c>
      <c r="BY114" s="60">
        <v>672.0</v>
      </c>
      <c r="BZ114" s="60">
        <v>560.0</v>
      </c>
      <c r="CA114" s="60">
        <v>448.0</v>
      </c>
      <c r="CB114" s="60">
        <v>336.0</v>
      </c>
      <c r="CC114" s="60">
        <v>224.0</v>
      </c>
      <c r="CD114" s="60">
        <v>112.0</v>
      </c>
      <c r="CE114" s="60">
        <v>0.0</v>
      </c>
      <c r="CF114" s="17">
        <v>0.0</v>
      </c>
    </row>
    <row r="115">
      <c r="A115" s="17"/>
      <c r="B115" s="17">
        <f t="array" ref="B115:CE115">81-B1:CE1</f>
        <v>81</v>
      </c>
      <c r="C115" s="17">
        <v>80.0</v>
      </c>
      <c r="D115" s="17">
        <v>79.0</v>
      </c>
      <c r="E115" s="17">
        <v>78.0</v>
      </c>
      <c r="F115" s="17">
        <v>77.0</v>
      </c>
      <c r="G115" s="17">
        <v>76.0</v>
      </c>
      <c r="H115" s="17">
        <v>75.0</v>
      </c>
      <c r="I115" s="17">
        <v>74.0</v>
      </c>
      <c r="J115" s="17">
        <v>73.0</v>
      </c>
      <c r="K115" s="17">
        <v>72.0</v>
      </c>
      <c r="L115" s="17">
        <v>71.0</v>
      </c>
      <c r="M115" s="17">
        <v>70.0</v>
      </c>
      <c r="N115" s="17">
        <v>69.0</v>
      </c>
      <c r="O115" s="17">
        <v>68.0</v>
      </c>
      <c r="P115" s="17">
        <v>67.0</v>
      </c>
      <c r="Q115" s="17">
        <v>66.0</v>
      </c>
      <c r="R115" s="17">
        <v>65.0</v>
      </c>
      <c r="S115" s="17">
        <v>64.0</v>
      </c>
      <c r="T115" s="17">
        <v>63.0</v>
      </c>
      <c r="U115" s="17">
        <v>62.0</v>
      </c>
      <c r="V115" s="17">
        <v>61.0</v>
      </c>
      <c r="W115" s="17">
        <v>60.0</v>
      </c>
      <c r="X115" s="17">
        <v>59.0</v>
      </c>
      <c r="Y115" s="17">
        <v>58.0</v>
      </c>
      <c r="Z115" s="17">
        <v>57.0</v>
      </c>
      <c r="AA115" s="17">
        <v>56.0</v>
      </c>
      <c r="AB115" s="17">
        <v>55.0</v>
      </c>
      <c r="AC115" s="17">
        <v>54.0</v>
      </c>
      <c r="AD115" s="17">
        <v>53.0</v>
      </c>
      <c r="AE115" s="17">
        <v>52.0</v>
      </c>
      <c r="AF115" s="17">
        <v>51.0</v>
      </c>
      <c r="AG115" s="17">
        <v>50.0</v>
      </c>
      <c r="AH115" s="17">
        <v>49.0</v>
      </c>
      <c r="AI115" s="17">
        <v>48.0</v>
      </c>
      <c r="AJ115" s="17">
        <v>47.0</v>
      </c>
      <c r="AK115" s="17">
        <v>46.0</v>
      </c>
      <c r="AL115" s="17">
        <v>45.0</v>
      </c>
      <c r="AM115" s="17">
        <v>44.0</v>
      </c>
      <c r="AN115" s="17">
        <v>43.0</v>
      </c>
      <c r="AO115" s="17">
        <v>42.0</v>
      </c>
      <c r="AP115" s="17">
        <v>41.0</v>
      </c>
      <c r="AQ115" s="17">
        <v>40.0</v>
      </c>
      <c r="AR115" s="17">
        <v>39.0</v>
      </c>
      <c r="AS115" s="17">
        <v>38.0</v>
      </c>
      <c r="AT115" s="17">
        <v>37.0</v>
      </c>
      <c r="AU115" s="17">
        <v>36.0</v>
      </c>
      <c r="AV115" s="17">
        <v>35.0</v>
      </c>
      <c r="AW115" s="17">
        <v>34.0</v>
      </c>
      <c r="AX115" s="17">
        <v>33.0</v>
      </c>
      <c r="AY115" s="17">
        <v>32.0</v>
      </c>
      <c r="AZ115" s="17">
        <v>31.0</v>
      </c>
      <c r="BA115" s="17">
        <v>30.0</v>
      </c>
      <c r="BB115" s="17">
        <v>29.0</v>
      </c>
      <c r="BC115" s="17">
        <v>28.0</v>
      </c>
      <c r="BD115" s="17">
        <v>27.0</v>
      </c>
      <c r="BE115" s="17">
        <v>26.0</v>
      </c>
      <c r="BF115" s="17">
        <v>25.0</v>
      </c>
      <c r="BG115" s="17">
        <v>24.0</v>
      </c>
      <c r="BH115" s="17">
        <v>23.0</v>
      </c>
      <c r="BI115" s="17">
        <v>22.0</v>
      </c>
      <c r="BJ115" s="17">
        <v>21.0</v>
      </c>
      <c r="BK115" s="17">
        <v>20.0</v>
      </c>
      <c r="BL115" s="17">
        <v>19.0</v>
      </c>
      <c r="BM115" s="17">
        <v>18.0</v>
      </c>
      <c r="BN115" s="17">
        <v>17.0</v>
      </c>
      <c r="BO115" s="17">
        <v>16.0</v>
      </c>
      <c r="BP115" s="17">
        <v>15.0</v>
      </c>
      <c r="BQ115" s="17">
        <v>14.0</v>
      </c>
      <c r="BR115" s="17">
        <v>13.0</v>
      </c>
      <c r="BS115" s="17">
        <v>12.0</v>
      </c>
      <c r="BT115" s="17">
        <v>11.0</v>
      </c>
      <c r="BU115" s="17">
        <v>10.0</v>
      </c>
      <c r="BV115" s="17">
        <v>9.0</v>
      </c>
      <c r="BW115" s="17">
        <v>8.0</v>
      </c>
      <c r="BX115" s="17">
        <v>7.0</v>
      </c>
      <c r="BY115" s="17">
        <v>6.0</v>
      </c>
      <c r="BZ115" s="17">
        <v>5.0</v>
      </c>
      <c r="CA115" s="17">
        <v>4.0</v>
      </c>
      <c r="CB115" s="17">
        <v>3.0</v>
      </c>
      <c r="CC115" s="17">
        <v>2.0</v>
      </c>
      <c r="CD115" s="17">
        <v>1.0</v>
      </c>
      <c r="CE115" s="17">
        <v>0.0</v>
      </c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</row>
    <row r="116">
      <c r="A116" s="17"/>
      <c r="CF116" s="17"/>
    </row>
    <row r="117">
      <c r="A117" s="17"/>
      <c r="CF117" s="17"/>
    </row>
    <row r="118">
      <c r="A118" s="17"/>
      <c r="CF118" s="17"/>
    </row>
    <row r="119">
      <c r="A119" s="17"/>
      <c r="CF119" s="17"/>
    </row>
    <row r="120">
      <c r="A120" s="17"/>
      <c r="CF120" s="17"/>
    </row>
    <row r="121">
      <c r="A121" s="17"/>
      <c r="CF121" s="17"/>
    </row>
    <row r="122">
      <c r="A122" s="17"/>
      <c r="CF122" s="17"/>
    </row>
    <row r="123">
      <c r="A123" s="17"/>
      <c r="CF123" s="17"/>
    </row>
    <row r="124">
      <c r="A124" s="17"/>
      <c r="CF124" s="17"/>
    </row>
    <row r="125">
      <c r="A125" s="17"/>
      <c r="CF125" s="17"/>
    </row>
    <row r="126">
      <c r="A126" s="17"/>
      <c r="CF126" s="17"/>
    </row>
    <row r="127">
      <c r="A127" s="17"/>
      <c r="CF127" s="17"/>
    </row>
    <row r="128">
      <c r="A128" s="17"/>
      <c r="CF128" s="17"/>
    </row>
    <row r="129">
      <c r="A129" s="17"/>
      <c r="CF129" s="17"/>
    </row>
    <row r="130">
      <c r="A130" s="17"/>
      <c r="CF130" s="17"/>
    </row>
    <row r="131">
      <c r="A131" s="17"/>
      <c r="CF131" s="17"/>
    </row>
    <row r="132">
      <c r="A132" s="17"/>
      <c r="CF132" s="17"/>
    </row>
    <row r="133">
      <c r="A133" s="17"/>
      <c r="CF133" s="17"/>
    </row>
    <row r="134">
      <c r="A134" s="17"/>
      <c r="CF134" s="17"/>
    </row>
    <row r="135">
      <c r="A135" s="17"/>
      <c r="CF135" s="17"/>
    </row>
    <row r="136">
      <c r="A136" s="17"/>
      <c r="CF136" s="17"/>
    </row>
    <row r="137">
      <c r="A137" s="17"/>
      <c r="CF137" s="17"/>
    </row>
    <row r="138">
      <c r="A138" s="17"/>
      <c r="CF138" s="17"/>
    </row>
    <row r="139">
      <c r="A139" s="17"/>
      <c r="CF139" s="17"/>
    </row>
    <row r="140">
      <c r="A140" s="17"/>
      <c r="CF140" s="17"/>
    </row>
    <row r="141">
      <c r="A141" s="17"/>
      <c r="CF141" s="17"/>
    </row>
    <row r="142">
      <c r="A142" s="17"/>
      <c r="CF142" s="17"/>
    </row>
    <row r="143">
      <c r="A143" s="17"/>
      <c r="CF143" s="17"/>
    </row>
    <row r="144">
      <c r="A144" s="17"/>
      <c r="CF144" s="17"/>
    </row>
    <row r="145">
      <c r="A145" s="17"/>
      <c r="CF145" s="17"/>
    </row>
    <row r="146">
      <c r="A146" s="17"/>
      <c r="CF146" s="17"/>
    </row>
    <row r="147">
      <c r="A147" s="17"/>
      <c r="CF147" s="17"/>
    </row>
    <row r="148">
      <c r="A148" s="17"/>
      <c r="CF148" s="17"/>
    </row>
    <row r="149">
      <c r="A149" s="17"/>
      <c r="CF149" s="17"/>
    </row>
    <row r="150">
      <c r="A150" s="17"/>
      <c r="CF150" s="17"/>
    </row>
    <row r="151">
      <c r="A151" s="17"/>
      <c r="CF151" s="17"/>
    </row>
    <row r="152">
      <c r="A152" s="17"/>
      <c r="CF152" s="17"/>
    </row>
    <row r="153">
      <c r="A153" s="17"/>
      <c r="CF153" s="17"/>
    </row>
    <row r="154">
      <c r="A154" s="17"/>
      <c r="CF154" s="17"/>
    </row>
    <row r="155">
      <c r="A155" s="17"/>
      <c r="CF155" s="17"/>
    </row>
    <row r="156">
      <c r="A156" s="17"/>
      <c r="CF156" s="17"/>
    </row>
    <row r="157">
      <c r="A157" s="17"/>
      <c r="CF157" s="17"/>
    </row>
    <row r="158">
      <c r="A158" s="17"/>
      <c r="CF158" s="17"/>
    </row>
    <row r="159">
      <c r="A159" s="17"/>
      <c r="CF159" s="17"/>
    </row>
    <row r="160">
      <c r="A160" s="17"/>
      <c r="CF160" s="17"/>
    </row>
    <row r="161">
      <c r="A161" s="17"/>
      <c r="CF161" s="17"/>
    </row>
    <row r="162">
      <c r="A162" s="17"/>
      <c r="CF162" s="17"/>
    </row>
    <row r="163">
      <c r="A163" s="17"/>
      <c r="CF163" s="17"/>
    </row>
    <row r="164">
      <c r="A164" s="17"/>
      <c r="CF164" s="17"/>
    </row>
    <row r="165">
      <c r="A165" s="17"/>
      <c r="CF165" s="17"/>
    </row>
    <row r="166">
      <c r="A166" s="17"/>
      <c r="CF166" s="17"/>
    </row>
    <row r="167">
      <c r="A167" s="17"/>
      <c r="CF167" s="17"/>
    </row>
    <row r="168">
      <c r="A168" s="17"/>
      <c r="CF168" s="17"/>
    </row>
    <row r="169">
      <c r="A169" s="17"/>
      <c r="CF169" s="17"/>
    </row>
    <row r="170">
      <c r="A170" s="17"/>
      <c r="CF170" s="17"/>
    </row>
    <row r="171">
      <c r="A171" s="17"/>
      <c r="CF171" s="17"/>
    </row>
    <row r="172">
      <c r="A172" s="17"/>
      <c r="CF172" s="17"/>
    </row>
    <row r="173">
      <c r="A173" s="17"/>
      <c r="CF173" s="17"/>
    </row>
    <row r="174">
      <c r="A174" s="17"/>
      <c r="CF174" s="17"/>
    </row>
    <row r="175">
      <c r="A175" s="17"/>
      <c r="CF175" s="17"/>
    </row>
    <row r="176">
      <c r="A176" s="17"/>
      <c r="CF176" s="17"/>
    </row>
    <row r="177">
      <c r="A177" s="17"/>
      <c r="CF177" s="17"/>
    </row>
    <row r="178">
      <c r="A178" s="17"/>
      <c r="CF178" s="17"/>
    </row>
    <row r="179">
      <c r="A179" s="17"/>
      <c r="CF179" s="17"/>
    </row>
    <row r="180">
      <c r="A180" s="17"/>
      <c r="CF180" s="17"/>
    </row>
    <row r="181">
      <c r="A181" s="17"/>
      <c r="CF181" s="17"/>
    </row>
    <row r="182">
      <c r="A182" s="17"/>
      <c r="CF182" s="17"/>
    </row>
    <row r="183">
      <c r="A183" s="17"/>
      <c r="CF183" s="17"/>
    </row>
    <row r="184">
      <c r="A184" s="17"/>
      <c r="CF184" s="17"/>
    </row>
    <row r="185">
      <c r="A185" s="17"/>
      <c r="CF185" s="17"/>
    </row>
    <row r="186">
      <c r="A186" s="17"/>
      <c r="CF186" s="17"/>
    </row>
    <row r="187">
      <c r="A187" s="17"/>
      <c r="CF187" s="17"/>
    </row>
    <row r="188">
      <c r="A188" s="17"/>
      <c r="CF188" s="17"/>
    </row>
    <row r="189">
      <c r="A189" s="17"/>
      <c r="CF189" s="17"/>
    </row>
    <row r="190">
      <c r="A190" s="17"/>
      <c r="CF190" s="17"/>
    </row>
    <row r="191">
      <c r="A191" s="17"/>
      <c r="CF191" s="17"/>
    </row>
    <row r="192">
      <c r="A192" s="17"/>
      <c r="CF192" s="17"/>
    </row>
    <row r="193">
      <c r="A193" s="17"/>
      <c r="CF193" s="17"/>
    </row>
    <row r="194">
      <c r="A194" s="17"/>
      <c r="CF194" s="17"/>
    </row>
    <row r="195">
      <c r="A195" s="17"/>
      <c r="CF195" s="17"/>
    </row>
    <row r="196">
      <c r="A196" s="17"/>
      <c r="CF196" s="17"/>
    </row>
    <row r="197">
      <c r="A197" s="17"/>
      <c r="CF197" s="17"/>
    </row>
    <row r="198">
      <c r="A198" s="17"/>
      <c r="CF198" s="17"/>
    </row>
    <row r="199">
      <c r="A199" s="17"/>
      <c r="CF199" s="17"/>
    </row>
    <row r="200">
      <c r="A200" s="17"/>
      <c r="CF200" s="17"/>
    </row>
    <row r="201">
      <c r="A201" s="17"/>
      <c r="CF201" s="17"/>
    </row>
    <row r="202">
      <c r="A202" s="17"/>
      <c r="CF202" s="17"/>
    </row>
    <row r="203">
      <c r="A203" s="17"/>
      <c r="CF203" s="17"/>
    </row>
    <row r="204">
      <c r="A204" s="17"/>
      <c r="CF204" s="17"/>
    </row>
    <row r="205">
      <c r="A205" s="17"/>
      <c r="CF205" s="17"/>
    </row>
    <row r="206">
      <c r="A206" s="17"/>
      <c r="CF206" s="17"/>
    </row>
    <row r="207">
      <c r="A207" s="17"/>
      <c r="CF207" s="17"/>
    </row>
    <row r="208">
      <c r="A208" s="17"/>
      <c r="CF208" s="17"/>
    </row>
    <row r="209">
      <c r="A209" s="17"/>
      <c r="CF209" s="17"/>
    </row>
    <row r="210">
      <c r="A210" s="17"/>
      <c r="CF210" s="17"/>
    </row>
    <row r="211">
      <c r="A211" s="17"/>
      <c r="CF211" s="17"/>
    </row>
    <row r="212">
      <c r="A212" s="17"/>
      <c r="CF212" s="17"/>
    </row>
    <row r="213">
      <c r="A213" s="17"/>
      <c r="CF213" s="17"/>
    </row>
    <row r="214">
      <c r="A214" s="17"/>
      <c r="CF214" s="17"/>
    </row>
    <row r="215">
      <c r="A215" s="17"/>
      <c r="CF215" s="17"/>
    </row>
    <row r="216">
      <c r="A216" s="17"/>
      <c r="CF216" s="17"/>
    </row>
    <row r="217">
      <c r="A217" s="17"/>
      <c r="CF217" s="17"/>
    </row>
    <row r="218">
      <c r="A218" s="17"/>
      <c r="CF218" s="17"/>
    </row>
    <row r="219">
      <c r="A219" s="17"/>
      <c r="CF219" s="17"/>
    </row>
    <row r="220">
      <c r="A220" s="17"/>
      <c r="CF220" s="17"/>
    </row>
    <row r="221">
      <c r="A221" s="17"/>
      <c r="CF221" s="17"/>
    </row>
    <row r="222">
      <c r="A222" s="17"/>
      <c r="CF222" s="17"/>
    </row>
    <row r="223">
      <c r="A223" s="17"/>
      <c r="CF223" s="17"/>
    </row>
    <row r="224">
      <c r="A224" s="17"/>
      <c r="CF224" s="17"/>
    </row>
    <row r="225">
      <c r="A225" s="17"/>
      <c r="CF225" s="17"/>
    </row>
    <row r="226">
      <c r="A226" s="17"/>
      <c r="CF226" s="17"/>
    </row>
    <row r="227">
      <c r="A227" s="17"/>
      <c r="CF227" s="17"/>
    </row>
    <row r="228">
      <c r="A228" s="17"/>
      <c r="CF228" s="17"/>
    </row>
    <row r="229">
      <c r="A229" s="17"/>
      <c r="CF229" s="17"/>
    </row>
    <row r="230">
      <c r="A230" s="17"/>
      <c r="CF230" s="17"/>
    </row>
    <row r="231">
      <c r="A231" s="17"/>
      <c r="CF231" s="17"/>
    </row>
    <row r="232">
      <c r="A232" s="17"/>
      <c r="CF232" s="17"/>
    </row>
    <row r="233">
      <c r="A233" s="17"/>
      <c r="CF233" s="17"/>
    </row>
    <row r="234">
      <c r="A234" s="17"/>
      <c r="CF234" s="17"/>
    </row>
    <row r="235">
      <c r="A235" s="17"/>
      <c r="CF235" s="17"/>
    </row>
    <row r="236">
      <c r="A236" s="17"/>
      <c r="CF236" s="17"/>
    </row>
    <row r="237">
      <c r="A237" s="17"/>
      <c r="CF237" s="17"/>
    </row>
    <row r="238">
      <c r="A238" s="17"/>
      <c r="CF238" s="17"/>
    </row>
    <row r="239">
      <c r="A239" s="17"/>
      <c r="CF239" s="17"/>
    </row>
    <row r="240">
      <c r="A240" s="17"/>
      <c r="CF240" s="17"/>
    </row>
    <row r="241">
      <c r="A241" s="17"/>
      <c r="CF241" s="17"/>
    </row>
    <row r="242">
      <c r="A242" s="17"/>
      <c r="CF242" s="17"/>
    </row>
    <row r="243">
      <c r="A243" s="17"/>
      <c r="CF243" s="17"/>
    </row>
    <row r="244">
      <c r="A244" s="17"/>
      <c r="CF244" s="17"/>
    </row>
    <row r="245">
      <c r="A245" s="17"/>
      <c r="CF245" s="17"/>
    </row>
    <row r="246">
      <c r="A246" s="17"/>
      <c r="CF246" s="17"/>
    </row>
    <row r="247">
      <c r="A247" s="17"/>
      <c r="CF247" s="17"/>
    </row>
    <row r="248">
      <c r="A248" s="17"/>
      <c r="CF248" s="17"/>
    </row>
    <row r="249">
      <c r="A249" s="17"/>
      <c r="CF249" s="17"/>
    </row>
    <row r="250">
      <c r="A250" s="17"/>
      <c r="CF250" s="17"/>
    </row>
    <row r="251">
      <c r="A251" s="17"/>
      <c r="CF251" s="17"/>
    </row>
    <row r="252">
      <c r="A252" s="17"/>
      <c r="CF252" s="17"/>
    </row>
    <row r="253">
      <c r="A253" s="17"/>
      <c r="CF253" s="17"/>
    </row>
    <row r="254">
      <c r="A254" s="17"/>
      <c r="CF254" s="17"/>
    </row>
    <row r="255">
      <c r="A255" s="17"/>
      <c r="CF255" s="17"/>
    </row>
    <row r="256">
      <c r="A256" s="17"/>
      <c r="CF256" s="17"/>
    </row>
    <row r="257">
      <c r="A257" s="17"/>
      <c r="CF257" s="17"/>
    </row>
    <row r="258">
      <c r="A258" s="17"/>
      <c r="CF258" s="17"/>
    </row>
    <row r="259">
      <c r="A259" s="17"/>
      <c r="CF259" s="17"/>
    </row>
    <row r="260">
      <c r="A260" s="17"/>
      <c r="CF260" s="17"/>
    </row>
    <row r="261">
      <c r="A261" s="17"/>
      <c r="CF261" s="17"/>
    </row>
    <row r="262">
      <c r="A262" s="17"/>
      <c r="CF262" s="17"/>
    </row>
    <row r="263">
      <c r="A263" s="17"/>
      <c r="CF263" s="17"/>
    </row>
    <row r="264">
      <c r="A264" s="17"/>
      <c r="CF264" s="17"/>
    </row>
    <row r="265">
      <c r="A265" s="17"/>
      <c r="CF265" s="17"/>
    </row>
    <row r="266">
      <c r="A266" s="17"/>
      <c r="CF266" s="17"/>
    </row>
    <row r="267">
      <c r="A267" s="17"/>
      <c r="CF267" s="17"/>
    </row>
    <row r="268">
      <c r="A268" s="17"/>
      <c r="CF268" s="17"/>
    </row>
    <row r="269">
      <c r="A269" s="17"/>
      <c r="CF269" s="17"/>
    </row>
    <row r="270">
      <c r="A270" s="17"/>
      <c r="CF270" s="17"/>
    </row>
    <row r="271">
      <c r="A271" s="17"/>
      <c r="CF271" s="17"/>
    </row>
    <row r="272">
      <c r="A272" s="17"/>
      <c r="CF272" s="17"/>
    </row>
    <row r="273">
      <c r="A273" s="17"/>
      <c r="CF273" s="17"/>
    </row>
    <row r="274">
      <c r="A274" s="17"/>
      <c r="CF274" s="17"/>
    </row>
    <row r="275">
      <c r="A275" s="17"/>
      <c r="CF275" s="17"/>
    </row>
    <row r="276">
      <c r="A276" s="17"/>
      <c r="CF276" s="17"/>
    </row>
    <row r="277">
      <c r="A277" s="17"/>
      <c r="CF277" s="17"/>
    </row>
    <row r="278">
      <c r="A278" s="17"/>
      <c r="CF278" s="17"/>
    </row>
    <row r="279">
      <c r="A279" s="17"/>
      <c r="CF279" s="17"/>
    </row>
    <row r="280">
      <c r="A280" s="17"/>
      <c r="CF280" s="17"/>
    </row>
    <row r="281">
      <c r="A281" s="17"/>
      <c r="CF281" s="17"/>
    </row>
    <row r="282">
      <c r="A282" s="17"/>
      <c r="CF282" s="17"/>
    </row>
    <row r="283">
      <c r="A283" s="17"/>
      <c r="CF283" s="17"/>
    </row>
    <row r="284">
      <c r="A284" s="17"/>
      <c r="CF284" s="17"/>
    </row>
    <row r="285">
      <c r="A285" s="17"/>
      <c r="CF285" s="17"/>
    </row>
    <row r="286">
      <c r="A286" s="17"/>
      <c r="CF286" s="17"/>
    </row>
    <row r="287">
      <c r="A287" s="17"/>
      <c r="CF287" s="17"/>
    </row>
    <row r="288">
      <c r="A288" s="17"/>
      <c r="CF288" s="17"/>
    </row>
    <row r="289">
      <c r="A289" s="17"/>
      <c r="CF289" s="17"/>
    </row>
    <row r="290">
      <c r="A290" s="17"/>
      <c r="CF290" s="17"/>
    </row>
    <row r="291">
      <c r="A291" s="17"/>
      <c r="CF291" s="17"/>
    </row>
    <row r="292">
      <c r="A292" s="17"/>
      <c r="CF292" s="17"/>
    </row>
    <row r="293">
      <c r="A293" s="17"/>
      <c r="CF293" s="17"/>
    </row>
    <row r="294">
      <c r="A294" s="17"/>
      <c r="CF294" s="17"/>
    </row>
    <row r="295">
      <c r="A295" s="17"/>
      <c r="CF295" s="17"/>
    </row>
    <row r="296">
      <c r="A296" s="17"/>
      <c r="CF296" s="17"/>
    </row>
    <row r="297">
      <c r="A297" s="17"/>
      <c r="CF297" s="17"/>
    </row>
    <row r="298">
      <c r="A298" s="17"/>
      <c r="CF298" s="17"/>
    </row>
    <row r="299">
      <c r="A299" s="17"/>
      <c r="CF299" s="17"/>
    </row>
    <row r="300">
      <c r="A300" s="17"/>
      <c r="CF300" s="17"/>
    </row>
    <row r="301">
      <c r="A301" s="17"/>
      <c r="CF301" s="17"/>
    </row>
    <row r="302">
      <c r="A302" s="17"/>
      <c r="CF302" s="17"/>
    </row>
    <row r="303">
      <c r="A303" s="17"/>
      <c r="CF303" s="17"/>
    </row>
    <row r="304">
      <c r="A304" s="17"/>
      <c r="CF304" s="17"/>
    </row>
    <row r="305">
      <c r="A305" s="17"/>
      <c r="CF305" s="17"/>
    </row>
    <row r="306">
      <c r="A306" s="17"/>
      <c r="CF306" s="17"/>
    </row>
    <row r="307">
      <c r="A307" s="17"/>
      <c r="CF307" s="17"/>
    </row>
    <row r="308">
      <c r="A308" s="17"/>
      <c r="CF308" s="17"/>
    </row>
    <row r="309">
      <c r="A309" s="17"/>
      <c r="CF309" s="17"/>
    </row>
    <row r="310">
      <c r="A310" s="17"/>
      <c r="CF310" s="17"/>
    </row>
    <row r="311">
      <c r="A311" s="17"/>
      <c r="CF311" s="17"/>
    </row>
    <row r="312">
      <c r="A312" s="17"/>
      <c r="CF312" s="17"/>
    </row>
    <row r="313">
      <c r="A313" s="17"/>
      <c r="CF313" s="17"/>
    </row>
    <row r="314">
      <c r="A314" s="17"/>
      <c r="CF314" s="17"/>
    </row>
    <row r="315">
      <c r="A315" s="17"/>
      <c r="CF315" s="17"/>
    </row>
    <row r="316">
      <c r="A316" s="17"/>
      <c r="CF316" s="17"/>
    </row>
    <row r="317">
      <c r="A317" s="17"/>
      <c r="CF317" s="17"/>
    </row>
    <row r="318">
      <c r="A318" s="17"/>
      <c r="CF318" s="17"/>
    </row>
    <row r="319">
      <c r="A319" s="17"/>
      <c r="CF319" s="17"/>
    </row>
    <row r="320">
      <c r="A320" s="17"/>
      <c r="CF320" s="17"/>
    </row>
    <row r="321">
      <c r="A321" s="17"/>
      <c r="CF321" s="17"/>
    </row>
    <row r="322">
      <c r="A322" s="17"/>
      <c r="CF322" s="17"/>
    </row>
    <row r="323">
      <c r="A323" s="17"/>
      <c r="CF323" s="17"/>
    </row>
    <row r="324">
      <c r="A324" s="17"/>
      <c r="CF324" s="17"/>
    </row>
    <row r="325">
      <c r="A325" s="17"/>
      <c r="CF325" s="17"/>
    </row>
    <row r="326">
      <c r="A326" s="17"/>
      <c r="CF326" s="17"/>
    </row>
    <row r="327">
      <c r="A327" s="17"/>
      <c r="CF327" s="17"/>
    </row>
    <row r="328">
      <c r="A328" s="17"/>
      <c r="CF328" s="17"/>
    </row>
    <row r="329">
      <c r="A329" s="17"/>
      <c r="CF329" s="17"/>
    </row>
    <row r="330">
      <c r="A330" s="17"/>
      <c r="CF330" s="17"/>
    </row>
    <row r="331">
      <c r="A331" s="17"/>
      <c r="CF331" s="17"/>
    </row>
    <row r="332">
      <c r="A332" s="17"/>
      <c r="CF332" s="17"/>
    </row>
    <row r="333">
      <c r="A333" s="17"/>
      <c r="CF333" s="17"/>
    </row>
    <row r="334">
      <c r="A334" s="17"/>
      <c r="CF334" s="17"/>
    </row>
    <row r="335">
      <c r="A335" s="17"/>
      <c r="CF335" s="17"/>
    </row>
    <row r="336">
      <c r="A336" s="17"/>
      <c r="CF336" s="17"/>
    </row>
    <row r="337">
      <c r="A337" s="17"/>
      <c r="CF337" s="17"/>
    </row>
    <row r="338">
      <c r="A338" s="17"/>
      <c r="CF338" s="17"/>
    </row>
    <row r="339">
      <c r="A339" s="17"/>
      <c r="CF339" s="17"/>
    </row>
    <row r="340">
      <c r="A340" s="17"/>
      <c r="CF340" s="17"/>
    </row>
    <row r="341">
      <c r="A341" s="17"/>
      <c r="CF341" s="17"/>
    </row>
    <row r="342">
      <c r="A342" s="17"/>
      <c r="CF342" s="17"/>
    </row>
    <row r="343">
      <c r="A343" s="17"/>
      <c r="CF343" s="17"/>
    </row>
    <row r="344">
      <c r="A344" s="17"/>
      <c r="CF344" s="17"/>
    </row>
    <row r="345">
      <c r="A345" s="17"/>
      <c r="CF345" s="17"/>
    </row>
    <row r="346">
      <c r="A346" s="17"/>
      <c r="CF346" s="17"/>
    </row>
    <row r="347">
      <c r="A347" s="17"/>
      <c r="CF347" s="17"/>
    </row>
    <row r="348">
      <c r="A348" s="17"/>
      <c r="CF348" s="17"/>
    </row>
    <row r="349">
      <c r="A349" s="17"/>
      <c r="CF349" s="17"/>
    </row>
    <row r="350">
      <c r="A350" s="17"/>
      <c r="CF350" s="17"/>
    </row>
    <row r="351">
      <c r="A351" s="17"/>
      <c r="CF351" s="17"/>
    </row>
    <row r="352">
      <c r="A352" s="17"/>
      <c r="CF352" s="17"/>
    </row>
    <row r="353">
      <c r="A353" s="17"/>
      <c r="CF353" s="17"/>
    </row>
    <row r="354">
      <c r="A354" s="17"/>
      <c r="CF354" s="17"/>
    </row>
    <row r="355">
      <c r="A355" s="17"/>
      <c r="CF355" s="17"/>
    </row>
    <row r="356">
      <c r="A356" s="17"/>
      <c r="CF356" s="17"/>
    </row>
    <row r="357">
      <c r="A357" s="17"/>
      <c r="CF357" s="17"/>
    </row>
    <row r="358">
      <c r="A358" s="17"/>
      <c r="CF358" s="17"/>
    </row>
    <row r="359">
      <c r="A359" s="17"/>
      <c r="CF359" s="17"/>
    </row>
    <row r="360">
      <c r="A360" s="17"/>
      <c r="CF360" s="17"/>
    </row>
    <row r="361">
      <c r="A361" s="17"/>
      <c r="CF361" s="17"/>
    </row>
    <row r="362">
      <c r="A362" s="17"/>
      <c r="CF362" s="17"/>
    </row>
    <row r="363">
      <c r="A363" s="17"/>
      <c r="CF363" s="17"/>
    </row>
    <row r="364">
      <c r="A364" s="17"/>
      <c r="CF364" s="17"/>
    </row>
    <row r="365">
      <c r="A365" s="17"/>
      <c r="CF365" s="17"/>
    </row>
    <row r="366">
      <c r="A366" s="17"/>
      <c r="CF366" s="17"/>
    </row>
    <row r="367">
      <c r="A367" s="17"/>
      <c r="CF367" s="17"/>
    </row>
    <row r="368">
      <c r="A368" s="17"/>
      <c r="CF368" s="17"/>
    </row>
    <row r="369">
      <c r="A369" s="17"/>
      <c r="CF369" s="17"/>
    </row>
    <row r="370">
      <c r="A370" s="17"/>
      <c r="CF370" s="17"/>
    </row>
    <row r="371">
      <c r="A371" s="17"/>
      <c r="CF371" s="17"/>
    </row>
    <row r="372">
      <c r="A372" s="17"/>
      <c r="CF372" s="17"/>
    </row>
    <row r="373">
      <c r="A373" s="17"/>
      <c r="CF373" s="17"/>
    </row>
    <row r="374">
      <c r="A374" s="17"/>
      <c r="CF374" s="17"/>
    </row>
    <row r="375">
      <c r="A375" s="17"/>
      <c r="CF375" s="17"/>
    </row>
    <row r="376">
      <c r="A376" s="17"/>
      <c r="CF376" s="17"/>
    </row>
    <row r="377">
      <c r="A377" s="17"/>
      <c r="CF377" s="17"/>
    </row>
    <row r="378">
      <c r="A378" s="17"/>
      <c r="CF378" s="17"/>
    </row>
    <row r="379">
      <c r="A379" s="17"/>
      <c r="CF379" s="17"/>
    </row>
    <row r="380">
      <c r="A380" s="17"/>
      <c r="CF380" s="17"/>
    </row>
    <row r="381">
      <c r="A381" s="17"/>
      <c r="CF381" s="17"/>
    </row>
    <row r="382">
      <c r="A382" s="17"/>
      <c r="CF382" s="17"/>
    </row>
    <row r="383">
      <c r="A383" s="17"/>
      <c r="CF383" s="17"/>
    </row>
    <row r="384">
      <c r="A384" s="17"/>
      <c r="CF384" s="17"/>
    </row>
    <row r="385">
      <c r="A385" s="17"/>
      <c r="CF385" s="17"/>
    </row>
    <row r="386">
      <c r="A386" s="17"/>
      <c r="CF386" s="17"/>
    </row>
    <row r="387">
      <c r="A387" s="17"/>
      <c r="CF387" s="17"/>
    </row>
    <row r="388">
      <c r="A388" s="17"/>
      <c r="CF388" s="17"/>
    </row>
    <row r="389">
      <c r="A389" s="17"/>
      <c r="CF389" s="17"/>
    </row>
    <row r="390">
      <c r="A390" s="17"/>
      <c r="CF390" s="17"/>
    </row>
    <row r="391">
      <c r="A391" s="17"/>
      <c r="CF391" s="17"/>
    </row>
    <row r="392">
      <c r="A392" s="17"/>
      <c r="CF392" s="17"/>
    </row>
    <row r="393">
      <c r="A393" s="17"/>
      <c r="CF393" s="17"/>
    </row>
    <row r="394">
      <c r="A394" s="17"/>
      <c r="CF394" s="17"/>
    </row>
    <row r="395">
      <c r="A395" s="17"/>
      <c r="CF395" s="17"/>
    </row>
    <row r="396">
      <c r="A396" s="17"/>
      <c r="CF396" s="17"/>
    </row>
    <row r="397">
      <c r="A397" s="17"/>
      <c r="CF397" s="17"/>
    </row>
    <row r="398">
      <c r="A398" s="17"/>
      <c r="CF398" s="17"/>
    </row>
    <row r="399">
      <c r="A399" s="17"/>
      <c r="CF399" s="17"/>
    </row>
    <row r="400">
      <c r="A400" s="17"/>
      <c r="CF400" s="17"/>
    </row>
    <row r="401">
      <c r="A401" s="17"/>
      <c r="CF401" s="17"/>
    </row>
    <row r="402">
      <c r="A402" s="17"/>
      <c r="CF402" s="17"/>
    </row>
    <row r="403">
      <c r="A403" s="17"/>
      <c r="CF403" s="17"/>
    </row>
    <row r="404">
      <c r="A404" s="17"/>
      <c r="CF404" s="17"/>
    </row>
    <row r="405">
      <c r="A405" s="17"/>
      <c r="CF405" s="17"/>
    </row>
    <row r="406">
      <c r="A406" s="17"/>
      <c r="CF406" s="17"/>
    </row>
    <row r="407">
      <c r="A407" s="17"/>
      <c r="CF407" s="17"/>
    </row>
    <row r="408">
      <c r="A408" s="17"/>
      <c r="CF408" s="17"/>
    </row>
    <row r="409">
      <c r="A409" s="17"/>
      <c r="CF409" s="17"/>
    </row>
    <row r="410">
      <c r="A410" s="17"/>
      <c r="CF410" s="17"/>
    </row>
    <row r="411">
      <c r="A411" s="17"/>
      <c r="CF411" s="17"/>
    </row>
    <row r="412">
      <c r="A412" s="17"/>
      <c r="CF412" s="17"/>
    </row>
    <row r="413">
      <c r="A413" s="17"/>
      <c r="CF413" s="17"/>
    </row>
    <row r="414">
      <c r="A414" s="17"/>
      <c r="CF414" s="17"/>
    </row>
    <row r="415">
      <c r="A415" s="17"/>
      <c r="CF415" s="17"/>
    </row>
    <row r="416">
      <c r="A416" s="17"/>
      <c r="CF416" s="17"/>
    </row>
    <row r="417">
      <c r="A417" s="17"/>
      <c r="CF417" s="17"/>
    </row>
    <row r="418">
      <c r="A418" s="17"/>
      <c r="CF418" s="17"/>
    </row>
    <row r="419">
      <c r="A419" s="17"/>
      <c r="CF419" s="17"/>
    </row>
    <row r="420">
      <c r="A420" s="17"/>
      <c r="CF420" s="17"/>
    </row>
    <row r="421">
      <c r="A421" s="17"/>
      <c r="CF421" s="17"/>
    </row>
    <row r="422">
      <c r="A422" s="17"/>
      <c r="CF422" s="17"/>
    </row>
    <row r="423">
      <c r="A423" s="17"/>
      <c r="CF423" s="17"/>
    </row>
    <row r="424">
      <c r="A424" s="17"/>
      <c r="CF424" s="17"/>
    </row>
    <row r="425">
      <c r="A425" s="17"/>
      <c r="CF425" s="17"/>
    </row>
    <row r="426">
      <c r="A426" s="17"/>
      <c r="CF426" s="17"/>
    </row>
    <row r="427">
      <c r="A427" s="17"/>
      <c r="CF427" s="17"/>
    </row>
    <row r="428">
      <c r="A428" s="17"/>
      <c r="CF428" s="17"/>
    </row>
    <row r="429">
      <c r="A429" s="17"/>
      <c r="CF429" s="17"/>
    </row>
    <row r="430">
      <c r="A430" s="17"/>
      <c r="CF430" s="17"/>
    </row>
    <row r="431">
      <c r="A431" s="17"/>
      <c r="CF431" s="17"/>
    </row>
    <row r="432">
      <c r="A432" s="17"/>
      <c r="CF432" s="17"/>
    </row>
    <row r="433">
      <c r="A433" s="17"/>
      <c r="CF433" s="17"/>
    </row>
    <row r="434">
      <c r="A434" s="17"/>
      <c r="CF434" s="17"/>
    </row>
    <row r="435">
      <c r="A435" s="17"/>
      <c r="CF435" s="17"/>
    </row>
    <row r="436">
      <c r="A436" s="17"/>
      <c r="CF436" s="17"/>
    </row>
    <row r="437">
      <c r="A437" s="17"/>
      <c r="CF437" s="17"/>
    </row>
    <row r="438">
      <c r="A438" s="17"/>
      <c r="CF438" s="17"/>
    </row>
    <row r="439">
      <c r="A439" s="17"/>
      <c r="CF439" s="17"/>
    </row>
    <row r="440">
      <c r="A440" s="17"/>
      <c r="CF440" s="17"/>
    </row>
    <row r="441">
      <c r="A441" s="17"/>
      <c r="CF441" s="17"/>
    </row>
    <row r="442">
      <c r="A442" s="17"/>
      <c r="CF442" s="17"/>
    </row>
    <row r="443">
      <c r="A443" s="17"/>
      <c r="CF443" s="17"/>
    </row>
    <row r="444">
      <c r="A444" s="17"/>
      <c r="CF444" s="17"/>
    </row>
    <row r="445">
      <c r="A445" s="17"/>
      <c r="CF445" s="17"/>
    </row>
    <row r="446">
      <c r="A446" s="17"/>
      <c r="CF446" s="17"/>
    </row>
    <row r="447">
      <c r="A447" s="17"/>
      <c r="CF447" s="17"/>
    </row>
    <row r="448">
      <c r="A448" s="17"/>
      <c r="CF448" s="17"/>
    </row>
    <row r="449">
      <c r="A449" s="17"/>
      <c r="CF449" s="17"/>
    </row>
    <row r="450">
      <c r="A450" s="17"/>
      <c r="CF450" s="17"/>
    </row>
    <row r="451">
      <c r="A451" s="17"/>
      <c r="CF451" s="17"/>
    </row>
    <row r="452">
      <c r="A452" s="17"/>
      <c r="CF452" s="17"/>
    </row>
    <row r="453">
      <c r="A453" s="17"/>
      <c r="CF453" s="17"/>
    </row>
    <row r="454">
      <c r="A454" s="17"/>
      <c r="CF454" s="17"/>
    </row>
    <row r="455">
      <c r="A455" s="17"/>
      <c r="CF455" s="17"/>
    </row>
    <row r="456">
      <c r="A456" s="17"/>
      <c r="CF456" s="17"/>
    </row>
    <row r="457">
      <c r="A457" s="17"/>
      <c r="CF457" s="17"/>
    </row>
    <row r="458">
      <c r="A458" s="17"/>
      <c r="CF458" s="17"/>
    </row>
    <row r="459">
      <c r="A459" s="17"/>
      <c r="CF459" s="17"/>
    </row>
    <row r="460">
      <c r="A460" s="17"/>
      <c r="CF460" s="17"/>
    </row>
    <row r="461">
      <c r="A461" s="17"/>
      <c r="CF461" s="17"/>
    </row>
    <row r="462">
      <c r="A462" s="17"/>
      <c r="CF462" s="17"/>
    </row>
    <row r="463">
      <c r="A463" s="17"/>
      <c r="CF463" s="17"/>
    </row>
    <row r="464">
      <c r="A464" s="17"/>
      <c r="CF464" s="17"/>
    </row>
    <row r="465">
      <c r="A465" s="17"/>
      <c r="CF465" s="17"/>
    </row>
    <row r="466">
      <c r="A466" s="17"/>
      <c r="CF466" s="17"/>
    </row>
    <row r="467">
      <c r="A467" s="17"/>
      <c r="CF467" s="17"/>
    </row>
    <row r="468">
      <c r="A468" s="17"/>
      <c r="CF468" s="17"/>
    </row>
    <row r="469">
      <c r="A469" s="17"/>
      <c r="CF469" s="17"/>
    </row>
    <row r="470">
      <c r="A470" s="17"/>
      <c r="CF470" s="17"/>
    </row>
    <row r="471">
      <c r="A471" s="17"/>
      <c r="CF471" s="17"/>
    </row>
    <row r="472">
      <c r="A472" s="17"/>
      <c r="CF472" s="17"/>
    </row>
    <row r="473">
      <c r="A473" s="17"/>
      <c r="CF473" s="17"/>
    </row>
    <row r="474">
      <c r="A474" s="17"/>
      <c r="CF474" s="17"/>
    </row>
    <row r="475">
      <c r="A475" s="17"/>
      <c r="CF475" s="17"/>
    </row>
    <row r="476">
      <c r="A476" s="17"/>
      <c r="CF476" s="17"/>
    </row>
    <row r="477">
      <c r="A477" s="17"/>
      <c r="CF477" s="17"/>
    </row>
    <row r="478">
      <c r="A478" s="17"/>
      <c r="CF478" s="17"/>
    </row>
    <row r="479">
      <c r="A479" s="17"/>
      <c r="CF479" s="17"/>
    </row>
    <row r="480">
      <c r="A480" s="17"/>
      <c r="CF480" s="17"/>
    </row>
    <row r="481">
      <c r="A481" s="17"/>
      <c r="CF481" s="17"/>
    </row>
    <row r="482">
      <c r="A482" s="17"/>
      <c r="CF482" s="17"/>
    </row>
    <row r="483">
      <c r="A483" s="17"/>
      <c r="CF483" s="17"/>
    </row>
    <row r="484">
      <c r="A484" s="17"/>
      <c r="CF484" s="17"/>
    </row>
    <row r="485">
      <c r="A485" s="17"/>
      <c r="CF485" s="17"/>
    </row>
    <row r="486">
      <c r="A486" s="17"/>
      <c r="CF486" s="17"/>
    </row>
    <row r="487">
      <c r="A487" s="17"/>
      <c r="CF487" s="17"/>
    </row>
    <row r="488">
      <c r="A488" s="17"/>
      <c r="CF488" s="17"/>
    </row>
    <row r="489">
      <c r="A489" s="17"/>
      <c r="CF489" s="17"/>
    </row>
    <row r="490">
      <c r="A490" s="17"/>
      <c r="CF490" s="17"/>
    </row>
    <row r="491">
      <c r="A491" s="17"/>
      <c r="CF491" s="17"/>
    </row>
    <row r="492">
      <c r="A492" s="17"/>
      <c r="CF492" s="17"/>
    </row>
    <row r="493">
      <c r="A493" s="17"/>
      <c r="CF493" s="17"/>
    </row>
    <row r="494">
      <c r="A494" s="17"/>
      <c r="CF494" s="17"/>
    </row>
    <row r="495">
      <c r="A495" s="17"/>
      <c r="CF495" s="17"/>
    </row>
    <row r="496">
      <c r="A496" s="17"/>
      <c r="CF496" s="17"/>
    </row>
    <row r="497">
      <c r="A497" s="17"/>
      <c r="CF497" s="17"/>
    </row>
    <row r="498">
      <c r="A498" s="17"/>
      <c r="CF498" s="17"/>
    </row>
    <row r="499">
      <c r="A499" s="17"/>
      <c r="CF499" s="17"/>
    </row>
    <row r="500">
      <c r="A500" s="17"/>
      <c r="CF500" s="17"/>
    </row>
    <row r="501">
      <c r="A501" s="17"/>
      <c r="CF501" s="17"/>
    </row>
    <row r="502">
      <c r="A502" s="17"/>
      <c r="CF502" s="17"/>
    </row>
    <row r="503">
      <c r="A503" s="17"/>
      <c r="CF503" s="17"/>
    </row>
    <row r="504">
      <c r="A504" s="17"/>
      <c r="CF504" s="17"/>
    </row>
    <row r="505">
      <c r="A505" s="17"/>
      <c r="CF505" s="17"/>
    </row>
    <row r="506">
      <c r="A506" s="17"/>
      <c r="CF506" s="17"/>
    </row>
    <row r="507">
      <c r="A507" s="17"/>
      <c r="CF507" s="17"/>
    </row>
    <row r="508">
      <c r="A508" s="17"/>
      <c r="CF508" s="17"/>
    </row>
    <row r="509">
      <c r="A509" s="17"/>
      <c r="CF509" s="17"/>
    </row>
    <row r="510">
      <c r="A510" s="17"/>
      <c r="CF510" s="17"/>
    </row>
    <row r="511">
      <c r="A511" s="17"/>
      <c r="CF511" s="17"/>
    </row>
    <row r="512">
      <c r="A512" s="17"/>
      <c r="CF512" s="17"/>
    </row>
    <row r="513">
      <c r="A513" s="17"/>
      <c r="CF513" s="17"/>
    </row>
    <row r="514">
      <c r="A514" s="17"/>
      <c r="CF514" s="17"/>
    </row>
    <row r="515">
      <c r="A515" s="17"/>
      <c r="CF515" s="17"/>
    </row>
    <row r="516">
      <c r="A516" s="17"/>
      <c r="CF516" s="17"/>
    </row>
    <row r="517">
      <c r="A517" s="17"/>
      <c r="CF517" s="17"/>
    </row>
    <row r="518">
      <c r="A518" s="17"/>
      <c r="CF518" s="17"/>
    </row>
    <row r="519">
      <c r="A519" s="17"/>
      <c r="CF519" s="17"/>
    </row>
    <row r="520">
      <c r="A520" s="17"/>
      <c r="CF520" s="17"/>
    </row>
    <row r="521">
      <c r="A521" s="17"/>
      <c r="CF521" s="17"/>
    </row>
    <row r="522">
      <c r="A522" s="17"/>
      <c r="CF522" s="17"/>
    </row>
    <row r="523">
      <c r="A523" s="17"/>
      <c r="CF523" s="17"/>
    </row>
    <row r="524">
      <c r="A524" s="17"/>
      <c r="CF524" s="17"/>
    </row>
    <row r="525">
      <c r="A525" s="17"/>
      <c r="CF525" s="17"/>
    </row>
    <row r="526">
      <c r="A526" s="17"/>
      <c r="CF526" s="17"/>
    </row>
    <row r="527">
      <c r="A527" s="17"/>
      <c r="CF527" s="17"/>
    </row>
    <row r="528">
      <c r="A528" s="17"/>
      <c r="CF528" s="17"/>
    </row>
    <row r="529">
      <c r="A529" s="17"/>
      <c r="CF529" s="17"/>
    </row>
    <row r="530">
      <c r="A530" s="17"/>
      <c r="CF530" s="17"/>
    </row>
    <row r="531">
      <c r="A531" s="17"/>
      <c r="CF531" s="17"/>
    </row>
    <row r="532">
      <c r="A532" s="17"/>
      <c r="CF532" s="17"/>
    </row>
    <row r="533">
      <c r="A533" s="17"/>
      <c r="CF533" s="17"/>
    </row>
    <row r="534">
      <c r="A534" s="17"/>
      <c r="CF534" s="17"/>
    </row>
    <row r="535">
      <c r="A535" s="17"/>
      <c r="CF535" s="17"/>
    </row>
    <row r="536">
      <c r="A536" s="17"/>
      <c r="CF536" s="17"/>
    </row>
    <row r="537">
      <c r="A537" s="17"/>
      <c r="CF537" s="17"/>
    </row>
    <row r="538">
      <c r="A538" s="17"/>
      <c r="CF538" s="17"/>
    </row>
    <row r="539">
      <c r="A539" s="17"/>
      <c r="CF539" s="17"/>
    </row>
    <row r="540">
      <c r="A540" s="17"/>
      <c r="CF540" s="17"/>
    </row>
    <row r="541">
      <c r="A541" s="17"/>
      <c r="CF541" s="17"/>
    </row>
    <row r="542">
      <c r="A542" s="17"/>
      <c r="CF542" s="17"/>
    </row>
    <row r="543">
      <c r="A543" s="17"/>
      <c r="CF543" s="17"/>
    </row>
    <row r="544">
      <c r="A544" s="17"/>
      <c r="CF544" s="17"/>
    </row>
    <row r="545">
      <c r="A545" s="17"/>
      <c r="CF545" s="17"/>
    </row>
    <row r="546">
      <c r="A546" s="17"/>
      <c r="CF546" s="17"/>
    </row>
    <row r="547">
      <c r="A547" s="17"/>
      <c r="CF547" s="17"/>
    </row>
    <row r="548">
      <c r="A548" s="17"/>
      <c r="CF548" s="17"/>
    </row>
    <row r="549">
      <c r="A549" s="17"/>
      <c r="CF549" s="17"/>
    </row>
    <row r="550">
      <c r="A550" s="17"/>
      <c r="CF550" s="17"/>
    </row>
    <row r="551">
      <c r="A551" s="17"/>
      <c r="CF551" s="17"/>
    </row>
    <row r="552">
      <c r="A552" s="17"/>
      <c r="CF552" s="17"/>
    </row>
    <row r="553">
      <c r="A553" s="17"/>
      <c r="CF553" s="17"/>
    </row>
    <row r="554">
      <c r="A554" s="17"/>
      <c r="CF554" s="17"/>
    </row>
    <row r="555">
      <c r="A555" s="17"/>
      <c r="CF555" s="17"/>
    </row>
    <row r="556">
      <c r="A556" s="17"/>
      <c r="CF556" s="17"/>
    </row>
    <row r="557">
      <c r="A557" s="17"/>
      <c r="CF557" s="17"/>
    </row>
    <row r="558">
      <c r="A558" s="17"/>
      <c r="CF558" s="17"/>
    </row>
    <row r="559">
      <c r="A559" s="17"/>
      <c r="CF559" s="17"/>
    </row>
    <row r="560">
      <c r="A560" s="17"/>
      <c r="CF560" s="17"/>
    </row>
    <row r="561">
      <c r="A561" s="17"/>
      <c r="CF561" s="17"/>
    </row>
    <row r="562">
      <c r="A562" s="17"/>
      <c r="CF562" s="17"/>
    </row>
    <row r="563">
      <c r="A563" s="17"/>
      <c r="CF563" s="17"/>
    </row>
    <row r="564">
      <c r="A564" s="17"/>
      <c r="CF564" s="17"/>
    </row>
    <row r="565">
      <c r="A565" s="17"/>
      <c r="CF565" s="17"/>
    </row>
    <row r="566">
      <c r="A566" s="17"/>
      <c r="CF566" s="17"/>
    </row>
    <row r="567">
      <c r="A567" s="17"/>
      <c r="CF567" s="17"/>
    </row>
    <row r="568">
      <c r="A568" s="17"/>
      <c r="CF568" s="17"/>
    </row>
    <row r="569">
      <c r="A569" s="17"/>
      <c r="CF569" s="17"/>
    </row>
    <row r="570">
      <c r="A570" s="17"/>
      <c r="CF570" s="17"/>
    </row>
    <row r="571">
      <c r="A571" s="17"/>
      <c r="CF571" s="17"/>
    </row>
    <row r="572">
      <c r="A572" s="17"/>
      <c r="CF572" s="17"/>
    </row>
    <row r="573">
      <c r="A573" s="17"/>
      <c r="CF573" s="17"/>
    </row>
    <row r="574">
      <c r="A574" s="17"/>
      <c r="CF574" s="17"/>
    </row>
    <row r="575">
      <c r="A575" s="17"/>
      <c r="CF575" s="17"/>
    </row>
    <row r="576">
      <c r="A576" s="17"/>
      <c r="CF576" s="17"/>
    </row>
    <row r="577">
      <c r="A577" s="17"/>
      <c r="CF577" s="17"/>
    </row>
    <row r="578">
      <c r="A578" s="17"/>
      <c r="CF578" s="17"/>
    </row>
    <row r="579">
      <c r="A579" s="17"/>
      <c r="CF579" s="17"/>
    </row>
    <row r="580">
      <c r="A580" s="17"/>
      <c r="CF580" s="17"/>
    </row>
    <row r="581">
      <c r="A581" s="17"/>
      <c r="CF581" s="17"/>
    </row>
    <row r="582">
      <c r="A582" s="17"/>
      <c r="CF582" s="17"/>
    </row>
    <row r="583">
      <c r="A583" s="17"/>
      <c r="CF583" s="17"/>
    </row>
    <row r="584">
      <c r="A584" s="17"/>
      <c r="CF584" s="17"/>
    </row>
    <row r="585">
      <c r="A585" s="17"/>
      <c r="CF585" s="17"/>
    </row>
    <row r="586">
      <c r="A586" s="17"/>
      <c r="CF586" s="17"/>
    </row>
    <row r="587">
      <c r="A587" s="17"/>
      <c r="CF587" s="17"/>
    </row>
    <row r="588">
      <c r="A588" s="17"/>
      <c r="CF588" s="17"/>
    </row>
    <row r="589">
      <c r="A589" s="17"/>
      <c r="CF589" s="17"/>
    </row>
    <row r="590">
      <c r="A590" s="17"/>
      <c r="CF590" s="17"/>
    </row>
    <row r="591">
      <c r="A591" s="17"/>
      <c r="CF591" s="17"/>
    </row>
    <row r="592">
      <c r="A592" s="17"/>
      <c r="CF592" s="17"/>
    </row>
    <row r="593">
      <c r="A593" s="17"/>
      <c r="CF593" s="17"/>
    </row>
    <row r="594">
      <c r="A594" s="17"/>
      <c r="CF594" s="17"/>
    </row>
    <row r="595">
      <c r="A595" s="17"/>
      <c r="CF595" s="17"/>
    </row>
    <row r="596">
      <c r="A596" s="17"/>
      <c r="CF596" s="17"/>
    </row>
    <row r="597">
      <c r="A597" s="17"/>
      <c r="CF597" s="17"/>
    </row>
    <row r="598">
      <c r="A598" s="17"/>
      <c r="CF598" s="17"/>
    </row>
    <row r="599">
      <c r="A599" s="17"/>
      <c r="CF599" s="17"/>
    </row>
    <row r="600">
      <c r="A600" s="17"/>
      <c r="CF600" s="17"/>
    </row>
    <row r="601">
      <c r="A601" s="17"/>
      <c r="CF601" s="17"/>
    </row>
    <row r="602">
      <c r="A602" s="17"/>
      <c r="CF602" s="17"/>
    </row>
    <row r="603">
      <c r="A603" s="17"/>
      <c r="CF603" s="17"/>
    </row>
    <row r="604">
      <c r="A604" s="17"/>
      <c r="CF604" s="17"/>
    </row>
    <row r="605">
      <c r="A605" s="17"/>
      <c r="CF605" s="17"/>
    </row>
    <row r="606">
      <c r="A606" s="17"/>
      <c r="CF606" s="17"/>
    </row>
    <row r="607">
      <c r="A607" s="17"/>
      <c r="CF607" s="17"/>
    </row>
    <row r="608">
      <c r="A608" s="17"/>
      <c r="CF608" s="17"/>
    </row>
    <row r="609">
      <c r="A609" s="17"/>
      <c r="CF609" s="17"/>
    </row>
    <row r="610">
      <c r="A610" s="17"/>
      <c r="CF610" s="17"/>
    </row>
    <row r="611">
      <c r="A611" s="17"/>
      <c r="CF611" s="17"/>
    </row>
    <row r="612">
      <c r="A612" s="17"/>
      <c r="CF612" s="17"/>
    </row>
    <row r="613">
      <c r="A613" s="17"/>
      <c r="CF613" s="17"/>
    </row>
    <row r="614">
      <c r="A614" s="17"/>
      <c r="CF614" s="17"/>
    </row>
    <row r="615">
      <c r="A615" s="17"/>
      <c r="CF615" s="17"/>
    </row>
    <row r="616">
      <c r="A616" s="17"/>
      <c r="CF616" s="17"/>
    </row>
    <row r="617">
      <c r="A617" s="17"/>
      <c r="CF617" s="17"/>
    </row>
    <row r="618">
      <c r="A618" s="17"/>
      <c r="CF618" s="17"/>
    </row>
    <row r="619">
      <c r="A619" s="17"/>
      <c r="CF619" s="17"/>
    </row>
    <row r="620">
      <c r="A620" s="17"/>
      <c r="CF620" s="17"/>
    </row>
    <row r="621">
      <c r="A621" s="17"/>
      <c r="CF621" s="17"/>
    </row>
    <row r="622">
      <c r="A622" s="17"/>
      <c r="CF622" s="17"/>
    </row>
    <row r="623">
      <c r="A623" s="17"/>
      <c r="CF623" s="17"/>
    </row>
    <row r="624">
      <c r="A624" s="17"/>
      <c r="CF624" s="17"/>
    </row>
    <row r="625">
      <c r="A625" s="17"/>
      <c r="CF625" s="17"/>
    </row>
    <row r="626">
      <c r="A626" s="17"/>
      <c r="CF626" s="17"/>
    </row>
    <row r="627">
      <c r="A627" s="17"/>
      <c r="CF627" s="17"/>
    </row>
    <row r="628">
      <c r="A628" s="17"/>
      <c r="CF628" s="17"/>
    </row>
    <row r="629">
      <c r="A629" s="17"/>
      <c r="CF629" s="17"/>
    </row>
    <row r="630">
      <c r="A630" s="17"/>
      <c r="CF630" s="17"/>
    </row>
    <row r="631">
      <c r="A631" s="17"/>
      <c r="CF631" s="17"/>
    </row>
    <row r="632">
      <c r="A632" s="17"/>
      <c r="CF632" s="17"/>
    </row>
    <row r="633">
      <c r="A633" s="17"/>
      <c r="CF633" s="17"/>
    </row>
    <row r="634">
      <c r="A634" s="17"/>
      <c r="CF634" s="17"/>
    </row>
    <row r="635">
      <c r="A635" s="17"/>
      <c r="CF635" s="17"/>
    </row>
    <row r="636">
      <c r="A636" s="17"/>
      <c r="CF636" s="17"/>
    </row>
    <row r="637">
      <c r="A637" s="17"/>
      <c r="CF637" s="17"/>
    </row>
    <row r="638">
      <c r="A638" s="17"/>
      <c r="CF638" s="17"/>
    </row>
    <row r="639">
      <c r="A639" s="17"/>
      <c r="CF639" s="17"/>
    </row>
    <row r="640">
      <c r="A640" s="17"/>
      <c r="CF640" s="17"/>
    </row>
    <row r="641">
      <c r="A641" s="17"/>
      <c r="CF641" s="17"/>
    </row>
    <row r="642">
      <c r="A642" s="17"/>
      <c r="CF642" s="17"/>
    </row>
    <row r="643">
      <c r="A643" s="17"/>
      <c r="CF643" s="17"/>
    </row>
    <row r="644">
      <c r="A644" s="17"/>
      <c r="CF644" s="17"/>
    </row>
    <row r="645">
      <c r="A645" s="17"/>
      <c r="CF645" s="17"/>
    </row>
    <row r="646">
      <c r="A646" s="17"/>
      <c r="CF646" s="17"/>
    </row>
    <row r="647">
      <c r="A647" s="17"/>
      <c r="CF647" s="17"/>
    </row>
    <row r="648">
      <c r="A648" s="17"/>
      <c r="CF648" s="17"/>
    </row>
    <row r="649">
      <c r="A649" s="17"/>
      <c r="CF649" s="17"/>
    </row>
    <row r="650">
      <c r="A650" s="17"/>
      <c r="CF650" s="17"/>
    </row>
    <row r="651">
      <c r="A651" s="17"/>
      <c r="CF651" s="17"/>
    </row>
    <row r="652">
      <c r="A652" s="17"/>
      <c r="CF652" s="17"/>
    </row>
    <row r="653">
      <c r="A653" s="17"/>
      <c r="CF653" s="17"/>
    </row>
    <row r="654">
      <c r="A654" s="17"/>
      <c r="CF654" s="17"/>
    </row>
    <row r="655">
      <c r="A655" s="17"/>
      <c r="CF655" s="17"/>
    </row>
    <row r="656">
      <c r="A656" s="17"/>
      <c r="CF656" s="17"/>
    </row>
    <row r="657">
      <c r="A657" s="17"/>
      <c r="CF657" s="17"/>
    </row>
    <row r="658">
      <c r="A658" s="17"/>
      <c r="CF658" s="17"/>
    </row>
    <row r="659">
      <c r="A659" s="17"/>
      <c r="CF659" s="17"/>
    </row>
    <row r="660">
      <c r="A660" s="17"/>
      <c r="CF660" s="17"/>
    </row>
    <row r="661">
      <c r="A661" s="17"/>
      <c r="CF661" s="17"/>
    </row>
    <row r="662">
      <c r="A662" s="17"/>
      <c r="CF662" s="17"/>
    </row>
    <row r="663">
      <c r="A663" s="17"/>
      <c r="CF663" s="17"/>
    </row>
    <row r="664">
      <c r="A664" s="17"/>
      <c r="CF664" s="17"/>
    </row>
    <row r="665">
      <c r="A665" s="17"/>
      <c r="CF665" s="17"/>
    </row>
    <row r="666">
      <c r="A666" s="17"/>
      <c r="CF666" s="17"/>
    </row>
    <row r="667">
      <c r="A667" s="17"/>
      <c r="CF667" s="17"/>
    </row>
    <row r="668">
      <c r="A668" s="17"/>
      <c r="CF668" s="17"/>
    </row>
    <row r="669">
      <c r="A669" s="17"/>
      <c r="CF669" s="17"/>
    </row>
    <row r="670">
      <c r="A670" s="17"/>
      <c r="CF670" s="17"/>
    </row>
    <row r="671">
      <c r="A671" s="17"/>
      <c r="CF671" s="17"/>
    </row>
    <row r="672">
      <c r="A672" s="17"/>
      <c r="CF672" s="17"/>
    </row>
    <row r="673">
      <c r="A673" s="17"/>
      <c r="CF673" s="17"/>
    </row>
    <row r="674">
      <c r="A674" s="17"/>
      <c r="CF674" s="17"/>
    </row>
    <row r="675">
      <c r="A675" s="17"/>
      <c r="CF675" s="17"/>
    </row>
    <row r="676">
      <c r="A676" s="17"/>
      <c r="CF676" s="17"/>
    </row>
    <row r="677">
      <c r="A677" s="17"/>
      <c r="CF677" s="17"/>
    </row>
    <row r="678">
      <c r="A678" s="17"/>
      <c r="CF678" s="17"/>
    </row>
    <row r="679">
      <c r="A679" s="17"/>
      <c r="CF679" s="17"/>
    </row>
    <row r="680">
      <c r="A680" s="17"/>
      <c r="CF680" s="17"/>
    </row>
    <row r="681">
      <c r="A681" s="17"/>
      <c r="CF681" s="17"/>
    </row>
    <row r="682">
      <c r="A682" s="17"/>
      <c r="CF682" s="17"/>
    </row>
    <row r="683">
      <c r="A683" s="17"/>
      <c r="CF683" s="17"/>
    </row>
    <row r="684">
      <c r="A684" s="17"/>
      <c r="CF684" s="17"/>
    </row>
    <row r="685">
      <c r="A685" s="17"/>
      <c r="CF685" s="17"/>
    </row>
    <row r="686">
      <c r="A686" s="17"/>
      <c r="CF686" s="17"/>
    </row>
    <row r="687">
      <c r="A687" s="17"/>
      <c r="CF687" s="17"/>
    </row>
    <row r="688">
      <c r="A688" s="17"/>
      <c r="CF688" s="17"/>
    </row>
    <row r="689">
      <c r="A689" s="17"/>
      <c r="CF689" s="17"/>
    </row>
    <row r="690">
      <c r="A690" s="17"/>
      <c r="CF690" s="17"/>
    </row>
    <row r="691">
      <c r="A691" s="17"/>
      <c r="CF691" s="17"/>
    </row>
    <row r="692">
      <c r="A692" s="17"/>
      <c r="CF692" s="17"/>
    </row>
    <row r="693">
      <c r="A693" s="17"/>
      <c r="CF693" s="17"/>
    </row>
    <row r="694">
      <c r="A694" s="17"/>
      <c r="CF694" s="17"/>
    </row>
    <row r="695">
      <c r="A695" s="17"/>
      <c r="CF695" s="17"/>
    </row>
    <row r="696">
      <c r="A696" s="17"/>
      <c r="CF696" s="17"/>
    </row>
    <row r="697">
      <c r="A697" s="17"/>
      <c r="CF697" s="17"/>
    </row>
    <row r="698">
      <c r="A698" s="17"/>
      <c r="CF698" s="17"/>
    </row>
    <row r="699">
      <c r="A699" s="17"/>
      <c r="CF699" s="17"/>
    </row>
    <row r="700">
      <c r="A700" s="17"/>
      <c r="CF700" s="17"/>
    </row>
    <row r="701">
      <c r="A701" s="17"/>
      <c r="CF701" s="17"/>
    </row>
    <row r="702">
      <c r="A702" s="17"/>
      <c r="CF702" s="17"/>
    </row>
    <row r="703">
      <c r="A703" s="17"/>
      <c r="CF703" s="17"/>
    </row>
    <row r="704">
      <c r="A704" s="17"/>
      <c r="CF704" s="17"/>
    </row>
    <row r="705">
      <c r="A705" s="17"/>
      <c r="CF705" s="17"/>
    </row>
    <row r="706">
      <c r="A706" s="17"/>
      <c r="CF706" s="17"/>
    </row>
    <row r="707">
      <c r="A707" s="17"/>
      <c r="CF707" s="17"/>
    </row>
    <row r="708">
      <c r="A708" s="17"/>
      <c r="CF708" s="17"/>
    </row>
    <row r="709">
      <c r="A709" s="17"/>
      <c r="CF709" s="17"/>
    </row>
    <row r="710">
      <c r="A710" s="17"/>
      <c r="CF710" s="17"/>
    </row>
    <row r="711">
      <c r="A711" s="17"/>
      <c r="CF711" s="17"/>
    </row>
    <row r="712">
      <c r="A712" s="17"/>
      <c r="CF712" s="17"/>
    </row>
    <row r="713">
      <c r="A713" s="17"/>
      <c r="CF713" s="17"/>
    </row>
    <row r="714">
      <c r="A714" s="17"/>
      <c r="CF714" s="17"/>
    </row>
    <row r="715">
      <c r="A715" s="17"/>
      <c r="CF715" s="17"/>
    </row>
    <row r="716">
      <c r="A716" s="17"/>
      <c r="CF716" s="17"/>
    </row>
    <row r="717">
      <c r="A717" s="17"/>
      <c r="CF717" s="17"/>
    </row>
    <row r="718">
      <c r="A718" s="17"/>
      <c r="CF718" s="17"/>
    </row>
    <row r="719">
      <c r="A719" s="17"/>
      <c r="CF719" s="17"/>
    </row>
    <row r="720">
      <c r="A720" s="17"/>
      <c r="CF720" s="17"/>
    </row>
    <row r="721">
      <c r="A721" s="17"/>
      <c r="CF721" s="17"/>
    </row>
    <row r="722">
      <c r="A722" s="17"/>
      <c r="CF722" s="17"/>
    </row>
    <row r="723">
      <c r="A723" s="17"/>
      <c r="CF723" s="17"/>
    </row>
    <row r="724">
      <c r="A724" s="17"/>
      <c r="CF724" s="17"/>
    </row>
    <row r="725">
      <c r="A725" s="17"/>
      <c r="CF725" s="17"/>
    </row>
    <row r="726">
      <c r="A726" s="17"/>
      <c r="CF726" s="17"/>
    </row>
    <row r="727">
      <c r="A727" s="17"/>
      <c r="CF727" s="17"/>
    </row>
    <row r="728">
      <c r="A728" s="17"/>
      <c r="CF728" s="17"/>
    </row>
    <row r="729">
      <c r="A729" s="17"/>
      <c r="CF729" s="17"/>
    </row>
    <row r="730">
      <c r="A730" s="17"/>
      <c r="CF730" s="17"/>
    </row>
    <row r="731">
      <c r="A731" s="17"/>
      <c r="CF731" s="17"/>
    </row>
    <row r="732">
      <c r="A732" s="17"/>
      <c r="CF732" s="17"/>
    </row>
    <row r="733">
      <c r="A733" s="17"/>
      <c r="CF733" s="17"/>
    </row>
    <row r="734">
      <c r="A734" s="17"/>
      <c r="CF734" s="17"/>
    </row>
    <row r="735">
      <c r="A735" s="17"/>
      <c r="CF735" s="17"/>
    </row>
    <row r="736">
      <c r="A736" s="17"/>
      <c r="CF736" s="17"/>
    </row>
    <row r="737">
      <c r="A737" s="17"/>
      <c r="CF737" s="17"/>
    </row>
    <row r="738">
      <c r="A738" s="17"/>
      <c r="CF738" s="17"/>
    </row>
    <row r="739">
      <c r="A739" s="17"/>
      <c r="CF739" s="17"/>
    </row>
    <row r="740">
      <c r="A740" s="17"/>
      <c r="CF740" s="17"/>
    </row>
    <row r="741">
      <c r="A741" s="17"/>
      <c r="CF741" s="17"/>
    </row>
    <row r="742">
      <c r="A742" s="17"/>
      <c r="CF742" s="17"/>
    </row>
    <row r="743">
      <c r="A743" s="17"/>
      <c r="CF743" s="17"/>
    </row>
    <row r="744">
      <c r="A744" s="17"/>
      <c r="CF744" s="17"/>
    </row>
    <row r="745">
      <c r="A745" s="17"/>
      <c r="CF745" s="17"/>
    </row>
    <row r="746">
      <c r="A746" s="17"/>
      <c r="CF746" s="17"/>
    </row>
    <row r="747">
      <c r="A747" s="17"/>
      <c r="CF747" s="17"/>
    </row>
    <row r="748">
      <c r="A748" s="17"/>
      <c r="CF748" s="17"/>
    </row>
    <row r="749">
      <c r="A749" s="17"/>
      <c r="CF749" s="17"/>
    </row>
    <row r="750">
      <c r="A750" s="17"/>
      <c r="CF750" s="17"/>
    </row>
    <row r="751">
      <c r="A751" s="17"/>
      <c r="CF751" s="17"/>
    </row>
    <row r="752">
      <c r="A752" s="17"/>
      <c r="CF752" s="17"/>
    </row>
    <row r="753">
      <c r="A753" s="17"/>
      <c r="CF753" s="17"/>
    </row>
    <row r="754">
      <c r="A754" s="17"/>
      <c r="CF754" s="17"/>
    </row>
    <row r="755">
      <c r="A755" s="17"/>
      <c r="CF755" s="17"/>
    </row>
    <row r="756">
      <c r="A756" s="17"/>
      <c r="CF756" s="17"/>
    </row>
    <row r="757">
      <c r="A757" s="17"/>
      <c r="CF757" s="17"/>
    </row>
    <row r="758">
      <c r="A758" s="17"/>
      <c r="CF758" s="17"/>
    </row>
    <row r="759">
      <c r="A759" s="17"/>
      <c r="CF759" s="17"/>
    </row>
    <row r="760">
      <c r="A760" s="17"/>
      <c r="CF760" s="17"/>
    </row>
    <row r="761">
      <c r="A761" s="17"/>
      <c r="CF761" s="17"/>
    </row>
    <row r="762">
      <c r="A762" s="17"/>
      <c r="CF762" s="17"/>
    </row>
    <row r="763">
      <c r="A763" s="17"/>
      <c r="CF763" s="17"/>
    </row>
    <row r="764">
      <c r="A764" s="17"/>
      <c r="CF764" s="17"/>
    </row>
    <row r="765">
      <c r="A765" s="17"/>
      <c r="CF765" s="17"/>
    </row>
    <row r="766">
      <c r="A766" s="17"/>
      <c r="CF766" s="17"/>
    </row>
    <row r="767">
      <c r="A767" s="17"/>
      <c r="CF767" s="17"/>
    </row>
    <row r="768">
      <c r="A768" s="17"/>
      <c r="CF768" s="17"/>
    </row>
    <row r="769">
      <c r="A769" s="17"/>
      <c r="CF769" s="17"/>
    </row>
    <row r="770">
      <c r="A770" s="17"/>
      <c r="CF770" s="17"/>
    </row>
    <row r="771">
      <c r="A771" s="17"/>
      <c r="CF771" s="17"/>
    </row>
    <row r="772">
      <c r="A772" s="17"/>
      <c r="CF772" s="17"/>
    </row>
    <row r="773">
      <c r="A773" s="17"/>
      <c r="CF773" s="17"/>
    </row>
    <row r="774">
      <c r="A774" s="17"/>
      <c r="CF774" s="17"/>
    </row>
    <row r="775">
      <c r="A775" s="17"/>
      <c r="CF775" s="17"/>
    </row>
    <row r="776">
      <c r="A776" s="17"/>
      <c r="CF776" s="17"/>
    </row>
    <row r="777">
      <c r="A777" s="17"/>
      <c r="CF777" s="17"/>
    </row>
    <row r="778">
      <c r="A778" s="17"/>
      <c r="CF778" s="17"/>
    </row>
    <row r="779">
      <c r="A779" s="17"/>
      <c r="CF779" s="17"/>
    </row>
    <row r="780">
      <c r="A780" s="17"/>
      <c r="CF780" s="17"/>
    </row>
    <row r="781">
      <c r="A781" s="17"/>
      <c r="CF781" s="17"/>
    </row>
    <row r="782">
      <c r="A782" s="17"/>
      <c r="CF782" s="17"/>
    </row>
    <row r="783">
      <c r="A783" s="17"/>
      <c r="CF783" s="17"/>
    </row>
    <row r="784">
      <c r="A784" s="17"/>
      <c r="CF784" s="17"/>
    </row>
    <row r="785">
      <c r="A785" s="17"/>
      <c r="CF785" s="17"/>
    </row>
    <row r="786">
      <c r="A786" s="17"/>
      <c r="CF786" s="17"/>
    </row>
    <row r="787">
      <c r="A787" s="17"/>
      <c r="CF787" s="17"/>
    </row>
    <row r="788">
      <c r="A788" s="17"/>
      <c r="CF788" s="17"/>
    </row>
    <row r="789">
      <c r="A789" s="17"/>
      <c r="CF789" s="17"/>
    </row>
    <row r="790">
      <c r="A790" s="17"/>
      <c r="CF790" s="17"/>
    </row>
    <row r="791">
      <c r="A791" s="17"/>
      <c r="CF791" s="17"/>
    </row>
    <row r="792">
      <c r="A792" s="17"/>
      <c r="CF792" s="17"/>
    </row>
    <row r="793">
      <c r="A793" s="17"/>
      <c r="CF793" s="17"/>
    </row>
    <row r="794">
      <c r="A794" s="17"/>
      <c r="CF794" s="17"/>
    </row>
    <row r="795">
      <c r="A795" s="17"/>
      <c r="CF795" s="17"/>
    </row>
    <row r="796">
      <c r="A796" s="17"/>
      <c r="CF796" s="17"/>
    </row>
    <row r="797">
      <c r="A797" s="17"/>
      <c r="CF797" s="17"/>
    </row>
    <row r="798">
      <c r="A798" s="17"/>
      <c r="CF798" s="17"/>
    </row>
    <row r="799">
      <c r="A799" s="17"/>
      <c r="CF799" s="17"/>
    </row>
    <row r="800">
      <c r="A800" s="17"/>
      <c r="CF800" s="17"/>
    </row>
    <row r="801">
      <c r="A801" s="17"/>
      <c r="CF801" s="17"/>
    </row>
    <row r="802">
      <c r="A802" s="17"/>
      <c r="CF802" s="17"/>
    </row>
    <row r="803">
      <c r="A803" s="17"/>
      <c r="CF803" s="17"/>
    </row>
    <row r="804">
      <c r="A804" s="17"/>
      <c r="CF804" s="17"/>
    </row>
    <row r="805">
      <c r="A805" s="17"/>
      <c r="CF805" s="17"/>
    </row>
    <row r="806">
      <c r="A806" s="17"/>
      <c r="CF806" s="17"/>
    </row>
    <row r="807">
      <c r="A807" s="17"/>
      <c r="CF807" s="17"/>
    </row>
    <row r="808">
      <c r="A808" s="17"/>
      <c r="CF808" s="17"/>
    </row>
    <row r="809">
      <c r="A809" s="17"/>
      <c r="CF809" s="17"/>
    </row>
    <row r="810">
      <c r="A810" s="17"/>
      <c r="CF810" s="17"/>
    </row>
    <row r="811">
      <c r="A811" s="17"/>
      <c r="CF811" s="17"/>
    </row>
    <row r="812">
      <c r="A812" s="17"/>
      <c r="CF812" s="17"/>
    </row>
    <row r="813">
      <c r="A813" s="17"/>
      <c r="CF813" s="17"/>
    </row>
    <row r="814">
      <c r="A814" s="17"/>
      <c r="CF814" s="17"/>
    </row>
    <row r="815">
      <c r="A815" s="17"/>
      <c r="CF815" s="17"/>
    </row>
    <row r="816">
      <c r="A816" s="17"/>
      <c r="CF816" s="17"/>
    </row>
    <row r="817">
      <c r="A817" s="17"/>
      <c r="CF817" s="17"/>
    </row>
    <row r="818">
      <c r="A818" s="17"/>
      <c r="CF818" s="17"/>
    </row>
    <row r="819">
      <c r="A819" s="17"/>
      <c r="CF819" s="17"/>
    </row>
    <row r="820">
      <c r="A820" s="17"/>
      <c r="CF820" s="17"/>
    </row>
    <row r="821">
      <c r="A821" s="17"/>
      <c r="CF821" s="17"/>
    </row>
    <row r="822">
      <c r="A822" s="17"/>
      <c r="CF822" s="17"/>
    </row>
    <row r="823">
      <c r="A823" s="17"/>
      <c r="CF823" s="17"/>
    </row>
    <row r="824">
      <c r="A824" s="17"/>
      <c r="CF824" s="17"/>
    </row>
    <row r="825">
      <c r="A825" s="17"/>
      <c r="CF825" s="17"/>
    </row>
    <row r="826">
      <c r="A826" s="17"/>
      <c r="CF826" s="17"/>
    </row>
    <row r="827">
      <c r="A827" s="17"/>
      <c r="CF827" s="17"/>
    </row>
    <row r="828">
      <c r="A828" s="17"/>
      <c r="CF828" s="17"/>
    </row>
    <row r="829">
      <c r="A829" s="17"/>
      <c r="CF829" s="17"/>
    </row>
    <row r="830">
      <c r="A830" s="17"/>
      <c r="CF830" s="17"/>
    </row>
    <row r="831">
      <c r="A831" s="17"/>
      <c r="CF831" s="17"/>
    </row>
    <row r="832">
      <c r="A832" s="17"/>
      <c r="CF832" s="17"/>
    </row>
    <row r="833">
      <c r="A833" s="17"/>
      <c r="CF833" s="17"/>
    </row>
    <row r="834">
      <c r="A834" s="17"/>
      <c r="CF834" s="17"/>
    </row>
    <row r="835">
      <c r="A835" s="17"/>
      <c r="CF835" s="17"/>
    </row>
    <row r="836">
      <c r="A836" s="17"/>
      <c r="CF836" s="17"/>
    </row>
    <row r="837">
      <c r="A837" s="17"/>
      <c r="CF837" s="17"/>
    </row>
    <row r="838">
      <c r="A838" s="17"/>
      <c r="CF838" s="17"/>
    </row>
    <row r="839">
      <c r="A839" s="17"/>
      <c r="CF839" s="17"/>
    </row>
    <row r="840">
      <c r="A840" s="17"/>
      <c r="CF840" s="17"/>
    </row>
    <row r="841">
      <c r="A841" s="17"/>
      <c r="CF841" s="17"/>
    </row>
    <row r="842">
      <c r="A842" s="17"/>
      <c r="CF842" s="17"/>
    </row>
    <row r="843">
      <c r="A843" s="17"/>
      <c r="CF843" s="17"/>
    </row>
    <row r="844">
      <c r="A844" s="17"/>
      <c r="CF844" s="17"/>
    </row>
    <row r="845">
      <c r="A845" s="17"/>
      <c r="CF845" s="17"/>
    </row>
    <row r="846">
      <c r="A846" s="17"/>
      <c r="CF846" s="17"/>
    </row>
    <row r="847">
      <c r="A847" s="17"/>
      <c r="CF847" s="17"/>
    </row>
    <row r="848">
      <c r="A848" s="17"/>
      <c r="CF848" s="17"/>
    </row>
    <row r="849">
      <c r="A849" s="17"/>
      <c r="CF849" s="17"/>
    </row>
    <row r="850">
      <c r="A850" s="17"/>
      <c r="CF850" s="17"/>
    </row>
    <row r="851">
      <c r="A851" s="17"/>
      <c r="CF851" s="17"/>
    </row>
    <row r="852">
      <c r="A852" s="17"/>
      <c r="CF852" s="17"/>
    </row>
    <row r="853">
      <c r="A853" s="17"/>
      <c r="CF853" s="17"/>
    </row>
    <row r="854">
      <c r="A854" s="17"/>
      <c r="CF854" s="17"/>
    </row>
    <row r="855">
      <c r="A855" s="17"/>
      <c r="CF855" s="17"/>
    </row>
    <row r="856">
      <c r="A856" s="17"/>
      <c r="CF856" s="17"/>
    </row>
    <row r="857">
      <c r="A857" s="17"/>
      <c r="CF857" s="17"/>
    </row>
    <row r="858">
      <c r="A858" s="17"/>
      <c r="CF858" s="17"/>
    </row>
    <row r="859">
      <c r="A859" s="17"/>
      <c r="CF859" s="17"/>
    </row>
    <row r="860">
      <c r="A860" s="17"/>
      <c r="CF860" s="17"/>
    </row>
    <row r="861">
      <c r="A861" s="17"/>
      <c r="CF861" s="17"/>
    </row>
    <row r="862">
      <c r="A862" s="17"/>
      <c r="CF862" s="17"/>
    </row>
    <row r="863">
      <c r="A863" s="17"/>
      <c r="CF863" s="17"/>
    </row>
    <row r="864">
      <c r="A864" s="17"/>
      <c r="CF864" s="17"/>
    </row>
    <row r="865">
      <c r="A865" s="17"/>
      <c r="CF865" s="17"/>
    </row>
    <row r="866">
      <c r="A866" s="17"/>
      <c r="CF866" s="17"/>
    </row>
    <row r="867">
      <c r="A867" s="17"/>
      <c r="CF867" s="17"/>
    </row>
    <row r="868">
      <c r="A868" s="17"/>
      <c r="CF868" s="17"/>
    </row>
    <row r="869">
      <c r="A869" s="17"/>
      <c r="CF869" s="17"/>
    </row>
    <row r="870">
      <c r="A870" s="17"/>
      <c r="CF870" s="17"/>
    </row>
    <row r="871">
      <c r="A871" s="17"/>
      <c r="CF871" s="17"/>
    </row>
    <row r="872">
      <c r="A872" s="17"/>
      <c r="CF872" s="17"/>
    </row>
    <row r="873">
      <c r="A873" s="17"/>
      <c r="CF873" s="17"/>
    </row>
    <row r="874">
      <c r="A874" s="17"/>
      <c r="CF874" s="17"/>
    </row>
    <row r="875">
      <c r="A875" s="17"/>
      <c r="CF875" s="17"/>
    </row>
    <row r="876">
      <c r="A876" s="17"/>
      <c r="CF876" s="17"/>
    </row>
    <row r="877">
      <c r="A877" s="17"/>
      <c r="CF877" s="17"/>
    </row>
    <row r="878">
      <c r="A878" s="17"/>
      <c r="CF878" s="17"/>
    </row>
    <row r="879">
      <c r="A879" s="17"/>
      <c r="CF879" s="17"/>
    </row>
    <row r="880">
      <c r="A880" s="17"/>
      <c r="CF880" s="17"/>
    </row>
    <row r="881">
      <c r="A881" s="17"/>
      <c r="CF881" s="17"/>
    </row>
    <row r="882">
      <c r="A882" s="17"/>
      <c r="CF882" s="17"/>
    </row>
    <row r="883">
      <c r="A883" s="17"/>
      <c r="CF883" s="17"/>
    </row>
    <row r="884">
      <c r="A884" s="17"/>
      <c r="CF884" s="17"/>
    </row>
    <row r="885">
      <c r="A885" s="17"/>
      <c r="CF885" s="17"/>
    </row>
    <row r="886">
      <c r="A886" s="17"/>
      <c r="CF886" s="17"/>
    </row>
    <row r="887">
      <c r="A887" s="17"/>
      <c r="CF887" s="17"/>
    </row>
    <row r="888">
      <c r="A888" s="17"/>
      <c r="CF888" s="17"/>
    </row>
    <row r="889">
      <c r="A889" s="17"/>
      <c r="CF889" s="17"/>
    </row>
    <row r="890">
      <c r="A890" s="17"/>
      <c r="CF890" s="17"/>
    </row>
    <row r="891">
      <c r="A891" s="17"/>
      <c r="CF891" s="17"/>
    </row>
    <row r="892">
      <c r="A892" s="17"/>
      <c r="CF892" s="17"/>
    </row>
    <row r="893">
      <c r="A893" s="17"/>
      <c r="CF893" s="17"/>
    </row>
    <row r="894">
      <c r="A894" s="17"/>
      <c r="CF894" s="17"/>
    </row>
    <row r="895">
      <c r="A895" s="17"/>
      <c r="CF895" s="17"/>
    </row>
    <row r="896">
      <c r="A896" s="17"/>
      <c r="CF896" s="17"/>
    </row>
    <row r="897">
      <c r="A897" s="17"/>
      <c r="CF897" s="17"/>
    </row>
    <row r="898">
      <c r="A898" s="17"/>
      <c r="CF898" s="17"/>
    </row>
    <row r="899">
      <c r="A899" s="17"/>
      <c r="CF899" s="17"/>
    </row>
    <row r="900">
      <c r="A900" s="17"/>
      <c r="CF900" s="17"/>
    </row>
    <row r="901">
      <c r="A901" s="17"/>
      <c r="CF901" s="17"/>
    </row>
    <row r="902">
      <c r="A902" s="17"/>
      <c r="CF902" s="17"/>
    </row>
    <row r="903">
      <c r="A903" s="17"/>
      <c r="CF903" s="17"/>
    </row>
    <row r="904">
      <c r="A904" s="17"/>
      <c r="CF904" s="17"/>
    </row>
    <row r="905">
      <c r="A905" s="17"/>
      <c r="CF905" s="17"/>
    </row>
    <row r="906">
      <c r="A906" s="17"/>
      <c r="CF906" s="17"/>
    </row>
    <row r="907">
      <c r="A907" s="17"/>
      <c r="CF907" s="17"/>
    </row>
    <row r="908">
      <c r="A908" s="17"/>
      <c r="CF908" s="17"/>
    </row>
    <row r="909">
      <c r="A909" s="17"/>
      <c r="CF909" s="17"/>
    </row>
    <row r="910">
      <c r="A910" s="17"/>
      <c r="CF910" s="17"/>
    </row>
    <row r="911">
      <c r="A911" s="17"/>
      <c r="CF911" s="17"/>
    </row>
    <row r="912">
      <c r="A912" s="17"/>
      <c r="CF912" s="17"/>
    </row>
    <row r="913">
      <c r="A913" s="17"/>
      <c r="CF913" s="17"/>
    </row>
    <row r="914">
      <c r="A914" s="17"/>
      <c r="CF914" s="17"/>
    </row>
    <row r="915">
      <c r="A915" s="17"/>
      <c r="CF915" s="17"/>
    </row>
    <row r="916">
      <c r="A916" s="17"/>
      <c r="CF916" s="17"/>
    </row>
    <row r="917">
      <c r="A917" s="17"/>
      <c r="CF917" s="17"/>
    </row>
    <row r="918">
      <c r="A918" s="17"/>
      <c r="CF918" s="17"/>
    </row>
    <row r="919">
      <c r="A919" s="17"/>
      <c r="CF919" s="17"/>
    </row>
    <row r="920">
      <c r="A920" s="17"/>
      <c r="CF920" s="17"/>
    </row>
    <row r="921">
      <c r="A921" s="17"/>
      <c r="CF921" s="17"/>
    </row>
    <row r="922">
      <c r="A922" s="17"/>
      <c r="CF922" s="17"/>
    </row>
    <row r="923">
      <c r="A923" s="17"/>
      <c r="CF923" s="17"/>
    </row>
    <row r="924">
      <c r="A924" s="17"/>
      <c r="CF924" s="17"/>
    </row>
    <row r="925">
      <c r="A925" s="17"/>
      <c r="CF925" s="17"/>
    </row>
    <row r="926">
      <c r="A926" s="17"/>
      <c r="CF926" s="17"/>
    </row>
    <row r="927">
      <c r="A927" s="17"/>
      <c r="CF927" s="17"/>
    </row>
    <row r="928">
      <c r="A928" s="17"/>
      <c r="CF928" s="17"/>
    </row>
    <row r="929">
      <c r="A929" s="17"/>
      <c r="CF929" s="17"/>
    </row>
    <row r="930">
      <c r="A930" s="17"/>
      <c r="CF930" s="17"/>
    </row>
    <row r="931">
      <c r="A931" s="17"/>
      <c r="CF931" s="17"/>
    </row>
    <row r="932">
      <c r="A932" s="17"/>
      <c r="CF932" s="17"/>
    </row>
    <row r="933">
      <c r="A933" s="17"/>
      <c r="CF933" s="17"/>
    </row>
    <row r="934">
      <c r="A934" s="17"/>
      <c r="CF934" s="17"/>
    </row>
    <row r="935">
      <c r="A935" s="17"/>
      <c r="CF935" s="17"/>
    </row>
    <row r="936">
      <c r="A936" s="17"/>
      <c r="CF936" s="17"/>
    </row>
    <row r="937">
      <c r="A937" s="17"/>
      <c r="CF937" s="17"/>
    </row>
    <row r="938">
      <c r="A938" s="17"/>
      <c r="CF938" s="17"/>
    </row>
    <row r="939">
      <c r="A939" s="17"/>
      <c r="CF939" s="17"/>
    </row>
    <row r="940">
      <c r="A940" s="17"/>
      <c r="CF940" s="17"/>
    </row>
    <row r="941">
      <c r="A941" s="17"/>
      <c r="CF941" s="17"/>
    </row>
    <row r="942">
      <c r="A942" s="17"/>
      <c r="CF942" s="17"/>
    </row>
    <row r="943">
      <c r="A943" s="17"/>
      <c r="CF943" s="17"/>
    </row>
    <row r="944">
      <c r="A944" s="17"/>
      <c r="CF944" s="17"/>
    </row>
    <row r="945">
      <c r="A945" s="17"/>
      <c r="CF945" s="17"/>
    </row>
    <row r="946">
      <c r="A946" s="17"/>
      <c r="CF946" s="17"/>
    </row>
    <row r="947">
      <c r="A947" s="17"/>
      <c r="CF947" s="17"/>
    </row>
    <row r="948">
      <c r="A948" s="17"/>
      <c r="CF948" s="17"/>
    </row>
    <row r="949">
      <c r="A949" s="17"/>
      <c r="CF949" s="17"/>
    </row>
    <row r="950">
      <c r="A950" s="17"/>
      <c r="CF950" s="17"/>
    </row>
    <row r="951">
      <c r="A951" s="17"/>
      <c r="CF951" s="17"/>
    </row>
    <row r="952">
      <c r="A952" s="17"/>
      <c r="CF952" s="17"/>
    </row>
    <row r="953">
      <c r="A953" s="17"/>
      <c r="CF953" s="17"/>
    </row>
    <row r="954">
      <c r="A954" s="17"/>
      <c r="CF954" s="17"/>
    </row>
    <row r="955">
      <c r="A955" s="17"/>
      <c r="CF955" s="17"/>
    </row>
    <row r="956">
      <c r="A956" s="17"/>
      <c r="CF956" s="17"/>
    </row>
    <row r="957">
      <c r="A957" s="17"/>
      <c r="CF957" s="17"/>
    </row>
    <row r="958">
      <c r="A958" s="17"/>
      <c r="CF958" s="17"/>
    </row>
    <row r="959">
      <c r="A959" s="17"/>
      <c r="CF959" s="17"/>
    </row>
    <row r="960">
      <c r="A960" s="17"/>
      <c r="CF960" s="17"/>
    </row>
    <row r="961">
      <c r="A961" s="17"/>
      <c r="CF961" s="17"/>
    </row>
    <row r="962">
      <c r="A962" s="17"/>
      <c r="CF962" s="17"/>
    </row>
    <row r="963">
      <c r="A963" s="17"/>
      <c r="CF963" s="17"/>
    </row>
    <row r="964">
      <c r="A964" s="17"/>
      <c r="CF964" s="17"/>
    </row>
    <row r="965">
      <c r="A965" s="17"/>
      <c r="CF965" s="17"/>
    </row>
    <row r="966">
      <c r="A966" s="17"/>
      <c r="CF966" s="17"/>
    </row>
    <row r="967">
      <c r="A967" s="17"/>
      <c r="CF967" s="17"/>
    </row>
    <row r="968">
      <c r="A968" s="17"/>
      <c r="CF968" s="17"/>
    </row>
    <row r="969">
      <c r="A969" s="17"/>
      <c r="CF969" s="17"/>
    </row>
    <row r="970">
      <c r="A970" s="17"/>
      <c r="CF970" s="17"/>
    </row>
    <row r="971">
      <c r="A971" s="17"/>
      <c r="CF971" s="17"/>
    </row>
    <row r="972">
      <c r="A972" s="17"/>
      <c r="CF972" s="17"/>
    </row>
    <row r="973">
      <c r="A973" s="17"/>
      <c r="CF973" s="17"/>
    </row>
    <row r="974">
      <c r="A974" s="17"/>
      <c r="CF974" s="17"/>
    </row>
    <row r="975">
      <c r="A975" s="17"/>
      <c r="CF975" s="17"/>
    </row>
    <row r="976">
      <c r="A976" s="17"/>
      <c r="CF976" s="17"/>
    </row>
    <row r="977">
      <c r="A977" s="17"/>
      <c r="CF977" s="17"/>
    </row>
    <row r="978">
      <c r="A978" s="17"/>
      <c r="CF978" s="17"/>
    </row>
    <row r="979">
      <c r="A979" s="17"/>
      <c r="CF979" s="17"/>
    </row>
    <row r="980">
      <c r="A980" s="17"/>
      <c r="CF980" s="17"/>
    </row>
    <row r="981">
      <c r="A981" s="17"/>
      <c r="CF981" s="17"/>
    </row>
    <row r="982">
      <c r="A982" s="17"/>
      <c r="CF982" s="17"/>
    </row>
    <row r="983">
      <c r="A983" s="17"/>
      <c r="CF983" s="17"/>
    </row>
    <row r="984">
      <c r="A984" s="17"/>
      <c r="CF984" s="17"/>
    </row>
    <row r="985">
      <c r="A985" s="17"/>
      <c r="CF985" s="17"/>
    </row>
    <row r="986">
      <c r="A986" s="17"/>
      <c r="CF986" s="17"/>
    </row>
    <row r="987">
      <c r="A987" s="17"/>
      <c r="CF987" s="17"/>
    </row>
    <row r="988">
      <c r="A988" s="17"/>
      <c r="CF988" s="17"/>
    </row>
    <row r="989">
      <c r="A989" s="17"/>
      <c r="CF989" s="17"/>
    </row>
    <row r="990">
      <c r="A990" s="17"/>
      <c r="CF990" s="17"/>
    </row>
    <row r="991">
      <c r="A991" s="17"/>
      <c r="CF991" s="17"/>
    </row>
    <row r="992">
      <c r="A992" s="17"/>
      <c r="CF992" s="17"/>
    </row>
    <row r="993">
      <c r="A993" s="17"/>
      <c r="CF993" s="17"/>
    </row>
    <row r="994">
      <c r="A994" s="17"/>
      <c r="CF994" s="17"/>
    </row>
    <row r="995">
      <c r="A995" s="17"/>
      <c r="CF995" s="17"/>
    </row>
    <row r="996">
      <c r="A996" s="17"/>
      <c r="CF996" s="17"/>
    </row>
    <row r="997">
      <c r="A997" s="17"/>
      <c r="CF997" s="17"/>
    </row>
    <row r="998">
      <c r="A998" s="17"/>
      <c r="CF998" s="17"/>
    </row>
    <row r="999">
      <c r="A999" s="17"/>
      <c r="CF999" s="17"/>
    </row>
    <row r="1000">
      <c r="A1000" s="17"/>
      <c r="CF1000" s="1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5.25"/>
    <col customWidth="1" min="8" max="8" width="8.0"/>
    <col customWidth="1" min="9" max="26" width="5.25"/>
  </cols>
  <sheetData>
    <row r="1">
      <c r="B1" s="28"/>
      <c r="C1" s="28"/>
      <c r="H1" s="64"/>
      <c r="I1" s="64"/>
      <c r="J1" s="64"/>
      <c r="K1" s="64"/>
      <c r="L1" s="64"/>
      <c r="M1" s="64"/>
      <c r="N1" s="64"/>
      <c r="O1" s="64"/>
    </row>
    <row r="2">
      <c r="B2" s="28"/>
      <c r="C2" s="28"/>
      <c r="H2" s="64"/>
      <c r="I2" s="64"/>
      <c r="J2" s="64"/>
      <c r="K2" s="64"/>
      <c r="L2" s="64"/>
      <c r="M2" s="64"/>
      <c r="N2" s="64"/>
      <c r="O2" s="64"/>
      <c r="U2" s="5">
        <f>1/sqrt(3)</f>
        <v>0.5773502692</v>
      </c>
    </row>
    <row r="3">
      <c r="A3" s="3" t="s">
        <v>1</v>
      </c>
      <c r="B3" s="65" t="s">
        <v>75</v>
      </c>
      <c r="C3" s="65" t="s">
        <v>76</v>
      </c>
      <c r="H3" s="64"/>
      <c r="I3" s="64"/>
      <c r="J3" s="64"/>
      <c r="K3" s="64"/>
      <c r="L3" s="64"/>
      <c r="M3" s="64"/>
      <c r="N3" s="64"/>
      <c r="O3" s="64"/>
      <c r="P3" s="66" t="s">
        <v>77</v>
      </c>
      <c r="Q3" s="67"/>
      <c r="R3" s="68" t="s">
        <v>78</v>
      </c>
      <c r="S3" s="59"/>
    </row>
    <row r="4">
      <c r="A4" s="3">
        <v>0.0</v>
      </c>
      <c r="B4" s="65">
        <v>1.0</v>
      </c>
      <c r="C4" s="65">
        <v>1.0</v>
      </c>
      <c r="H4" s="64"/>
      <c r="I4" s="64"/>
      <c r="J4" s="64"/>
      <c r="K4" s="64"/>
      <c r="L4" s="64"/>
      <c r="M4" s="64"/>
      <c r="N4" s="64"/>
      <c r="O4" s="64"/>
      <c r="P4" s="66">
        <v>1.0</v>
      </c>
      <c r="Q4" s="66">
        <v>1.0</v>
      </c>
      <c r="R4" s="68">
        <v>1.0</v>
      </c>
      <c r="S4" s="68">
        <v>1.0</v>
      </c>
      <c r="T4" s="5">
        <f t="shared" ref="T4:T12" si="1">R4+S4</f>
        <v>2</v>
      </c>
    </row>
    <row r="5">
      <c r="A5" s="3">
        <v>1.0</v>
      </c>
      <c r="B5" s="65">
        <f t="shared" ref="B5:B18" si="2">B4+C4</f>
        <v>2</v>
      </c>
      <c r="C5" s="65">
        <v>1.0</v>
      </c>
      <c r="D5" s="3">
        <f t="shared" ref="D5:D14" si="3">C4</f>
        <v>1</v>
      </c>
      <c r="E5" s="3">
        <f t="shared" ref="E5:E18" si="4">C4</f>
        <v>1</v>
      </c>
      <c r="F5" s="3">
        <f t="shared" ref="F5:F18" si="5">B4</f>
        <v>1</v>
      </c>
      <c r="G5" s="3">
        <f t="shared" ref="G5:G18" si="6">C5-C4</f>
        <v>0</v>
      </c>
      <c r="H5" s="64"/>
      <c r="I5" s="64"/>
      <c r="J5" s="64"/>
      <c r="K5" s="64"/>
      <c r="L5" s="64"/>
      <c r="M5" s="64"/>
      <c r="N5" s="64"/>
      <c r="O5" s="64"/>
      <c r="P5" s="66">
        <v>2.0</v>
      </c>
      <c r="Q5" s="66">
        <v>1.0</v>
      </c>
      <c r="R5" s="68">
        <v>2.0</v>
      </c>
      <c r="S5" s="68">
        <v>1.0</v>
      </c>
      <c r="T5" s="5">
        <f t="shared" si="1"/>
        <v>3</v>
      </c>
      <c r="U5" s="5">
        <f t="shared" ref="U5:U12" si="7">R4/R5</f>
        <v>0.5</v>
      </c>
      <c r="V5" s="5">
        <f t="shared" ref="V5:V12" si="8">T4/T5</f>
        <v>0.6666666667</v>
      </c>
      <c r="W5" s="5">
        <f t="shared" ref="W5:W18" si="9">R5/sqrt(3)</f>
        <v>1.154700538</v>
      </c>
      <c r="X5" s="5">
        <f t="shared" ref="X5:X18" si="10">W5-R4</f>
        <v>0.1547005384</v>
      </c>
      <c r="Y5" s="5">
        <f t="shared" ref="Y5:Y18" si="11">T5/sqrt(3)</f>
        <v>1.732050808</v>
      </c>
      <c r="Z5" s="5">
        <f t="shared" ref="Z5:Z18" si="12">Y5-T4</f>
        <v>-0.2679491924</v>
      </c>
    </row>
    <row r="6">
      <c r="A6" s="3">
        <v>2.0</v>
      </c>
      <c r="B6" s="65">
        <f t="shared" si="2"/>
        <v>3</v>
      </c>
      <c r="C6" s="65">
        <v>2.0</v>
      </c>
      <c r="D6" s="3">
        <f t="shared" si="3"/>
        <v>1</v>
      </c>
      <c r="E6" s="3">
        <f t="shared" si="4"/>
        <v>1</v>
      </c>
      <c r="F6" s="3">
        <f t="shared" si="5"/>
        <v>2</v>
      </c>
      <c r="G6" s="3">
        <f t="shared" si="6"/>
        <v>1</v>
      </c>
      <c r="H6" s="64"/>
      <c r="I6" s="64"/>
      <c r="J6" s="64"/>
      <c r="K6" s="64"/>
      <c r="L6" s="64"/>
      <c r="M6" s="64"/>
      <c r="N6" s="64"/>
      <c r="O6" s="64"/>
      <c r="P6" s="66">
        <v>3.0</v>
      </c>
      <c r="Q6" s="66">
        <v>2.0</v>
      </c>
      <c r="R6" s="68">
        <v>3.0</v>
      </c>
      <c r="S6" s="68">
        <v>2.0</v>
      </c>
      <c r="T6" s="5">
        <f t="shared" si="1"/>
        <v>5</v>
      </c>
      <c r="U6" s="5">
        <f t="shared" si="7"/>
        <v>0.6666666667</v>
      </c>
      <c r="V6" s="5">
        <f t="shared" si="8"/>
        <v>0.6</v>
      </c>
      <c r="W6" s="5">
        <f t="shared" si="9"/>
        <v>1.732050808</v>
      </c>
      <c r="X6" s="5">
        <f t="shared" si="10"/>
        <v>-0.2679491924</v>
      </c>
      <c r="Y6" s="5">
        <f t="shared" si="11"/>
        <v>2.886751346</v>
      </c>
      <c r="Z6" s="5">
        <f t="shared" si="12"/>
        <v>-0.1132486541</v>
      </c>
    </row>
    <row r="7">
      <c r="A7" s="3">
        <v>3.0</v>
      </c>
      <c r="B7" s="65">
        <f t="shared" si="2"/>
        <v>5</v>
      </c>
      <c r="C7" s="65">
        <v>3.0</v>
      </c>
      <c r="D7" s="3">
        <f t="shared" si="3"/>
        <v>2</v>
      </c>
      <c r="E7" s="3">
        <f t="shared" si="4"/>
        <v>2</v>
      </c>
      <c r="F7" s="3">
        <f t="shared" si="5"/>
        <v>3</v>
      </c>
      <c r="G7" s="3">
        <f t="shared" si="6"/>
        <v>1</v>
      </c>
      <c r="H7" s="64">
        <f t="shared" ref="H7:H18" si="13">P5</f>
        <v>2</v>
      </c>
      <c r="I7" s="64">
        <f t="shared" ref="I7:I18" si="14">E7-Q5</f>
        <v>1</v>
      </c>
      <c r="J7" s="64">
        <f t="shared" ref="J7:J18" si="15">Q4</f>
        <v>1</v>
      </c>
      <c r="K7" s="64">
        <f t="shared" ref="K7:K18" si="16">D7-P5</f>
        <v>0</v>
      </c>
      <c r="L7" s="64"/>
      <c r="M7" s="64"/>
      <c r="N7" s="64"/>
      <c r="O7" s="64"/>
      <c r="P7" s="66">
        <v>4.0</v>
      </c>
      <c r="Q7" s="66">
        <v>4.0</v>
      </c>
      <c r="R7" s="68">
        <v>5.0</v>
      </c>
      <c r="S7" s="68">
        <v>3.0</v>
      </c>
      <c r="T7" s="5">
        <f t="shared" si="1"/>
        <v>8</v>
      </c>
      <c r="U7" s="5">
        <f t="shared" si="7"/>
        <v>0.6</v>
      </c>
      <c r="V7" s="5">
        <f t="shared" si="8"/>
        <v>0.625</v>
      </c>
      <c r="W7" s="5">
        <f t="shared" si="9"/>
        <v>2.886751346</v>
      </c>
      <c r="X7" s="5">
        <f t="shared" si="10"/>
        <v>-0.1132486541</v>
      </c>
      <c r="Y7" s="5">
        <f t="shared" si="11"/>
        <v>4.618802154</v>
      </c>
      <c r="Z7" s="5">
        <f t="shared" si="12"/>
        <v>-0.3811978465</v>
      </c>
    </row>
    <row r="8">
      <c r="A8" s="3">
        <v>4.0</v>
      </c>
      <c r="B8" s="65">
        <f t="shared" si="2"/>
        <v>8</v>
      </c>
      <c r="C8" s="65">
        <v>5.0</v>
      </c>
      <c r="D8" s="3">
        <f t="shared" si="3"/>
        <v>3</v>
      </c>
      <c r="E8" s="3">
        <f t="shared" si="4"/>
        <v>3</v>
      </c>
      <c r="F8" s="3">
        <f t="shared" si="5"/>
        <v>5</v>
      </c>
      <c r="G8" s="3">
        <f t="shared" si="6"/>
        <v>2</v>
      </c>
      <c r="H8" s="64">
        <f t="shared" si="13"/>
        <v>3</v>
      </c>
      <c r="I8" s="64">
        <f t="shared" si="14"/>
        <v>1</v>
      </c>
      <c r="J8" s="64">
        <f t="shared" si="15"/>
        <v>1</v>
      </c>
      <c r="K8" s="64">
        <f t="shared" si="16"/>
        <v>0</v>
      </c>
      <c r="L8" s="64"/>
      <c r="M8" s="64"/>
      <c r="N8" s="64"/>
      <c r="O8" s="64"/>
      <c r="P8" s="66">
        <v>7.0</v>
      </c>
      <c r="Q8" s="66">
        <v>6.0</v>
      </c>
      <c r="R8" s="68">
        <v>9.0</v>
      </c>
      <c r="S8" s="68">
        <v>5.0</v>
      </c>
      <c r="T8" s="5">
        <f t="shared" si="1"/>
        <v>14</v>
      </c>
      <c r="U8" s="5">
        <f t="shared" si="7"/>
        <v>0.5555555556</v>
      </c>
      <c r="V8" s="5">
        <f t="shared" si="8"/>
        <v>0.5714285714</v>
      </c>
      <c r="W8" s="5">
        <f t="shared" si="9"/>
        <v>5.196152423</v>
      </c>
      <c r="X8" s="5">
        <f t="shared" si="10"/>
        <v>0.1961524227</v>
      </c>
      <c r="Y8" s="5">
        <f t="shared" si="11"/>
        <v>8.082903769</v>
      </c>
      <c r="Z8" s="5">
        <f t="shared" si="12"/>
        <v>0.08290376865</v>
      </c>
    </row>
    <row r="9">
      <c r="A9" s="3">
        <v>5.0</v>
      </c>
      <c r="B9" s="65">
        <f t="shared" si="2"/>
        <v>13</v>
      </c>
      <c r="C9" s="65">
        <v>9.0</v>
      </c>
      <c r="D9" s="3">
        <f t="shared" si="3"/>
        <v>5</v>
      </c>
      <c r="E9" s="3">
        <f t="shared" si="4"/>
        <v>5</v>
      </c>
      <c r="F9" s="3">
        <f t="shared" si="5"/>
        <v>8</v>
      </c>
      <c r="G9" s="3">
        <f t="shared" si="6"/>
        <v>4</v>
      </c>
      <c r="H9" s="64">
        <f t="shared" si="13"/>
        <v>4</v>
      </c>
      <c r="I9" s="64">
        <f t="shared" si="14"/>
        <v>1</v>
      </c>
      <c r="J9" s="64">
        <f t="shared" si="15"/>
        <v>2</v>
      </c>
      <c r="K9" s="64">
        <f t="shared" si="16"/>
        <v>1</v>
      </c>
      <c r="L9" s="64"/>
      <c r="M9" s="64"/>
      <c r="N9" s="64"/>
      <c r="O9" s="64"/>
      <c r="P9" s="66">
        <v>11.0</v>
      </c>
      <c r="Q9" s="66">
        <v>11.0</v>
      </c>
      <c r="R9" s="68">
        <v>15.0</v>
      </c>
      <c r="S9" s="68">
        <v>8.0</v>
      </c>
      <c r="T9" s="5">
        <f t="shared" si="1"/>
        <v>23</v>
      </c>
      <c r="U9" s="5">
        <f t="shared" si="7"/>
        <v>0.6</v>
      </c>
      <c r="V9" s="5">
        <f t="shared" si="8"/>
        <v>0.6086956522</v>
      </c>
      <c r="W9" s="5">
        <f t="shared" si="9"/>
        <v>8.660254038</v>
      </c>
      <c r="X9" s="5">
        <f t="shared" si="10"/>
        <v>-0.3397459622</v>
      </c>
      <c r="Y9" s="5">
        <f t="shared" si="11"/>
        <v>13.27905619</v>
      </c>
      <c r="Z9" s="5">
        <f t="shared" si="12"/>
        <v>-0.7209438086</v>
      </c>
    </row>
    <row r="10">
      <c r="A10" s="3">
        <v>6.0</v>
      </c>
      <c r="B10" s="65">
        <f t="shared" si="2"/>
        <v>22</v>
      </c>
      <c r="C10" s="65">
        <v>16.0</v>
      </c>
      <c r="D10" s="3">
        <f t="shared" si="3"/>
        <v>9</v>
      </c>
      <c r="E10" s="3">
        <f t="shared" si="4"/>
        <v>9</v>
      </c>
      <c r="F10" s="3">
        <f t="shared" si="5"/>
        <v>13</v>
      </c>
      <c r="G10" s="3">
        <f t="shared" si="6"/>
        <v>7</v>
      </c>
      <c r="H10" s="64">
        <f t="shared" si="13"/>
        <v>7</v>
      </c>
      <c r="I10" s="64">
        <f t="shared" si="14"/>
        <v>3</v>
      </c>
      <c r="J10" s="64">
        <f t="shared" si="15"/>
        <v>4</v>
      </c>
      <c r="K10" s="64">
        <f t="shared" si="16"/>
        <v>2</v>
      </c>
      <c r="L10" s="64"/>
      <c r="M10" s="64"/>
      <c r="N10" s="64"/>
      <c r="O10" s="64"/>
      <c r="P10" s="66">
        <v>19.0</v>
      </c>
      <c r="Q10" s="66">
        <v>19.0</v>
      </c>
      <c r="R10" s="68">
        <v>25.0</v>
      </c>
      <c r="S10" s="68">
        <v>14.0</v>
      </c>
      <c r="T10" s="5">
        <f t="shared" si="1"/>
        <v>39</v>
      </c>
      <c r="U10" s="5">
        <f t="shared" si="7"/>
        <v>0.6</v>
      </c>
      <c r="V10" s="5">
        <f t="shared" si="8"/>
        <v>0.5897435897</v>
      </c>
      <c r="W10" s="5">
        <f t="shared" si="9"/>
        <v>14.43375673</v>
      </c>
      <c r="X10" s="5">
        <f t="shared" si="10"/>
        <v>-0.5662432703</v>
      </c>
      <c r="Y10" s="5">
        <f t="shared" si="11"/>
        <v>22.5166605</v>
      </c>
      <c r="Z10" s="5">
        <f t="shared" si="12"/>
        <v>-0.4833395016</v>
      </c>
    </row>
    <row r="11">
      <c r="A11" s="3">
        <v>7.0</v>
      </c>
      <c r="B11" s="65">
        <f t="shared" si="2"/>
        <v>38</v>
      </c>
      <c r="C11" s="65">
        <v>27.0</v>
      </c>
      <c r="D11" s="3">
        <f t="shared" si="3"/>
        <v>16</v>
      </c>
      <c r="E11" s="3">
        <f t="shared" si="4"/>
        <v>16</v>
      </c>
      <c r="F11" s="3">
        <f t="shared" si="5"/>
        <v>22</v>
      </c>
      <c r="G11" s="3">
        <f t="shared" si="6"/>
        <v>11</v>
      </c>
      <c r="H11" s="64">
        <f t="shared" si="13"/>
        <v>11</v>
      </c>
      <c r="I11" s="64">
        <f t="shared" si="14"/>
        <v>5</v>
      </c>
      <c r="J11" s="64">
        <f t="shared" si="15"/>
        <v>6</v>
      </c>
      <c r="K11" s="64">
        <f t="shared" si="16"/>
        <v>5</v>
      </c>
      <c r="L11" s="64"/>
      <c r="M11" s="64"/>
      <c r="N11" s="64"/>
      <c r="O11" s="64"/>
      <c r="P11" s="66">
        <v>33.0</v>
      </c>
      <c r="Q11" s="66">
        <v>32.0</v>
      </c>
      <c r="R11" s="68">
        <v>45.0</v>
      </c>
      <c r="S11" s="68">
        <v>23.0</v>
      </c>
      <c r="T11" s="5">
        <f t="shared" si="1"/>
        <v>68</v>
      </c>
      <c r="U11" s="5">
        <f t="shared" si="7"/>
        <v>0.5555555556</v>
      </c>
      <c r="V11" s="5">
        <f t="shared" si="8"/>
        <v>0.5735294118</v>
      </c>
      <c r="W11" s="5">
        <f t="shared" si="9"/>
        <v>25.98076211</v>
      </c>
      <c r="X11" s="5">
        <f t="shared" si="10"/>
        <v>0.9807621135</v>
      </c>
      <c r="Y11" s="5">
        <f t="shared" si="11"/>
        <v>39.2598183</v>
      </c>
      <c r="Z11" s="5">
        <f t="shared" si="12"/>
        <v>0.2598183049</v>
      </c>
    </row>
    <row r="12">
      <c r="A12" s="3">
        <v>8.0</v>
      </c>
      <c r="B12" s="65">
        <f t="shared" si="2"/>
        <v>65</v>
      </c>
      <c r="C12" s="65">
        <v>47.0</v>
      </c>
      <c r="D12" s="3">
        <f t="shared" si="3"/>
        <v>27</v>
      </c>
      <c r="E12" s="3">
        <f t="shared" si="4"/>
        <v>27</v>
      </c>
      <c r="F12" s="3">
        <f t="shared" si="5"/>
        <v>38</v>
      </c>
      <c r="G12" s="3">
        <f t="shared" si="6"/>
        <v>20</v>
      </c>
      <c r="H12" s="64">
        <f t="shared" si="13"/>
        <v>19</v>
      </c>
      <c r="I12" s="64">
        <f t="shared" si="14"/>
        <v>8</v>
      </c>
      <c r="J12" s="64">
        <f t="shared" si="15"/>
        <v>11</v>
      </c>
      <c r="K12" s="64">
        <f t="shared" si="16"/>
        <v>8</v>
      </c>
      <c r="L12" s="64"/>
      <c r="M12" s="64"/>
      <c r="N12" s="64"/>
      <c r="O12" s="64"/>
      <c r="P12" s="66">
        <v>56.0</v>
      </c>
      <c r="Q12" s="66">
        <v>55.0</v>
      </c>
      <c r="R12" s="68">
        <v>77.0</v>
      </c>
      <c r="S12" s="68">
        <v>39.0</v>
      </c>
      <c r="T12" s="5">
        <f t="shared" si="1"/>
        <v>116</v>
      </c>
      <c r="U12" s="5">
        <f t="shared" si="7"/>
        <v>0.5844155844</v>
      </c>
      <c r="V12" s="5">
        <f t="shared" si="8"/>
        <v>0.5862068966</v>
      </c>
      <c r="W12" s="5">
        <f t="shared" si="9"/>
        <v>44.45597073</v>
      </c>
      <c r="X12" s="5">
        <f t="shared" si="10"/>
        <v>-0.5440292724</v>
      </c>
      <c r="Y12" s="5">
        <f t="shared" si="11"/>
        <v>66.97263123</v>
      </c>
      <c r="Z12" s="5">
        <f t="shared" si="12"/>
        <v>-1.027368774</v>
      </c>
    </row>
    <row r="13">
      <c r="A13" s="3">
        <v>9.0</v>
      </c>
      <c r="B13" s="65">
        <f t="shared" si="2"/>
        <v>112</v>
      </c>
      <c r="C13" s="65">
        <v>80.0</v>
      </c>
      <c r="D13" s="3">
        <f t="shared" si="3"/>
        <v>47</v>
      </c>
      <c r="E13" s="3">
        <f t="shared" si="4"/>
        <v>47</v>
      </c>
      <c r="F13" s="3">
        <f t="shared" si="5"/>
        <v>65</v>
      </c>
      <c r="G13" s="3">
        <f t="shared" si="6"/>
        <v>33</v>
      </c>
      <c r="H13" s="64">
        <f t="shared" si="13"/>
        <v>33</v>
      </c>
      <c r="I13" s="64">
        <f t="shared" si="14"/>
        <v>15</v>
      </c>
      <c r="J13" s="64">
        <f t="shared" si="15"/>
        <v>19</v>
      </c>
      <c r="K13" s="64">
        <f t="shared" si="16"/>
        <v>14</v>
      </c>
      <c r="L13" s="64"/>
      <c r="M13" s="64"/>
      <c r="N13" s="64"/>
      <c r="O13" s="64"/>
      <c r="P13" s="67"/>
      <c r="Q13" s="67"/>
      <c r="R13" s="59"/>
      <c r="S13" s="59"/>
      <c r="W13" s="5">
        <f t="shared" si="9"/>
        <v>0</v>
      </c>
      <c r="X13" s="5">
        <f t="shared" si="10"/>
        <v>-77</v>
      </c>
      <c r="Y13" s="5">
        <f t="shared" si="11"/>
        <v>0</v>
      </c>
      <c r="Z13" s="5">
        <f t="shared" si="12"/>
        <v>-116</v>
      </c>
    </row>
    <row r="14">
      <c r="A14" s="3">
        <v>10.0</v>
      </c>
      <c r="B14" s="65">
        <f t="shared" si="2"/>
        <v>192</v>
      </c>
      <c r="C14" s="28"/>
      <c r="D14" s="3">
        <f t="shared" si="3"/>
        <v>80</v>
      </c>
      <c r="E14" s="3">
        <f t="shared" si="4"/>
        <v>80</v>
      </c>
      <c r="F14" s="3">
        <f t="shared" si="5"/>
        <v>112</v>
      </c>
      <c r="G14" s="3">
        <f t="shared" si="6"/>
        <v>-80</v>
      </c>
      <c r="H14" s="64">
        <f t="shared" si="13"/>
        <v>56</v>
      </c>
      <c r="I14" s="64">
        <f t="shared" si="14"/>
        <v>25</v>
      </c>
      <c r="J14" s="64">
        <f t="shared" si="15"/>
        <v>32</v>
      </c>
      <c r="K14" s="64">
        <f t="shared" si="16"/>
        <v>24</v>
      </c>
      <c r="L14" s="64"/>
      <c r="M14" s="64"/>
      <c r="N14" s="64"/>
      <c r="O14" s="64"/>
      <c r="P14" s="67"/>
      <c r="Q14" s="67"/>
      <c r="R14" s="59"/>
      <c r="S14" s="59"/>
      <c r="W14" s="5">
        <f t="shared" si="9"/>
        <v>0</v>
      </c>
      <c r="X14" s="5">
        <f t="shared" si="10"/>
        <v>0</v>
      </c>
      <c r="Y14" s="5">
        <f t="shared" si="11"/>
        <v>0</v>
      </c>
      <c r="Z14" s="5">
        <f t="shared" si="12"/>
        <v>0</v>
      </c>
    </row>
    <row r="15">
      <c r="A15" s="3">
        <v>11.0</v>
      </c>
      <c r="B15" s="65">
        <f t="shared" si="2"/>
        <v>192</v>
      </c>
      <c r="C15" s="28"/>
      <c r="D15" s="3">
        <f t="shared" ref="D15:D18" si="17">B15-B14</f>
        <v>0</v>
      </c>
      <c r="E15" s="3" t="str">
        <f t="shared" si="4"/>
        <v/>
      </c>
      <c r="F15" s="3">
        <f t="shared" si="5"/>
        <v>192</v>
      </c>
      <c r="G15" s="3">
        <f t="shared" si="6"/>
        <v>0</v>
      </c>
      <c r="H15" s="64" t="str">
        <f t="shared" si="13"/>
        <v/>
      </c>
      <c r="I15" s="64">
        <f t="shared" si="14"/>
        <v>0</v>
      </c>
      <c r="J15" s="64">
        <f t="shared" si="15"/>
        <v>55</v>
      </c>
      <c r="K15" s="64">
        <f t="shared" si="16"/>
        <v>0</v>
      </c>
      <c r="L15" s="64"/>
      <c r="M15" s="64"/>
      <c r="N15" s="64"/>
      <c r="O15" s="64"/>
      <c r="P15" s="67"/>
      <c r="Q15" s="67"/>
      <c r="R15" s="59"/>
      <c r="S15" s="59"/>
      <c r="W15" s="5">
        <f t="shared" si="9"/>
        <v>0</v>
      </c>
      <c r="X15" s="5">
        <f t="shared" si="10"/>
        <v>0</v>
      </c>
      <c r="Y15" s="5">
        <f t="shared" si="11"/>
        <v>0</v>
      </c>
      <c r="Z15" s="5">
        <f t="shared" si="12"/>
        <v>0</v>
      </c>
    </row>
    <row r="16">
      <c r="A16" s="3">
        <v>12.0</v>
      </c>
      <c r="B16" s="65">
        <f t="shared" si="2"/>
        <v>192</v>
      </c>
      <c r="C16" s="28"/>
      <c r="D16" s="3">
        <f t="shared" si="17"/>
        <v>0</v>
      </c>
      <c r="E16" s="3" t="str">
        <f t="shared" si="4"/>
        <v/>
      </c>
      <c r="F16" s="3">
        <f t="shared" si="5"/>
        <v>192</v>
      </c>
      <c r="G16" s="3">
        <f t="shared" si="6"/>
        <v>0</v>
      </c>
      <c r="H16" s="64" t="str">
        <f t="shared" si="13"/>
        <v/>
      </c>
      <c r="I16" s="64">
        <f t="shared" si="14"/>
        <v>0</v>
      </c>
      <c r="J16" s="64" t="str">
        <f t="shared" si="15"/>
        <v/>
      </c>
      <c r="K16" s="64">
        <f t="shared" si="16"/>
        <v>0</v>
      </c>
      <c r="L16" s="64"/>
      <c r="M16" s="64"/>
      <c r="N16" s="64"/>
      <c r="O16" s="64"/>
      <c r="P16" s="67"/>
      <c r="Q16" s="67"/>
      <c r="R16" s="59"/>
      <c r="S16" s="59"/>
      <c r="W16" s="5">
        <f t="shared" si="9"/>
        <v>0</v>
      </c>
      <c r="X16" s="5">
        <f t="shared" si="10"/>
        <v>0</v>
      </c>
      <c r="Y16" s="5">
        <f t="shared" si="11"/>
        <v>0</v>
      </c>
      <c r="Z16" s="5">
        <f t="shared" si="12"/>
        <v>0</v>
      </c>
    </row>
    <row r="17">
      <c r="A17" s="3">
        <v>13.0</v>
      </c>
      <c r="B17" s="65">
        <f t="shared" si="2"/>
        <v>192</v>
      </c>
      <c r="C17" s="28"/>
      <c r="D17" s="3">
        <f t="shared" si="17"/>
        <v>0</v>
      </c>
      <c r="E17" s="3" t="str">
        <f t="shared" si="4"/>
        <v/>
      </c>
      <c r="F17" s="3">
        <f t="shared" si="5"/>
        <v>192</v>
      </c>
      <c r="G17" s="3">
        <f t="shared" si="6"/>
        <v>0</v>
      </c>
      <c r="H17" s="64" t="str">
        <f t="shared" si="13"/>
        <v/>
      </c>
      <c r="I17" s="64">
        <f t="shared" si="14"/>
        <v>0</v>
      </c>
      <c r="J17" s="64" t="str">
        <f t="shared" si="15"/>
        <v/>
      </c>
      <c r="K17" s="64">
        <f t="shared" si="16"/>
        <v>0</v>
      </c>
      <c r="L17" s="64"/>
      <c r="M17" s="64"/>
      <c r="N17" s="64"/>
      <c r="O17" s="64"/>
      <c r="P17" s="67"/>
      <c r="Q17" s="67"/>
      <c r="R17" s="59"/>
      <c r="S17" s="59"/>
      <c r="W17" s="5">
        <f t="shared" si="9"/>
        <v>0</v>
      </c>
      <c r="X17" s="5">
        <f t="shared" si="10"/>
        <v>0</v>
      </c>
      <c r="Y17" s="5">
        <f t="shared" si="11"/>
        <v>0</v>
      </c>
      <c r="Z17" s="5">
        <f t="shared" si="12"/>
        <v>0</v>
      </c>
    </row>
    <row r="18">
      <c r="A18" s="3">
        <v>14.0</v>
      </c>
      <c r="B18" s="65">
        <f t="shared" si="2"/>
        <v>192</v>
      </c>
      <c r="C18" s="28"/>
      <c r="D18" s="3">
        <f t="shared" si="17"/>
        <v>0</v>
      </c>
      <c r="E18" s="3" t="str">
        <f t="shared" si="4"/>
        <v/>
      </c>
      <c r="F18" s="3">
        <f t="shared" si="5"/>
        <v>192</v>
      </c>
      <c r="G18" s="3">
        <f t="shared" si="6"/>
        <v>0</v>
      </c>
      <c r="H18" s="64" t="str">
        <f t="shared" si="13"/>
        <v/>
      </c>
      <c r="I18" s="64">
        <f t="shared" si="14"/>
        <v>0</v>
      </c>
      <c r="J18" s="64" t="str">
        <f t="shared" si="15"/>
        <v/>
      </c>
      <c r="K18" s="64">
        <f t="shared" si="16"/>
        <v>0</v>
      </c>
      <c r="L18" s="64"/>
      <c r="M18" s="64"/>
      <c r="N18" s="64"/>
      <c r="O18" s="64"/>
      <c r="P18" s="67"/>
      <c r="Q18" s="67"/>
      <c r="R18" s="59"/>
      <c r="S18" s="59"/>
      <c r="W18" s="5">
        <f t="shared" si="9"/>
        <v>0</v>
      </c>
      <c r="X18" s="5">
        <f t="shared" si="10"/>
        <v>0</v>
      </c>
      <c r="Y18" s="5">
        <f t="shared" si="11"/>
        <v>0</v>
      </c>
      <c r="Z18" s="5">
        <f t="shared" si="12"/>
        <v>0</v>
      </c>
    </row>
    <row r="19">
      <c r="B19" s="28"/>
      <c r="C19" s="28"/>
      <c r="H19" s="64"/>
      <c r="I19" s="64"/>
      <c r="J19" s="64"/>
      <c r="K19" s="64"/>
      <c r="L19" s="64"/>
      <c r="M19" s="64"/>
      <c r="N19" s="64"/>
      <c r="O19" s="64"/>
    </row>
    <row r="20">
      <c r="B20" s="28"/>
      <c r="C20" s="28"/>
      <c r="H20" s="64"/>
      <c r="I20" s="64"/>
      <c r="J20" s="64"/>
      <c r="K20" s="64"/>
      <c r="L20" s="64"/>
      <c r="M20" s="64"/>
      <c r="N20" s="64"/>
      <c r="O20" s="64"/>
    </row>
    <row r="21">
      <c r="B21" s="28"/>
      <c r="C21" s="28"/>
      <c r="H21" s="64"/>
      <c r="I21" s="64"/>
      <c r="J21" s="64"/>
      <c r="K21" s="64"/>
      <c r="L21" s="64"/>
      <c r="M21" s="64"/>
      <c r="N21" s="69" t="s">
        <v>79</v>
      </c>
      <c r="O21" s="64"/>
      <c r="Q21" s="3" t="s">
        <v>80</v>
      </c>
      <c r="T21" s="3" t="s">
        <v>81</v>
      </c>
    </row>
    <row r="22">
      <c r="B22" s="28"/>
      <c r="C22" s="28"/>
      <c r="H22" s="64"/>
      <c r="I22" s="64"/>
      <c r="J22" s="64"/>
      <c r="K22" s="64"/>
      <c r="L22" s="64"/>
      <c r="M22" s="64"/>
      <c r="N22" s="64"/>
      <c r="O22" s="64"/>
    </row>
    <row r="23">
      <c r="B23" s="28"/>
      <c r="C23" s="28"/>
      <c r="H23" s="64"/>
      <c r="I23" s="64"/>
      <c r="J23" s="64"/>
      <c r="K23" s="64"/>
      <c r="L23" s="64"/>
      <c r="M23" s="64"/>
      <c r="N23" s="64"/>
      <c r="O23" s="64"/>
    </row>
    <row r="24">
      <c r="B24" s="28"/>
      <c r="C24" s="28"/>
      <c r="D24" s="3" t="s">
        <v>1</v>
      </c>
      <c r="E24" s="3" t="s">
        <v>82</v>
      </c>
      <c r="F24" s="3" t="s">
        <v>83</v>
      </c>
      <c r="G24" s="3" t="s">
        <v>84</v>
      </c>
      <c r="H24" s="64"/>
      <c r="I24" s="69" t="s">
        <v>85</v>
      </c>
      <c r="J24" s="64"/>
      <c r="K24" s="69" t="s">
        <v>86</v>
      </c>
      <c r="L24" s="64"/>
      <c r="M24" s="64"/>
      <c r="N24" s="64"/>
      <c r="O24" s="69" t="s">
        <v>87</v>
      </c>
      <c r="P24" s="3" t="s">
        <v>88</v>
      </c>
    </row>
    <row r="25">
      <c r="B25" s="28"/>
      <c r="C25" s="28"/>
      <c r="D25" s="3">
        <v>0.0</v>
      </c>
      <c r="E25" s="3">
        <v>2.0</v>
      </c>
      <c r="F25" s="5">
        <f t="shared" ref="F25:F38" si="18">3^D25</f>
        <v>1</v>
      </c>
      <c r="G25" s="5">
        <f t="shared" ref="G25:G38" si="19">E25*(E25-1)/2</f>
        <v>1</v>
      </c>
      <c r="H25" s="64">
        <f t="shared" ref="H25:H38" si="20">F25/G25</f>
        <v>1</v>
      </c>
      <c r="I25" s="64"/>
      <c r="J25" s="64"/>
      <c r="K25" s="64">
        <f t="shared" ref="K25:K38" si="21">E25*(E25+1)/2</f>
        <v>3</v>
      </c>
      <c r="L25" s="64">
        <f t="shared" ref="L25:L38" si="22">F25/K25</f>
        <v>0.3333333333</v>
      </c>
      <c r="M25" s="64"/>
      <c r="N25" s="64"/>
      <c r="O25" s="64"/>
    </row>
    <row r="26">
      <c r="B26" s="28"/>
      <c r="C26" s="28"/>
      <c r="D26" s="3">
        <v>1.0</v>
      </c>
      <c r="E26" s="3">
        <v>2.0</v>
      </c>
      <c r="F26" s="5">
        <f t="shared" si="18"/>
        <v>3</v>
      </c>
      <c r="G26" s="5">
        <f t="shared" si="19"/>
        <v>1</v>
      </c>
      <c r="H26" s="64">
        <f t="shared" si="20"/>
        <v>3</v>
      </c>
      <c r="I26" s="64">
        <f t="shared" ref="I26:I38" si="23">F26/3</f>
        <v>1</v>
      </c>
      <c r="J26" s="64">
        <f t="shared" ref="J26:J38" si="24">(1+sqrt(1+8*I26))/2</f>
        <v>2</v>
      </c>
      <c r="K26" s="64">
        <f t="shared" si="21"/>
        <v>3</v>
      </c>
      <c r="L26" s="64">
        <f t="shared" si="22"/>
        <v>1</v>
      </c>
      <c r="M26" s="64">
        <f t="shared" ref="M26:M38" si="25">G26/G25</f>
        <v>1</v>
      </c>
      <c r="N26" s="64"/>
      <c r="O26" s="64">
        <f t="shared" ref="O26:O34" si="26">E27-E26</f>
        <v>1</v>
      </c>
      <c r="P26" s="5">
        <f t="shared" ref="P26:P34" si="27">O26*E26</f>
        <v>2</v>
      </c>
      <c r="Q26" s="5">
        <f t="shared" ref="Q26:Q34" si="28">F26/P26</f>
        <v>1.5</v>
      </c>
      <c r="R26" s="5">
        <f t="shared" ref="R26:R34" si="29">1/Q26</f>
        <v>0.6666666667</v>
      </c>
    </row>
    <row r="27">
      <c r="B27" s="28"/>
      <c r="C27" s="28"/>
      <c r="D27" s="3">
        <v>2.0</v>
      </c>
      <c r="E27" s="3">
        <v>3.0</v>
      </c>
      <c r="F27" s="5">
        <f t="shared" si="18"/>
        <v>9</v>
      </c>
      <c r="G27" s="5">
        <f t="shared" si="19"/>
        <v>3</v>
      </c>
      <c r="H27" s="64">
        <f t="shared" si="20"/>
        <v>3</v>
      </c>
      <c r="I27" s="64">
        <f t="shared" si="23"/>
        <v>3</v>
      </c>
      <c r="J27" s="64">
        <f t="shared" si="24"/>
        <v>3</v>
      </c>
      <c r="K27" s="64">
        <f t="shared" si="21"/>
        <v>6</v>
      </c>
      <c r="L27" s="64">
        <f t="shared" si="22"/>
        <v>1.5</v>
      </c>
      <c r="M27" s="64">
        <f t="shared" si="25"/>
        <v>3</v>
      </c>
      <c r="N27" s="64"/>
      <c r="O27" s="64">
        <f t="shared" si="26"/>
        <v>2</v>
      </c>
      <c r="P27" s="5">
        <f t="shared" si="27"/>
        <v>6</v>
      </c>
      <c r="Q27" s="5">
        <f t="shared" si="28"/>
        <v>1.5</v>
      </c>
      <c r="R27" s="5">
        <f t="shared" si="29"/>
        <v>0.6666666667</v>
      </c>
    </row>
    <row r="28">
      <c r="B28" s="28"/>
      <c r="C28" s="28"/>
      <c r="D28" s="3">
        <v>3.0</v>
      </c>
      <c r="E28" s="3">
        <v>5.0</v>
      </c>
      <c r="F28" s="5">
        <f t="shared" si="18"/>
        <v>27</v>
      </c>
      <c r="G28" s="5">
        <f t="shared" si="19"/>
        <v>10</v>
      </c>
      <c r="H28" s="64">
        <f t="shared" si="20"/>
        <v>2.7</v>
      </c>
      <c r="I28" s="64">
        <f t="shared" si="23"/>
        <v>9</v>
      </c>
      <c r="J28" s="64">
        <f t="shared" si="24"/>
        <v>4.772001873</v>
      </c>
      <c r="K28" s="64">
        <f t="shared" si="21"/>
        <v>15</v>
      </c>
      <c r="L28" s="64">
        <f t="shared" si="22"/>
        <v>1.8</v>
      </c>
      <c r="M28" s="64">
        <f t="shared" si="25"/>
        <v>3.333333333</v>
      </c>
      <c r="N28" s="64"/>
      <c r="O28" s="64">
        <f t="shared" si="26"/>
        <v>3</v>
      </c>
      <c r="P28" s="5">
        <f t="shared" si="27"/>
        <v>15</v>
      </c>
      <c r="Q28" s="5">
        <f t="shared" si="28"/>
        <v>1.8</v>
      </c>
      <c r="R28" s="5">
        <f t="shared" si="29"/>
        <v>0.5555555556</v>
      </c>
    </row>
    <row r="29">
      <c r="B29" s="28"/>
      <c r="C29" s="28"/>
      <c r="D29" s="3">
        <v>4.0</v>
      </c>
      <c r="E29" s="3">
        <v>8.0</v>
      </c>
      <c r="F29" s="5">
        <f t="shared" si="18"/>
        <v>81</v>
      </c>
      <c r="G29" s="5">
        <f t="shared" si="19"/>
        <v>28</v>
      </c>
      <c r="H29" s="64">
        <f t="shared" si="20"/>
        <v>2.892857143</v>
      </c>
      <c r="I29" s="64">
        <f t="shared" si="23"/>
        <v>27</v>
      </c>
      <c r="J29" s="64">
        <f t="shared" si="24"/>
        <v>7.865459931</v>
      </c>
      <c r="K29" s="64">
        <f t="shared" si="21"/>
        <v>36</v>
      </c>
      <c r="L29" s="64">
        <f t="shared" si="22"/>
        <v>2.25</v>
      </c>
      <c r="M29" s="64">
        <f t="shared" si="25"/>
        <v>2.8</v>
      </c>
      <c r="N29" s="64"/>
      <c r="O29" s="64">
        <f t="shared" si="26"/>
        <v>5</v>
      </c>
      <c r="P29" s="5">
        <f t="shared" si="27"/>
        <v>40</v>
      </c>
      <c r="Q29" s="5">
        <f t="shared" si="28"/>
        <v>2.025</v>
      </c>
      <c r="R29" s="5">
        <f t="shared" si="29"/>
        <v>0.4938271605</v>
      </c>
    </row>
    <row r="30">
      <c r="B30" s="28"/>
      <c r="C30" s="28"/>
      <c r="D30" s="3">
        <v>5.0</v>
      </c>
      <c r="E30" s="3">
        <v>13.0</v>
      </c>
      <c r="F30" s="5">
        <f t="shared" si="18"/>
        <v>243</v>
      </c>
      <c r="G30" s="5">
        <f t="shared" si="19"/>
        <v>78</v>
      </c>
      <c r="H30" s="64">
        <f t="shared" si="20"/>
        <v>3.115384615</v>
      </c>
      <c r="I30" s="64">
        <f t="shared" si="23"/>
        <v>81</v>
      </c>
      <c r="J30" s="64">
        <f t="shared" si="24"/>
        <v>13.2377392</v>
      </c>
      <c r="K30" s="64">
        <f t="shared" si="21"/>
        <v>91</v>
      </c>
      <c r="L30" s="64">
        <f t="shared" si="22"/>
        <v>2.67032967</v>
      </c>
      <c r="M30" s="64">
        <f t="shared" si="25"/>
        <v>2.785714286</v>
      </c>
      <c r="N30" s="64"/>
      <c r="O30" s="64">
        <f t="shared" si="26"/>
        <v>9</v>
      </c>
      <c r="P30" s="5">
        <f t="shared" si="27"/>
        <v>117</v>
      </c>
      <c r="Q30" s="5">
        <f t="shared" si="28"/>
        <v>2.076923077</v>
      </c>
      <c r="R30" s="5">
        <f t="shared" si="29"/>
        <v>0.4814814815</v>
      </c>
    </row>
    <row r="31">
      <c r="B31" s="28"/>
      <c r="C31" s="28"/>
      <c r="D31" s="3">
        <v>6.0</v>
      </c>
      <c r="E31" s="3">
        <v>22.0</v>
      </c>
      <c r="F31" s="5">
        <f t="shared" si="18"/>
        <v>729</v>
      </c>
      <c r="G31" s="5">
        <f t="shared" si="19"/>
        <v>231</v>
      </c>
      <c r="H31" s="64">
        <f t="shared" si="20"/>
        <v>3.155844156</v>
      </c>
      <c r="I31" s="64">
        <f t="shared" si="23"/>
        <v>243</v>
      </c>
      <c r="J31" s="64">
        <f t="shared" si="24"/>
        <v>22.55107707</v>
      </c>
      <c r="K31" s="64">
        <f t="shared" si="21"/>
        <v>253</v>
      </c>
      <c r="L31" s="64">
        <f t="shared" si="22"/>
        <v>2.881422925</v>
      </c>
      <c r="M31" s="64">
        <f t="shared" si="25"/>
        <v>2.961538462</v>
      </c>
      <c r="N31" s="64"/>
      <c r="O31" s="64">
        <f t="shared" si="26"/>
        <v>16</v>
      </c>
      <c r="P31" s="5">
        <f t="shared" si="27"/>
        <v>352</v>
      </c>
      <c r="Q31" s="5">
        <f t="shared" si="28"/>
        <v>2.071022727</v>
      </c>
      <c r="R31" s="5">
        <f t="shared" si="29"/>
        <v>0.4828532236</v>
      </c>
    </row>
    <row r="32">
      <c r="B32" s="28"/>
      <c r="C32" s="28"/>
      <c r="D32" s="3">
        <v>7.0</v>
      </c>
      <c r="E32" s="3">
        <v>38.0</v>
      </c>
      <c r="F32" s="5">
        <f t="shared" si="18"/>
        <v>2187</v>
      </c>
      <c r="G32" s="5">
        <f t="shared" si="19"/>
        <v>703</v>
      </c>
      <c r="H32" s="64">
        <f t="shared" si="20"/>
        <v>3.110953058</v>
      </c>
      <c r="I32" s="64">
        <f t="shared" si="23"/>
        <v>729</v>
      </c>
      <c r="J32" s="64">
        <f t="shared" si="24"/>
        <v>38.68703969</v>
      </c>
      <c r="K32" s="64">
        <f t="shared" si="21"/>
        <v>741</v>
      </c>
      <c r="L32" s="64">
        <f t="shared" si="22"/>
        <v>2.951417004</v>
      </c>
      <c r="M32" s="64">
        <f t="shared" si="25"/>
        <v>3.043290043</v>
      </c>
      <c r="N32" s="64"/>
      <c r="O32" s="64">
        <f t="shared" si="26"/>
        <v>27</v>
      </c>
      <c r="P32" s="5">
        <f t="shared" si="27"/>
        <v>1026</v>
      </c>
      <c r="Q32" s="5">
        <f t="shared" si="28"/>
        <v>2.131578947</v>
      </c>
      <c r="R32" s="5">
        <f t="shared" si="29"/>
        <v>0.4691358025</v>
      </c>
    </row>
    <row r="33">
      <c r="B33" s="28"/>
      <c r="C33" s="28"/>
      <c r="D33" s="3">
        <v>8.0</v>
      </c>
      <c r="E33" s="3">
        <v>65.0</v>
      </c>
      <c r="F33" s="5">
        <f t="shared" si="18"/>
        <v>6561</v>
      </c>
      <c r="G33" s="5">
        <f t="shared" si="19"/>
        <v>2080</v>
      </c>
      <c r="H33" s="64">
        <f t="shared" si="20"/>
        <v>3.154326923</v>
      </c>
      <c r="I33" s="64">
        <f t="shared" si="23"/>
        <v>2187</v>
      </c>
      <c r="J33" s="64">
        <f t="shared" si="24"/>
        <v>66.63811307</v>
      </c>
      <c r="K33" s="64">
        <f t="shared" si="21"/>
        <v>2145</v>
      </c>
      <c r="L33" s="64">
        <f t="shared" si="22"/>
        <v>3.058741259</v>
      </c>
      <c r="M33" s="64">
        <f t="shared" si="25"/>
        <v>2.958748222</v>
      </c>
      <c r="N33" s="64"/>
      <c r="O33" s="64">
        <f t="shared" si="26"/>
        <v>47</v>
      </c>
      <c r="P33" s="5">
        <f t="shared" si="27"/>
        <v>3055</v>
      </c>
      <c r="Q33" s="5">
        <f t="shared" si="28"/>
        <v>2.147626841</v>
      </c>
      <c r="R33" s="5">
        <f t="shared" si="29"/>
        <v>0.4656302393</v>
      </c>
    </row>
    <row r="34">
      <c r="B34" s="28"/>
      <c r="C34" s="28"/>
      <c r="D34" s="3">
        <v>9.0</v>
      </c>
      <c r="E34" s="3">
        <v>112.0</v>
      </c>
      <c r="F34" s="5">
        <f t="shared" si="18"/>
        <v>19683</v>
      </c>
      <c r="G34" s="5">
        <f t="shared" si="19"/>
        <v>6216</v>
      </c>
      <c r="H34" s="64">
        <f t="shared" si="20"/>
        <v>3.166505792</v>
      </c>
      <c r="I34" s="64">
        <f t="shared" si="23"/>
        <v>6561</v>
      </c>
      <c r="J34" s="64">
        <f t="shared" si="24"/>
        <v>115.0523898</v>
      </c>
      <c r="K34" s="64">
        <f t="shared" si="21"/>
        <v>6328</v>
      </c>
      <c r="L34" s="64">
        <f t="shared" si="22"/>
        <v>3.110461441</v>
      </c>
      <c r="M34" s="64">
        <f t="shared" si="25"/>
        <v>2.988461538</v>
      </c>
      <c r="N34" s="64"/>
      <c r="O34" s="64">
        <f t="shared" si="26"/>
        <v>80</v>
      </c>
      <c r="P34" s="5">
        <f t="shared" si="27"/>
        <v>8960</v>
      </c>
      <c r="Q34" s="5">
        <f t="shared" si="28"/>
        <v>2.196763393</v>
      </c>
      <c r="R34" s="5">
        <f t="shared" si="29"/>
        <v>0.4552151603</v>
      </c>
    </row>
    <row r="35">
      <c r="B35" s="28"/>
      <c r="C35" s="28"/>
      <c r="D35" s="3">
        <v>10.0</v>
      </c>
      <c r="E35" s="3">
        <v>192.0</v>
      </c>
      <c r="F35" s="5">
        <f t="shared" si="18"/>
        <v>59049</v>
      </c>
      <c r="G35" s="5">
        <f t="shared" si="19"/>
        <v>18336</v>
      </c>
      <c r="H35" s="64">
        <f t="shared" si="20"/>
        <v>3.220386126</v>
      </c>
      <c r="I35" s="64">
        <f t="shared" si="23"/>
        <v>19683</v>
      </c>
      <c r="J35" s="64">
        <f t="shared" si="24"/>
        <v>198.9092992</v>
      </c>
      <c r="K35" s="64">
        <f t="shared" si="21"/>
        <v>18528</v>
      </c>
      <c r="L35" s="64">
        <f t="shared" si="22"/>
        <v>3.187014249</v>
      </c>
      <c r="M35" s="64">
        <f t="shared" si="25"/>
        <v>2.94980695</v>
      </c>
      <c r="N35" s="64"/>
      <c r="O35" s="64"/>
    </row>
    <row r="36">
      <c r="B36" s="28"/>
      <c r="C36" s="28"/>
      <c r="D36" s="3">
        <v>11.0</v>
      </c>
      <c r="F36" s="5">
        <f t="shared" si="18"/>
        <v>177147</v>
      </c>
      <c r="G36" s="5">
        <f t="shared" si="19"/>
        <v>0</v>
      </c>
      <c r="H36" s="64" t="str">
        <f t="shared" si="20"/>
        <v>#DIV/0!</v>
      </c>
      <c r="I36" s="64">
        <f t="shared" si="23"/>
        <v>59049</v>
      </c>
      <c r="J36" s="64">
        <f t="shared" si="24"/>
        <v>344.1542594</v>
      </c>
      <c r="K36" s="64">
        <f t="shared" si="21"/>
        <v>0</v>
      </c>
      <c r="L36" s="64" t="str">
        <f t="shared" si="22"/>
        <v>#DIV/0!</v>
      </c>
      <c r="M36" s="64">
        <f t="shared" si="25"/>
        <v>0</v>
      </c>
      <c r="N36" s="64"/>
      <c r="O36" s="64"/>
    </row>
    <row r="37">
      <c r="B37" s="28"/>
      <c r="C37" s="28"/>
      <c r="D37" s="3">
        <v>12.0</v>
      </c>
      <c r="F37" s="5">
        <f t="shared" si="18"/>
        <v>531441</v>
      </c>
      <c r="G37" s="5">
        <f t="shared" si="19"/>
        <v>0</v>
      </c>
      <c r="H37" s="64" t="str">
        <f t="shared" si="20"/>
        <v>#DIV/0!</v>
      </c>
      <c r="I37" s="64">
        <f t="shared" si="23"/>
        <v>177147</v>
      </c>
      <c r="J37" s="64">
        <f t="shared" si="24"/>
        <v>595.7262175</v>
      </c>
      <c r="K37" s="64">
        <f t="shared" si="21"/>
        <v>0</v>
      </c>
      <c r="L37" s="64" t="str">
        <f t="shared" si="22"/>
        <v>#DIV/0!</v>
      </c>
      <c r="M37" s="64" t="str">
        <f t="shared" si="25"/>
        <v>#DIV/0!</v>
      </c>
      <c r="N37" s="64"/>
      <c r="O37" s="64"/>
    </row>
    <row r="38">
      <c r="B38" s="28"/>
      <c r="C38" s="28"/>
      <c r="D38" s="3">
        <v>13.0</v>
      </c>
      <c r="F38" s="5">
        <f t="shared" si="18"/>
        <v>1594323</v>
      </c>
      <c r="G38" s="5">
        <f t="shared" si="19"/>
        <v>0</v>
      </c>
      <c r="H38" s="64" t="str">
        <f t="shared" si="20"/>
        <v>#DIV/0!</v>
      </c>
      <c r="I38" s="64">
        <f t="shared" si="23"/>
        <v>531441</v>
      </c>
      <c r="J38" s="64">
        <f t="shared" si="24"/>
        <v>1031.461808</v>
      </c>
      <c r="K38" s="64">
        <f t="shared" si="21"/>
        <v>0</v>
      </c>
      <c r="L38" s="64" t="str">
        <f t="shared" si="22"/>
        <v>#DIV/0!</v>
      </c>
      <c r="M38" s="64" t="str">
        <f t="shared" si="25"/>
        <v>#DIV/0!</v>
      </c>
      <c r="N38" s="64"/>
      <c r="O38" s="64"/>
    </row>
    <row r="39">
      <c r="B39" s="28"/>
      <c r="C39" s="28"/>
      <c r="H39" s="64"/>
      <c r="I39" s="64"/>
      <c r="J39" s="64"/>
      <c r="K39" s="64"/>
      <c r="L39" s="64"/>
      <c r="M39" s="64"/>
      <c r="N39" s="64"/>
      <c r="O39" s="64"/>
    </row>
    <row r="40">
      <c r="B40" s="28"/>
      <c r="C40" s="28"/>
      <c r="H40" s="64"/>
      <c r="I40" s="64"/>
      <c r="J40" s="64"/>
      <c r="K40" s="64"/>
      <c r="L40" s="64"/>
      <c r="M40" s="64"/>
      <c r="N40" s="64"/>
      <c r="O40" s="64"/>
    </row>
    <row r="41">
      <c r="B41" s="28"/>
      <c r="C41" s="28"/>
      <c r="H41" s="64"/>
      <c r="I41" s="64"/>
      <c r="J41" s="64"/>
      <c r="K41" s="64"/>
      <c r="L41" s="64"/>
      <c r="M41" s="64"/>
      <c r="N41" s="64"/>
      <c r="O41" s="64"/>
    </row>
    <row r="42">
      <c r="B42" s="28"/>
      <c r="C42" s="28"/>
      <c r="H42" s="64"/>
      <c r="I42" s="64"/>
      <c r="J42" s="64"/>
      <c r="K42" s="64"/>
      <c r="L42" s="64"/>
      <c r="M42" s="64"/>
      <c r="N42" s="64"/>
      <c r="O42" s="64"/>
    </row>
    <row r="43">
      <c r="B43" s="28"/>
      <c r="C43" s="28"/>
      <c r="H43" s="64"/>
      <c r="I43" s="64"/>
      <c r="J43" s="64"/>
      <c r="K43" s="64"/>
      <c r="L43" s="64"/>
      <c r="M43" s="64"/>
      <c r="N43" s="64"/>
      <c r="O43" s="64"/>
    </row>
    <row r="44">
      <c r="B44" s="28"/>
      <c r="C44" s="28"/>
      <c r="H44" s="64"/>
      <c r="I44" s="64"/>
      <c r="J44" s="64"/>
      <c r="K44" s="64"/>
      <c r="L44" s="64"/>
      <c r="M44" s="64"/>
      <c r="N44" s="64"/>
      <c r="O44" s="64"/>
    </row>
    <row r="45">
      <c r="B45" s="28"/>
      <c r="C45" s="28"/>
      <c r="H45" s="64"/>
      <c r="I45" s="64"/>
      <c r="J45" s="64"/>
      <c r="K45" s="64"/>
      <c r="L45" s="64"/>
      <c r="M45" s="64"/>
      <c r="N45" s="64"/>
      <c r="O45" s="64"/>
    </row>
    <row r="46">
      <c r="B46" s="28"/>
      <c r="C46" s="28"/>
      <c r="H46" s="64"/>
      <c r="I46" s="64"/>
      <c r="J46" s="64"/>
      <c r="K46" s="64"/>
      <c r="L46" s="64"/>
      <c r="M46" s="64"/>
      <c r="N46" s="64"/>
      <c r="O46" s="64"/>
    </row>
    <row r="47">
      <c r="B47" s="28"/>
      <c r="C47" s="28"/>
      <c r="H47" s="64"/>
      <c r="I47" s="64"/>
      <c r="J47" s="64"/>
      <c r="K47" s="64"/>
      <c r="L47" s="64"/>
      <c r="M47" s="64"/>
      <c r="N47" s="64"/>
      <c r="O47" s="64"/>
    </row>
    <row r="48">
      <c r="B48" s="28"/>
      <c r="C48" s="28"/>
      <c r="H48" s="64"/>
      <c r="I48" s="64"/>
      <c r="J48" s="64"/>
      <c r="K48" s="64"/>
      <c r="L48" s="64"/>
      <c r="M48" s="64"/>
      <c r="N48" s="64"/>
      <c r="O48" s="64"/>
    </row>
    <row r="49">
      <c r="B49" s="28"/>
      <c r="C49" s="28"/>
      <c r="H49" s="64"/>
      <c r="I49" s="64"/>
      <c r="J49" s="64"/>
      <c r="K49" s="64"/>
      <c r="L49" s="64"/>
      <c r="M49" s="64"/>
      <c r="N49" s="64"/>
      <c r="O49" s="64"/>
    </row>
    <row r="50">
      <c r="B50" s="28"/>
      <c r="C50" s="28"/>
      <c r="H50" s="64"/>
      <c r="I50" s="64"/>
      <c r="J50" s="64"/>
      <c r="K50" s="64"/>
      <c r="L50" s="64"/>
      <c r="M50" s="64"/>
      <c r="N50" s="64"/>
      <c r="O50" s="64"/>
    </row>
    <row r="51">
      <c r="B51" s="28"/>
      <c r="C51" s="28"/>
      <c r="H51" s="64"/>
      <c r="I51" s="64"/>
      <c r="J51" s="64"/>
      <c r="K51" s="64"/>
      <c r="L51" s="64"/>
      <c r="M51" s="64"/>
      <c r="N51" s="64"/>
      <c r="O51" s="64"/>
    </row>
    <row r="52">
      <c r="B52" s="28"/>
      <c r="C52" s="28"/>
      <c r="H52" s="64"/>
      <c r="I52" s="64"/>
      <c r="J52" s="64"/>
      <c r="K52" s="64"/>
      <c r="L52" s="64"/>
      <c r="M52" s="64"/>
      <c r="N52" s="64"/>
      <c r="O52" s="64"/>
    </row>
    <row r="53">
      <c r="B53" s="28"/>
      <c r="C53" s="28"/>
      <c r="H53" s="64"/>
      <c r="I53" s="64"/>
      <c r="J53" s="64"/>
      <c r="K53" s="64"/>
      <c r="L53" s="64"/>
      <c r="M53" s="64"/>
      <c r="N53" s="64"/>
      <c r="O53" s="64"/>
    </row>
    <row r="54">
      <c r="B54" s="28"/>
      <c r="C54" s="28"/>
      <c r="H54" s="64"/>
      <c r="I54" s="64"/>
      <c r="J54" s="64"/>
      <c r="K54" s="64"/>
      <c r="L54" s="64"/>
      <c r="M54" s="64"/>
      <c r="N54" s="64"/>
      <c r="O54" s="64"/>
    </row>
    <row r="55">
      <c r="B55" s="28"/>
      <c r="C55" s="28"/>
      <c r="H55" s="64"/>
      <c r="I55" s="64"/>
      <c r="J55" s="64"/>
      <c r="K55" s="64"/>
      <c r="L55" s="64"/>
      <c r="M55" s="64"/>
      <c r="N55" s="64"/>
      <c r="O55" s="64"/>
    </row>
    <row r="56">
      <c r="B56" s="28"/>
      <c r="C56" s="28"/>
      <c r="H56" s="64"/>
      <c r="I56" s="64"/>
      <c r="J56" s="64"/>
      <c r="K56" s="64"/>
      <c r="L56" s="64"/>
      <c r="M56" s="64"/>
      <c r="N56" s="64"/>
      <c r="O56" s="64"/>
    </row>
    <row r="57">
      <c r="B57" s="28"/>
      <c r="C57" s="28"/>
      <c r="H57" s="64"/>
      <c r="I57" s="64"/>
      <c r="J57" s="64"/>
      <c r="K57" s="64"/>
      <c r="L57" s="64"/>
      <c r="M57" s="64"/>
      <c r="N57" s="64"/>
      <c r="O57" s="64"/>
    </row>
    <row r="58">
      <c r="B58" s="28"/>
      <c r="C58" s="28"/>
      <c r="H58" s="64"/>
      <c r="I58" s="64"/>
      <c r="J58" s="64"/>
      <c r="K58" s="64"/>
      <c r="L58" s="64"/>
      <c r="M58" s="64"/>
      <c r="N58" s="64"/>
      <c r="O58" s="64"/>
    </row>
    <row r="59">
      <c r="B59" s="28"/>
      <c r="C59" s="28"/>
      <c r="H59" s="64"/>
      <c r="I59" s="64"/>
      <c r="J59" s="64"/>
      <c r="K59" s="64"/>
      <c r="L59" s="64"/>
      <c r="M59" s="64"/>
      <c r="N59" s="64"/>
      <c r="O59" s="64"/>
    </row>
    <row r="60">
      <c r="B60" s="28"/>
      <c r="C60" s="28"/>
      <c r="H60" s="64"/>
      <c r="I60" s="64"/>
      <c r="J60" s="64"/>
      <c r="K60" s="64"/>
      <c r="L60" s="64"/>
      <c r="M60" s="64"/>
      <c r="N60" s="64"/>
      <c r="O60" s="64"/>
    </row>
    <row r="61">
      <c r="B61" s="28"/>
      <c r="C61" s="28"/>
      <c r="H61" s="64"/>
      <c r="I61" s="64"/>
      <c r="J61" s="64"/>
      <c r="K61" s="64"/>
      <c r="L61" s="64"/>
      <c r="M61" s="64"/>
      <c r="N61" s="64"/>
      <c r="O61" s="64"/>
    </row>
    <row r="62">
      <c r="B62" s="28"/>
      <c r="C62" s="28"/>
      <c r="H62" s="64"/>
      <c r="I62" s="64"/>
      <c r="J62" s="64"/>
      <c r="K62" s="64"/>
      <c r="L62" s="64"/>
      <c r="M62" s="64"/>
      <c r="N62" s="64"/>
      <c r="O62" s="64"/>
    </row>
    <row r="63">
      <c r="B63" s="28"/>
      <c r="C63" s="28"/>
      <c r="H63" s="64"/>
      <c r="I63" s="64"/>
      <c r="J63" s="64"/>
      <c r="K63" s="64"/>
      <c r="L63" s="64"/>
      <c r="M63" s="64"/>
      <c r="N63" s="64"/>
      <c r="O63" s="64"/>
    </row>
    <row r="64">
      <c r="B64" s="28"/>
      <c r="C64" s="28"/>
      <c r="H64" s="64"/>
      <c r="I64" s="64"/>
      <c r="J64" s="64"/>
      <c r="K64" s="64"/>
      <c r="L64" s="64"/>
      <c r="M64" s="64"/>
      <c r="N64" s="64"/>
      <c r="O64" s="64"/>
    </row>
    <row r="65">
      <c r="B65" s="28"/>
      <c r="C65" s="28"/>
      <c r="H65" s="64"/>
      <c r="I65" s="64"/>
      <c r="J65" s="64"/>
      <c r="K65" s="64"/>
      <c r="L65" s="64"/>
      <c r="M65" s="64"/>
      <c r="N65" s="64"/>
      <c r="O65" s="64"/>
    </row>
    <row r="66">
      <c r="B66" s="28"/>
      <c r="C66" s="28"/>
      <c r="H66" s="64"/>
      <c r="I66" s="64"/>
      <c r="J66" s="64"/>
      <c r="K66" s="64"/>
      <c r="L66" s="64"/>
      <c r="M66" s="64"/>
      <c r="N66" s="64"/>
      <c r="O66" s="64"/>
    </row>
    <row r="67">
      <c r="B67" s="28"/>
      <c r="C67" s="28"/>
      <c r="H67" s="64"/>
      <c r="I67" s="64"/>
      <c r="J67" s="64"/>
      <c r="K67" s="64"/>
      <c r="L67" s="64"/>
      <c r="M67" s="64"/>
      <c r="N67" s="64"/>
      <c r="O67" s="64"/>
    </row>
    <row r="68">
      <c r="B68" s="28"/>
      <c r="C68" s="28"/>
      <c r="H68" s="64"/>
      <c r="I68" s="64"/>
      <c r="J68" s="64"/>
      <c r="K68" s="64"/>
      <c r="L68" s="64"/>
      <c r="M68" s="64"/>
      <c r="N68" s="64"/>
      <c r="O68" s="64"/>
    </row>
    <row r="69">
      <c r="B69" s="28"/>
      <c r="C69" s="28"/>
      <c r="H69" s="64"/>
      <c r="I69" s="64"/>
      <c r="J69" s="64"/>
      <c r="K69" s="64"/>
      <c r="L69" s="64"/>
      <c r="M69" s="64"/>
      <c r="N69" s="64"/>
      <c r="O69" s="64"/>
    </row>
    <row r="70">
      <c r="B70" s="28"/>
      <c r="C70" s="28"/>
      <c r="H70" s="64"/>
      <c r="I70" s="64"/>
      <c r="J70" s="64"/>
      <c r="K70" s="64"/>
      <c r="L70" s="64"/>
      <c r="M70" s="64"/>
      <c r="N70" s="64"/>
      <c r="O70" s="64"/>
    </row>
    <row r="71">
      <c r="B71" s="28"/>
      <c r="C71" s="28"/>
      <c r="H71" s="64"/>
      <c r="I71" s="64"/>
      <c r="J71" s="64"/>
      <c r="K71" s="64"/>
      <c r="L71" s="64"/>
      <c r="M71" s="64"/>
      <c r="N71" s="64"/>
      <c r="O71" s="64"/>
    </row>
    <row r="72">
      <c r="B72" s="28"/>
      <c r="C72" s="28"/>
      <c r="H72" s="64"/>
      <c r="I72" s="64"/>
      <c r="J72" s="64"/>
      <c r="K72" s="64"/>
      <c r="L72" s="64"/>
      <c r="M72" s="64"/>
      <c r="N72" s="64"/>
      <c r="O72" s="64"/>
    </row>
    <row r="73">
      <c r="B73" s="28"/>
      <c r="C73" s="28"/>
      <c r="H73" s="64"/>
      <c r="I73" s="64"/>
      <c r="J73" s="64"/>
      <c r="K73" s="64"/>
      <c r="L73" s="64"/>
      <c r="M73" s="64"/>
      <c r="N73" s="64"/>
      <c r="O73" s="64"/>
    </row>
    <row r="74">
      <c r="B74" s="28"/>
      <c r="C74" s="28"/>
      <c r="H74" s="64"/>
      <c r="I74" s="64"/>
      <c r="J74" s="64"/>
      <c r="K74" s="64"/>
      <c r="L74" s="64"/>
      <c r="M74" s="64"/>
      <c r="N74" s="64"/>
      <c r="O74" s="64"/>
    </row>
    <row r="75">
      <c r="B75" s="28"/>
      <c r="C75" s="28"/>
      <c r="H75" s="64"/>
      <c r="I75" s="64"/>
      <c r="J75" s="64"/>
      <c r="K75" s="64"/>
      <c r="L75" s="64"/>
      <c r="M75" s="64"/>
      <c r="N75" s="64"/>
      <c r="O75" s="64"/>
    </row>
    <row r="76">
      <c r="B76" s="28"/>
      <c r="C76" s="28"/>
      <c r="H76" s="64"/>
      <c r="I76" s="64"/>
      <c r="J76" s="64"/>
      <c r="K76" s="64"/>
      <c r="L76" s="64"/>
      <c r="M76" s="64"/>
      <c r="N76" s="64"/>
      <c r="O76" s="64"/>
    </row>
    <row r="77">
      <c r="B77" s="28"/>
      <c r="C77" s="28"/>
      <c r="H77" s="64"/>
      <c r="I77" s="64"/>
      <c r="J77" s="64"/>
      <c r="K77" s="64"/>
      <c r="L77" s="64"/>
      <c r="M77" s="64"/>
      <c r="N77" s="64"/>
      <c r="O77" s="64"/>
    </row>
    <row r="78">
      <c r="B78" s="28"/>
      <c r="C78" s="28"/>
      <c r="H78" s="64"/>
      <c r="I78" s="64"/>
      <c r="J78" s="64"/>
      <c r="K78" s="64"/>
      <c r="L78" s="64"/>
      <c r="M78" s="64"/>
      <c r="N78" s="64"/>
      <c r="O78" s="64"/>
    </row>
    <row r="79">
      <c r="B79" s="28"/>
      <c r="C79" s="28"/>
      <c r="H79" s="64"/>
      <c r="I79" s="64"/>
      <c r="J79" s="64"/>
      <c r="K79" s="64"/>
      <c r="L79" s="64"/>
      <c r="M79" s="64"/>
      <c r="N79" s="64"/>
      <c r="O79" s="64"/>
    </row>
    <row r="80">
      <c r="B80" s="28"/>
      <c r="C80" s="28"/>
      <c r="H80" s="64"/>
      <c r="I80" s="64"/>
      <c r="J80" s="64"/>
      <c r="K80" s="64"/>
      <c r="L80" s="64"/>
      <c r="M80" s="64"/>
      <c r="N80" s="64"/>
      <c r="O80" s="64"/>
    </row>
    <row r="81">
      <c r="B81" s="28"/>
      <c r="C81" s="28"/>
      <c r="H81" s="64"/>
      <c r="I81" s="64"/>
      <c r="J81" s="64"/>
      <c r="K81" s="64"/>
      <c r="L81" s="64"/>
      <c r="M81" s="64"/>
      <c r="N81" s="64"/>
      <c r="O81" s="64"/>
    </row>
    <row r="82">
      <c r="B82" s="28"/>
      <c r="C82" s="28"/>
      <c r="H82" s="64"/>
      <c r="I82" s="64"/>
      <c r="J82" s="64"/>
      <c r="K82" s="64"/>
      <c r="L82" s="64"/>
      <c r="M82" s="64"/>
      <c r="N82" s="64"/>
      <c r="O82" s="64"/>
    </row>
    <row r="83">
      <c r="B83" s="28"/>
      <c r="C83" s="28"/>
      <c r="H83" s="64"/>
      <c r="I83" s="64"/>
      <c r="J83" s="64"/>
      <c r="K83" s="64"/>
      <c r="L83" s="64"/>
      <c r="M83" s="64"/>
      <c r="N83" s="64"/>
      <c r="O83" s="64"/>
    </row>
    <row r="84">
      <c r="B84" s="28"/>
      <c r="C84" s="28"/>
      <c r="H84" s="64"/>
      <c r="I84" s="64"/>
      <c r="J84" s="64"/>
      <c r="K84" s="64"/>
      <c r="L84" s="64"/>
      <c r="M84" s="64"/>
      <c r="N84" s="64"/>
      <c r="O84" s="64"/>
    </row>
    <row r="85">
      <c r="B85" s="28"/>
      <c r="C85" s="28"/>
      <c r="H85" s="64"/>
      <c r="I85" s="64"/>
      <c r="J85" s="64"/>
      <c r="K85" s="64"/>
      <c r="L85" s="64"/>
      <c r="M85" s="64"/>
      <c r="N85" s="64"/>
      <c r="O85" s="64"/>
    </row>
    <row r="86">
      <c r="B86" s="28"/>
      <c r="C86" s="28"/>
      <c r="H86" s="64"/>
      <c r="I86" s="64"/>
      <c r="J86" s="64"/>
      <c r="K86" s="64"/>
      <c r="L86" s="64"/>
      <c r="M86" s="64"/>
      <c r="N86" s="64"/>
      <c r="O86" s="64"/>
    </row>
    <row r="87">
      <c r="B87" s="28"/>
      <c r="C87" s="28"/>
      <c r="H87" s="64"/>
      <c r="I87" s="64"/>
      <c r="J87" s="64"/>
      <c r="K87" s="64"/>
      <c r="L87" s="64"/>
      <c r="M87" s="64"/>
      <c r="N87" s="64"/>
      <c r="O87" s="64"/>
    </row>
    <row r="88">
      <c r="B88" s="28"/>
      <c r="C88" s="28"/>
      <c r="H88" s="64"/>
      <c r="I88" s="64"/>
      <c r="J88" s="64"/>
      <c r="K88" s="64"/>
      <c r="L88" s="64"/>
      <c r="M88" s="64"/>
      <c r="N88" s="64"/>
      <c r="O88" s="64"/>
    </row>
    <row r="89">
      <c r="B89" s="28"/>
      <c r="C89" s="28"/>
      <c r="H89" s="64"/>
      <c r="I89" s="64"/>
      <c r="J89" s="64"/>
      <c r="K89" s="64"/>
      <c r="L89" s="64"/>
      <c r="M89" s="64"/>
      <c r="N89" s="64"/>
      <c r="O89" s="64"/>
    </row>
    <row r="90">
      <c r="B90" s="28"/>
      <c r="C90" s="28"/>
      <c r="H90" s="64"/>
      <c r="I90" s="64"/>
      <c r="J90" s="64"/>
      <c r="K90" s="64"/>
      <c r="L90" s="64"/>
      <c r="M90" s="64"/>
      <c r="N90" s="64"/>
      <c r="O90" s="64"/>
    </row>
    <row r="91">
      <c r="B91" s="28"/>
      <c r="C91" s="28"/>
      <c r="H91" s="64"/>
      <c r="I91" s="64"/>
      <c r="J91" s="64"/>
      <c r="K91" s="64"/>
      <c r="L91" s="64"/>
      <c r="M91" s="64"/>
      <c r="N91" s="64"/>
      <c r="O91" s="64"/>
    </row>
    <row r="92">
      <c r="B92" s="28"/>
      <c r="C92" s="28"/>
      <c r="H92" s="64"/>
      <c r="I92" s="64"/>
      <c r="J92" s="64"/>
      <c r="K92" s="64"/>
      <c r="L92" s="64"/>
      <c r="M92" s="64"/>
      <c r="N92" s="64"/>
      <c r="O92" s="64"/>
    </row>
    <row r="93">
      <c r="B93" s="28"/>
      <c r="C93" s="28"/>
      <c r="H93" s="64"/>
      <c r="I93" s="64"/>
      <c r="J93" s="64"/>
      <c r="K93" s="64"/>
      <c r="L93" s="64"/>
      <c r="M93" s="64"/>
      <c r="N93" s="64"/>
      <c r="O93" s="64"/>
    </row>
    <row r="94">
      <c r="B94" s="28"/>
      <c r="C94" s="28"/>
      <c r="H94" s="64"/>
      <c r="I94" s="64"/>
      <c r="J94" s="64"/>
      <c r="K94" s="64"/>
      <c r="L94" s="64"/>
      <c r="M94" s="64"/>
      <c r="N94" s="64"/>
      <c r="O94" s="64"/>
    </row>
    <row r="95">
      <c r="B95" s="28"/>
      <c r="C95" s="28"/>
      <c r="H95" s="64"/>
      <c r="I95" s="64"/>
      <c r="J95" s="64"/>
      <c r="K95" s="64"/>
      <c r="L95" s="64"/>
      <c r="M95" s="64"/>
      <c r="N95" s="64"/>
      <c r="O95" s="64"/>
    </row>
    <row r="96">
      <c r="B96" s="28"/>
      <c r="C96" s="28"/>
      <c r="H96" s="64"/>
      <c r="I96" s="64"/>
      <c r="J96" s="64"/>
      <c r="K96" s="64"/>
      <c r="L96" s="64"/>
      <c r="M96" s="64"/>
      <c r="N96" s="64"/>
      <c r="O96" s="64"/>
    </row>
    <row r="97">
      <c r="B97" s="28"/>
      <c r="C97" s="28"/>
      <c r="H97" s="64"/>
      <c r="I97" s="64"/>
      <c r="J97" s="64"/>
      <c r="K97" s="64"/>
      <c r="L97" s="64"/>
      <c r="M97" s="64"/>
      <c r="N97" s="64"/>
      <c r="O97" s="64"/>
    </row>
    <row r="98">
      <c r="B98" s="28"/>
      <c r="C98" s="28"/>
      <c r="H98" s="64"/>
      <c r="I98" s="64"/>
      <c r="J98" s="64"/>
      <c r="K98" s="64"/>
      <c r="L98" s="64"/>
      <c r="M98" s="64"/>
      <c r="N98" s="64"/>
      <c r="O98" s="64"/>
    </row>
    <row r="99">
      <c r="B99" s="28"/>
      <c r="C99" s="28"/>
      <c r="H99" s="64"/>
      <c r="I99" s="64"/>
      <c r="J99" s="64"/>
      <c r="K99" s="64"/>
      <c r="L99" s="64"/>
      <c r="M99" s="64"/>
      <c r="N99" s="64"/>
      <c r="O99" s="64"/>
    </row>
    <row r="100">
      <c r="B100" s="28"/>
      <c r="C100" s="28"/>
      <c r="H100" s="64"/>
      <c r="I100" s="64"/>
      <c r="J100" s="64"/>
      <c r="K100" s="64"/>
      <c r="L100" s="64"/>
      <c r="M100" s="64"/>
      <c r="N100" s="64"/>
      <c r="O100" s="64"/>
    </row>
    <row r="101">
      <c r="B101" s="28"/>
      <c r="C101" s="28"/>
      <c r="H101" s="64"/>
      <c r="I101" s="64"/>
      <c r="J101" s="64"/>
      <c r="K101" s="64"/>
      <c r="L101" s="64"/>
      <c r="M101" s="64"/>
      <c r="N101" s="64"/>
      <c r="O101" s="64"/>
    </row>
    <row r="102">
      <c r="B102" s="28"/>
      <c r="C102" s="28"/>
      <c r="H102" s="64"/>
      <c r="I102" s="64"/>
      <c r="J102" s="64"/>
      <c r="K102" s="64"/>
      <c r="L102" s="64"/>
      <c r="M102" s="64"/>
      <c r="N102" s="64"/>
      <c r="O102" s="64"/>
    </row>
    <row r="103">
      <c r="B103" s="28"/>
      <c r="C103" s="28"/>
      <c r="H103" s="64"/>
      <c r="I103" s="64"/>
      <c r="J103" s="64"/>
      <c r="K103" s="64"/>
      <c r="L103" s="64"/>
      <c r="M103" s="64"/>
      <c r="N103" s="64"/>
      <c r="O103" s="64"/>
    </row>
    <row r="104">
      <c r="B104" s="28"/>
      <c r="C104" s="28"/>
      <c r="H104" s="64"/>
      <c r="I104" s="64"/>
      <c r="J104" s="64"/>
      <c r="K104" s="64"/>
      <c r="L104" s="64"/>
      <c r="M104" s="64"/>
      <c r="N104" s="64"/>
      <c r="O104" s="64"/>
    </row>
    <row r="105">
      <c r="B105" s="28"/>
      <c r="C105" s="28"/>
      <c r="H105" s="64"/>
      <c r="I105" s="64"/>
      <c r="J105" s="64"/>
      <c r="K105" s="64"/>
      <c r="L105" s="64"/>
      <c r="M105" s="64"/>
      <c r="N105" s="64"/>
      <c r="O105" s="64"/>
    </row>
    <row r="106">
      <c r="B106" s="28"/>
      <c r="C106" s="28"/>
      <c r="H106" s="64"/>
      <c r="I106" s="64"/>
      <c r="J106" s="64"/>
      <c r="K106" s="64"/>
      <c r="L106" s="64"/>
      <c r="M106" s="64"/>
      <c r="N106" s="64"/>
      <c r="O106" s="64"/>
    </row>
    <row r="107">
      <c r="B107" s="28"/>
      <c r="C107" s="28"/>
      <c r="H107" s="64"/>
      <c r="I107" s="64"/>
      <c r="J107" s="64"/>
      <c r="K107" s="64"/>
      <c r="L107" s="64"/>
      <c r="M107" s="64"/>
      <c r="N107" s="64"/>
      <c r="O107" s="64"/>
    </row>
    <row r="108">
      <c r="B108" s="28"/>
      <c r="C108" s="28"/>
      <c r="H108" s="64"/>
      <c r="I108" s="64"/>
      <c r="J108" s="64"/>
      <c r="K108" s="64"/>
      <c r="L108" s="64"/>
      <c r="M108" s="64"/>
      <c r="N108" s="64"/>
      <c r="O108" s="64"/>
    </row>
    <row r="109">
      <c r="B109" s="28"/>
      <c r="C109" s="28"/>
      <c r="H109" s="64"/>
      <c r="I109" s="64"/>
      <c r="J109" s="64"/>
      <c r="K109" s="64"/>
      <c r="L109" s="64"/>
      <c r="M109" s="64"/>
      <c r="N109" s="64"/>
      <c r="O109" s="64"/>
    </row>
    <row r="110">
      <c r="B110" s="28"/>
      <c r="C110" s="28"/>
      <c r="H110" s="64"/>
      <c r="I110" s="64"/>
      <c r="J110" s="64"/>
      <c r="K110" s="64"/>
      <c r="L110" s="64"/>
      <c r="M110" s="64"/>
      <c r="N110" s="64"/>
      <c r="O110" s="64"/>
    </row>
    <row r="111">
      <c r="B111" s="28"/>
      <c r="C111" s="28"/>
      <c r="H111" s="64"/>
      <c r="I111" s="64"/>
      <c r="J111" s="64"/>
      <c r="K111" s="64"/>
      <c r="L111" s="64"/>
      <c r="M111" s="64"/>
      <c r="N111" s="64"/>
      <c r="O111" s="64"/>
    </row>
    <row r="112">
      <c r="B112" s="28"/>
      <c r="C112" s="28"/>
      <c r="H112" s="64"/>
      <c r="I112" s="64"/>
      <c r="J112" s="64"/>
      <c r="K112" s="64"/>
      <c r="L112" s="64"/>
      <c r="M112" s="64"/>
      <c r="N112" s="64"/>
      <c r="O112" s="64"/>
    </row>
    <row r="113">
      <c r="B113" s="28"/>
      <c r="C113" s="28"/>
      <c r="H113" s="64"/>
      <c r="I113" s="64"/>
      <c r="J113" s="64"/>
      <c r="K113" s="64"/>
      <c r="L113" s="64"/>
      <c r="M113" s="64"/>
      <c r="N113" s="64"/>
      <c r="O113" s="64"/>
    </row>
    <row r="114">
      <c r="B114" s="28"/>
      <c r="C114" s="28"/>
      <c r="H114" s="64"/>
      <c r="I114" s="64"/>
      <c r="J114" s="64"/>
      <c r="K114" s="64"/>
      <c r="L114" s="64"/>
      <c r="M114" s="64"/>
      <c r="N114" s="64"/>
      <c r="O114" s="64"/>
    </row>
    <row r="115">
      <c r="B115" s="28"/>
      <c r="C115" s="28"/>
      <c r="H115" s="64"/>
      <c r="I115" s="64"/>
      <c r="J115" s="64"/>
      <c r="K115" s="64"/>
      <c r="L115" s="64"/>
      <c r="M115" s="64"/>
      <c r="N115" s="64"/>
      <c r="O115" s="64"/>
    </row>
    <row r="116">
      <c r="B116" s="28"/>
      <c r="C116" s="28"/>
      <c r="H116" s="64"/>
      <c r="I116" s="64"/>
      <c r="J116" s="64"/>
      <c r="K116" s="64"/>
      <c r="L116" s="64"/>
      <c r="M116" s="64"/>
      <c r="N116" s="64"/>
      <c r="O116" s="64"/>
    </row>
    <row r="117">
      <c r="B117" s="28"/>
      <c r="C117" s="28"/>
      <c r="H117" s="64"/>
      <c r="I117" s="64"/>
      <c r="J117" s="64"/>
      <c r="K117" s="64"/>
      <c r="L117" s="64"/>
      <c r="M117" s="64"/>
      <c r="N117" s="64"/>
      <c r="O117" s="64"/>
    </row>
    <row r="118">
      <c r="B118" s="28"/>
      <c r="C118" s="28"/>
      <c r="H118" s="64"/>
      <c r="I118" s="64"/>
      <c r="J118" s="64"/>
      <c r="K118" s="64"/>
      <c r="L118" s="64"/>
      <c r="M118" s="64"/>
      <c r="N118" s="64"/>
      <c r="O118" s="64"/>
    </row>
    <row r="119">
      <c r="B119" s="28"/>
      <c r="C119" s="28"/>
      <c r="H119" s="64"/>
      <c r="I119" s="64"/>
      <c r="J119" s="64"/>
      <c r="K119" s="64"/>
      <c r="L119" s="64"/>
      <c r="M119" s="64"/>
      <c r="N119" s="64"/>
      <c r="O119" s="64"/>
    </row>
    <row r="120">
      <c r="B120" s="28"/>
      <c r="C120" s="28"/>
      <c r="H120" s="64"/>
      <c r="I120" s="64"/>
      <c r="J120" s="64"/>
      <c r="K120" s="64"/>
      <c r="L120" s="64"/>
      <c r="M120" s="64"/>
      <c r="N120" s="64"/>
      <c r="O120" s="64"/>
    </row>
    <row r="121">
      <c r="B121" s="28"/>
      <c r="C121" s="28"/>
      <c r="H121" s="64"/>
      <c r="I121" s="64"/>
      <c r="J121" s="64"/>
      <c r="K121" s="64"/>
      <c r="L121" s="64"/>
      <c r="M121" s="64"/>
      <c r="N121" s="64"/>
      <c r="O121" s="64"/>
    </row>
    <row r="122">
      <c r="B122" s="28"/>
      <c r="C122" s="28"/>
      <c r="H122" s="64"/>
      <c r="I122" s="64"/>
      <c r="J122" s="64"/>
      <c r="K122" s="64"/>
      <c r="L122" s="64"/>
      <c r="M122" s="64"/>
      <c r="N122" s="64"/>
      <c r="O122" s="64"/>
    </row>
    <row r="123">
      <c r="B123" s="28"/>
      <c r="C123" s="28"/>
      <c r="H123" s="64"/>
      <c r="I123" s="64"/>
      <c r="J123" s="64"/>
      <c r="K123" s="64"/>
      <c r="L123" s="64"/>
      <c r="M123" s="64"/>
      <c r="N123" s="64"/>
      <c r="O123" s="64"/>
    </row>
    <row r="124">
      <c r="B124" s="28"/>
      <c r="C124" s="28"/>
      <c r="H124" s="64"/>
      <c r="I124" s="64"/>
      <c r="J124" s="64"/>
      <c r="K124" s="64"/>
      <c r="L124" s="64"/>
      <c r="M124" s="64"/>
      <c r="N124" s="64"/>
      <c r="O124" s="64"/>
    </row>
    <row r="125">
      <c r="B125" s="28"/>
      <c r="C125" s="28"/>
      <c r="H125" s="64"/>
      <c r="I125" s="64"/>
      <c r="J125" s="64"/>
      <c r="K125" s="64"/>
      <c r="L125" s="64"/>
      <c r="M125" s="64"/>
      <c r="N125" s="64"/>
      <c r="O125" s="64"/>
    </row>
    <row r="126">
      <c r="B126" s="28"/>
      <c r="C126" s="28"/>
      <c r="H126" s="64"/>
      <c r="I126" s="64"/>
      <c r="J126" s="64"/>
      <c r="K126" s="64"/>
      <c r="L126" s="64"/>
      <c r="M126" s="64"/>
      <c r="N126" s="64"/>
      <c r="O126" s="64"/>
    </row>
    <row r="127">
      <c r="B127" s="28"/>
      <c r="C127" s="28"/>
      <c r="H127" s="64"/>
      <c r="I127" s="64"/>
      <c r="J127" s="64"/>
      <c r="K127" s="64"/>
      <c r="L127" s="64"/>
      <c r="M127" s="64"/>
      <c r="N127" s="64"/>
      <c r="O127" s="64"/>
    </row>
    <row r="128">
      <c r="B128" s="28"/>
      <c r="C128" s="28"/>
      <c r="H128" s="64"/>
      <c r="I128" s="64"/>
      <c r="J128" s="64"/>
      <c r="K128" s="64"/>
      <c r="L128" s="64"/>
      <c r="M128" s="64"/>
      <c r="N128" s="64"/>
      <c r="O128" s="64"/>
    </row>
    <row r="129">
      <c r="B129" s="28"/>
      <c r="C129" s="28"/>
      <c r="H129" s="64"/>
      <c r="I129" s="64"/>
      <c r="J129" s="64"/>
      <c r="K129" s="64"/>
      <c r="L129" s="64"/>
      <c r="M129" s="64"/>
      <c r="N129" s="64"/>
      <c r="O129" s="64"/>
    </row>
    <row r="130">
      <c r="B130" s="28"/>
      <c r="C130" s="28"/>
      <c r="H130" s="64"/>
      <c r="I130" s="64"/>
      <c r="J130" s="64"/>
      <c r="K130" s="64"/>
      <c r="L130" s="64"/>
      <c r="M130" s="64"/>
      <c r="N130" s="64"/>
      <c r="O130" s="64"/>
    </row>
    <row r="131">
      <c r="B131" s="28"/>
      <c r="C131" s="28"/>
      <c r="H131" s="64"/>
      <c r="I131" s="64"/>
      <c r="J131" s="64"/>
      <c r="K131" s="64"/>
      <c r="L131" s="64"/>
      <c r="M131" s="64"/>
      <c r="N131" s="64"/>
      <c r="O131" s="64"/>
    </row>
    <row r="132">
      <c r="B132" s="28"/>
      <c r="C132" s="28"/>
      <c r="H132" s="64"/>
      <c r="I132" s="64"/>
      <c r="J132" s="64"/>
      <c r="K132" s="64"/>
      <c r="L132" s="64"/>
      <c r="M132" s="64"/>
      <c r="N132" s="64"/>
      <c r="O132" s="64"/>
    </row>
    <row r="133">
      <c r="B133" s="28"/>
      <c r="C133" s="28"/>
      <c r="H133" s="64"/>
      <c r="I133" s="64"/>
      <c r="J133" s="64"/>
      <c r="K133" s="64"/>
      <c r="L133" s="64"/>
      <c r="M133" s="64"/>
      <c r="N133" s="64"/>
      <c r="O133" s="64"/>
    </row>
    <row r="134">
      <c r="B134" s="28"/>
      <c r="C134" s="28"/>
      <c r="H134" s="64"/>
      <c r="I134" s="64"/>
      <c r="J134" s="64"/>
      <c r="K134" s="64"/>
      <c r="L134" s="64"/>
      <c r="M134" s="64"/>
      <c r="N134" s="64"/>
      <c r="O134" s="64"/>
    </row>
    <row r="135">
      <c r="B135" s="28"/>
      <c r="C135" s="28"/>
      <c r="H135" s="64"/>
      <c r="I135" s="64"/>
      <c r="J135" s="64"/>
      <c r="K135" s="64"/>
      <c r="L135" s="64"/>
      <c r="M135" s="64"/>
      <c r="N135" s="64"/>
      <c r="O135" s="64"/>
    </row>
    <row r="136">
      <c r="B136" s="28"/>
      <c r="C136" s="28"/>
      <c r="H136" s="64"/>
      <c r="I136" s="64"/>
      <c r="J136" s="64"/>
      <c r="K136" s="64"/>
      <c r="L136" s="64"/>
      <c r="M136" s="64"/>
      <c r="N136" s="64"/>
      <c r="O136" s="64"/>
    </row>
    <row r="137">
      <c r="B137" s="28"/>
      <c r="C137" s="28"/>
      <c r="H137" s="64"/>
      <c r="I137" s="64"/>
      <c r="J137" s="64"/>
      <c r="K137" s="64"/>
      <c r="L137" s="64"/>
      <c r="M137" s="64"/>
      <c r="N137" s="64"/>
      <c r="O137" s="64"/>
    </row>
    <row r="138">
      <c r="B138" s="28"/>
      <c r="C138" s="28"/>
      <c r="H138" s="64"/>
      <c r="I138" s="64"/>
      <c r="J138" s="64"/>
      <c r="K138" s="64"/>
      <c r="L138" s="64"/>
      <c r="M138" s="64"/>
      <c r="N138" s="64"/>
      <c r="O138" s="64"/>
    </row>
    <row r="139">
      <c r="B139" s="28"/>
      <c r="C139" s="28"/>
      <c r="H139" s="64"/>
      <c r="I139" s="64"/>
      <c r="J139" s="64"/>
      <c r="K139" s="64"/>
      <c r="L139" s="64"/>
      <c r="M139" s="64"/>
      <c r="N139" s="64"/>
      <c r="O139" s="64"/>
    </row>
    <row r="140">
      <c r="B140" s="28"/>
      <c r="C140" s="28"/>
      <c r="H140" s="64"/>
      <c r="I140" s="64"/>
      <c r="J140" s="64"/>
      <c r="K140" s="64"/>
      <c r="L140" s="64"/>
      <c r="M140" s="64"/>
      <c r="N140" s="64"/>
      <c r="O140" s="64"/>
    </row>
    <row r="141">
      <c r="B141" s="28"/>
      <c r="C141" s="28"/>
      <c r="H141" s="64"/>
      <c r="I141" s="64"/>
      <c r="J141" s="64"/>
      <c r="K141" s="64"/>
      <c r="L141" s="64"/>
      <c r="M141" s="64"/>
      <c r="N141" s="64"/>
      <c r="O141" s="64"/>
    </row>
    <row r="142">
      <c r="B142" s="28"/>
      <c r="C142" s="28"/>
      <c r="H142" s="64"/>
      <c r="I142" s="64"/>
      <c r="J142" s="64"/>
      <c r="K142" s="64"/>
      <c r="L142" s="64"/>
      <c r="M142" s="64"/>
      <c r="N142" s="64"/>
      <c r="O142" s="64"/>
    </row>
    <row r="143">
      <c r="B143" s="28"/>
      <c r="C143" s="28"/>
      <c r="H143" s="64"/>
      <c r="I143" s="64"/>
      <c r="J143" s="64"/>
      <c r="K143" s="64"/>
      <c r="L143" s="64"/>
      <c r="M143" s="64"/>
      <c r="N143" s="64"/>
      <c r="O143" s="64"/>
    </row>
    <row r="144">
      <c r="B144" s="28"/>
      <c r="C144" s="28"/>
      <c r="H144" s="64"/>
      <c r="I144" s="64"/>
      <c r="J144" s="64"/>
      <c r="K144" s="64"/>
      <c r="L144" s="64"/>
      <c r="M144" s="64"/>
      <c r="N144" s="64"/>
      <c r="O144" s="64"/>
    </row>
    <row r="145">
      <c r="B145" s="28"/>
      <c r="C145" s="28"/>
      <c r="H145" s="64"/>
      <c r="I145" s="64"/>
      <c r="J145" s="64"/>
      <c r="K145" s="64"/>
      <c r="L145" s="64"/>
      <c r="M145" s="64"/>
      <c r="N145" s="64"/>
      <c r="O145" s="64"/>
    </row>
    <row r="146">
      <c r="B146" s="28"/>
      <c r="C146" s="28"/>
      <c r="H146" s="64"/>
      <c r="I146" s="64"/>
      <c r="J146" s="64"/>
      <c r="K146" s="64"/>
      <c r="L146" s="64"/>
      <c r="M146" s="64"/>
      <c r="N146" s="64"/>
      <c r="O146" s="64"/>
    </row>
    <row r="147">
      <c r="B147" s="28"/>
      <c r="C147" s="28"/>
      <c r="H147" s="64"/>
      <c r="I147" s="64"/>
      <c r="J147" s="64"/>
      <c r="K147" s="64"/>
      <c r="L147" s="64"/>
      <c r="M147" s="64"/>
      <c r="N147" s="64"/>
      <c r="O147" s="64"/>
    </row>
    <row r="148">
      <c r="B148" s="28"/>
      <c r="C148" s="28"/>
      <c r="H148" s="64"/>
      <c r="I148" s="64"/>
      <c r="J148" s="64"/>
      <c r="K148" s="64"/>
      <c r="L148" s="64"/>
      <c r="M148" s="64"/>
      <c r="N148" s="64"/>
      <c r="O148" s="64"/>
    </row>
    <row r="149">
      <c r="B149" s="28"/>
      <c r="C149" s="28"/>
      <c r="H149" s="64"/>
      <c r="I149" s="64"/>
      <c r="J149" s="64"/>
      <c r="K149" s="64"/>
      <c r="L149" s="64"/>
      <c r="M149" s="64"/>
      <c r="N149" s="64"/>
      <c r="O149" s="64"/>
    </row>
    <row r="150">
      <c r="B150" s="28"/>
      <c r="C150" s="28"/>
      <c r="H150" s="64"/>
      <c r="I150" s="64"/>
      <c r="J150" s="64"/>
      <c r="K150" s="64"/>
      <c r="L150" s="64"/>
      <c r="M150" s="64"/>
      <c r="N150" s="64"/>
      <c r="O150" s="64"/>
    </row>
    <row r="151">
      <c r="B151" s="28"/>
      <c r="C151" s="28"/>
      <c r="H151" s="64"/>
      <c r="I151" s="64"/>
      <c r="J151" s="64"/>
      <c r="K151" s="64"/>
      <c r="L151" s="64"/>
      <c r="M151" s="64"/>
      <c r="N151" s="64"/>
      <c r="O151" s="64"/>
    </row>
    <row r="152">
      <c r="B152" s="28"/>
      <c r="C152" s="28"/>
      <c r="H152" s="64"/>
      <c r="I152" s="64"/>
      <c r="J152" s="64"/>
      <c r="K152" s="64"/>
      <c r="L152" s="64"/>
      <c r="M152" s="64"/>
      <c r="N152" s="64"/>
      <c r="O152" s="64"/>
    </row>
    <row r="153">
      <c r="B153" s="28"/>
      <c r="C153" s="28"/>
      <c r="H153" s="64"/>
      <c r="I153" s="64"/>
      <c r="J153" s="64"/>
      <c r="K153" s="64"/>
      <c r="L153" s="64"/>
      <c r="M153" s="64"/>
      <c r="N153" s="64"/>
      <c r="O153" s="64"/>
    </row>
    <row r="154">
      <c r="B154" s="28"/>
      <c r="C154" s="28"/>
      <c r="H154" s="64"/>
      <c r="I154" s="64"/>
      <c r="J154" s="64"/>
      <c r="K154" s="64"/>
      <c r="L154" s="64"/>
      <c r="M154" s="64"/>
      <c r="N154" s="64"/>
      <c r="O154" s="64"/>
    </row>
    <row r="155">
      <c r="B155" s="28"/>
      <c r="C155" s="28"/>
      <c r="H155" s="64"/>
      <c r="I155" s="64"/>
      <c r="J155" s="64"/>
      <c r="K155" s="64"/>
      <c r="L155" s="64"/>
      <c r="M155" s="64"/>
      <c r="N155" s="64"/>
      <c r="O155" s="64"/>
    </row>
    <row r="156">
      <c r="B156" s="28"/>
      <c r="C156" s="28"/>
      <c r="H156" s="64"/>
      <c r="I156" s="64"/>
      <c r="J156" s="64"/>
      <c r="K156" s="64"/>
      <c r="L156" s="64"/>
      <c r="M156" s="64"/>
      <c r="N156" s="64"/>
      <c r="O156" s="64"/>
    </row>
    <row r="157">
      <c r="B157" s="28"/>
      <c r="C157" s="28"/>
      <c r="H157" s="64"/>
      <c r="I157" s="64"/>
      <c r="J157" s="64"/>
      <c r="K157" s="64"/>
      <c r="L157" s="64"/>
      <c r="M157" s="64"/>
      <c r="N157" s="64"/>
      <c r="O157" s="64"/>
    </row>
    <row r="158">
      <c r="B158" s="28"/>
      <c r="C158" s="28"/>
      <c r="H158" s="64"/>
      <c r="I158" s="64"/>
      <c r="J158" s="64"/>
      <c r="K158" s="64"/>
      <c r="L158" s="64"/>
      <c r="M158" s="64"/>
      <c r="N158" s="64"/>
      <c r="O158" s="64"/>
    </row>
    <row r="159">
      <c r="B159" s="28"/>
      <c r="C159" s="28"/>
      <c r="H159" s="64"/>
      <c r="I159" s="64"/>
      <c r="J159" s="64"/>
      <c r="K159" s="64"/>
      <c r="L159" s="64"/>
      <c r="M159" s="64"/>
      <c r="N159" s="64"/>
      <c r="O159" s="64"/>
    </row>
    <row r="160">
      <c r="B160" s="28"/>
      <c r="C160" s="28"/>
      <c r="H160" s="64"/>
      <c r="I160" s="64"/>
      <c r="J160" s="64"/>
      <c r="K160" s="64"/>
      <c r="L160" s="64"/>
      <c r="M160" s="64"/>
      <c r="N160" s="64"/>
      <c r="O160" s="64"/>
    </row>
    <row r="161">
      <c r="B161" s="28"/>
      <c r="C161" s="28"/>
      <c r="H161" s="64"/>
      <c r="I161" s="64"/>
      <c r="J161" s="64"/>
      <c r="K161" s="64"/>
      <c r="L161" s="64"/>
      <c r="M161" s="64"/>
      <c r="N161" s="64"/>
      <c r="O161" s="64"/>
    </row>
    <row r="162">
      <c r="B162" s="28"/>
      <c r="C162" s="28"/>
      <c r="H162" s="64"/>
      <c r="I162" s="64"/>
      <c r="J162" s="64"/>
      <c r="K162" s="64"/>
      <c r="L162" s="64"/>
      <c r="M162" s="64"/>
      <c r="N162" s="64"/>
      <c r="O162" s="64"/>
    </row>
    <row r="163">
      <c r="B163" s="28"/>
      <c r="C163" s="28"/>
      <c r="H163" s="64"/>
      <c r="I163" s="64"/>
      <c r="J163" s="64"/>
      <c r="K163" s="64"/>
      <c r="L163" s="64"/>
      <c r="M163" s="64"/>
      <c r="N163" s="64"/>
      <c r="O163" s="64"/>
    </row>
    <row r="164">
      <c r="B164" s="28"/>
      <c r="C164" s="28"/>
      <c r="H164" s="64"/>
      <c r="I164" s="64"/>
      <c r="J164" s="64"/>
      <c r="K164" s="64"/>
      <c r="L164" s="64"/>
      <c r="M164" s="64"/>
      <c r="N164" s="64"/>
      <c r="O164" s="64"/>
    </row>
    <row r="165">
      <c r="B165" s="28"/>
      <c r="C165" s="28"/>
      <c r="H165" s="64"/>
      <c r="I165" s="64"/>
      <c r="J165" s="64"/>
      <c r="K165" s="64"/>
      <c r="L165" s="64"/>
      <c r="M165" s="64"/>
      <c r="N165" s="64"/>
      <c r="O165" s="64"/>
    </row>
    <row r="166">
      <c r="B166" s="28"/>
      <c r="C166" s="28"/>
      <c r="H166" s="64"/>
      <c r="I166" s="64"/>
      <c r="J166" s="64"/>
      <c r="K166" s="64"/>
      <c r="L166" s="64"/>
      <c r="M166" s="64"/>
      <c r="N166" s="64"/>
      <c r="O166" s="64"/>
    </row>
    <row r="167">
      <c r="B167" s="28"/>
      <c r="C167" s="28"/>
      <c r="H167" s="64"/>
      <c r="I167" s="64"/>
      <c r="J167" s="64"/>
      <c r="K167" s="64"/>
      <c r="L167" s="64"/>
      <c r="M167" s="64"/>
      <c r="N167" s="64"/>
      <c r="O167" s="64"/>
    </row>
    <row r="168">
      <c r="B168" s="28"/>
      <c r="C168" s="28"/>
      <c r="H168" s="64"/>
      <c r="I168" s="64"/>
      <c r="J168" s="64"/>
      <c r="K168" s="64"/>
      <c r="L168" s="64"/>
      <c r="M168" s="64"/>
      <c r="N168" s="64"/>
      <c r="O168" s="64"/>
    </row>
    <row r="169">
      <c r="B169" s="28"/>
      <c r="C169" s="28"/>
      <c r="H169" s="64"/>
      <c r="I169" s="64"/>
      <c r="J169" s="64"/>
      <c r="K169" s="64"/>
      <c r="L169" s="64"/>
      <c r="M169" s="64"/>
      <c r="N169" s="64"/>
      <c r="O169" s="64"/>
    </row>
    <row r="170">
      <c r="B170" s="28"/>
      <c r="C170" s="28"/>
      <c r="H170" s="64"/>
      <c r="I170" s="64"/>
      <c r="J170" s="64"/>
      <c r="K170" s="64"/>
      <c r="L170" s="64"/>
      <c r="M170" s="64"/>
      <c r="N170" s="64"/>
      <c r="O170" s="64"/>
    </row>
    <row r="171">
      <c r="B171" s="28"/>
      <c r="C171" s="28"/>
      <c r="H171" s="64"/>
      <c r="I171" s="64"/>
      <c r="J171" s="64"/>
      <c r="K171" s="64"/>
      <c r="L171" s="64"/>
      <c r="M171" s="64"/>
      <c r="N171" s="64"/>
      <c r="O171" s="64"/>
    </row>
    <row r="172">
      <c r="B172" s="28"/>
      <c r="C172" s="28"/>
      <c r="H172" s="64"/>
      <c r="I172" s="64"/>
      <c r="J172" s="64"/>
      <c r="K172" s="64"/>
      <c r="L172" s="64"/>
      <c r="M172" s="64"/>
      <c r="N172" s="64"/>
      <c r="O172" s="64"/>
    </row>
    <row r="173">
      <c r="B173" s="28"/>
      <c r="C173" s="28"/>
      <c r="H173" s="64"/>
      <c r="I173" s="64"/>
      <c r="J173" s="64"/>
      <c r="K173" s="64"/>
      <c r="L173" s="64"/>
      <c r="M173" s="64"/>
      <c r="N173" s="64"/>
      <c r="O173" s="64"/>
    </row>
    <row r="174">
      <c r="B174" s="28"/>
      <c r="C174" s="28"/>
      <c r="H174" s="64"/>
      <c r="I174" s="64"/>
      <c r="J174" s="64"/>
      <c r="K174" s="64"/>
      <c r="L174" s="64"/>
      <c r="M174" s="64"/>
      <c r="N174" s="64"/>
      <c r="O174" s="64"/>
    </row>
    <row r="175">
      <c r="B175" s="28"/>
      <c r="C175" s="28"/>
      <c r="H175" s="64"/>
      <c r="I175" s="64"/>
      <c r="J175" s="64"/>
      <c r="K175" s="64"/>
      <c r="L175" s="64"/>
      <c r="M175" s="64"/>
      <c r="N175" s="64"/>
      <c r="O175" s="64"/>
    </row>
    <row r="176">
      <c r="B176" s="28"/>
      <c r="C176" s="28"/>
      <c r="H176" s="64"/>
      <c r="I176" s="64"/>
      <c r="J176" s="64"/>
      <c r="K176" s="64"/>
      <c r="L176" s="64"/>
      <c r="M176" s="64"/>
      <c r="N176" s="64"/>
      <c r="O176" s="64"/>
    </row>
    <row r="177">
      <c r="B177" s="28"/>
      <c r="C177" s="28"/>
      <c r="H177" s="64"/>
      <c r="I177" s="64"/>
      <c r="J177" s="64"/>
      <c r="K177" s="64"/>
      <c r="L177" s="64"/>
      <c r="M177" s="64"/>
      <c r="N177" s="64"/>
      <c r="O177" s="64"/>
    </row>
    <row r="178">
      <c r="B178" s="28"/>
      <c r="C178" s="28"/>
      <c r="H178" s="64"/>
      <c r="I178" s="64"/>
      <c r="J178" s="64"/>
      <c r="K178" s="64"/>
      <c r="L178" s="64"/>
      <c r="M178" s="64"/>
      <c r="N178" s="64"/>
      <c r="O178" s="64"/>
    </row>
    <row r="179">
      <c r="B179" s="28"/>
      <c r="C179" s="28"/>
      <c r="H179" s="64"/>
      <c r="I179" s="64"/>
      <c r="J179" s="64"/>
      <c r="K179" s="64"/>
      <c r="L179" s="64"/>
      <c r="M179" s="64"/>
      <c r="N179" s="64"/>
      <c r="O179" s="64"/>
    </row>
    <row r="180">
      <c r="B180" s="28"/>
      <c r="C180" s="28"/>
      <c r="H180" s="64"/>
      <c r="I180" s="64"/>
      <c r="J180" s="64"/>
      <c r="K180" s="64"/>
      <c r="L180" s="64"/>
      <c r="M180" s="64"/>
      <c r="N180" s="64"/>
      <c r="O180" s="64"/>
    </row>
    <row r="181">
      <c r="B181" s="28"/>
      <c r="C181" s="28"/>
      <c r="H181" s="64"/>
      <c r="I181" s="64"/>
      <c r="J181" s="64"/>
      <c r="K181" s="64"/>
      <c r="L181" s="64"/>
      <c r="M181" s="64"/>
      <c r="N181" s="64"/>
      <c r="O181" s="64"/>
    </row>
    <row r="182">
      <c r="B182" s="28"/>
      <c r="C182" s="28"/>
      <c r="H182" s="64"/>
      <c r="I182" s="64"/>
      <c r="J182" s="64"/>
      <c r="K182" s="64"/>
      <c r="L182" s="64"/>
      <c r="M182" s="64"/>
      <c r="N182" s="64"/>
      <c r="O182" s="64"/>
    </row>
    <row r="183">
      <c r="B183" s="28"/>
      <c r="C183" s="28"/>
      <c r="H183" s="64"/>
      <c r="I183" s="64"/>
      <c r="J183" s="64"/>
      <c r="K183" s="64"/>
      <c r="L183" s="64"/>
      <c r="M183" s="64"/>
      <c r="N183" s="64"/>
      <c r="O183" s="64"/>
    </row>
    <row r="184">
      <c r="B184" s="28"/>
      <c r="C184" s="28"/>
      <c r="H184" s="64"/>
      <c r="I184" s="64"/>
      <c r="J184" s="64"/>
      <c r="K184" s="64"/>
      <c r="L184" s="64"/>
      <c r="M184" s="64"/>
      <c r="N184" s="64"/>
      <c r="O184" s="64"/>
    </row>
    <row r="185">
      <c r="B185" s="28"/>
      <c r="C185" s="28"/>
      <c r="H185" s="64"/>
      <c r="I185" s="64"/>
      <c r="J185" s="64"/>
      <c r="K185" s="64"/>
      <c r="L185" s="64"/>
      <c r="M185" s="64"/>
      <c r="N185" s="64"/>
      <c r="O185" s="64"/>
    </row>
    <row r="186">
      <c r="B186" s="28"/>
      <c r="C186" s="28"/>
      <c r="H186" s="64"/>
      <c r="I186" s="64"/>
      <c r="J186" s="64"/>
      <c r="K186" s="64"/>
      <c r="L186" s="64"/>
      <c r="M186" s="64"/>
      <c r="N186" s="64"/>
      <c r="O186" s="64"/>
    </row>
    <row r="187">
      <c r="B187" s="28"/>
      <c r="C187" s="28"/>
      <c r="H187" s="64"/>
      <c r="I187" s="64"/>
      <c r="J187" s="64"/>
      <c r="K187" s="64"/>
      <c r="L187" s="64"/>
      <c r="M187" s="64"/>
      <c r="N187" s="64"/>
      <c r="O187" s="64"/>
    </row>
    <row r="188">
      <c r="B188" s="28"/>
      <c r="C188" s="28"/>
      <c r="H188" s="64"/>
      <c r="I188" s="64"/>
      <c r="J188" s="64"/>
      <c r="K188" s="64"/>
      <c r="L188" s="64"/>
      <c r="M188" s="64"/>
      <c r="N188" s="64"/>
      <c r="O188" s="64"/>
    </row>
    <row r="189">
      <c r="B189" s="28"/>
      <c r="C189" s="28"/>
      <c r="H189" s="64"/>
      <c r="I189" s="64"/>
      <c r="J189" s="64"/>
      <c r="K189" s="64"/>
      <c r="L189" s="64"/>
      <c r="M189" s="64"/>
      <c r="N189" s="64"/>
      <c r="O189" s="64"/>
    </row>
    <row r="190">
      <c r="B190" s="28"/>
      <c r="C190" s="28"/>
      <c r="H190" s="64"/>
      <c r="I190" s="64"/>
      <c r="J190" s="64"/>
      <c r="K190" s="64"/>
      <c r="L190" s="64"/>
      <c r="M190" s="64"/>
      <c r="N190" s="64"/>
      <c r="O190" s="64"/>
    </row>
    <row r="191">
      <c r="B191" s="28"/>
      <c r="C191" s="28"/>
      <c r="H191" s="64"/>
      <c r="I191" s="64"/>
      <c r="J191" s="64"/>
      <c r="K191" s="64"/>
      <c r="L191" s="64"/>
      <c r="M191" s="64"/>
      <c r="N191" s="64"/>
      <c r="O191" s="64"/>
    </row>
    <row r="192">
      <c r="B192" s="28"/>
      <c r="C192" s="28"/>
      <c r="H192" s="64"/>
      <c r="I192" s="64"/>
      <c r="J192" s="64"/>
      <c r="K192" s="64"/>
      <c r="L192" s="64"/>
      <c r="M192" s="64"/>
      <c r="N192" s="64"/>
      <c r="O192" s="64"/>
    </row>
    <row r="193">
      <c r="B193" s="28"/>
      <c r="C193" s="28"/>
      <c r="H193" s="64"/>
      <c r="I193" s="64"/>
      <c r="J193" s="64"/>
      <c r="K193" s="64"/>
      <c r="L193" s="64"/>
      <c r="M193" s="64"/>
      <c r="N193" s="64"/>
      <c r="O193" s="64"/>
    </row>
    <row r="194">
      <c r="B194" s="28"/>
      <c r="C194" s="28"/>
      <c r="H194" s="64"/>
      <c r="I194" s="64"/>
      <c r="J194" s="64"/>
      <c r="K194" s="64"/>
      <c r="L194" s="64"/>
      <c r="M194" s="64"/>
      <c r="N194" s="64"/>
      <c r="O194" s="64"/>
    </row>
    <row r="195">
      <c r="B195" s="28"/>
      <c r="C195" s="28"/>
      <c r="H195" s="64"/>
      <c r="I195" s="64"/>
      <c r="J195" s="64"/>
      <c r="K195" s="64"/>
      <c r="L195" s="64"/>
      <c r="M195" s="64"/>
      <c r="N195" s="64"/>
      <c r="O195" s="64"/>
    </row>
    <row r="196">
      <c r="B196" s="28"/>
      <c r="C196" s="28"/>
      <c r="H196" s="64"/>
      <c r="I196" s="64"/>
      <c r="J196" s="64"/>
      <c r="K196" s="64"/>
      <c r="L196" s="64"/>
      <c r="M196" s="64"/>
      <c r="N196" s="64"/>
      <c r="O196" s="64"/>
    </row>
    <row r="197">
      <c r="B197" s="28"/>
      <c r="C197" s="28"/>
      <c r="H197" s="64"/>
      <c r="I197" s="64"/>
      <c r="J197" s="64"/>
      <c r="K197" s="64"/>
      <c r="L197" s="64"/>
      <c r="M197" s="64"/>
      <c r="N197" s="64"/>
      <c r="O197" s="64"/>
    </row>
    <row r="198">
      <c r="B198" s="28"/>
      <c r="C198" s="28"/>
      <c r="H198" s="64"/>
      <c r="I198" s="64"/>
      <c r="J198" s="64"/>
      <c r="K198" s="64"/>
      <c r="L198" s="64"/>
      <c r="M198" s="64"/>
      <c r="N198" s="64"/>
      <c r="O198" s="64"/>
    </row>
    <row r="199">
      <c r="B199" s="28"/>
      <c r="C199" s="28"/>
      <c r="H199" s="64"/>
      <c r="I199" s="64"/>
      <c r="J199" s="64"/>
      <c r="K199" s="64"/>
      <c r="L199" s="64"/>
      <c r="M199" s="64"/>
      <c r="N199" s="64"/>
      <c r="O199" s="64"/>
    </row>
    <row r="200">
      <c r="B200" s="28"/>
      <c r="C200" s="28"/>
      <c r="H200" s="64"/>
      <c r="I200" s="64"/>
      <c r="J200" s="64"/>
      <c r="K200" s="64"/>
      <c r="L200" s="64"/>
      <c r="M200" s="64"/>
      <c r="N200" s="64"/>
      <c r="O200" s="64"/>
    </row>
    <row r="201">
      <c r="B201" s="28"/>
      <c r="C201" s="28"/>
      <c r="H201" s="64"/>
      <c r="I201" s="64"/>
      <c r="J201" s="64"/>
      <c r="K201" s="64"/>
      <c r="L201" s="64"/>
      <c r="M201" s="64"/>
      <c r="N201" s="64"/>
      <c r="O201" s="64"/>
    </row>
    <row r="202">
      <c r="B202" s="28"/>
      <c r="C202" s="28"/>
      <c r="H202" s="64"/>
      <c r="I202" s="64"/>
      <c r="J202" s="64"/>
      <c r="K202" s="64"/>
      <c r="L202" s="64"/>
      <c r="M202" s="64"/>
      <c r="N202" s="64"/>
      <c r="O202" s="64"/>
    </row>
    <row r="203">
      <c r="B203" s="28"/>
      <c r="C203" s="28"/>
      <c r="H203" s="64"/>
      <c r="I203" s="64"/>
      <c r="J203" s="64"/>
      <c r="K203" s="64"/>
      <c r="L203" s="64"/>
      <c r="M203" s="64"/>
      <c r="N203" s="64"/>
      <c r="O203" s="64"/>
    </row>
    <row r="204">
      <c r="B204" s="28"/>
      <c r="C204" s="28"/>
      <c r="H204" s="64"/>
      <c r="I204" s="64"/>
      <c r="J204" s="64"/>
      <c r="K204" s="64"/>
      <c r="L204" s="64"/>
      <c r="M204" s="64"/>
      <c r="N204" s="64"/>
      <c r="O204" s="64"/>
    </row>
    <row r="205">
      <c r="B205" s="28"/>
      <c r="C205" s="28"/>
      <c r="H205" s="64"/>
      <c r="I205" s="64"/>
      <c r="J205" s="64"/>
      <c r="K205" s="64"/>
      <c r="L205" s="64"/>
      <c r="M205" s="64"/>
      <c r="N205" s="64"/>
      <c r="O205" s="64"/>
    </row>
    <row r="206">
      <c r="B206" s="28"/>
      <c r="C206" s="28"/>
      <c r="H206" s="64"/>
      <c r="I206" s="64"/>
      <c r="J206" s="64"/>
      <c r="K206" s="64"/>
      <c r="L206" s="64"/>
      <c r="M206" s="64"/>
      <c r="N206" s="64"/>
      <c r="O206" s="64"/>
    </row>
    <row r="207">
      <c r="B207" s="28"/>
      <c r="C207" s="28"/>
      <c r="H207" s="64"/>
      <c r="I207" s="64"/>
      <c r="J207" s="64"/>
      <c r="K207" s="64"/>
      <c r="L207" s="64"/>
      <c r="M207" s="64"/>
      <c r="N207" s="64"/>
      <c r="O207" s="64"/>
    </row>
    <row r="208">
      <c r="B208" s="28"/>
      <c r="C208" s="28"/>
      <c r="H208" s="64"/>
      <c r="I208" s="64"/>
      <c r="J208" s="64"/>
      <c r="K208" s="64"/>
      <c r="L208" s="64"/>
      <c r="M208" s="64"/>
      <c r="N208" s="64"/>
      <c r="O208" s="64"/>
    </row>
    <row r="209">
      <c r="B209" s="28"/>
      <c r="C209" s="28"/>
      <c r="H209" s="64"/>
      <c r="I209" s="64"/>
      <c r="J209" s="64"/>
      <c r="K209" s="64"/>
      <c r="L209" s="64"/>
      <c r="M209" s="64"/>
      <c r="N209" s="64"/>
      <c r="O209" s="64"/>
    </row>
    <row r="210">
      <c r="B210" s="28"/>
      <c r="C210" s="28"/>
      <c r="H210" s="64"/>
      <c r="I210" s="64"/>
      <c r="J210" s="64"/>
      <c r="K210" s="64"/>
      <c r="L210" s="64"/>
      <c r="M210" s="64"/>
      <c r="N210" s="64"/>
      <c r="O210" s="64"/>
    </row>
    <row r="211">
      <c r="B211" s="28"/>
      <c r="C211" s="28"/>
      <c r="H211" s="64"/>
      <c r="I211" s="64"/>
      <c r="J211" s="64"/>
      <c r="K211" s="64"/>
      <c r="L211" s="64"/>
      <c r="M211" s="64"/>
      <c r="N211" s="64"/>
      <c r="O211" s="64"/>
    </row>
    <row r="212">
      <c r="B212" s="28"/>
      <c r="C212" s="28"/>
      <c r="H212" s="64"/>
      <c r="I212" s="64"/>
      <c r="J212" s="64"/>
      <c r="K212" s="64"/>
      <c r="L212" s="64"/>
      <c r="M212" s="64"/>
      <c r="N212" s="64"/>
      <c r="O212" s="64"/>
    </row>
    <row r="213">
      <c r="B213" s="28"/>
      <c r="C213" s="28"/>
      <c r="H213" s="64"/>
      <c r="I213" s="64"/>
      <c r="J213" s="64"/>
      <c r="K213" s="64"/>
      <c r="L213" s="64"/>
      <c r="M213" s="64"/>
      <c r="N213" s="64"/>
      <c r="O213" s="64"/>
    </row>
    <row r="214">
      <c r="B214" s="28"/>
      <c r="C214" s="28"/>
      <c r="H214" s="64"/>
      <c r="I214" s="64"/>
      <c r="J214" s="64"/>
      <c r="K214" s="64"/>
      <c r="L214" s="64"/>
      <c r="M214" s="64"/>
      <c r="N214" s="64"/>
      <c r="O214" s="64"/>
    </row>
    <row r="215">
      <c r="B215" s="28"/>
      <c r="C215" s="28"/>
      <c r="H215" s="64"/>
      <c r="I215" s="64"/>
      <c r="J215" s="64"/>
      <c r="K215" s="64"/>
      <c r="L215" s="64"/>
      <c r="M215" s="64"/>
      <c r="N215" s="64"/>
      <c r="O215" s="64"/>
    </row>
    <row r="216">
      <c r="B216" s="28"/>
      <c r="C216" s="28"/>
      <c r="H216" s="64"/>
      <c r="I216" s="64"/>
      <c r="J216" s="64"/>
      <c r="K216" s="64"/>
      <c r="L216" s="64"/>
      <c r="M216" s="64"/>
      <c r="N216" s="64"/>
      <c r="O216" s="64"/>
    </row>
    <row r="217">
      <c r="B217" s="28"/>
      <c r="C217" s="28"/>
      <c r="H217" s="64"/>
      <c r="I217" s="64"/>
      <c r="J217" s="64"/>
      <c r="K217" s="64"/>
      <c r="L217" s="64"/>
      <c r="M217" s="64"/>
      <c r="N217" s="64"/>
      <c r="O217" s="64"/>
    </row>
    <row r="218">
      <c r="B218" s="28"/>
      <c r="C218" s="28"/>
      <c r="H218" s="64"/>
      <c r="I218" s="64"/>
      <c r="J218" s="64"/>
      <c r="K218" s="64"/>
      <c r="L218" s="64"/>
      <c r="M218" s="64"/>
      <c r="N218" s="64"/>
      <c r="O218" s="64"/>
    </row>
    <row r="219">
      <c r="B219" s="28"/>
      <c r="C219" s="28"/>
      <c r="H219" s="64"/>
      <c r="I219" s="64"/>
      <c r="J219" s="64"/>
      <c r="K219" s="64"/>
      <c r="L219" s="64"/>
      <c r="M219" s="64"/>
      <c r="N219" s="64"/>
      <c r="O219" s="64"/>
    </row>
    <row r="220">
      <c r="B220" s="28"/>
      <c r="C220" s="28"/>
      <c r="H220" s="64"/>
      <c r="I220" s="64"/>
      <c r="J220" s="64"/>
      <c r="K220" s="64"/>
      <c r="L220" s="64"/>
      <c r="M220" s="64"/>
      <c r="N220" s="64"/>
      <c r="O220" s="64"/>
    </row>
    <row r="221">
      <c r="B221" s="28"/>
      <c r="C221" s="28"/>
      <c r="H221" s="64"/>
      <c r="I221" s="64"/>
      <c r="J221" s="64"/>
      <c r="K221" s="64"/>
      <c r="L221" s="64"/>
      <c r="M221" s="64"/>
      <c r="N221" s="64"/>
      <c r="O221" s="64"/>
    </row>
    <row r="222">
      <c r="B222" s="28"/>
      <c r="C222" s="28"/>
      <c r="H222" s="64"/>
      <c r="I222" s="64"/>
      <c r="J222" s="64"/>
      <c r="K222" s="64"/>
      <c r="L222" s="64"/>
      <c r="M222" s="64"/>
      <c r="N222" s="64"/>
      <c r="O222" s="64"/>
    </row>
    <row r="223">
      <c r="B223" s="28"/>
      <c r="C223" s="28"/>
      <c r="H223" s="64"/>
      <c r="I223" s="64"/>
      <c r="J223" s="64"/>
      <c r="K223" s="64"/>
      <c r="L223" s="64"/>
      <c r="M223" s="64"/>
      <c r="N223" s="64"/>
      <c r="O223" s="64"/>
    </row>
    <row r="224">
      <c r="B224" s="28"/>
      <c r="C224" s="28"/>
      <c r="H224" s="64"/>
      <c r="I224" s="64"/>
      <c r="J224" s="64"/>
      <c r="K224" s="64"/>
      <c r="L224" s="64"/>
      <c r="M224" s="64"/>
      <c r="N224" s="64"/>
      <c r="O224" s="64"/>
    </row>
    <row r="225">
      <c r="B225" s="28"/>
      <c r="C225" s="28"/>
      <c r="H225" s="64"/>
      <c r="I225" s="64"/>
      <c r="J225" s="64"/>
      <c r="K225" s="64"/>
      <c r="L225" s="64"/>
      <c r="M225" s="64"/>
      <c r="N225" s="64"/>
      <c r="O225" s="64"/>
    </row>
    <row r="226">
      <c r="B226" s="28"/>
      <c r="C226" s="28"/>
      <c r="H226" s="64"/>
      <c r="I226" s="64"/>
      <c r="J226" s="64"/>
      <c r="K226" s="64"/>
      <c r="L226" s="64"/>
      <c r="M226" s="64"/>
      <c r="N226" s="64"/>
      <c r="O226" s="64"/>
    </row>
    <row r="227">
      <c r="B227" s="28"/>
      <c r="C227" s="28"/>
      <c r="H227" s="64"/>
      <c r="I227" s="64"/>
      <c r="J227" s="64"/>
      <c r="K227" s="64"/>
      <c r="L227" s="64"/>
      <c r="M227" s="64"/>
      <c r="N227" s="64"/>
      <c r="O227" s="64"/>
    </row>
    <row r="228">
      <c r="B228" s="28"/>
      <c r="C228" s="28"/>
      <c r="H228" s="64"/>
      <c r="I228" s="64"/>
      <c r="J228" s="64"/>
      <c r="K228" s="64"/>
      <c r="L228" s="64"/>
      <c r="M228" s="64"/>
      <c r="N228" s="64"/>
      <c r="O228" s="64"/>
    </row>
    <row r="229">
      <c r="B229" s="28"/>
      <c r="C229" s="28"/>
      <c r="H229" s="64"/>
      <c r="I229" s="64"/>
      <c r="J229" s="64"/>
      <c r="K229" s="64"/>
      <c r="L229" s="64"/>
      <c r="M229" s="64"/>
      <c r="N229" s="64"/>
      <c r="O229" s="64"/>
    </row>
    <row r="230">
      <c r="B230" s="28"/>
      <c r="C230" s="28"/>
      <c r="H230" s="64"/>
      <c r="I230" s="64"/>
      <c r="J230" s="64"/>
      <c r="K230" s="64"/>
      <c r="L230" s="64"/>
      <c r="M230" s="64"/>
      <c r="N230" s="64"/>
      <c r="O230" s="64"/>
    </row>
    <row r="231">
      <c r="B231" s="28"/>
      <c r="C231" s="28"/>
      <c r="H231" s="64"/>
      <c r="I231" s="64"/>
      <c r="J231" s="64"/>
      <c r="K231" s="64"/>
      <c r="L231" s="64"/>
      <c r="M231" s="64"/>
      <c r="N231" s="64"/>
      <c r="O231" s="64"/>
    </row>
    <row r="232">
      <c r="B232" s="28"/>
      <c r="C232" s="28"/>
      <c r="H232" s="64"/>
      <c r="I232" s="64"/>
      <c r="J232" s="64"/>
      <c r="K232" s="64"/>
      <c r="L232" s="64"/>
      <c r="M232" s="64"/>
      <c r="N232" s="64"/>
      <c r="O232" s="64"/>
    </row>
    <row r="233">
      <c r="B233" s="28"/>
      <c r="C233" s="28"/>
      <c r="H233" s="64"/>
      <c r="I233" s="64"/>
      <c r="J233" s="64"/>
      <c r="K233" s="64"/>
      <c r="L233" s="64"/>
      <c r="M233" s="64"/>
      <c r="N233" s="64"/>
      <c r="O233" s="64"/>
    </row>
    <row r="234">
      <c r="B234" s="28"/>
      <c r="C234" s="28"/>
      <c r="H234" s="64"/>
      <c r="I234" s="64"/>
      <c r="J234" s="64"/>
      <c r="K234" s="64"/>
      <c r="L234" s="64"/>
      <c r="M234" s="64"/>
      <c r="N234" s="64"/>
      <c r="O234" s="64"/>
    </row>
    <row r="235">
      <c r="B235" s="28"/>
      <c r="C235" s="28"/>
      <c r="H235" s="64"/>
      <c r="I235" s="64"/>
      <c r="J235" s="64"/>
      <c r="K235" s="64"/>
      <c r="L235" s="64"/>
      <c r="M235" s="64"/>
      <c r="N235" s="64"/>
      <c r="O235" s="64"/>
    </row>
    <row r="236">
      <c r="B236" s="28"/>
      <c r="C236" s="28"/>
      <c r="H236" s="64"/>
      <c r="I236" s="64"/>
      <c r="J236" s="64"/>
      <c r="K236" s="64"/>
      <c r="L236" s="64"/>
      <c r="M236" s="64"/>
      <c r="N236" s="64"/>
      <c r="O236" s="64"/>
    </row>
    <row r="237">
      <c r="B237" s="28"/>
      <c r="C237" s="28"/>
      <c r="H237" s="64"/>
      <c r="I237" s="64"/>
      <c r="J237" s="64"/>
      <c r="K237" s="64"/>
      <c r="L237" s="64"/>
      <c r="M237" s="64"/>
      <c r="N237" s="64"/>
      <c r="O237" s="64"/>
    </row>
    <row r="238">
      <c r="B238" s="28"/>
      <c r="C238" s="28"/>
      <c r="H238" s="64"/>
      <c r="I238" s="64"/>
      <c r="J238" s="64"/>
      <c r="K238" s="64"/>
      <c r="L238" s="64"/>
      <c r="M238" s="64"/>
      <c r="N238" s="64"/>
      <c r="O238" s="64"/>
    </row>
    <row r="239">
      <c r="B239" s="28"/>
      <c r="C239" s="28"/>
      <c r="H239" s="64"/>
      <c r="I239" s="64"/>
      <c r="J239" s="64"/>
      <c r="K239" s="64"/>
      <c r="L239" s="64"/>
      <c r="M239" s="64"/>
      <c r="N239" s="64"/>
      <c r="O239" s="64"/>
    </row>
    <row r="240">
      <c r="B240" s="28"/>
      <c r="C240" s="28"/>
      <c r="H240" s="64"/>
      <c r="I240" s="64"/>
      <c r="J240" s="64"/>
      <c r="K240" s="64"/>
      <c r="L240" s="64"/>
      <c r="M240" s="64"/>
      <c r="N240" s="64"/>
      <c r="O240" s="64"/>
    </row>
    <row r="241">
      <c r="B241" s="28"/>
      <c r="C241" s="28"/>
      <c r="H241" s="64"/>
      <c r="I241" s="64"/>
      <c r="J241" s="64"/>
      <c r="K241" s="64"/>
      <c r="L241" s="64"/>
      <c r="M241" s="64"/>
      <c r="N241" s="64"/>
      <c r="O241" s="64"/>
    </row>
    <row r="242">
      <c r="B242" s="28"/>
      <c r="C242" s="28"/>
      <c r="H242" s="64"/>
      <c r="I242" s="64"/>
      <c r="J242" s="64"/>
      <c r="K242" s="64"/>
      <c r="L242" s="64"/>
      <c r="M242" s="64"/>
      <c r="N242" s="64"/>
      <c r="O242" s="64"/>
    </row>
    <row r="243">
      <c r="B243" s="28"/>
      <c r="C243" s="28"/>
      <c r="H243" s="64"/>
      <c r="I243" s="64"/>
      <c r="J243" s="64"/>
      <c r="K243" s="64"/>
      <c r="L243" s="64"/>
      <c r="M243" s="64"/>
      <c r="N243" s="64"/>
      <c r="O243" s="64"/>
    </row>
    <row r="244">
      <c r="B244" s="28"/>
      <c r="C244" s="28"/>
      <c r="H244" s="64"/>
      <c r="I244" s="64"/>
      <c r="J244" s="64"/>
      <c r="K244" s="64"/>
      <c r="L244" s="64"/>
      <c r="M244" s="64"/>
      <c r="N244" s="64"/>
      <c r="O244" s="64"/>
    </row>
    <row r="245">
      <c r="B245" s="28"/>
      <c r="C245" s="28"/>
      <c r="H245" s="64"/>
      <c r="I245" s="64"/>
      <c r="J245" s="64"/>
      <c r="K245" s="64"/>
      <c r="L245" s="64"/>
      <c r="M245" s="64"/>
      <c r="N245" s="64"/>
      <c r="O245" s="64"/>
    </row>
    <row r="246">
      <c r="B246" s="28"/>
      <c r="C246" s="28"/>
      <c r="H246" s="64"/>
      <c r="I246" s="64"/>
      <c r="J246" s="64"/>
      <c r="K246" s="64"/>
      <c r="L246" s="64"/>
      <c r="M246" s="64"/>
      <c r="N246" s="64"/>
      <c r="O246" s="64"/>
    </row>
    <row r="247">
      <c r="B247" s="28"/>
      <c r="C247" s="28"/>
      <c r="H247" s="64"/>
      <c r="I247" s="64"/>
      <c r="J247" s="64"/>
      <c r="K247" s="64"/>
      <c r="L247" s="64"/>
      <c r="M247" s="64"/>
      <c r="N247" s="64"/>
      <c r="O247" s="64"/>
    </row>
    <row r="248">
      <c r="B248" s="28"/>
      <c r="C248" s="28"/>
      <c r="H248" s="64"/>
      <c r="I248" s="64"/>
      <c r="J248" s="64"/>
      <c r="K248" s="64"/>
      <c r="L248" s="64"/>
      <c r="M248" s="64"/>
      <c r="N248" s="64"/>
      <c r="O248" s="64"/>
    </row>
    <row r="249">
      <c r="B249" s="28"/>
      <c r="C249" s="28"/>
      <c r="H249" s="64"/>
      <c r="I249" s="64"/>
      <c r="J249" s="64"/>
      <c r="K249" s="64"/>
      <c r="L249" s="64"/>
      <c r="M249" s="64"/>
      <c r="N249" s="64"/>
      <c r="O249" s="64"/>
    </row>
    <row r="250">
      <c r="B250" s="28"/>
      <c r="C250" s="28"/>
      <c r="H250" s="64"/>
      <c r="I250" s="64"/>
      <c r="J250" s="64"/>
      <c r="K250" s="64"/>
      <c r="L250" s="64"/>
      <c r="M250" s="64"/>
      <c r="N250" s="64"/>
      <c r="O250" s="64"/>
    </row>
    <row r="251">
      <c r="B251" s="28"/>
      <c r="C251" s="28"/>
      <c r="H251" s="64"/>
      <c r="I251" s="64"/>
      <c r="J251" s="64"/>
      <c r="K251" s="64"/>
      <c r="L251" s="64"/>
      <c r="M251" s="64"/>
      <c r="N251" s="64"/>
      <c r="O251" s="64"/>
    </row>
    <row r="252">
      <c r="B252" s="28"/>
      <c r="C252" s="28"/>
      <c r="H252" s="64"/>
      <c r="I252" s="64"/>
      <c r="J252" s="64"/>
      <c r="K252" s="64"/>
      <c r="L252" s="64"/>
      <c r="M252" s="64"/>
      <c r="N252" s="64"/>
      <c r="O252" s="64"/>
    </row>
    <row r="253">
      <c r="B253" s="28"/>
      <c r="C253" s="28"/>
      <c r="H253" s="64"/>
      <c r="I253" s="64"/>
      <c r="J253" s="64"/>
      <c r="K253" s="64"/>
      <c r="L253" s="64"/>
      <c r="M253" s="64"/>
      <c r="N253" s="64"/>
      <c r="O253" s="64"/>
    </row>
    <row r="254">
      <c r="B254" s="28"/>
      <c r="C254" s="28"/>
      <c r="H254" s="64"/>
      <c r="I254" s="64"/>
      <c r="J254" s="64"/>
      <c r="K254" s="64"/>
      <c r="L254" s="64"/>
      <c r="M254" s="64"/>
      <c r="N254" s="64"/>
      <c r="O254" s="64"/>
    </row>
    <row r="255">
      <c r="B255" s="28"/>
      <c r="C255" s="28"/>
      <c r="H255" s="64"/>
      <c r="I255" s="64"/>
      <c r="J255" s="64"/>
      <c r="K255" s="64"/>
      <c r="L255" s="64"/>
      <c r="M255" s="64"/>
      <c r="N255" s="64"/>
      <c r="O255" s="64"/>
    </row>
    <row r="256">
      <c r="B256" s="28"/>
      <c r="C256" s="28"/>
      <c r="H256" s="64"/>
      <c r="I256" s="64"/>
      <c r="J256" s="64"/>
      <c r="K256" s="64"/>
      <c r="L256" s="64"/>
      <c r="M256" s="64"/>
      <c r="N256" s="64"/>
      <c r="O256" s="64"/>
    </row>
    <row r="257">
      <c r="B257" s="28"/>
      <c r="C257" s="28"/>
      <c r="H257" s="64"/>
      <c r="I257" s="64"/>
      <c r="J257" s="64"/>
      <c r="K257" s="64"/>
      <c r="L257" s="64"/>
      <c r="M257" s="64"/>
      <c r="N257" s="64"/>
      <c r="O257" s="64"/>
    </row>
    <row r="258">
      <c r="B258" s="28"/>
      <c r="C258" s="28"/>
      <c r="H258" s="64"/>
      <c r="I258" s="64"/>
      <c r="J258" s="64"/>
      <c r="K258" s="64"/>
      <c r="L258" s="64"/>
      <c r="M258" s="64"/>
      <c r="N258" s="64"/>
      <c r="O258" s="64"/>
    </row>
    <row r="259">
      <c r="B259" s="28"/>
      <c r="C259" s="28"/>
      <c r="H259" s="64"/>
      <c r="I259" s="64"/>
      <c r="J259" s="64"/>
      <c r="K259" s="64"/>
      <c r="L259" s="64"/>
      <c r="M259" s="64"/>
      <c r="N259" s="64"/>
      <c r="O259" s="64"/>
    </row>
    <row r="260">
      <c r="B260" s="28"/>
      <c r="C260" s="28"/>
      <c r="H260" s="64"/>
      <c r="I260" s="64"/>
      <c r="J260" s="64"/>
      <c r="K260" s="64"/>
      <c r="L260" s="64"/>
      <c r="M260" s="64"/>
      <c r="N260" s="64"/>
      <c r="O260" s="64"/>
    </row>
    <row r="261">
      <c r="B261" s="28"/>
      <c r="C261" s="28"/>
      <c r="H261" s="64"/>
      <c r="I261" s="64"/>
      <c r="J261" s="64"/>
      <c r="K261" s="64"/>
      <c r="L261" s="64"/>
      <c r="M261" s="64"/>
      <c r="N261" s="64"/>
      <c r="O261" s="64"/>
    </row>
    <row r="262">
      <c r="B262" s="28"/>
      <c r="C262" s="28"/>
      <c r="H262" s="64"/>
      <c r="I262" s="64"/>
      <c r="J262" s="64"/>
      <c r="K262" s="64"/>
      <c r="L262" s="64"/>
      <c r="M262" s="64"/>
      <c r="N262" s="64"/>
      <c r="O262" s="64"/>
    </row>
    <row r="263">
      <c r="B263" s="28"/>
      <c r="C263" s="28"/>
      <c r="H263" s="64"/>
      <c r="I263" s="64"/>
      <c r="J263" s="64"/>
      <c r="K263" s="64"/>
      <c r="L263" s="64"/>
      <c r="M263" s="64"/>
      <c r="N263" s="64"/>
      <c r="O263" s="64"/>
    </row>
    <row r="264">
      <c r="B264" s="28"/>
      <c r="C264" s="28"/>
      <c r="H264" s="64"/>
      <c r="I264" s="64"/>
      <c r="J264" s="64"/>
      <c r="K264" s="64"/>
      <c r="L264" s="64"/>
      <c r="M264" s="64"/>
      <c r="N264" s="64"/>
      <c r="O264" s="64"/>
    </row>
    <row r="265">
      <c r="B265" s="28"/>
      <c r="C265" s="28"/>
      <c r="H265" s="64"/>
      <c r="I265" s="64"/>
      <c r="J265" s="64"/>
      <c r="K265" s="64"/>
      <c r="L265" s="64"/>
      <c r="M265" s="64"/>
      <c r="N265" s="64"/>
      <c r="O265" s="64"/>
    </row>
    <row r="266">
      <c r="B266" s="28"/>
      <c r="C266" s="28"/>
      <c r="H266" s="64"/>
      <c r="I266" s="64"/>
      <c r="J266" s="64"/>
      <c r="K266" s="64"/>
      <c r="L266" s="64"/>
      <c r="M266" s="64"/>
      <c r="N266" s="64"/>
      <c r="O266" s="64"/>
    </row>
    <row r="267">
      <c r="B267" s="28"/>
      <c r="C267" s="28"/>
      <c r="H267" s="64"/>
      <c r="I267" s="64"/>
      <c r="J267" s="64"/>
      <c r="K267" s="64"/>
      <c r="L267" s="64"/>
      <c r="M267" s="64"/>
      <c r="N267" s="64"/>
      <c r="O267" s="64"/>
    </row>
    <row r="268">
      <c r="B268" s="28"/>
      <c r="C268" s="28"/>
      <c r="H268" s="64"/>
      <c r="I268" s="64"/>
      <c r="J268" s="64"/>
      <c r="K268" s="64"/>
      <c r="L268" s="64"/>
      <c r="M268" s="64"/>
      <c r="N268" s="64"/>
      <c r="O268" s="64"/>
    </row>
    <row r="269">
      <c r="B269" s="28"/>
      <c r="C269" s="28"/>
      <c r="H269" s="64"/>
      <c r="I269" s="64"/>
      <c r="J269" s="64"/>
      <c r="K269" s="64"/>
      <c r="L269" s="64"/>
      <c r="M269" s="64"/>
      <c r="N269" s="64"/>
      <c r="O269" s="64"/>
    </row>
    <row r="270">
      <c r="B270" s="28"/>
      <c r="C270" s="28"/>
      <c r="H270" s="64"/>
      <c r="I270" s="64"/>
      <c r="J270" s="64"/>
      <c r="K270" s="64"/>
      <c r="L270" s="64"/>
      <c r="M270" s="64"/>
      <c r="N270" s="64"/>
      <c r="O270" s="64"/>
    </row>
    <row r="271">
      <c r="B271" s="28"/>
      <c r="C271" s="28"/>
      <c r="H271" s="64"/>
      <c r="I271" s="64"/>
      <c r="J271" s="64"/>
      <c r="K271" s="64"/>
      <c r="L271" s="64"/>
      <c r="M271" s="64"/>
      <c r="N271" s="64"/>
      <c r="O271" s="64"/>
    </row>
    <row r="272">
      <c r="B272" s="28"/>
      <c r="C272" s="28"/>
      <c r="H272" s="64"/>
      <c r="I272" s="64"/>
      <c r="J272" s="64"/>
      <c r="K272" s="64"/>
      <c r="L272" s="64"/>
      <c r="M272" s="64"/>
      <c r="N272" s="64"/>
      <c r="O272" s="64"/>
    </row>
    <row r="273">
      <c r="B273" s="28"/>
      <c r="C273" s="28"/>
      <c r="H273" s="64"/>
      <c r="I273" s="64"/>
      <c r="J273" s="64"/>
      <c r="K273" s="64"/>
      <c r="L273" s="64"/>
      <c r="M273" s="64"/>
      <c r="N273" s="64"/>
      <c r="O273" s="64"/>
    </row>
    <row r="274">
      <c r="B274" s="28"/>
      <c r="C274" s="28"/>
      <c r="H274" s="64"/>
      <c r="I274" s="64"/>
      <c r="J274" s="64"/>
      <c r="K274" s="64"/>
      <c r="L274" s="64"/>
      <c r="M274" s="64"/>
      <c r="N274" s="64"/>
      <c r="O274" s="64"/>
    </row>
    <row r="275">
      <c r="B275" s="28"/>
      <c r="C275" s="28"/>
      <c r="H275" s="64"/>
      <c r="I275" s="64"/>
      <c r="J275" s="64"/>
      <c r="K275" s="64"/>
      <c r="L275" s="64"/>
      <c r="M275" s="64"/>
      <c r="N275" s="64"/>
      <c r="O275" s="64"/>
    </row>
    <row r="276">
      <c r="B276" s="28"/>
      <c r="C276" s="28"/>
      <c r="H276" s="64"/>
      <c r="I276" s="64"/>
      <c r="J276" s="64"/>
      <c r="K276" s="64"/>
      <c r="L276" s="64"/>
      <c r="M276" s="64"/>
      <c r="N276" s="64"/>
      <c r="O276" s="64"/>
    </row>
    <row r="277">
      <c r="B277" s="28"/>
      <c r="C277" s="28"/>
      <c r="H277" s="64"/>
      <c r="I277" s="64"/>
      <c r="J277" s="64"/>
      <c r="K277" s="64"/>
      <c r="L277" s="64"/>
      <c r="M277" s="64"/>
      <c r="N277" s="64"/>
      <c r="O277" s="64"/>
    </row>
    <row r="278">
      <c r="B278" s="28"/>
      <c r="C278" s="28"/>
      <c r="H278" s="64"/>
      <c r="I278" s="64"/>
      <c r="J278" s="64"/>
      <c r="K278" s="64"/>
      <c r="L278" s="64"/>
      <c r="M278" s="64"/>
      <c r="N278" s="64"/>
      <c r="O278" s="64"/>
    </row>
    <row r="279">
      <c r="B279" s="28"/>
      <c r="C279" s="28"/>
      <c r="H279" s="64"/>
      <c r="I279" s="64"/>
      <c r="J279" s="64"/>
      <c r="K279" s="64"/>
      <c r="L279" s="64"/>
      <c r="M279" s="64"/>
      <c r="N279" s="64"/>
      <c r="O279" s="64"/>
    </row>
    <row r="280">
      <c r="B280" s="28"/>
      <c r="C280" s="28"/>
      <c r="H280" s="64"/>
      <c r="I280" s="64"/>
      <c r="J280" s="64"/>
      <c r="K280" s="64"/>
      <c r="L280" s="64"/>
      <c r="M280" s="64"/>
      <c r="N280" s="64"/>
      <c r="O280" s="64"/>
    </row>
    <row r="281">
      <c r="B281" s="28"/>
      <c r="C281" s="28"/>
      <c r="H281" s="64"/>
      <c r="I281" s="64"/>
      <c r="J281" s="64"/>
      <c r="K281" s="64"/>
      <c r="L281" s="64"/>
      <c r="M281" s="64"/>
      <c r="N281" s="64"/>
      <c r="O281" s="64"/>
    </row>
    <row r="282">
      <c r="B282" s="28"/>
      <c r="C282" s="28"/>
      <c r="H282" s="64"/>
      <c r="I282" s="64"/>
      <c r="J282" s="64"/>
      <c r="K282" s="64"/>
      <c r="L282" s="64"/>
      <c r="M282" s="64"/>
      <c r="N282" s="64"/>
      <c r="O282" s="64"/>
    </row>
    <row r="283">
      <c r="B283" s="28"/>
      <c r="C283" s="28"/>
      <c r="H283" s="64"/>
      <c r="I283" s="64"/>
      <c r="J283" s="64"/>
      <c r="K283" s="64"/>
      <c r="L283" s="64"/>
      <c r="M283" s="64"/>
      <c r="N283" s="64"/>
      <c r="O283" s="64"/>
    </row>
    <row r="284">
      <c r="B284" s="28"/>
      <c r="C284" s="28"/>
      <c r="H284" s="64"/>
      <c r="I284" s="64"/>
      <c r="J284" s="64"/>
      <c r="K284" s="64"/>
      <c r="L284" s="64"/>
      <c r="M284" s="64"/>
      <c r="N284" s="64"/>
      <c r="O284" s="64"/>
    </row>
    <row r="285">
      <c r="B285" s="28"/>
      <c r="C285" s="28"/>
      <c r="H285" s="64"/>
      <c r="I285" s="64"/>
      <c r="J285" s="64"/>
      <c r="K285" s="64"/>
      <c r="L285" s="64"/>
      <c r="M285" s="64"/>
      <c r="N285" s="64"/>
      <c r="O285" s="64"/>
    </row>
    <row r="286">
      <c r="B286" s="28"/>
      <c r="C286" s="28"/>
      <c r="H286" s="64"/>
      <c r="I286" s="64"/>
      <c r="J286" s="64"/>
      <c r="K286" s="64"/>
      <c r="L286" s="64"/>
      <c r="M286" s="64"/>
      <c r="N286" s="64"/>
      <c r="O286" s="64"/>
    </row>
    <row r="287">
      <c r="B287" s="28"/>
      <c r="C287" s="28"/>
      <c r="H287" s="64"/>
      <c r="I287" s="64"/>
      <c r="J287" s="64"/>
      <c r="K287" s="64"/>
      <c r="L287" s="64"/>
      <c r="M287" s="64"/>
      <c r="N287" s="64"/>
      <c r="O287" s="64"/>
    </row>
    <row r="288">
      <c r="B288" s="28"/>
      <c r="C288" s="28"/>
      <c r="H288" s="64"/>
      <c r="I288" s="64"/>
      <c r="J288" s="64"/>
      <c r="K288" s="64"/>
      <c r="L288" s="64"/>
      <c r="M288" s="64"/>
      <c r="N288" s="64"/>
      <c r="O288" s="64"/>
    </row>
    <row r="289">
      <c r="B289" s="28"/>
      <c r="C289" s="28"/>
      <c r="H289" s="64"/>
      <c r="I289" s="64"/>
      <c r="J289" s="64"/>
      <c r="K289" s="64"/>
      <c r="L289" s="64"/>
      <c r="M289" s="64"/>
      <c r="N289" s="64"/>
      <c r="O289" s="64"/>
    </row>
    <row r="290">
      <c r="B290" s="28"/>
      <c r="C290" s="28"/>
      <c r="H290" s="64"/>
      <c r="I290" s="64"/>
      <c r="J290" s="64"/>
      <c r="K290" s="64"/>
      <c r="L290" s="64"/>
      <c r="M290" s="64"/>
      <c r="N290" s="64"/>
      <c r="O290" s="64"/>
    </row>
    <row r="291">
      <c r="B291" s="28"/>
      <c r="C291" s="28"/>
      <c r="H291" s="64"/>
      <c r="I291" s="64"/>
      <c r="J291" s="64"/>
      <c r="K291" s="64"/>
      <c r="L291" s="64"/>
      <c r="M291" s="64"/>
      <c r="N291" s="64"/>
      <c r="O291" s="64"/>
    </row>
    <row r="292">
      <c r="B292" s="28"/>
      <c r="C292" s="28"/>
      <c r="H292" s="64"/>
      <c r="I292" s="64"/>
      <c r="J292" s="64"/>
      <c r="K292" s="64"/>
      <c r="L292" s="64"/>
      <c r="M292" s="64"/>
      <c r="N292" s="64"/>
      <c r="O292" s="64"/>
    </row>
    <row r="293">
      <c r="B293" s="28"/>
      <c r="C293" s="28"/>
      <c r="H293" s="64"/>
      <c r="I293" s="64"/>
      <c r="J293" s="64"/>
      <c r="K293" s="64"/>
      <c r="L293" s="64"/>
      <c r="M293" s="64"/>
      <c r="N293" s="64"/>
      <c r="O293" s="64"/>
    </row>
    <row r="294">
      <c r="B294" s="28"/>
      <c r="C294" s="28"/>
      <c r="H294" s="64"/>
      <c r="I294" s="64"/>
      <c r="J294" s="64"/>
      <c r="K294" s="64"/>
      <c r="L294" s="64"/>
      <c r="M294" s="64"/>
      <c r="N294" s="64"/>
      <c r="O294" s="64"/>
    </row>
    <row r="295">
      <c r="B295" s="28"/>
      <c r="C295" s="28"/>
      <c r="H295" s="64"/>
      <c r="I295" s="64"/>
      <c r="J295" s="64"/>
      <c r="K295" s="64"/>
      <c r="L295" s="64"/>
      <c r="M295" s="64"/>
      <c r="N295" s="64"/>
      <c r="O295" s="64"/>
    </row>
    <row r="296">
      <c r="B296" s="28"/>
      <c r="C296" s="28"/>
      <c r="H296" s="64"/>
      <c r="I296" s="64"/>
      <c r="J296" s="64"/>
      <c r="K296" s="64"/>
      <c r="L296" s="64"/>
      <c r="M296" s="64"/>
      <c r="N296" s="64"/>
      <c r="O296" s="64"/>
    </row>
    <row r="297">
      <c r="B297" s="28"/>
      <c r="C297" s="28"/>
      <c r="H297" s="64"/>
      <c r="I297" s="64"/>
      <c r="J297" s="64"/>
      <c r="K297" s="64"/>
      <c r="L297" s="64"/>
      <c r="M297" s="64"/>
      <c r="N297" s="64"/>
      <c r="O297" s="64"/>
    </row>
    <row r="298">
      <c r="B298" s="28"/>
      <c r="C298" s="28"/>
      <c r="H298" s="64"/>
      <c r="I298" s="64"/>
      <c r="J298" s="64"/>
      <c r="K298" s="64"/>
      <c r="L298" s="64"/>
      <c r="M298" s="64"/>
      <c r="N298" s="64"/>
      <c r="O298" s="64"/>
    </row>
    <row r="299">
      <c r="B299" s="28"/>
      <c r="C299" s="28"/>
      <c r="H299" s="64"/>
      <c r="I299" s="64"/>
      <c r="J299" s="64"/>
      <c r="K299" s="64"/>
      <c r="L299" s="64"/>
      <c r="M299" s="64"/>
      <c r="N299" s="64"/>
      <c r="O299" s="64"/>
    </row>
    <row r="300">
      <c r="B300" s="28"/>
      <c r="C300" s="28"/>
      <c r="H300" s="64"/>
      <c r="I300" s="64"/>
      <c r="J300" s="64"/>
      <c r="K300" s="64"/>
      <c r="L300" s="64"/>
      <c r="M300" s="64"/>
      <c r="N300" s="64"/>
      <c r="O300" s="64"/>
    </row>
    <row r="301">
      <c r="B301" s="28"/>
      <c r="C301" s="28"/>
      <c r="H301" s="64"/>
      <c r="I301" s="64"/>
      <c r="J301" s="64"/>
      <c r="K301" s="64"/>
      <c r="L301" s="64"/>
      <c r="M301" s="64"/>
      <c r="N301" s="64"/>
      <c r="O301" s="64"/>
    </row>
    <row r="302">
      <c r="B302" s="28"/>
      <c r="C302" s="28"/>
      <c r="H302" s="64"/>
      <c r="I302" s="64"/>
      <c r="J302" s="64"/>
      <c r="K302" s="64"/>
      <c r="L302" s="64"/>
      <c r="M302" s="64"/>
      <c r="N302" s="64"/>
      <c r="O302" s="64"/>
    </row>
    <row r="303">
      <c r="B303" s="28"/>
      <c r="C303" s="28"/>
      <c r="H303" s="64"/>
      <c r="I303" s="64"/>
      <c r="J303" s="64"/>
      <c r="K303" s="64"/>
      <c r="L303" s="64"/>
      <c r="M303" s="64"/>
      <c r="N303" s="64"/>
      <c r="O303" s="64"/>
    </row>
    <row r="304">
      <c r="B304" s="28"/>
      <c r="C304" s="28"/>
      <c r="H304" s="64"/>
      <c r="I304" s="64"/>
      <c r="J304" s="64"/>
      <c r="K304" s="64"/>
      <c r="L304" s="64"/>
      <c r="M304" s="64"/>
      <c r="N304" s="64"/>
      <c r="O304" s="64"/>
    </row>
    <row r="305">
      <c r="B305" s="28"/>
      <c r="C305" s="28"/>
      <c r="H305" s="64"/>
      <c r="I305" s="64"/>
      <c r="J305" s="64"/>
      <c r="K305" s="64"/>
      <c r="L305" s="64"/>
      <c r="M305" s="64"/>
      <c r="N305" s="64"/>
      <c r="O305" s="64"/>
    </row>
    <row r="306">
      <c r="B306" s="28"/>
      <c r="C306" s="28"/>
      <c r="H306" s="64"/>
      <c r="I306" s="64"/>
      <c r="J306" s="64"/>
      <c r="K306" s="64"/>
      <c r="L306" s="64"/>
      <c r="M306" s="64"/>
      <c r="N306" s="64"/>
      <c r="O306" s="64"/>
    </row>
    <row r="307">
      <c r="B307" s="28"/>
      <c r="C307" s="28"/>
      <c r="H307" s="64"/>
      <c r="I307" s="64"/>
      <c r="J307" s="64"/>
      <c r="K307" s="64"/>
      <c r="L307" s="64"/>
      <c r="M307" s="64"/>
      <c r="N307" s="64"/>
      <c r="O307" s="64"/>
    </row>
    <row r="308">
      <c r="B308" s="28"/>
      <c r="C308" s="28"/>
      <c r="H308" s="64"/>
      <c r="I308" s="64"/>
      <c r="J308" s="64"/>
      <c r="K308" s="64"/>
      <c r="L308" s="64"/>
      <c r="M308" s="64"/>
      <c r="N308" s="64"/>
      <c r="O308" s="64"/>
    </row>
    <row r="309">
      <c r="B309" s="28"/>
      <c r="C309" s="28"/>
      <c r="H309" s="64"/>
      <c r="I309" s="64"/>
      <c r="J309" s="64"/>
      <c r="K309" s="64"/>
      <c r="L309" s="64"/>
      <c r="M309" s="64"/>
      <c r="N309" s="64"/>
      <c r="O309" s="64"/>
    </row>
    <row r="310">
      <c r="B310" s="28"/>
      <c r="C310" s="28"/>
      <c r="H310" s="64"/>
      <c r="I310" s="64"/>
      <c r="J310" s="64"/>
      <c r="K310" s="64"/>
      <c r="L310" s="64"/>
      <c r="M310" s="64"/>
      <c r="N310" s="64"/>
      <c r="O310" s="64"/>
    </row>
    <row r="311">
      <c r="B311" s="28"/>
      <c r="C311" s="28"/>
      <c r="H311" s="64"/>
      <c r="I311" s="64"/>
      <c r="J311" s="64"/>
      <c r="K311" s="64"/>
      <c r="L311" s="64"/>
      <c r="M311" s="64"/>
      <c r="N311" s="64"/>
      <c r="O311" s="64"/>
    </row>
    <row r="312">
      <c r="B312" s="28"/>
      <c r="C312" s="28"/>
      <c r="H312" s="64"/>
      <c r="I312" s="64"/>
      <c r="J312" s="64"/>
      <c r="K312" s="64"/>
      <c r="L312" s="64"/>
      <c r="M312" s="64"/>
      <c r="N312" s="64"/>
      <c r="O312" s="64"/>
    </row>
    <row r="313">
      <c r="B313" s="28"/>
      <c r="C313" s="28"/>
      <c r="H313" s="64"/>
      <c r="I313" s="64"/>
      <c r="J313" s="64"/>
      <c r="K313" s="64"/>
      <c r="L313" s="64"/>
      <c r="M313" s="64"/>
      <c r="N313" s="64"/>
      <c r="O313" s="64"/>
    </row>
    <row r="314">
      <c r="B314" s="28"/>
      <c r="C314" s="28"/>
      <c r="H314" s="64"/>
      <c r="I314" s="64"/>
      <c r="J314" s="64"/>
      <c r="K314" s="64"/>
      <c r="L314" s="64"/>
      <c r="M314" s="64"/>
      <c r="N314" s="64"/>
      <c r="O314" s="64"/>
    </row>
    <row r="315">
      <c r="B315" s="28"/>
      <c r="C315" s="28"/>
      <c r="H315" s="64"/>
      <c r="I315" s="64"/>
      <c r="J315" s="64"/>
      <c r="K315" s="64"/>
      <c r="L315" s="64"/>
      <c r="M315" s="64"/>
      <c r="N315" s="64"/>
      <c r="O315" s="64"/>
    </row>
    <row r="316">
      <c r="B316" s="28"/>
      <c r="C316" s="28"/>
      <c r="H316" s="64"/>
      <c r="I316" s="64"/>
      <c r="J316" s="64"/>
      <c r="K316" s="64"/>
      <c r="L316" s="64"/>
      <c r="M316" s="64"/>
      <c r="N316" s="64"/>
      <c r="O316" s="64"/>
    </row>
    <row r="317">
      <c r="B317" s="28"/>
      <c r="C317" s="28"/>
      <c r="H317" s="64"/>
      <c r="I317" s="64"/>
      <c r="J317" s="64"/>
      <c r="K317" s="64"/>
      <c r="L317" s="64"/>
      <c r="M317" s="64"/>
      <c r="N317" s="64"/>
      <c r="O317" s="64"/>
    </row>
    <row r="318">
      <c r="B318" s="28"/>
      <c r="C318" s="28"/>
      <c r="H318" s="64"/>
      <c r="I318" s="64"/>
      <c r="J318" s="64"/>
      <c r="K318" s="64"/>
      <c r="L318" s="64"/>
      <c r="M318" s="64"/>
      <c r="N318" s="64"/>
      <c r="O318" s="64"/>
    </row>
    <row r="319">
      <c r="B319" s="28"/>
      <c r="C319" s="28"/>
      <c r="H319" s="64"/>
      <c r="I319" s="64"/>
      <c r="J319" s="64"/>
      <c r="K319" s="64"/>
      <c r="L319" s="64"/>
      <c r="M319" s="64"/>
      <c r="N319" s="64"/>
      <c r="O319" s="64"/>
    </row>
    <row r="320">
      <c r="B320" s="28"/>
      <c r="C320" s="28"/>
      <c r="H320" s="64"/>
      <c r="I320" s="64"/>
      <c r="J320" s="64"/>
      <c r="K320" s="64"/>
      <c r="L320" s="64"/>
      <c r="M320" s="64"/>
      <c r="N320" s="64"/>
      <c r="O320" s="64"/>
    </row>
    <row r="321">
      <c r="B321" s="28"/>
      <c r="C321" s="28"/>
      <c r="H321" s="64"/>
      <c r="I321" s="64"/>
      <c r="J321" s="64"/>
      <c r="K321" s="64"/>
      <c r="L321" s="64"/>
      <c r="M321" s="64"/>
      <c r="N321" s="64"/>
      <c r="O321" s="64"/>
    </row>
    <row r="322">
      <c r="B322" s="28"/>
      <c r="C322" s="28"/>
      <c r="H322" s="64"/>
      <c r="I322" s="64"/>
      <c r="J322" s="64"/>
      <c r="K322" s="64"/>
      <c r="L322" s="64"/>
      <c r="M322" s="64"/>
      <c r="N322" s="64"/>
      <c r="O322" s="64"/>
    </row>
    <row r="323">
      <c r="B323" s="28"/>
      <c r="C323" s="28"/>
      <c r="H323" s="64"/>
      <c r="I323" s="64"/>
      <c r="J323" s="64"/>
      <c r="K323" s="64"/>
      <c r="L323" s="64"/>
      <c r="M323" s="64"/>
      <c r="N323" s="64"/>
      <c r="O323" s="64"/>
    </row>
    <row r="324">
      <c r="B324" s="28"/>
      <c r="C324" s="28"/>
      <c r="H324" s="64"/>
      <c r="I324" s="64"/>
      <c r="J324" s="64"/>
      <c r="K324" s="64"/>
      <c r="L324" s="64"/>
      <c r="M324" s="64"/>
      <c r="N324" s="64"/>
      <c r="O324" s="64"/>
    </row>
    <row r="325">
      <c r="B325" s="28"/>
      <c r="C325" s="28"/>
      <c r="H325" s="64"/>
      <c r="I325" s="64"/>
      <c r="J325" s="64"/>
      <c r="K325" s="64"/>
      <c r="L325" s="64"/>
      <c r="M325" s="64"/>
      <c r="N325" s="64"/>
      <c r="O325" s="64"/>
    </row>
    <row r="326">
      <c r="B326" s="28"/>
      <c r="C326" s="28"/>
      <c r="H326" s="64"/>
      <c r="I326" s="64"/>
      <c r="J326" s="64"/>
      <c r="K326" s="64"/>
      <c r="L326" s="64"/>
      <c r="M326" s="64"/>
      <c r="N326" s="64"/>
      <c r="O326" s="64"/>
    </row>
    <row r="327">
      <c r="B327" s="28"/>
      <c r="C327" s="28"/>
      <c r="H327" s="64"/>
      <c r="I327" s="64"/>
      <c r="J327" s="64"/>
      <c r="K327" s="64"/>
      <c r="L327" s="64"/>
      <c r="M327" s="64"/>
      <c r="N327" s="64"/>
      <c r="O327" s="64"/>
    </row>
    <row r="328">
      <c r="B328" s="28"/>
      <c r="C328" s="28"/>
      <c r="H328" s="64"/>
      <c r="I328" s="64"/>
      <c r="J328" s="64"/>
      <c r="K328" s="64"/>
      <c r="L328" s="64"/>
      <c r="M328" s="64"/>
      <c r="N328" s="64"/>
      <c r="O328" s="64"/>
    </row>
    <row r="329">
      <c r="B329" s="28"/>
      <c r="C329" s="28"/>
      <c r="H329" s="64"/>
      <c r="I329" s="64"/>
      <c r="J329" s="64"/>
      <c r="K329" s="64"/>
      <c r="L329" s="64"/>
      <c r="M329" s="64"/>
      <c r="N329" s="64"/>
      <c r="O329" s="64"/>
    </row>
    <row r="330">
      <c r="B330" s="28"/>
      <c r="C330" s="28"/>
      <c r="H330" s="64"/>
      <c r="I330" s="64"/>
      <c r="J330" s="64"/>
      <c r="K330" s="64"/>
      <c r="L330" s="64"/>
      <c r="M330" s="64"/>
      <c r="N330" s="64"/>
      <c r="O330" s="64"/>
    </row>
    <row r="331">
      <c r="B331" s="28"/>
      <c r="C331" s="28"/>
      <c r="H331" s="64"/>
      <c r="I331" s="64"/>
      <c r="J331" s="64"/>
      <c r="K331" s="64"/>
      <c r="L331" s="64"/>
      <c r="M331" s="64"/>
      <c r="N331" s="64"/>
      <c r="O331" s="64"/>
    </row>
    <row r="332">
      <c r="B332" s="28"/>
      <c r="C332" s="28"/>
      <c r="H332" s="64"/>
      <c r="I332" s="64"/>
      <c r="J332" s="64"/>
      <c r="K332" s="64"/>
      <c r="L332" s="64"/>
      <c r="M332" s="64"/>
      <c r="N332" s="64"/>
      <c r="O332" s="64"/>
    </row>
    <row r="333">
      <c r="B333" s="28"/>
      <c r="C333" s="28"/>
      <c r="H333" s="64"/>
      <c r="I333" s="64"/>
      <c r="J333" s="64"/>
      <c r="K333" s="64"/>
      <c r="L333" s="64"/>
      <c r="M333" s="64"/>
      <c r="N333" s="64"/>
      <c r="O333" s="64"/>
    </row>
    <row r="334">
      <c r="B334" s="28"/>
      <c r="C334" s="28"/>
      <c r="H334" s="64"/>
      <c r="I334" s="64"/>
      <c r="J334" s="64"/>
      <c r="K334" s="64"/>
      <c r="L334" s="64"/>
      <c r="M334" s="64"/>
      <c r="N334" s="64"/>
      <c r="O334" s="64"/>
    </row>
    <row r="335">
      <c r="B335" s="28"/>
      <c r="C335" s="28"/>
      <c r="H335" s="64"/>
      <c r="I335" s="64"/>
      <c r="J335" s="64"/>
      <c r="K335" s="64"/>
      <c r="L335" s="64"/>
      <c r="M335" s="64"/>
      <c r="N335" s="64"/>
      <c r="O335" s="64"/>
    </row>
    <row r="336">
      <c r="B336" s="28"/>
      <c r="C336" s="28"/>
      <c r="H336" s="64"/>
      <c r="I336" s="64"/>
      <c r="J336" s="64"/>
      <c r="K336" s="64"/>
      <c r="L336" s="64"/>
      <c r="M336" s="64"/>
      <c r="N336" s="64"/>
      <c r="O336" s="64"/>
    </row>
    <row r="337">
      <c r="B337" s="28"/>
      <c r="C337" s="28"/>
      <c r="H337" s="64"/>
      <c r="I337" s="64"/>
      <c r="J337" s="64"/>
      <c r="K337" s="64"/>
      <c r="L337" s="64"/>
      <c r="M337" s="64"/>
      <c r="N337" s="64"/>
      <c r="O337" s="64"/>
    </row>
    <row r="338">
      <c r="B338" s="28"/>
      <c r="C338" s="28"/>
      <c r="H338" s="64"/>
      <c r="I338" s="64"/>
      <c r="J338" s="64"/>
      <c r="K338" s="64"/>
      <c r="L338" s="64"/>
      <c r="M338" s="64"/>
      <c r="N338" s="64"/>
      <c r="O338" s="64"/>
    </row>
    <row r="339">
      <c r="B339" s="28"/>
      <c r="C339" s="28"/>
      <c r="H339" s="64"/>
      <c r="I339" s="64"/>
      <c r="J339" s="64"/>
      <c r="K339" s="64"/>
      <c r="L339" s="64"/>
      <c r="M339" s="64"/>
      <c r="N339" s="64"/>
      <c r="O339" s="64"/>
    </row>
    <row r="340">
      <c r="B340" s="28"/>
      <c r="C340" s="28"/>
      <c r="H340" s="64"/>
      <c r="I340" s="64"/>
      <c r="J340" s="64"/>
      <c r="K340" s="64"/>
      <c r="L340" s="64"/>
      <c r="M340" s="64"/>
      <c r="N340" s="64"/>
      <c r="O340" s="64"/>
    </row>
    <row r="341">
      <c r="B341" s="28"/>
      <c r="C341" s="28"/>
      <c r="H341" s="64"/>
      <c r="I341" s="64"/>
      <c r="J341" s="64"/>
      <c r="K341" s="64"/>
      <c r="L341" s="64"/>
      <c r="M341" s="64"/>
      <c r="N341" s="64"/>
      <c r="O341" s="64"/>
    </row>
    <row r="342">
      <c r="B342" s="28"/>
      <c r="C342" s="28"/>
      <c r="H342" s="64"/>
      <c r="I342" s="64"/>
      <c r="J342" s="64"/>
      <c r="K342" s="64"/>
      <c r="L342" s="64"/>
      <c r="M342" s="64"/>
      <c r="N342" s="64"/>
      <c r="O342" s="64"/>
    </row>
    <row r="343">
      <c r="B343" s="28"/>
      <c r="C343" s="28"/>
      <c r="H343" s="64"/>
      <c r="I343" s="64"/>
      <c r="J343" s="64"/>
      <c r="K343" s="64"/>
      <c r="L343" s="64"/>
      <c r="M343" s="64"/>
      <c r="N343" s="64"/>
      <c r="O343" s="64"/>
    </row>
    <row r="344">
      <c r="B344" s="28"/>
      <c r="C344" s="28"/>
      <c r="H344" s="64"/>
      <c r="I344" s="64"/>
      <c r="J344" s="64"/>
      <c r="K344" s="64"/>
      <c r="L344" s="64"/>
      <c r="M344" s="64"/>
      <c r="N344" s="64"/>
      <c r="O344" s="64"/>
    </row>
    <row r="345">
      <c r="B345" s="28"/>
      <c r="C345" s="28"/>
      <c r="H345" s="64"/>
      <c r="I345" s="64"/>
      <c r="J345" s="64"/>
      <c r="K345" s="64"/>
      <c r="L345" s="64"/>
      <c r="M345" s="64"/>
      <c r="N345" s="64"/>
      <c r="O345" s="64"/>
    </row>
    <row r="346">
      <c r="B346" s="28"/>
      <c r="C346" s="28"/>
      <c r="H346" s="64"/>
      <c r="I346" s="64"/>
      <c r="J346" s="64"/>
      <c r="K346" s="64"/>
      <c r="L346" s="64"/>
      <c r="M346" s="64"/>
      <c r="N346" s="64"/>
      <c r="O346" s="64"/>
    </row>
    <row r="347">
      <c r="B347" s="28"/>
      <c r="C347" s="28"/>
      <c r="H347" s="64"/>
      <c r="I347" s="64"/>
      <c r="J347" s="64"/>
      <c r="K347" s="64"/>
      <c r="L347" s="64"/>
      <c r="M347" s="64"/>
      <c r="N347" s="64"/>
      <c r="O347" s="64"/>
    </row>
    <row r="348">
      <c r="B348" s="28"/>
      <c r="C348" s="28"/>
      <c r="H348" s="64"/>
      <c r="I348" s="64"/>
      <c r="J348" s="64"/>
      <c r="K348" s="64"/>
      <c r="L348" s="64"/>
      <c r="M348" s="64"/>
      <c r="N348" s="64"/>
      <c r="O348" s="64"/>
    </row>
    <row r="349">
      <c r="B349" s="28"/>
      <c r="C349" s="28"/>
      <c r="H349" s="64"/>
      <c r="I349" s="64"/>
      <c r="J349" s="64"/>
      <c r="K349" s="64"/>
      <c r="L349" s="64"/>
      <c r="M349" s="64"/>
      <c r="N349" s="64"/>
      <c r="O349" s="64"/>
    </row>
    <row r="350">
      <c r="B350" s="28"/>
      <c r="C350" s="28"/>
      <c r="H350" s="64"/>
      <c r="I350" s="64"/>
      <c r="J350" s="64"/>
      <c r="K350" s="64"/>
      <c r="L350" s="64"/>
      <c r="M350" s="64"/>
      <c r="N350" s="64"/>
      <c r="O350" s="64"/>
    </row>
    <row r="351">
      <c r="B351" s="28"/>
      <c r="C351" s="28"/>
      <c r="H351" s="64"/>
      <c r="I351" s="64"/>
      <c r="J351" s="64"/>
      <c r="K351" s="64"/>
      <c r="L351" s="64"/>
      <c r="M351" s="64"/>
      <c r="N351" s="64"/>
      <c r="O351" s="64"/>
    </row>
    <row r="352">
      <c r="B352" s="28"/>
      <c r="C352" s="28"/>
      <c r="H352" s="64"/>
      <c r="I352" s="64"/>
      <c r="J352" s="64"/>
      <c r="K352" s="64"/>
      <c r="L352" s="64"/>
      <c r="M352" s="64"/>
      <c r="N352" s="64"/>
      <c r="O352" s="64"/>
    </row>
    <row r="353">
      <c r="B353" s="28"/>
      <c r="C353" s="28"/>
      <c r="H353" s="64"/>
      <c r="I353" s="64"/>
      <c r="J353" s="64"/>
      <c r="K353" s="64"/>
      <c r="L353" s="64"/>
      <c r="M353" s="64"/>
      <c r="N353" s="64"/>
      <c r="O353" s="64"/>
    </row>
    <row r="354">
      <c r="B354" s="28"/>
      <c r="C354" s="28"/>
      <c r="H354" s="64"/>
      <c r="I354" s="64"/>
      <c r="J354" s="64"/>
      <c r="K354" s="64"/>
      <c r="L354" s="64"/>
      <c r="M354" s="64"/>
      <c r="N354" s="64"/>
      <c r="O354" s="64"/>
    </row>
    <row r="355">
      <c r="B355" s="28"/>
      <c r="C355" s="28"/>
      <c r="H355" s="64"/>
      <c r="I355" s="64"/>
      <c r="J355" s="64"/>
      <c r="K355" s="64"/>
      <c r="L355" s="64"/>
      <c r="M355" s="64"/>
      <c r="N355" s="64"/>
      <c r="O355" s="64"/>
    </row>
    <row r="356">
      <c r="B356" s="28"/>
      <c r="C356" s="28"/>
      <c r="H356" s="64"/>
      <c r="I356" s="64"/>
      <c r="J356" s="64"/>
      <c r="K356" s="64"/>
      <c r="L356" s="64"/>
      <c r="M356" s="64"/>
      <c r="N356" s="64"/>
      <c r="O356" s="64"/>
    </row>
    <row r="357">
      <c r="B357" s="28"/>
      <c r="C357" s="28"/>
      <c r="H357" s="64"/>
      <c r="I357" s="64"/>
      <c r="J357" s="64"/>
      <c r="K357" s="64"/>
      <c r="L357" s="64"/>
      <c r="M357" s="64"/>
      <c r="N357" s="64"/>
      <c r="O357" s="64"/>
    </row>
    <row r="358">
      <c r="B358" s="28"/>
      <c r="C358" s="28"/>
      <c r="H358" s="64"/>
      <c r="I358" s="64"/>
      <c r="J358" s="64"/>
      <c r="K358" s="64"/>
      <c r="L358" s="64"/>
      <c r="M358" s="64"/>
      <c r="N358" s="64"/>
      <c r="O358" s="64"/>
    </row>
    <row r="359">
      <c r="B359" s="28"/>
      <c r="C359" s="28"/>
      <c r="H359" s="64"/>
      <c r="I359" s="64"/>
      <c r="J359" s="64"/>
      <c r="K359" s="64"/>
      <c r="L359" s="64"/>
      <c r="M359" s="64"/>
      <c r="N359" s="64"/>
      <c r="O359" s="64"/>
    </row>
    <row r="360">
      <c r="B360" s="28"/>
      <c r="C360" s="28"/>
      <c r="H360" s="64"/>
      <c r="I360" s="64"/>
      <c r="J360" s="64"/>
      <c r="K360" s="64"/>
      <c r="L360" s="64"/>
      <c r="M360" s="64"/>
      <c r="N360" s="64"/>
      <c r="O360" s="64"/>
    </row>
    <row r="361">
      <c r="B361" s="28"/>
      <c r="C361" s="28"/>
      <c r="H361" s="64"/>
      <c r="I361" s="64"/>
      <c r="J361" s="64"/>
      <c r="K361" s="64"/>
      <c r="L361" s="64"/>
      <c r="M361" s="64"/>
      <c r="N361" s="64"/>
      <c r="O361" s="64"/>
    </row>
    <row r="362">
      <c r="B362" s="28"/>
      <c r="C362" s="28"/>
      <c r="H362" s="64"/>
      <c r="I362" s="64"/>
      <c r="J362" s="64"/>
      <c r="K362" s="64"/>
      <c r="L362" s="64"/>
      <c r="M362" s="64"/>
      <c r="N362" s="64"/>
      <c r="O362" s="64"/>
    </row>
    <row r="363">
      <c r="B363" s="28"/>
      <c r="C363" s="28"/>
      <c r="H363" s="64"/>
      <c r="I363" s="64"/>
      <c r="J363" s="64"/>
      <c r="K363" s="64"/>
      <c r="L363" s="64"/>
      <c r="M363" s="64"/>
      <c r="N363" s="64"/>
      <c r="O363" s="64"/>
    </row>
    <row r="364">
      <c r="B364" s="28"/>
      <c r="C364" s="28"/>
      <c r="H364" s="64"/>
      <c r="I364" s="64"/>
      <c r="J364" s="64"/>
      <c r="K364" s="64"/>
      <c r="L364" s="64"/>
      <c r="M364" s="64"/>
      <c r="N364" s="64"/>
      <c r="O364" s="64"/>
    </row>
    <row r="365">
      <c r="B365" s="28"/>
      <c r="C365" s="28"/>
      <c r="H365" s="64"/>
      <c r="I365" s="64"/>
      <c r="J365" s="64"/>
      <c r="K365" s="64"/>
      <c r="L365" s="64"/>
      <c r="M365" s="64"/>
      <c r="N365" s="64"/>
      <c r="O365" s="64"/>
    </row>
    <row r="366">
      <c r="B366" s="28"/>
      <c r="C366" s="28"/>
      <c r="H366" s="64"/>
      <c r="I366" s="64"/>
      <c r="J366" s="64"/>
      <c r="K366" s="64"/>
      <c r="L366" s="64"/>
      <c r="M366" s="64"/>
      <c r="N366" s="64"/>
      <c r="O366" s="64"/>
    </row>
    <row r="367">
      <c r="B367" s="28"/>
      <c r="C367" s="28"/>
      <c r="H367" s="64"/>
      <c r="I367" s="64"/>
      <c r="J367" s="64"/>
      <c r="K367" s="64"/>
      <c r="L367" s="64"/>
      <c r="M367" s="64"/>
      <c r="N367" s="64"/>
      <c r="O367" s="64"/>
    </row>
    <row r="368">
      <c r="B368" s="28"/>
      <c r="C368" s="28"/>
      <c r="H368" s="64"/>
      <c r="I368" s="64"/>
      <c r="J368" s="64"/>
      <c r="K368" s="64"/>
      <c r="L368" s="64"/>
      <c r="M368" s="64"/>
      <c r="N368" s="64"/>
      <c r="O368" s="64"/>
    </row>
    <row r="369">
      <c r="B369" s="28"/>
      <c r="C369" s="28"/>
      <c r="H369" s="64"/>
      <c r="I369" s="64"/>
      <c r="J369" s="64"/>
      <c r="K369" s="64"/>
      <c r="L369" s="64"/>
      <c r="M369" s="64"/>
      <c r="N369" s="64"/>
      <c r="O369" s="64"/>
    </row>
    <row r="370">
      <c r="B370" s="28"/>
      <c r="C370" s="28"/>
      <c r="H370" s="64"/>
      <c r="I370" s="64"/>
      <c r="J370" s="64"/>
      <c r="K370" s="64"/>
      <c r="L370" s="64"/>
      <c r="M370" s="64"/>
      <c r="N370" s="64"/>
      <c r="O370" s="64"/>
    </row>
    <row r="371">
      <c r="B371" s="28"/>
      <c r="C371" s="28"/>
      <c r="H371" s="64"/>
      <c r="I371" s="64"/>
      <c r="J371" s="64"/>
      <c r="K371" s="64"/>
      <c r="L371" s="64"/>
      <c r="M371" s="64"/>
      <c r="N371" s="64"/>
      <c r="O371" s="64"/>
    </row>
    <row r="372">
      <c r="B372" s="28"/>
      <c r="C372" s="28"/>
      <c r="H372" s="64"/>
      <c r="I372" s="64"/>
      <c r="J372" s="64"/>
      <c r="K372" s="64"/>
      <c r="L372" s="64"/>
      <c r="M372" s="64"/>
      <c r="N372" s="64"/>
      <c r="O372" s="64"/>
    </row>
    <row r="373">
      <c r="B373" s="28"/>
      <c r="C373" s="28"/>
      <c r="H373" s="64"/>
      <c r="I373" s="64"/>
      <c r="J373" s="64"/>
      <c r="K373" s="64"/>
      <c r="L373" s="64"/>
      <c r="M373" s="64"/>
      <c r="N373" s="64"/>
      <c r="O373" s="64"/>
    </row>
    <row r="374">
      <c r="B374" s="28"/>
      <c r="C374" s="28"/>
      <c r="H374" s="64"/>
      <c r="I374" s="64"/>
      <c r="J374" s="64"/>
      <c r="K374" s="64"/>
      <c r="L374" s="64"/>
      <c r="M374" s="64"/>
      <c r="N374" s="64"/>
      <c r="O374" s="64"/>
    </row>
    <row r="375">
      <c r="B375" s="28"/>
      <c r="C375" s="28"/>
      <c r="H375" s="64"/>
      <c r="I375" s="64"/>
      <c r="J375" s="64"/>
      <c r="K375" s="64"/>
      <c r="L375" s="64"/>
      <c r="M375" s="64"/>
      <c r="N375" s="64"/>
      <c r="O375" s="64"/>
    </row>
    <row r="376">
      <c r="B376" s="28"/>
      <c r="C376" s="28"/>
      <c r="H376" s="64"/>
      <c r="I376" s="64"/>
      <c r="J376" s="64"/>
      <c r="K376" s="64"/>
      <c r="L376" s="64"/>
      <c r="M376" s="64"/>
      <c r="N376" s="64"/>
      <c r="O376" s="64"/>
    </row>
    <row r="377">
      <c r="B377" s="28"/>
      <c r="C377" s="28"/>
      <c r="H377" s="64"/>
      <c r="I377" s="64"/>
      <c r="J377" s="64"/>
      <c r="K377" s="64"/>
      <c r="L377" s="64"/>
      <c r="M377" s="64"/>
      <c r="N377" s="64"/>
      <c r="O377" s="64"/>
    </row>
    <row r="378">
      <c r="B378" s="28"/>
      <c r="C378" s="28"/>
      <c r="H378" s="64"/>
      <c r="I378" s="64"/>
      <c r="J378" s="64"/>
      <c r="K378" s="64"/>
      <c r="L378" s="64"/>
      <c r="M378" s="64"/>
      <c r="N378" s="64"/>
      <c r="O378" s="64"/>
    </row>
    <row r="379">
      <c r="B379" s="28"/>
      <c r="C379" s="28"/>
      <c r="H379" s="64"/>
      <c r="I379" s="64"/>
      <c r="J379" s="64"/>
      <c r="K379" s="64"/>
      <c r="L379" s="64"/>
      <c r="M379" s="64"/>
      <c r="N379" s="64"/>
      <c r="O379" s="64"/>
    </row>
    <row r="380">
      <c r="B380" s="28"/>
      <c r="C380" s="28"/>
      <c r="H380" s="64"/>
      <c r="I380" s="64"/>
      <c r="J380" s="64"/>
      <c r="K380" s="64"/>
      <c r="L380" s="64"/>
      <c r="M380" s="64"/>
      <c r="N380" s="64"/>
      <c r="O380" s="64"/>
    </row>
    <row r="381">
      <c r="B381" s="28"/>
      <c r="C381" s="28"/>
      <c r="H381" s="64"/>
      <c r="I381" s="64"/>
      <c r="J381" s="64"/>
      <c r="K381" s="64"/>
      <c r="L381" s="64"/>
      <c r="M381" s="64"/>
      <c r="N381" s="64"/>
      <c r="O381" s="64"/>
    </row>
    <row r="382">
      <c r="B382" s="28"/>
      <c r="C382" s="28"/>
      <c r="H382" s="64"/>
      <c r="I382" s="64"/>
      <c r="J382" s="64"/>
      <c r="K382" s="64"/>
      <c r="L382" s="64"/>
      <c r="M382" s="64"/>
      <c r="N382" s="64"/>
      <c r="O382" s="64"/>
    </row>
    <row r="383">
      <c r="B383" s="28"/>
      <c r="C383" s="28"/>
      <c r="H383" s="64"/>
      <c r="I383" s="64"/>
      <c r="J383" s="64"/>
      <c r="K383" s="64"/>
      <c r="L383" s="64"/>
      <c r="M383" s="64"/>
      <c r="N383" s="64"/>
      <c r="O383" s="64"/>
    </row>
    <row r="384">
      <c r="B384" s="28"/>
      <c r="C384" s="28"/>
      <c r="H384" s="64"/>
      <c r="I384" s="64"/>
      <c r="J384" s="64"/>
      <c r="K384" s="64"/>
      <c r="L384" s="64"/>
      <c r="M384" s="64"/>
      <c r="N384" s="64"/>
      <c r="O384" s="64"/>
    </row>
    <row r="385">
      <c r="B385" s="28"/>
      <c r="C385" s="28"/>
      <c r="H385" s="64"/>
      <c r="I385" s="64"/>
      <c r="J385" s="64"/>
      <c r="K385" s="64"/>
      <c r="L385" s="64"/>
      <c r="M385" s="64"/>
      <c r="N385" s="64"/>
      <c r="O385" s="64"/>
    </row>
    <row r="386">
      <c r="B386" s="28"/>
      <c r="C386" s="28"/>
      <c r="H386" s="64"/>
      <c r="I386" s="64"/>
      <c r="J386" s="64"/>
      <c r="K386" s="64"/>
      <c r="L386" s="64"/>
      <c r="M386" s="64"/>
      <c r="N386" s="64"/>
      <c r="O386" s="64"/>
    </row>
    <row r="387">
      <c r="B387" s="28"/>
      <c r="C387" s="28"/>
      <c r="H387" s="64"/>
      <c r="I387" s="64"/>
      <c r="J387" s="64"/>
      <c r="K387" s="64"/>
      <c r="L387" s="64"/>
      <c r="M387" s="64"/>
      <c r="N387" s="64"/>
      <c r="O387" s="64"/>
    </row>
    <row r="388">
      <c r="B388" s="28"/>
      <c r="C388" s="28"/>
      <c r="H388" s="64"/>
      <c r="I388" s="64"/>
      <c r="J388" s="64"/>
      <c r="K388" s="64"/>
      <c r="L388" s="64"/>
      <c r="M388" s="64"/>
      <c r="N388" s="64"/>
      <c r="O388" s="64"/>
    </row>
    <row r="389">
      <c r="B389" s="28"/>
      <c r="C389" s="28"/>
      <c r="H389" s="64"/>
      <c r="I389" s="64"/>
      <c r="J389" s="64"/>
      <c r="K389" s="64"/>
      <c r="L389" s="64"/>
      <c r="M389" s="64"/>
      <c r="N389" s="64"/>
      <c r="O389" s="64"/>
    </row>
    <row r="390">
      <c r="B390" s="28"/>
      <c r="C390" s="28"/>
      <c r="H390" s="64"/>
      <c r="I390" s="64"/>
      <c r="J390" s="64"/>
      <c r="K390" s="64"/>
      <c r="L390" s="64"/>
      <c r="M390" s="64"/>
      <c r="N390" s="64"/>
      <c r="O390" s="64"/>
    </row>
    <row r="391">
      <c r="B391" s="28"/>
      <c r="C391" s="28"/>
      <c r="H391" s="64"/>
      <c r="I391" s="64"/>
      <c r="J391" s="64"/>
      <c r="K391" s="64"/>
      <c r="L391" s="64"/>
      <c r="M391" s="64"/>
      <c r="N391" s="64"/>
      <c r="O391" s="64"/>
    </row>
    <row r="392">
      <c r="B392" s="28"/>
      <c r="C392" s="28"/>
      <c r="H392" s="64"/>
      <c r="I392" s="64"/>
      <c r="J392" s="64"/>
      <c r="K392" s="64"/>
      <c r="L392" s="64"/>
      <c r="M392" s="64"/>
      <c r="N392" s="64"/>
      <c r="O392" s="64"/>
    </row>
    <row r="393">
      <c r="B393" s="28"/>
      <c r="C393" s="28"/>
      <c r="H393" s="64"/>
      <c r="I393" s="64"/>
      <c r="J393" s="64"/>
      <c r="K393" s="64"/>
      <c r="L393" s="64"/>
      <c r="M393" s="64"/>
      <c r="N393" s="64"/>
      <c r="O393" s="64"/>
    </row>
    <row r="394">
      <c r="B394" s="28"/>
      <c r="C394" s="28"/>
      <c r="H394" s="64"/>
      <c r="I394" s="64"/>
      <c r="J394" s="64"/>
      <c r="K394" s="64"/>
      <c r="L394" s="64"/>
      <c r="M394" s="64"/>
      <c r="N394" s="64"/>
      <c r="O394" s="64"/>
    </row>
    <row r="395">
      <c r="B395" s="28"/>
      <c r="C395" s="28"/>
      <c r="H395" s="64"/>
      <c r="I395" s="64"/>
      <c r="J395" s="64"/>
      <c r="K395" s="64"/>
      <c r="L395" s="64"/>
      <c r="M395" s="64"/>
      <c r="N395" s="64"/>
      <c r="O395" s="64"/>
    </row>
    <row r="396">
      <c r="B396" s="28"/>
      <c r="C396" s="28"/>
      <c r="H396" s="64"/>
      <c r="I396" s="64"/>
      <c r="J396" s="64"/>
      <c r="K396" s="64"/>
      <c r="L396" s="64"/>
      <c r="M396" s="64"/>
      <c r="N396" s="64"/>
      <c r="O396" s="64"/>
    </row>
    <row r="397">
      <c r="B397" s="28"/>
      <c r="C397" s="28"/>
      <c r="H397" s="64"/>
      <c r="I397" s="64"/>
      <c r="J397" s="64"/>
      <c r="K397" s="64"/>
      <c r="L397" s="64"/>
      <c r="M397" s="64"/>
      <c r="N397" s="64"/>
      <c r="O397" s="64"/>
    </row>
    <row r="398">
      <c r="B398" s="28"/>
      <c r="C398" s="28"/>
      <c r="H398" s="64"/>
      <c r="I398" s="64"/>
      <c r="J398" s="64"/>
      <c r="K398" s="64"/>
      <c r="L398" s="64"/>
      <c r="M398" s="64"/>
      <c r="N398" s="64"/>
      <c r="O398" s="64"/>
    </row>
    <row r="399">
      <c r="B399" s="28"/>
      <c r="C399" s="28"/>
      <c r="H399" s="64"/>
      <c r="I399" s="64"/>
      <c r="J399" s="64"/>
      <c r="K399" s="64"/>
      <c r="L399" s="64"/>
      <c r="M399" s="64"/>
      <c r="N399" s="64"/>
      <c r="O399" s="64"/>
    </row>
    <row r="400">
      <c r="B400" s="28"/>
      <c r="C400" s="28"/>
      <c r="H400" s="64"/>
      <c r="I400" s="64"/>
      <c r="J400" s="64"/>
      <c r="K400" s="64"/>
      <c r="L400" s="64"/>
      <c r="M400" s="64"/>
      <c r="N400" s="64"/>
      <c r="O400" s="64"/>
    </row>
    <row r="401">
      <c r="B401" s="28"/>
      <c r="C401" s="28"/>
      <c r="H401" s="64"/>
      <c r="I401" s="64"/>
      <c r="J401" s="64"/>
      <c r="K401" s="64"/>
      <c r="L401" s="64"/>
      <c r="M401" s="64"/>
      <c r="N401" s="64"/>
      <c r="O401" s="64"/>
    </row>
    <row r="402">
      <c r="B402" s="28"/>
      <c r="C402" s="28"/>
      <c r="H402" s="64"/>
      <c r="I402" s="64"/>
      <c r="J402" s="64"/>
      <c r="K402" s="64"/>
      <c r="L402" s="64"/>
      <c r="M402" s="64"/>
      <c r="N402" s="64"/>
      <c r="O402" s="64"/>
    </row>
    <row r="403">
      <c r="B403" s="28"/>
      <c r="C403" s="28"/>
      <c r="H403" s="64"/>
      <c r="I403" s="64"/>
      <c r="J403" s="64"/>
      <c r="K403" s="64"/>
      <c r="L403" s="64"/>
      <c r="M403" s="64"/>
      <c r="N403" s="64"/>
      <c r="O403" s="64"/>
    </row>
    <row r="404">
      <c r="B404" s="28"/>
      <c r="C404" s="28"/>
      <c r="H404" s="64"/>
      <c r="I404" s="64"/>
      <c r="J404" s="64"/>
      <c r="K404" s="64"/>
      <c r="L404" s="64"/>
      <c r="M404" s="64"/>
      <c r="N404" s="64"/>
      <c r="O404" s="64"/>
    </row>
    <row r="405">
      <c r="B405" s="28"/>
      <c r="C405" s="28"/>
      <c r="H405" s="64"/>
      <c r="I405" s="64"/>
      <c r="J405" s="64"/>
      <c r="K405" s="64"/>
      <c r="L405" s="64"/>
      <c r="M405" s="64"/>
      <c r="N405" s="64"/>
      <c r="O405" s="64"/>
    </row>
    <row r="406">
      <c r="B406" s="28"/>
      <c r="C406" s="28"/>
      <c r="H406" s="64"/>
      <c r="I406" s="64"/>
      <c r="J406" s="64"/>
      <c r="K406" s="64"/>
      <c r="L406" s="64"/>
      <c r="M406" s="64"/>
      <c r="N406" s="64"/>
      <c r="O406" s="64"/>
    </row>
    <row r="407">
      <c r="B407" s="28"/>
      <c r="C407" s="28"/>
      <c r="H407" s="64"/>
      <c r="I407" s="64"/>
      <c r="J407" s="64"/>
      <c r="K407" s="64"/>
      <c r="L407" s="64"/>
      <c r="M407" s="64"/>
      <c r="N407" s="64"/>
      <c r="O407" s="64"/>
    </row>
    <row r="408">
      <c r="B408" s="28"/>
      <c r="C408" s="28"/>
      <c r="H408" s="64"/>
      <c r="I408" s="64"/>
      <c r="J408" s="64"/>
      <c r="K408" s="64"/>
      <c r="L408" s="64"/>
      <c r="M408" s="64"/>
      <c r="N408" s="64"/>
      <c r="O408" s="64"/>
    </row>
    <row r="409">
      <c r="B409" s="28"/>
      <c r="C409" s="28"/>
      <c r="H409" s="64"/>
      <c r="I409" s="64"/>
      <c r="J409" s="64"/>
      <c r="K409" s="64"/>
      <c r="L409" s="64"/>
      <c r="M409" s="64"/>
      <c r="N409" s="64"/>
      <c r="O409" s="64"/>
    </row>
    <row r="410">
      <c r="B410" s="28"/>
      <c r="C410" s="28"/>
      <c r="H410" s="64"/>
      <c r="I410" s="64"/>
      <c r="J410" s="64"/>
      <c r="K410" s="64"/>
      <c r="L410" s="64"/>
      <c r="M410" s="64"/>
      <c r="N410" s="64"/>
      <c r="O410" s="64"/>
    </row>
    <row r="411">
      <c r="B411" s="28"/>
      <c r="C411" s="28"/>
      <c r="H411" s="64"/>
      <c r="I411" s="64"/>
      <c r="J411" s="64"/>
      <c r="K411" s="64"/>
      <c r="L411" s="64"/>
      <c r="M411" s="64"/>
      <c r="N411" s="64"/>
      <c r="O411" s="64"/>
    </row>
    <row r="412">
      <c r="B412" s="28"/>
      <c r="C412" s="28"/>
      <c r="H412" s="64"/>
      <c r="I412" s="64"/>
      <c r="J412" s="64"/>
      <c r="K412" s="64"/>
      <c r="L412" s="64"/>
      <c r="M412" s="64"/>
      <c r="N412" s="64"/>
      <c r="O412" s="64"/>
    </row>
    <row r="413">
      <c r="B413" s="28"/>
      <c r="C413" s="28"/>
      <c r="H413" s="64"/>
      <c r="I413" s="64"/>
      <c r="J413" s="64"/>
      <c r="K413" s="64"/>
      <c r="L413" s="64"/>
      <c r="M413" s="64"/>
      <c r="N413" s="64"/>
      <c r="O413" s="64"/>
    </row>
    <row r="414">
      <c r="B414" s="28"/>
      <c r="C414" s="28"/>
      <c r="H414" s="64"/>
      <c r="I414" s="64"/>
      <c r="J414" s="64"/>
      <c r="K414" s="64"/>
      <c r="L414" s="64"/>
      <c r="M414" s="64"/>
      <c r="N414" s="64"/>
      <c r="O414" s="64"/>
    </row>
    <row r="415">
      <c r="B415" s="28"/>
      <c r="C415" s="28"/>
      <c r="H415" s="64"/>
      <c r="I415" s="64"/>
      <c r="J415" s="64"/>
      <c r="K415" s="64"/>
      <c r="L415" s="64"/>
      <c r="M415" s="64"/>
      <c r="N415" s="64"/>
      <c r="O415" s="64"/>
    </row>
    <row r="416">
      <c r="B416" s="28"/>
      <c r="C416" s="28"/>
      <c r="H416" s="64"/>
      <c r="I416" s="64"/>
      <c r="J416" s="64"/>
      <c r="K416" s="64"/>
      <c r="L416" s="64"/>
      <c r="M416" s="64"/>
      <c r="N416" s="64"/>
      <c r="O416" s="64"/>
    </row>
    <row r="417">
      <c r="B417" s="28"/>
      <c r="C417" s="28"/>
      <c r="H417" s="64"/>
      <c r="I417" s="64"/>
      <c r="J417" s="64"/>
      <c r="K417" s="64"/>
      <c r="L417" s="64"/>
      <c r="M417" s="64"/>
      <c r="N417" s="64"/>
      <c r="O417" s="64"/>
    </row>
    <row r="418">
      <c r="B418" s="28"/>
      <c r="C418" s="28"/>
      <c r="H418" s="64"/>
      <c r="I418" s="64"/>
      <c r="J418" s="64"/>
      <c r="K418" s="64"/>
      <c r="L418" s="64"/>
      <c r="M418" s="64"/>
      <c r="N418" s="64"/>
      <c r="O418" s="64"/>
    </row>
    <row r="419">
      <c r="B419" s="28"/>
      <c r="C419" s="28"/>
      <c r="H419" s="64"/>
      <c r="I419" s="64"/>
      <c r="J419" s="64"/>
      <c r="K419" s="64"/>
      <c r="L419" s="64"/>
      <c r="M419" s="64"/>
      <c r="N419" s="64"/>
      <c r="O419" s="64"/>
    </row>
    <row r="420">
      <c r="B420" s="28"/>
      <c r="C420" s="28"/>
      <c r="H420" s="64"/>
      <c r="I420" s="64"/>
      <c r="J420" s="64"/>
      <c r="K420" s="64"/>
      <c r="L420" s="64"/>
      <c r="M420" s="64"/>
      <c r="N420" s="64"/>
      <c r="O420" s="64"/>
    </row>
    <row r="421">
      <c r="B421" s="28"/>
      <c r="C421" s="28"/>
      <c r="H421" s="64"/>
      <c r="I421" s="64"/>
      <c r="J421" s="64"/>
      <c r="K421" s="64"/>
      <c r="L421" s="64"/>
      <c r="M421" s="64"/>
      <c r="N421" s="64"/>
      <c r="O421" s="64"/>
    </row>
    <row r="422">
      <c r="B422" s="28"/>
      <c r="C422" s="28"/>
      <c r="H422" s="64"/>
      <c r="I422" s="64"/>
      <c r="J422" s="64"/>
      <c r="K422" s="64"/>
      <c r="L422" s="64"/>
      <c r="M422" s="64"/>
      <c r="N422" s="64"/>
      <c r="O422" s="64"/>
    </row>
    <row r="423">
      <c r="B423" s="28"/>
      <c r="C423" s="28"/>
      <c r="H423" s="64"/>
      <c r="I423" s="64"/>
      <c r="J423" s="64"/>
      <c r="K423" s="64"/>
      <c r="L423" s="64"/>
      <c r="M423" s="64"/>
      <c r="N423" s="64"/>
      <c r="O423" s="64"/>
    </row>
    <row r="424">
      <c r="B424" s="28"/>
      <c r="C424" s="28"/>
      <c r="H424" s="64"/>
      <c r="I424" s="64"/>
      <c r="J424" s="64"/>
      <c r="K424" s="64"/>
      <c r="L424" s="64"/>
      <c r="M424" s="64"/>
      <c r="N424" s="64"/>
      <c r="O424" s="64"/>
    </row>
    <row r="425">
      <c r="B425" s="28"/>
      <c r="C425" s="28"/>
      <c r="H425" s="64"/>
      <c r="I425" s="64"/>
      <c r="J425" s="64"/>
      <c r="K425" s="64"/>
      <c r="L425" s="64"/>
      <c r="M425" s="64"/>
      <c r="N425" s="64"/>
      <c r="O425" s="64"/>
    </row>
    <row r="426">
      <c r="B426" s="28"/>
      <c r="C426" s="28"/>
      <c r="H426" s="64"/>
      <c r="I426" s="64"/>
      <c r="J426" s="64"/>
      <c r="K426" s="64"/>
      <c r="L426" s="64"/>
      <c r="M426" s="64"/>
      <c r="N426" s="64"/>
      <c r="O426" s="64"/>
    </row>
    <row r="427">
      <c r="B427" s="28"/>
      <c r="C427" s="28"/>
      <c r="H427" s="64"/>
      <c r="I427" s="64"/>
      <c r="J427" s="64"/>
      <c r="K427" s="64"/>
      <c r="L427" s="64"/>
      <c r="M427" s="64"/>
      <c r="N427" s="64"/>
      <c r="O427" s="64"/>
    </row>
    <row r="428">
      <c r="B428" s="28"/>
      <c r="C428" s="28"/>
      <c r="H428" s="64"/>
      <c r="I428" s="64"/>
      <c r="J428" s="64"/>
      <c r="K428" s="64"/>
      <c r="L428" s="64"/>
      <c r="M428" s="64"/>
      <c r="N428" s="64"/>
      <c r="O428" s="64"/>
    </row>
    <row r="429">
      <c r="B429" s="28"/>
      <c r="C429" s="28"/>
      <c r="H429" s="64"/>
      <c r="I429" s="64"/>
      <c r="J429" s="64"/>
      <c r="K429" s="64"/>
      <c r="L429" s="64"/>
      <c r="M429" s="64"/>
      <c r="N429" s="64"/>
      <c r="O429" s="64"/>
    </row>
    <row r="430">
      <c r="B430" s="28"/>
      <c r="C430" s="28"/>
      <c r="H430" s="64"/>
      <c r="I430" s="64"/>
      <c r="J430" s="64"/>
      <c r="K430" s="64"/>
      <c r="L430" s="64"/>
      <c r="M430" s="64"/>
      <c r="N430" s="64"/>
      <c r="O430" s="64"/>
    </row>
    <row r="431">
      <c r="B431" s="28"/>
      <c r="C431" s="28"/>
      <c r="H431" s="64"/>
      <c r="I431" s="64"/>
      <c r="J431" s="64"/>
      <c r="K431" s="64"/>
      <c r="L431" s="64"/>
      <c r="M431" s="64"/>
      <c r="N431" s="64"/>
      <c r="O431" s="64"/>
    </row>
    <row r="432">
      <c r="B432" s="28"/>
      <c r="C432" s="28"/>
      <c r="H432" s="64"/>
      <c r="I432" s="64"/>
      <c r="J432" s="64"/>
      <c r="K432" s="64"/>
      <c r="L432" s="64"/>
      <c r="M432" s="64"/>
      <c r="N432" s="64"/>
      <c r="O432" s="64"/>
    </row>
    <row r="433">
      <c r="B433" s="28"/>
      <c r="C433" s="28"/>
      <c r="H433" s="64"/>
      <c r="I433" s="64"/>
      <c r="J433" s="64"/>
      <c r="K433" s="64"/>
      <c r="L433" s="64"/>
      <c r="M433" s="64"/>
      <c r="N433" s="64"/>
      <c r="O433" s="64"/>
    </row>
    <row r="434">
      <c r="B434" s="28"/>
      <c r="C434" s="28"/>
      <c r="H434" s="64"/>
      <c r="I434" s="64"/>
      <c r="J434" s="64"/>
      <c r="K434" s="64"/>
      <c r="L434" s="64"/>
      <c r="M434" s="64"/>
      <c r="N434" s="64"/>
      <c r="O434" s="64"/>
    </row>
    <row r="435">
      <c r="B435" s="28"/>
      <c r="C435" s="28"/>
      <c r="H435" s="64"/>
      <c r="I435" s="64"/>
      <c r="J435" s="64"/>
      <c r="K435" s="64"/>
      <c r="L435" s="64"/>
      <c r="M435" s="64"/>
      <c r="N435" s="64"/>
      <c r="O435" s="64"/>
    </row>
    <row r="436">
      <c r="B436" s="28"/>
      <c r="C436" s="28"/>
      <c r="H436" s="64"/>
      <c r="I436" s="64"/>
      <c r="J436" s="64"/>
      <c r="K436" s="64"/>
      <c r="L436" s="64"/>
      <c r="M436" s="64"/>
      <c r="N436" s="64"/>
      <c r="O436" s="64"/>
    </row>
    <row r="437">
      <c r="B437" s="28"/>
      <c r="C437" s="28"/>
      <c r="H437" s="64"/>
      <c r="I437" s="64"/>
      <c r="J437" s="64"/>
      <c r="K437" s="64"/>
      <c r="L437" s="64"/>
      <c r="M437" s="64"/>
      <c r="N437" s="64"/>
      <c r="O437" s="64"/>
    </row>
    <row r="438">
      <c r="B438" s="28"/>
      <c r="C438" s="28"/>
      <c r="H438" s="64"/>
      <c r="I438" s="64"/>
      <c r="J438" s="64"/>
      <c r="K438" s="64"/>
      <c r="L438" s="64"/>
      <c r="M438" s="64"/>
      <c r="N438" s="64"/>
      <c r="O438" s="64"/>
    </row>
    <row r="439">
      <c r="B439" s="28"/>
      <c r="C439" s="28"/>
      <c r="H439" s="64"/>
      <c r="I439" s="64"/>
      <c r="J439" s="64"/>
      <c r="K439" s="64"/>
      <c r="L439" s="64"/>
      <c r="M439" s="64"/>
      <c r="N439" s="64"/>
      <c r="O439" s="64"/>
    </row>
    <row r="440">
      <c r="B440" s="28"/>
      <c r="C440" s="28"/>
      <c r="H440" s="64"/>
      <c r="I440" s="64"/>
      <c r="J440" s="64"/>
      <c r="K440" s="64"/>
      <c r="L440" s="64"/>
      <c r="M440" s="64"/>
      <c r="N440" s="64"/>
      <c r="O440" s="64"/>
    </row>
    <row r="441">
      <c r="B441" s="28"/>
      <c r="C441" s="28"/>
      <c r="H441" s="64"/>
      <c r="I441" s="64"/>
      <c r="J441" s="64"/>
      <c r="K441" s="64"/>
      <c r="L441" s="64"/>
      <c r="M441" s="64"/>
      <c r="N441" s="64"/>
      <c r="O441" s="64"/>
    </row>
    <row r="442">
      <c r="B442" s="28"/>
      <c r="C442" s="28"/>
      <c r="H442" s="64"/>
      <c r="I442" s="64"/>
      <c r="J442" s="64"/>
      <c r="K442" s="64"/>
      <c r="L442" s="64"/>
      <c r="M442" s="64"/>
      <c r="N442" s="64"/>
      <c r="O442" s="64"/>
    </row>
    <row r="443">
      <c r="B443" s="28"/>
      <c r="C443" s="28"/>
      <c r="H443" s="64"/>
      <c r="I443" s="64"/>
      <c r="J443" s="64"/>
      <c r="K443" s="64"/>
      <c r="L443" s="64"/>
      <c r="M443" s="64"/>
      <c r="N443" s="64"/>
      <c r="O443" s="64"/>
    </row>
    <row r="444">
      <c r="B444" s="28"/>
      <c r="C444" s="28"/>
      <c r="H444" s="64"/>
      <c r="I444" s="64"/>
      <c r="J444" s="64"/>
      <c r="K444" s="64"/>
      <c r="L444" s="64"/>
      <c r="M444" s="64"/>
      <c r="N444" s="64"/>
      <c r="O444" s="64"/>
    </row>
    <row r="445">
      <c r="B445" s="28"/>
      <c r="C445" s="28"/>
      <c r="H445" s="64"/>
      <c r="I445" s="64"/>
      <c r="J445" s="64"/>
      <c r="K445" s="64"/>
      <c r="L445" s="64"/>
      <c r="M445" s="64"/>
      <c r="N445" s="64"/>
      <c r="O445" s="64"/>
    </row>
    <row r="446">
      <c r="B446" s="28"/>
      <c r="C446" s="28"/>
      <c r="H446" s="64"/>
      <c r="I446" s="64"/>
      <c r="J446" s="64"/>
      <c r="K446" s="64"/>
      <c r="L446" s="64"/>
      <c r="M446" s="64"/>
      <c r="N446" s="64"/>
      <c r="O446" s="64"/>
    </row>
    <row r="447">
      <c r="B447" s="28"/>
      <c r="C447" s="28"/>
      <c r="H447" s="64"/>
      <c r="I447" s="64"/>
      <c r="J447" s="64"/>
      <c r="K447" s="64"/>
      <c r="L447" s="64"/>
      <c r="M447" s="64"/>
      <c r="N447" s="64"/>
      <c r="O447" s="64"/>
    </row>
    <row r="448">
      <c r="B448" s="28"/>
      <c r="C448" s="28"/>
      <c r="H448" s="64"/>
      <c r="I448" s="64"/>
      <c r="J448" s="64"/>
      <c r="K448" s="64"/>
      <c r="L448" s="64"/>
      <c r="M448" s="64"/>
      <c r="N448" s="64"/>
      <c r="O448" s="64"/>
    </row>
    <row r="449">
      <c r="B449" s="28"/>
      <c r="C449" s="28"/>
      <c r="H449" s="64"/>
      <c r="I449" s="64"/>
      <c r="J449" s="64"/>
      <c r="K449" s="64"/>
      <c r="L449" s="64"/>
      <c r="M449" s="64"/>
      <c r="N449" s="64"/>
      <c r="O449" s="64"/>
    </row>
    <row r="450">
      <c r="B450" s="28"/>
      <c r="C450" s="28"/>
      <c r="H450" s="64"/>
      <c r="I450" s="64"/>
      <c r="J450" s="64"/>
      <c r="K450" s="64"/>
      <c r="L450" s="64"/>
      <c r="M450" s="64"/>
      <c r="N450" s="64"/>
      <c r="O450" s="64"/>
    </row>
    <row r="451">
      <c r="B451" s="28"/>
      <c r="C451" s="28"/>
      <c r="H451" s="64"/>
      <c r="I451" s="64"/>
      <c r="J451" s="64"/>
      <c r="K451" s="64"/>
      <c r="L451" s="64"/>
      <c r="M451" s="64"/>
      <c r="N451" s="64"/>
      <c r="O451" s="64"/>
    </row>
    <row r="452">
      <c r="B452" s="28"/>
      <c r="C452" s="28"/>
      <c r="H452" s="64"/>
      <c r="I452" s="64"/>
      <c r="J452" s="64"/>
      <c r="K452" s="64"/>
      <c r="L452" s="64"/>
      <c r="M452" s="64"/>
      <c r="N452" s="64"/>
      <c r="O452" s="64"/>
    </row>
    <row r="453">
      <c r="B453" s="28"/>
      <c r="C453" s="28"/>
      <c r="H453" s="64"/>
      <c r="I453" s="64"/>
      <c r="J453" s="64"/>
      <c r="K453" s="64"/>
      <c r="L453" s="64"/>
      <c r="M453" s="64"/>
      <c r="N453" s="64"/>
      <c r="O453" s="64"/>
    </row>
    <row r="454">
      <c r="B454" s="28"/>
      <c r="C454" s="28"/>
      <c r="H454" s="64"/>
      <c r="I454" s="64"/>
      <c r="J454" s="64"/>
      <c r="K454" s="64"/>
      <c r="L454" s="64"/>
      <c r="M454" s="64"/>
      <c r="N454" s="64"/>
      <c r="O454" s="64"/>
    </row>
    <row r="455">
      <c r="B455" s="28"/>
      <c r="C455" s="28"/>
      <c r="H455" s="64"/>
      <c r="I455" s="64"/>
      <c r="J455" s="64"/>
      <c r="K455" s="64"/>
      <c r="L455" s="64"/>
      <c r="M455" s="64"/>
      <c r="N455" s="64"/>
      <c r="O455" s="64"/>
    </row>
    <row r="456">
      <c r="B456" s="28"/>
      <c r="C456" s="28"/>
      <c r="H456" s="64"/>
      <c r="I456" s="64"/>
      <c r="J456" s="64"/>
      <c r="K456" s="64"/>
      <c r="L456" s="64"/>
      <c r="M456" s="64"/>
      <c r="N456" s="64"/>
      <c r="O456" s="64"/>
    </row>
    <row r="457">
      <c r="B457" s="28"/>
      <c r="C457" s="28"/>
      <c r="H457" s="64"/>
      <c r="I457" s="64"/>
      <c r="J457" s="64"/>
      <c r="K457" s="64"/>
      <c r="L457" s="64"/>
      <c r="M457" s="64"/>
      <c r="N457" s="64"/>
      <c r="O457" s="64"/>
    </row>
    <row r="458">
      <c r="B458" s="28"/>
      <c r="C458" s="28"/>
      <c r="H458" s="64"/>
      <c r="I458" s="64"/>
      <c r="J458" s="64"/>
      <c r="K458" s="64"/>
      <c r="L458" s="64"/>
      <c r="M458" s="64"/>
      <c r="N458" s="64"/>
      <c r="O458" s="64"/>
    </row>
    <row r="459">
      <c r="B459" s="28"/>
      <c r="C459" s="28"/>
      <c r="H459" s="64"/>
      <c r="I459" s="64"/>
      <c r="J459" s="64"/>
      <c r="K459" s="64"/>
      <c r="L459" s="64"/>
      <c r="M459" s="64"/>
      <c r="N459" s="64"/>
      <c r="O459" s="64"/>
    </row>
    <row r="460">
      <c r="B460" s="28"/>
      <c r="C460" s="28"/>
      <c r="H460" s="64"/>
      <c r="I460" s="64"/>
      <c r="J460" s="64"/>
      <c r="K460" s="64"/>
      <c r="L460" s="64"/>
      <c r="M460" s="64"/>
      <c r="N460" s="64"/>
      <c r="O460" s="64"/>
    </row>
    <row r="461">
      <c r="B461" s="28"/>
      <c r="C461" s="28"/>
      <c r="H461" s="64"/>
      <c r="I461" s="64"/>
      <c r="J461" s="64"/>
      <c r="K461" s="64"/>
      <c r="L461" s="64"/>
      <c r="M461" s="64"/>
      <c r="N461" s="64"/>
      <c r="O461" s="64"/>
    </row>
    <row r="462">
      <c r="B462" s="28"/>
      <c r="C462" s="28"/>
      <c r="H462" s="64"/>
      <c r="I462" s="64"/>
      <c r="J462" s="64"/>
      <c r="K462" s="64"/>
      <c r="L462" s="64"/>
      <c r="M462" s="64"/>
      <c r="N462" s="64"/>
      <c r="O462" s="64"/>
    </row>
    <row r="463">
      <c r="B463" s="28"/>
      <c r="C463" s="28"/>
      <c r="H463" s="64"/>
      <c r="I463" s="64"/>
      <c r="J463" s="64"/>
      <c r="K463" s="64"/>
      <c r="L463" s="64"/>
      <c r="M463" s="64"/>
      <c r="N463" s="64"/>
      <c r="O463" s="64"/>
    </row>
    <row r="464">
      <c r="B464" s="28"/>
      <c r="C464" s="28"/>
      <c r="H464" s="64"/>
      <c r="I464" s="64"/>
      <c r="J464" s="64"/>
      <c r="K464" s="64"/>
      <c r="L464" s="64"/>
      <c r="M464" s="64"/>
      <c r="N464" s="64"/>
      <c r="O464" s="64"/>
    </row>
    <row r="465">
      <c r="B465" s="28"/>
      <c r="C465" s="28"/>
      <c r="H465" s="64"/>
      <c r="I465" s="64"/>
      <c r="J465" s="64"/>
      <c r="K465" s="64"/>
      <c r="L465" s="64"/>
      <c r="M465" s="64"/>
      <c r="N465" s="64"/>
      <c r="O465" s="64"/>
    </row>
    <row r="466">
      <c r="B466" s="28"/>
      <c r="C466" s="28"/>
      <c r="H466" s="64"/>
      <c r="I466" s="64"/>
      <c r="J466" s="64"/>
      <c r="K466" s="64"/>
      <c r="L466" s="64"/>
      <c r="M466" s="64"/>
      <c r="N466" s="64"/>
      <c r="O466" s="64"/>
    </row>
    <row r="467">
      <c r="B467" s="28"/>
      <c r="C467" s="28"/>
      <c r="H467" s="64"/>
      <c r="I467" s="64"/>
      <c r="J467" s="64"/>
      <c r="K467" s="64"/>
      <c r="L467" s="64"/>
      <c r="M467" s="64"/>
      <c r="N467" s="64"/>
      <c r="O467" s="64"/>
    </row>
    <row r="468">
      <c r="B468" s="28"/>
      <c r="C468" s="28"/>
      <c r="H468" s="64"/>
      <c r="I468" s="64"/>
      <c r="J468" s="64"/>
      <c r="K468" s="64"/>
      <c r="L468" s="64"/>
      <c r="M468" s="64"/>
      <c r="N468" s="64"/>
      <c r="O468" s="64"/>
    </row>
    <row r="469">
      <c r="B469" s="28"/>
      <c r="C469" s="28"/>
      <c r="H469" s="64"/>
      <c r="I469" s="64"/>
      <c r="J469" s="64"/>
      <c r="K469" s="64"/>
      <c r="L469" s="64"/>
      <c r="M469" s="64"/>
      <c r="N469" s="64"/>
      <c r="O469" s="64"/>
    </row>
    <row r="470">
      <c r="B470" s="28"/>
      <c r="C470" s="28"/>
      <c r="H470" s="64"/>
      <c r="I470" s="64"/>
      <c r="J470" s="64"/>
      <c r="K470" s="64"/>
      <c r="L470" s="64"/>
      <c r="M470" s="64"/>
      <c r="N470" s="64"/>
      <c r="O470" s="64"/>
    </row>
    <row r="471">
      <c r="B471" s="28"/>
      <c r="C471" s="28"/>
      <c r="H471" s="64"/>
      <c r="I471" s="64"/>
      <c r="J471" s="64"/>
      <c r="K471" s="64"/>
      <c r="L471" s="64"/>
      <c r="M471" s="64"/>
      <c r="N471" s="64"/>
      <c r="O471" s="64"/>
    </row>
    <row r="472">
      <c r="B472" s="28"/>
      <c r="C472" s="28"/>
      <c r="H472" s="64"/>
      <c r="I472" s="64"/>
      <c r="J472" s="64"/>
      <c r="K472" s="64"/>
      <c r="L472" s="64"/>
      <c r="M472" s="64"/>
      <c r="N472" s="64"/>
      <c r="O472" s="64"/>
    </row>
    <row r="473">
      <c r="B473" s="28"/>
      <c r="C473" s="28"/>
      <c r="H473" s="64"/>
      <c r="I473" s="64"/>
      <c r="J473" s="64"/>
      <c r="K473" s="64"/>
      <c r="L473" s="64"/>
      <c r="M473" s="64"/>
      <c r="N473" s="64"/>
      <c r="O473" s="64"/>
    </row>
    <row r="474">
      <c r="B474" s="28"/>
      <c r="C474" s="28"/>
      <c r="H474" s="64"/>
      <c r="I474" s="64"/>
      <c r="J474" s="64"/>
      <c r="K474" s="64"/>
      <c r="L474" s="64"/>
      <c r="M474" s="64"/>
      <c r="N474" s="64"/>
      <c r="O474" s="64"/>
    </row>
    <row r="475">
      <c r="B475" s="28"/>
      <c r="C475" s="28"/>
      <c r="H475" s="64"/>
      <c r="I475" s="64"/>
      <c r="J475" s="64"/>
      <c r="K475" s="64"/>
      <c r="L475" s="64"/>
      <c r="M475" s="64"/>
      <c r="N475" s="64"/>
      <c r="O475" s="64"/>
    </row>
    <row r="476">
      <c r="B476" s="28"/>
      <c r="C476" s="28"/>
      <c r="H476" s="64"/>
      <c r="I476" s="64"/>
      <c r="J476" s="64"/>
      <c r="K476" s="64"/>
      <c r="L476" s="64"/>
      <c r="M476" s="64"/>
      <c r="N476" s="64"/>
      <c r="O476" s="64"/>
    </row>
    <row r="477">
      <c r="B477" s="28"/>
      <c r="C477" s="28"/>
      <c r="H477" s="64"/>
      <c r="I477" s="64"/>
      <c r="J477" s="64"/>
      <c r="K477" s="64"/>
      <c r="L477" s="64"/>
      <c r="M477" s="64"/>
      <c r="N477" s="64"/>
      <c r="O477" s="64"/>
    </row>
    <row r="478">
      <c r="B478" s="28"/>
      <c r="C478" s="28"/>
      <c r="H478" s="64"/>
      <c r="I478" s="64"/>
      <c r="J478" s="64"/>
      <c r="K478" s="64"/>
      <c r="L478" s="64"/>
      <c r="M478" s="64"/>
      <c r="N478" s="64"/>
      <c r="O478" s="64"/>
    </row>
    <row r="479">
      <c r="B479" s="28"/>
      <c r="C479" s="28"/>
      <c r="H479" s="64"/>
      <c r="I479" s="64"/>
      <c r="J479" s="64"/>
      <c r="K479" s="64"/>
      <c r="L479" s="64"/>
      <c r="M479" s="64"/>
      <c r="N479" s="64"/>
      <c r="O479" s="64"/>
    </row>
    <row r="480">
      <c r="B480" s="28"/>
      <c r="C480" s="28"/>
      <c r="H480" s="64"/>
      <c r="I480" s="64"/>
      <c r="J480" s="64"/>
      <c r="K480" s="64"/>
      <c r="L480" s="64"/>
      <c r="M480" s="64"/>
      <c r="N480" s="64"/>
      <c r="O480" s="64"/>
    </row>
    <row r="481">
      <c r="B481" s="28"/>
      <c r="C481" s="28"/>
      <c r="H481" s="64"/>
      <c r="I481" s="64"/>
      <c r="J481" s="64"/>
      <c r="K481" s="64"/>
      <c r="L481" s="64"/>
      <c r="M481" s="64"/>
      <c r="N481" s="64"/>
      <c r="O481" s="64"/>
    </row>
    <row r="482">
      <c r="B482" s="28"/>
      <c r="C482" s="28"/>
      <c r="H482" s="64"/>
      <c r="I482" s="64"/>
      <c r="J482" s="64"/>
      <c r="K482" s="64"/>
      <c r="L482" s="64"/>
      <c r="M482" s="64"/>
      <c r="N482" s="64"/>
      <c r="O482" s="64"/>
    </row>
    <row r="483">
      <c r="B483" s="28"/>
      <c r="C483" s="28"/>
      <c r="H483" s="64"/>
      <c r="I483" s="64"/>
      <c r="J483" s="64"/>
      <c r="K483" s="64"/>
      <c r="L483" s="64"/>
      <c r="M483" s="64"/>
      <c r="N483" s="64"/>
      <c r="O483" s="64"/>
    </row>
    <row r="484">
      <c r="B484" s="28"/>
      <c r="C484" s="28"/>
      <c r="H484" s="64"/>
      <c r="I484" s="64"/>
      <c r="J484" s="64"/>
      <c r="K484" s="64"/>
      <c r="L484" s="64"/>
      <c r="M484" s="64"/>
      <c r="N484" s="64"/>
      <c r="O484" s="64"/>
    </row>
    <row r="485">
      <c r="B485" s="28"/>
      <c r="C485" s="28"/>
      <c r="H485" s="64"/>
      <c r="I485" s="64"/>
      <c r="J485" s="64"/>
      <c r="K485" s="64"/>
      <c r="L485" s="64"/>
      <c r="M485" s="64"/>
      <c r="N485" s="64"/>
      <c r="O485" s="64"/>
    </row>
    <row r="486">
      <c r="B486" s="28"/>
      <c r="C486" s="28"/>
      <c r="H486" s="64"/>
      <c r="I486" s="64"/>
      <c r="J486" s="64"/>
      <c r="K486" s="64"/>
      <c r="L486" s="64"/>
      <c r="M486" s="64"/>
      <c r="N486" s="64"/>
      <c r="O486" s="64"/>
    </row>
    <row r="487">
      <c r="B487" s="28"/>
      <c r="C487" s="28"/>
      <c r="H487" s="64"/>
      <c r="I487" s="64"/>
      <c r="J487" s="64"/>
      <c r="K487" s="64"/>
      <c r="L487" s="64"/>
      <c r="M487" s="64"/>
      <c r="N487" s="64"/>
      <c r="O487" s="64"/>
    </row>
    <row r="488">
      <c r="B488" s="28"/>
      <c r="C488" s="28"/>
      <c r="H488" s="64"/>
      <c r="I488" s="64"/>
      <c r="J488" s="64"/>
      <c r="K488" s="64"/>
      <c r="L488" s="64"/>
      <c r="M488" s="64"/>
      <c r="N488" s="64"/>
      <c r="O488" s="64"/>
    </row>
    <row r="489">
      <c r="B489" s="28"/>
      <c r="C489" s="28"/>
      <c r="H489" s="64"/>
      <c r="I489" s="64"/>
      <c r="J489" s="64"/>
      <c r="K489" s="64"/>
      <c r="L489" s="64"/>
      <c r="M489" s="64"/>
      <c r="N489" s="64"/>
      <c r="O489" s="64"/>
    </row>
    <row r="490">
      <c r="B490" s="28"/>
      <c r="C490" s="28"/>
      <c r="H490" s="64"/>
      <c r="I490" s="64"/>
      <c r="J490" s="64"/>
      <c r="K490" s="64"/>
      <c r="L490" s="64"/>
      <c r="M490" s="64"/>
      <c r="N490" s="64"/>
      <c r="O490" s="64"/>
    </row>
    <row r="491">
      <c r="B491" s="28"/>
      <c r="C491" s="28"/>
      <c r="H491" s="64"/>
      <c r="I491" s="64"/>
      <c r="J491" s="64"/>
      <c r="K491" s="64"/>
      <c r="L491" s="64"/>
      <c r="M491" s="64"/>
      <c r="N491" s="64"/>
      <c r="O491" s="64"/>
    </row>
    <row r="492">
      <c r="B492" s="28"/>
      <c r="C492" s="28"/>
      <c r="H492" s="64"/>
      <c r="I492" s="64"/>
      <c r="J492" s="64"/>
      <c r="K492" s="64"/>
      <c r="L492" s="64"/>
      <c r="M492" s="64"/>
      <c r="N492" s="64"/>
      <c r="O492" s="64"/>
    </row>
    <row r="493">
      <c r="B493" s="28"/>
      <c r="C493" s="28"/>
      <c r="H493" s="64"/>
      <c r="I493" s="64"/>
      <c r="J493" s="64"/>
      <c r="K493" s="64"/>
      <c r="L493" s="64"/>
      <c r="M493" s="64"/>
      <c r="N493" s="64"/>
      <c r="O493" s="64"/>
    </row>
    <row r="494">
      <c r="B494" s="28"/>
      <c r="C494" s="28"/>
      <c r="H494" s="64"/>
      <c r="I494" s="64"/>
      <c r="J494" s="64"/>
      <c r="K494" s="64"/>
      <c r="L494" s="64"/>
      <c r="M494" s="64"/>
      <c r="N494" s="64"/>
      <c r="O494" s="64"/>
    </row>
    <row r="495">
      <c r="B495" s="28"/>
      <c r="C495" s="28"/>
      <c r="H495" s="64"/>
      <c r="I495" s="64"/>
      <c r="J495" s="64"/>
      <c r="K495" s="64"/>
      <c r="L495" s="64"/>
      <c r="M495" s="64"/>
      <c r="N495" s="64"/>
      <c r="O495" s="64"/>
    </row>
    <row r="496">
      <c r="B496" s="28"/>
      <c r="C496" s="28"/>
      <c r="H496" s="64"/>
      <c r="I496" s="64"/>
      <c r="J496" s="64"/>
      <c r="K496" s="64"/>
      <c r="L496" s="64"/>
      <c r="M496" s="64"/>
      <c r="N496" s="64"/>
      <c r="O496" s="64"/>
    </row>
    <row r="497">
      <c r="B497" s="28"/>
      <c r="C497" s="28"/>
      <c r="H497" s="64"/>
      <c r="I497" s="64"/>
      <c r="J497" s="64"/>
      <c r="K497" s="64"/>
      <c r="L497" s="64"/>
      <c r="M497" s="64"/>
      <c r="N497" s="64"/>
      <c r="O497" s="64"/>
    </row>
    <row r="498">
      <c r="B498" s="28"/>
      <c r="C498" s="28"/>
      <c r="H498" s="64"/>
      <c r="I498" s="64"/>
      <c r="J498" s="64"/>
      <c r="K498" s="64"/>
      <c r="L498" s="64"/>
      <c r="M498" s="64"/>
      <c r="N498" s="64"/>
      <c r="O498" s="64"/>
    </row>
    <row r="499">
      <c r="B499" s="28"/>
      <c r="C499" s="28"/>
      <c r="H499" s="64"/>
      <c r="I499" s="64"/>
      <c r="J499" s="64"/>
      <c r="K499" s="64"/>
      <c r="L499" s="64"/>
      <c r="M499" s="64"/>
      <c r="N499" s="64"/>
      <c r="O499" s="64"/>
    </row>
    <row r="500">
      <c r="B500" s="28"/>
      <c r="C500" s="28"/>
      <c r="H500" s="64"/>
      <c r="I500" s="64"/>
      <c r="J500" s="64"/>
      <c r="K500" s="64"/>
      <c r="L500" s="64"/>
      <c r="M500" s="64"/>
      <c r="N500" s="64"/>
      <c r="O500" s="64"/>
    </row>
    <row r="501">
      <c r="B501" s="28"/>
      <c r="C501" s="28"/>
      <c r="H501" s="64"/>
      <c r="I501" s="64"/>
      <c r="J501" s="64"/>
      <c r="K501" s="64"/>
      <c r="L501" s="64"/>
      <c r="M501" s="64"/>
      <c r="N501" s="64"/>
      <c r="O501" s="64"/>
    </row>
    <row r="502">
      <c r="B502" s="28"/>
      <c r="C502" s="28"/>
      <c r="H502" s="64"/>
      <c r="I502" s="64"/>
      <c r="J502" s="64"/>
      <c r="K502" s="64"/>
      <c r="L502" s="64"/>
      <c r="M502" s="64"/>
      <c r="N502" s="64"/>
      <c r="O502" s="64"/>
    </row>
    <row r="503">
      <c r="B503" s="28"/>
      <c r="C503" s="28"/>
      <c r="H503" s="64"/>
      <c r="I503" s="64"/>
      <c r="J503" s="64"/>
      <c r="K503" s="64"/>
      <c r="L503" s="64"/>
      <c r="M503" s="64"/>
      <c r="N503" s="64"/>
      <c r="O503" s="64"/>
    </row>
    <row r="504">
      <c r="B504" s="28"/>
      <c r="C504" s="28"/>
      <c r="H504" s="64"/>
      <c r="I504" s="64"/>
      <c r="J504" s="64"/>
      <c r="K504" s="64"/>
      <c r="L504" s="64"/>
      <c r="M504" s="64"/>
      <c r="N504" s="64"/>
      <c r="O504" s="64"/>
    </row>
    <row r="505">
      <c r="B505" s="28"/>
      <c r="C505" s="28"/>
      <c r="H505" s="64"/>
      <c r="I505" s="64"/>
      <c r="J505" s="64"/>
      <c r="K505" s="64"/>
      <c r="L505" s="64"/>
      <c r="M505" s="64"/>
      <c r="N505" s="64"/>
      <c r="O505" s="64"/>
    </row>
    <row r="506">
      <c r="B506" s="28"/>
      <c r="C506" s="28"/>
      <c r="H506" s="64"/>
      <c r="I506" s="64"/>
      <c r="J506" s="64"/>
      <c r="K506" s="64"/>
      <c r="L506" s="64"/>
      <c r="M506" s="64"/>
      <c r="N506" s="64"/>
      <c r="O506" s="64"/>
    </row>
    <row r="507">
      <c r="B507" s="28"/>
      <c r="C507" s="28"/>
      <c r="H507" s="64"/>
      <c r="I507" s="64"/>
      <c r="J507" s="64"/>
      <c r="K507" s="64"/>
      <c r="L507" s="64"/>
      <c r="M507" s="64"/>
      <c r="N507" s="64"/>
      <c r="O507" s="64"/>
    </row>
    <row r="508">
      <c r="B508" s="28"/>
      <c r="C508" s="28"/>
      <c r="H508" s="64"/>
      <c r="I508" s="64"/>
      <c r="J508" s="64"/>
      <c r="K508" s="64"/>
      <c r="L508" s="64"/>
      <c r="M508" s="64"/>
      <c r="N508" s="64"/>
      <c r="O508" s="64"/>
    </row>
    <row r="509">
      <c r="B509" s="28"/>
      <c r="C509" s="28"/>
      <c r="H509" s="64"/>
      <c r="I509" s="64"/>
      <c r="J509" s="64"/>
      <c r="K509" s="64"/>
      <c r="L509" s="64"/>
      <c r="M509" s="64"/>
      <c r="N509" s="64"/>
      <c r="O509" s="64"/>
    </row>
    <row r="510">
      <c r="B510" s="28"/>
      <c r="C510" s="28"/>
      <c r="H510" s="64"/>
      <c r="I510" s="64"/>
      <c r="J510" s="64"/>
      <c r="K510" s="64"/>
      <c r="L510" s="64"/>
      <c r="M510" s="64"/>
      <c r="N510" s="64"/>
      <c r="O510" s="64"/>
    </row>
    <row r="511">
      <c r="B511" s="28"/>
      <c r="C511" s="28"/>
      <c r="H511" s="64"/>
      <c r="I511" s="64"/>
      <c r="J511" s="64"/>
      <c r="K511" s="64"/>
      <c r="L511" s="64"/>
      <c r="M511" s="64"/>
      <c r="N511" s="64"/>
      <c r="O511" s="64"/>
    </row>
    <row r="512">
      <c r="B512" s="28"/>
      <c r="C512" s="28"/>
      <c r="H512" s="64"/>
      <c r="I512" s="64"/>
      <c r="J512" s="64"/>
      <c r="K512" s="64"/>
      <c r="L512" s="64"/>
      <c r="M512" s="64"/>
      <c r="N512" s="64"/>
      <c r="O512" s="64"/>
    </row>
    <row r="513">
      <c r="B513" s="28"/>
      <c r="C513" s="28"/>
      <c r="H513" s="64"/>
      <c r="I513" s="64"/>
      <c r="J513" s="64"/>
      <c r="K513" s="64"/>
      <c r="L513" s="64"/>
      <c r="M513" s="64"/>
      <c r="N513" s="64"/>
      <c r="O513" s="64"/>
    </row>
    <row r="514">
      <c r="B514" s="28"/>
      <c r="C514" s="28"/>
      <c r="H514" s="64"/>
      <c r="I514" s="64"/>
      <c r="J514" s="64"/>
      <c r="K514" s="64"/>
      <c r="L514" s="64"/>
      <c r="M514" s="64"/>
      <c r="N514" s="64"/>
      <c r="O514" s="64"/>
    </row>
    <row r="515">
      <c r="B515" s="28"/>
      <c r="C515" s="28"/>
      <c r="H515" s="64"/>
      <c r="I515" s="64"/>
      <c r="J515" s="64"/>
      <c r="K515" s="64"/>
      <c r="L515" s="64"/>
      <c r="M515" s="64"/>
      <c r="N515" s="64"/>
      <c r="O515" s="64"/>
    </row>
    <row r="516">
      <c r="B516" s="28"/>
      <c r="C516" s="28"/>
      <c r="H516" s="64"/>
      <c r="I516" s="64"/>
      <c r="J516" s="64"/>
      <c r="K516" s="64"/>
      <c r="L516" s="64"/>
      <c r="M516" s="64"/>
      <c r="N516" s="64"/>
      <c r="O516" s="64"/>
    </row>
    <row r="517">
      <c r="B517" s="28"/>
      <c r="C517" s="28"/>
      <c r="H517" s="64"/>
      <c r="I517" s="64"/>
      <c r="J517" s="64"/>
      <c r="K517" s="64"/>
      <c r="L517" s="64"/>
      <c r="M517" s="64"/>
      <c r="N517" s="64"/>
      <c r="O517" s="64"/>
    </row>
    <row r="518">
      <c r="B518" s="28"/>
      <c r="C518" s="28"/>
      <c r="H518" s="64"/>
      <c r="I518" s="64"/>
      <c r="J518" s="64"/>
      <c r="K518" s="64"/>
      <c r="L518" s="64"/>
      <c r="M518" s="64"/>
      <c r="N518" s="64"/>
      <c r="O518" s="64"/>
    </row>
    <row r="519">
      <c r="B519" s="28"/>
      <c r="C519" s="28"/>
      <c r="H519" s="64"/>
      <c r="I519" s="64"/>
      <c r="J519" s="64"/>
      <c r="K519" s="64"/>
      <c r="L519" s="64"/>
      <c r="M519" s="64"/>
      <c r="N519" s="64"/>
      <c r="O519" s="64"/>
    </row>
    <row r="520">
      <c r="B520" s="28"/>
      <c r="C520" s="28"/>
      <c r="H520" s="64"/>
      <c r="I520" s="64"/>
      <c r="J520" s="64"/>
      <c r="K520" s="64"/>
      <c r="L520" s="64"/>
      <c r="M520" s="64"/>
      <c r="N520" s="64"/>
      <c r="O520" s="64"/>
    </row>
    <row r="521">
      <c r="B521" s="28"/>
      <c r="C521" s="28"/>
      <c r="H521" s="64"/>
      <c r="I521" s="64"/>
      <c r="J521" s="64"/>
      <c r="K521" s="64"/>
      <c r="L521" s="64"/>
      <c r="M521" s="64"/>
      <c r="N521" s="64"/>
      <c r="O521" s="64"/>
    </row>
    <row r="522">
      <c r="B522" s="28"/>
      <c r="C522" s="28"/>
      <c r="H522" s="64"/>
      <c r="I522" s="64"/>
      <c r="J522" s="64"/>
      <c r="K522" s="64"/>
      <c r="L522" s="64"/>
      <c r="M522" s="64"/>
      <c r="N522" s="64"/>
      <c r="O522" s="64"/>
    </row>
    <row r="523">
      <c r="B523" s="28"/>
      <c r="C523" s="28"/>
      <c r="H523" s="64"/>
      <c r="I523" s="64"/>
      <c r="J523" s="64"/>
      <c r="K523" s="64"/>
      <c r="L523" s="64"/>
      <c r="M523" s="64"/>
      <c r="N523" s="64"/>
      <c r="O523" s="64"/>
    </row>
    <row r="524">
      <c r="B524" s="28"/>
      <c r="C524" s="28"/>
      <c r="H524" s="64"/>
      <c r="I524" s="64"/>
      <c r="J524" s="64"/>
      <c r="K524" s="64"/>
      <c r="L524" s="64"/>
      <c r="M524" s="64"/>
      <c r="N524" s="64"/>
      <c r="O524" s="64"/>
    </row>
    <row r="525">
      <c r="B525" s="28"/>
      <c r="C525" s="28"/>
      <c r="H525" s="64"/>
      <c r="I525" s="64"/>
      <c r="J525" s="64"/>
      <c r="K525" s="64"/>
      <c r="L525" s="64"/>
      <c r="M525" s="64"/>
      <c r="N525" s="64"/>
      <c r="O525" s="64"/>
    </row>
    <row r="526">
      <c r="B526" s="28"/>
      <c r="C526" s="28"/>
      <c r="H526" s="64"/>
      <c r="I526" s="64"/>
      <c r="J526" s="64"/>
      <c r="K526" s="64"/>
      <c r="L526" s="64"/>
      <c r="M526" s="64"/>
      <c r="N526" s="64"/>
      <c r="O526" s="64"/>
    </row>
    <row r="527">
      <c r="B527" s="28"/>
      <c r="C527" s="28"/>
      <c r="H527" s="64"/>
      <c r="I527" s="64"/>
      <c r="J527" s="64"/>
      <c r="K527" s="64"/>
      <c r="L527" s="64"/>
      <c r="M527" s="64"/>
      <c r="N527" s="64"/>
      <c r="O527" s="64"/>
    </row>
    <row r="528">
      <c r="B528" s="28"/>
      <c r="C528" s="28"/>
      <c r="H528" s="64"/>
      <c r="I528" s="64"/>
      <c r="J528" s="64"/>
      <c r="K528" s="64"/>
      <c r="L528" s="64"/>
      <c r="M528" s="64"/>
      <c r="N528" s="64"/>
      <c r="O528" s="64"/>
    </row>
    <row r="529">
      <c r="B529" s="28"/>
      <c r="C529" s="28"/>
      <c r="H529" s="64"/>
      <c r="I529" s="64"/>
      <c r="J529" s="64"/>
      <c r="K529" s="64"/>
      <c r="L529" s="64"/>
      <c r="M529" s="64"/>
      <c r="N529" s="64"/>
      <c r="O529" s="64"/>
    </row>
    <row r="530">
      <c r="B530" s="28"/>
      <c r="C530" s="28"/>
      <c r="H530" s="64"/>
      <c r="I530" s="64"/>
      <c r="J530" s="64"/>
      <c r="K530" s="64"/>
      <c r="L530" s="64"/>
      <c r="M530" s="64"/>
      <c r="N530" s="64"/>
      <c r="O530" s="64"/>
    </row>
    <row r="531">
      <c r="B531" s="28"/>
      <c r="C531" s="28"/>
      <c r="H531" s="64"/>
      <c r="I531" s="64"/>
      <c r="J531" s="64"/>
      <c r="K531" s="64"/>
      <c r="L531" s="64"/>
      <c r="M531" s="64"/>
      <c r="N531" s="64"/>
      <c r="O531" s="64"/>
    </row>
    <row r="532">
      <c r="B532" s="28"/>
      <c r="C532" s="28"/>
      <c r="H532" s="64"/>
      <c r="I532" s="64"/>
      <c r="J532" s="64"/>
      <c r="K532" s="64"/>
      <c r="L532" s="64"/>
      <c r="M532" s="64"/>
      <c r="N532" s="64"/>
      <c r="O532" s="64"/>
    </row>
    <row r="533">
      <c r="B533" s="28"/>
      <c r="C533" s="28"/>
      <c r="H533" s="64"/>
      <c r="I533" s="64"/>
      <c r="J533" s="64"/>
      <c r="K533" s="64"/>
      <c r="L533" s="64"/>
      <c r="M533" s="64"/>
      <c r="N533" s="64"/>
      <c r="O533" s="64"/>
    </row>
    <row r="534">
      <c r="B534" s="28"/>
      <c r="C534" s="28"/>
      <c r="H534" s="64"/>
      <c r="I534" s="64"/>
      <c r="J534" s="64"/>
      <c r="K534" s="64"/>
      <c r="L534" s="64"/>
      <c r="M534" s="64"/>
      <c r="N534" s="64"/>
      <c r="O534" s="64"/>
    </row>
    <row r="535">
      <c r="B535" s="28"/>
      <c r="C535" s="28"/>
      <c r="H535" s="64"/>
      <c r="I535" s="64"/>
      <c r="J535" s="64"/>
      <c r="K535" s="64"/>
      <c r="L535" s="64"/>
      <c r="M535" s="64"/>
      <c r="N535" s="64"/>
      <c r="O535" s="64"/>
    </row>
    <row r="536">
      <c r="B536" s="28"/>
      <c r="C536" s="28"/>
      <c r="H536" s="64"/>
      <c r="I536" s="64"/>
      <c r="J536" s="64"/>
      <c r="K536" s="64"/>
      <c r="L536" s="64"/>
      <c r="M536" s="64"/>
      <c r="N536" s="64"/>
      <c r="O536" s="64"/>
    </row>
    <row r="537">
      <c r="B537" s="28"/>
      <c r="C537" s="28"/>
      <c r="H537" s="64"/>
      <c r="I537" s="64"/>
      <c r="J537" s="64"/>
      <c r="K537" s="64"/>
      <c r="L537" s="64"/>
      <c r="M537" s="64"/>
      <c r="N537" s="64"/>
      <c r="O537" s="64"/>
    </row>
    <row r="538">
      <c r="B538" s="28"/>
      <c r="C538" s="28"/>
      <c r="H538" s="64"/>
      <c r="I538" s="64"/>
      <c r="J538" s="64"/>
      <c r="K538" s="64"/>
      <c r="L538" s="64"/>
      <c r="M538" s="64"/>
      <c r="N538" s="64"/>
      <c r="O538" s="64"/>
    </row>
    <row r="539">
      <c r="B539" s="28"/>
      <c r="C539" s="28"/>
      <c r="H539" s="64"/>
      <c r="I539" s="64"/>
      <c r="J539" s="64"/>
      <c r="K539" s="64"/>
      <c r="L539" s="64"/>
      <c r="M539" s="64"/>
      <c r="N539" s="64"/>
      <c r="O539" s="64"/>
    </row>
    <row r="540">
      <c r="B540" s="28"/>
      <c r="C540" s="28"/>
      <c r="H540" s="64"/>
      <c r="I540" s="64"/>
      <c r="J540" s="64"/>
      <c r="K540" s="64"/>
      <c r="L540" s="64"/>
      <c r="M540" s="64"/>
      <c r="N540" s="64"/>
      <c r="O540" s="64"/>
    </row>
    <row r="541">
      <c r="B541" s="28"/>
      <c r="C541" s="28"/>
      <c r="H541" s="64"/>
      <c r="I541" s="64"/>
      <c r="J541" s="64"/>
      <c r="K541" s="64"/>
      <c r="L541" s="64"/>
      <c r="M541" s="64"/>
      <c r="N541" s="64"/>
      <c r="O541" s="64"/>
    </row>
    <row r="542">
      <c r="B542" s="28"/>
      <c r="C542" s="28"/>
      <c r="H542" s="64"/>
      <c r="I542" s="64"/>
      <c r="J542" s="64"/>
      <c r="K542" s="64"/>
      <c r="L542" s="64"/>
      <c r="M542" s="64"/>
      <c r="N542" s="64"/>
      <c r="O542" s="64"/>
    </row>
    <row r="543">
      <c r="B543" s="28"/>
      <c r="C543" s="28"/>
      <c r="H543" s="64"/>
      <c r="I543" s="64"/>
      <c r="J543" s="64"/>
      <c r="K543" s="64"/>
      <c r="L543" s="64"/>
      <c r="M543" s="64"/>
      <c r="N543" s="64"/>
      <c r="O543" s="64"/>
    </row>
    <row r="544">
      <c r="B544" s="28"/>
      <c r="C544" s="28"/>
      <c r="H544" s="64"/>
      <c r="I544" s="64"/>
      <c r="J544" s="64"/>
      <c r="K544" s="64"/>
      <c r="L544" s="64"/>
      <c r="M544" s="64"/>
      <c r="N544" s="64"/>
      <c r="O544" s="64"/>
    </row>
    <row r="545">
      <c r="B545" s="28"/>
      <c r="C545" s="28"/>
      <c r="H545" s="64"/>
      <c r="I545" s="64"/>
      <c r="J545" s="64"/>
      <c r="K545" s="64"/>
      <c r="L545" s="64"/>
      <c r="M545" s="64"/>
      <c r="N545" s="64"/>
      <c r="O545" s="64"/>
    </row>
    <row r="546">
      <c r="B546" s="28"/>
      <c r="C546" s="28"/>
      <c r="H546" s="64"/>
      <c r="I546" s="64"/>
      <c r="J546" s="64"/>
      <c r="K546" s="64"/>
      <c r="L546" s="64"/>
      <c r="M546" s="64"/>
      <c r="N546" s="64"/>
      <c r="O546" s="64"/>
    </row>
    <row r="547">
      <c r="B547" s="28"/>
      <c r="C547" s="28"/>
      <c r="H547" s="64"/>
      <c r="I547" s="64"/>
      <c r="J547" s="64"/>
      <c r="K547" s="64"/>
      <c r="L547" s="64"/>
      <c r="M547" s="64"/>
      <c r="N547" s="64"/>
      <c r="O547" s="64"/>
    </row>
    <row r="548">
      <c r="B548" s="28"/>
      <c r="C548" s="28"/>
      <c r="H548" s="64"/>
      <c r="I548" s="64"/>
      <c r="J548" s="64"/>
      <c r="K548" s="64"/>
      <c r="L548" s="64"/>
      <c r="M548" s="64"/>
      <c r="N548" s="64"/>
      <c r="O548" s="64"/>
    </row>
    <row r="549">
      <c r="B549" s="28"/>
      <c r="C549" s="28"/>
      <c r="H549" s="64"/>
      <c r="I549" s="64"/>
      <c r="J549" s="64"/>
      <c r="K549" s="64"/>
      <c r="L549" s="64"/>
      <c r="M549" s="64"/>
      <c r="N549" s="64"/>
      <c r="O549" s="64"/>
    </row>
    <row r="550">
      <c r="B550" s="28"/>
      <c r="C550" s="28"/>
      <c r="H550" s="64"/>
      <c r="I550" s="64"/>
      <c r="J550" s="64"/>
      <c r="K550" s="64"/>
      <c r="L550" s="64"/>
      <c r="M550" s="64"/>
      <c r="N550" s="64"/>
      <c r="O550" s="64"/>
    </row>
    <row r="551">
      <c r="B551" s="28"/>
      <c r="C551" s="28"/>
      <c r="H551" s="64"/>
      <c r="I551" s="64"/>
      <c r="J551" s="64"/>
      <c r="K551" s="64"/>
      <c r="L551" s="64"/>
      <c r="M551" s="64"/>
      <c r="N551" s="64"/>
      <c r="O551" s="64"/>
    </row>
    <row r="552">
      <c r="B552" s="28"/>
      <c r="C552" s="28"/>
      <c r="H552" s="64"/>
      <c r="I552" s="64"/>
      <c r="J552" s="64"/>
      <c r="K552" s="64"/>
      <c r="L552" s="64"/>
      <c r="M552" s="64"/>
      <c r="N552" s="64"/>
      <c r="O552" s="64"/>
    </row>
    <row r="553">
      <c r="B553" s="28"/>
      <c r="C553" s="28"/>
      <c r="H553" s="64"/>
      <c r="I553" s="64"/>
      <c r="J553" s="64"/>
      <c r="K553" s="64"/>
      <c r="L553" s="64"/>
      <c r="M553" s="64"/>
      <c r="N553" s="64"/>
      <c r="O553" s="64"/>
    </row>
    <row r="554">
      <c r="B554" s="28"/>
      <c r="C554" s="28"/>
      <c r="H554" s="64"/>
      <c r="I554" s="64"/>
      <c r="J554" s="64"/>
      <c r="K554" s="64"/>
      <c r="L554" s="64"/>
      <c r="M554" s="64"/>
      <c r="N554" s="64"/>
      <c r="O554" s="64"/>
    </row>
    <row r="555">
      <c r="B555" s="28"/>
      <c r="C555" s="28"/>
      <c r="H555" s="64"/>
      <c r="I555" s="64"/>
      <c r="J555" s="64"/>
      <c r="K555" s="64"/>
      <c r="L555" s="64"/>
      <c r="M555" s="64"/>
      <c r="N555" s="64"/>
      <c r="O555" s="64"/>
    </row>
    <row r="556">
      <c r="B556" s="28"/>
      <c r="C556" s="28"/>
      <c r="H556" s="64"/>
      <c r="I556" s="64"/>
      <c r="J556" s="64"/>
      <c r="K556" s="64"/>
      <c r="L556" s="64"/>
      <c r="M556" s="64"/>
      <c r="N556" s="64"/>
      <c r="O556" s="64"/>
    </row>
    <row r="557">
      <c r="B557" s="28"/>
      <c r="C557" s="28"/>
      <c r="H557" s="64"/>
      <c r="I557" s="64"/>
      <c r="J557" s="64"/>
      <c r="K557" s="64"/>
      <c r="L557" s="64"/>
      <c r="M557" s="64"/>
      <c r="N557" s="64"/>
      <c r="O557" s="64"/>
    </row>
    <row r="558">
      <c r="B558" s="28"/>
      <c r="C558" s="28"/>
      <c r="H558" s="64"/>
      <c r="I558" s="64"/>
      <c r="J558" s="64"/>
      <c r="K558" s="64"/>
      <c r="L558" s="64"/>
      <c r="M558" s="64"/>
      <c r="N558" s="64"/>
      <c r="O558" s="64"/>
    </row>
    <row r="559">
      <c r="B559" s="28"/>
      <c r="C559" s="28"/>
      <c r="H559" s="64"/>
      <c r="I559" s="64"/>
      <c r="J559" s="64"/>
      <c r="K559" s="64"/>
      <c r="L559" s="64"/>
      <c r="M559" s="64"/>
      <c r="N559" s="64"/>
      <c r="O559" s="64"/>
    </row>
    <row r="560">
      <c r="B560" s="28"/>
      <c r="C560" s="28"/>
      <c r="H560" s="64"/>
      <c r="I560" s="64"/>
      <c r="J560" s="64"/>
      <c r="K560" s="64"/>
      <c r="L560" s="64"/>
      <c r="M560" s="64"/>
      <c r="N560" s="64"/>
      <c r="O560" s="64"/>
    </row>
    <row r="561">
      <c r="B561" s="28"/>
      <c r="C561" s="28"/>
      <c r="H561" s="64"/>
      <c r="I561" s="64"/>
      <c r="J561" s="64"/>
      <c r="K561" s="64"/>
      <c r="L561" s="64"/>
      <c r="M561" s="64"/>
      <c r="N561" s="64"/>
      <c r="O561" s="64"/>
    </row>
    <row r="562">
      <c r="B562" s="28"/>
      <c r="C562" s="28"/>
      <c r="H562" s="64"/>
      <c r="I562" s="64"/>
      <c r="J562" s="64"/>
      <c r="K562" s="64"/>
      <c r="L562" s="64"/>
      <c r="M562" s="64"/>
      <c r="N562" s="64"/>
      <c r="O562" s="64"/>
    </row>
    <row r="563">
      <c r="B563" s="28"/>
      <c r="C563" s="28"/>
      <c r="H563" s="64"/>
      <c r="I563" s="64"/>
      <c r="J563" s="64"/>
      <c r="K563" s="64"/>
      <c r="L563" s="64"/>
      <c r="M563" s="64"/>
      <c r="N563" s="64"/>
      <c r="O563" s="64"/>
    </row>
    <row r="564">
      <c r="B564" s="28"/>
      <c r="C564" s="28"/>
      <c r="H564" s="64"/>
      <c r="I564" s="64"/>
      <c r="J564" s="64"/>
      <c r="K564" s="64"/>
      <c r="L564" s="64"/>
      <c r="M564" s="64"/>
      <c r="N564" s="64"/>
      <c r="O564" s="64"/>
    </row>
    <row r="565">
      <c r="B565" s="28"/>
      <c r="C565" s="28"/>
      <c r="H565" s="64"/>
      <c r="I565" s="64"/>
      <c r="J565" s="64"/>
      <c r="K565" s="64"/>
      <c r="L565" s="64"/>
      <c r="M565" s="64"/>
      <c r="N565" s="64"/>
      <c r="O565" s="64"/>
    </row>
    <row r="566">
      <c r="B566" s="28"/>
      <c r="C566" s="28"/>
      <c r="H566" s="64"/>
      <c r="I566" s="64"/>
      <c r="J566" s="64"/>
      <c r="K566" s="64"/>
      <c r="L566" s="64"/>
      <c r="M566" s="64"/>
      <c r="N566" s="64"/>
      <c r="O566" s="64"/>
    </row>
    <row r="567">
      <c r="B567" s="28"/>
      <c r="C567" s="28"/>
      <c r="H567" s="64"/>
      <c r="I567" s="64"/>
      <c r="J567" s="64"/>
      <c r="K567" s="64"/>
      <c r="L567" s="64"/>
      <c r="M567" s="64"/>
      <c r="N567" s="64"/>
      <c r="O567" s="64"/>
    </row>
    <row r="568">
      <c r="B568" s="28"/>
      <c r="C568" s="28"/>
      <c r="H568" s="64"/>
      <c r="I568" s="64"/>
      <c r="J568" s="64"/>
      <c r="K568" s="64"/>
      <c r="L568" s="64"/>
      <c r="M568" s="64"/>
      <c r="N568" s="64"/>
      <c r="O568" s="64"/>
    </row>
    <row r="569">
      <c r="B569" s="28"/>
      <c r="C569" s="28"/>
      <c r="H569" s="64"/>
      <c r="I569" s="64"/>
      <c r="J569" s="64"/>
      <c r="K569" s="64"/>
      <c r="L569" s="64"/>
      <c r="M569" s="64"/>
      <c r="N569" s="64"/>
      <c r="O569" s="64"/>
    </row>
    <row r="570">
      <c r="B570" s="28"/>
      <c r="C570" s="28"/>
      <c r="H570" s="64"/>
      <c r="I570" s="64"/>
      <c r="J570" s="64"/>
      <c r="K570" s="64"/>
      <c r="L570" s="64"/>
      <c r="M570" s="64"/>
      <c r="N570" s="64"/>
      <c r="O570" s="64"/>
    </row>
    <row r="571">
      <c r="B571" s="28"/>
      <c r="C571" s="28"/>
      <c r="H571" s="64"/>
      <c r="I571" s="64"/>
      <c r="J571" s="64"/>
      <c r="K571" s="64"/>
      <c r="L571" s="64"/>
      <c r="M571" s="64"/>
      <c r="N571" s="64"/>
      <c r="O571" s="64"/>
    </row>
    <row r="572">
      <c r="B572" s="28"/>
      <c r="C572" s="28"/>
      <c r="H572" s="64"/>
      <c r="I572" s="64"/>
      <c r="J572" s="64"/>
      <c r="K572" s="64"/>
      <c r="L572" s="64"/>
      <c r="M572" s="64"/>
      <c r="N572" s="64"/>
      <c r="O572" s="64"/>
    </row>
    <row r="573">
      <c r="B573" s="28"/>
      <c r="C573" s="28"/>
      <c r="H573" s="64"/>
      <c r="I573" s="64"/>
      <c r="J573" s="64"/>
      <c r="K573" s="64"/>
      <c r="L573" s="64"/>
      <c r="M573" s="64"/>
      <c r="N573" s="64"/>
      <c r="O573" s="64"/>
    </row>
    <row r="574">
      <c r="B574" s="28"/>
      <c r="C574" s="28"/>
      <c r="H574" s="64"/>
      <c r="I574" s="64"/>
      <c r="J574" s="64"/>
      <c r="K574" s="64"/>
      <c r="L574" s="64"/>
      <c r="M574" s="64"/>
      <c r="N574" s="64"/>
      <c r="O574" s="64"/>
    </row>
    <row r="575">
      <c r="B575" s="28"/>
      <c r="C575" s="28"/>
      <c r="H575" s="64"/>
      <c r="I575" s="64"/>
      <c r="J575" s="64"/>
      <c r="K575" s="64"/>
      <c r="L575" s="64"/>
      <c r="M575" s="64"/>
      <c r="N575" s="64"/>
      <c r="O575" s="64"/>
    </row>
    <row r="576">
      <c r="B576" s="28"/>
      <c r="C576" s="28"/>
      <c r="H576" s="64"/>
      <c r="I576" s="64"/>
      <c r="J576" s="64"/>
      <c r="K576" s="64"/>
      <c r="L576" s="64"/>
      <c r="M576" s="64"/>
      <c r="N576" s="64"/>
      <c r="O576" s="64"/>
    </row>
    <row r="577">
      <c r="B577" s="28"/>
      <c r="C577" s="28"/>
      <c r="H577" s="64"/>
      <c r="I577" s="64"/>
      <c r="J577" s="64"/>
      <c r="K577" s="64"/>
      <c r="L577" s="64"/>
      <c r="M577" s="64"/>
      <c r="N577" s="64"/>
      <c r="O577" s="64"/>
    </row>
    <row r="578">
      <c r="B578" s="28"/>
      <c r="C578" s="28"/>
      <c r="H578" s="64"/>
      <c r="I578" s="64"/>
      <c r="J578" s="64"/>
      <c r="K578" s="64"/>
      <c r="L578" s="64"/>
      <c r="M578" s="64"/>
      <c r="N578" s="64"/>
      <c r="O578" s="64"/>
    </row>
    <row r="579">
      <c r="B579" s="28"/>
      <c r="C579" s="28"/>
      <c r="H579" s="64"/>
      <c r="I579" s="64"/>
      <c r="J579" s="64"/>
      <c r="K579" s="64"/>
      <c r="L579" s="64"/>
      <c r="M579" s="64"/>
      <c r="N579" s="64"/>
      <c r="O579" s="64"/>
    </row>
    <row r="580">
      <c r="B580" s="28"/>
      <c r="C580" s="28"/>
      <c r="H580" s="64"/>
      <c r="I580" s="64"/>
      <c r="J580" s="64"/>
      <c r="K580" s="64"/>
      <c r="L580" s="64"/>
      <c r="M580" s="64"/>
      <c r="N580" s="64"/>
      <c r="O580" s="64"/>
    </row>
    <row r="581">
      <c r="B581" s="28"/>
      <c r="C581" s="28"/>
      <c r="H581" s="64"/>
      <c r="I581" s="64"/>
      <c r="J581" s="64"/>
      <c r="K581" s="64"/>
      <c r="L581" s="64"/>
      <c r="M581" s="64"/>
      <c r="N581" s="64"/>
      <c r="O581" s="64"/>
    </row>
    <row r="582">
      <c r="B582" s="28"/>
      <c r="C582" s="28"/>
      <c r="H582" s="64"/>
      <c r="I582" s="64"/>
      <c r="J582" s="64"/>
      <c r="K582" s="64"/>
      <c r="L582" s="64"/>
      <c r="M582" s="64"/>
      <c r="N582" s="64"/>
      <c r="O582" s="64"/>
    </row>
    <row r="583">
      <c r="B583" s="28"/>
      <c r="C583" s="28"/>
      <c r="H583" s="64"/>
      <c r="I583" s="64"/>
      <c r="J583" s="64"/>
      <c r="K583" s="64"/>
      <c r="L583" s="64"/>
      <c r="M583" s="64"/>
      <c r="N583" s="64"/>
      <c r="O583" s="64"/>
    </row>
    <row r="584">
      <c r="B584" s="28"/>
      <c r="C584" s="28"/>
      <c r="H584" s="64"/>
      <c r="I584" s="64"/>
      <c r="J584" s="64"/>
      <c r="K584" s="64"/>
      <c r="L584" s="64"/>
      <c r="M584" s="64"/>
      <c r="N584" s="64"/>
      <c r="O584" s="64"/>
    </row>
    <row r="585">
      <c r="B585" s="28"/>
      <c r="C585" s="28"/>
      <c r="H585" s="64"/>
      <c r="I585" s="64"/>
      <c r="J585" s="64"/>
      <c r="K585" s="64"/>
      <c r="L585" s="64"/>
      <c r="M585" s="64"/>
      <c r="N585" s="64"/>
      <c r="O585" s="64"/>
    </row>
    <row r="586">
      <c r="B586" s="28"/>
      <c r="C586" s="28"/>
      <c r="H586" s="64"/>
      <c r="I586" s="64"/>
      <c r="J586" s="64"/>
      <c r="K586" s="64"/>
      <c r="L586" s="64"/>
      <c r="M586" s="64"/>
      <c r="N586" s="64"/>
      <c r="O586" s="64"/>
    </row>
    <row r="587">
      <c r="B587" s="28"/>
      <c r="C587" s="28"/>
      <c r="H587" s="64"/>
      <c r="I587" s="64"/>
      <c r="J587" s="64"/>
      <c r="K587" s="64"/>
      <c r="L587" s="64"/>
      <c r="M587" s="64"/>
      <c r="N587" s="64"/>
      <c r="O587" s="64"/>
    </row>
    <row r="588">
      <c r="B588" s="28"/>
      <c r="C588" s="28"/>
      <c r="H588" s="64"/>
      <c r="I588" s="64"/>
      <c r="J588" s="64"/>
      <c r="K588" s="64"/>
      <c r="L588" s="64"/>
      <c r="M588" s="64"/>
      <c r="N588" s="64"/>
      <c r="O588" s="64"/>
    </row>
    <row r="589">
      <c r="B589" s="28"/>
      <c r="C589" s="28"/>
      <c r="H589" s="64"/>
      <c r="I589" s="64"/>
      <c r="J589" s="64"/>
      <c r="K589" s="64"/>
      <c r="L589" s="64"/>
      <c r="M589" s="64"/>
      <c r="N589" s="64"/>
      <c r="O589" s="64"/>
    </row>
    <row r="590">
      <c r="B590" s="28"/>
      <c r="C590" s="28"/>
      <c r="H590" s="64"/>
      <c r="I590" s="64"/>
      <c r="J590" s="64"/>
      <c r="K590" s="64"/>
      <c r="L590" s="64"/>
      <c r="M590" s="64"/>
      <c r="N590" s="64"/>
      <c r="O590" s="64"/>
    </row>
    <row r="591">
      <c r="B591" s="28"/>
      <c r="C591" s="28"/>
      <c r="H591" s="64"/>
      <c r="I591" s="64"/>
      <c r="J591" s="64"/>
      <c r="K591" s="64"/>
      <c r="L591" s="64"/>
      <c r="M591" s="64"/>
      <c r="N591" s="64"/>
      <c r="O591" s="64"/>
    </row>
    <row r="592">
      <c r="B592" s="28"/>
      <c r="C592" s="28"/>
      <c r="H592" s="64"/>
      <c r="I592" s="64"/>
      <c r="J592" s="64"/>
      <c r="K592" s="64"/>
      <c r="L592" s="64"/>
      <c r="M592" s="64"/>
      <c r="N592" s="64"/>
      <c r="O592" s="64"/>
    </row>
    <row r="593">
      <c r="B593" s="28"/>
      <c r="C593" s="28"/>
      <c r="H593" s="64"/>
      <c r="I593" s="64"/>
      <c r="J593" s="64"/>
      <c r="K593" s="64"/>
      <c r="L593" s="64"/>
      <c r="M593" s="64"/>
      <c r="N593" s="64"/>
      <c r="O593" s="64"/>
    </row>
    <row r="594">
      <c r="B594" s="28"/>
      <c r="C594" s="28"/>
      <c r="H594" s="64"/>
      <c r="I594" s="64"/>
      <c r="J594" s="64"/>
      <c r="K594" s="64"/>
      <c r="L594" s="64"/>
      <c r="M594" s="64"/>
      <c r="N594" s="64"/>
      <c r="O594" s="64"/>
    </row>
    <row r="595">
      <c r="B595" s="28"/>
      <c r="C595" s="28"/>
      <c r="H595" s="64"/>
      <c r="I595" s="64"/>
      <c r="J595" s="64"/>
      <c r="K595" s="64"/>
      <c r="L595" s="64"/>
      <c r="M595" s="64"/>
      <c r="N595" s="64"/>
      <c r="O595" s="64"/>
    </row>
    <row r="596">
      <c r="B596" s="28"/>
      <c r="C596" s="28"/>
      <c r="H596" s="64"/>
      <c r="I596" s="64"/>
      <c r="J596" s="64"/>
      <c r="K596" s="64"/>
      <c r="L596" s="64"/>
      <c r="M596" s="64"/>
      <c r="N596" s="64"/>
      <c r="O596" s="64"/>
    </row>
    <row r="597">
      <c r="B597" s="28"/>
      <c r="C597" s="28"/>
      <c r="H597" s="64"/>
      <c r="I597" s="64"/>
      <c r="J597" s="64"/>
      <c r="K597" s="64"/>
      <c r="L597" s="64"/>
      <c r="M597" s="64"/>
      <c r="N597" s="64"/>
      <c r="O597" s="64"/>
    </row>
    <row r="598">
      <c r="B598" s="28"/>
      <c r="C598" s="28"/>
      <c r="H598" s="64"/>
      <c r="I598" s="64"/>
      <c r="J598" s="64"/>
      <c r="K598" s="64"/>
      <c r="L598" s="64"/>
      <c r="M598" s="64"/>
      <c r="N598" s="64"/>
      <c r="O598" s="64"/>
    </row>
    <row r="599">
      <c r="B599" s="28"/>
      <c r="C599" s="28"/>
      <c r="H599" s="64"/>
      <c r="I599" s="64"/>
      <c r="J599" s="64"/>
      <c r="K599" s="64"/>
      <c r="L599" s="64"/>
      <c r="M599" s="64"/>
      <c r="N599" s="64"/>
      <c r="O599" s="64"/>
    </row>
    <row r="600">
      <c r="B600" s="28"/>
      <c r="C600" s="28"/>
      <c r="H600" s="64"/>
      <c r="I600" s="64"/>
      <c r="J600" s="64"/>
      <c r="K600" s="64"/>
      <c r="L600" s="64"/>
      <c r="M600" s="64"/>
      <c r="N600" s="64"/>
      <c r="O600" s="64"/>
    </row>
    <row r="601">
      <c r="B601" s="28"/>
      <c r="C601" s="28"/>
      <c r="H601" s="64"/>
      <c r="I601" s="64"/>
      <c r="J601" s="64"/>
      <c r="K601" s="64"/>
      <c r="L601" s="64"/>
      <c r="M601" s="64"/>
      <c r="N601" s="64"/>
      <c r="O601" s="64"/>
    </row>
    <row r="602">
      <c r="B602" s="28"/>
      <c r="C602" s="28"/>
      <c r="H602" s="64"/>
      <c r="I602" s="64"/>
      <c r="J602" s="64"/>
      <c r="K602" s="64"/>
      <c r="L602" s="64"/>
      <c r="M602" s="64"/>
      <c r="N602" s="64"/>
      <c r="O602" s="64"/>
    </row>
    <row r="603">
      <c r="B603" s="28"/>
      <c r="C603" s="28"/>
      <c r="H603" s="64"/>
      <c r="I603" s="64"/>
      <c r="J603" s="64"/>
      <c r="K603" s="64"/>
      <c r="L603" s="64"/>
      <c r="M603" s="64"/>
      <c r="N603" s="64"/>
      <c r="O603" s="64"/>
    </row>
    <row r="604">
      <c r="B604" s="28"/>
      <c r="C604" s="28"/>
      <c r="H604" s="64"/>
      <c r="I604" s="64"/>
      <c r="J604" s="64"/>
      <c r="K604" s="64"/>
      <c r="L604" s="64"/>
      <c r="M604" s="64"/>
      <c r="N604" s="64"/>
      <c r="O604" s="64"/>
    </row>
    <row r="605">
      <c r="B605" s="28"/>
      <c r="C605" s="28"/>
      <c r="H605" s="64"/>
      <c r="I605" s="64"/>
      <c r="J605" s="64"/>
      <c r="K605" s="64"/>
      <c r="L605" s="64"/>
      <c r="M605" s="64"/>
      <c r="N605" s="64"/>
      <c r="O605" s="64"/>
    </row>
    <row r="606">
      <c r="B606" s="28"/>
      <c r="C606" s="28"/>
      <c r="H606" s="64"/>
      <c r="I606" s="64"/>
      <c r="J606" s="64"/>
      <c r="K606" s="64"/>
      <c r="L606" s="64"/>
      <c r="M606" s="64"/>
      <c r="N606" s="64"/>
      <c r="O606" s="64"/>
    </row>
    <row r="607">
      <c r="B607" s="28"/>
      <c r="C607" s="28"/>
      <c r="H607" s="64"/>
      <c r="I607" s="64"/>
      <c r="J607" s="64"/>
      <c r="K607" s="64"/>
      <c r="L607" s="64"/>
      <c r="M607" s="64"/>
      <c r="N607" s="64"/>
      <c r="O607" s="64"/>
    </row>
    <row r="608">
      <c r="B608" s="28"/>
      <c r="C608" s="28"/>
      <c r="H608" s="64"/>
      <c r="I608" s="64"/>
      <c r="J608" s="64"/>
      <c r="K608" s="64"/>
      <c r="L608" s="64"/>
      <c r="M608" s="64"/>
      <c r="N608" s="64"/>
      <c r="O608" s="64"/>
    </row>
    <row r="609">
      <c r="B609" s="28"/>
      <c r="C609" s="28"/>
      <c r="H609" s="64"/>
      <c r="I609" s="64"/>
      <c r="J609" s="64"/>
      <c r="K609" s="64"/>
      <c r="L609" s="64"/>
      <c r="M609" s="64"/>
      <c r="N609" s="64"/>
      <c r="O609" s="64"/>
    </row>
    <row r="610">
      <c r="B610" s="28"/>
      <c r="C610" s="28"/>
      <c r="H610" s="64"/>
      <c r="I610" s="64"/>
      <c r="J610" s="64"/>
      <c r="K610" s="64"/>
      <c r="L610" s="64"/>
      <c r="M610" s="64"/>
      <c r="N610" s="64"/>
      <c r="O610" s="64"/>
    </row>
    <row r="611">
      <c r="B611" s="28"/>
      <c r="C611" s="28"/>
      <c r="H611" s="64"/>
      <c r="I611" s="64"/>
      <c r="J611" s="64"/>
      <c r="K611" s="64"/>
      <c r="L611" s="64"/>
      <c r="M611" s="64"/>
      <c r="N611" s="64"/>
      <c r="O611" s="64"/>
    </row>
    <row r="612">
      <c r="B612" s="28"/>
      <c r="C612" s="28"/>
      <c r="H612" s="64"/>
      <c r="I612" s="64"/>
      <c r="J612" s="64"/>
      <c r="K612" s="64"/>
      <c r="L612" s="64"/>
      <c r="M612" s="64"/>
      <c r="N612" s="64"/>
      <c r="O612" s="64"/>
    </row>
    <row r="613">
      <c r="B613" s="28"/>
      <c r="C613" s="28"/>
      <c r="H613" s="64"/>
      <c r="I613" s="64"/>
      <c r="J613" s="64"/>
      <c r="K613" s="64"/>
      <c r="L613" s="64"/>
      <c r="M613" s="64"/>
      <c r="N613" s="64"/>
      <c r="O613" s="64"/>
    </row>
    <row r="614">
      <c r="B614" s="28"/>
      <c r="C614" s="28"/>
      <c r="H614" s="64"/>
      <c r="I614" s="64"/>
      <c r="J614" s="64"/>
      <c r="K614" s="64"/>
      <c r="L614" s="64"/>
      <c r="M614" s="64"/>
      <c r="N614" s="64"/>
      <c r="O614" s="64"/>
    </row>
    <row r="615">
      <c r="B615" s="28"/>
      <c r="C615" s="28"/>
      <c r="H615" s="64"/>
      <c r="I615" s="64"/>
      <c r="J615" s="64"/>
      <c r="K615" s="64"/>
      <c r="L615" s="64"/>
      <c r="M615" s="64"/>
      <c r="N615" s="64"/>
      <c r="O615" s="64"/>
    </row>
    <row r="616">
      <c r="B616" s="28"/>
      <c r="C616" s="28"/>
      <c r="H616" s="64"/>
      <c r="I616" s="64"/>
      <c r="J616" s="64"/>
      <c r="K616" s="64"/>
      <c r="L616" s="64"/>
      <c r="M616" s="64"/>
      <c r="N616" s="64"/>
      <c r="O616" s="64"/>
    </row>
    <row r="617">
      <c r="B617" s="28"/>
      <c r="C617" s="28"/>
      <c r="H617" s="64"/>
      <c r="I617" s="64"/>
      <c r="J617" s="64"/>
      <c r="K617" s="64"/>
      <c r="L617" s="64"/>
      <c r="M617" s="64"/>
      <c r="N617" s="64"/>
      <c r="O617" s="64"/>
    </row>
    <row r="618">
      <c r="B618" s="28"/>
      <c r="C618" s="28"/>
      <c r="H618" s="64"/>
      <c r="I618" s="64"/>
      <c r="J618" s="64"/>
      <c r="K618" s="64"/>
      <c r="L618" s="64"/>
      <c r="M618" s="64"/>
      <c r="N618" s="64"/>
      <c r="O618" s="64"/>
    </row>
    <row r="619">
      <c r="B619" s="28"/>
      <c r="C619" s="28"/>
      <c r="H619" s="64"/>
      <c r="I619" s="64"/>
      <c r="J619" s="64"/>
      <c r="K619" s="64"/>
      <c r="L619" s="64"/>
      <c r="M619" s="64"/>
      <c r="N619" s="64"/>
      <c r="O619" s="64"/>
    </row>
    <row r="620">
      <c r="B620" s="28"/>
      <c r="C620" s="28"/>
      <c r="H620" s="64"/>
      <c r="I620" s="64"/>
      <c r="J620" s="64"/>
      <c r="K620" s="64"/>
      <c r="L620" s="64"/>
      <c r="M620" s="64"/>
      <c r="N620" s="64"/>
      <c r="O620" s="64"/>
    </row>
    <row r="621">
      <c r="B621" s="28"/>
      <c r="C621" s="28"/>
      <c r="H621" s="64"/>
      <c r="I621" s="64"/>
      <c r="J621" s="64"/>
      <c r="K621" s="64"/>
      <c r="L621" s="64"/>
      <c r="M621" s="64"/>
      <c r="N621" s="64"/>
      <c r="O621" s="64"/>
    </row>
    <row r="622">
      <c r="B622" s="28"/>
      <c r="C622" s="28"/>
      <c r="H622" s="64"/>
      <c r="I622" s="64"/>
      <c r="J622" s="64"/>
      <c r="K622" s="64"/>
      <c r="L622" s="64"/>
      <c r="M622" s="64"/>
      <c r="N622" s="64"/>
      <c r="O622" s="64"/>
    </row>
    <row r="623">
      <c r="B623" s="28"/>
      <c r="C623" s="28"/>
      <c r="H623" s="64"/>
      <c r="I623" s="64"/>
      <c r="J623" s="64"/>
      <c r="K623" s="64"/>
      <c r="L623" s="64"/>
      <c r="M623" s="64"/>
      <c r="N623" s="64"/>
      <c r="O623" s="64"/>
    </row>
    <row r="624">
      <c r="B624" s="28"/>
      <c r="C624" s="28"/>
      <c r="H624" s="64"/>
      <c r="I624" s="64"/>
      <c r="J624" s="64"/>
      <c r="K624" s="64"/>
      <c r="L624" s="64"/>
      <c r="M624" s="64"/>
      <c r="N624" s="64"/>
      <c r="O624" s="64"/>
    </row>
    <row r="625">
      <c r="B625" s="28"/>
      <c r="C625" s="28"/>
      <c r="H625" s="64"/>
      <c r="I625" s="64"/>
      <c r="J625" s="64"/>
      <c r="K625" s="64"/>
      <c r="L625" s="64"/>
      <c r="M625" s="64"/>
      <c r="N625" s="64"/>
      <c r="O625" s="64"/>
    </row>
    <row r="626">
      <c r="B626" s="28"/>
      <c r="C626" s="28"/>
      <c r="H626" s="64"/>
      <c r="I626" s="64"/>
      <c r="J626" s="64"/>
      <c r="K626" s="64"/>
      <c r="L626" s="64"/>
      <c r="M626" s="64"/>
      <c r="N626" s="64"/>
      <c r="O626" s="64"/>
    </row>
    <row r="627">
      <c r="B627" s="28"/>
      <c r="C627" s="28"/>
      <c r="H627" s="64"/>
      <c r="I627" s="64"/>
      <c r="J627" s="64"/>
      <c r="K627" s="64"/>
      <c r="L627" s="64"/>
      <c r="M627" s="64"/>
      <c r="N627" s="64"/>
      <c r="O627" s="64"/>
    </row>
    <row r="628">
      <c r="B628" s="28"/>
      <c r="C628" s="28"/>
      <c r="H628" s="64"/>
      <c r="I628" s="64"/>
      <c r="J628" s="64"/>
      <c r="K628" s="64"/>
      <c r="L628" s="64"/>
      <c r="M628" s="64"/>
      <c r="N628" s="64"/>
      <c r="O628" s="64"/>
    </row>
    <row r="629">
      <c r="B629" s="28"/>
      <c r="C629" s="28"/>
      <c r="H629" s="64"/>
      <c r="I629" s="64"/>
      <c r="J629" s="64"/>
      <c r="K629" s="64"/>
      <c r="L629" s="64"/>
      <c r="M629" s="64"/>
      <c r="N629" s="64"/>
      <c r="O629" s="64"/>
    </row>
    <row r="630">
      <c r="B630" s="28"/>
      <c r="C630" s="28"/>
      <c r="H630" s="64"/>
      <c r="I630" s="64"/>
      <c r="J630" s="64"/>
      <c r="K630" s="64"/>
      <c r="L630" s="64"/>
      <c r="M630" s="64"/>
      <c r="N630" s="64"/>
      <c r="O630" s="64"/>
    </row>
    <row r="631">
      <c r="B631" s="28"/>
      <c r="C631" s="28"/>
      <c r="H631" s="64"/>
      <c r="I631" s="64"/>
      <c r="J631" s="64"/>
      <c r="K631" s="64"/>
      <c r="L631" s="64"/>
      <c r="M631" s="64"/>
      <c r="N631" s="64"/>
      <c r="O631" s="64"/>
    </row>
    <row r="632">
      <c r="B632" s="28"/>
      <c r="C632" s="28"/>
      <c r="H632" s="64"/>
      <c r="I632" s="64"/>
      <c r="J632" s="64"/>
      <c r="K632" s="64"/>
      <c r="L632" s="64"/>
      <c r="M632" s="64"/>
      <c r="N632" s="64"/>
      <c r="O632" s="64"/>
    </row>
    <row r="633">
      <c r="B633" s="28"/>
      <c r="C633" s="28"/>
      <c r="H633" s="64"/>
      <c r="I633" s="64"/>
      <c r="J633" s="64"/>
      <c r="K633" s="64"/>
      <c r="L633" s="64"/>
      <c r="M633" s="64"/>
      <c r="N633" s="64"/>
      <c r="O633" s="64"/>
    </row>
    <row r="634">
      <c r="B634" s="28"/>
      <c r="C634" s="28"/>
      <c r="H634" s="64"/>
      <c r="I634" s="64"/>
      <c r="J634" s="64"/>
      <c r="K634" s="64"/>
      <c r="L634" s="64"/>
      <c r="M634" s="64"/>
      <c r="N634" s="64"/>
      <c r="O634" s="64"/>
    </row>
    <row r="635">
      <c r="B635" s="28"/>
      <c r="C635" s="28"/>
      <c r="H635" s="64"/>
      <c r="I635" s="64"/>
      <c r="J635" s="64"/>
      <c r="K635" s="64"/>
      <c r="L635" s="64"/>
      <c r="M635" s="64"/>
      <c r="N635" s="64"/>
      <c r="O635" s="64"/>
    </row>
    <row r="636">
      <c r="B636" s="28"/>
      <c r="C636" s="28"/>
      <c r="H636" s="64"/>
      <c r="I636" s="64"/>
      <c r="J636" s="64"/>
      <c r="K636" s="64"/>
      <c r="L636" s="64"/>
      <c r="M636" s="64"/>
      <c r="N636" s="64"/>
      <c r="O636" s="64"/>
    </row>
    <row r="637">
      <c r="B637" s="28"/>
      <c r="C637" s="28"/>
      <c r="H637" s="64"/>
      <c r="I637" s="64"/>
      <c r="J637" s="64"/>
      <c r="K637" s="64"/>
      <c r="L637" s="64"/>
      <c r="M637" s="64"/>
      <c r="N637" s="64"/>
      <c r="O637" s="64"/>
    </row>
    <row r="638">
      <c r="B638" s="28"/>
      <c r="C638" s="28"/>
      <c r="H638" s="64"/>
      <c r="I638" s="64"/>
      <c r="J638" s="64"/>
      <c r="K638" s="64"/>
      <c r="L638" s="64"/>
      <c r="M638" s="64"/>
      <c r="N638" s="64"/>
      <c r="O638" s="64"/>
    </row>
    <row r="639">
      <c r="B639" s="28"/>
      <c r="C639" s="28"/>
      <c r="H639" s="64"/>
      <c r="I639" s="64"/>
      <c r="J639" s="64"/>
      <c r="K639" s="64"/>
      <c r="L639" s="64"/>
      <c r="M639" s="64"/>
      <c r="N639" s="64"/>
      <c r="O639" s="64"/>
    </row>
    <row r="640">
      <c r="B640" s="28"/>
      <c r="C640" s="28"/>
      <c r="H640" s="64"/>
      <c r="I640" s="64"/>
      <c r="J640" s="64"/>
      <c r="K640" s="64"/>
      <c r="L640" s="64"/>
      <c r="M640" s="64"/>
      <c r="N640" s="64"/>
      <c r="O640" s="64"/>
    </row>
    <row r="641">
      <c r="B641" s="28"/>
      <c r="C641" s="28"/>
      <c r="H641" s="64"/>
      <c r="I641" s="64"/>
      <c r="J641" s="64"/>
      <c r="K641" s="64"/>
      <c r="L641" s="64"/>
      <c r="M641" s="64"/>
      <c r="N641" s="64"/>
      <c r="O641" s="64"/>
    </row>
    <row r="642">
      <c r="B642" s="28"/>
      <c r="C642" s="28"/>
      <c r="H642" s="64"/>
      <c r="I642" s="64"/>
      <c r="J642" s="64"/>
      <c r="K642" s="64"/>
      <c r="L642" s="64"/>
      <c r="M642" s="64"/>
      <c r="N642" s="64"/>
      <c r="O642" s="64"/>
    </row>
    <row r="643">
      <c r="B643" s="28"/>
      <c r="C643" s="28"/>
      <c r="H643" s="64"/>
      <c r="I643" s="64"/>
      <c r="J643" s="64"/>
      <c r="K643" s="64"/>
      <c r="L643" s="64"/>
      <c r="M643" s="64"/>
      <c r="N643" s="64"/>
      <c r="O643" s="64"/>
    </row>
    <row r="644">
      <c r="B644" s="28"/>
      <c r="C644" s="28"/>
      <c r="H644" s="64"/>
      <c r="I644" s="64"/>
      <c r="J644" s="64"/>
      <c r="K644" s="64"/>
      <c r="L644" s="64"/>
      <c r="M644" s="64"/>
      <c r="N644" s="64"/>
      <c r="O644" s="64"/>
    </row>
    <row r="645">
      <c r="B645" s="28"/>
      <c r="C645" s="28"/>
      <c r="H645" s="64"/>
      <c r="I645" s="64"/>
      <c r="J645" s="64"/>
      <c r="K645" s="64"/>
      <c r="L645" s="64"/>
      <c r="M645" s="64"/>
      <c r="N645" s="64"/>
      <c r="O645" s="64"/>
    </row>
    <row r="646">
      <c r="B646" s="28"/>
      <c r="C646" s="28"/>
      <c r="H646" s="64"/>
      <c r="I646" s="64"/>
      <c r="J646" s="64"/>
      <c r="K646" s="64"/>
      <c r="L646" s="64"/>
      <c r="M646" s="64"/>
      <c r="N646" s="64"/>
      <c r="O646" s="64"/>
    </row>
    <row r="647">
      <c r="B647" s="28"/>
      <c r="C647" s="28"/>
      <c r="H647" s="64"/>
      <c r="I647" s="64"/>
      <c r="J647" s="64"/>
      <c r="K647" s="64"/>
      <c r="L647" s="64"/>
      <c r="M647" s="64"/>
      <c r="N647" s="64"/>
      <c r="O647" s="64"/>
    </row>
    <row r="648">
      <c r="B648" s="28"/>
      <c r="C648" s="28"/>
      <c r="H648" s="64"/>
      <c r="I648" s="64"/>
      <c r="J648" s="64"/>
      <c r="K648" s="64"/>
      <c r="L648" s="64"/>
      <c r="M648" s="64"/>
      <c r="N648" s="64"/>
      <c r="O648" s="64"/>
    </row>
    <row r="649">
      <c r="B649" s="28"/>
      <c r="C649" s="28"/>
      <c r="H649" s="64"/>
      <c r="I649" s="64"/>
      <c r="J649" s="64"/>
      <c r="K649" s="64"/>
      <c r="L649" s="64"/>
      <c r="M649" s="64"/>
      <c r="N649" s="64"/>
      <c r="O649" s="64"/>
    </row>
    <row r="650">
      <c r="B650" s="28"/>
      <c r="C650" s="28"/>
      <c r="H650" s="64"/>
      <c r="I650" s="64"/>
      <c r="J650" s="64"/>
      <c r="K650" s="64"/>
      <c r="L650" s="64"/>
      <c r="M650" s="64"/>
      <c r="N650" s="64"/>
      <c r="O650" s="64"/>
    </row>
    <row r="651">
      <c r="B651" s="28"/>
      <c r="C651" s="28"/>
      <c r="H651" s="64"/>
      <c r="I651" s="64"/>
      <c r="J651" s="64"/>
      <c r="K651" s="64"/>
      <c r="L651" s="64"/>
      <c r="M651" s="64"/>
      <c r="N651" s="64"/>
      <c r="O651" s="64"/>
    </row>
    <row r="652">
      <c r="B652" s="28"/>
      <c r="C652" s="28"/>
      <c r="H652" s="64"/>
      <c r="I652" s="64"/>
      <c r="J652" s="64"/>
      <c r="K652" s="64"/>
      <c r="L652" s="64"/>
      <c r="M652" s="64"/>
      <c r="N652" s="64"/>
      <c r="O652" s="64"/>
    </row>
    <row r="653">
      <c r="B653" s="28"/>
      <c r="C653" s="28"/>
      <c r="H653" s="64"/>
      <c r="I653" s="64"/>
      <c r="J653" s="64"/>
      <c r="K653" s="64"/>
      <c r="L653" s="64"/>
      <c r="M653" s="64"/>
      <c r="N653" s="64"/>
      <c r="O653" s="64"/>
    </row>
    <row r="654">
      <c r="B654" s="28"/>
      <c r="C654" s="28"/>
      <c r="H654" s="64"/>
      <c r="I654" s="64"/>
      <c r="J654" s="64"/>
      <c r="K654" s="64"/>
      <c r="L654" s="64"/>
      <c r="M654" s="64"/>
      <c r="N654" s="64"/>
      <c r="O654" s="64"/>
    </row>
    <row r="655">
      <c r="B655" s="28"/>
      <c r="C655" s="28"/>
      <c r="H655" s="64"/>
      <c r="I655" s="64"/>
      <c r="J655" s="64"/>
      <c r="K655" s="64"/>
      <c r="L655" s="64"/>
      <c r="M655" s="64"/>
      <c r="N655" s="64"/>
      <c r="O655" s="64"/>
    </row>
    <row r="656">
      <c r="B656" s="28"/>
      <c r="C656" s="28"/>
      <c r="H656" s="64"/>
      <c r="I656" s="64"/>
      <c r="J656" s="64"/>
      <c r="K656" s="64"/>
      <c r="L656" s="64"/>
      <c r="M656" s="64"/>
      <c r="N656" s="64"/>
      <c r="O656" s="64"/>
    </row>
    <row r="657">
      <c r="B657" s="28"/>
      <c r="C657" s="28"/>
      <c r="H657" s="64"/>
      <c r="I657" s="64"/>
      <c r="J657" s="64"/>
      <c r="K657" s="64"/>
      <c r="L657" s="64"/>
      <c r="M657" s="64"/>
      <c r="N657" s="64"/>
      <c r="O657" s="64"/>
    </row>
    <row r="658">
      <c r="B658" s="28"/>
      <c r="C658" s="28"/>
      <c r="H658" s="64"/>
      <c r="I658" s="64"/>
      <c r="J658" s="64"/>
      <c r="K658" s="64"/>
      <c r="L658" s="64"/>
      <c r="M658" s="64"/>
      <c r="N658" s="64"/>
      <c r="O658" s="64"/>
    </row>
    <row r="659">
      <c r="B659" s="28"/>
      <c r="C659" s="28"/>
      <c r="H659" s="64"/>
      <c r="I659" s="64"/>
      <c r="J659" s="64"/>
      <c r="K659" s="64"/>
      <c r="L659" s="64"/>
      <c r="M659" s="64"/>
      <c r="N659" s="64"/>
      <c r="O659" s="64"/>
    </row>
    <row r="660">
      <c r="B660" s="28"/>
      <c r="C660" s="28"/>
      <c r="H660" s="64"/>
      <c r="I660" s="64"/>
      <c r="J660" s="64"/>
      <c r="K660" s="64"/>
      <c r="L660" s="64"/>
      <c r="M660" s="64"/>
      <c r="N660" s="64"/>
      <c r="O660" s="64"/>
    </row>
    <row r="661">
      <c r="B661" s="28"/>
      <c r="C661" s="28"/>
      <c r="H661" s="64"/>
      <c r="I661" s="64"/>
      <c r="J661" s="64"/>
      <c r="K661" s="64"/>
      <c r="L661" s="64"/>
      <c r="M661" s="64"/>
      <c r="N661" s="64"/>
      <c r="O661" s="64"/>
    </row>
    <row r="662">
      <c r="B662" s="28"/>
      <c r="C662" s="28"/>
      <c r="H662" s="64"/>
      <c r="I662" s="64"/>
      <c r="J662" s="64"/>
      <c r="K662" s="64"/>
      <c r="L662" s="64"/>
      <c r="M662" s="64"/>
      <c r="N662" s="64"/>
      <c r="O662" s="64"/>
    </row>
    <row r="663">
      <c r="B663" s="28"/>
      <c r="C663" s="28"/>
      <c r="H663" s="64"/>
      <c r="I663" s="64"/>
      <c r="J663" s="64"/>
      <c r="K663" s="64"/>
      <c r="L663" s="64"/>
      <c r="M663" s="64"/>
      <c r="N663" s="64"/>
      <c r="O663" s="64"/>
    </row>
    <row r="664">
      <c r="B664" s="28"/>
      <c r="C664" s="28"/>
      <c r="H664" s="64"/>
      <c r="I664" s="64"/>
      <c r="J664" s="64"/>
      <c r="K664" s="64"/>
      <c r="L664" s="64"/>
      <c r="M664" s="64"/>
      <c r="N664" s="64"/>
      <c r="O664" s="64"/>
    </row>
    <row r="665">
      <c r="B665" s="28"/>
      <c r="C665" s="28"/>
      <c r="H665" s="64"/>
      <c r="I665" s="64"/>
      <c r="J665" s="64"/>
      <c r="K665" s="64"/>
      <c r="L665" s="64"/>
      <c r="M665" s="64"/>
      <c r="N665" s="64"/>
      <c r="O665" s="64"/>
    </row>
    <row r="666">
      <c r="B666" s="28"/>
      <c r="C666" s="28"/>
      <c r="H666" s="64"/>
      <c r="I666" s="64"/>
      <c r="J666" s="64"/>
      <c r="K666" s="64"/>
      <c r="L666" s="64"/>
      <c r="M666" s="64"/>
      <c r="N666" s="64"/>
      <c r="O666" s="64"/>
    </row>
    <row r="667">
      <c r="B667" s="28"/>
      <c r="C667" s="28"/>
      <c r="H667" s="64"/>
      <c r="I667" s="64"/>
      <c r="J667" s="64"/>
      <c r="K667" s="64"/>
      <c r="L667" s="64"/>
      <c r="M667" s="64"/>
      <c r="N667" s="64"/>
      <c r="O667" s="64"/>
    </row>
    <row r="668">
      <c r="B668" s="28"/>
      <c r="C668" s="28"/>
      <c r="H668" s="64"/>
      <c r="I668" s="64"/>
      <c r="J668" s="64"/>
      <c r="K668" s="64"/>
      <c r="L668" s="64"/>
      <c r="M668" s="64"/>
      <c r="N668" s="64"/>
      <c r="O668" s="64"/>
    </row>
    <row r="669">
      <c r="B669" s="28"/>
      <c r="C669" s="28"/>
      <c r="H669" s="64"/>
      <c r="I669" s="64"/>
      <c r="J669" s="64"/>
      <c r="K669" s="64"/>
      <c r="L669" s="64"/>
      <c r="M669" s="64"/>
      <c r="N669" s="64"/>
      <c r="O669" s="64"/>
    </row>
    <row r="670">
      <c r="B670" s="28"/>
      <c r="C670" s="28"/>
      <c r="H670" s="64"/>
      <c r="I670" s="64"/>
      <c r="J670" s="64"/>
      <c r="K670" s="64"/>
      <c r="L670" s="64"/>
      <c r="M670" s="64"/>
      <c r="N670" s="64"/>
      <c r="O670" s="64"/>
    </row>
    <row r="671">
      <c r="B671" s="28"/>
      <c r="C671" s="28"/>
      <c r="H671" s="64"/>
      <c r="I671" s="64"/>
      <c r="J671" s="64"/>
      <c r="K671" s="64"/>
      <c r="L671" s="64"/>
      <c r="M671" s="64"/>
      <c r="N671" s="64"/>
      <c r="O671" s="64"/>
    </row>
    <row r="672">
      <c r="B672" s="28"/>
      <c r="C672" s="28"/>
      <c r="H672" s="64"/>
      <c r="I672" s="64"/>
      <c r="J672" s="64"/>
      <c r="K672" s="64"/>
      <c r="L672" s="64"/>
      <c r="M672" s="64"/>
      <c r="N672" s="64"/>
      <c r="O672" s="64"/>
    </row>
    <row r="673">
      <c r="B673" s="28"/>
      <c r="C673" s="28"/>
      <c r="H673" s="64"/>
      <c r="I673" s="64"/>
      <c r="J673" s="64"/>
      <c r="K673" s="64"/>
      <c r="L673" s="64"/>
      <c r="M673" s="64"/>
      <c r="N673" s="64"/>
      <c r="O673" s="64"/>
    </row>
    <row r="674">
      <c r="B674" s="28"/>
      <c r="C674" s="28"/>
      <c r="H674" s="64"/>
      <c r="I674" s="64"/>
      <c r="J674" s="64"/>
      <c r="K674" s="64"/>
      <c r="L674" s="64"/>
      <c r="M674" s="64"/>
      <c r="N674" s="64"/>
      <c r="O674" s="64"/>
    </row>
    <row r="675">
      <c r="B675" s="28"/>
      <c r="C675" s="28"/>
      <c r="H675" s="64"/>
      <c r="I675" s="64"/>
      <c r="J675" s="64"/>
      <c r="K675" s="64"/>
      <c r="L675" s="64"/>
      <c r="M675" s="64"/>
      <c r="N675" s="64"/>
      <c r="O675" s="64"/>
    </row>
    <row r="676">
      <c r="B676" s="28"/>
      <c r="C676" s="28"/>
      <c r="H676" s="64"/>
      <c r="I676" s="64"/>
      <c r="J676" s="64"/>
      <c r="K676" s="64"/>
      <c r="L676" s="64"/>
      <c r="M676" s="64"/>
      <c r="N676" s="64"/>
      <c r="O676" s="64"/>
    </row>
    <row r="677">
      <c r="B677" s="28"/>
      <c r="C677" s="28"/>
      <c r="H677" s="64"/>
      <c r="I677" s="64"/>
      <c r="J677" s="64"/>
      <c r="K677" s="64"/>
      <c r="L677" s="64"/>
      <c r="M677" s="64"/>
      <c r="N677" s="64"/>
      <c r="O677" s="64"/>
    </row>
    <row r="678">
      <c r="B678" s="28"/>
      <c r="C678" s="28"/>
      <c r="H678" s="64"/>
      <c r="I678" s="64"/>
      <c r="J678" s="64"/>
      <c r="K678" s="64"/>
      <c r="L678" s="64"/>
      <c r="M678" s="64"/>
      <c r="N678" s="64"/>
      <c r="O678" s="64"/>
    </row>
    <row r="679">
      <c r="B679" s="28"/>
      <c r="C679" s="28"/>
      <c r="H679" s="64"/>
      <c r="I679" s="64"/>
      <c r="J679" s="64"/>
      <c r="K679" s="64"/>
      <c r="L679" s="64"/>
      <c r="M679" s="64"/>
      <c r="N679" s="64"/>
      <c r="O679" s="64"/>
    </row>
    <row r="680">
      <c r="B680" s="28"/>
      <c r="C680" s="28"/>
      <c r="H680" s="64"/>
      <c r="I680" s="64"/>
      <c r="J680" s="64"/>
      <c r="K680" s="64"/>
      <c r="L680" s="64"/>
      <c r="M680" s="64"/>
      <c r="N680" s="64"/>
      <c r="O680" s="64"/>
    </row>
    <row r="681">
      <c r="B681" s="28"/>
      <c r="C681" s="28"/>
      <c r="H681" s="64"/>
      <c r="I681" s="64"/>
      <c r="J681" s="64"/>
      <c r="K681" s="64"/>
      <c r="L681" s="64"/>
      <c r="M681" s="64"/>
      <c r="N681" s="64"/>
      <c r="O681" s="64"/>
    </row>
    <row r="682">
      <c r="B682" s="28"/>
      <c r="C682" s="28"/>
      <c r="H682" s="64"/>
      <c r="I682" s="64"/>
      <c r="J682" s="64"/>
      <c r="K682" s="64"/>
      <c r="L682" s="64"/>
      <c r="M682" s="64"/>
      <c r="N682" s="64"/>
      <c r="O682" s="64"/>
    </row>
    <row r="683">
      <c r="B683" s="28"/>
      <c r="C683" s="28"/>
      <c r="H683" s="64"/>
      <c r="I683" s="64"/>
      <c r="J683" s="64"/>
      <c r="K683" s="64"/>
      <c r="L683" s="64"/>
      <c r="M683" s="64"/>
      <c r="N683" s="64"/>
      <c r="O683" s="64"/>
    </row>
    <row r="684">
      <c r="B684" s="28"/>
      <c r="C684" s="28"/>
      <c r="H684" s="64"/>
      <c r="I684" s="64"/>
      <c r="J684" s="64"/>
      <c r="K684" s="64"/>
      <c r="L684" s="64"/>
      <c r="M684" s="64"/>
      <c r="N684" s="64"/>
      <c r="O684" s="64"/>
    </row>
    <row r="685">
      <c r="B685" s="28"/>
      <c r="C685" s="28"/>
      <c r="H685" s="64"/>
      <c r="I685" s="64"/>
      <c r="J685" s="64"/>
      <c r="K685" s="64"/>
      <c r="L685" s="64"/>
      <c r="M685" s="64"/>
      <c r="N685" s="64"/>
      <c r="O685" s="64"/>
    </row>
    <row r="686">
      <c r="B686" s="28"/>
      <c r="C686" s="28"/>
      <c r="H686" s="64"/>
      <c r="I686" s="64"/>
      <c r="J686" s="64"/>
      <c r="K686" s="64"/>
      <c r="L686" s="64"/>
      <c r="M686" s="64"/>
      <c r="N686" s="64"/>
      <c r="O686" s="64"/>
    </row>
    <row r="687">
      <c r="B687" s="28"/>
      <c r="C687" s="28"/>
      <c r="H687" s="64"/>
      <c r="I687" s="64"/>
      <c r="J687" s="64"/>
      <c r="K687" s="64"/>
      <c r="L687" s="64"/>
      <c r="M687" s="64"/>
      <c r="N687" s="64"/>
      <c r="O687" s="64"/>
    </row>
    <row r="688">
      <c r="B688" s="28"/>
      <c r="C688" s="28"/>
      <c r="H688" s="64"/>
      <c r="I688" s="64"/>
      <c r="J688" s="64"/>
      <c r="K688" s="64"/>
      <c r="L688" s="64"/>
      <c r="M688" s="64"/>
      <c r="N688" s="64"/>
      <c r="O688" s="64"/>
    </row>
    <row r="689">
      <c r="B689" s="28"/>
      <c r="C689" s="28"/>
      <c r="H689" s="64"/>
      <c r="I689" s="64"/>
      <c r="J689" s="64"/>
      <c r="K689" s="64"/>
      <c r="L689" s="64"/>
      <c r="M689" s="64"/>
      <c r="N689" s="64"/>
      <c r="O689" s="64"/>
    </row>
    <row r="690">
      <c r="B690" s="28"/>
      <c r="C690" s="28"/>
      <c r="H690" s="64"/>
      <c r="I690" s="64"/>
      <c r="J690" s="64"/>
      <c r="K690" s="64"/>
      <c r="L690" s="64"/>
      <c r="M690" s="64"/>
      <c r="N690" s="64"/>
      <c r="O690" s="64"/>
    </row>
    <row r="691">
      <c r="B691" s="28"/>
      <c r="C691" s="28"/>
      <c r="H691" s="64"/>
      <c r="I691" s="64"/>
      <c r="J691" s="64"/>
      <c r="K691" s="64"/>
      <c r="L691" s="64"/>
      <c r="M691" s="64"/>
      <c r="N691" s="64"/>
      <c r="O691" s="64"/>
    </row>
    <row r="692">
      <c r="B692" s="28"/>
      <c r="C692" s="28"/>
      <c r="H692" s="64"/>
      <c r="I692" s="64"/>
      <c r="J692" s="64"/>
      <c r="K692" s="64"/>
      <c r="L692" s="64"/>
      <c r="M692" s="64"/>
      <c r="N692" s="64"/>
      <c r="O692" s="64"/>
    </row>
    <row r="693">
      <c r="B693" s="28"/>
      <c r="C693" s="28"/>
      <c r="H693" s="64"/>
      <c r="I693" s="64"/>
      <c r="J693" s="64"/>
      <c r="K693" s="64"/>
      <c r="L693" s="64"/>
      <c r="M693" s="64"/>
      <c r="N693" s="64"/>
      <c r="O693" s="64"/>
    </row>
    <row r="694">
      <c r="B694" s="28"/>
      <c r="C694" s="28"/>
      <c r="H694" s="64"/>
      <c r="I694" s="64"/>
      <c r="J694" s="64"/>
      <c r="K694" s="64"/>
      <c r="L694" s="64"/>
      <c r="M694" s="64"/>
      <c r="N694" s="64"/>
      <c r="O694" s="64"/>
    </row>
    <row r="695">
      <c r="B695" s="28"/>
      <c r="C695" s="28"/>
      <c r="H695" s="64"/>
      <c r="I695" s="64"/>
      <c r="J695" s="64"/>
      <c r="K695" s="64"/>
      <c r="L695" s="64"/>
      <c r="M695" s="64"/>
      <c r="N695" s="64"/>
      <c r="O695" s="64"/>
    </row>
    <row r="696">
      <c r="B696" s="28"/>
      <c r="C696" s="28"/>
      <c r="H696" s="64"/>
      <c r="I696" s="64"/>
      <c r="J696" s="64"/>
      <c r="K696" s="64"/>
      <c r="L696" s="64"/>
      <c r="M696" s="64"/>
      <c r="N696" s="64"/>
      <c r="O696" s="64"/>
    </row>
    <row r="697">
      <c r="B697" s="28"/>
      <c r="C697" s="28"/>
      <c r="H697" s="64"/>
      <c r="I697" s="64"/>
      <c r="J697" s="64"/>
      <c r="K697" s="64"/>
      <c r="L697" s="64"/>
      <c r="M697" s="64"/>
      <c r="N697" s="64"/>
      <c r="O697" s="64"/>
    </row>
    <row r="698">
      <c r="B698" s="28"/>
      <c r="C698" s="28"/>
      <c r="H698" s="64"/>
      <c r="I698" s="64"/>
      <c r="J698" s="64"/>
      <c r="K698" s="64"/>
      <c r="L698" s="64"/>
      <c r="M698" s="64"/>
      <c r="N698" s="64"/>
      <c r="O698" s="64"/>
    </row>
    <row r="699">
      <c r="B699" s="28"/>
      <c r="C699" s="28"/>
      <c r="H699" s="64"/>
      <c r="I699" s="64"/>
      <c r="J699" s="64"/>
      <c r="K699" s="64"/>
      <c r="L699" s="64"/>
      <c r="M699" s="64"/>
      <c r="N699" s="64"/>
      <c r="O699" s="64"/>
    </row>
    <row r="700">
      <c r="B700" s="28"/>
      <c r="C700" s="28"/>
      <c r="H700" s="64"/>
      <c r="I700" s="64"/>
      <c r="J700" s="64"/>
      <c r="K700" s="64"/>
      <c r="L700" s="64"/>
      <c r="M700" s="64"/>
      <c r="N700" s="64"/>
      <c r="O700" s="64"/>
    </row>
    <row r="701">
      <c r="B701" s="28"/>
      <c r="C701" s="28"/>
      <c r="H701" s="64"/>
      <c r="I701" s="64"/>
      <c r="J701" s="64"/>
      <c r="K701" s="64"/>
      <c r="L701" s="64"/>
      <c r="M701" s="64"/>
      <c r="N701" s="64"/>
      <c r="O701" s="64"/>
    </row>
    <row r="702">
      <c r="B702" s="28"/>
      <c r="C702" s="28"/>
      <c r="H702" s="64"/>
      <c r="I702" s="64"/>
      <c r="J702" s="64"/>
      <c r="K702" s="64"/>
      <c r="L702" s="64"/>
      <c r="M702" s="64"/>
      <c r="N702" s="64"/>
      <c r="O702" s="64"/>
    </row>
    <row r="703">
      <c r="B703" s="28"/>
      <c r="C703" s="28"/>
      <c r="H703" s="64"/>
      <c r="I703" s="64"/>
      <c r="J703" s="64"/>
      <c r="K703" s="64"/>
      <c r="L703" s="64"/>
      <c r="M703" s="64"/>
      <c r="N703" s="64"/>
      <c r="O703" s="64"/>
    </row>
    <row r="704">
      <c r="B704" s="28"/>
      <c r="C704" s="28"/>
      <c r="H704" s="64"/>
      <c r="I704" s="64"/>
      <c r="J704" s="64"/>
      <c r="K704" s="64"/>
      <c r="L704" s="64"/>
      <c r="M704" s="64"/>
      <c r="N704" s="64"/>
      <c r="O704" s="64"/>
    </row>
    <row r="705">
      <c r="B705" s="28"/>
      <c r="C705" s="28"/>
      <c r="H705" s="64"/>
      <c r="I705" s="64"/>
      <c r="J705" s="64"/>
      <c r="K705" s="64"/>
      <c r="L705" s="64"/>
      <c r="M705" s="64"/>
      <c r="N705" s="64"/>
      <c r="O705" s="64"/>
    </row>
    <row r="706">
      <c r="B706" s="28"/>
      <c r="C706" s="28"/>
      <c r="H706" s="64"/>
      <c r="I706" s="64"/>
      <c r="J706" s="64"/>
      <c r="K706" s="64"/>
      <c r="L706" s="64"/>
      <c r="M706" s="64"/>
      <c r="N706" s="64"/>
      <c r="O706" s="64"/>
    </row>
    <row r="707">
      <c r="B707" s="28"/>
      <c r="C707" s="28"/>
      <c r="H707" s="64"/>
      <c r="I707" s="64"/>
      <c r="J707" s="64"/>
      <c r="K707" s="64"/>
      <c r="L707" s="64"/>
      <c r="M707" s="64"/>
      <c r="N707" s="64"/>
      <c r="O707" s="64"/>
    </row>
    <row r="708">
      <c r="B708" s="28"/>
      <c r="C708" s="28"/>
      <c r="H708" s="64"/>
      <c r="I708" s="64"/>
      <c r="J708" s="64"/>
      <c r="K708" s="64"/>
      <c r="L708" s="64"/>
      <c r="M708" s="64"/>
      <c r="N708" s="64"/>
      <c r="O708" s="64"/>
    </row>
    <row r="709">
      <c r="B709" s="28"/>
      <c r="C709" s="28"/>
      <c r="H709" s="64"/>
      <c r="I709" s="64"/>
      <c r="J709" s="64"/>
      <c r="K709" s="64"/>
      <c r="L709" s="64"/>
      <c r="M709" s="64"/>
      <c r="N709" s="64"/>
      <c r="O709" s="64"/>
    </row>
    <row r="710">
      <c r="B710" s="28"/>
      <c r="C710" s="28"/>
      <c r="H710" s="64"/>
      <c r="I710" s="64"/>
      <c r="J710" s="64"/>
      <c r="K710" s="64"/>
      <c r="L710" s="64"/>
      <c r="M710" s="64"/>
      <c r="N710" s="64"/>
      <c r="O710" s="64"/>
    </row>
    <row r="711">
      <c r="B711" s="28"/>
      <c r="C711" s="28"/>
      <c r="H711" s="64"/>
      <c r="I711" s="64"/>
      <c r="J711" s="64"/>
      <c r="K711" s="64"/>
      <c r="L711" s="64"/>
      <c r="M711" s="64"/>
      <c r="N711" s="64"/>
      <c r="O711" s="64"/>
    </row>
    <row r="712">
      <c r="B712" s="28"/>
      <c r="C712" s="28"/>
      <c r="H712" s="64"/>
      <c r="I712" s="64"/>
      <c r="J712" s="64"/>
      <c r="K712" s="64"/>
      <c r="L712" s="64"/>
      <c r="M712" s="64"/>
      <c r="N712" s="64"/>
      <c r="O712" s="64"/>
    </row>
    <row r="713">
      <c r="B713" s="28"/>
      <c r="C713" s="28"/>
      <c r="H713" s="64"/>
      <c r="I713" s="64"/>
      <c r="J713" s="64"/>
      <c r="K713" s="64"/>
      <c r="L713" s="64"/>
      <c r="M713" s="64"/>
      <c r="N713" s="64"/>
      <c r="O713" s="64"/>
    </row>
    <row r="714">
      <c r="B714" s="28"/>
      <c r="C714" s="28"/>
      <c r="H714" s="64"/>
      <c r="I714" s="64"/>
      <c r="J714" s="64"/>
      <c r="K714" s="64"/>
      <c r="L714" s="64"/>
      <c r="M714" s="64"/>
      <c r="N714" s="64"/>
      <c r="O714" s="64"/>
    </row>
    <row r="715">
      <c r="B715" s="28"/>
      <c r="C715" s="28"/>
      <c r="H715" s="64"/>
      <c r="I715" s="64"/>
      <c r="J715" s="64"/>
      <c r="K715" s="64"/>
      <c r="L715" s="64"/>
      <c r="M715" s="64"/>
      <c r="N715" s="64"/>
      <c r="O715" s="64"/>
    </row>
    <row r="716">
      <c r="B716" s="28"/>
      <c r="C716" s="28"/>
      <c r="H716" s="64"/>
      <c r="I716" s="64"/>
      <c r="J716" s="64"/>
      <c r="K716" s="64"/>
      <c r="L716" s="64"/>
      <c r="M716" s="64"/>
      <c r="N716" s="64"/>
      <c r="O716" s="64"/>
    </row>
    <row r="717">
      <c r="B717" s="28"/>
      <c r="C717" s="28"/>
      <c r="H717" s="64"/>
      <c r="I717" s="64"/>
      <c r="J717" s="64"/>
      <c r="K717" s="64"/>
      <c r="L717" s="64"/>
      <c r="M717" s="64"/>
      <c r="N717" s="64"/>
      <c r="O717" s="64"/>
    </row>
    <row r="718">
      <c r="B718" s="28"/>
      <c r="C718" s="28"/>
      <c r="H718" s="64"/>
      <c r="I718" s="64"/>
      <c r="J718" s="64"/>
      <c r="K718" s="64"/>
      <c r="L718" s="64"/>
      <c r="M718" s="64"/>
      <c r="N718" s="64"/>
      <c r="O718" s="64"/>
    </row>
    <row r="719">
      <c r="B719" s="28"/>
      <c r="C719" s="28"/>
      <c r="H719" s="64"/>
      <c r="I719" s="64"/>
      <c r="J719" s="64"/>
      <c r="K719" s="64"/>
      <c r="L719" s="64"/>
      <c r="M719" s="64"/>
      <c r="N719" s="64"/>
      <c r="O719" s="64"/>
    </row>
    <row r="720">
      <c r="B720" s="28"/>
      <c r="C720" s="28"/>
      <c r="H720" s="64"/>
      <c r="I720" s="64"/>
      <c r="J720" s="64"/>
      <c r="K720" s="64"/>
      <c r="L720" s="64"/>
      <c r="M720" s="64"/>
      <c r="N720" s="64"/>
      <c r="O720" s="64"/>
    </row>
    <row r="721">
      <c r="B721" s="28"/>
      <c r="C721" s="28"/>
      <c r="H721" s="64"/>
      <c r="I721" s="64"/>
      <c r="J721" s="64"/>
      <c r="K721" s="64"/>
      <c r="L721" s="64"/>
      <c r="M721" s="64"/>
      <c r="N721" s="64"/>
      <c r="O721" s="64"/>
    </row>
    <row r="722">
      <c r="B722" s="28"/>
      <c r="C722" s="28"/>
      <c r="H722" s="64"/>
      <c r="I722" s="64"/>
      <c r="J722" s="64"/>
      <c r="K722" s="64"/>
      <c r="L722" s="64"/>
      <c r="M722" s="64"/>
      <c r="N722" s="64"/>
      <c r="O722" s="64"/>
    </row>
    <row r="723">
      <c r="B723" s="28"/>
      <c r="C723" s="28"/>
      <c r="H723" s="64"/>
      <c r="I723" s="64"/>
      <c r="J723" s="64"/>
      <c r="K723" s="64"/>
      <c r="L723" s="64"/>
      <c r="M723" s="64"/>
      <c r="N723" s="64"/>
      <c r="O723" s="64"/>
    </row>
    <row r="724">
      <c r="B724" s="28"/>
      <c r="C724" s="28"/>
      <c r="H724" s="64"/>
      <c r="I724" s="64"/>
      <c r="J724" s="64"/>
      <c r="K724" s="64"/>
      <c r="L724" s="64"/>
      <c r="M724" s="64"/>
      <c r="N724" s="64"/>
      <c r="O724" s="64"/>
    </row>
    <row r="725">
      <c r="B725" s="28"/>
      <c r="C725" s="28"/>
      <c r="H725" s="64"/>
      <c r="I725" s="64"/>
      <c r="J725" s="64"/>
      <c r="K725" s="64"/>
      <c r="L725" s="64"/>
      <c r="M725" s="64"/>
      <c r="N725" s="64"/>
      <c r="O725" s="64"/>
    </row>
    <row r="726">
      <c r="B726" s="28"/>
      <c r="C726" s="28"/>
      <c r="H726" s="64"/>
      <c r="I726" s="64"/>
      <c r="J726" s="64"/>
      <c r="K726" s="64"/>
      <c r="L726" s="64"/>
      <c r="M726" s="64"/>
      <c r="N726" s="64"/>
      <c r="O726" s="64"/>
    </row>
    <row r="727">
      <c r="B727" s="28"/>
      <c r="C727" s="28"/>
      <c r="H727" s="64"/>
      <c r="I727" s="64"/>
      <c r="J727" s="64"/>
      <c r="K727" s="64"/>
      <c r="L727" s="64"/>
      <c r="M727" s="64"/>
      <c r="N727" s="64"/>
      <c r="O727" s="64"/>
    </row>
    <row r="728">
      <c r="B728" s="28"/>
      <c r="C728" s="28"/>
      <c r="H728" s="64"/>
      <c r="I728" s="64"/>
      <c r="J728" s="64"/>
      <c r="K728" s="64"/>
      <c r="L728" s="64"/>
      <c r="M728" s="64"/>
      <c r="N728" s="64"/>
      <c r="O728" s="64"/>
    </row>
    <row r="729">
      <c r="B729" s="28"/>
      <c r="C729" s="28"/>
      <c r="H729" s="64"/>
      <c r="I729" s="64"/>
      <c r="J729" s="64"/>
      <c r="K729" s="64"/>
      <c r="L729" s="64"/>
      <c r="M729" s="64"/>
      <c r="N729" s="64"/>
      <c r="O729" s="64"/>
    </row>
    <row r="730">
      <c r="B730" s="28"/>
      <c r="C730" s="28"/>
      <c r="H730" s="64"/>
      <c r="I730" s="64"/>
      <c r="J730" s="64"/>
      <c r="K730" s="64"/>
      <c r="L730" s="64"/>
      <c r="M730" s="64"/>
      <c r="N730" s="64"/>
      <c r="O730" s="64"/>
    </row>
    <row r="731">
      <c r="B731" s="28"/>
      <c r="C731" s="28"/>
      <c r="H731" s="64"/>
      <c r="I731" s="64"/>
      <c r="J731" s="64"/>
      <c r="K731" s="64"/>
      <c r="L731" s="64"/>
      <c r="M731" s="64"/>
      <c r="N731" s="64"/>
      <c r="O731" s="64"/>
    </row>
    <row r="732">
      <c r="B732" s="28"/>
      <c r="C732" s="28"/>
      <c r="H732" s="64"/>
      <c r="I732" s="64"/>
      <c r="J732" s="64"/>
      <c r="K732" s="64"/>
      <c r="L732" s="64"/>
      <c r="M732" s="64"/>
      <c r="N732" s="64"/>
      <c r="O732" s="64"/>
    </row>
    <row r="733">
      <c r="B733" s="28"/>
      <c r="C733" s="28"/>
      <c r="H733" s="64"/>
      <c r="I733" s="64"/>
      <c r="J733" s="64"/>
      <c r="K733" s="64"/>
      <c r="L733" s="64"/>
      <c r="M733" s="64"/>
      <c r="N733" s="64"/>
      <c r="O733" s="64"/>
    </row>
    <row r="734">
      <c r="B734" s="28"/>
      <c r="C734" s="28"/>
      <c r="H734" s="64"/>
      <c r="I734" s="64"/>
      <c r="J734" s="64"/>
      <c r="K734" s="64"/>
      <c r="L734" s="64"/>
      <c r="M734" s="64"/>
      <c r="N734" s="64"/>
      <c r="O734" s="64"/>
    </row>
    <row r="735">
      <c r="B735" s="28"/>
      <c r="C735" s="28"/>
      <c r="H735" s="64"/>
      <c r="I735" s="64"/>
      <c r="J735" s="64"/>
      <c r="K735" s="64"/>
      <c r="L735" s="64"/>
      <c r="M735" s="64"/>
      <c r="N735" s="64"/>
      <c r="O735" s="64"/>
    </row>
    <row r="736">
      <c r="B736" s="28"/>
      <c r="C736" s="28"/>
      <c r="H736" s="64"/>
      <c r="I736" s="64"/>
      <c r="J736" s="64"/>
      <c r="K736" s="64"/>
      <c r="L736" s="64"/>
      <c r="M736" s="64"/>
      <c r="N736" s="64"/>
      <c r="O736" s="64"/>
    </row>
    <row r="737">
      <c r="B737" s="28"/>
      <c r="C737" s="28"/>
      <c r="H737" s="64"/>
      <c r="I737" s="64"/>
      <c r="J737" s="64"/>
      <c r="K737" s="64"/>
      <c r="L737" s="64"/>
      <c r="M737" s="64"/>
      <c r="N737" s="64"/>
      <c r="O737" s="64"/>
    </row>
    <row r="738">
      <c r="B738" s="28"/>
      <c r="C738" s="28"/>
      <c r="H738" s="64"/>
      <c r="I738" s="64"/>
      <c r="J738" s="64"/>
      <c r="K738" s="64"/>
      <c r="L738" s="64"/>
      <c r="M738" s="64"/>
      <c r="N738" s="64"/>
      <c r="O738" s="64"/>
    </row>
    <row r="739">
      <c r="B739" s="28"/>
      <c r="C739" s="28"/>
      <c r="H739" s="64"/>
      <c r="I739" s="64"/>
      <c r="J739" s="64"/>
      <c r="K739" s="64"/>
      <c r="L739" s="64"/>
      <c r="M739" s="64"/>
      <c r="N739" s="64"/>
      <c r="O739" s="64"/>
    </row>
    <row r="740">
      <c r="B740" s="28"/>
      <c r="C740" s="28"/>
      <c r="H740" s="64"/>
      <c r="I740" s="64"/>
      <c r="J740" s="64"/>
      <c r="K740" s="64"/>
      <c r="L740" s="64"/>
      <c r="M740" s="64"/>
      <c r="N740" s="64"/>
      <c r="O740" s="64"/>
    </row>
    <row r="741">
      <c r="B741" s="28"/>
      <c r="C741" s="28"/>
      <c r="H741" s="64"/>
      <c r="I741" s="64"/>
      <c r="J741" s="64"/>
      <c r="K741" s="64"/>
      <c r="L741" s="64"/>
      <c r="M741" s="64"/>
      <c r="N741" s="64"/>
      <c r="O741" s="64"/>
    </row>
    <row r="742">
      <c r="B742" s="28"/>
      <c r="C742" s="28"/>
      <c r="H742" s="64"/>
      <c r="I742" s="64"/>
      <c r="J742" s="64"/>
      <c r="K742" s="64"/>
      <c r="L742" s="64"/>
      <c r="M742" s="64"/>
      <c r="N742" s="64"/>
      <c r="O742" s="64"/>
    </row>
    <row r="743">
      <c r="B743" s="28"/>
      <c r="C743" s="28"/>
      <c r="H743" s="64"/>
      <c r="I743" s="64"/>
      <c r="J743" s="64"/>
      <c r="K743" s="64"/>
      <c r="L743" s="64"/>
      <c r="M743" s="64"/>
      <c r="N743" s="64"/>
      <c r="O743" s="64"/>
    </row>
    <row r="744">
      <c r="B744" s="28"/>
      <c r="C744" s="28"/>
      <c r="H744" s="64"/>
      <c r="I744" s="64"/>
      <c r="J744" s="64"/>
      <c r="K744" s="64"/>
      <c r="L744" s="64"/>
      <c r="M744" s="64"/>
      <c r="N744" s="64"/>
      <c r="O744" s="64"/>
    </row>
    <row r="745">
      <c r="B745" s="28"/>
      <c r="C745" s="28"/>
      <c r="H745" s="64"/>
      <c r="I745" s="64"/>
      <c r="J745" s="64"/>
      <c r="K745" s="64"/>
      <c r="L745" s="64"/>
      <c r="M745" s="64"/>
      <c r="N745" s="64"/>
      <c r="O745" s="64"/>
    </row>
    <row r="746">
      <c r="B746" s="28"/>
      <c r="C746" s="28"/>
      <c r="H746" s="64"/>
      <c r="I746" s="64"/>
      <c r="J746" s="64"/>
      <c r="K746" s="64"/>
      <c r="L746" s="64"/>
      <c r="M746" s="64"/>
      <c r="N746" s="64"/>
      <c r="O746" s="64"/>
    </row>
    <row r="747">
      <c r="B747" s="28"/>
      <c r="C747" s="28"/>
      <c r="H747" s="64"/>
      <c r="I747" s="64"/>
      <c r="J747" s="64"/>
      <c r="K747" s="64"/>
      <c r="L747" s="64"/>
      <c r="M747" s="64"/>
      <c r="N747" s="64"/>
      <c r="O747" s="64"/>
    </row>
    <row r="748">
      <c r="B748" s="28"/>
      <c r="C748" s="28"/>
      <c r="H748" s="64"/>
      <c r="I748" s="64"/>
      <c r="J748" s="64"/>
      <c r="K748" s="64"/>
      <c r="L748" s="64"/>
      <c r="M748" s="64"/>
      <c r="N748" s="64"/>
      <c r="O748" s="64"/>
    </row>
    <row r="749">
      <c r="B749" s="28"/>
      <c r="C749" s="28"/>
      <c r="H749" s="64"/>
      <c r="I749" s="64"/>
      <c r="J749" s="64"/>
      <c r="K749" s="64"/>
      <c r="L749" s="64"/>
      <c r="M749" s="64"/>
      <c r="N749" s="64"/>
      <c r="O749" s="64"/>
    </row>
    <row r="750">
      <c r="B750" s="28"/>
      <c r="C750" s="28"/>
      <c r="H750" s="64"/>
      <c r="I750" s="64"/>
      <c r="J750" s="64"/>
      <c r="K750" s="64"/>
      <c r="L750" s="64"/>
      <c r="M750" s="64"/>
      <c r="N750" s="64"/>
      <c r="O750" s="64"/>
    </row>
    <row r="751">
      <c r="B751" s="28"/>
      <c r="C751" s="28"/>
      <c r="H751" s="64"/>
      <c r="I751" s="64"/>
      <c r="J751" s="64"/>
      <c r="K751" s="64"/>
      <c r="L751" s="64"/>
      <c r="M751" s="64"/>
      <c r="N751" s="64"/>
      <c r="O751" s="64"/>
    </row>
    <row r="752">
      <c r="B752" s="28"/>
      <c r="C752" s="28"/>
      <c r="H752" s="64"/>
      <c r="I752" s="64"/>
      <c r="J752" s="64"/>
      <c r="K752" s="64"/>
      <c r="L752" s="64"/>
      <c r="M752" s="64"/>
      <c r="N752" s="64"/>
      <c r="O752" s="64"/>
    </row>
    <row r="753">
      <c r="B753" s="28"/>
      <c r="C753" s="28"/>
      <c r="H753" s="64"/>
      <c r="I753" s="64"/>
      <c r="J753" s="64"/>
      <c r="K753" s="64"/>
      <c r="L753" s="64"/>
      <c r="M753" s="64"/>
      <c r="N753" s="64"/>
      <c r="O753" s="64"/>
    </row>
    <row r="754">
      <c r="B754" s="28"/>
      <c r="C754" s="28"/>
      <c r="H754" s="64"/>
      <c r="I754" s="64"/>
      <c r="J754" s="64"/>
      <c r="K754" s="64"/>
      <c r="L754" s="64"/>
      <c r="M754" s="64"/>
      <c r="N754" s="64"/>
      <c r="O754" s="64"/>
    </row>
    <row r="755">
      <c r="B755" s="28"/>
      <c r="C755" s="28"/>
      <c r="H755" s="64"/>
      <c r="I755" s="64"/>
      <c r="J755" s="64"/>
      <c r="K755" s="64"/>
      <c r="L755" s="64"/>
      <c r="M755" s="64"/>
      <c r="N755" s="64"/>
      <c r="O755" s="64"/>
    </row>
    <row r="756">
      <c r="B756" s="28"/>
      <c r="C756" s="28"/>
      <c r="H756" s="64"/>
      <c r="I756" s="64"/>
      <c r="J756" s="64"/>
      <c r="K756" s="64"/>
      <c r="L756" s="64"/>
      <c r="M756" s="64"/>
      <c r="N756" s="64"/>
      <c r="O756" s="64"/>
    </row>
    <row r="757">
      <c r="B757" s="28"/>
      <c r="C757" s="28"/>
      <c r="H757" s="64"/>
      <c r="I757" s="64"/>
      <c r="J757" s="64"/>
      <c r="K757" s="64"/>
      <c r="L757" s="64"/>
      <c r="M757" s="64"/>
      <c r="N757" s="64"/>
      <c r="O757" s="64"/>
    </row>
    <row r="758">
      <c r="B758" s="28"/>
      <c r="C758" s="28"/>
      <c r="H758" s="64"/>
      <c r="I758" s="64"/>
      <c r="J758" s="64"/>
      <c r="K758" s="64"/>
      <c r="L758" s="64"/>
      <c r="M758" s="64"/>
      <c r="N758" s="64"/>
      <c r="O758" s="64"/>
    </row>
    <row r="759">
      <c r="B759" s="28"/>
      <c r="C759" s="28"/>
      <c r="H759" s="64"/>
      <c r="I759" s="64"/>
      <c r="J759" s="64"/>
      <c r="K759" s="64"/>
      <c r="L759" s="64"/>
      <c r="M759" s="64"/>
      <c r="N759" s="64"/>
      <c r="O759" s="64"/>
    </row>
    <row r="760">
      <c r="B760" s="28"/>
      <c r="C760" s="28"/>
      <c r="H760" s="64"/>
      <c r="I760" s="64"/>
      <c r="J760" s="64"/>
      <c r="K760" s="64"/>
      <c r="L760" s="64"/>
      <c r="M760" s="64"/>
      <c r="N760" s="64"/>
      <c r="O760" s="64"/>
    </row>
    <row r="761">
      <c r="B761" s="28"/>
      <c r="C761" s="28"/>
      <c r="H761" s="64"/>
      <c r="I761" s="64"/>
      <c r="J761" s="64"/>
      <c r="K761" s="64"/>
      <c r="L761" s="64"/>
      <c r="M761" s="64"/>
      <c r="N761" s="64"/>
      <c r="O761" s="64"/>
    </row>
    <row r="762">
      <c r="B762" s="28"/>
      <c r="C762" s="28"/>
      <c r="H762" s="64"/>
      <c r="I762" s="64"/>
      <c r="J762" s="64"/>
      <c r="K762" s="64"/>
      <c r="L762" s="64"/>
      <c r="M762" s="64"/>
      <c r="N762" s="64"/>
      <c r="O762" s="64"/>
    </row>
    <row r="763">
      <c r="B763" s="28"/>
      <c r="C763" s="28"/>
      <c r="H763" s="64"/>
      <c r="I763" s="64"/>
      <c r="J763" s="64"/>
      <c r="K763" s="64"/>
      <c r="L763" s="64"/>
      <c r="M763" s="64"/>
      <c r="N763" s="64"/>
      <c r="O763" s="64"/>
    </row>
    <row r="764">
      <c r="B764" s="28"/>
      <c r="C764" s="28"/>
      <c r="H764" s="64"/>
      <c r="I764" s="64"/>
      <c r="J764" s="64"/>
      <c r="K764" s="64"/>
      <c r="L764" s="64"/>
      <c r="M764" s="64"/>
      <c r="N764" s="64"/>
      <c r="O764" s="64"/>
    </row>
    <row r="765">
      <c r="B765" s="28"/>
      <c r="C765" s="28"/>
      <c r="H765" s="64"/>
      <c r="I765" s="64"/>
      <c r="J765" s="64"/>
      <c r="K765" s="64"/>
      <c r="L765" s="64"/>
      <c r="M765" s="64"/>
      <c r="N765" s="64"/>
      <c r="O765" s="64"/>
    </row>
    <row r="766">
      <c r="B766" s="28"/>
      <c r="C766" s="28"/>
      <c r="H766" s="64"/>
      <c r="I766" s="64"/>
      <c r="J766" s="64"/>
      <c r="K766" s="64"/>
      <c r="L766" s="64"/>
      <c r="M766" s="64"/>
      <c r="N766" s="64"/>
      <c r="O766" s="64"/>
    </row>
    <row r="767">
      <c r="B767" s="28"/>
      <c r="C767" s="28"/>
      <c r="H767" s="64"/>
      <c r="I767" s="64"/>
      <c r="J767" s="64"/>
      <c r="K767" s="64"/>
      <c r="L767" s="64"/>
      <c r="M767" s="64"/>
      <c r="N767" s="64"/>
      <c r="O767" s="64"/>
    </row>
    <row r="768">
      <c r="B768" s="28"/>
      <c r="C768" s="28"/>
      <c r="H768" s="64"/>
      <c r="I768" s="64"/>
      <c r="J768" s="64"/>
      <c r="K768" s="64"/>
      <c r="L768" s="64"/>
      <c r="M768" s="64"/>
      <c r="N768" s="64"/>
      <c r="O768" s="64"/>
    </row>
    <row r="769">
      <c r="B769" s="28"/>
      <c r="C769" s="28"/>
      <c r="H769" s="64"/>
      <c r="I769" s="64"/>
      <c r="J769" s="64"/>
      <c r="K769" s="64"/>
      <c r="L769" s="64"/>
      <c r="M769" s="64"/>
      <c r="N769" s="64"/>
      <c r="O769" s="64"/>
    </row>
    <row r="770">
      <c r="B770" s="28"/>
      <c r="C770" s="28"/>
      <c r="H770" s="64"/>
      <c r="I770" s="64"/>
      <c r="J770" s="64"/>
      <c r="K770" s="64"/>
      <c r="L770" s="64"/>
      <c r="M770" s="64"/>
      <c r="N770" s="64"/>
      <c r="O770" s="64"/>
    </row>
    <row r="771">
      <c r="B771" s="28"/>
      <c r="C771" s="28"/>
      <c r="H771" s="64"/>
      <c r="I771" s="64"/>
      <c r="J771" s="64"/>
      <c r="K771" s="64"/>
      <c r="L771" s="64"/>
      <c r="M771" s="64"/>
      <c r="N771" s="64"/>
      <c r="O771" s="64"/>
    </row>
    <row r="772">
      <c r="B772" s="28"/>
      <c r="C772" s="28"/>
      <c r="H772" s="64"/>
      <c r="I772" s="64"/>
      <c r="J772" s="64"/>
      <c r="K772" s="64"/>
      <c r="L772" s="64"/>
      <c r="M772" s="64"/>
      <c r="N772" s="64"/>
      <c r="O772" s="64"/>
    </row>
    <row r="773">
      <c r="B773" s="28"/>
      <c r="C773" s="28"/>
      <c r="H773" s="64"/>
      <c r="I773" s="64"/>
      <c r="J773" s="64"/>
      <c r="K773" s="64"/>
      <c r="L773" s="64"/>
      <c r="M773" s="64"/>
      <c r="N773" s="64"/>
      <c r="O773" s="64"/>
    </row>
    <row r="774">
      <c r="B774" s="28"/>
      <c r="C774" s="28"/>
      <c r="H774" s="64"/>
      <c r="I774" s="64"/>
      <c r="J774" s="64"/>
      <c r="K774" s="64"/>
      <c r="L774" s="64"/>
      <c r="M774" s="64"/>
      <c r="N774" s="64"/>
      <c r="O774" s="64"/>
    </row>
    <row r="775">
      <c r="B775" s="28"/>
      <c r="C775" s="28"/>
      <c r="H775" s="64"/>
      <c r="I775" s="64"/>
      <c r="J775" s="64"/>
      <c r="K775" s="64"/>
      <c r="L775" s="64"/>
      <c r="M775" s="64"/>
      <c r="N775" s="64"/>
      <c r="O775" s="64"/>
    </row>
    <row r="776">
      <c r="B776" s="28"/>
      <c r="C776" s="28"/>
      <c r="H776" s="64"/>
      <c r="I776" s="64"/>
      <c r="J776" s="64"/>
      <c r="K776" s="64"/>
      <c r="L776" s="64"/>
      <c r="M776" s="64"/>
      <c r="N776" s="64"/>
      <c r="O776" s="64"/>
    </row>
    <row r="777">
      <c r="B777" s="28"/>
      <c r="C777" s="28"/>
      <c r="H777" s="64"/>
      <c r="I777" s="64"/>
      <c r="J777" s="64"/>
      <c r="K777" s="64"/>
      <c r="L777" s="64"/>
      <c r="M777" s="64"/>
      <c r="N777" s="64"/>
      <c r="O777" s="64"/>
    </row>
    <row r="778">
      <c r="B778" s="28"/>
      <c r="C778" s="28"/>
      <c r="H778" s="64"/>
      <c r="I778" s="64"/>
      <c r="J778" s="64"/>
      <c r="K778" s="64"/>
      <c r="L778" s="64"/>
      <c r="M778" s="64"/>
      <c r="N778" s="64"/>
      <c r="O778" s="64"/>
    </row>
    <row r="779">
      <c r="B779" s="28"/>
      <c r="C779" s="28"/>
      <c r="H779" s="64"/>
      <c r="I779" s="64"/>
      <c r="J779" s="64"/>
      <c r="K779" s="64"/>
      <c r="L779" s="64"/>
      <c r="M779" s="64"/>
      <c r="N779" s="64"/>
      <c r="O779" s="64"/>
    </row>
    <row r="780">
      <c r="B780" s="28"/>
      <c r="C780" s="28"/>
      <c r="H780" s="64"/>
      <c r="I780" s="64"/>
      <c r="J780" s="64"/>
      <c r="K780" s="64"/>
      <c r="L780" s="64"/>
      <c r="M780" s="64"/>
      <c r="N780" s="64"/>
      <c r="O780" s="64"/>
    </row>
    <row r="781">
      <c r="B781" s="28"/>
      <c r="C781" s="28"/>
      <c r="H781" s="64"/>
      <c r="I781" s="64"/>
      <c r="J781" s="64"/>
      <c r="K781" s="64"/>
      <c r="L781" s="64"/>
      <c r="M781" s="64"/>
      <c r="N781" s="64"/>
      <c r="O781" s="64"/>
    </row>
    <row r="782">
      <c r="B782" s="28"/>
      <c r="C782" s="28"/>
      <c r="H782" s="64"/>
      <c r="I782" s="64"/>
      <c r="J782" s="64"/>
      <c r="K782" s="64"/>
      <c r="L782" s="64"/>
      <c r="M782" s="64"/>
      <c r="N782" s="64"/>
      <c r="O782" s="64"/>
    </row>
    <row r="783">
      <c r="B783" s="28"/>
      <c r="C783" s="28"/>
      <c r="H783" s="64"/>
      <c r="I783" s="64"/>
      <c r="J783" s="64"/>
      <c r="K783" s="64"/>
      <c r="L783" s="64"/>
      <c r="M783" s="64"/>
      <c r="N783" s="64"/>
      <c r="O783" s="64"/>
    </row>
    <row r="784">
      <c r="B784" s="28"/>
      <c r="C784" s="28"/>
      <c r="H784" s="64"/>
      <c r="I784" s="64"/>
      <c r="J784" s="64"/>
      <c r="K784" s="64"/>
      <c r="L784" s="64"/>
      <c r="M784" s="64"/>
      <c r="N784" s="64"/>
      <c r="O784" s="64"/>
    </row>
    <row r="785">
      <c r="B785" s="28"/>
      <c r="C785" s="28"/>
      <c r="H785" s="64"/>
      <c r="I785" s="64"/>
      <c r="J785" s="64"/>
      <c r="K785" s="64"/>
      <c r="L785" s="64"/>
      <c r="M785" s="64"/>
      <c r="N785" s="64"/>
      <c r="O785" s="64"/>
    </row>
    <row r="786">
      <c r="B786" s="28"/>
      <c r="C786" s="28"/>
      <c r="H786" s="64"/>
      <c r="I786" s="64"/>
      <c r="J786" s="64"/>
      <c r="K786" s="64"/>
      <c r="L786" s="64"/>
      <c r="M786" s="64"/>
      <c r="N786" s="64"/>
      <c r="O786" s="64"/>
    </row>
    <row r="787">
      <c r="B787" s="28"/>
      <c r="C787" s="28"/>
      <c r="H787" s="64"/>
      <c r="I787" s="64"/>
      <c r="J787" s="64"/>
      <c r="K787" s="64"/>
      <c r="L787" s="64"/>
      <c r="M787" s="64"/>
      <c r="N787" s="64"/>
      <c r="O787" s="64"/>
    </row>
    <row r="788">
      <c r="B788" s="28"/>
      <c r="C788" s="28"/>
      <c r="H788" s="64"/>
      <c r="I788" s="64"/>
      <c r="J788" s="64"/>
      <c r="K788" s="64"/>
      <c r="L788" s="64"/>
      <c r="M788" s="64"/>
      <c r="N788" s="64"/>
      <c r="O788" s="64"/>
    </row>
    <row r="789">
      <c r="B789" s="28"/>
      <c r="C789" s="28"/>
      <c r="H789" s="64"/>
      <c r="I789" s="64"/>
      <c r="J789" s="64"/>
      <c r="K789" s="64"/>
      <c r="L789" s="64"/>
      <c r="M789" s="64"/>
      <c r="N789" s="64"/>
      <c r="O789" s="64"/>
    </row>
    <row r="790">
      <c r="B790" s="28"/>
      <c r="C790" s="28"/>
      <c r="H790" s="64"/>
      <c r="I790" s="64"/>
      <c r="J790" s="64"/>
      <c r="K790" s="64"/>
      <c r="L790" s="64"/>
      <c r="M790" s="64"/>
      <c r="N790" s="64"/>
      <c r="O790" s="64"/>
    </row>
    <row r="791">
      <c r="B791" s="28"/>
      <c r="C791" s="28"/>
      <c r="H791" s="64"/>
      <c r="I791" s="64"/>
      <c r="J791" s="64"/>
      <c r="K791" s="64"/>
      <c r="L791" s="64"/>
      <c r="M791" s="64"/>
      <c r="N791" s="64"/>
      <c r="O791" s="64"/>
    </row>
    <row r="792">
      <c r="B792" s="28"/>
      <c r="C792" s="28"/>
      <c r="H792" s="64"/>
      <c r="I792" s="64"/>
      <c r="J792" s="64"/>
      <c r="K792" s="64"/>
      <c r="L792" s="64"/>
      <c r="M792" s="64"/>
      <c r="N792" s="64"/>
      <c r="O792" s="64"/>
    </row>
    <row r="793">
      <c r="B793" s="28"/>
      <c r="C793" s="28"/>
      <c r="H793" s="64"/>
      <c r="I793" s="64"/>
      <c r="J793" s="64"/>
      <c r="K793" s="64"/>
      <c r="L793" s="64"/>
      <c r="M793" s="64"/>
      <c r="N793" s="64"/>
      <c r="O793" s="64"/>
    </row>
    <row r="794">
      <c r="B794" s="28"/>
      <c r="C794" s="28"/>
      <c r="H794" s="64"/>
      <c r="I794" s="64"/>
      <c r="J794" s="64"/>
      <c r="K794" s="64"/>
      <c r="L794" s="64"/>
      <c r="M794" s="64"/>
      <c r="N794" s="64"/>
      <c r="O794" s="64"/>
    </row>
    <row r="795">
      <c r="B795" s="28"/>
      <c r="C795" s="28"/>
      <c r="H795" s="64"/>
      <c r="I795" s="64"/>
      <c r="J795" s="64"/>
      <c r="K795" s="64"/>
      <c r="L795" s="64"/>
      <c r="M795" s="64"/>
      <c r="N795" s="64"/>
      <c r="O795" s="64"/>
    </row>
    <row r="796">
      <c r="B796" s="28"/>
      <c r="C796" s="28"/>
      <c r="H796" s="64"/>
      <c r="I796" s="64"/>
      <c r="J796" s="64"/>
      <c r="K796" s="64"/>
      <c r="L796" s="64"/>
      <c r="M796" s="64"/>
      <c r="N796" s="64"/>
      <c r="O796" s="64"/>
    </row>
    <row r="797">
      <c r="B797" s="28"/>
      <c r="C797" s="28"/>
      <c r="H797" s="64"/>
      <c r="I797" s="64"/>
      <c r="J797" s="64"/>
      <c r="K797" s="64"/>
      <c r="L797" s="64"/>
      <c r="M797" s="64"/>
      <c r="N797" s="64"/>
      <c r="O797" s="64"/>
    </row>
    <row r="798">
      <c r="B798" s="28"/>
      <c r="C798" s="28"/>
      <c r="H798" s="64"/>
      <c r="I798" s="64"/>
      <c r="J798" s="64"/>
      <c r="K798" s="64"/>
      <c r="L798" s="64"/>
      <c r="M798" s="64"/>
      <c r="N798" s="64"/>
      <c r="O798" s="64"/>
    </row>
    <row r="799">
      <c r="B799" s="28"/>
      <c r="C799" s="28"/>
      <c r="H799" s="64"/>
      <c r="I799" s="64"/>
      <c r="J799" s="64"/>
      <c r="K799" s="64"/>
      <c r="L799" s="64"/>
      <c r="M799" s="64"/>
      <c r="N799" s="64"/>
      <c r="O799" s="64"/>
    </row>
    <row r="800">
      <c r="B800" s="28"/>
      <c r="C800" s="28"/>
      <c r="H800" s="64"/>
      <c r="I800" s="64"/>
      <c r="J800" s="64"/>
      <c r="K800" s="64"/>
      <c r="L800" s="64"/>
      <c r="M800" s="64"/>
      <c r="N800" s="64"/>
      <c r="O800" s="64"/>
    </row>
    <row r="801">
      <c r="B801" s="28"/>
      <c r="C801" s="28"/>
      <c r="H801" s="64"/>
      <c r="I801" s="64"/>
      <c r="J801" s="64"/>
      <c r="K801" s="64"/>
      <c r="L801" s="64"/>
      <c r="M801" s="64"/>
      <c r="N801" s="64"/>
      <c r="O801" s="64"/>
    </row>
    <row r="802">
      <c r="B802" s="28"/>
      <c r="C802" s="28"/>
      <c r="H802" s="64"/>
      <c r="I802" s="64"/>
      <c r="J802" s="64"/>
      <c r="K802" s="64"/>
      <c r="L802" s="64"/>
      <c r="M802" s="64"/>
      <c r="N802" s="64"/>
      <c r="O802" s="64"/>
    </row>
    <row r="803">
      <c r="B803" s="28"/>
      <c r="C803" s="28"/>
      <c r="H803" s="64"/>
      <c r="I803" s="64"/>
      <c r="J803" s="64"/>
      <c r="K803" s="64"/>
      <c r="L803" s="64"/>
      <c r="M803" s="64"/>
      <c r="N803" s="64"/>
      <c r="O803" s="64"/>
    </row>
    <row r="804">
      <c r="B804" s="28"/>
      <c r="C804" s="28"/>
      <c r="H804" s="64"/>
      <c r="I804" s="64"/>
      <c r="J804" s="64"/>
      <c r="K804" s="64"/>
      <c r="L804" s="64"/>
      <c r="M804" s="64"/>
      <c r="N804" s="64"/>
      <c r="O804" s="64"/>
    </row>
    <row r="805">
      <c r="B805" s="28"/>
      <c r="C805" s="28"/>
      <c r="H805" s="64"/>
      <c r="I805" s="64"/>
      <c r="J805" s="64"/>
      <c r="K805" s="64"/>
      <c r="L805" s="64"/>
      <c r="M805" s="64"/>
      <c r="N805" s="64"/>
      <c r="O805" s="64"/>
    </row>
    <row r="806">
      <c r="B806" s="28"/>
      <c r="C806" s="28"/>
      <c r="H806" s="64"/>
      <c r="I806" s="64"/>
      <c r="J806" s="64"/>
      <c r="K806" s="64"/>
      <c r="L806" s="64"/>
      <c r="M806" s="64"/>
      <c r="N806" s="64"/>
      <c r="O806" s="64"/>
    </row>
    <row r="807">
      <c r="B807" s="28"/>
      <c r="C807" s="28"/>
      <c r="H807" s="64"/>
      <c r="I807" s="64"/>
      <c r="J807" s="64"/>
      <c r="K807" s="64"/>
      <c r="L807" s="64"/>
      <c r="M807" s="64"/>
      <c r="N807" s="64"/>
      <c r="O807" s="64"/>
    </row>
    <row r="808">
      <c r="B808" s="28"/>
      <c r="C808" s="28"/>
      <c r="H808" s="64"/>
      <c r="I808" s="64"/>
      <c r="J808" s="64"/>
      <c r="K808" s="64"/>
      <c r="L808" s="64"/>
      <c r="M808" s="64"/>
      <c r="N808" s="64"/>
      <c r="O808" s="64"/>
    </row>
    <row r="809">
      <c r="B809" s="28"/>
      <c r="C809" s="28"/>
      <c r="H809" s="64"/>
      <c r="I809" s="64"/>
      <c r="J809" s="64"/>
      <c r="K809" s="64"/>
      <c r="L809" s="64"/>
      <c r="M809" s="64"/>
      <c r="N809" s="64"/>
      <c r="O809" s="64"/>
    </row>
    <row r="810">
      <c r="B810" s="28"/>
      <c r="C810" s="28"/>
      <c r="H810" s="64"/>
      <c r="I810" s="64"/>
      <c r="J810" s="64"/>
      <c r="K810" s="64"/>
      <c r="L810" s="64"/>
      <c r="M810" s="64"/>
      <c r="N810" s="64"/>
      <c r="O810" s="64"/>
    </row>
    <row r="811">
      <c r="B811" s="28"/>
      <c r="C811" s="28"/>
      <c r="H811" s="64"/>
      <c r="I811" s="64"/>
      <c r="J811" s="64"/>
      <c r="K811" s="64"/>
      <c r="L811" s="64"/>
      <c r="M811" s="64"/>
      <c r="N811" s="64"/>
      <c r="O811" s="64"/>
    </row>
    <row r="812">
      <c r="B812" s="28"/>
      <c r="C812" s="28"/>
      <c r="H812" s="64"/>
      <c r="I812" s="64"/>
      <c r="J812" s="64"/>
      <c r="K812" s="64"/>
      <c r="L812" s="64"/>
      <c r="M812" s="64"/>
      <c r="N812" s="64"/>
      <c r="O812" s="64"/>
    </row>
    <row r="813">
      <c r="B813" s="28"/>
      <c r="C813" s="28"/>
      <c r="H813" s="64"/>
      <c r="I813" s="64"/>
      <c r="J813" s="64"/>
      <c r="K813" s="64"/>
      <c r="L813" s="64"/>
      <c r="M813" s="64"/>
      <c r="N813" s="64"/>
      <c r="O813" s="64"/>
    </row>
    <row r="814">
      <c r="B814" s="28"/>
      <c r="C814" s="28"/>
      <c r="H814" s="64"/>
      <c r="I814" s="64"/>
      <c r="J814" s="64"/>
      <c r="K814" s="64"/>
      <c r="L814" s="64"/>
      <c r="M814" s="64"/>
      <c r="N814" s="64"/>
      <c r="O814" s="64"/>
    </row>
    <row r="815">
      <c r="B815" s="28"/>
      <c r="C815" s="28"/>
      <c r="H815" s="64"/>
      <c r="I815" s="64"/>
      <c r="J815" s="64"/>
      <c r="K815" s="64"/>
      <c r="L815" s="64"/>
      <c r="M815" s="64"/>
      <c r="N815" s="64"/>
      <c r="O815" s="64"/>
    </row>
    <row r="816">
      <c r="B816" s="28"/>
      <c r="C816" s="28"/>
      <c r="H816" s="64"/>
      <c r="I816" s="64"/>
      <c r="J816" s="64"/>
      <c r="K816" s="64"/>
      <c r="L816" s="64"/>
      <c r="M816" s="64"/>
      <c r="N816" s="64"/>
      <c r="O816" s="64"/>
    </row>
    <row r="817">
      <c r="B817" s="28"/>
      <c r="C817" s="28"/>
      <c r="H817" s="64"/>
      <c r="I817" s="64"/>
      <c r="J817" s="64"/>
      <c r="K817" s="64"/>
      <c r="L817" s="64"/>
      <c r="M817" s="64"/>
      <c r="N817" s="64"/>
      <c r="O817" s="64"/>
    </row>
    <row r="818">
      <c r="B818" s="28"/>
      <c r="C818" s="28"/>
      <c r="H818" s="64"/>
      <c r="I818" s="64"/>
      <c r="J818" s="64"/>
      <c r="K818" s="64"/>
      <c r="L818" s="64"/>
      <c r="M818" s="64"/>
      <c r="N818" s="64"/>
      <c r="O818" s="64"/>
    </row>
    <row r="819">
      <c r="B819" s="28"/>
      <c r="C819" s="28"/>
      <c r="H819" s="64"/>
      <c r="I819" s="64"/>
      <c r="J819" s="64"/>
      <c r="K819" s="64"/>
      <c r="L819" s="64"/>
      <c r="M819" s="64"/>
      <c r="N819" s="64"/>
      <c r="O819" s="64"/>
    </row>
    <row r="820">
      <c r="B820" s="28"/>
      <c r="C820" s="28"/>
      <c r="H820" s="64"/>
      <c r="I820" s="64"/>
      <c r="J820" s="64"/>
      <c r="K820" s="64"/>
      <c r="L820" s="64"/>
      <c r="M820" s="64"/>
      <c r="N820" s="64"/>
      <c r="O820" s="64"/>
    </row>
    <row r="821">
      <c r="B821" s="28"/>
      <c r="C821" s="28"/>
      <c r="H821" s="64"/>
      <c r="I821" s="64"/>
      <c r="J821" s="64"/>
      <c r="K821" s="64"/>
      <c r="L821" s="64"/>
      <c r="M821" s="64"/>
      <c r="N821" s="64"/>
      <c r="O821" s="64"/>
    </row>
    <row r="822">
      <c r="B822" s="28"/>
      <c r="C822" s="28"/>
      <c r="H822" s="64"/>
      <c r="I822" s="64"/>
      <c r="J822" s="64"/>
      <c r="K822" s="64"/>
      <c r="L822" s="64"/>
      <c r="M822" s="64"/>
      <c r="N822" s="64"/>
      <c r="O822" s="64"/>
    </row>
    <row r="823">
      <c r="B823" s="28"/>
      <c r="C823" s="28"/>
      <c r="H823" s="64"/>
      <c r="I823" s="64"/>
      <c r="J823" s="64"/>
      <c r="K823" s="64"/>
      <c r="L823" s="64"/>
      <c r="M823" s="64"/>
      <c r="N823" s="64"/>
      <c r="O823" s="64"/>
    </row>
    <row r="824">
      <c r="B824" s="28"/>
      <c r="C824" s="28"/>
      <c r="H824" s="64"/>
      <c r="I824" s="64"/>
      <c r="J824" s="64"/>
      <c r="K824" s="64"/>
      <c r="L824" s="64"/>
      <c r="M824" s="64"/>
      <c r="N824" s="64"/>
      <c r="O824" s="64"/>
    </row>
    <row r="825">
      <c r="B825" s="28"/>
      <c r="C825" s="28"/>
      <c r="H825" s="64"/>
      <c r="I825" s="64"/>
      <c r="J825" s="64"/>
      <c r="K825" s="64"/>
      <c r="L825" s="64"/>
      <c r="M825" s="64"/>
      <c r="N825" s="64"/>
      <c r="O825" s="64"/>
    </row>
    <row r="826">
      <c r="B826" s="28"/>
      <c r="C826" s="28"/>
      <c r="H826" s="64"/>
      <c r="I826" s="64"/>
      <c r="J826" s="64"/>
      <c r="K826" s="64"/>
      <c r="L826" s="64"/>
      <c r="M826" s="64"/>
      <c r="N826" s="64"/>
      <c r="O826" s="64"/>
    </row>
    <row r="827">
      <c r="B827" s="28"/>
      <c r="C827" s="28"/>
      <c r="H827" s="64"/>
      <c r="I827" s="64"/>
      <c r="J827" s="64"/>
      <c r="K827" s="64"/>
      <c r="L827" s="64"/>
      <c r="M827" s="64"/>
      <c r="N827" s="64"/>
      <c r="O827" s="64"/>
    </row>
    <row r="828">
      <c r="B828" s="28"/>
      <c r="C828" s="28"/>
      <c r="H828" s="64"/>
      <c r="I828" s="64"/>
      <c r="J828" s="64"/>
      <c r="K828" s="64"/>
      <c r="L828" s="64"/>
      <c r="M828" s="64"/>
      <c r="N828" s="64"/>
      <c r="O828" s="64"/>
    </row>
    <row r="829">
      <c r="B829" s="28"/>
      <c r="C829" s="28"/>
      <c r="H829" s="64"/>
      <c r="I829" s="64"/>
      <c r="J829" s="64"/>
      <c r="K829" s="64"/>
      <c r="L829" s="64"/>
      <c r="M829" s="64"/>
      <c r="N829" s="64"/>
      <c r="O829" s="64"/>
    </row>
    <row r="830">
      <c r="B830" s="28"/>
      <c r="C830" s="28"/>
      <c r="H830" s="64"/>
      <c r="I830" s="64"/>
      <c r="J830" s="64"/>
      <c r="K830" s="64"/>
      <c r="L830" s="64"/>
      <c r="M830" s="64"/>
      <c r="N830" s="64"/>
      <c r="O830" s="64"/>
    </row>
    <row r="831">
      <c r="B831" s="28"/>
      <c r="C831" s="28"/>
      <c r="H831" s="64"/>
      <c r="I831" s="64"/>
      <c r="J831" s="64"/>
      <c r="K831" s="64"/>
      <c r="L831" s="64"/>
      <c r="M831" s="64"/>
      <c r="N831" s="64"/>
      <c r="O831" s="64"/>
    </row>
    <row r="832">
      <c r="B832" s="28"/>
      <c r="C832" s="28"/>
      <c r="H832" s="64"/>
      <c r="I832" s="64"/>
      <c r="J832" s="64"/>
      <c r="K832" s="64"/>
      <c r="L832" s="64"/>
      <c r="M832" s="64"/>
      <c r="N832" s="64"/>
      <c r="O832" s="64"/>
    </row>
    <row r="833">
      <c r="B833" s="28"/>
      <c r="C833" s="28"/>
      <c r="H833" s="64"/>
      <c r="I833" s="64"/>
      <c r="J833" s="64"/>
      <c r="K833" s="64"/>
      <c r="L833" s="64"/>
      <c r="M833" s="64"/>
      <c r="N833" s="64"/>
      <c r="O833" s="64"/>
    </row>
    <row r="834">
      <c r="B834" s="28"/>
      <c r="C834" s="28"/>
      <c r="H834" s="64"/>
      <c r="I834" s="64"/>
      <c r="J834" s="64"/>
      <c r="K834" s="64"/>
      <c r="L834" s="64"/>
      <c r="M834" s="64"/>
      <c r="N834" s="64"/>
      <c r="O834" s="64"/>
    </row>
    <row r="835">
      <c r="B835" s="28"/>
      <c r="C835" s="28"/>
      <c r="H835" s="64"/>
      <c r="I835" s="64"/>
      <c r="J835" s="64"/>
      <c r="K835" s="64"/>
      <c r="L835" s="64"/>
      <c r="M835" s="64"/>
      <c r="N835" s="64"/>
      <c r="O835" s="64"/>
    </row>
    <row r="836">
      <c r="B836" s="28"/>
      <c r="C836" s="28"/>
      <c r="H836" s="64"/>
      <c r="I836" s="64"/>
      <c r="J836" s="64"/>
      <c r="K836" s="64"/>
      <c r="L836" s="64"/>
      <c r="M836" s="64"/>
      <c r="N836" s="64"/>
      <c r="O836" s="64"/>
    </row>
    <row r="837">
      <c r="B837" s="28"/>
      <c r="C837" s="28"/>
      <c r="H837" s="64"/>
      <c r="I837" s="64"/>
      <c r="J837" s="64"/>
      <c r="K837" s="64"/>
      <c r="L837" s="64"/>
      <c r="M837" s="64"/>
      <c r="N837" s="64"/>
      <c r="O837" s="64"/>
    </row>
    <row r="838">
      <c r="B838" s="28"/>
      <c r="C838" s="28"/>
      <c r="H838" s="64"/>
      <c r="I838" s="64"/>
      <c r="J838" s="64"/>
      <c r="K838" s="64"/>
      <c r="L838" s="64"/>
      <c r="M838" s="64"/>
      <c r="N838" s="64"/>
      <c r="O838" s="64"/>
    </row>
    <row r="839">
      <c r="B839" s="28"/>
      <c r="C839" s="28"/>
      <c r="H839" s="64"/>
      <c r="I839" s="64"/>
      <c r="J839" s="64"/>
      <c r="K839" s="64"/>
      <c r="L839" s="64"/>
      <c r="M839" s="64"/>
      <c r="N839" s="64"/>
      <c r="O839" s="64"/>
    </row>
    <row r="840">
      <c r="B840" s="28"/>
      <c r="C840" s="28"/>
      <c r="H840" s="64"/>
      <c r="I840" s="64"/>
      <c r="J840" s="64"/>
      <c r="K840" s="64"/>
      <c r="L840" s="64"/>
      <c r="M840" s="64"/>
      <c r="N840" s="64"/>
      <c r="O840" s="64"/>
    </row>
    <row r="841">
      <c r="B841" s="28"/>
      <c r="C841" s="28"/>
      <c r="H841" s="64"/>
      <c r="I841" s="64"/>
      <c r="J841" s="64"/>
      <c r="K841" s="64"/>
      <c r="L841" s="64"/>
      <c r="M841" s="64"/>
      <c r="N841" s="64"/>
      <c r="O841" s="64"/>
    </row>
    <row r="842">
      <c r="B842" s="28"/>
      <c r="C842" s="28"/>
      <c r="H842" s="64"/>
      <c r="I842" s="64"/>
      <c r="J842" s="64"/>
      <c r="K842" s="64"/>
      <c r="L842" s="64"/>
      <c r="M842" s="64"/>
      <c r="N842" s="64"/>
      <c r="O842" s="64"/>
    </row>
    <row r="843">
      <c r="B843" s="28"/>
      <c r="C843" s="28"/>
      <c r="H843" s="64"/>
      <c r="I843" s="64"/>
      <c r="J843" s="64"/>
      <c r="K843" s="64"/>
      <c r="L843" s="64"/>
      <c r="M843" s="64"/>
      <c r="N843" s="64"/>
      <c r="O843" s="64"/>
    </row>
    <row r="844">
      <c r="B844" s="28"/>
      <c r="C844" s="28"/>
      <c r="H844" s="64"/>
      <c r="I844" s="64"/>
      <c r="J844" s="64"/>
      <c r="K844" s="64"/>
      <c r="L844" s="64"/>
      <c r="M844" s="64"/>
      <c r="N844" s="64"/>
      <c r="O844" s="64"/>
    </row>
    <row r="845">
      <c r="B845" s="28"/>
      <c r="C845" s="28"/>
      <c r="H845" s="64"/>
      <c r="I845" s="64"/>
      <c r="J845" s="64"/>
      <c r="K845" s="64"/>
      <c r="L845" s="64"/>
      <c r="M845" s="64"/>
      <c r="N845" s="64"/>
      <c r="O845" s="64"/>
    </row>
    <row r="846">
      <c r="B846" s="28"/>
      <c r="C846" s="28"/>
      <c r="H846" s="64"/>
      <c r="I846" s="64"/>
      <c r="J846" s="64"/>
      <c r="K846" s="64"/>
      <c r="L846" s="64"/>
      <c r="M846" s="64"/>
      <c r="N846" s="64"/>
      <c r="O846" s="64"/>
    </row>
    <row r="847">
      <c r="B847" s="28"/>
      <c r="C847" s="28"/>
      <c r="H847" s="64"/>
      <c r="I847" s="64"/>
      <c r="J847" s="64"/>
      <c r="K847" s="64"/>
      <c r="L847" s="64"/>
      <c r="M847" s="64"/>
      <c r="N847" s="64"/>
      <c r="O847" s="64"/>
    </row>
    <row r="848">
      <c r="B848" s="28"/>
      <c r="C848" s="28"/>
      <c r="H848" s="64"/>
      <c r="I848" s="64"/>
      <c r="J848" s="64"/>
      <c r="K848" s="64"/>
      <c r="L848" s="64"/>
      <c r="M848" s="64"/>
      <c r="N848" s="64"/>
      <c r="O848" s="64"/>
    </row>
    <row r="849">
      <c r="B849" s="28"/>
      <c r="C849" s="28"/>
      <c r="H849" s="64"/>
      <c r="I849" s="64"/>
      <c r="J849" s="64"/>
      <c r="K849" s="64"/>
      <c r="L849" s="64"/>
      <c r="M849" s="64"/>
      <c r="N849" s="64"/>
      <c r="O849" s="64"/>
    </row>
    <row r="850">
      <c r="B850" s="28"/>
      <c r="C850" s="28"/>
      <c r="H850" s="64"/>
      <c r="I850" s="64"/>
      <c r="J850" s="64"/>
      <c r="K850" s="64"/>
      <c r="L850" s="64"/>
      <c r="M850" s="64"/>
      <c r="N850" s="64"/>
      <c r="O850" s="64"/>
    </row>
    <row r="851">
      <c r="B851" s="28"/>
      <c r="C851" s="28"/>
      <c r="H851" s="64"/>
      <c r="I851" s="64"/>
      <c r="J851" s="64"/>
      <c r="K851" s="64"/>
      <c r="L851" s="64"/>
      <c r="M851" s="64"/>
      <c r="N851" s="64"/>
      <c r="O851" s="64"/>
    </row>
    <row r="852">
      <c r="B852" s="28"/>
      <c r="C852" s="28"/>
      <c r="H852" s="64"/>
      <c r="I852" s="64"/>
      <c r="J852" s="64"/>
      <c r="K852" s="64"/>
      <c r="L852" s="64"/>
      <c r="M852" s="64"/>
      <c r="N852" s="64"/>
      <c r="O852" s="64"/>
    </row>
    <row r="853">
      <c r="B853" s="28"/>
      <c r="C853" s="28"/>
      <c r="H853" s="64"/>
      <c r="I853" s="64"/>
      <c r="J853" s="64"/>
      <c r="K853" s="64"/>
      <c r="L853" s="64"/>
      <c r="M853" s="64"/>
      <c r="N853" s="64"/>
      <c r="O853" s="64"/>
    </row>
    <row r="854">
      <c r="B854" s="28"/>
      <c r="C854" s="28"/>
      <c r="H854" s="64"/>
      <c r="I854" s="64"/>
      <c r="J854" s="64"/>
      <c r="K854" s="64"/>
      <c r="L854" s="64"/>
      <c r="M854" s="64"/>
      <c r="N854" s="64"/>
      <c r="O854" s="64"/>
    </row>
    <row r="855">
      <c r="B855" s="28"/>
      <c r="C855" s="28"/>
      <c r="H855" s="64"/>
      <c r="I855" s="64"/>
      <c r="J855" s="64"/>
      <c r="K855" s="64"/>
      <c r="L855" s="64"/>
      <c r="M855" s="64"/>
      <c r="N855" s="64"/>
      <c r="O855" s="64"/>
    </row>
    <row r="856">
      <c r="B856" s="28"/>
      <c r="C856" s="28"/>
      <c r="H856" s="64"/>
      <c r="I856" s="64"/>
      <c r="J856" s="64"/>
      <c r="K856" s="64"/>
      <c r="L856" s="64"/>
      <c r="M856" s="64"/>
      <c r="N856" s="64"/>
      <c r="O856" s="64"/>
    </row>
    <row r="857">
      <c r="B857" s="28"/>
      <c r="C857" s="28"/>
      <c r="H857" s="64"/>
      <c r="I857" s="64"/>
      <c r="J857" s="64"/>
      <c r="K857" s="64"/>
      <c r="L857" s="64"/>
      <c r="M857" s="64"/>
      <c r="N857" s="64"/>
      <c r="O857" s="64"/>
    </row>
    <row r="858">
      <c r="B858" s="28"/>
      <c r="C858" s="28"/>
      <c r="H858" s="64"/>
      <c r="I858" s="64"/>
      <c r="J858" s="64"/>
      <c r="K858" s="64"/>
      <c r="L858" s="64"/>
      <c r="M858" s="64"/>
      <c r="N858" s="64"/>
      <c r="O858" s="64"/>
    </row>
    <row r="859">
      <c r="B859" s="28"/>
      <c r="C859" s="28"/>
      <c r="H859" s="64"/>
      <c r="I859" s="64"/>
      <c r="J859" s="64"/>
      <c r="K859" s="64"/>
      <c r="L859" s="64"/>
      <c r="M859" s="64"/>
      <c r="N859" s="64"/>
      <c r="O859" s="64"/>
    </row>
    <row r="860">
      <c r="B860" s="28"/>
      <c r="C860" s="28"/>
      <c r="H860" s="64"/>
      <c r="I860" s="64"/>
      <c r="J860" s="64"/>
      <c r="K860" s="64"/>
      <c r="L860" s="64"/>
      <c r="M860" s="64"/>
      <c r="N860" s="64"/>
      <c r="O860" s="64"/>
    </row>
    <row r="861">
      <c r="B861" s="28"/>
      <c r="C861" s="28"/>
      <c r="H861" s="64"/>
      <c r="I861" s="64"/>
      <c r="J861" s="64"/>
      <c r="K861" s="64"/>
      <c r="L861" s="64"/>
      <c r="M861" s="64"/>
      <c r="N861" s="64"/>
      <c r="O861" s="64"/>
    </row>
    <row r="862">
      <c r="B862" s="28"/>
      <c r="C862" s="28"/>
      <c r="H862" s="64"/>
      <c r="I862" s="64"/>
      <c r="J862" s="64"/>
      <c r="K862" s="64"/>
      <c r="L862" s="64"/>
      <c r="M862" s="64"/>
      <c r="N862" s="64"/>
      <c r="O862" s="64"/>
    </row>
    <row r="863">
      <c r="B863" s="28"/>
      <c r="C863" s="28"/>
      <c r="H863" s="64"/>
      <c r="I863" s="64"/>
      <c r="J863" s="64"/>
      <c r="K863" s="64"/>
      <c r="L863" s="64"/>
      <c r="M863" s="64"/>
      <c r="N863" s="64"/>
      <c r="O863" s="64"/>
    </row>
    <row r="864">
      <c r="B864" s="28"/>
      <c r="C864" s="28"/>
      <c r="H864" s="64"/>
      <c r="I864" s="64"/>
      <c r="J864" s="64"/>
      <c r="K864" s="64"/>
      <c r="L864" s="64"/>
      <c r="M864" s="64"/>
      <c r="N864" s="64"/>
      <c r="O864" s="64"/>
    </row>
    <row r="865">
      <c r="B865" s="28"/>
      <c r="C865" s="28"/>
      <c r="H865" s="64"/>
      <c r="I865" s="64"/>
      <c r="J865" s="64"/>
      <c r="K865" s="64"/>
      <c r="L865" s="64"/>
      <c r="M865" s="64"/>
      <c r="N865" s="64"/>
      <c r="O865" s="64"/>
    </row>
    <row r="866">
      <c r="B866" s="28"/>
      <c r="C866" s="28"/>
      <c r="H866" s="64"/>
      <c r="I866" s="64"/>
      <c r="J866" s="64"/>
      <c r="K866" s="64"/>
      <c r="L866" s="64"/>
      <c r="M866" s="64"/>
      <c r="N866" s="64"/>
      <c r="O866" s="64"/>
    </row>
    <row r="867">
      <c r="B867" s="28"/>
      <c r="C867" s="28"/>
      <c r="H867" s="64"/>
      <c r="I867" s="64"/>
      <c r="J867" s="64"/>
      <c r="K867" s="64"/>
      <c r="L867" s="64"/>
      <c r="M867" s="64"/>
      <c r="N867" s="64"/>
      <c r="O867" s="64"/>
    </row>
    <row r="868">
      <c r="B868" s="28"/>
      <c r="C868" s="28"/>
      <c r="H868" s="64"/>
      <c r="I868" s="64"/>
      <c r="J868" s="64"/>
      <c r="K868" s="64"/>
      <c r="L868" s="64"/>
      <c r="M868" s="64"/>
      <c r="N868" s="64"/>
      <c r="O868" s="64"/>
    </row>
    <row r="869">
      <c r="B869" s="28"/>
      <c r="C869" s="28"/>
      <c r="H869" s="64"/>
      <c r="I869" s="64"/>
      <c r="J869" s="64"/>
      <c r="K869" s="64"/>
      <c r="L869" s="64"/>
      <c r="M869" s="64"/>
      <c r="N869" s="64"/>
      <c r="O869" s="64"/>
    </row>
    <row r="870">
      <c r="B870" s="28"/>
      <c r="C870" s="28"/>
      <c r="H870" s="64"/>
      <c r="I870" s="64"/>
      <c r="J870" s="64"/>
      <c r="K870" s="64"/>
      <c r="L870" s="64"/>
      <c r="M870" s="64"/>
      <c r="N870" s="64"/>
      <c r="O870" s="64"/>
    </row>
    <row r="871">
      <c r="B871" s="28"/>
      <c r="C871" s="28"/>
      <c r="H871" s="64"/>
      <c r="I871" s="64"/>
      <c r="J871" s="64"/>
      <c r="K871" s="64"/>
      <c r="L871" s="64"/>
      <c r="M871" s="64"/>
      <c r="N871" s="64"/>
      <c r="O871" s="64"/>
    </row>
    <row r="872">
      <c r="B872" s="28"/>
      <c r="C872" s="28"/>
      <c r="H872" s="64"/>
      <c r="I872" s="64"/>
      <c r="J872" s="64"/>
      <c r="K872" s="64"/>
      <c r="L872" s="64"/>
      <c r="M872" s="64"/>
      <c r="N872" s="64"/>
      <c r="O872" s="64"/>
    </row>
    <row r="873">
      <c r="B873" s="28"/>
      <c r="C873" s="28"/>
      <c r="H873" s="64"/>
      <c r="I873" s="64"/>
      <c r="J873" s="64"/>
      <c r="K873" s="64"/>
      <c r="L873" s="64"/>
      <c r="M873" s="64"/>
      <c r="N873" s="64"/>
      <c r="O873" s="64"/>
    </row>
    <row r="874">
      <c r="B874" s="28"/>
      <c r="C874" s="28"/>
      <c r="H874" s="64"/>
      <c r="I874" s="64"/>
      <c r="J874" s="64"/>
      <c r="K874" s="64"/>
      <c r="L874" s="64"/>
      <c r="M874" s="64"/>
      <c r="N874" s="64"/>
      <c r="O874" s="64"/>
    </row>
    <row r="875">
      <c r="B875" s="28"/>
      <c r="C875" s="28"/>
      <c r="H875" s="64"/>
      <c r="I875" s="64"/>
      <c r="J875" s="64"/>
      <c r="K875" s="64"/>
      <c r="L875" s="64"/>
      <c r="M875" s="64"/>
      <c r="N875" s="64"/>
      <c r="O875" s="64"/>
    </row>
    <row r="876">
      <c r="B876" s="28"/>
      <c r="C876" s="28"/>
      <c r="H876" s="64"/>
      <c r="I876" s="64"/>
      <c r="J876" s="64"/>
      <c r="K876" s="64"/>
      <c r="L876" s="64"/>
      <c r="M876" s="64"/>
      <c r="N876" s="64"/>
      <c r="O876" s="64"/>
    </row>
    <row r="877">
      <c r="B877" s="28"/>
      <c r="C877" s="28"/>
      <c r="H877" s="64"/>
      <c r="I877" s="64"/>
      <c r="J877" s="64"/>
      <c r="K877" s="64"/>
      <c r="L877" s="64"/>
      <c r="M877" s="64"/>
      <c r="N877" s="64"/>
      <c r="O877" s="64"/>
    </row>
    <row r="878">
      <c r="B878" s="28"/>
      <c r="C878" s="28"/>
      <c r="H878" s="64"/>
      <c r="I878" s="64"/>
      <c r="J878" s="64"/>
      <c r="K878" s="64"/>
      <c r="L878" s="64"/>
      <c r="M878" s="64"/>
      <c r="N878" s="64"/>
      <c r="O878" s="64"/>
    </row>
    <row r="879">
      <c r="B879" s="28"/>
      <c r="C879" s="28"/>
      <c r="H879" s="64"/>
      <c r="I879" s="64"/>
      <c r="J879" s="64"/>
      <c r="K879" s="64"/>
      <c r="L879" s="64"/>
      <c r="M879" s="64"/>
      <c r="N879" s="64"/>
      <c r="O879" s="64"/>
    </row>
    <row r="880">
      <c r="B880" s="28"/>
      <c r="C880" s="28"/>
      <c r="H880" s="64"/>
      <c r="I880" s="64"/>
      <c r="J880" s="64"/>
      <c r="K880" s="64"/>
      <c r="L880" s="64"/>
      <c r="M880" s="64"/>
      <c r="N880" s="64"/>
      <c r="O880" s="64"/>
    </row>
    <row r="881">
      <c r="B881" s="28"/>
      <c r="C881" s="28"/>
      <c r="H881" s="64"/>
      <c r="I881" s="64"/>
      <c r="J881" s="64"/>
      <c r="K881" s="64"/>
      <c r="L881" s="64"/>
      <c r="M881" s="64"/>
      <c r="N881" s="64"/>
      <c r="O881" s="64"/>
    </row>
    <row r="882">
      <c r="B882" s="28"/>
      <c r="C882" s="28"/>
      <c r="H882" s="64"/>
      <c r="I882" s="64"/>
      <c r="J882" s="64"/>
      <c r="K882" s="64"/>
      <c r="L882" s="64"/>
      <c r="M882" s="64"/>
      <c r="N882" s="64"/>
      <c r="O882" s="64"/>
    </row>
    <row r="883">
      <c r="B883" s="28"/>
      <c r="C883" s="28"/>
      <c r="H883" s="64"/>
      <c r="I883" s="64"/>
      <c r="J883" s="64"/>
      <c r="K883" s="64"/>
      <c r="L883" s="64"/>
      <c r="M883" s="64"/>
      <c r="N883" s="64"/>
      <c r="O883" s="64"/>
    </row>
    <row r="884">
      <c r="B884" s="28"/>
      <c r="C884" s="28"/>
      <c r="H884" s="64"/>
      <c r="I884" s="64"/>
      <c r="J884" s="64"/>
      <c r="K884" s="64"/>
      <c r="L884" s="64"/>
      <c r="M884" s="64"/>
      <c r="N884" s="64"/>
      <c r="O884" s="64"/>
    </row>
    <row r="885">
      <c r="B885" s="28"/>
      <c r="C885" s="28"/>
      <c r="H885" s="64"/>
      <c r="I885" s="64"/>
      <c r="J885" s="64"/>
      <c r="K885" s="64"/>
      <c r="L885" s="64"/>
      <c r="M885" s="64"/>
      <c r="N885" s="64"/>
      <c r="O885" s="64"/>
    </row>
    <row r="886">
      <c r="B886" s="28"/>
      <c r="C886" s="28"/>
      <c r="H886" s="64"/>
      <c r="I886" s="64"/>
      <c r="J886" s="64"/>
      <c r="K886" s="64"/>
      <c r="L886" s="64"/>
      <c r="M886" s="64"/>
      <c r="N886" s="64"/>
      <c r="O886" s="64"/>
    </row>
    <row r="887">
      <c r="B887" s="28"/>
      <c r="C887" s="28"/>
      <c r="H887" s="64"/>
      <c r="I887" s="64"/>
      <c r="J887" s="64"/>
      <c r="K887" s="64"/>
      <c r="L887" s="64"/>
      <c r="M887" s="64"/>
      <c r="N887" s="64"/>
      <c r="O887" s="64"/>
    </row>
    <row r="888">
      <c r="B888" s="28"/>
      <c r="C888" s="28"/>
      <c r="H888" s="64"/>
      <c r="I888" s="64"/>
      <c r="J888" s="64"/>
      <c r="K888" s="64"/>
      <c r="L888" s="64"/>
      <c r="M888" s="64"/>
      <c r="N888" s="64"/>
      <c r="O888" s="64"/>
    </row>
    <row r="889">
      <c r="B889" s="28"/>
      <c r="C889" s="28"/>
      <c r="H889" s="64"/>
      <c r="I889" s="64"/>
      <c r="J889" s="64"/>
      <c r="K889" s="64"/>
      <c r="L889" s="64"/>
      <c r="M889" s="64"/>
      <c r="N889" s="64"/>
      <c r="O889" s="64"/>
    </row>
    <row r="890">
      <c r="B890" s="28"/>
      <c r="C890" s="28"/>
      <c r="H890" s="64"/>
      <c r="I890" s="64"/>
      <c r="J890" s="64"/>
      <c r="K890" s="64"/>
      <c r="L890" s="64"/>
      <c r="M890" s="64"/>
      <c r="N890" s="64"/>
      <c r="O890" s="64"/>
    </row>
    <row r="891">
      <c r="B891" s="28"/>
      <c r="C891" s="28"/>
      <c r="H891" s="64"/>
      <c r="I891" s="64"/>
      <c r="J891" s="64"/>
      <c r="K891" s="64"/>
      <c r="L891" s="64"/>
      <c r="M891" s="64"/>
      <c r="N891" s="64"/>
      <c r="O891" s="64"/>
    </row>
    <row r="892">
      <c r="B892" s="28"/>
      <c r="C892" s="28"/>
      <c r="H892" s="64"/>
      <c r="I892" s="64"/>
      <c r="J892" s="64"/>
      <c r="K892" s="64"/>
      <c r="L892" s="64"/>
      <c r="M892" s="64"/>
      <c r="N892" s="64"/>
      <c r="O892" s="64"/>
    </row>
    <row r="893">
      <c r="B893" s="28"/>
      <c r="C893" s="28"/>
      <c r="H893" s="64"/>
      <c r="I893" s="64"/>
      <c r="J893" s="64"/>
      <c r="K893" s="64"/>
      <c r="L893" s="64"/>
      <c r="M893" s="64"/>
      <c r="N893" s="64"/>
      <c r="O893" s="64"/>
    </row>
    <row r="894">
      <c r="B894" s="28"/>
      <c r="C894" s="28"/>
      <c r="H894" s="64"/>
      <c r="I894" s="64"/>
      <c r="J894" s="64"/>
      <c r="K894" s="64"/>
      <c r="L894" s="64"/>
      <c r="M894" s="64"/>
      <c r="N894" s="64"/>
      <c r="O894" s="64"/>
    </row>
    <row r="895">
      <c r="B895" s="28"/>
      <c r="C895" s="28"/>
      <c r="H895" s="64"/>
      <c r="I895" s="64"/>
      <c r="J895" s="64"/>
      <c r="K895" s="64"/>
      <c r="L895" s="64"/>
      <c r="M895" s="64"/>
      <c r="N895" s="64"/>
      <c r="O895" s="64"/>
    </row>
    <row r="896">
      <c r="B896" s="28"/>
      <c r="C896" s="28"/>
      <c r="H896" s="64"/>
      <c r="I896" s="64"/>
      <c r="J896" s="64"/>
      <c r="K896" s="64"/>
      <c r="L896" s="64"/>
      <c r="M896" s="64"/>
      <c r="N896" s="64"/>
      <c r="O896" s="64"/>
    </row>
    <row r="897">
      <c r="B897" s="28"/>
      <c r="C897" s="28"/>
      <c r="H897" s="64"/>
      <c r="I897" s="64"/>
      <c r="J897" s="64"/>
      <c r="K897" s="64"/>
      <c r="L897" s="64"/>
      <c r="M897" s="64"/>
      <c r="N897" s="64"/>
      <c r="O897" s="64"/>
    </row>
    <row r="898">
      <c r="B898" s="28"/>
      <c r="C898" s="28"/>
      <c r="H898" s="64"/>
      <c r="I898" s="64"/>
      <c r="J898" s="64"/>
      <c r="K898" s="64"/>
      <c r="L898" s="64"/>
      <c r="M898" s="64"/>
      <c r="N898" s="64"/>
      <c r="O898" s="64"/>
    </row>
    <row r="899">
      <c r="B899" s="28"/>
      <c r="C899" s="28"/>
      <c r="H899" s="64"/>
      <c r="I899" s="64"/>
      <c r="J899" s="64"/>
      <c r="K899" s="64"/>
      <c r="L899" s="64"/>
      <c r="M899" s="64"/>
      <c r="N899" s="64"/>
      <c r="O899" s="64"/>
    </row>
    <row r="900">
      <c r="B900" s="28"/>
      <c r="C900" s="28"/>
      <c r="H900" s="64"/>
      <c r="I900" s="64"/>
      <c r="J900" s="64"/>
      <c r="K900" s="64"/>
      <c r="L900" s="64"/>
      <c r="M900" s="64"/>
      <c r="N900" s="64"/>
      <c r="O900" s="64"/>
    </row>
    <row r="901">
      <c r="B901" s="28"/>
      <c r="C901" s="28"/>
      <c r="H901" s="64"/>
      <c r="I901" s="64"/>
      <c r="J901" s="64"/>
      <c r="K901" s="64"/>
      <c r="L901" s="64"/>
      <c r="M901" s="64"/>
      <c r="N901" s="64"/>
      <c r="O901" s="64"/>
    </row>
    <row r="902">
      <c r="B902" s="28"/>
      <c r="C902" s="28"/>
      <c r="H902" s="64"/>
      <c r="I902" s="64"/>
      <c r="J902" s="64"/>
      <c r="K902" s="64"/>
      <c r="L902" s="64"/>
      <c r="M902" s="64"/>
      <c r="N902" s="64"/>
      <c r="O902" s="64"/>
    </row>
    <row r="903">
      <c r="B903" s="28"/>
      <c r="C903" s="28"/>
      <c r="H903" s="64"/>
      <c r="I903" s="64"/>
      <c r="J903" s="64"/>
      <c r="K903" s="64"/>
      <c r="L903" s="64"/>
      <c r="M903" s="64"/>
      <c r="N903" s="64"/>
      <c r="O903" s="64"/>
    </row>
    <row r="904">
      <c r="B904" s="28"/>
      <c r="C904" s="28"/>
      <c r="H904" s="64"/>
      <c r="I904" s="64"/>
      <c r="J904" s="64"/>
      <c r="K904" s="64"/>
      <c r="L904" s="64"/>
      <c r="M904" s="64"/>
      <c r="N904" s="64"/>
      <c r="O904" s="64"/>
    </row>
    <row r="905">
      <c r="B905" s="28"/>
      <c r="C905" s="28"/>
      <c r="H905" s="64"/>
      <c r="I905" s="64"/>
      <c r="J905" s="64"/>
      <c r="K905" s="64"/>
      <c r="L905" s="64"/>
      <c r="M905" s="64"/>
      <c r="N905" s="64"/>
      <c r="O905" s="64"/>
    </row>
    <row r="906">
      <c r="B906" s="28"/>
      <c r="C906" s="28"/>
      <c r="H906" s="64"/>
      <c r="I906" s="64"/>
      <c r="J906" s="64"/>
      <c r="K906" s="64"/>
      <c r="L906" s="64"/>
      <c r="M906" s="64"/>
      <c r="N906" s="64"/>
      <c r="O906" s="64"/>
    </row>
    <row r="907">
      <c r="B907" s="28"/>
      <c r="C907" s="28"/>
      <c r="H907" s="64"/>
      <c r="I907" s="64"/>
      <c r="J907" s="64"/>
      <c r="K907" s="64"/>
      <c r="L907" s="64"/>
      <c r="M907" s="64"/>
      <c r="N907" s="64"/>
      <c r="O907" s="64"/>
    </row>
    <row r="908">
      <c r="B908" s="28"/>
      <c r="C908" s="28"/>
      <c r="H908" s="64"/>
      <c r="I908" s="64"/>
      <c r="J908" s="64"/>
      <c r="K908" s="64"/>
      <c r="L908" s="64"/>
      <c r="M908" s="64"/>
      <c r="N908" s="64"/>
      <c r="O908" s="64"/>
    </row>
    <row r="909">
      <c r="B909" s="28"/>
      <c r="C909" s="28"/>
      <c r="H909" s="64"/>
      <c r="I909" s="64"/>
      <c r="J909" s="64"/>
      <c r="K909" s="64"/>
      <c r="L909" s="64"/>
      <c r="M909" s="64"/>
      <c r="N909" s="64"/>
      <c r="O909" s="64"/>
    </row>
    <row r="910">
      <c r="B910" s="28"/>
      <c r="C910" s="28"/>
      <c r="H910" s="64"/>
      <c r="I910" s="64"/>
      <c r="J910" s="64"/>
      <c r="K910" s="64"/>
      <c r="L910" s="64"/>
      <c r="M910" s="64"/>
      <c r="N910" s="64"/>
      <c r="O910" s="64"/>
    </row>
    <row r="911">
      <c r="B911" s="28"/>
      <c r="C911" s="28"/>
      <c r="H911" s="64"/>
      <c r="I911" s="64"/>
      <c r="J911" s="64"/>
      <c r="K911" s="64"/>
      <c r="L911" s="64"/>
      <c r="M911" s="64"/>
      <c r="N911" s="64"/>
      <c r="O911" s="64"/>
    </row>
    <row r="912">
      <c r="B912" s="28"/>
      <c r="C912" s="28"/>
      <c r="H912" s="64"/>
      <c r="I912" s="64"/>
      <c r="J912" s="64"/>
      <c r="K912" s="64"/>
      <c r="L912" s="64"/>
      <c r="M912" s="64"/>
      <c r="N912" s="64"/>
      <c r="O912" s="64"/>
    </row>
    <row r="913">
      <c r="B913" s="28"/>
      <c r="C913" s="28"/>
      <c r="H913" s="64"/>
      <c r="I913" s="64"/>
      <c r="J913" s="64"/>
      <c r="K913" s="64"/>
      <c r="L913" s="64"/>
      <c r="M913" s="64"/>
      <c r="N913" s="64"/>
      <c r="O913" s="64"/>
    </row>
    <row r="914">
      <c r="B914" s="28"/>
      <c r="C914" s="28"/>
      <c r="H914" s="64"/>
      <c r="I914" s="64"/>
      <c r="J914" s="64"/>
      <c r="K914" s="64"/>
      <c r="L914" s="64"/>
      <c r="M914" s="64"/>
      <c r="N914" s="64"/>
      <c r="O914" s="64"/>
    </row>
    <row r="915">
      <c r="B915" s="28"/>
      <c r="C915" s="28"/>
      <c r="H915" s="64"/>
      <c r="I915" s="64"/>
      <c r="J915" s="64"/>
      <c r="K915" s="64"/>
      <c r="L915" s="64"/>
      <c r="M915" s="64"/>
      <c r="N915" s="64"/>
      <c r="O915" s="64"/>
    </row>
    <row r="916">
      <c r="B916" s="28"/>
      <c r="C916" s="28"/>
      <c r="H916" s="64"/>
      <c r="I916" s="64"/>
      <c r="J916" s="64"/>
      <c r="K916" s="64"/>
      <c r="L916" s="64"/>
      <c r="M916" s="64"/>
      <c r="N916" s="64"/>
      <c r="O916" s="64"/>
    </row>
    <row r="917">
      <c r="B917" s="28"/>
      <c r="C917" s="28"/>
      <c r="H917" s="64"/>
      <c r="I917" s="64"/>
      <c r="J917" s="64"/>
      <c r="K917" s="64"/>
      <c r="L917" s="64"/>
      <c r="M917" s="64"/>
      <c r="N917" s="64"/>
      <c r="O917" s="64"/>
    </row>
    <row r="918">
      <c r="B918" s="28"/>
      <c r="C918" s="28"/>
      <c r="H918" s="64"/>
      <c r="I918" s="64"/>
      <c r="J918" s="64"/>
      <c r="K918" s="64"/>
      <c r="L918" s="64"/>
      <c r="M918" s="64"/>
      <c r="N918" s="64"/>
      <c r="O918" s="64"/>
    </row>
    <row r="919">
      <c r="B919" s="28"/>
      <c r="C919" s="28"/>
      <c r="H919" s="64"/>
      <c r="I919" s="64"/>
      <c r="J919" s="64"/>
      <c r="K919" s="64"/>
      <c r="L919" s="64"/>
      <c r="M919" s="64"/>
      <c r="N919" s="64"/>
      <c r="O919" s="64"/>
    </row>
    <row r="920">
      <c r="B920" s="28"/>
      <c r="C920" s="28"/>
      <c r="H920" s="64"/>
      <c r="I920" s="64"/>
      <c r="J920" s="64"/>
      <c r="K920" s="64"/>
      <c r="L920" s="64"/>
      <c r="M920" s="64"/>
      <c r="N920" s="64"/>
      <c r="O920" s="64"/>
    </row>
    <row r="921">
      <c r="B921" s="28"/>
      <c r="C921" s="28"/>
      <c r="H921" s="64"/>
      <c r="I921" s="64"/>
      <c r="J921" s="64"/>
      <c r="K921" s="64"/>
      <c r="L921" s="64"/>
      <c r="M921" s="64"/>
      <c r="N921" s="64"/>
      <c r="O921" s="64"/>
    </row>
    <row r="922">
      <c r="B922" s="28"/>
      <c r="C922" s="28"/>
      <c r="H922" s="64"/>
      <c r="I922" s="64"/>
      <c r="J922" s="64"/>
      <c r="K922" s="64"/>
      <c r="L922" s="64"/>
      <c r="M922" s="64"/>
      <c r="N922" s="64"/>
      <c r="O922" s="64"/>
    </row>
    <row r="923">
      <c r="B923" s="28"/>
      <c r="C923" s="28"/>
      <c r="H923" s="64"/>
      <c r="I923" s="64"/>
      <c r="J923" s="64"/>
      <c r="K923" s="64"/>
      <c r="L923" s="64"/>
      <c r="M923" s="64"/>
      <c r="N923" s="64"/>
      <c r="O923" s="64"/>
    </row>
    <row r="924">
      <c r="B924" s="28"/>
      <c r="C924" s="28"/>
      <c r="H924" s="64"/>
      <c r="I924" s="64"/>
      <c r="J924" s="64"/>
      <c r="K924" s="64"/>
      <c r="L924" s="64"/>
      <c r="M924" s="64"/>
      <c r="N924" s="64"/>
      <c r="O924" s="64"/>
    </row>
    <row r="925">
      <c r="B925" s="28"/>
      <c r="C925" s="28"/>
      <c r="H925" s="64"/>
      <c r="I925" s="64"/>
      <c r="J925" s="64"/>
      <c r="K925" s="64"/>
      <c r="L925" s="64"/>
      <c r="M925" s="64"/>
      <c r="N925" s="64"/>
      <c r="O925" s="64"/>
    </row>
    <row r="926">
      <c r="B926" s="28"/>
      <c r="C926" s="28"/>
      <c r="H926" s="64"/>
      <c r="I926" s="64"/>
      <c r="J926" s="64"/>
      <c r="K926" s="64"/>
      <c r="L926" s="64"/>
      <c r="M926" s="64"/>
      <c r="N926" s="64"/>
      <c r="O926" s="64"/>
    </row>
    <row r="927">
      <c r="B927" s="28"/>
      <c r="C927" s="28"/>
      <c r="H927" s="64"/>
      <c r="I927" s="64"/>
      <c r="J927" s="64"/>
      <c r="K927" s="64"/>
      <c r="L927" s="64"/>
      <c r="M927" s="64"/>
      <c r="N927" s="64"/>
      <c r="O927" s="64"/>
    </row>
    <row r="928">
      <c r="B928" s="28"/>
      <c r="C928" s="28"/>
      <c r="H928" s="64"/>
      <c r="I928" s="64"/>
      <c r="J928" s="64"/>
      <c r="K928" s="64"/>
      <c r="L928" s="64"/>
      <c r="M928" s="64"/>
      <c r="N928" s="64"/>
      <c r="O928" s="64"/>
    </row>
    <row r="929">
      <c r="B929" s="28"/>
      <c r="C929" s="28"/>
      <c r="H929" s="64"/>
      <c r="I929" s="64"/>
      <c r="J929" s="64"/>
      <c r="K929" s="64"/>
      <c r="L929" s="64"/>
      <c r="M929" s="64"/>
      <c r="N929" s="64"/>
      <c r="O929" s="64"/>
    </row>
    <row r="930">
      <c r="B930" s="28"/>
      <c r="C930" s="28"/>
      <c r="H930" s="64"/>
      <c r="I930" s="64"/>
      <c r="J930" s="64"/>
      <c r="K930" s="64"/>
      <c r="L930" s="64"/>
      <c r="M930" s="64"/>
      <c r="N930" s="64"/>
      <c r="O930" s="64"/>
    </row>
    <row r="931">
      <c r="B931" s="28"/>
      <c r="C931" s="28"/>
      <c r="H931" s="64"/>
      <c r="I931" s="64"/>
      <c r="J931" s="64"/>
      <c r="K931" s="64"/>
      <c r="L931" s="64"/>
      <c r="M931" s="64"/>
      <c r="N931" s="64"/>
      <c r="O931" s="64"/>
    </row>
    <row r="932">
      <c r="B932" s="28"/>
      <c r="C932" s="28"/>
      <c r="H932" s="64"/>
      <c r="I932" s="64"/>
      <c r="J932" s="64"/>
      <c r="K932" s="64"/>
      <c r="L932" s="64"/>
      <c r="M932" s="64"/>
      <c r="N932" s="64"/>
      <c r="O932" s="64"/>
    </row>
    <row r="933">
      <c r="B933" s="28"/>
      <c r="C933" s="28"/>
      <c r="H933" s="64"/>
      <c r="I933" s="64"/>
      <c r="J933" s="64"/>
      <c r="K933" s="64"/>
      <c r="L933" s="64"/>
      <c r="M933" s="64"/>
      <c r="N933" s="64"/>
      <c r="O933" s="64"/>
    </row>
    <row r="934">
      <c r="B934" s="28"/>
      <c r="C934" s="28"/>
      <c r="H934" s="64"/>
      <c r="I934" s="64"/>
      <c r="J934" s="64"/>
      <c r="K934" s="64"/>
      <c r="L934" s="64"/>
      <c r="M934" s="64"/>
      <c r="N934" s="64"/>
      <c r="O934" s="64"/>
    </row>
    <row r="935">
      <c r="B935" s="28"/>
      <c r="C935" s="28"/>
      <c r="H935" s="64"/>
      <c r="I935" s="64"/>
      <c r="J935" s="64"/>
      <c r="K935" s="64"/>
      <c r="L935" s="64"/>
      <c r="M935" s="64"/>
      <c r="N935" s="64"/>
      <c r="O935" s="64"/>
    </row>
    <row r="936">
      <c r="B936" s="28"/>
      <c r="C936" s="28"/>
      <c r="H936" s="64"/>
      <c r="I936" s="64"/>
      <c r="J936" s="64"/>
      <c r="K936" s="64"/>
      <c r="L936" s="64"/>
      <c r="M936" s="64"/>
      <c r="N936" s="64"/>
      <c r="O936" s="64"/>
    </row>
    <row r="937">
      <c r="B937" s="28"/>
      <c r="C937" s="28"/>
      <c r="H937" s="64"/>
      <c r="I937" s="64"/>
      <c r="J937" s="64"/>
      <c r="K937" s="64"/>
      <c r="L937" s="64"/>
      <c r="M937" s="64"/>
      <c r="N937" s="64"/>
      <c r="O937" s="64"/>
    </row>
    <row r="938">
      <c r="B938" s="28"/>
      <c r="C938" s="28"/>
      <c r="H938" s="64"/>
      <c r="I938" s="64"/>
      <c r="J938" s="64"/>
      <c r="K938" s="64"/>
      <c r="L938" s="64"/>
      <c r="M938" s="64"/>
      <c r="N938" s="64"/>
      <c r="O938" s="64"/>
    </row>
    <row r="939">
      <c r="B939" s="28"/>
      <c r="C939" s="28"/>
      <c r="H939" s="64"/>
      <c r="I939" s="64"/>
      <c r="J939" s="64"/>
      <c r="K939" s="64"/>
      <c r="L939" s="64"/>
      <c r="M939" s="64"/>
      <c r="N939" s="64"/>
      <c r="O939" s="64"/>
    </row>
    <row r="940">
      <c r="B940" s="28"/>
      <c r="C940" s="28"/>
      <c r="H940" s="64"/>
      <c r="I940" s="64"/>
      <c r="J940" s="64"/>
      <c r="K940" s="64"/>
      <c r="L940" s="64"/>
      <c r="M940" s="64"/>
      <c r="N940" s="64"/>
      <c r="O940" s="64"/>
    </row>
    <row r="941">
      <c r="B941" s="28"/>
      <c r="C941" s="28"/>
      <c r="H941" s="64"/>
      <c r="I941" s="64"/>
      <c r="J941" s="64"/>
      <c r="K941" s="64"/>
      <c r="L941" s="64"/>
      <c r="M941" s="64"/>
      <c r="N941" s="64"/>
      <c r="O941" s="64"/>
    </row>
    <row r="942">
      <c r="B942" s="28"/>
      <c r="C942" s="28"/>
      <c r="H942" s="64"/>
      <c r="I942" s="64"/>
      <c r="J942" s="64"/>
      <c r="K942" s="64"/>
      <c r="L942" s="64"/>
      <c r="M942" s="64"/>
      <c r="N942" s="64"/>
      <c r="O942" s="64"/>
    </row>
    <row r="943">
      <c r="B943" s="28"/>
      <c r="C943" s="28"/>
      <c r="H943" s="64"/>
      <c r="I943" s="64"/>
      <c r="J943" s="64"/>
      <c r="K943" s="64"/>
      <c r="L943" s="64"/>
      <c r="M943" s="64"/>
      <c r="N943" s="64"/>
      <c r="O943" s="64"/>
    </row>
    <row r="944">
      <c r="B944" s="28"/>
      <c r="C944" s="28"/>
      <c r="H944" s="64"/>
      <c r="I944" s="64"/>
      <c r="J944" s="64"/>
      <c r="K944" s="64"/>
      <c r="L944" s="64"/>
      <c r="M944" s="64"/>
      <c r="N944" s="64"/>
      <c r="O944" s="64"/>
    </row>
    <row r="945">
      <c r="B945" s="28"/>
      <c r="C945" s="28"/>
      <c r="H945" s="64"/>
      <c r="I945" s="64"/>
      <c r="J945" s="64"/>
      <c r="K945" s="64"/>
      <c r="L945" s="64"/>
      <c r="M945" s="64"/>
      <c r="N945" s="64"/>
      <c r="O945" s="64"/>
    </row>
    <row r="946">
      <c r="B946" s="28"/>
      <c r="C946" s="28"/>
      <c r="H946" s="64"/>
      <c r="I946" s="64"/>
      <c r="J946" s="64"/>
      <c r="K946" s="64"/>
      <c r="L946" s="64"/>
      <c r="M946" s="64"/>
      <c r="N946" s="64"/>
      <c r="O946" s="64"/>
    </row>
    <row r="947">
      <c r="B947" s="28"/>
      <c r="C947" s="28"/>
      <c r="H947" s="64"/>
      <c r="I947" s="64"/>
      <c r="J947" s="64"/>
      <c r="K947" s="64"/>
      <c r="L947" s="64"/>
      <c r="M947" s="64"/>
      <c r="N947" s="64"/>
      <c r="O947" s="64"/>
    </row>
    <row r="948">
      <c r="B948" s="28"/>
      <c r="C948" s="28"/>
      <c r="H948" s="64"/>
      <c r="I948" s="64"/>
      <c r="J948" s="64"/>
      <c r="K948" s="64"/>
      <c r="L948" s="64"/>
      <c r="M948" s="64"/>
      <c r="N948" s="64"/>
      <c r="O948" s="64"/>
    </row>
    <row r="949">
      <c r="B949" s="28"/>
      <c r="C949" s="28"/>
      <c r="H949" s="64"/>
      <c r="I949" s="64"/>
      <c r="J949" s="64"/>
      <c r="K949" s="64"/>
      <c r="L949" s="64"/>
      <c r="M949" s="64"/>
      <c r="N949" s="64"/>
      <c r="O949" s="64"/>
    </row>
    <row r="950">
      <c r="B950" s="28"/>
      <c r="C950" s="28"/>
      <c r="H950" s="64"/>
      <c r="I950" s="64"/>
      <c r="J950" s="64"/>
      <c r="K950" s="64"/>
      <c r="L950" s="64"/>
      <c r="M950" s="64"/>
      <c r="N950" s="64"/>
      <c r="O950" s="64"/>
    </row>
    <row r="951">
      <c r="B951" s="28"/>
      <c r="C951" s="28"/>
      <c r="H951" s="64"/>
      <c r="I951" s="64"/>
      <c r="J951" s="64"/>
      <c r="K951" s="64"/>
      <c r="L951" s="64"/>
      <c r="M951" s="64"/>
      <c r="N951" s="64"/>
      <c r="O951" s="64"/>
    </row>
    <row r="952">
      <c r="B952" s="28"/>
      <c r="C952" s="28"/>
      <c r="H952" s="64"/>
      <c r="I952" s="64"/>
      <c r="J952" s="64"/>
      <c r="K952" s="64"/>
      <c r="L952" s="64"/>
      <c r="M952" s="64"/>
      <c r="N952" s="64"/>
      <c r="O952" s="64"/>
    </row>
    <row r="953">
      <c r="B953" s="28"/>
      <c r="C953" s="28"/>
      <c r="H953" s="64"/>
      <c r="I953" s="64"/>
      <c r="J953" s="64"/>
      <c r="K953" s="64"/>
      <c r="L953" s="64"/>
      <c r="M953" s="64"/>
      <c r="N953" s="64"/>
      <c r="O953" s="64"/>
    </row>
    <row r="954">
      <c r="B954" s="28"/>
      <c r="C954" s="28"/>
      <c r="H954" s="64"/>
      <c r="I954" s="64"/>
      <c r="J954" s="64"/>
      <c r="K954" s="64"/>
      <c r="L954" s="64"/>
      <c r="M954" s="64"/>
      <c r="N954" s="64"/>
      <c r="O954" s="64"/>
    </row>
    <row r="955">
      <c r="B955" s="28"/>
      <c r="C955" s="28"/>
      <c r="H955" s="64"/>
      <c r="I955" s="64"/>
      <c r="J955" s="64"/>
      <c r="K955" s="64"/>
      <c r="L955" s="64"/>
      <c r="M955" s="64"/>
      <c r="N955" s="64"/>
      <c r="O955" s="64"/>
    </row>
    <row r="956">
      <c r="B956" s="28"/>
      <c r="C956" s="28"/>
      <c r="H956" s="64"/>
      <c r="I956" s="64"/>
      <c r="J956" s="64"/>
      <c r="K956" s="64"/>
      <c r="L956" s="64"/>
      <c r="M956" s="64"/>
      <c r="N956" s="64"/>
      <c r="O956" s="64"/>
    </row>
    <row r="957">
      <c r="B957" s="28"/>
      <c r="C957" s="28"/>
      <c r="H957" s="64"/>
      <c r="I957" s="64"/>
      <c r="J957" s="64"/>
      <c r="K957" s="64"/>
      <c r="L957" s="64"/>
      <c r="M957" s="64"/>
      <c r="N957" s="64"/>
      <c r="O957" s="64"/>
    </row>
    <row r="958">
      <c r="B958" s="28"/>
      <c r="C958" s="28"/>
      <c r="H958" s="64"/>
      <c r="I958" s="64"/>
      <c r="J958" s="64"/>
      <c r="K958" s="64"/>
      <c r="L958" s="64"/>
      <c r="M958" s="64"/>
      <c r="N958" s="64"/>
      <c r="O958" s="64"/>
    </row>
    <row r="959">
      <c r="B959" s="28"/>
      <c r="C959" s="28"/>
      <c r="H959" s="64"/>
      <c r="I959" s="64"/>
      <c r="J959" s="64"/>
      <c r="K959" s="64"/>
      <c r="L959" s="64"/>
      <c r="M959" s="64"/>
      <c r="N959" s="64"/>
      <c r="O959" s="64"/>
    </row>
    <row r="960">
      <c r="B960" s="28"/>
      <c r="C960" s="28"/>
      <c r="H960" s="64"/>
      <c r="I960" s="64"/>
      <c r="J960" s="64"/>
      <c r="K960" s="64"/>
      <c r="L960" s="64"/>
      <c r="M960" s="64"/>
      <c r="N960" s="64"/>
      <c r="O960" s="64"/>
    </row>
    <row r="961">
      <c r="B961" s="28"/>
      <c r="C961" s="28"/>
      <c r="H961" s="64"/>
      <c r="I961" s="64"/>
      <c r="J961" s="64"/>
      <c r="K961" s="64"/>
      <c r="L961" s="64"/>
      <c r="M961" s="64"/>
      <c r="N961" s="64"/>
      <c r="O961" s="64"/>
    </row>
    <row r="962">
      <c r="B962" s="28"/>
      <c r="C962" s="28"/>
      <c r="H962" s="64"/>
      <c r="I962" s="64"/>
      <c r="J962" s="64"/>
      <c r="K962" s="64"/>
      <c r="L962" s="64"/>
      <c r="M962" s="64"/>
      <c r="N962" s="64"/>
      <c r="O962" s="64"/>
    </row>
    <row r="963">
      <c r="B963" s="28"/>
      <c r="C963" s="28"/>
      <c r="H963" s="64"/>
      <c r="I963" s="64"/>
      <c r="J963" s="64"/>
      <c r="K963" s="64"/>
      <c r="L963" s="64"/>
      <c r="M963" s="64"/>
      <c r="N963" s="64"/>
      <c r="O963" s="64"/>
    </row>
    <row r="964">
      <c r="B964" s="28"/>
      <c r="C964" s="28"/>
      <c r="H964" s="64"/>
      <c r="I964" s="64"/>
      <c r="J964" s="64"/>
      <c r="K964" s="64"/>
      <c r="L964" s="64"/>
      <c r="M964" s="64"/>
      <c r="N964" s="64"/>
      <c r="O964" s="64"/>
    </row>
    <row r="965">
      <c r="B965" s="28"/>
      <c r="C965" s="28"/>
      <c r="H965" s="64"/>
      <c r="I965" s="64"/>
      <c r="J965" s="64"/>
      <c r="K965" s="64"/>
      <c r="L965" s="64"/>
      <c r="M965" s="64"/>
      <c r="N965" s="64"/>
      <c r="O965" s="64"/>
    </row>
    <row r="966">
      <c r="B966" s="28"/>
      <c r="C966" s="28"/>
      <c r="H966" s="64"/>
      <c r="I966" s="64"/>
      <c r="J966" s="64"/>
      <c r="K966" s="64"/>
      <c r="L966" s="64"/>
      <c r="M966" s="64"/>
      <c r="N966" s="64"/>
      <c r="O966" s="64"/>
    </row>
    <row r="967">
      <c r="B967" s="28"/>
      <c r="C967" s="28"/>
      <c r="H967" s="64"/>
      <c r="I967" s="64"/>
      <c r="J967" s="64"/>
      <c r="K967" s="64"/>
      <c r="L967" s="64"/>
      <c r="M967" s="64"/>
      <c r="N967" s="64"/>
      <c r="O967" s="64"/>
    </row>
    <row r="968">
      <c r="B968" s="28"/>
      <c r="C968" s="28"/>
      <c r="H968" s="64"/>
      <c r="I968" s="64"/>
      <c r="J968" s="64"/>
      <c r="K968" s="64"/>
      <c r="L968" s="64"/>
      <c r="M968" s="64"/>
      <c r="N968" s="64"/>
      <c r="O968" s="64"/>
    </row>
    <row r="969">
      <c r="B969" s="28"/>
      <c r="C969" s="28"/>
      <c r="H969" s="64"/>
      <c r="I969" s="64"/>
      <c r="J969" s="64"/>
      <c r="K969" s="64"/>
      <c r="L969" s="64"/>
      <c r="M969" s="64"/>
      <c r="N969" s="64"/>
      <c r="O969" s="64"/>
    </row>
    <row r="970">
      <c r="B970" s="28"/>
      <c r="C970" s="28"/>
      <c r="H970" s="64"/>
      <c r="I970" s="64"/>
      <c r="J970" s="64"/>
      <c r="K970" s="64"/>
      <c r="L970" s="64"/>
      <c r="M970" s="64"/>
      <c r="N970" s="64"/>
      <c r="O970" s="64"/>
    </row>
    <row r="971">
      <c r="B971" s="28"/>
      <c r="C971" s="28"/>
      <c r="H971" s="64"/>
      <c r="I971" s="64"/>
      <c r="J971" s="64"/>
      <c r="K971" s="64"/>
      <c r="L971" s="64"/>
      <c r="M971" s="64"/>
      <c r="N971" s="64"/>
      <c r="O971" s="64"/>
    </row>
    <row r="972">
      <c r="B972" s="28"/>
      <c r="C972" s="28"/>
      <c r="H972" s="64"/>
      <c r="I972" s="64"/>
      <c r="J972" s="64"/>
      <c r="K972" s="64"/>
      <c r="L972" s="64"/>
      <c r="M972" s="64"/>
      <c r="N972" s="64"/>
      <c r="O972" s="64"/>
    </row>
    <row r="973">
      <c r="B973" s="28"/>
      <c r="C973" s="28"/>
      <c r="H973" s="64"/>
      <c r="I973" s="64"/>
      <c r="J973" s="64"/>
      <c r="K973" s="64"/>
      <c r="L973" s="64"/>
      <c r="M973" s="64"/>
      <c r="N973" s="64"/>
      <c r="O973" s="64"/>
    </row>
    <row r="974">
      <c r="B974" s="28"/>
      <c r="C974" s="28"/>
      <c r="H974" s="64"/>
      <c r="I974" s="64"/>
      <c r="J974" s="64"/>
      <c r="K974" s="64"/>
      <c r="L974" s="64"/>
      <c r="M974" s="64"/>
      <c r="N974" s="64"/>
      <c r="O974" s="64"/>
    </row>
    <row r="975">
      <c r="B975" s="28"/>
      <c r="C975" s="28"/>
      <c r="H975" s="64"/>
      <c r="I975" s="64"/>
      <c r="J975" s="64"/>
      <c r="K975" s="64"/>
      <c r="L975" s="64"/>
      <c r="M975" s="64"/>
      <c r="N975" s="64"/>
      <c r="O975" s="64"/>
    </row>
    <row r="976">
      <c r="B976" s="28"/>
      <c r="C976" s="28"/>
      <c r="H976" s="64"/>
      <c r="I976" s="64"/>
      <c r="J976" s="64"/>
      <c r="K976" s="64"/>
      <c r="L976" s="64"/>
      <c r="M976" s="64"/>
      <c r="N976" s="64"/>
      <c r="O976" s="64"/>
    </row>
    <row r="977">
      <c r="B977" s="28"/>
      <c r="C977" s="28"/>
      <c r="H977" s="64"/>
      <c r="I977" s="64"/>
      <c r="J977" s="64"/>
      <c r="K977" s="64"/>
      <c r="L977" s="64"/>
      <c r="M977" s="64"/>
      <c r="N977" s="64"/>
      <c r="O977" s="64"/>
    </row>
    <row r="978">
      <c r="B978" s="28"/>
      <c r="C978" s="28"/>
      <c r="H978" s="64"/>
      <c r="I978" s="64"/>
      <c r="J978" s="64"/>
      <c r="K978" s="64"/>
      <c r="L978" s="64"/>
      <c r="M978" s="64"/>
      <c r="N978" s="64"/>
      <c r="O978" s="64"/>
    </row>
    <row r="979">
      <c r="B979" s="28"/>
      <c r="C979" s="28"/>
      <c r="H979" s="64"/>
      <c r="I979" s="64"/>
      <c r="J979" s="64"/>
      <c r="K979" s="64"/>
      <c r="L979" s="64"/>
      <c r="M979" s="64"/>
      <c r="N979" s="64"/>
      <c r="O979" s="64"/>
    </row>
    <row r="980">
      <c r="B980" s="28"/>
      <c r="C980" s="28"/>
      <c r="H980" s="64"/>
      <c r="I980" s="64"/>
      <c r="J980" s="64"/>
      <c r="K980" s="64"/>
      <c r="L980" s="64"/>
      <c r="M980" s="64"/>
      <c r="N980" s="64"/>
      <c r="O980" s="64"/>
    </row>
    <row r="981">
      <c r="B981" s="28"/>
      <c r="C981" s="28"/>
      <c r="H981" s="64"/>
      <c r="I981" s="64"/>
      <c r="J981" s="64"/>
      <c r="K981" s="64"/>
      <c r="L981" s="64"/>
      <c r="M981" s="64"/>
      <c r="N981" s="64"/>
      <c r="O981" s="64"/>
    </row>
    <row r="982">
      <c r="B982" s="28"/>
      <c r="C982" s="28"/>
      <c r="H982" s="64"/>
      <c r="I982" s="64"/>
      <c r="J982" s="64"/>
      <c r="K982" s="64"/>
      <c r="L982" s="64"/>
      <c r="M982" s="64"/>
      <c r="N982" s="64"/>
      <c r="O982" s="64"/>
    </row>
    <row r="983">
      <c r="B983" s="28"/>
      <c r="C983" s="28"/>
      <c r="H983" s="64"/>
      <c r="I983" s="64"/>
      <c r="J983" s="64"/>
      <c r="K983" s="64"/>
      <c r="L983" s="64"/>
      <c r="M983" s="64"/>
      <c r="N983" s="64"/>
      <c r="O983" s="64"/>
    </row>
    <row r="984">
      <c r="B984" s="28"/>
      <c r="C984" s="28"/>
      <c r="H984" s="64"/>
      <c r="I984" s="64"/>
      <c r="J984" s="64"/>
      <c r="K984" s="64"/>
      <c r="L984" s="64"/>
      <c r="M984" s="64"/>
      <c r="N984" s="64"/>
      <c r="O984" s="64"/>
    </row>
    <row r="985">
      <c r="B985" s="28"/>
      <c r="C985" s="28"/>
      <c r="H985" s="64"/>
      <c r="I985" s="64"/>
      <c r="J985" s="64"/>
      <c r="K985" s="64"/>
      <c r="L985" s="64"/>
      <c r="M985" s="64"/>
      <c r="N985" s="64"/>
      <c r="O985" s="64"/>
    </row>
    <row r="986">
      <c r="B986" s="28"/>
      <c r="C986" s="28"/>
      <c r="H986" s="64"/>
      <c r="I986" s="64"/>
      <c r="J986" s="64"/>
      <c r="K986" s="64"/>
      <c r="L986" s="64"/>
      <c r="M986" s="64"/>
      <c r="N986" s="64"/>
      <c r="O986" s="64"/>
    </row>
    <row r="987">
      <c r="B987" s="28"/>
      <c r="C987" s="28"/>
      <c r="H987" s="64"/>
      <c r="I987" s="64"/>
      <c r="J987" s="64"/>
      <c r="K987" s="64"/>
      <c r="L987" s="64"/>
      <c r="M987" s="64"/>
      <c r="N987" s="64"/>
      <c r="O987" s="64"/>
    </row>
    <row r="988">
      <c r="B988" s="28"/>
      <c r="C988" s="28"/>
      <c r="H988" s="64"/>
      <c r="I988" s="64"/>
      <c r="J988" s="64"/>
      <c r="K988" s="64"/>
      <c r="L988" s="64"/>
      <c r="M988" s="64"/>
      <c r="N988" s="64"/>
      <c r="O988" s="64"/>
    </row>
    <row r="989">
      <c r="B989" s="28"/>
      <c r="C989" s="28"/>
      <c r="H989" s="64"/>
      <c r="I989" s="64"/>
      <c r="J989" s="64"/>
      <c r="K989" s="64"/>
      <c r="L989" s="64"/>
      <c r="M989" s="64"/>
      <c r="N989" s="64"/>
      <c r="O989" s="64"/>
    </row>
    <row r="990">
      <c r="B990" s="28"/>
      <c r="C990" s="28"/>
      <c r="H990" s="64"/>
      <c r="I990" s="64"/>
      <c r="J990" s="64"/>
      <c r="K990" s="64"/>
      <c r="L990" s="64"/>
      <c r="M990" s="64"/>
      <c r="N990" s="64"/>
      <c r="O990" s="64"/>
    </row>
    <row r="991">
      <c r="B991" s="28"/>
      <c r="C991" s="28"/>
      <c r="H991" s="64"/>
      <c r="I991" s="64"/>
      <c r="J991" s="64"/>
      <c r="K991" s="64"/>
      <c r="L991" s="64"/>
      <c r="M991" s="64"/>
      <c r="N991" s="64"/>
      <c r="O991" s="64"/>
    </row>
    <row r="992">
      <c r="B992" s="28"/>
      <c r="C992" s="28"/>
      <c r="H992" s="64"/>
      <c r="I992" s="64"/>
      <c r="J992" s="64"/>
      <c r="K992" s="64"/>
      <c r="L992" s="64"/>
      <c r="M992" s="64"/>
      <c r="N992" s="64"/>
      <c r="O992" s="64"/>
    </row>
    <row r="993">
      <c r="B993" s="28"/>
      <c r="C993" s="28"/>
      <c r="H993" s="64"/>
      <c r="I993" s="64"/>
      <c r="J993" s="64"/>
      <c r="K993" s="64"/>
      <c r="L993" s="64"/>
      <c r="M993" s="64"/>
      <c r="N993" s="64"/>
      <c r="O993" s="64"/>
    </row>
    <row r="994">
      <c r="B994" s="28"/>
      <c r="C994" s="28"/>
      <c r="H994" s="64"/>
      <c r="I994" s="64"/>
      <c r="J994" s="64"/>
      <c r="K994" s="64"/>
      <c r="L994" s="64"/>
      <c r="M994" s="64"/>
      <c r="N994" s="64"/>
      <c r="O994" s="64"/>
    </row>
    <row r="995">
      <c r="B995" s="28"/>
      <c r="C995" s="28"/>
      <c r="H995" s="64"/>
      <c r="I995" s="64"/>
      <c r="J995" s="64"/>
      <c r="K995" s="64"/>
      <c r="L995" s="64"/>
      <c r="M995" s="64"/>
      <c r="N995" s="64"/>
      <c r="O995" s="64"/>
    </row>
    <row r="996">
      <c r="B996" s="28"/>
      <c r="C996" s="28"/>
      <c r="H996" s="64"/>
      <c r="I996" s="64"/>
      <c r="J996" s="64"/>
      <c r="K996" s="64"/>
      <c r="L996" s="64"/>
      <c r="M996" s="64"/>
      <c r="N996" s="64"/>
      <c r="O996" s="64"/>
    </row>
    <row r="997">
      <c r="B997" s="28"/>
      <c r="C997" s="28"/>
      <c r="H997" s="64"/>
      <c r="I997" s="64"/>
      <c r="J997" s="64"/>
      <c r="K997" s="64"/>
      <c r="L997" s="64"/>
      <c r="M997" s="64"/>
      <c r="N997" s="64"/>
      <c r="O997" s="64"/>
    </row>
    <row r="998">
      <c r="B998" s="28"/>
      <c r="C998" s="28"/>
      <c r="H998" s="64"/>
      <c r="I998" s="64"/>
      <c r="J998" s="64"/>
      <c r="K998" s="64"/>
      <c r="L998" s="64"/>
      <c r="M998" s="64"/>
      <c r="N998" s="64"/>
      <c r="O998" s="64"/>
    </row>
    <row r="999">
      <c r="B999" s="28"/>
      <c r="C999" s="28"/>
      <c r="H999" s="64"/>
      <c r="I999" s="64"/>
      <c r="J999" s="64"/>
      <c r="K999" s="64"/>
      <c r="L999" s="64"/>
      <c r="M999" s="64"/>
      <c r="N999" s="64"/>
      <c r="O999" s="64"/>
    </row>
    <row r="1000">
      <c r="B1000" s="28"/>
      <c r="C1000" s="28"/>
      <c r="H1000" s="64"/>
      <c r="I1000" s="64"/>
      <c r="J1000" s="64"/>
      <c r="K1000" s="64"/>
      <c r="L1000" s="64"/>
      <c r="M1000" s="64"/>
      <c r="N1000" s="64"/>
      <c r="O1000" s="6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61" width="3.25"/>
  </cols>
  <sheetData>
    <row r="1">
      <c r="A1" s="62" t="s">
        <v>89</v>
      </c>
      <c r="AZ1" s="17"/>
    </row>
    <row r="2">
      <c r="A2" s="62" t="s">
        <v>90</v>
      </c>
      <c r="AZ2" s="17"/>
    </row>
    <row r="3">
      <c r="A3" s="62"/>
      <c r="AZ3" s="17"/>
    </row>
    <row r="4">
      <c r="A4" s="17"/>
      <c r="B4" s="17">
        <f t="array" ref="B4:BC4">SEQUENCE(1,54,0,1)</f>
        <v>0</v>
      </c>
      <c r="C4" s="17">
        <v>1.0</v>
      </c>
      <c r="D4" s="17">
        <v>2.0</v>
      </c>
      <c r="E4" s="17">
        <v>3.0</v>
      </c>
      <c r="F4" s="17">
        <v>4.0</v>
      </c>
      <c r="G4" s="17">
        <v>5.0</v>
      </c>
      <c r="H4" s="17">
        <v>6.0</v>
      </c>
      <c r="I4" s="17">
        <v>7.0</v>
      </c>
      <c r="J4" s="17">
        <v>8.0</v>
      </c>
      <c r="K4" s="17">
        <v>9.0</v>
      </c>
      <c r="L4" s="17">
        <v>10.0</v>
      </c>
      <c r="M4" s="17">
        <v>11.0</v>
      </c>
      <c r="N4" s="17">
        <v>12.0</v>
      </c>
      <c r="O4" s="17">
        <v>13.0</v>
      </c>
      <c r="P4" s="17">
        <v>14.0</v>
      </c>
      <c r="Q4" s="17">
        <v>15.0</v>
      </c>
      <c r="R4" s="17">
        <v>16.0</v>
      </c>
      <c r="S4" s="17">
        <v>17.0</v>
      </c>
      <c r="T4" s="17">
        <v>18.0</v>
      </c>
      <c r="U4" s="17">
        <v>19.0</v>
      </c>
      <c r="V4" s="17">
        <v>20.0</v>
      </c>
      <c r="W4" s="17">
        <v>21.0</v>
      </c>
      <c r="X4" s="17">
        <v>22.0</v>
      </c>
      <c r="Y4" s="17">
        <v>23.0</v>
      </c>
      <c r="Z4" s="17">
        <v>24.0</v>
      </c>
      <c r="AA4" s="17">
        <v>25.0</v>
      </c>
      <c r="AB4" s="17">
        <v>26.0</v>
      </c>
      <c r="AC4" s="17">
        <v>27.0</v>
      </c>
      <c r="AD4" s="17">
        <v>28.0</v>
      </c>
      <c r="AE4" s="17">
        <v>29.0</v>
      </c>
      <c r="AF4" s="17">
        <v>30.0</v>
      </c>
      <c r="AG4" s="17">
        <v>31.0</v>
      </c>
      <c r="AH4" s="17">
        <v>32.0</v>
      </c>
      <c r="AI4" s="17">
        <v>33.0</v>
      </c>
      <c r="AJ4" s="17">
        <v>34.0</v>
      </c>
      <c r="AK4" s="17">
        <v>35.0</v>
      </c>
      <c r="AL4" s="17">
        <v>36.0</v>
      </c>
      <c r="AM4" s="17">
        <v>37.0</v>
      </c>
      <c r="AN4" s="17">
        <v>38.0</v>
      </c>
      <c r="AO4" s="17">
        <v>39.0</v>
      </c>
      <c r="AP4" s="17">
        <v>40.0</v>
      </c>
      <c r="AQ4" s="17">
        <v>41.0</v>
      </c>
      <c r="AR4" s="17">
        <v>42.0</v>
      </c>
      <c r="AS4" s="17">
        <v>43.0</v>
      </c>
      <c r="AT4" s="17">
        <v>44.0</v>
      </c>
      <c r="AU4" s="17">
        <v>45.0</v>
      </c>
      <c r="AV4" s="17">
        <v>46.0</v>
      </c>
      <c r="AW4" s="17">
        <v>47.0</v>
      </c>
      <c r="AX4" s="17">
        <v>48.0</v>
      </c>
      <c r="AY4" s="17">
        <v>49.0</v>
      </c>
      <c r="AZ4" s="17">
        <v>50.0</v>
      </c>
      <c r="BA4" s="17">
        <v>51.0</v>
      </c>
      <c r="BB4" s="17">
        <v>52.0</v>
      </c>
      <c r="BC4" s="17">
        <v>53.0</v>
      </c>
      <c r="BD4" s="17"/>
      <c r="BE4" s="17"/>
      <c r="BF4" s="17"/>
      <c r="BG4" s="17"/>
      <c r="BH4" s="17"/>
      <c r="BI4" s="17"/>
    </row>
    <row r="5">
      <c r="A5" s="17">
        <f t="array" ref="A5:A24">SEQUENCE(20,1,0,1)</f>
        <v>0</v>
      </c>
      <c r="B5" s="59">
        <f t="array" ref="B5:BC24">B4:BC4*BD5:BD24+A5:A24*B25:BC25</f>
        <v>0</v>
      </c>
      <c r="C5" s="59">
        <v>19.0</v>
      </c>
      <c r="D5" s="59">
        <v>38.0</v>
      </c>
      <c r="E5" s="59">
        <v>57.0</v>
      </c>
      <c r="F5" s="59">
        <v>76.0</v>
      </c>
      <c r="G5" s="59">
        <v>95.0</v>
      </c>
      <c r="H5" s="59">
        <v>114.0</v>
      </c>
      <c r="I5" s="59">
        <v>133.0</v>
      </c>
      <c r="J5" s="59">
        <v>152.0</v>
      </c>
      <c r="K5" s="59">
        <v>171.0</v>
      </c>
      <c r="L5" s="59">
        <v>190.0</v>
      </c>
      <c r="M5" s="59">
        <v>209.0</v>
      </c>
      <c r="N5" s="59">
        <v>228.0</v>
      </c>
      <c r="O5" s="59">
        <v>247.0</v>
      </c>
      <c r="P5" s="59">
        <v>266.0</v>
      </c>
      <c r="Q5" s="59">
        <v>285.0</v>
      </c>
      <c r="R5" s="59">
        <v>304.0</v>
      </c>
      <c r="S5" s="59">
        <v>323.0</v>
      </c>
      <c r="T5" s="59">
        <v>342.0</v>
      </c>
      <c r="U5" s="59">
        <v>361.0</v>
      </c>
      <c r="V5" s="59">
        <v>380.0</v>
      </c>
      <c r="W5" s="59">
        <v>399.0</v>
      </c>
      <c r="X5" s="59">
        <v>418.0</v>
      </c>
      <c r="Y5" s="59">
        <v>437.0</v>
      </c>
      <c r="Z5" s="59">
        <v>456.0</v>
      </c>
      <c r="AA5" s="59">
        <v>475.0</v>
      </c>
      <c r="AB5" s="59">
        <v>494.0</v>
      </c>
      <c r="AC5" s="59">
        <v>513.0</v>
      </c>
      <c r="AD5" s="59">
        <v>532.0</v>
      </c>
      <c r="AE5" s="59">
        <v>551.0</v>
      </c>
      <c r="AF5" s="59">
        <v>570.0</v>
      </c>
      <c r="AG5" s="59">
        <v>589.0</v>
      </c>
      <c r="AH5" s="59">
        <v>608.0</v>
      </c>
      <c r="AI5" s="59">
        <v>627.0</v>
      </c>
      <c r="AJ5" s="59">
        <v>646.0</v>
      </c>
      <c r="AK5" s="59">
        <v>665.0</v>
      </c>
      <c r="AL5" s="59">
        <v>684.0</v>
      </c>
      <c r="AM5" s="59">
        <v>703.0</v>
      </c>
      <c r="AN5" s="59">
        <v>722.0</v>
      </c>
      <c r="AO5" s="59">
        <v>741.0</v>
      </c>
      <c r="AP5" s="59">
        <v>760.0</v>
      </c>
      <c r="AQ5" s="59">
        <v>779.0</v>
      </c>
      <c r="AR5" s="59">
        <v>798.0</v>
      </c>
      <c r="AS5" s="59">
        <v>817.0</v>
      </c>
      <c r="AT5" s="59">
        <v>836.0</v>
      </c>
      <c r="AU5" s="59">
        <v>855.0</v>
      </c>
      <c r="AV5" s="59">
        <v>874.0</v>
      </c>
      <c r="AW5" s="59">
        <v>893.0</v>
      </c>
      <c r="AX5" s="59">
        <v>912.0</v>
      </c>
      <c r="AY5" s="59">
        <v>931.0</v>
      </c>
      <c r="AZ5" s="59">
        <v>950.0</v>
      </c>
      <c r="BA5" s="59">
        <v>969.0</v>
      </c>
      <c r="BB5" s="59">
        <v>988.0</v>
      </c>
      <c r="BC5" s="59">
        <v>1007.0</v>
      </c>
      <c r="BD5" s="17">
        <f t="array" ref="BD5:BD24">19-A5:A24</f>
        <v>19</v>
      </c>
    </row>
    <row r="6">
      <c r="A6" s="17">
        <v>1.0</v>
      </c>
      <c r="B6" s="59">
        <v>53.0</v>
      </c>
      <c r="C6" s="59">
        <v>70.0</v>
      </c>
      <c r="D6" s="59">
        <v>87.0</v>
      </c>
      <c r="E6" s="59">
        <v>104.0</v>
      </c>
      <c r="F6" s="59">
        <v>121.0</v>
      </c>
      <c r="G6" s="59">
        <v>138.0</v>
      </c>
      <c r="H6" s="59">
        <v>155.0</v>
      </c>
      <c r="I6" s="59">
        <v>172.0</v>
      </c>
      <c r="J6" s="59">
        <v>189.0</v>
      </c>
      <c r="K6" s="59">
        <v>206.0</v>
      </c>
      <c r="L6" s="59">
        <v>223.0</v>
      </c>
      <c r="M6" s="59">
        <v>240.0</v>
      </c>
      <c r="N6" s="59">
        <v>257.0</v>
      </c>
      <c r="O6" s="59">
        <v>274.0</v>
      </c>
      <c r="P6" s="59">
        <v>291.0</v>
      </c>
      <c r="Q6" s="59">
        <v>308.0</v>
      </c>
      <c r="R6" s="59">
        <v>325.0</v>
      </c>
      <c r="S6" s="59">
        <v>342.0</v>
      </c>
      <c r="T6" s="59">
        <v>359.0</v>
      </c>
      <c r="U6" s="59">
        <v>376.0</v>
      </c>
      <c r="V6" s="59">
        <v>393.0</v>
      </c>
      <c r="W6" s="59">
        <v>410.0</v>
      </c>
      <c r="X6" s="59">
        <v>427.0</v>
      </c>
      <c r="Y6" s="59">
        <v>444.0</v>
      </c>
      <c r="Z6" s="59">
        <v>461.0</v>
      </c>
      <c r="AA6" s="59">
        <v>478.0</v>
      </c>
      <c r="AB6" s="59">
        <v>495.0</v>
      </c>
      <c r="AC6" s="59">
        <v>512.0</v>
      </c>
      <c r="AD6" s="59">
        <v>529.0</v>
      </c>
      <c r="AE6" s="59">
        <v>546.0</v>
      </c>
      <c r="AF6" s="59">
        <v>563.0</v>
      </c>
      <c r="AG6" s="59">
        <v>580.0</v>
      </c>
      <c r="AH6" s="59">
        <v>597.0</v>
      </c>
      <c r="AI6" s="59">
        <v>614.0</v>
      </c>
      <c r="AJ6" s="59">
        <v>631.0</v>
      </c>
      <c r="AK6" s="59">
        <v>648.0</v>
      </c>
      <c r="AL6" s="59">
        <v>665.0</v>
      </c>
      <c r="AM6" s="59">
        <v>682.0</v>
      </c>
      <c r="AN6" s="59">
        <v>699.0</v>
      </c>
      <c r="AO6" s="59">
        <v>716.0</v>
      </c>
      <c r="AP6" s="59">
        <v>733.0</v>
      </c>
      <c r="AQ6" s="59">
        <v>750.0</v>
      </c>
      <c r="AR6" s="59">
        <v>767.0</v>
      </c>
      <c r="AS6" s="59">
        <v>784.0</v>
      </c>
      <c r="AT6" s="59">
        <v>801.0</v>
      </c>
      <c r="AU6" s="59">
        <v>818.0</v>
      </c>
      <c r="AV6" s="59">
        <v>835.0</v>
      </c>
      <c r="AW6" s="59">
        <v>852.0</v>
      </c>
      <c r="AX6" s="59">
        <v>869.0</v>
      </c>
      <c r="AY6" s="59">
        <v>886.0</v>
      </c>
      <c r="AZ6" s="59">
        <v>903.0</v>
      </c>
      <c r="BA6" s="59">
        <v>920.0</v>
      </c>
      <c r="BB6" s="59">
        <v>937.0</v>
      </c>
      <c r="BC6" s="59">
        <v>954.0</v>
      </c>
      <c r="BD6" s="5">
        <v>18.0</v>
      </c>
    </row>
    <row r="7">
      <c r="A7" s="17">
        <v>2.0</v>
      </c>
      <c r="B7" s="59">
        <v>106.0</v>
      </c>
      <c r="C7" s="59">
        <v>121.0</v>
      </c>
      <c r="D7" s="59">
        <v>136.0</v>
      </c>
      <c r="E7" s="59">
        <v>151.0</v>
      </c>
      <c r="F7" s="59">
        <v>166.0</v>
      </c>
      <c r="G7" s="59">
        <v>181.0</v>
      </c>
      <c r="H7" s="59">
        <v>196.0</v>
      </c>
      <c r="I7" s="59">
        <v>211.0</v>
      </c>
      <c r="J7" s="59">
        <v>226.0</v>
      </c>
      <c r="K7" s="59">
        <v>241.0</v>
      </c>
      <c r="L7" s="59">
        <v>256.0</v>
      </c>
      <c r="M7" s="59">
        <v>271.0</v>
      </c>
      <c r="N7" s="59">
        <v>286.0</v>
      </c>
      <c r="O7" s="59">
        <v>301.0</v>
      </c>
      <c r="P7" s="59">
        <v>316.0</v>
      </c>
      <c r="Q7" s="59">
        <v>331.0</v>
      </c>
      <c r="R7" s="59">
        <v>346.0</v>
      </c>
      <c r="S7" s="59">
        <v>361.0</v>
      </c>
      <c r="T7" s="59">
        <v>376.0</v>
      </c>
      <c r="U7" s="59">
        <v>391.0</v>
      </c>
      <c r="V7" s="59">
        <v>406.0</v>
      </c>
      <c r="W7" s="59">
        <v>421.0</v>
      </c>
      <c r="X7" s="59">
        <v>436.0</v>
      </c>
      <c r="Y7" s="59">
        <v>451.0</v>
      </c>
      <c r="Z7" s="59">
        <v>466.0</v>
      </c>
      <c r="AA7" s="59">
        <v>481.0</v>
      </c>
      <c r="AB7" s="59">
        <v>496.0</v>
      </c>
      <c r="AC7" s="59">
        <v>511.0</v>
      </c>
      <c r="AD7" s="59">
        <v>526.0</v>
      </c>
      <c r="AE7" s="59">
        <v>541.0</v>
      </c>
      <c r="AF7" s="59">
        <v>556.0</v>
      </c>
      <c r="AG7" s="59">
        <v>571.0</v>
      </c>
      <c r="AH7" s="59">
        <v>586.0</v>
      </c>
      <c r="AI7" s="59">
        <v>601.0</v>
      </c>
      <c r="AJ7" s="59">
        <v>616.0</v>
      </c>
      <c r="AK7" s="59">
        <v>631.0</v>
      </c>
      <c r="AL7" s="59">
        <v>646.0</v>
      </c>
      <c r="AM7" s="59">
        <v>661.0</v>
      </c>
      <c r="AN7" s="59">
        <v>676.0</v>
      </c>
      <c r="AO7" s="59">
        <v>691.0</v>
      </c>
      <c r="AP7" s="59">
        <v>706.0</v>
      </c>
      <c r="AQ7" s="59">
        <v>721.0</v>
      </c>
      <c r="AR7" s="59">
        <v>736.0</v>
      </c>
      <c r="AS7" s="59">
        <v>751.0</v>
      </c>
      <c r="AT7" s="59">
        <v>766.0</v>
      </c>
      <c r="AU7" s="59">
        <v>781.0</v>
      </c>
      <c r="AV7" s="59">
        <v>796.0</v>
      </c>
      <c r="AW7" s="59">
        <v>811.0</v>
      </c>
      <c r="AX7" s="59">
        <v>826.0</v>
      </c>
      <c r="AY7" s="59">
        <v>841.0</v>
      </c>
      <c r="AZ7" s="59">
        <v>856.0</v>
      </c>
      <c r="BA7" s="59">
        <v>871.0</v>
      </c>
      <c r="BB7" s="59">
        <v>886.0</v>
      </c>
      <c r="BC7" s="59">
        <v>901.0</v>
      </c>
      <c r="BD7" s="5">
        <v>17.0</v>
      </c>
    </row>
    <row r="8">
      <c r="A8" s="17">
        <v>3.0</v>
      </c>
      <c r="B8" s="59">
        <v>159.0</v>
      </c>
      <c r="C8" s="59">
        <v>172.0</v>
      </c>
      <c r="D8" s="59">
        <v>185.0</v>
      </c>
      <c r="E8" s="59">
        <v>198.0</v>
      </c>
      <c r="F8" s="59">
        <v>211.0</v>
      </c>
      <c r="G8" s="59">
        <v>224.0</v>
      </c>
      <c r="H8" s="59">
        <v>237.0</v>
      </c>
      <c r="I8" s="59">
        <v>250.0</v>
      </c>
      <c r="J8" s="59">
        <v>263.0</v>
      </c>
      <c r="K8" s="59">
        <v>276.0</v>
      </c>
      <c r="L8" s="59">
        <v>289.0</v>
      </c>
      <c r="M8" s="59">
        <v>302.0</v>
      </c>
      <c r="N8" s="59">
        <v>315.0</v>
      </c>
      <c r="O8" s="59">
        <v>328.0</v>
      </c>
      <c r="P8" s="59">
        <v>341.0</v>
      </c>
      <c r="Q8" s="59">
        <v>354.0</v>
      </c>
      <c r="R8" s="59">
        <v>367.0</v>
      </c>
      <c r="S8" s="59">
        <v>380.0</v>
      </c>
      <c r="T8" s="59">
        <v>393.0</v>
      </c>
      <c r="U8" s="59">
        <v>406.0</v>
      </c>
      <c r="V8" s="59">
        <v>419.0</v>
      </c>
      <c r="W8" s="59">
        <v>432.0</v>
      </c>
      <c r="X8" s="59">
        <v>445.0</v>
      </c>
      <c r="Y8" s="59">
        <v>458.0</v>
      </c>
      <c r="Z8" s="59">
        <v>471.0</v>
      </c>
      <c r="AA8" s="59">
        <v>484.0</v>
      </c>
      <c r="AB8" s="59">
        <v>497.0</v>
      </c>
      <c r="AC8" s="59">
        <v>510.0</v>
      </c>
      <c r="AD8" s="59">
        <v>523.0</v>
      </c>
      <c r="AE8" s="59">
        <v>536.0</v>
      </c>
      <c r="AF8" s="59">
        <v>549.0</v>
      </c>
      <c r="AG8" s="59">
        <v>562.0</v>
      </c>
      <c r="AH8" s="59">
        <v>575.0</v>
      </c>
      <c r="AI8" s="59">
        <v>588.0</v>
      </c>
      <c r="AJ8" s="59">
        <v>601.0</v>
      </c>
      <c r="AK8" s="59">
        <v>614.0</v>
      </c>
      <c r="AL8" s="59">
        <v>627.0</v>
      </c>
      <c r="AM8" s="59">
        <v>640.0</v>
      </c>
      <c r="AN8" s="59">
        <v>653.0</v>
      </c>
      <c r="AO8" s="59">
        <v>666.0</v>
      </c>
      <c r="AP8" s="59">
        <v>679.0</v>
      </c>
      <c r="AQ8" s="59">
        <v>692.0</v>
      </c>
      <c r="AR8" s="59">
        <v>705.0</v>
      </c>
      <c r="AS8" s="59">
        <v>718.0</v>
      </c>
      <c r="AT8" s="59">
        <v>731.0</v>
      </c>
      <c r="AU8" s="59">
        <v>744.0</v>
      </c>
      <c r="AV8" s="59">
        <v>757.0</v>
      </c>
      <c r="AW8" s="59">
        <v>770.0</v>
      </c>
      <c r="AX8" s="59">
        <v>783.0</v>
      </c>
      <c r="AY8" s="59">
        <v>796.0</v>
      </c>
      <c r="AZ8" s="59">
        <v>809.0</v>
      </c>
      <c r="BA8" s="59">
        <v>822.0</v>
      </c>
      <c r="BB8" s="59">
        <v>835.0</v>
      </c>
      <c r="BC8" s="59">
        <v>848.0</v>
      </c>
      <c r="BD8" s="5">
        <v>16.0</v>
      </c>
    </row>
    <row r="9">
      <c r="A9" s="17">
        <v>4.0</v>
      </c>
      <c r="B9" s="59">
        <v>212.0</v>
      </c>
      <c r="C9" s="59">
        <v>223.0</v>
      </c>
      <c r="D9" s="59">
        <v>234.0</v>
      </c>
      <c r="E9" s="59">
        <v>245.0</v>
      </c>
      <c r="F9" s="59">
        <v>256.0</v>
      </c>
      <c r="G9" s="59">
        <v>267.0</v>
      </c>
      <c r="H9" s="59">
        <v>278.0</v>
      </c>
      <c r="I9" s="59">
        <v>289.0</v>
      </c>
      <c r="J9" s="59">
        <v>300.0</v>
      </c>
      <c r="K9" s="59">
        <v>311.0</v>
      </c>
      <c r="L9" s="59">
        <v>322.0</v>
      </c>
      <c r="M9" s="59">
        <v>333.0</v>
      </c>
      <c r="N9" s="59">
        <v>344.0</v>
      </c>
      <c r="O9" s="59">
        <v>355.0</v>
      </c>
      <c r="P9" s="59">
        <v>366.0</v>
      </c>
      <c r="Q9" s="59">
        <v>377.0</v>
      </c>
      <c r="R9" s="59">
        <v>388.0</v>
      </c>
      <c r="S9" s="59">
        <v>399.0</v>
      </c>
      <c r="T9" s="59">
        <v>410.0</v>
      </c>
      <c r="U9" s="59">
        <v>421.0</v>
      </c>
      <c r="V9" s="59">
        <v>432.0</v>
      </c>
      <c r="W9" s="59">
        <v>443.0</v>
      </c>
      <c r="X9" s="59">
        <v>454.0</v>
      </c>
      <c r="Y9" s="59">
        <v>465.0</v>
      </c>
      <c r="Z9" s="59">
        <v>476.0</v>
      </c>
      <c r="AA9" s="59">
        <v>487.0</v>
      </c>
      <c r="AB9" s="59">
        <v>498.0</v>
      </c>
      <c r="AC9" s="59">
        <v>509.0</v>
      </c>
      <c r="AD9" s="59">
        <v>520.0</v>
      </c>
      <c r="AE9" s="59">
        <v>531.0</v>
      </c>
      <c r="AF9" s="59">
        <v>542.0</v>
      </c>
      <c r="AG9" s="59">
        <v>553.0</v>
      </c>
      <c r="AH9" s="59">
        <v>564.0</v>
      </c>
      <c r="AI9" s="59">
        <v>575.0</v>
      </c>
      <c r="AJ9" s="59">
        <v>586.0</v>
      </c>
      <c r="AK9" s="59">
        <v>597.0</v>
      </c>
      <c r="AL9" s="59">
        <v>608.0</v>
      </c>
      <c r="AM9" s="59">
        <v>619.0</v>
      </c>
      <c r="AN9" s="59">
        <v>630.0</v>
      </c>
      <c r="AO9" s="59">
        <v>641.0</v>
      </c>
      <c r="AP9" s="59">
        <v>652.0</v>
      </c>
      <c r="AQ9" s="59">
        <v>663.0</v>
      </c>
      <c r="AR9" s="59">
        <v>674.0</v>
      </c>
      <c r="AS9" s="59">
        <v>685.0</v>
      </c>
      <c r="AT9" s="59">
        <v>696.0</v>
      </c>
      <c r="AU9" s="59">
        <v>707.0</v>
      </c>
      <c r="AV9" s="59">
        <v>718.0</v>
      </c>
      <c r="AW9" s="59">
        <v>729.0</v>
      </c>
      <c r="AX9" s="59">
        <v>740.0</v>
      </c>
      <c r="AY9" s="59">
        <v>751.0</v>
      </c>
      <c r="AZ9" s="59">
        <v>762.0</v>
      </c>
      <c r="BA9" s="59">
        <v>773.0</v>
      </c>
      <c r="BB9" s="59">
        <v>784.0</v>
      </c>
      <c r="BC9" s="59">
        <v>795.0</v>
      </c>
      <c r="BD9" s="5">
        <v>15.0</v>
      </c>
    </row>
    <row r="10">
      <c r="A10" s="17">
        <v>5.0</v>
      </c>
      <c r="B10" s="59">
        <v>265.0</v>
      </c>
      <c r="C10" s="59">
        <v>274.0</v>
      </c>
      <c r="D10" s="59">
        <v>283.0</v>
      </c>
      <c r="E10" s="59">
        <v>292.0</v>
      </c>
      <c r="F10" s="59">
        <v>301.0</v>
      </c>
      <c r="G10" s="59">
        <v>310.0</v>
      </c>
      <c r="H10" s="59">
        <v>319.0</v>
      </c>
      <c r="I10" s="59">
        <v>328.0</v>
      </c>
      <c r="J10" s="59">
        <v>337.0</v>
      </c>
      <c r="K10" s="59">
        <v>346.0</v>
      </c>
      <c r="L10" s="59">
        <v>355.0</v>
      </c>
      <c r="M10" s="59">
        <v>364.0</v>
      </c>
      <c r="N10" s="59">
        <v>373.0</v>
      </c>
      <c r="O10" s="59">
        <v>382.0</v>
      </c>
      <c r="P10" s="59">
        <v>391.0</v>
      </c>
      <c r="Q10" s="59">
        <v>400.0</v>
      </c>
      <c r="R10" s="59">
        <v>409.0</v>
      </c>
      <c r="S10" s="59">
        <v>418.0</v>
      </c>
      <c r="T10" s="59">
        <v>427.0</v>
      </c>
      <c r="U10" s="59">
        <v>436.0</v>
      </c>
      <c r="V10" s="59">
        <v>445.0</v>
      </c>
      <c r="W10" s="59">
        <v>454.0</v>
      </c>
      <c r="X10" s="59">
        <v>463.0</v>
      </c>
      <c r="Y10" s="59">
        <v>472.0</v>
      </c>
      <c r="Z10" s="59">
        <v>481.0</v>
      </c>
      <c r="AA10" s="59">
        <v>490.0</v>
      </c>
      <c r="AB10" s="59">
        <v>499.0</v>
      </c>
      <c r="AC10" s="59">
        <v>508.0</v>
      </c>
      <c r="AD10" s="59">
        <v>517.0</v>
      </c>
      <c r="AE10" s="59">
        <v>526.0</v>
      </c>
      <c r="AF10" s="59">
        <v>535.0</v>
      </c>
      <c r="AG10" s="59">
        <v>544.0</v>
      </c>
      <c r="AH10" s="59">
        <v>553.0</v>
      </c>
      <c r="AI10" s="59">
        <v>562.0</v>
      </c>
      <c r="AJ10" s="59">
        <v>571.0</v>
      </c>
      <c r="AK10" s="59">
        <v>580.0</v>
      </c>
      <c r="AL10" s="59">
        <v>589.0</v>
      </c>
      <c r="AM10" s="59">
        <v>598.0</v>
      </c>
      <c r="AN10" s="59">
        <v>607.0</v>
      </c>
      <c r="AO10" s="59">
        <v>616.0</v>
      </c>
      <c r="AP10" s="59">
        <v>625.0</v>
      </c>
      <c r="AQ10" s="59">
        <v>634.0</v>
      </c>
      <c r="AR10" s="59">
        <v>643.0</v>
      </c>
      <c r="AS10" s="59">
        <v>652.0</v>
      </c>
      <c r="AT10" s="59">
        <v>661.0</v>
      </c>
      <c r="AU10" s="59">
        <v>670.0</v>
      </c>
      <c r="AV10" s="59">
        <v>679.0</v>
      </c>
      <c r="AW10" s="59">
        <v>688.0</v>
      </c>
      <c r="AX10" s="59">
        <v>697.0</v>
      </c>
      <c r="AY10" s="59">
        <v>706.0</v>
      </c>
      <c r="AZ10" s="59">
        <v>715.0</v>
      </c>
      <c r="BA10" s="59">
        <v>724.0</v>
      </c>
      <c r="BB10" s="59">
        <v>733.0</v>
      </c>
      <c r="BC10" s="59">
        <v>742.0</v>
      </c>
      <c r="BD10" s="5">
        <v>14.0</v>
      </c>
    </row>
    <row r="11">
      <c r="A11" s="17">
        <v>6.0</v>
      </c>
      <c r="B11" s="59">
        <v>318.0</v>
      </c>
      <c r="C11" s="59">
        <v>325.0</v>
      </c>
      <c r="D11" s="59">
        <v>332.0</v>
      </c>
      <c r="E11" s="59">
        <v>339.0</v>
      </c>
      <c r="F11" s="59">
        <v>346.0</v>
      </c>
      <c r="G11" s="59">
        <v>353.0</v>
      </c>
      <c r="H11" s="59">
        <v>360.0</v>
      </c>
      <c r="I11" s="59">
        <v>367.0</v>
      </c>
      <c r="J11" s="59">
        <v>374.0</v>
      </c>
      <c r="K11" s="59">
        <v>381.0</v>
      </c>
      <c r="L11" s="59">
        <v>388.0</v>
      </c>
      <c r="M11" s="59">
        <v>395.0</v>
      </c>
      <c r="N11" s="59">
        <v>402.0</v>
      </c>
      <c r="O11" s="59">
        <v>409.0</v>
      </c>
      <c r="P11" s="59">
        <v>416.0</v>
      </c>
      <c r="Q11" s="59">
        <v>423.0</v>
      </c>
      <c r="R11" s="59">
        <v>430.0</v>
      </c>
      <c r="S11" s="59">
        <v>437.0</v>
      </c>
      <c r="T11" s="59">
        <v>444.0</v>
      </c>
      <c r="U11" s="59">
        <v>451.0</v>
      </c>
      <c r="V11" s="59">
        <v>458.0</v>
      </c>
      <c r="W11" s="59">
        <v>465.0</v>
      </c>
      <c r="X11" s="59">
        <v>472.0</v>
      </c>
      <c r="Y11" s="59">
        <v>479.0</v>
      </c>
      <c r="Z11" s="59">
        <v>486.0</v>
      </c>
      <c r="AA11" s="59">
        <v>493.0</v>
      </c>
      <c r="AB11" s="24">
        <v>500.0</v>
      </c>
      <c r="AC11" s="24">
        <v>507.0</v>
      </c>
      <c r="AD11" s="59">
        <v>514.0</v>
      </c>
      <c r="AE11" s="59">
        <v>521.0</v>
      </c>
      <c r="AF11" s="59">
        <v>528.0</v>
      </c>
      <c r="AG11" s="59">
        <v>535.0</v>
      </c>
      <c r="AH11" s="59">
        <v>542.0</v>
      </c>
      <c r="AI11" s="59">
        <v>549.0</v>
      </c>
      <c r="AJ11" s="59">
        <v>556.0</v>
      </c>
      <c r="AK11" s="59">
        <v>563.0</v>
      </c>
      <c r="AL11" s="59">
        <v>570.0</v>
      </c>
      <c r="AM11" s="59">
        <v>577.0</v>
      </c>
      <c r="AN11" s="59">
        <v>584.0</v>
      </c>
      <c r="AO11" s="59">
        <v>591.0</v>
      </c>
      <c r="AP11" s="59">
        <v>598.0</v>
      </c>
      <c r="AQ11" s="59">
        <v>605.0</v>
      </c>
      <c r="AR11" s="59">
        <v>612.0</v>
      </c>
      <c r="AS11" s="59">
        <v>619.0</v>
      </c>
      <c r="AT11" s="59">
        <v>626.0</v>
      </c>
      <c r="AU11" s="59">
        <v>633.0</v>
      </c>
      <c r="AV11" s="59">
        <v>640.0</v>
      </c>
      <c r="AW11" s="59">
        <v>647.0</v>
      </c>
      <c r="AX11" s="59">
        <v>654.0</v>
      </c>
      <c r="AY11" s="59">
        <v>661.0</v>
      </c>
      <c r="AZ11" s="59">
        <v>668.0</v>
      </c>
      <c r="BA11" s="59">
        <v>675.0</v>
      </c>
      <c r="BB11" s="59">
        <v>682.0</v>
      </c>
      <c r="BC11" s="59">
        <v>689.0</v>
      </c>
      <c r="BD11" s="5">
        <v>13.0</v>
      </c>
    </row>
    <row r="12">
      <c r="A12" s="17">
        <v>7.0</v>
      </c>
      <c r="B12" s="59">
        <v>371.0</v>
      </c>
      <c r="C12" s="59">
        <v>376.0</v>
      </c>
      <c r="D12" s="59">
        <v>381.0</v>
      </c>
      <c r="E12" s="59">
        <v>386.0</v>
      </c>
      <c r="F12" s="59">
        <v>391.0</v>
      </c>
      <c r="G12" s="59">
        <v>396.0</v>
      </c>
      <c r="H12" s="59">
        <v>401.0</v>
      </c>
      <c r="I12" s="59">
        <v>406.0</v>
      </c>
      <c r="J12" s="59">
        <v>411.0</v>
      </c>
      <c r="K12" s="59">
        <v>416.0</v>
      </c>
      <c r="L12" s="59">
        <v>421.0</v>
      </c>
      <c r="M12" s="59">
        <v>426.0</v>
      </c>
      <c r="N12" s="59">
        <v>431.0</v>
      </c>
      <c r="O12" s="59">
        <v>436.0</v>
      </c>
      <c r="P12" s="59">
        <v>441.0</v>
      </c>
      <c r="Q12" s="59">
        <v>446.0</v>
      </c>
      <c r="R12" s="59">
        <v>451.0</v>
      </c>
      <c r="S12" s="59">
        <v>456.0</v>
      </c>
      <c r="T12" s="59">
        <v>461.0</v>
      </c>
      <c r="U12" s="59">
        <v>466.0</v>
      </c>
      <c r="V12" s="59">
        <v>471.0</v>
      </c>
      <c r="W12" s="59">
        <v>476.0</v>
      </c>
      <c r="X12" s="59">
        <v>481.0</v>
      </c>
      <c r="Y12" s="59">
        <v>486.0</v>
      </c>
      <c r="Z12" s="24">
        <v>491.0</v>
      </c>
      <c r="AA12" s="5">
        <v>496.0</v>
      </c>
      <c r="AB12" s="5">
        <v>501.0</v>
      </c>
      <c r="AC12" s="5">
        <v>506.0</v>
      </c>
      <c r="AD12" s="5">
        <v>511.0</v>
      </c>
      <c r="AE12" s="24">
        <v>516.0</v>
      </c>
      <c r="AF12" s="59">
        <v>521.0</v>
      </c>
      <c r="AG12" s="59">
        <v>526.0</v>
      </c>
      <c r="AH12" s="59">
        <v>531.0</v>
      </c>
      <c r="AI12" s="59">
        <v>536.0</v>
      </c>
      <c r="AJ12" s="59">
        <v>541.0</v>
      </c>
      <c r="AK12" s="59">
        <v>546.0</v>
      </c>
      <c r="AL12" s="59">
        <v>551.0</v>
      </c>
      <c r="AM12" s="59">
        <v>556.0</v>
      </c>
      <c r="AN12" s="59">
        <v>561.0</v>
      </c>
      <c r="AO12" s="59">
        <v>566.0</v>
      </c>
      <c r="AP12" s="59">
        <v>571.0</v>
      </c>
      <c r="AQ12" s="59">
        <v>576.0</v>
      </c>
      <c r="AR12" s="59">
        <v>581.0</v>
      </c>
      <c r="AS12" s="59">
        <v>586.0</v>
      </c>
      <c r="AT12" s="59">
        <v>591.0</v>
      </c>
      <c r="AU12" s="59">
        <v>596.0</v>
      </c>
      <c r="AV12" s="59">
        <v>601.0</v>
      </c>
      <c r="AW12" s="59">
        <v>606.0</v>
      </c>
      <c r="AX12" s="59">
        <v>611.0</v>
      </c>
      <c r="AY12" s="59">
        <v>616.0</v>
      </c>
      <c r="AZ12" s="59">
        <v>621.0</v>
      </c>
      <c r="BA12" s="59">
        <v>626.0</v>
      </c>
      <c r="BB12" s="59">
        <v>631.0</v>
      </c>
      <c r="BC12" s="59">
        <v>636.0</v>
      </c>
      <c r="BD12" s="5">
        <v>12.0</v>
      </c>
    </row>
    <row r="13">
      <c r="A13" s="17">
        <v>8.0</v>
      </c>
      <c r="B13" s="59">
        <v>424.0</v>
      </c>
      <c r="C13" s="59">
        <v>427.0</v>
      </c>
      <c r="D13" s="59">
        <v>430.0</v>
      </c>
      <c r="E13" s="59">
        <v>433.0</v>
      </c>
      <c r="F13" s="59">
        <v>436.0</v>
      </c>
      <c r="G13" s="59">
        <v>439.0</v>
      </c>
      <c r="H13" s="59">
        <v>442.0</v>
      </c>
      <c r="I13" s="59">
        <v>445.0</v>
      </c>
      <c r="J13" s="59">
        <v>448.0</v>
      </c>
      <c r="K13" s="59">
        <v>451.0</v>
      </c>
      <c r="L13" s="59">
        <v>454.0</v>
      </c>
      <c r="M13" s="59">
        <v>457.0</v>
      </c>
      <c r="N13" s="59">
        <v>460.0</v>
      </c>
      <c r="O13" s="59">
        <v>463.0</v>
      </c>
      <c r="P13" s="59">
        <v>466.0</v>
      </c>
      <c r="Q13" s="59">
        <v>469.0</v>
      </c>
      <c r="R13" s="59">
        <v>472.0</v>
      </c>
      <c r="S13" s="59">
        <v>475.0</v>
      </c>
      <c r="T13" s="59">
        <v>478.0</v>
      </c>
      <c r="U13" s="59">
        <v>481.0</v>
      </c>
      <c r="V13" s="59">
        <v>484.0</v>
      </c>
      <c r="W13" s="59">
        <v>487.0</v>
      </c>
      <c r="X13" s="15">
        <v>490.0</v>
      </c>
      <c r="Y13" s="5">
        <v>493.0</v>
      </c>
      <c r="Z13" s="5">
        <v>496.0</v>
      </c>
      <c r="AA13" s="5">
        <v>499.0</v>
      </c>
      <c r="AB13" s="5">
        <v>502.0</v>
      </c>
      <c r="AC13" s="5">
        <v>505.0</v>
      </c>
      <c r="AD13" s="5">
        <v>508.0</v>
      </c>
      <c r="AE13" s="5">
        <v>511.0</v>
      </c>
      <c r="AF13" s="5">
        <v>514.0</v>
      </c>
      <c r="AG13" s="24">
        <v>517.0</v>
      </c>
      <c r="AH13" s="59">
        <v>520.0</v>
      </c>
      <c r="AI13" s="59">
        <v>523.0</v>
      </c>
      <c r="AJ13" s="59">
        <v>526.0</v>
      </c>
      <c r="AK13" s="59">
        <v>529.0</v>
      </c>
      <c r="AL13" s="59">
        <v>532.0</v>
      </c>
      <c r="AM13" s="59">
        <v>535.0</v>
      </c>
      <c r="AN13" s="59">
        <v>538.0</v>
      </c>
      <c r="AO13" s="59">
        <v>541.0</v>
      </c>
      <c r="AP13" s="59">
        <v>544.0</v>
      </c>
      <c r="AQ13" s="59">
        <v>547.0</v>
      </c>
      <c r="AR13" s="59">
        <v>550.0</v>
      </c>
      <c r="AS13" s="59">
        <v>553.0</v>
      </c>
      <c r="AT13" s="59">
        <v>556.0</v>
      </c>
      <c r="AU13" s="59">
        <v>559.0</v>
      </c>
      <c r="AV13" s="59">
        <v>562.0</v>
      </c>
      <c r="AW13" s="59">
        <v>565.0</v>
      </c>
      <c r="AX13" s="59">
        <v>568.0</v>
      </c>
      <c r="AY13" s="59">
        <v>571.0</v>
      </c>
      <c r="AZ13" s="59">
        <v>574.0</v>
      </c>
      <c r="BA13" s="59">
        <v>577.0</v>
      </c>
      <c r="BB13" s="59">
        <v>580.0</v>
      </c>
      <c r="BC13" s="59">
        <v>583.0</v>
      </c>
      <c r="BD13" s="5">
        <v>11.0</v>
      </c>
    </row>
    <row r="14">
      <c r="A14" s="17">
        <v>9.0</v>
      </c>
      <c r="B14" s="59">
        <v>477.0</v>
      </c>
      <c r="C14" s="59">
        <v>478.0</v>
      </c>
      <c r="D14" s="59">
        <v>479.0</v>
      </c>
      <c r="E14" s="59">
        <v>480.0</v>
      </c>
      <c r="F14" s="59">
        <v>481.0</v>
      </c>
      <c r="G14" s="59">
        <v>482.0</v>
      </c>
      <c r="H14" s="59">
        <v>483.0</v>
      </c>
      <c r="I14" s="59">
        <v>484.0</v>
      </c>
      <c r="J14" s="59">
        <v>485.0</v>
      </c>
      <c r="K14" s="59">
        <v>486.0</v>
      </c>
      <c r="L14" s="59">
        <v>487.0</v>
      </c>
      <c r="M14" s="59">
        <v>488.0</v>
      </c>
      <c r="N14" s="59">
        <v>489.0</v>
      </c>
      <c r="O14" s="59">
        <v>490.0</v>
      </c>
      <c r="P14" s="59">
        <v>491.0</v>
      </c>
      <c r="Q14" s="59">
        <v>492.0</v>
      </c>
      <c r="R14" s="59">
        <v>493.0</v>
      </c>
      <c r="S14" s="59">
        <v>494.0</v>
      </c>
      <c r="T14" s="59">
        <v>495.0</v>
      </c>
      <c r="U14" s="59">
        <v>496.0</v>
      </c>
      <c r="V14" s="24">
        <v>497.0</v>
      </c>
      <c r="W14" s="5">
        <v>498.0</v>
      </c>
      <c r="X14" s="5">
        <v>499.0</v>
      </c>
      <c r="Y14" s="5">
        <v>500.0</v>
      </c>
      <c r="Z14" s="5">
        <v>501.0</v>
      </c>
      <c r="AA14" s="5">
        <v>502.0</v>
      </c>
      <c r="AB14" s="5">
        <v>503.0</v>
      </c>
      <c r="AC14" s="5">
        <v>504.0</v>
      </c>
      <c r="AD14" s="5">
        <v>505.0</v>
      </c>
      <c r="AE14" s="5">
        <v>506.0</v>
      </c>
      <c r="AF14" s="5">
        <v>507.0</v>
      </c>
      <c r="AG14" s="5">
        <v>508.0</v>
      </c>
      <c r="AH14" s="5">
        <v>509.0</v>
      </c>
      <c r="AI14" s="24">
        <v>510.0</v>
      </c>
      <c r="AJ14" s="59">
        <v>511.0</v>
      </c>
      <c r="AK14" s="59">
        <v>512.0</v>
      </c>
      <c r="AL14" s="59">
        <v>513.0</v>
      </c>
      <c r="AM14" s="59">
        <v>514.0</v>
      </c>
      <c r="AN14" s="59">
        <v>515.0</v>
      </c>
      <c r="AO14" s="59">
        <v>516.0</v>
      </c>
      <c r="AP14" s="59">
        <v>517.0</v>
      </c>
      <c r="AQ14" s="59">
        <v>518.0</v>
      </c>
      <c r="AR14" s="59">
        <v>519.0</v>
      </c>
      <c r="AS14" s="59">
        <v>520.0</v>
      </c>
      <c r="AT14" s="59">
        <v>521.0</v>
      </c>
      <c r="AU14" s="59">
        <v>522.0</v>
      </c>
      <c r="AV14" s="59">
        <v>523.0</v>
      </c>
      <c r="AW14" s="59">
        <v>524.0</v>
      </c>
      <c r="AX14" s="59">
        <v>525.0</v>
      </c>
      <c r="AY14" s="59">
        <v>526.0</v>
      </c>
      <c r="AZ14" s="59">
        <v>527.0</v>
      </c>
      <c r="BA14" s="59">
        <v>528.0</v>
      </c>
      <c r="BB14" s="59">
        <v>529.0</v>
      </c>
      <c r="BC14" s="59">
        <v>530.0</v>
      </c>
      <c r="BD14" s="5">
        <v>10.0</v>
      </c>
    </row>
    <row r="15">
      <c r="A15" s="17">
        <v>10.0</v>
      </c>
      <c r="B15" s="59">
        <v>530.0</v>
      </c>
      <c r="C15" s="59">
        <v>529.0</v>
      </c>
      <c r="D15" s="59">
        <v>528.0</v>
      </c>
      <c r="E15" s="59">
        <v>527.0</v>
      </c>
      <c r="F15" s="59">
        <v>526.0</v>
      </c>
      <c r="G15" s="59">
        <v>525.0</v>
      </c>
      <c r="H15" s="59">
        <v>524.0</v>
      </c>
      <c r="I15" s="59">
        <v>523.0</v>
      </c>
      <c r="J15" s="59">
        <v>522.0</v>
      </c>
      <c r="K15" s="59">
        <v>521.0</v>
      </c>
      <c r="L15" s="59">
        <v>520.0</v>
      </c>
      <c r="M15" s="59">
        <v>519.0</v>
      </c>
      <c r="N15" s="59">
        <v>518.0</v>
      </c>
      <c r="O15" s="59">
        <v>517.0</v>
      </c>
      <c r="P15" s="59">
        <v>516.0</v>
      </c>
      <c r="Q15" s="59">
        <v>515.0</v>
      </c>
      <c r="R15" s="59">
        <v>514.0</v>
      </c>
      <c r="S15" s="59">
        <v>513.0</v>
      </c>
      <c r="T15" s="59">
        <v>512.0</v>
      </c>
      <c r="U15" s="59">
        <v>511.0</v>
      </c>
      <c r="V15" s="24">
        <v>510.0</v>
      </c>
      <c r="W15" s="5">
        <v>509.0</v>
      </c>
      <c r="X15" s="5">
        <v>508.0</v>
      </c>
      <c r="Y15" s="5">
        <v>507.0</v>
      </c>
      <c r="Z15" s="5">
        <v>506.0</v>
      </c>
      <c r="AA15" s="5">
        <v>505.0</v>
      </c>
      <c r="AB15" s="5">
        <v>504.0</v>
      </c>
      <c r="AC15" s="5">
        <v>503.0</v>
      </c>
      <c r="AD15" s="5">
        <v>502.0</v>
      </c>
      <c r="AE15" s="5">
        <v>501.0</v>
      </c>
      <c r="AF15" s="5">
        <v>500.0</v>
      </c>
      <c r="AG15" s="5">
        <v>499.0</v>
      </c>
      <c r="AH15" s="5">
        <v>498.0</v>
      </c>
      <c r="AI15" s="24">
        <v>497.0</v>
      </c>
      <c r="AJ15" s="59">
        <v>496.0</v>
      </c>
      <c r="AK15" s="59">
        <v>495.0</v>
      </c>
      <c r="AL15" s="59">
        <v>494.0</v>
      </c>
      <c r="AM15" s="59">
        <v>493.0</v>
      </c>
      <c r="AN15" s="59">
        <v>492.0</v>
      </c>
      <c r="AO15" s="59">
        <v>491.0</v>
      </c>
      <c r="AP15" s="59">
        <v>490.0</v>
      </c>
      <c r="AQ15" s="59">
        <v>489.0</v>
      </c>
      <c r="AR15" s="59">
        <v>488.0</v>
      </c>
      <c r="AS15" s="59">
        <v>487.0</v>
      </c>
      <c r="AT15" s="59">
        <v>486.0</v>
      </c>
      <c r="AU15" s="59">
        <v>485.0</v>
      </c>
      <c r="AV15" s="59">
        <v>484.0</v>
      </c>
      <c r="AW15" s="59">
        <v>483.0</v>
      </c>
      <c r="AX15" s="59">
        <v>482.0</v>
      </c>
      <c r="AY15" s="59">
        <v>481.0</v>
      </c>
      <c r="AZ15" s="59">
        <v>480.0</v>
      </c>
      <c r="BA15" s="59">
        <v>479.0</v>
      </c>
      <c r="BB15" s="59">
        <v>478.0</v>
      </c>
      <c r="BC15" s="59">
        <v>477.0</v>
      </c>
      <c r="BD15" s="5">
        <v>9.0</v>
      </c>
    </row>
    <row r="16">
      <c r="A16" s="17">
        <v>11.0</v>
      </c>
      <c r="B16" s="59">
        <v>583.0</v>
      </c>
      <c r="C16" s="59">
        <v>580.0</v>
      </c>
      <c r="D16" s="59">
        <v>577.0</v>
      </c>
      <c r="E16" s="59">
        <v>574.0</v>
      </c>
      <c r="F16" s="59">
        <v>571.0</v>
      </c>
      <c r="G16" s="59">
        <v>568.0</v>
      </c>
      <c r="H16" s="59">
        <v>565.0</v>
      </c>
      <c r="I16" s="59">
        <v>562.0</v>
      </c>
      <c r="J16" s="59">
        <v>559.0</v>
      </c>
      <c r="K16" s="59">
        <v>556.0</v>
      </c>
      <c r="L16" s="59">
        <v>553.0</v>
      </c>
      <c r="M16" s="59">
        <v>550.0</v>
      </c>
      <c r="N16" s="59">
        <v>547.0</v>
      </c>
      <c r="O16" s="59">
        <v>544.0</v>
      </c>
      <c r="P16" s="59">
        <v>541.0</v>
      </c>
      <c r="Q16" s="59">
        <v>538.0</v>
      </c>
      <c r="R16" s="59">
        <v>535.0</v>
      </c>
      <c r="S16" s="59">
        <v>532.0</v>
      </c>
      <c r="T16" s="59">
        <v>529.0</v>
      </c>
      <c r="U16" s="59">
        <v>526.0</v>
      </c>
      <c r="V16" s="59">
        <v>523.0</v>
      </c>
      <c r="W16" s="59">
        <v>520.0</v>
      </c>
      <c r="X16" s="24">
        <v>517.0</v>
      </c>
      <c r="Y16" s="5">
        <v>514.0</v>
      </c>
      <c r="Z16" s="5">
        <v>511.0</v>
      </c>
      <c r="AA16" s="5">
        <v>508.0</v>
      </c>
      <c r="AB16" s="5">
        <v>505.0</v>
      </c>
      <c r="AC16" s="5">
        <v>502.0</v>
      </c>
      <c r="AD16" s="5">
        <v>499.0</v>
      </c>
      <c r="AE16" s="5">
        <v>496.0</v>
      </c>
      <c r="AF16" s="5">
        <v>493.0</v>
      </c>
      <c r="AG16" s="15">
        <v>490.0</v>
      </c>
      <c r="AH16" s="59">
        <v>487.0</v>
      </c>
      <c r="AI16" s="59">
        <v>484.0</v>
      </c>
      <c r="AJ16" s="59">
        <v>481.0</v>
      </c>
      <c r="AK16" s="59">
        <v>478.0</v>
      </c>
      <c r="AL16" s="59">
        <v>475.0</v>
      </c>
      <c r="AM16" s="59">
        <v>472.0</v>
      </c>
      <c r="AN16" s="59">
        <v>469.0</v>
      </c>
      <c r="AO16" s="59">
        <v>466.0</v>
      </c>
      <c r="AP16" s="59">
        <v>463.0</v>
      </c>
      <c r="AQ16" s="59">
        <v>460.0</v>
      </c>
      <c r="AR16" s="59">
        <v>457.0</v>
      </c>
      <c r="AS16" s="59">
        <v>454.0</v>
      </c>
      <c r="AT16" s="59">
        <v>451.0</v>
      </c>
      <c r="AU16" s="59">
        <v>448.0</v>
      </c>
      <c r="AV16" s="59">
        <v>445.0</v>
      </c>
      <c r="AW16" s="59">
        <v>442.0</v>
      </c>
      <c r="AX16" s="59">
        <v>439.0</v>
      </c>
      <c r="AY16" s="59">
        <v>436.0</v>
      </c>
      <c r="AZ16" s="59">
        <v>433.0</v>
      </c>
      <c r="BA16" s="59">
        <v>430.0</v>
      </c>
      <c r="BB16" s="59">
        <v>427.0</v>
      </c>
      <c r="BC16" s="59">
        <v>424.0</v>
      </c>
      <c r="BD16" s="5">
        <v>8.0</v>
      </c>
    </row>
    <row r="17">
      <c r="A17" s="17">
        <v>12.0</v>
      </c>
      <c r="B17" s="59">
        <v>636.0</v>
      </c>
      <c r="C17" s="59">
        <v>631.0</v>
      </c>
      <c r="D17" s="59">
        <v>626.0</v>
      </c>
      <c r="E17" s="59">
        <v>621.0</v>
      </c>
      <c r="F17" s="59">
        <v>616.0</v>
      </c>
      <c r="G17" s="59">
        <v>611.0</v>
      </c>
      <c r="H17" s="59">
        <v>606.0</v>
      </c>
      <c r="I17" s="59">
        <v>601.0</v>
      </c>
      <c r="J17" s="59">
        <v>596.0</v>
      </c>
      <c r="K17" s="59">
        <v>591.0</v>
      </c>
      <c r="L17" s="59">
        <v>586.0</v>
      </c>
      <c r="M17" s="59">
        <v>581.0</v>
      </c>
      <c r="N17" s="59">
        <v>576.0</v>
      </c>
      <c r="O17" s="59">
        <v>571.0</v>
      </c>
      <c r="P17" s="59">
        <v>566.0</v>
      </c>
      <c r="Q17" s="59">
        <v>561.0</v>
      </c>
      <c r="R17" s="59">
        <v>556.0</v>
      </c>
      <c r="S17" s="59">
        <v>551.0</v>
      </c>
      <c r="T17" s="59">
        <v>546.0</v>
      </c>
      <c r="U17" s="59">
        <v>541.0</v>
      </c>
      <c r="V17" s="59">
        <v>536.0</v>
      </c>
      <c r="W17" s="59">
        <v>531.0</v>
      </c>
      <c r="X17" s="59">
        <v>526.0</v>
      </c>
      <c r="Y17" s="59">
        <v>521.0</v>
      </c>
      <c r="Z17" s="24">
        <v>516.0</v>
      </c>
      <c r="AA17" s="5">
        <v>511.0</v>
      </c>
      <c r="AB17" s="5">
        <v>506.0</v>
      </c>
      <c r="AC17" s="5">
        <v>501.0</v>
      </c>
      <c r="AD17" s="5">
        <v>496.0</v>
      </c>
      <c r="AE17" s="24">
        <v>491.0</v>
      </c>
      <c r="AF17" s="59">
        <v>486.0</v>
      </c>
      <c r="AG17" s="59">
        <v>481.0</v>
      </c>
      <c r="AH17" s="59">
        <v>476.0</v>
      </c>
      <c r="AI17" s="59">
        <v>471.0</v>
      </c>
      <c r="AJ17" s="59">
        <v>466.0</v>
      </c>
      <c r="AK17" s="59">
        <v>461.0</v>
      </c>
      <c r="AL17" s="59">
        <v>456.0</v>
      </c>
      <c r="AM17" s="59">
        <v>451.0</v>
      </c>
      <c r="AN17" s="59">
        <v>446.0</v>
      </c>
      <c r="AO17" s="59">
        <v>441.0</v>
      </c>
      <c r="AP17" s="59">
        <v>436.0</v>
      </c>
      <c r="AQ17" s="59">
        <v>431.0</v>
      </c>
      <c r="AR17" s="59">
        <v>426.0</v>
      </c>
      <c r="AS17" s="59">
        <v>421.0</v>
      </c>
      <c r="AT17" s="59">
        <v>416.0</v>
      </c>
      <c r="AU17" s="59">
        <v>411.0</v>
      </c>
      <c r="AV17" s="59">
        <v>406.0</v>
      </c>
      <c r="AW17" s="59">
        <v>401.0</v>
      </c>
      <c r="AX17" s="59">
        <v>396.0</v>
      </c>
      <c r="AY17" s="59">
        <v>391.0</v>
      </c>
      <c r="AZ17" s="59">
        <v>386.0</v>
      </c>
      <c r="BA17" s="59">
        <v>381.0</v>
      </c>
      <c r="BB17" s="59">
        <v>376.0</v>
      </c>
      <c r="BC17" s="59">
        <v>371.0</v>
      </c>
      <c r="BD17" s="5">
        <v>7.0</v>
      </c>
    </row>
    <row r="18">
      <c r="A18" s="17">
        <v>13.0</v>
      </c>
      <c r="B18" s="59">
        <v>689.0</v>
      </c>
      <c r="C18" s="59">
        <v>682.0</v>
      </c>
      <c r="D18" s="59">
        <v>675.0</v>
      </c>
      <c r="E18" s="59">
        <v>668.0</v>
      </c>
      <c r="F18" s="59">
        <v>661.0</v>
      </c>
      <c r="G18" s="59">
        <v>654.0</v>
      </c>
      <c r="H18" s="59">
        <v>647.0</v>
      </c>
      <c r="I18" s="59">
        <v>640.0</v>
      </c>
      <c r="J18" s="59">
        <v>633.0</v>
      </c>
      <c r="K18" s="59">
        <v>626.0</v>
      </c>
      <c r="L18" s="59">
        <v>619.0</v>
      </c>
      <c r="M18" s="59">
        <v>612.0</v>
      </c>
      <c r="N18" s="59">
        <v>605.0</v>
      </c>
      <c r="O18" s="59">
        <v>598.0</v>
      </c>
      <c r="P18" s="59">
        <v>591.0</v>
      </c>
      <c r="Q18" s="59">
        <v>584.0</v>
      </c>
      <c r="R18" s="59">
        <v>577.0</v>
      </c>
      <c r="S18" s="59">
        <v>570.0</v>
      </c>
      <c r="T18" s="59">
        <v>563.0</v>
      </c>
      <c r="U18" s="59">
        <v>556.0</v>
      </c>
      <c r="V18" s="59">
        <v>549.0</v>
      </c>
      <c r="W18" s="59">
        <v>542.0</v>
      </c>
      <c r="X18" s="59">
        <v>535.0</v>
      </c>
      <c r="Y18" s="59">
        <v>528.0</v>
      </c>
      <c r="Z18" s="59">
        <v>521.0</v>
      </c>
      <c r="AA18" s="59">
        <v>514.0</v>
      </c>
      <c r="AB18" s="24">
        <v>507.0</v>
      </c>
      <c r="AC18" s="24">
        <v>500.0</v>
      </c>
      <c r="AD18" s="59">
        <v>493.0</v>
      </c>
      <c r="AE18" s="59">
        <v>486.0</v>
      </c>
      <c r="AF18" s="59">
        <v>479.0</v>
      </c>
      <c r="AG18" s="59">
        <v>472.0</v>
      </c>
      <c r="AH18" s="59">
        <v>465.0</v>
      </c>
      <c r="AI18" s="59">
        <v>458.0</v>
      </c>
      <c r="AJ18" s="59">
        <v>451.0</v>
      </c>
      <c r="AK18" s="59">
        <v>444.0</v>
      </c>
      <c r="AL18" s="59">
        <v>437.0</v>
      </c>
      <c r="AM18" s="59">
        <v>430.0</v>
      </c>
      <c r="AN18" s="59">
        <v>423.0</v>
      </c>
      <c r="AO18" s="59">
        <v>416.0</v>
      </c>
      <c r="AP18" s="59">
        <v>409.0</v>
      </c>
      <c r="AQ18" s="59">
        <v>402.0</v>
      </c>
      <c r="AR18" s="59">
        <v>395.0</v>
      </c>
      <c r="AS18" s="59">
        <v>388.0</v>
      </c>
      <c r="AT18" s="59">
        <v>381.0</v>
      </c>
      <c r="AU18" s="59">
        <v>374.0</v>
      </c>
      <c r="AV18" s="59">
        <v>367.0</v>
      </c>
      <c r="AW18" s="59">
        <v>360.0</v>
      </c>
      <c r="AX18" s="59">
        <v>353.0</v>
      </c>
      <c r="AY18" s="59">
        <v>346.0</v>
      </c>
      <c r="AZ18" s="59">
        <v>339.0</v>
      </c>
      <c r="BA18" s="59">
        <v>332.0</v>
      </c>
      <c r="BB18" s="59">
        <v>325.0</v>
      </c>
      <c r="BC18" s="59">
        <v>318.0</v>
      </c>
      <c r="BD18" s="5">
        <v>6.0</v>
      </c>
    </row>
    <row r="19">
      <c r="A19" s="17">
        <v>14.0</v>
      </c>
      <c r="B19" s="59">
        <v>742.0</v>
      </c>
      <c r="C19" s="59">
        <v>733.0</v>
      </c>
      <c r="D19" s="59">
        <v>724.0</v>
      </c>
      <c r="E19" s="59">
        <v>715.0</v>
      </c>
      <c r="F19" s="59">
        <v>706.0</v>
      </c>
      <c r="G19" s="59">
        <v>697.0</v>
      </c>
      <c r="H19" s="59">
        <v>688.0</v>
      </c>
      <c r="I19" s="59">
        <v>679.0</v>
      </c>
      <c r="J19" s="59">
        <v>670.0</v>
      </c>
      <c r="K19" s="59">
        <v>661.0</v>
      </c>
      <c r="L19" s="59">
        <v>652.0</v>
      </c>
      <c r="M19" s="59">
        <v>643.0</v>
      </c>
      <c r="N19" s="59">
        <v>634.0</v>
      </c>
      <c r="O19" s="59">
        <v>625.0</v>
      </c>
      <c r="P19" s="59">
        <v>616.0</v>
      </c>
      <c r="Q19" s="59">
        <v>607.0</v>
      </c>
      <c r="R19" s="59">
        <v>598.0</v>
      </c>
      <c r="S19" s="59">
        <v>589.0</v>
      </c>
      <c r="T19" s="59">
        <v>580.0</v>
      </c>
      <c r="U19" s="59">
        <v>571.0</v>
      </c>
      <c r="V19" s="59">
        <v>562.0</v>
      </c>
      <c r="W19" s="59">
        <v>553.0</v>
      </c>
      <c r="X19" s="59">
        <v>544.0</v>
      </c>
      <c r="Y19" s="59">
        <v>535.0</v>
      </c>
      <c r="Z19" s="59">
        <v>526.0</v>
      </c>
      <c r="AA19" s="59">
        <v>517.0</v>
      </c>
      <c r="AB19" s="59">
        <v>508.0</v>
      </c>
      <c r="AC19" s="59">
        <v>499.0</v>
      </c>
      <c r="AD19" s="59">
        <v>490.0</v>
      </c>
      <c r="AE19" s="59">
        <v>481.0</v>
      </c>
      <c r="AF19" s="59">
        <v>472.0</v>
      </c>
      <c r="AG19" s="59">
        <v>463.0</v>
      </c>
      <c r="AH19" s="59">
        <v>454.0</v>
      </c>
      <c r="AI19" s="59">
        <v>445.0</v>
      </c>
      <c r="AJ19" s="59">
        <v>436.0</v>
      </c>
      <c r="AK19" s="59">
        <v>427.0</v>
      </c>
      <c r="AL19" s="59">
        <v>418.0</v>
      </c>
      <c r="AM19" s="59">
        <v>409.0</v>
      </c>
      <c r="AN19" s="59">
        <v>400.0</v>
      </c>
      <c r="AO19" s="59">
        <v>391.0</v>
      </c>
      <c r="AP19" s="59">
        <v>382.0</v>
      </c>
      <c r="AQ19" s="59">
        <v>373.0</v>
      </c>
      <c r="AR19" s="59">
        <v>364.0</v>
      </c>
      <c r="AS19" s="59">
        <v>355.0</v>
      </c>
      <c r="AT19" s="59">
        <v>346.0</v>
      </c>
      <c r="AU19" s="59">
        <v>337.0</v>
      </c>
      <c r="AV19" s="59">
        <v>328.0</v>
      </c>
      <c r="AW19" s="59">
        <v>319.0</v>
      </c>
      <c r="AX19" s="59">
        <v>310.0</v>
      </c>
      <c r="AY19" s="59">
        <v>301.0</v>
      </c>
      <c r="AZ19" s="59">
        <v>292.0</v>
      </c>
      <c r="BA19" s="59">
        <v>283.0</v>
      </c>
      <c r="BB19" s="59">
        <v>274.0</v>
      </c>
      <c r="BC19" s="59">
        <v>265.0</v>
      </c>
      <c r="BD19" s="5">
        <v>5.0</v>
      </c>
    </row>
    <row r="20">
      <c r="A20" s="17">
        <v>15.0</v>
      </c>
      <c r="B20" s="59">
        <v>795.0</v>
      </c>
      <c r="C20" s="59">
        <v>784.0</v>
      </c>
      <c r="D20" s="59">
        <v>773.0</v>
      </c>
      <c r="E20" s="59">
        <v>762.0</v>
      </c>
      <c r="F20" s="59">
        <v>751.0</v>
      </c>
      <c r="G20" s="59">
        <v>740.0</v>
      </c>
      <c r="H20" s="59">
        <v>729.0</v>
      </c>
      <c r="I20" s="59">
        <v>718.0</v>
      </c>
      <c r="J20" s="59">
        <v>707.0</v>
      </c>
      <c r="K20" s="59">
        <v>696.0</v>
      </c>
      <c r="L20" s="59">
        <v>685.0</v>
      </c>
      <c r="M20" s="59">
        <v>674.0</v>
      </c>
      <c r="N20" s="59">
        <v>663.0</v>
      </c>
      <c r="O20" s="59">
        <v>652.0</v>
      </c>
      <c r="P20" s="59">
        <v>641.0</v>
      </c>
      <c r="Q20" s="59">
        <v>630.0</v>
      </c>
      <c r="R20" s="59">
        <v>619.0</v>
      </c>
      <c r="S20" s="59">
        <v>608.0</v>
      </c>
      <c r="T20" s="59">
        <v>597.0</v>
      </c>
      <c r="U20" s="59">
        <v>586.0</v>
      </c>
      <c r="V20" s="59">
        <v>575.0</v>
      </c>
      <c r="W20" s="59">
        <v>564.0</v>
      </c>
      <c r="X20" s="59">
        <v>553.0</v>
      </c>
      <c r="Y20" s="59">
        <v>542.0</v>
      </c>
      <c r="Z20" s="59">
        <v>531.0</v>
      </c>
      <c r="AA20" s="59">
        <v>520.0</v>
      </c>
      <c r="AB20" s="59">
        <v>509.0</v>
      </c>
      <c r="AC20" s="59">
        <v>498.0</v>
      </c>
      <c r="AD20" s="59">
        <v>487.0</v>
      </c>
      <c r="AE20" s="59">
        <v>476.0</v>
      </c>
      <c r="AF20" s="59">
        <v>465.0</v>
      </c>
      <c r="AG20" s="59">
        <v>454.0</v>
      </c>
      <c r="AH20" s="59">
        <v>443.0</v>
      </c>
      <c r="AI20" s="59">
        <v>432.0</v>
      </c>
      <c r="AJ20" s="59">
        <v>421.0</v>
      </c>
      <c r="AK20" s="59">
        <v>410.0</v>
      </c>
      <c r="AL20" s="59">
        <v>399.0</v>
      </c>
      <c r="AM20" s="59">
        <v>388.0</v>
      </c>
      <c r="AN20" s="59">
        <v>377.0</v>
      </c>
      <c r="AO20" s="59">
        <v>366.0</v>
      </c>
      <c r="AP20" s="59">
        <v>355.0</v>
      </c>
      <c r="AQ20" s="59">
        <v>344.0</v>
      </c>
      <c r="AR20" s="59">
        <v>333.0</v>
      </c>
      <c r="AS20" s="59">
        <v>322.0</v>
      </c>
      <c r="AT20" s="59">
        <v>311.0</v>
      </c>
      <c r="AU20" s="59">
        <v>300.0</v>
      </c>
      <c r="AV20" s="59">
        <v>289.0</v>
      </c>
      <c r="AW20" s="59">
        <v>278.0</v>
      </c>
      <c r="AX20" s="59">
        <v>267.0</v>
      </c>
      <c r="AY20" s="59">
        <v>256.0</v>
      </c>
      <c r="AZ20" s="59">
        <v>245.0</v>
      </c>
      <c r="BA20" s="59">
        <v>234.0</v>
      </c>
      <c r="BB20" s="59">
        <v>223.0</v>
      </c>
      <c r="BC20" s="59">
        <v>212.0</v>
      </c>
      <c r="BD20" s="5">
        <v>4.0</v>
      </c>
    </row>
    <row r="21">
      <c r="A21" s="17">
        <v>16.0</v>
      </c>
      <c r="B21" s="59">
        <v>848.0</v>
      </c>
      <c r="C21" s="59">
        <v>835.0</v>
      </c>
      <c r="D21" s="59">
        <v>822.0</v>
      </c>
      <c r="E21" s="59">
        <v>809.0</v>
      </c>
      <c r="F21" s="59">
        <v>796.0</v>
      </c>
      <c r="G21" s="59">
        <v>783.0</v>
      </c>
      <c r="H21" s="59">
        <v>770.0</v>
      </c>
      <c r="I21" s="59">
        <v>757.0</v>
      </c>
      <c r="J21" s="59">
        <v>744.0</v>
      </c>
      <c r="K21" s="59">
        <v>731.0</v>
      </c>
      <c r="L21" s="59">
        <v>718.0</v>
      </c>
      <c r="M21" s="59">
        <v>705.0</v>
      </c>
      <c r="N21" s="59">
        <v>692.0</v>
      </c>
      <c r="O21" s="59">
        <v>679.0</v>
      </c>
      <c r="P21" s="59">
        <v>666.0</v>
      </c>
      <c r="Q21" s="59">
        <v>653.0</v>
      </c>
      <c r="R21" s="59">
        <v>640.0</v>
      </c>
      <c r="S21" s="59">
        <v>627.0</v>
      </c>
      <c r="T21" s="59">
        <v>614.0</v>
      </c>
      <c r="U21" s="59">
        <v>601.0</v>
      </c>
      <c r="V21" s="59">
        <v>588.0</v>
      </c>
      <c r="W21" s="59">
        <v>575.0</v>
      </c>
      <c r="X21" s="59">
        <v>562.0</v>
      </c>
      <c r="Y21" s="59">
        <v>549.0</v>
      </c>
      <c r="Z21" s="59">
        <v>536.0</v>
      </c>
      <c r="AA21" s="59">
        <v>523.0</v>
      </c>
      <c r="AB21" s="59">
        <v>510.0</v>
      </c>
      <c r="AC21" s="59">
        <v>497.0</v>
      </c>
      <c r="AD21" s="59">
        <v>484.0</v>
      </c>
      <c r="AE21" s="59">
        <v>471.0</v>
      </c>
      <c r="AF21" s="59">
        <v>458.0</v>
      </c>
      <c r="AG21" s="59">
        <v>445.0</v>
      </c>
      <c r="AH21" s="59">
        <v>432.0</v>
      </c>
      <c r="AI21" s="59">
        <v>419.0</v>
      </c>
      <c r="AJ21" s="59">
        <v>406.0</v>
      </c>
      <c r="AK21" s="59">
        <v>393.0</v>
      </c>
      <c r="AL21" s="59">
        <v>380.0</v>
      </c>
      <c r="AM21" s="59">
        <v>367.0</v>
      </c>
      <c r="AN21" s="59">
        <v>354.0</v>
      </c>
      <c r="AO21" s="59">
        <v>341.0</v>
      </c>
      <c r="AP21" s="59">
        <v>328.0</v>
      </c>
      <c r="AQ21" s="59">
        <v>315.0</v>
      </c>
      <c r="AR21" s="59">
        <v>302.0</v>
      </c>
      <c r="AS21" s="59">
        <v>289.0</v>
      </c>
      <c r="AT21" s="59">
        <v>276.0</v>
      </c>
      <c r="AU21" s="59">
        <v>263.0</v>
      </c>
      <c r="AV21" s="59">
        <v>250.0</v>
      </c>
      <c r="AW21" s="59">
        <v>237.0</v>
      </c>
      <c r="AX21" s="59">
        <v>224.0</v>
      </c>
      <c r="AY21" s="59">
        <v>211.0</v>
      </c>
      <c r="AZ21" s="59">
        <v>198.0</v>
      </c>
      <c r="BA21" s="59">
        <v>185.0</v>
      </c>
      <c r="BB21" s="59">
        <v>172.0</v>
      </c>
      <c r="BC21" s="59">
        <v>159.0</v>
      </c>
      <c r="BD21" s="5">
        <v>3.0</v>
      </c>
    </row>
    <row r="22">
      <c r="A22" s="17">
        <v>17.0</v>
      </c>
      <c r="B22" s="59">
        <v>901.0</v>
      </c>
      <c r="C22" s="59">
        <v>886.0</v>
      </c>
      <c r="D22" s="59">
        <v>871.0</v>
      </c>
      <c r="E22" s="59">
        <v>856.0</v>
      </c>
      <c r="F22" s="59">
        <v>841.0</v>
      </c>
      <c r="G22" s="59">
        <v>826.0</v>
      </c>
      <c r="H22" s="59">
        <v>811.0</v>
      </c>
      <c r="I22" s="59">
        <v>796.0</v>
      </c>
      <c r="J22" s="59">
        <v>781.0</v>
      </c>
      <c r="K22" s="59">
        <v>766.0</v>
      </c>
      <c r="L22" s="59">
        <v>751.0</v>
      </c>
      <c r="M22" s="59">
        <v>736.0</v>
      </c>
      <c r="N22" s="59">
        <v>721.0</v>
      </c>
      <c r="O22" s="59">
        <v>706.0</v>
      </c>
      <c r="P22" s="59">
        <v>691.0</v>
      </c>
      <c r="Q22" s="59">
        <v>676.0</v>
      </c>
      <c r="R22" s="59">
        <v>661.0</v>
      </c>
      <c r="S22" s="59">
        <v>646.0</v>
      </c>
      <c r="T22" s="59">
        <v>631.0</v>
      </c>
      <c r="U22" s="59">
        <v>616.0</v>
      </c>
      <c r="V22" s="59">
        <v>601.0</v>
      </c>
      <c r="W22" s="59">
        <v>586.0</v>
      </c>
      <c r="X22" s="59">
        <v>571.0</v>
      </c>
      <c r="Y22" s="59">
        <v>556.0</v>
      </c>
      <c r="Z22" s="59">
        <v>541.0</v>
      </c>
      <c r="AA22" s="59">
        <v>526.0</v>
      </c>
      <c r="AB22" s="59">
        <v>511.0</v>
      </c>
      <c r="AC22" s="59">
        <v>496.0</v>
      </c>
      <c r="AD22" s="59">
        <v>481.0</v>
      </c>
      <c r="AE22" s="59">
        <v>466.0</v>
      </c>
      <c r="AF22" s="59">
        <v>451.0</v>
      </c>
      <c r="AG22" s="59">
        <v>436.0</v>
      </c>
      <c r="AH22" s="59">
        <v>421.0</v>
      </c>
      <c r="AI22" s="59">
        <v>406.0</v>
      </c>
      <c r="AJ22" s="59">
        <v>391.0</v>
      </c>
      <c r="AK22" s="59">
        <v>376.0</v>
      </c>
      <c r="AL22" s="59">
        <v>361.0</v>
      </c>
      <c r="AM22" s="59">
        <v>346.0</v>
      </c>
      <c r="AN22" s="59">
        <v>331.0</v>
      </c>
      <c r="AO22" s="59">
        <v>316.0</v>
      </c>
      <c r="AP22" s="59">
        <v>301.0</v>
      </c>
      <c r="AQ22" s="59">
        <v>286.0</v>
      </c>
      <c r="AR22" s="59">
        <v>271.0</v>
      </c>
      <c r="AS22" s="59">
        <v>256.0</v>
      </c>
      <c r="AT22" s="59">
        <v>241.0</v>
      </c>
      <c r="AU22" s="59">
        <v>226.0</v>
      </c>
      <c r="AV22" s="59">
        <v>211.0</v>
      </c>
      <c r="AW22" s="59">
        <v>196.0</v>
      </c>
      <c r="AX22" s="59">
        <v>181.0</v>
      </c>
      <c r="AY22" s="59">
        <v>166.0</v>
      </c>
      <c r="AZ22" s="59">
        <v>151.0</v>
      </c>
      <c r="BA22" s="59">
        <v>136.0</v>
      </c>
      <c r="BB22" s="59">
        <v>121.0</v>
      </c>
      <c r="BC22" s="59">
        <v>106.0</v>
      </c>
      <c r="BD22" s="5">
        <v>2.0</v>
      </c>
    </row>
    <row r="23">
      <c r="A23" s="17">
        <v>18.0</v>
      </c>
      <c r="B23" s="59">
        <v>954.0</v>
      </c>
      <c r="C23" s="59">
        <v>937.0</v>
      </c>
      <c r="D23" s="59">
        <v>920.0</v>
      </c>
      <c r="E23" s="59">
        <v>903.0</v>
      </c>
      <c r="F23" s="59">
        <v>886.0</v>
      </c>
      <c r="G23" s="59">
        <v>869.0</v>
      </c>
      <c r="H23" s="59">
        <v>852.0</v>
      </c>
      <c r="I23" s="59">
        <v>835.0</v>
      </c>
      <c r="J23" s="59">
        <v>818.0</v>
      </c>
      <c r="K23" s="59">
        <v>801.0</v>
      </c>
      <c r="L23" s="59">
        <v>784.0</v>
      </c>
      <c r="M23" s="59">
        <v>767.0</v>
      </c>
      <c r="N23" s="59">
        <v>750.0</v>
      </c>
      <c r="O23" s="59">
        <v>733.0</v>
      </c>
      <c r="P23" s="59">
        <v>716.0</v>
      </c>
      <c r="Q23" s="59">
        <v>699.0</v>
      </c>
      <c r="R23" s="59">
        <v>682.0</v>
      </c>
      <c r="S23" s="59">
        <v>665.0</v>
      </c>
      <c r="T23" s="59">
        <v>648.0</v>
      </c>
      <c r="U23" s="59">
        <v>631.0</v>
      </c>
      <c r="V23" s="59">
        <v>614.0</v>
      </c>
      <c r="W23" s="59">
        <v>597.0</v>
      </c>
      <c r="X23" s="59">
        <v>580.0</v>
      </c>
      <c r="Y23" s="59">
        <v>563.0</v>
      </c>
      <c r="Z23" s="59">
        <v>546.0</v>
      </c>
      <c r="AA23" s="59">
        <v>529.0</v>
      </c>
      <c r="AB23" s="59">
        <v>512.0</v>
      </c>
      <c r="AC23" s="59">
        <v>495.0</v>
      </c>
      <c r="AD23" s="59">
        <v>478.0</v>
      </c>
      <c r="AE23" s="59">
        <v>461.0</v>
      </c>
      <c r="AF23" s="59">
        <v>444.0</v>
      </c>
      <c r="AG23" s="59">
        <v>427.0</v>
      </c>
      <c r="AH23" s="59">
        <v>410.0</v>
      </c>
      <c r="AI23" s="59">
        <v>393.0</v>
      </c>
      <c r="AJ23" s="59">
        <v>376.0</v>
      </c>
      <c r="AK23" s="59">
        <v>359.0</v>
      </c>
      <c r="AL23" s="59">
        <v>342.0</v>
      </c>
      <c r="AM23" s="59">
        <v>325.0</v>
      </c>
      <c r="AN23" s="59">
        <v>308.0</v>
      </c>
      <c r="AO23" s="59">
        <v>291.0</v>
      </c>
      <c r="AP23" s="59">
        <v>274.0</v>
      </c>
      <c r="AQ23" s="59">
        <v>257.0</v>
      </c>
      <c r="AR23" s="59">
        <v>240.0</v>
      </c>
      <c r="AS23" s="59">
        <v>223.0</v>
      </c>
      <c r="AT23" s="59">
        <v>206.0</v>
      </c>
      <c r="AU23" s="59">
        <v>189.0</v>
      </c>
      <c r="AV23" s="59">
        <v>172.0</v>
      </c>
      <c r="AW23" s="59">
        <v>155.0</v>
      </c>
      <c r="AX23" s="59">
        <v>138.0</v>
      </c>
      <c r="AY23" s="59">
        <v>121.0</v>
      </c>
      <c r="AZ23" s="59">
        <v>104.0</v>
      </c>
      <c r="BA23" s="59">
        <v>87.0</v>
      </c>
      <c r="BB23" s="59">
        <v>70.0</v>
      </c>
      <c r="BC23" s="59">
        <v>53.0</v>
      </c>
      <c r="BD23" s="5">
        <v>1.0</v>
      </c>
    </row>
    <row r="24">
      <c r="A24" s="17">
        <v>19.0</v>
      </c>
      <c r="B24" s="59">
        <v>1007.0</v>
      </c>
      <c r="C24" s="59">
        <v>988.0</v>
      </c>
      <c r="D24" s="59">
        <v>969.0</v>
      </c>
      <c r="E24" s="59">
        <v>950.0</v>
      </c>
      <c r="F24" s="59">
        <v>931.0</v>
      </c>
      <c r="G24" s="59">
        <v>912.0</v>
      </c>
      <c r="H24" s="59">
        <v>893.0</v>
      </c>
      <c r="I24" s="59">
        <v>874.0</v>
      </c>
      <c r="J24" s="59">
        <v>855.0</v>
      </c>
      <c r="K24" s="59">
        <v>836.0</v>
      </c>
      <c r="L24" s="59">
        <v>817.0</v>
      </c>
      <c r="M24" s="59">
        <v>798.0</v>
      </c>
      <c r="N24" s="59">
        <v>779.0</v>
      </c>
      <c r="O24" s="59">
        <v>760.0</v>
      </c>
      <c r="P24" s="59">
        <v>741.0</v>
      </c>
      <c r="Q24" s="59">
        <v>722.0</v>
      </c>
      <c r="R24" s="59">
        <v>703.0</v>
      </c>
      <c r="S24" s="59">
        <v>684.0</v>
      </c>
      <c r="T24" s="59">
        <v>665.0</v>
      </c>
      <c r="U24" s="59">
        <v>646.0</v>
      </c>
      <c r="V24" s="59">
        <v>627.0</v>
      </c>
      <c r="W24" s="59">
        <v>608.0</v>
      </c>
      <c r="X24" s="59">
        <v>589.0</v>
      </c>
      <c r="Y24" s="59">
        <v>570.0</v>
      </c>
      <c r="Z24" s="59">
        <v>551.0</v>
      </c>
      <c r="AA24" s="59">
        <v>532.0</v>
      </c>
      <c r="AB24" s="59">
        <v>513.0</v>
      </c>
      <c r="AC24" s="59">
        <v>494.0</v>
      </c>
      <c r="AD24" s="59">
        <v>475.0</v>
      </c>
      <c r="AE24" s="59">
        <v>456.0</v>
      </c>
      <c r="AF24" s="59">
        <v>437.0</v>
      </c>
      <c r="AG24" s="59">
        <v>418.0</v>
      </c>
      <c r="AH24" s="59">
        <v>399.0</v>
      </c>
      <c r="AI24" s="59">
        <v>380.0</v>
      </c>
      <c r="AJ24" s="59">
        <v>361.0</v>
      </c>
      <c r="AK24" s="59">
        <v>342.0</v>
      </c>
      <c r="AL24" s="59">
        <v>323.0</v>
      </c>
      <c r="AM24" s="59">
        <v>304.0</v>
      </c>
      <c r="AN24" s="59">
        <v>285.0</v>
      </c>
      <c r="AO24" s="59">
        <v>266.0</v>
      </c>
      <c r="AP24" s="59">
        <v>247.0</v>
      </c>
      <c r="AQ24" s="59">
        <v>228.0</v>
      </c>
      <c r="AR24" s="59">
        <v>209.0</v>
      </c>
      <c r="AS24" s="59">
        <v>190.0</v>
      </c>
      <c r="AT24" s="59">
        <v>171.0</v>
      </c>
      <c r="AU24" s="59">
        <v>152.0</v>
      </c>
      <c r="AV24" s="59">
        <v>133.0</v>
      </c>
      <c r="AW24" s="59">
        <v>114.0</v>
      </c>
      <c r="AX24" s="59">
        <v>95.0</v>
      </c>
      <c r="AY24" s="59">
        <v>76.0</v>
      </c>
      <c r="AZ24" s="59">
        <v>57.0</v>
      </c>
      <c r="BA24" s="59">
        <v>38.0</v>
      </c>
      <c r="BB24" s="59">
        <v>19.0</v>
      </c>
      <c r="BC24" s="59">
        <v>0.0</v>
      </c>
      <c r="BD24" s="5">
        <v>0.0</v>
      </c>
    </row>
    <row r="25">
      <c r="A25" s="17"/>
      <c r="B25" s="17">
        <f t="array" ref="B25:BC25">53-B4:BC4</f>
        <v>53</v>
      </c>
      <c r="C25" s="17">
        <v>52.0</v>
      </c>
      <c r="D25" s="17">
        <v>51.0</v>
      </c>
      <c r="E25" s="17">
        <v>50.0</v>
      </c>
      <c r="F25" s="17">
        <v>49.0</v>
      </c>
      <c r="G25" s="17">
        <v>48.0</v>
      </c>
      <c r="H25" s="17">
        <v>47.0</v>
      </c>
      <c r="I25" s="17">
        <v>46.0</v>
      </c>
      <c r="J25" s="17">
        <v>45.0</v>
      </c>
      <c r="K25" s="17">
        <v>44.0</v>
      </c>
      <c r="L25" s="17">
        <v>43.0</v>
      </c>
      <c r="M25" s="17">
        <v>42.0</v>
      </c>
      <c r="N25" s="17">
        <v>41.0</v>
      </c>
      <c r="O25" s="17">
        <v>40.0</v>
      </c>
      <c r="P25" s="17">
        <v>39.0</v>
      </c>
      <c r="Q25" s="17">
        <v>38.0</v>
      </c>
      <c r="R25" s="17">
        <v>37.0</v>
      </c>
      <c r="S25" s="17">
        <v>36.0</v>
      </c>
      <c r="T25" s="17">
        <v>35.0</v>
      </c>
      <c r="U25" s="17">
        <v>34.0</v>
      </c>
      <c r="V25" s="17">
        <v>33.0</v>
      </c>
      <c r="W25" s="17">
        <v>32.0</v>
      </c>
      <c r="X25" s="17">
        <v>31.0</v>
      </c>
      <c r="Y25" s="17">
        <v>30.0</v>
      </c>
      <c r="Z25" s="17">
        <v>29.0</v>
      </c>
      <c r="AA25" s="17">
        <v>28.0</v>
      </c>
      <c r="AB25" s="17">
        <v>27.0</v>
      </c>
      <c r="AC25" s="17">
        <v>26.0</v>
      </c>
      <c r="AD25" s="17">
        <v>25.0</v>
      </c>
      <c r="AE25" s="17">
        <v>24.0</v>
      </c>
      <c r="AF25" s="17">
        <v>23.0</v>
      </c>
      <c r="AG25" s="17">
        <v>22.0</v>
      </c>
      <c r="AH25" s="17">
        <v>21.0</v>
      </c>
      <c r="AI25" s="17">
        <v>20.0</v>
      </c>
      <c r="AJ25" s="17">
        <v>19.0</v>
      </c>
      <c r="AK25" s="17">
        <v>18.0</v>
      </c>
      <c r="AL25" s="17">
        <v>17.0</v>
      </c>
      <c r="AM25" s="17">
        <v>16.0</v>
      </c>
      <c r="AN25" s="17">
        <v>15.0</v>
      </c>
      <c r="AO25" s="17">
        <v>14.0</v>
      </c>
      <c r="AP25" s="17">
        <v>13.0</v>
      </c>
      <c r="AQ25" s="17">
        <v>12.0</v>
      </c>
      <c r="AR25" s="17">
        <v>11.0</v>
      </c>
      <c r="AS25" s="17">
        <v>10.0</v>
      </c>
      <c r="AT25" s="17">
        <v>9.0</v>
      </c>
      <c r="AU25" s="17">
        <v>8.0</v>
      </c>
      <c r="AV25" s="17">
        <v>7.0</v>
      </c>
      <c r="AW25" s="17">
        <v>6.0</v>
      </c>
      <c r="AX25" s="17">
        <v>5.0</v>
      </c>
      <c r="AY25" s="17">
        <v>4.0</v>
      </c>
      <c r="AZ25" s="17">
        <v>3.0</v>
      </c>
      <c r="BA25" s="17">
        <v>2.0</v>
      </c>
      <c r="BB25" s="17">
        <v>1.0</v>
      </c>
      <c r="BC25" s="17">
        <v>0.0</v>
      </c>
      <c r="BD25" s="17"/>
      <c r="BE25" s="17"/>
      <c r="BF25" s="17"/>
      <c r="BG25" s="17"/>
      <c r="BH25" s="17"/>
      <c r="BI25" s="17"/>
    </row>
    <row r="26">
      <c r="A26" s="17"/>
      <c r="AZ26" s="17"/>
    </row>
    <row r="27">
      <c r="A27" s="17"/>
      <c r="AZ27" s="17"/>
    </row>
    <row r="28">
      <c r="A28" s="17"/>
      <c r="AZ28" s="17"/>
    </row>
    <row r="29">
      <c r="A29" s="17"/>
      <c r="AZ29" s="17"/>
    </row>
    <row r="30">
      <c r="A30" s="17"/>
      <c r="AZ30" s="17"/>
    </row>
    <row r="31">
      <c r="A31" s="17"/>
      <c r="AZ31" s="17"/>
    </row>
    <row r="32">
      <c r="A32" s="17"/>
      <c r="AZ32" s="17"/>
    </row>
    <row r="33">
      <c r="A33" s="17"/>
      <c r="AZ33" s="17"/>
    </row>
    <row r="34">
      <c r="A34" s="17"/>
      <c r="AZ34" s="17"/>
    </row>
    <row r="35">
      <c r="A35" s="17"/>
      <c r="AZ35" s="17"/>
    </row>
    <row r="36">
      <c r="A36" s="17"/>
      <c r="AZ36" s="17"/>
    </row>
    <row r="37">
      <c r="A37" s="17"/>
      <c r="AZ37" s="17"/>
    </row>
    <row r="38">
      <c r="A38" s="17"/>
      <c r="AZ38" s="17"/>
    </row>
    <row r="39">
      <c r="A39" s="17"/>
      <c r="AZ39" s="17"/>
    </row>
    <row r="40">
      <c r="A40" s="17"/>
      <c r="AZ40" s="17"/>
    </row>
    <row r="41">
      <c r="A41" s="17"/>
      <c r="AZ41" s="17"/>
    </row>
    <row r="42">
      <c r="A42" s="17"/>
      <c r="AZ42" s="17"/>
    </row>
    <row r="43">
      <c r="A43" s="17"/>
      <c r="AZ43" s="17"/>
    </row>
    <row r="44">
      <c r="A44" s="17"/>
      <c r="AZ44" s="17"/>
    </row>
    <row r="45">
      <c r="A45" s="17"/>
      <c r="AZ45" s="17"/>
    </row>
    <row r="46">
      <c r="A46" s="17"/>
      <c r="AZ46" s="17"/>
    </row>
    <row r="47">
      <c r="A47" s="17"/>
      <c r="AZ47" s="17"/>
    </row>
    <row r="48">
      <c r="A48" s="17"/>
      <c r="AZ48" s="17"/>
    </row>
    <row r="49">
      <c r="A49" s="17"/>
      <c r="AZ49" s="17"/>
    </row>
    <row r="50">
      <c r="A50" s="17"/>
      <c r="AZ50" s="17"/>
    </row>
    <row r="51">
      <c r="A51" s="17"/>
      <c r="AZ51" s="17"/>
    </row>
    <row r="52">
      <c r="A52" s="17"/>
      <c r="AZ52" s="17"/>
    </row>
    <row r="53">
      <c r="A53" s="17"/>
      <c r="AZ53" s="17"/>
    </row>
    <row r="54">
      <c r="A54" s="17"/>
      <c r="AZ54" s="17"/>
    </row>
    <row r="55">
      <c r="A55" s="17"/>
      <c r="AZ55" s="17"/>
    </row>
    <row r="56">
      <c r="A56" s="17"/>
      <c r="AZ56" s="17"/>
    </row>
    <row r="57">
      <c r="A57" s="17"/>
      <c r="AZ57" s="17"/>
    </row>
    <row r="58">
      <c r="A58" s="17"/>
      <c r="AZ58" s="17"/>
    </row>
    <row r="59">
      <c r="A59" s="17"/>
      <c r="AZ59" s="17"/>
    </row>
    <row r="60">
      <c r="A60" s="17"/>
      <c r="AZ60" s="17"/>
    </row>
    <row r="61">
      <c r="A61" s="17"/>
      <c r="AZ61" s="17"/>
    </row>
    <row r="62">
      <c r="A62" s="17"/>
      <c r="AZ62" s="17"/>
    </row>
    <row r="63">
      <c r="A63" s="17"/>
      <c r="AZ63" s="17"/>
    </row>
    <row r="64">
      <c r="A64" s="17"/>
      <c r="AZ64" s="17"/>
    </row>
    <row r="65">
      <c r="A65" s="17"/>
      <c r="AZ65" s="17"/>
    </row>
    <row r="66">
      <c r="A66" s="17"/>
      <c r="AZ66" s="17"/>
    </row>
    <row r="67">
      <c r="A67" s="17"/>
      <c r="AZ67" s="17"/>
    </row>
    <row r="68">
      <c r="A68" s="17"/>
      <c r="AZ68" s="17"/>
    </row>
    <row r="69">
      <c r="A69" s="17"/>
      <c r="AZ69" s="17"/>
    </row>
    <row r="70">
      <c r="A70" s="17"/>
      <c r="AZ70" s="17"/>
    </row>
    <row r="71">
      <c r="A71" s="17"/>
      <c r="AZ71" s="17"/>
    </row>
    <row r="72">
      <c r="A72" s="17"/>
      <c r="AZ72" s="17"/>
    </row>
    <row r="73">
      <c r="A73" s="17"/>
      <c r="AZ73" s="17"/>
    </row>
    <row r="74">
      <c r="A74" s="17"/>
      <c r="AZ74" s="17"/>
    </row>
    <row r="75">
      <c r="A75" s="17"/>
      <c r="AZ75" s="17"/>
    </row>
    <row r="76">
      <c r="A76" s="17"/>
      <c r="AZ76" s="17"/>
    </row>
    <row r="77">
      <c r="A77" s="17"/>
      <c r="AZ77" s="17"/>
    </row>
    <row r="78">
      <c r="A78" s="17"/>
      <c r="AZ78" s="17"/>
    </row>
    <row r="79">
      <c r="A79" s="17"/>
      <c r="AZ79" s="17"/>
    </row>
    <row r="80">
      <c r="A80" s="17"/>
      <c r="AZ80" s="17"/>
    </row>
    <row r="81">
      <c r="A81" s="17"/>
      <c r="AZ81" s="17"/>
    </row>
    <row r="82">
      <c r="A82" s="17"/>
      <c r="AZ82" s="17"/>
    </row>
    <row r="83">
      <c r="A83" s="17"/>
      <c r="AZ83" s="17"/>
    </row>
    <row r="84">
      <c r="A84" s="17"/>
      <c r="AZ84" s="17"/>
    </row>
    <row r="85">
      <c r="A85" s="17"/>
      <c r="AZ85" s="17"/>
    </row>
    <row r="86">
      <c r="A86" s="17"/>
      <c r="AZ86" s="17"/>
    </row>
    <row r="87">
      <c r="A87" s="17"/>
      <c r="AZ87" s="17"/>
    </row>
    <row r="88">
      <c r="A88" s="17"/>
      <c r="AZ88" s="17"/>
    </row>
    <row r="89">
      <c r="A89" s="17"/>
      <c r="AZ89" s="17"/>
    </row>
    <row r="90">
      <c r="A90" s="17"/>
      <c r="AZ90" s="17"/>
    </row>
    <row r="91">
      <c r="A91" s="17"/>
      <c r="AZ91" s="17"/>
    </row>
    <row r="92">
      <c r="A92" s="17"/>
      <c r="AZ92" s="17"/>
    </row>
    <row r="93">
      <c r="A93" s="17"/>
      <c r="AZ93" s="17"/>
    </row>
    <row r="94">
      <c r="A94" s="17"/>
      <c r="AZ94" s="17"/>
    </row>
    <row r="95">
      <c r="A95" s="17"/>
      <c r="AZ95" s="17"/>
    </row>
    <row r="96">
      <c r="A96" s="17"/>
      <c r="AZ96" s="17"/>
    </row>
    <row r="97">
      <c r="A97" s="17"/>
      <c r="AZ97" s="17"/>
    </row>
    <row r="98">
      <c r="A98" s="17"/>
      <c r="AZ98" s="17"/>
    </row>
    <row r="99">
      <c r="A99" s="17"/>
      <c r="AZ99" s="17"/>
    </row>
    <row r="100">
      <c r="A100" s="17"/>
      <c r="AZ100" s="17"/>
    </row>
    <row r="101">
      <c r="A101" s="17"/>
      <c r="AZ101" s="17"/>
    </row>
    <row r="102">
      <c r="A102" s="17"/>
      <c r="AZ102" s="17"/>
    </row>
    <row r="103">
      <c r="A103" s="17"/>
      <c r="AZ103" s="17"/>
    </row>
    <row r="104">
      <c r="A104" s="17"/>
      <c r="AZ104" s="17"/>
    </row>
    <row r="105">
      <c r="A105" s="17"/>
      <c r="AZ105" s="17"/>
    </row>
    <row r="106">
      <c r="A106" s="17"/>
      <c r="AZ106" s="17"/>
    </row>
    <row r="107">
      <c r="A107" s="17"/>
      <c r="AZ107" s="17"/>
    </row>
    <row r="108">
      <c r="A108" s="17"/>
      <c r="AZ108" s="17"/>
    </row>
    <row r="109">
      <c r="A109" s="17"/>
      <c r="AZ109" s="17"/>
    </row>
    <row r="110">
      <c r="A110" s="17"/>
      <c r="AZ110" s="17"/>
    </row>
    <row r="111">
      <c r="A111" s="17"/>
      <c r="AZ111" s="17"/>
    </row>
    <row r="112">
      <c r="A112" s="17"/>
      <c r="AZ112" s="17"/>
    </row>
    <row r="113">
      <c r="A113" s="17"/>
      <c r="AZ113" s="17"/>
    </row>
    <row r="114">
      <c r="A114" s="17"/>
      <c r="AZ114" s="17"/>
    </row>
    <row r="115">
      <c r="A115" s="17"/>
      <c r="AZ115" s="17"/>
    </row>
    <row r="116">
      <c r="A116" s="17"/>
      <c r="AZ116" s="17"/>
    </row>
    <row r="117">
      <c r="A117" s="17"/>
      <c r="AZ117" s="17"/>
    </row>
    <row r="118">
      <c r="A118" s="17"/>
      <c r="AZ118" s="17"/>
    </row>
    <row r="119">
      <c r="A119" s="17"/>
      <c r="AZ119" s="17"/>
    </row>
    <row r="120">
      <c r="A120" s="17"/>
      <c r="AZ120" s="17"/>
    </row>
    <row r="121">
      <c r="A121" s="17"/>
      <c r="AZ121" s="17"/>
    </row>
    <row r="122">
      <c r="A122" s="17"/>
      <c r="AZ122" s="17"/>
    </row>
    <row r="123">
      <c r="A123" s="17"/>
      <c r="AZ123" s="17"/>
    </row>
    <row r="124">
      <c r="A124" s="17"/>
      <c r="AZ124" s="17"/>
    </row>
    <row r="125">
      <c r="A125" s="17"/>
      <c r="AZ125" s="17"/>
    </row>
    <row r="126">
      <c r="A126" s="17"/>
      <c r="AZ126" s="17"/>
    </row>
    <row r="127">
      <c r="A127" s="17"/>
      <c r="AZ127" s="17"/>
    </row>
    <row r="128">
      <c r="A128" s="17"/>
      <c r="AZ128" s="17"/>
    </row>
    <row r="129">
      <c r="A129" s="17"/>
      <c r="AZ129" s="17"/>
    </row>
    <row r="130">
      <c r="A130" s="17"/>
      <c r="AZ130" s="17"/>
    </row>
    <row r="131">
      <c r="A131" s="17"/>
      <c r="AZ131" s="17"/>
    </row>
    <row r="132">
      <c r="A132" s="17"/>
      <c r="AZ132" s="17"/>
    </row>
    <row r="133">
      <c r="A133" s="17"/>
      <c r="AZ133" s="17"/>
    </row>
    <row r="134">
      <c r="A134" s="17"/>
      <c r="AZ134" s="17"/>
    </row>
    <row r="135">
      <c r="A135" s="17"/>
      <c r="AZ135" s="17"/>
    </row>
    <row r="136">
      <c r="A136" s="17"/>
      <c r="AZ136" s="17"/>
    </row>
    <row r="137">
      <c r="A137" s="17"/>
      <c r="AZ137" s="17"/>
    </row>
    <row r="138">
      <c r="A138" s="17"/>
      <c r="AZ138" s="17"/>
    </row>
    <row r="139">
      <c r="A139" s="17"/>
      <c r="AZ139" s="17"/>
    </row>
    <row r="140">
      <c r="A140" s="17"/>
      <c r="AZ140" s="17"/>
    </row>
    <row r="141">
      <c r="A141" s="17"/>
      <c r="AZ141" s="17"/>
    </row>
    <row r="142">
      <c r="A142" s="17"/>
      <c r="AZ142" s="17"/>
    </row>
    <row r="143">
      <c r="A143" s="17"/>
      <c r="AZ143" s="17"/>
    </row>
    <row r="144">
      <c r="A144" s="17"/>
      <c r="AZ144" s="17"/>
    </row>
    <row r="145">
      <c r="A145" s="17"/>
      <c r="AZ145" s="17"/>
    </row>
    <row r="146">
      <c r="A146" s="17"/>
      <c r="AZ146" s="17"/>
    </row>
    <row r="147">
      <c r="A147" s="17"/>
      <c r="AZ147" s="17"/>
    </row>
    <row r="148">
      <c r="A148" s="17"/>
      <c r="AZ148" s="17"/>
    </row>
    <row r="149">
      <c r="A149" s="17"/>
      <c r="AZ149" s="17"/>
    </row>
    <row r="150">
      <c r="A150" s="17"/>
      <c r="AZ150" s="17"/>
    </row>
    <row r="151">
      <c r="A151" s="17"/>
      <c r="AZ151" s="17"/>
    </row>
    <row r="152">
      <c r="A152" s="17"/>
      <c r="AZ152" s="17"/>
    </row>
    <row r="153">
      <c r="A153" s="17"/>
      <c r="AZ153" s="17"/>
    </row>
    <row r="154">
      <c r="A154" s="17"/>
      <c r="AZ154" s="17"/>
    </row>
    <row r="155">
      <c r="A155" s="17"/>
      <c r="AZ155" s="17"/>
    </row>
    <row r="156">
      <c r="A156" s="17"/>
      <c r="AZ156" s="17"/>
    </row>
    <row r="157">
      <c r="A157" s="17"/>
      <c r="AZ157" s="17"/>
    </row>
    <row r="158">
      <c r="A158" s="17"/>
      <c r="AZ158" s="17"/>
    </row>
    <row r="159">
      <c r="A159" s="17"/>
      <c r="AZ159" s="17"/>
    </row>
    <row r="160">
      <c r="A160" s="17"/>
      <c r="AZ160" s="17"/>
    </row>
    <row r="161">
      <c r="A161" s="17"/>
      <c r="AZ161" s="17"/>
    </row>
    <row r="162">
      <c r="A162" s="17"/>
      <c r="AZ162" s="17"/>
    </row>
    <row r="163">
      <c r="A163" s="17"/>
      <c r="AZ163" s="17"/>
    </row>
    <row r="164">
      <c r="A164" s="17"/>
      <c r="AZ164" s="17"/>
    </row>
    <row r="165">
      <c r="A165" s="17"/>
      <c r="AZ165" s="17"/>
    </row>
    <row r="166">
      <c r="A166" s="17"/>
      <c r="AZ166" s="17"/>
    </row>
    <row r="167">
      <c r="A167" s="17"/>
      <c r="AZ167" s="17"/>
    </row>
    <row r="168">
      <c r="A168" s="17"/>
      <c r="AZ168" s="17"/>
    </row>
    <row r="169">
      <c r="A169" s="17"/>
      <c r="AZ169" s="17"/>
    </row>
    <row r="170">
      <c r="A170" s="17"/>
      <c r="AZ170" s="17"/>
    </row>
    <row r="171">
      <c r="A171" s="17"/>
      <c r="AZ171" s="17"/>
    </row>
    <row r="172">
      <c r="A172" s="17"/>
      <c r="AZ172" s="17"/>
    </row>
    <row r="173">
      <c r="A173" s="17"/>
      <c r="AZ173" s="17"/>
    </row>
    <row r="174">
      <c r="A174" s="17"/>
      <c r="AZ174" s="17"/>
    </row>
    <row r="175">
      <c r="A175" s="17"/>
      <c r="AZ175" s="17"/>
    </row>
    <row r="176">
      <c r="A176" s="17"/>
      <c r="AZ176" s="17"/>
    </row>
    <row r="177">
      <c r="A177" s="17"/>
      <c r="AZ177" s="17"/>
    </row>
    <row r="178">
      <c r="A178" s="17"/>
      <c r="AZ178" s="17"/>
    </row>
    <row r="179">
      <c r="A179" s="17"/>
      <c r="AZ179" s="17"/>
    </row>
    <row r="180">
      <c r="A180" s="17"/>
      <c r="AZ180" s="17"/>
    </row>
    <row r="181">
      <c r="A181" s="17"/>
      <c r="AZ181" s="17"/>
    </row>
    <row r="182">
      <c r="A182" s="17"/>
      <c r="AZ182" s="17"/>
    </row>
    <row r="183">
      <c r="A183" s="17"/>
      <c r="AZ183" s="17"/>
    </row>
    <row r="184">
      <c r="A184" s="17"/>
      <c r="AZ184" s="17"/>
    </row>
    <row r="185">
      <c r="A185" s="17"/>
      <c r="AZ185" s="17"/>
    </row>
    <row r="186">
      <c r="A186" s="17"/>
      <c r="AZ186" s="17"/>
    </row>
    <row r="187">
      <c r="A187" s="17"/>
      <c r="AZ187" s="17"/>
    </row>
    <row r="188">
      <c r="A188" s="17"/>
      <c r="AZ188" s="17"/>
    </row>
    <row r="189">
      <c r="A189" s="17"/>
      <c r="AZ189" s="17"/>
    </row>
    <row r="190">
      <c r="A190" s="17"/>
      <c r="AZ190" s="17"/>
    </row>
    <row r="191">
      <c r="A191" s="17"/>
      <c r="AZ191" s="17"/>
    </row>
    <row r="192">
      <c r="A192" s="17"/>
      <c r="AZ192" s="17"/>
    </row>
    <row r="193">
      <c r="A193" s="17"/>
      <c r="AZ193" s="17"/>
    </row>
    <row r="194">
      <c r="A194" s="17"/>
      <c r="AZ194" s="17"/>
    </row>
    <row r="195">
      <c r="A195" s="17"/>
      <c r="AZ195" s="17"/>
    </row>
    <row r="196">
      <c r="A196" s="17"/>
      <c r="AZ196" s="17"/>
    </row>
    <row r="197">
      <c r="A197" s="17"/>
      <c r="AZ197" s="17"/>
    </row>
    <row r="198">
      <c r="A198" s="17"/>
      <c r="AZ198" s="17"/>
    </row>
    <row r="199">
      <c r="A199" s="17"/>
      <c r="AZ199" s="17"/>
    </row>
    <row r="200">
      <c r="A200" s="17"/>
      <c r="AZ200" s="17"/>
    </row>
    <row r="201">
      <c r="A201" s="17"/>
      <c r="AZ201" s="17"/>
    </row>
    <row r="202">
      <c r="A202" s="17"/>
      <c r="AZ202" s="17"/>
    </row>
    <row r="203">
      <c r="A203" s="17"/>
      <c r="AZ203" s="17"/>
    </row>
    <row r="204">
      <c r="A204" s="17"/>
      <c r="AZ204" s="17"/>
    </row>
    <row r="205">
      <c r="A205" s="17"/>
      <c r="AZ205" s="17"/>
    </row>
    <row r="206">
      <c r="A206" s="17"/>
      <c r="AZ206" s="17"/>
    </row>
    <row r="207">
      <c r="A207" s="17"/>
      <c r="AZ207" s="17"/>
    </row>
    <row r="208">
      <c r="A208" s="17"/>
      <c r="AZ208" s="17"/>
    </row>
    <row r="209">
      <c r="A209" s="17"/>
      <c r="AZ209" s="17"/>
    </row>
    <row r="210">
      <c r="A210" s="17"/>
      <c r="AZ210" s="17"/>
    </row>
    <row r="211">
      <c r="A211" s="17"/>
      <c r="AZ211" s="17"/>
    </row>
    <row r="212">
      <c r="A212" s="17"/>
      <c r="AZ212" s="17"/>
    </row>
    <row r="213">
      <c r="A213" s="17"/>
      <c r="AZ213" s="17"/>
    </row>
    <row r="214">
      <c r="A214" s="17"/>
      <c r="AZ214" s="17"/>
    </row>
    <row r="215">
      <c r="A215" s="17"/>
      <c r="AZ215" s="17"/>
    </row>
    <row r="216">
      <c r="A216" s="17"/>
      <c r="AZ216" s="17"/>
    </row>
    <row r="217">
      <c r="A217" s="17"/>
      <c r="AZ217" s="17"/>
    </row>
    <row r="218">
      <c r="A218" s="17"/>
      <c r="AZ218" s="17"/>
    </row>
    <row r="219">
      <c r="A219" s="17"/>
      <c r="AZ219" s="17"/>
    </row>
    <row r="220">
      <c r="A220" s="17"/>
      <c r="AZ220" s="17"/>
    </row>
    <row r="221">
      <c r="A221" s="17"/>
      <c r="AZ221" s="17"/>
    </row>
    <row r="222">
      <c r="A222" s="17"/>
      <c r="AZ222" s="17"/>
    </row>
    <row r="223">
      <c r="A223" s="17"/>
      <c r="AZ223" s="17"/>
    </row>
    <row r="224">
      <c r="A224" s="17"/>
      <c r="AZ224" s="17"/>
    </row>
    <row r="225">
      <c r="A225" s="17"/>
      <c r="AZ225" s="17"/>
    </row>
    <row r="226">
      <c r="A226" s="17"/>
      <c r="AZ226" s="17"/>
    </row>
    <row r="227">
      <c r="A227" s="17"/>
      <c r="AZ227" s="17"/>
    </row>
    <row r="228">
      <c r="A228" s="17"/>
      <c r="AZ228" s="17"/>
    </row>
    <row r="229">
      <c r="A229" s="17"/>
      <c r="AZ229" s="17"/>
    </row>
    <row r="230">
      <c r="A230" s="17"/>
      <c r="AZ230" s="17"/>
    </row>
    <row r="231">
      <c r="A231" s="17"/>
      <c r="AZ231" s="17"/>
    </row>
    <row r="232">
      <c r="A232" s="17"/>
      <c r="AZ232" s="17"/>
    </row>
    <row r="233">
      <c r="A233" s="17"/>
      <c r="AZ233" s="17"/>
    </row>
    <row r="234">
      <c r="A234" s="17"/>
      <c r="AZ234" s="17"/>
    </row>
    <row r="235">
      <c r="A235" s="17"/>
      <c r="AZ235" s="17"/>
    </row>
    <row r="236">
      <c r="A236" s="17"/>
      <c r="AZ236" s="17"/>
    </row>
    <row r="237">
      <c r="A237" s="17"/>
      <c r="AZ237" s="17"/>
    </row>
    <row r="238">
      <c r="A238" s="17"/>
      <c r="AZ238" s="17"/>
    </row>
    <row r="239">
      <c r="A239" s="17"/>
      <c r="AZ239" s="17"/>
    </row>
    <row r="240">
      <c r="A240" s="17"/>
      <c r="AZ240" s="17"/>
    </row>
    <row r="241">
      <c r="A241" s="17"/>
      <c r="AZ241" s="17"/>
    </row>
    <row r="242">
      <c r="A242" s="17"/>
      <c r="AZ242" s="17"/>
    </row>
    <row r="243">
      <c r="A243" s="17"/>
      <c r="AZ243" s="17"/>
    </row>
    <row r="244">
      <c r="A244" s="17"/>
      <c r="AZ244" s="17"/>
    </row>
    <row r="245">
      <c r="A245" s="17"/>
      <c r="AZ245" s="17"/>
    </row>
    <row r="246">
      <c r="A246" s="17"/>
      <c r="AZ246" s="17"/>
    </row>
    <row r="247">
      <c r="A247" s="17"/>
      <c r="AZ247" s="17"/>
    </row>
    <row r="248">
      <c r="A248" s="17"/>
      <c r="AZ248" s="17"/>
    </row>
    <row r="249">
      <c r="A249" s="17"/>
      <c r="AZ249" s="17"/>
    </row>
    <row r="250">
      <c r="A250" s="17"/>
      <c r="AZ250" s="17"/>
    </row>
    <row r="251">
      <c r="A251" s="17"/>
      <c r="AZ251" s="17"/>
    </row>
    <row r="252">
      <c r="A252" s="17"/>
      <c r="AZ252" s="17"/>
    </row>
    <row r="253">
      <c r="A253" s="17"/>
      <c r="AZ253" s="17"/>
    </row>
    <row r="254">
      <c r="A254" s="17"/>
      <c r="AZ254" s="17"/>
    </row>
    <row r="255">
      <c r="A255" s="17"/>
      <c r="AZ255" s="17"/>
    </row>
    <row r="256">
      <c r="A256" s="17"/>
      <c r="AZ256" s="17"/>
    </row>
    <row r="257">
      <c r="A257" s="17"/>
      <c r="AZ257" s="17"/>
    </row>
    <row r="258">
      <c r="A258" s="17"/>
      <c r="AZ258" s="17"/>
    </row>
    <row r="259">
      <c r="A259" s="17"/>
      <c r="AZ259" s="17"/>
    </row>
    <row r="260">
      <c r="A260" s="17"/>
      <c r="AZ260" s="17"/>
    </row>
    <row r="261">
      <c r="A261" s="17"/>
      <c r="AZ261" s="17"/>
    </row>
    <row r="262">
      <c r="A262" s="17"/>
      <c r="AZ262" s="17"/>
    </row>
    <row r="263">
      <c r="A263" s="17"/>
      <c r="AZ263" s="17"/>
    </row>
    <row r="264">
      <c r="A264" s="17"/>
      <c r="AZ264" s="17"/>
    </row>
    <row r="265">
      <c r="A265" s="17"/>
      <c r="AZ265" s="17"/>
    </row>
    <row r="266">
      <c r="A266" s="17"/>
      <c r="AZ266" s="17"/>
    </row>
    <row r="267">
      <c r="A267" s="17"/>
      <c r="AZ267" s="17"/>
    </row>
    <row r="268">
      <c r="A268" s="17"/>
      <c r="AZ268" s="17"/>
    </row>
    <row r="269">
      <c r="A269" s="17"/>
      <c r="AZ269" s="17"/>
    </row>
    <row r="270">
      <c r="A270" s="17"/>
      <c r="AZ270" s="17"/>
    </row>
    <row r="271">
      <c r="A271" s="17"/>
      <c r="AZ271" s="17"/>
    </row>
    <row r="272">
      <c r="A272" s="17"/>
      <c r="AZ272" s="17"/>
    </row>
    <row r="273">
      <c r="A273" s="17"/>
      <c r="AZ273" s="17"/>
    </row>
    <row r="274">
      <c r="A274" s="17"/>
      <c r="AZ274" s="17"/>
    </row>
    <row r="275">
      <c r="A275" s="17"/>
      <c r="AZ275" s="17"/>
    </row>
    <row r="276">
      <c r="A276" s="17"/>
      <c r="AZ276" s="17"/>
    </row>
    <row r="277">
      <c r="A277" s="17"/>
      <c r="AZ277" s="17"/>
    </row>
    <row r="278">
      <c r="A278" s="17"/>
      <c r="AZ278" s="17"/>
    </row>
    <row r="279">
      <c r="A279" s="17"/>
      <c r="AZ279" s="17"/>
    </row>
    <row r="280">
      <c r="A280" s="17"/>
      <c r="AZ280" s="17"/>
    </row>
    <row r="281">
      <c r="A281" s="17"/>
      <c r="AZ281" s="17"/>
    </row>
    <row r="282">
      <c r="A282" s="17"/>
      <c r="AZ282" s="17"/>
    </row>
    <row r="283">
      <c r="A283" s="17"/>
      <c r="AZ283" s="17"/>
    </row>
    <row r="284">
      <c r="A284" s="17"/>
      <c r="AZ284" s="17"/>
    </row>
    <row r="285">
      <c r="A285" s="17"/>
      <c r="AZ285" s="17"/>
    </row>
    <row r="286">
      <c r="A286" s="17"/>
      <c r="AZ286" s="17"/>
    </row>
    <row r="287">
      <c r="A287" s="17"/>
      <c r="AZ287" s="17"/>
    </row>
    <row r="288">
      <c r="A288" s="17"/>
      <c r="AZ288" s="17"/>
    </row>
    <row r="289">
      <c r="A289" s="17"/>
      <c r="AZ289" s="17"/>
    </row>
    <row r="290">
      <c r="A290" s="17"/>
      <c r="AZ290" s="17"/>
    </row>
    <row r="291">
      <c r="A291" s="17"/>
      <c r="AZ291" s="17"/>
    </row>
    <row r="292">
      <c r="A292" s="17"/>
      <c r="AZ292" s="17"/>
    </row>
    <row r="293">
      <c r="A293" s="17"/>
      <c r="AZ293" s="17"/>
    </row>
    <row r="294">
      <c r="A294" s="17"/>
      <c r="AZ294" s="17"/>
    </row>
    <row r="295">
      <c r="A295" s="17"/>
      <c r="AZ295" s="17"/>
    </row>
    <row r="296">
      <c r="A296" s="17"/>
      <c r="AZ296" s="17"/>
    </row>
    <row r="297">
      <c r="A297" s="17"/>
      <c r="AZ297" s="17"/>
    </row>
    <row r="298">
      <c r="A298" s="17"/>
      <c r="AZ298" s="17"/>
    </row>
    <row r="299">
      <c r="A299" s="17"/>
      <c r="AZ299" s="17"/>
    </row>
    <row r="300">
      <c r="A300" s="17"/>
      <c r="AZ300" s="17"/>
    </row>
    <row r="301">
      <c r="A301" s="17"/>
      <c r="AZ301" s="17"/>
    </row>
    <row r="302">
      <c r="A302" s="17"/>
      <c r="AZ302" s="17"/>
    </row>
    <row r="303">
      <c r="A303" s="17"/>
      <c r="AZ303" s="17"/>
    </row>
    <row r="304">
      <c r="A304" s="17"/>
      <c r="AZ304" s="17"/>
    </row>
    <row r="305">
      <c r="A305" s="17"/>
      <c r="AZ305" s="17"/>
    </row>
    <row r="306">
      <c r="A306" s="17"/>
      <c r="AZ306" s="17"/>
    </row>
    <row r="307">
      <c r="A307" s="17"/>
      <c r="AZ307" s="17"/>
    </row>
    <row r="308">
      <c r="A308" s="17"/>
      <c r="AZ308" s="17"/>
    </row>
    <row r="309">
      <c r="A309" s="17"/>
      <c r="AZ309" s="17"/>
    </row>
    <row r="310">
      <c r="A310" s="17"/>
      <c r="AZ310" s="17"/>
    </row>
    <row r="311">
      <c r="A311" s="17"/>
      <c r="AZ311" s="17"/>
    </row>
    <row r="312">
      <c r="A312" s="17"/>
      <c r="AZ312" s="17"/>
    </row>
    <row r="313">
      <c r="A313" s="17"/>
      <c r="AZ313" s="17"/>
    </row>
    <row r="314">
      <c r="A314" s="17"/>
      <c r="AZ314" s="17"/>
    </row>
    <row r="315">
      <c r="A315" s="17"/>
      <c r="AZ315" s="17"/>
    </row>
    <row r="316">
      <c r="A316" s="17"/>
      <c r="AZ316" s="17"/>
    </row>
    <row r="317">
      <c r="A317" s="17"/>
      <c r="AZ317" s="17"/>
    </row>
    <row r="318">
      <c r="A318" s="17"/>
      <c r="AZ318" s="17"/>
    </row>
    <row r="319">
      <c r="A319" s="17"/>
      <c r="AZ319" s="17"/>
    </row>
    <row r="320">
      <c r="A320" s="17"/>
      <c r="AZ320" s="17"/>
    </row>
    <row r="321">
      <c r="A321" s="17"/>
      <c r="AZ321" s="17"/>
    </row>
    <row r="322">
      <c r="A322" s="17"/>
      <c r="AZ322" s="17"/>
    </row>
    <row r="323">
      <c r="A323" s="17"/>
      <c r="AZ323" s="17"/>
    </row>
    <row r="324">
      <c r="A324" s="17"/>
      <c r="AZ324" s="17"/>
    </row>
    <row r="325">
      <c r="A325" s="17"/>
      <c r="AZ325" s="17"/>
    </row>
    <row r="326">
      <c r="A326" s="17"/>
      <c r="AZ326" s="17"/>
    </row>
    <row r="327">
      <c r="A327" s="17"/>
      <c r="AZ327" s="17"/>
    </row>
    <row r="328">
      <c r="A328" s="17"/>
      <c r="AZ328" s="17"/>
    </row>
    <row r="329">
      <c r="A329" s="17"/>
      <c r="AZ329" s="17"/>
    </row>
    <row r="330">
      <c r="A330" s="17"/>
      <c r="AZ330" s="17"/>
    </row>
    <row r="331">
      <c r="A331" s="17"/>
      <c r="AZ331" s="17"/>
    </row>
    <row r="332">
      <c r="A332" s="17"/>
      <c r="AZ332" s="17"/>
    </row>
    <row r="333">
      <c r="A333" s="17"/>
      <c r="AZ333" s="17"/>
    </row>
    <row r="334">
      <c r="A334" s="17"/>
      <c r="AZ334" s="17"/>
    </row>
    <row r="335">
      <c r="A335" s="17"/>
      <c r="AZ335" s="17"/>
    </row>
    <row r="336">
      <c r="A336" s="17"/>
      <c r="AZ336" s="17"/>
    </row>
    <row r="337">
      <c r="A337" s="17"/>
      <c r="AZ337" s="17"/>
    </row>
    <row r="338">
      <c r="A338" s="17"/>
      <c r="AZ338" s="17"/>
    </row>
    <row r="339">
      <c r="A339" s="17"/>
      <c r="AZ339" s="17"/>
    </row>
    <row r="340">
      <c r="A340" s="17"/>
      <c r="AZ340" s="17"/>
    </row>
    <row r="341">
      <c r="A341" s="17"/>
      <c r="AZ341" s="17"/>
    </row>
    <row r="342">
      <c r="A342" s="17"/>
      <c r="AZ342" s="17"/>
    </row>
    <row r="343">
      <c r="A343" s="17"/>
      <c r="AZ343" s="17"/>
    </row>
    <row r="344">
      <c r="A344" s="17"/>
      <c r="AZ344" s="17"/>
    </row>
    <row r="345">
      <c r="A345" s="17"/>
      <c r="AZ345" s="17"/>
    </row>
    <row r="346">
      <c r="A346" s="17"/>
      <c r="AZ346" s="17"/>
    </row>
    <row r="347">
      <c r="A347" s="17"/>
      <c r="AZ347" s="17"/>
    </row>
    <row r="348">
      <c r="A348" s="17"/>
      <c r="AZ348" s="17"/>
    </row>
    <row r="349">
      <c r="A349" s="17"/>
      <c r="AZ349" s="17"/>
    </row>
    <row r="350">
      <c r="A350" s="17"/>
      <c r="AZ350" s="17"/>
    </row>
    <row r="351">
      <c r="A351" s="17"/>
      <c r="AZ351" s="17"/>
    </row>
    <row r="352">
      <c r="A352" s="17"/>
      <c r="AZ352" s="17"/>
    </row>
    <row r="353">
      <c r="A353" s="17"/>
      <c r="AZ353" s="17"/>
    </row>
    <row r="354">
      <c r="A354" s="17"/>
      <c r="AZ354" s="17"/>
    </row>
    <row r="355">
      <c r="A355" s="17"/>
      <c r="AZ355" s="17"/>
    </row>
    <row r="356">
      <c r="A356" s="17"/>
      <c r="AZ356" s="17"/>
    </row>
    <row r="357">
      <c r="A357" s="17"/>
      <c r="AZ357" s="17"/>
    </row>
    <row r="358">
      <c r="A358" s="17"/>
      <c r="AZ358" s="17"/>
    </row>
    <row r="359">
      <c r="A359" s="17"/>
      <c r="AZ359" s="17"/>
    </row>
    <row r="360">
      <c r="A360" s="17"/>
      <c r="AZ360" s="17"/>
    </row>
    <row r="361">
      <c r="A361" s="17"/>
      <c r="AZ361" s="17"/>
    </row>
    <row r="362">
      <c r="A362" s="17"/>
      <c r="AZ362" s="17"/>
    </row>
    <row r="363">
      <c r="A363" s="17"/>
      <c r="AZ363" s="17"/>
    </row>
    <row r="364">
      <c r="A364" s="17"/>
      <c r="AZ364" s="17"/>
    </row>
    <row r="365">
      <c r="A365" s="17"/>
      <c r="AZ365" s="17"/>
    </row>
    <row r="366">
      <c r="A366" s="17"/>
      <c r="AZ366" s="17"/>
    </row>
    <row r="367">
      <c r="A367" s="17"/>
      <c r="AZ367" s="17"/>
    </row>
    <row r="368">
      <c r="A368" s="17"/>
      <c r="AZ368" s="17"/>
    </row>
    <row r="369">
      <c r="A369" s="17"/>
      <c r="AZ369" s="17"/>
    </row>
    <row r="370">
      <c r="A370" s="17"/>
      <c r="AZ370" s="17"/>
    </row>
    <row r="371">
      <c r="A371" s="17"/>
      <c r="AZ371" s="17"/>
    </row>
    <row r="372">
      <c r="A372" s="17"/>
      <c r="AZ372" s="17"/>
    </row>
    <row r="373">
      <c r="A373" s="17"/>
      <c r="AZ373" s="17"/>
    </row>
    <row r="374">
      <c r="A374" s="17"/>
      <c r="AZ374" s="17"/>
    </row>
    <row r="375">
      <c r="A375" s="17"/>
      <c r="AZ375" s="17"/>
    </row>
    <row r="376">
      <c r="A376" s="17"/>
      <c r="AZ376" s="17"/>
    </row>
    <row r="377">
      <c r="A377" s="17"/>
      <c r="AZ377" s="17"/>
    </row>
    <row r="378">
      <c r="A378" s="17"/>
      <c r="AZ378" s="17"/>
    </row>
    <row r="379">
      <c r="A379" s="17"/>
      <c r="AZ379" s="17"/>
    </row>
    <row r="380">
      <c r="A380" s="17"/>
      <c r="AZ380" s="17"/>
    </row>
    <row r="381">
      <c r="A381" s="17"/>
      <c r="AZ381" s="17"/>
    </row>
    <row r="382">
      <c r="A382" s="17"/>
      <c r="AZ382" s="17"/>
    </row>
    <row r="383">
      <c r="A383" s="17"/>
      <c r="AZ383" s="17"/>
    </row>
    <row r="384">
      <c r="A384" s="17"/>
      <c r="AZ384" s="17"/>
    </row>
    <row r="385">
      <c r="A385" s="17"/>
      <c r="AZ385" s="17"/>
    </row>
    <row r="386">
      <c r="A386" s="17"/>
      <c r="AZ386" s="17"/>
    </row>
    <row r="387">
      <c r="A387" s="17"/>
      <c r="AZ387" s="17"/>
    </row>
    <row r="388">
      <c r="A388" s="17"/>
      <c r="AZ388" s="17"/>
    </row>
    <row r="389">
      <c r="A389" s="17"/>
      <c r="AZ389" s="17"/>
    </row>
    <row r="390">
      <c r="A390" s="17"/>
      <c r="AZ390" s="17"/>
    </row>
    <row r="391">
      <c r="A391" s="17"/>
      <c r="AZ391" s="17"/>
    </row>
    <row r="392">
      <c r="A392" s="17"/>
      <c r="AZ392" s="17"/>
    </row>
    <row r="393">
      <c r="A393" s="17"/>
      <c r="AZ393" s="17"/>
    </row>
    <row r="394">
      <c r="A394" s="17"/>
      <c r="AZ394" s="17"/>
    </row>
    <row r="395">
      <c r="A395" s="17"/>
      <c r="AZ395" s="17"/>
    </row>
    <row r="396">
      <c r="A396" s="17"/>
      <c r="AZ396" s="17"/>
    </row>
    <row r="397">
      <c r="A397" s="17"/>
      <c r="AZ397" s="17"/>
    </row>
    <row r="398">
      <c r="A398" s="17"/>
      <c r="AZ398" s="17"/>
    </row>
    <row r="399">
      <c r="A399" s="17"/>
      <c r="AZ399" s="17"/>
    </row>
    <row r="400">
      <c r="A400" s="17"/>
      <c r="AZ400" s="17"/>
    </row>
    <row r="401">
      <c r="A401" s="17"/>
      <c r="AZ401" s="17"/>
    </row>
    <row r="402">
      <c r="A402" s="17"/>
      <c r="AZ402" s="17"/>
    </row>
    <row r="403">
      <c r="A403" s="17"/>
      <c r="AZ403" s="17"/>
    </row>
    <row r="404">
      <c r="A404" s="17"/>
      <c r="AZ404" s="17"/>
    </row>
    <row r="405">
      <c r="A405" s="17"/>
      <c r="AZ405" s="17"/>
    </row>
    <row r="406">
      <c r="A406" s="17"/>
      <c r="AZ406" s="17"/>
    </row>
    <row r="407">
      <c r="A407" s="17"/>
      <c r="AZ407" s="17"/>
    </row>
    <row r="408">
      <c r="A408" s="17"/>
      <c r="AZ408" s="17"/>
    </row>
    <row r="409">
      <c r="A409" s="17"/>
      <c r="AZ409" s="17"/>
    </row>
    <row r="410">
      <c r="A410" s="17"/>
      <c r="AZ410" s="17"/>
    </row>
    <row r="411">
      <c r="A411" s="17"/>
      <c r="AZ411" s="17"/>
    </row>
    <row r="412">
      <c r="A412" s="17"/>
      <c r="AZ412" s="17"/>
    </row>
    <row r="413">
      <c r="A413" s="17"/>
      <c r="AZ413" s="17"/>
    </row>
    <row r="414">
      <c r="A414" s="17"/>
      <c r="AZ414" s="17"/>
    </row>
    <row r="415">
      <c r="A415" s="17"/>
      <c r="AZ415" s="17"/>
    </row>
    <row r="416">
      <c r="A416" s="17"/>
      <c r="AZ416" s="17"/>
    </row>
    <row r="417">
      <c r="A417" s="17"/>
      <c r="AZ417" s="17"/>
    </row>
    <row r="418">
      <c r="A418" s="17"/>
      <c r="AZ418" s="17"/>
    </row>
    <row r="419">
      <c r="A419" s="17"/>
      <c r="AZ419" s="17"/>
    </row>
    <row r="420">
      <c r="A420" s="17"/>
      <c r="AZ420" s="17"/>
    </row>
    <row r="421">
      <c r="A421" s="17"/>
      <c r="AZ421" s="17"/>
    </row>
    <row r="422">
      <c r="A422" s="17"/>
      <c r="AZ422" s="17"/>
    </row>
    <row r="423">
      <c r="A423" s="17"/>
      <c r="AZ423" s="17"/>
    </row>
    <row r="424">
      <c r="A424" s="17"/>
      <c r="AZ424" s="17"/>
    </row>
    <row r="425">
      <c r="A425" s="17"/>
      <c r="AZ425" s="17"/>
    </row>
    <row r="426">
      <c r="A426" s="17"/>
      <c r="AZ426" s="17"/>
    </row>
    <row r="427">
      <c r="A427" s="17"/>
      <c r="AZ427" s="17"/>
    </row>
    <row r="428">
      <c r="A428" s="17"/>
      <c r="AZ428" s="17"/>
    </row>
    <row r="429">
      <c r="A429" s="17"/>
      <c r="AZ429" s="17"/>
    </row>
    <row r="430">
      <c r="A430" s="17"/>
      <c r="AZ430" s="17"/>
    </row>
    <row r="431">
      <c r="A431" s="17"/>
      <c r="AZ431" s="17"/>
    </row>
    <row r="432">
      <c r="A432" s="17"/>
      <c r="AZ432" s="17"/>
    </row>
    <row r="433">
      <c r="A433" s="17"/>
      <c r="AZ433" s="17"/>
    </row>
    <row r="434">
      <c r="A434" s="17"/>
      <c r="AZ434" s="17"/>
    </row>
    <row r="435">
      <c r="A435" s="17"/>
      <c r="AZ435" s="17"/>
    </row>
    <row r="436">
      <c r="A436" s="17"/>
      <c r="AZ436" s="17"/>
    </row>
    <row r="437">
      <c r="A437" s="17"/>
      <c r="AZ437" s="17"/>
    </row>
    <row r="438">
      <c r="A438" s="17"/>
      <c r="AZ438" s="17"/>
    </row>
    <row r="439">
      <c r="A439" s="17"/>
      <c r="AZ439" s="17"/>
    </row>
    <row r="440">
      <c r="A440" s="17"/>
      <c r="AZ440" s="17"/>
    </row>
    <row r="441">
      <c r="A441" s="17"/>
      <c r="AZ441" s="17"/>
    </row>
    <row r="442">
      <c r="A442" s="17"/>
      <c r="AZ442" s="17"/>
    </row>
    <row r="443">
      <c r="A443" s="17"/>
      <c r="AZ443" s="17"/>
    </row>
    <row r="444">
      <c r="A444" s="17"/>
      <c r="AZ444" s="17"/>
    </row>
    <row r="445">
      <c r="A445" s="17"/>
      <c r="AZ445" s="17"/>
    </row>
    <row r="446">
      <c r="A446" s="17"/>
      <c r="AZ446" s="17"/>
    </row>
    <row r="447">
      <c r="A447" s="17"/>
      <c r="AZ447" s="17"/>
    </row>
    <row r="448">
      <c r="A448" s="17"/>
      <c r="AZ448" s="17"/>
    </row>
    <row r="449">
      <c r="A449" s="17"/>
      <c r="AZ449" s="17"/>
    </row>
    <row r="450">
      <c r="A450" s="17"/>
      <c r="AZ450" s="17"/>
    </row>
    <row r="451">
      <c r="A451" s="17"/>
      <c r="AZ451" s="17"/>
    </row>
    <row r="452">
      <c r="A452" s="17"/>
      <c r="AZ452" s="17"/>
    </row>
    <row r="453">
      <c r="A453" s="17"/>
      <c r="AZ453" s="17"/>
    </row>
    <row r="454">
      <c r="A454" s="17"/>
      <c r="AZ454" s="17"/>
    </row>
    <row r="455">
      <c r="A455" s="17"/>
      <c r="AZ455" s="17"/>
    </row>
    <row r="456">
      <c r="A456" s="17"/>
      <c r="AZ456" s="17"/>
    </row>
    <row r="457">
      <c r="A457" s="17"/>
      <c r="AZ457" s="17"/>
    </row>
    <row r="458">
      <c r="A458" s="17"/>
      <c r="AZ458" s="17"/>
    </row>
    <row r="459">
      <c r="A459" s="17"/>
      <c r="AZ459" s="17"/>
    </row>
    <row r="460">
      <c r="A460" s="17"/>
      <c r="AZ460" s="17"/>
    </row>
    <row r="461">
      <c r="A461" s="17"/>
      <c r="AZ461" s="17"/>
    </row>
    <row r="462">
      <c r="A462" s="17"/>
      <c r="AZ462" s="17"/>
    </row>
    <row r="463">
      <c r="A463" s="17"/>
      <c r="AZ463" s="17"/>
    </row>
    <row r="464">
      <c r="A464" s="17"/>
      <c r="AZ464" s="17"/>
    </row>
    <row r="465">
      <c r="A465" s="17"/>
      <c r="AZ465" s="17"/>
    </row>
    <row r="466">
      <c r="A466" s="17"/>
      <c r="AZ466" s="17"/>
    </row>
    <row r="467">
      <c r="A467" s="17"/>
      <c r="AZ467" s="17"/>
    </row>
    <row r="468">
      <c r="A468" s="17"/>
      <c r="AZ468" s="17"/>
    </row>
    <row r="469">
      <c r="A469" s="17"/>
      <c r="AZ469" s="17"/>
    </row>
    <row r="470">
      <c r="A470" s="17"/>
      <c r="AZ470" s="17"/>
    </row>
    <row r="471">
      <c r="A471" s="17"/>
      <c r="AZ471" s="17"/>
    </row>
    <row r="472">
      <c r="A472" s="17"/>
      <c r="AZ472" s="17"/>
    </row>
    <row r="473">
      <c r="A473" s="17"/>
      <c r="AZ473" s="17"/>
    </row>
    <row r="474">
      <c r="A474" s="17"/>
      <c r="AZ474" s="17"/>
    </row>
    <row r="475">
      <c r="A475" s="17"/>
      <c r="AZ475" s="17"/>
    </row>
    <row r="476">
      <c r="A476" s="17"/>
      <c r="AZ476" s="17"/>
    </row>
    <row r="477">
      <c r="A477" s="17"/>
      <c r="AZ477" s="17"/>
    </row>
    <row r="478">
      <c r="A478" s="17"/>
      <c r="AZ478" s="17"/>
    </row>
    <row r="479">
      <c r="A479" s="17"/>
      <c r="AZ479" s="17"/>
    </row>
    <row r="480">
      <c r="A480" s="17"/>
      <c r="AZ480" s="17"/>
    </row>
    <row r="481">
      <c r="A481" s="17"/>
      <c r="AZ481" s="17"/>
    </row>
    <row r="482">
      <c r="A482" s="17"/>
      <c r="AZ482" s="17"/>
    </row>
    <row r="483">
      <c r="A483" s="17"/>
      <c r="AZ483" s="17"/>
    </row>
    <row r="484">
      <c r="A484" s="17"/>
      <c r="AZ484" s="17"/>
    </row>
    <row r="485">
      <c r="A485" s="17"/>
      <c r="AZ485" s="17"/>
    </row>
    <row r="486">
      <c r="A486" s="17"/>
      <c r="AZ486" s="17"/>
    </row>
    <row r="487">
      <c r="A487" s="17"/>
      <c r="AZ487" s="17"/>
    </row>
    <row r="488">
      <c r="A488" s="17"/>
      <c r="AZ488" s="17"/>
    </row>
    <row r="489">
      <c r="A489" s="17"/>
      <c r="AZ489" s="17"/>
    </row>
    <row r="490">
      <c r="A490" s="17"/>
      <c r="AZ490" s="17"/>
    </row>
    <row r="491">
      <c r="A491" s="17"/>
      <c r="AZ491" s="17"/>
    </row>
    <row r="492">
      <c r="A492" s="17"/>
      <c r="AZ492" s="17"/>
    </row>
    <row r="493">
      <c r="A493" s="17"/>
      <c r="AZ493" s="17"/>
    </row>
    <row r="494">
      <c r="A494" s="17"/>
      <c r="AZ494" s="17"/>
    </row>
    <row r="495">
      <c r="A495" s="17"/>
      <c r="AZ495" s="17"/>
    </row>
    <row r="496">
      <c r="A496" s="17"/>
      <c r="AZ496" s="17"/>
    </row>
    <row r="497">
      <c r="A497" s="17"/>
      <c r="AZ497" s="17"/>
    </row>
    <row r="498">
      <c r="A498" s="17"/>
      <c r="AZ498" s="17"/>
    </row>
    <row r="499">
      <c r="A499" s="17"/>
      <c r="AZ499" s="17"/>
    </row>
    <row r="500">
      <c r="A500" s="17"/>
      <c r="AZ500" s="17"/>
    </row>
    <row r="501">
      <c r="A501" s="17"/>
      <c r="AZ501" s="17"/>
    </row>
    <row r="502">
      <c r="A502" s="17"/>
      <c r="AZ502" s="17"/>
    </row>
    <row r="503">
      <c r="A503" s="17"/>
      <c r="AZ503" s="17"/>
    </row>
    <row r="504">
      <c r="A504" s="17"/>
      <c r="AZ504" s="17"/>
    </row>
    <row r="505">
      <c r="A505" s="17"/>
      <c r="AZ505" s="17"/>
    </row>
    <row r="506">
      <c r="A506" s="17"/>
      <c r="AZ506" s="17"/>
    </row>
    <row r="507">
      <c r="A507" s="17"/>
      <c r="AZ507" s="17"/>
    </row>
    <row r="508">
      <c r="A508" s="17"/>
      <c r="AZ508" s="17"/>
    </row>
    <row r="509">
      <c r="A509" s="17"/>
      <c r="AZ509" s="17"/>
    </row>
    <row r="510">
      <c r="A510" s="17"/>
      <c r="AZ510" s="17"/>
    </row>
    <row r="511">
      <c r="A511" s="17"/>
      <c r="AZ511" s="17"/>
    </row>
    <row r="512">
      <c r="A512" s="17"/>
      <c r="AZ512" s="17"/>
    </row>
    <row r="513">
      <c r="A513" s="17"/>
      <c r="AZ513" s="17"/>
    </row>
    <row r="514">
      <c r="A514" s="17"/>
      <c r="AZ514" s="17"/>
    </row>
    <row r="515">
      <c r="A515" s="17"/>
      <c r="AZ515" s="17"/>
    </row>
    <row r="516">
      <c r="A516" s="17"/>
      <c r="AZ516" s="17"/>
    </row>
    <row r="517">
      <c r="A517" s="17"/>
      <c r="AZ517" s="17"/>
    </row>
    <row r="518">
      <c r="A518" s="17"/>
      <c r="AZ518" s="17"/>
    </row>
    <row r="519">
      <c r="A519" s="17"/>
      <c r="AZ519" s="17"/>
    </row>
    <row r="520">
      <c r="A520" s="17"/>
      <c r="AZ520" s="17"/>
    </row>
    <row r="521">
      <c r="A521" s="17"/>
      <c r="AZ521" s="17"/>
    </row>
    <row r="522">
      <c r="A522" s="17"/>
      <c r="AZ522" s="17"/>
    </row>
    <row r="523">
      <c r="A523" s="17"/>
      <c r="AZ523" s="17"/>
    </row>
    <row r="524">
      <c r="A524" s="17"/>
      <c r="AZ524" s="17"/>
    </row>
    <row r="525">
      <c r="A525" s="17"/>
      <c r="AZ525" s="17"/>
    </row>
    <row r="526">
      <c r="A526" s="17"/>
      <c r="AZ526" s="17"/>
    </row>
    <row r="527">
      <c r="A527" s="17"/>
      <c r="AZ527" s="17"/>
    </row>
    <row r="528">
      <c r="A528" s="17"/>
      <c r="AZ528" s="17"/>
    </row>
    <row r="529">
      <c r="A529" s="17"/>
      <c r="AZ529" s="17"/>
    </row>
    <row r="530">
      <c r="A530" s="17"/>
      <c r="AZ530" s="17"/>
    </row>
    <row r="531">
      <c r="A531" s="17"/>
      <c r="AZ531" s="17"/>
    </row>
    <row r="532">
      <c r="A532" s="17"/>
      <c r="AZ532" s="17"/>
    </row>
    <row r="533">
      <c r="A533" s="17"/>
      <c r="AZ533" s="17"/>
    </row>
    <row r="534">
      <c r="A534" s="17"/>
      <c r="AZ534" s="17"/>
    </row>
    <row r="535">
      <c r="A535" s="17"/>
      <c r="AZ535" s="17"/>
    </row>
    <row r="536">
      <c r="A536" s="17"/>
      <c r="AZ536" s="17"/>
    </row>
    <row r="537">
      <c r="A537" s="17"/>
      <c r="AZ537" s="17"/>
    </row>
    <row r="538">
      <c r="A538" s="17"/>
      <c r="AZ538" s="17"/>
    </row>
    <row r="539">
      <c r="A539" s="17"/>
      <c r="AZ539" s="17"/>
    </row>
    <row r="540">
      <c r="A540" s="17"/>
      <c r="AZ540" s="17"/>
    </row>
    <row r="541">
      <c r="A541" s="17"/>
      <c r="AZ541" s="17"/>
    </row>
    <row r="542">
      <c r="A542" s="17"/>
      <c r="AZ542" s="17"/>
    </row>
    <row r="543">
      <c r="A543" s="17"/>
      <c r="AZ543" s="17"/>
    </row>
    <row r="544">
      <c r="A544" s="17"/>
      <c r="AZ544" s="17"/>
    </row>
    <row r="545">
      <c r="A545" s="17"/>
      <c r="AZ545" s="17"/>
    </row>
    <row r="546">
      <c r="A546" s="17"/>
      <c r="AZ546" s="17"/>
    </row>
    <row r="547">
      <c r="A547" s="17"/>
      <c r="AZ547" s="17"/>
    </row>
    <row r="548">
      <c r="A548" s="17"/>
      <c r="AZ548" s="17"/>
    </row>
    <row r="549">
      <c r="A549" s="17"/>
      <c r="AZ549" s="17"/>
    </row>
    <row r="550">
      <c r="A550" s="17"/>
      <c r="AZ550" s="17"/>
    </row>
    <row r="551">
      <c r="A551" s="17"/>
      <c r="AZ551" s="17"/>
    </row>
    <row r="552">
      <c r="A552" s="17"/>
      <c r="AZ552" s="17"/>
    </row>
    <row r="553">
      <c r="A553" s="17"/>
      <c r="AZ553" s="17"/>
    </row>
    <row r="554">
      <c r="A554" s="17"/>
      <c r="AZ554" s="17"/>
    </row>
    <row r="555">
      <c r="A555" s="17"/>
      <c r="AZ555" s="17"/>
    </row>
    <row r="556">
      <c r="A556" s="17"/>
      <c r="AZ556" s="17"/>
    </row>
    <row r="557">
      <c r="A557" s="17"/>
      <c r="AZ557" s="17"/>
    </row>
    <row r="558">
      <c r="A558" s="17"/>
      <c r="AZ558" s="17"/>
    </row>
    <row r="559">
      <c r="A559" s="17"/>
      <c r="AZ559" s="17"/>
    </row>
    <row r="560">
      <c r="A560" s="17"/>
      <c r="AZ560" s="17"/>
    </row>
    <row r="561">
      <c r="A561" s="17"/>
      <c r="AZ561" s="17"/>
    </row>
    <row r="562">
      <c r="A562" s="17"/>
      <c r="AZ562" s="17"/>
    </row>
    <row r="563">
      <c r="A563" s="17"/>
      <c r="AZ563" s="17"/>
    </row>
    <row r="564">
      <c r="A564" s="17"/>
      <c r="AZ564" s="17"/>
    </row>
    <row r="565">
      <c r="A565" s="17"/>
      <c r="AZ565" s="17"/>
    </row>
    <row r="566">
      <c r="A566" s="17"/>
      <c r="AZ566" s="17"/>
    </row>
    <row r="567">
      <c r="A567" s="17"/>
      <c r="AZ567" s="17"/>
    </row>
    <row r="568">
      <c r="A568" s="17"/>
      <c r="AZ568" s="17"/>
    </row>
    <row r="569">
      <c r="A569" s="17"/>
      <c r="AZ569" s="17"/>
    </row>
    <row r="570">
      <c r="A570" s="17"/>
      <c r="AZ570" s="17"/>
    </row>
    <row r="571">
      <c r="A571" s="17"/>
      <c r="AZ571" s="17"/>
    </row>
    <row r="572">
      <c r="A572" s="17"/>
      <c r="AZ572" s="17"/>
    </row>
    <row r="573">
      <c r="A573" s="17"/>
      <c r="AZ573" s="17"/>
    </row>
    <row r="574">
      <c r="A574" s="17"/>
      <c r="AZ574" s="17"/>
    </row>
    <row r="575">
      <c r="A575" s="17"/>
      <c r="AZ575" s="17"/>
    </row>
    <row r="576">
      <c r="A576" s="17"/>
      <c r="AZ576" s="17"/>
    </row>
    <row r="577">
      <c r="A577" s="17"/>
      <c r="AZ577" s="17"/>
    </row>
    <row r="578">
      <c r="A578" s="17"/>
      <c r="AZ578" s="17"/>
    </row>
    <row r="579">
      <c r="A579" s="17"/>
      <c r="AZ579" s="17"/>
    </row>
    <row r="580">
      <c r="A580" s="17"/>
      <c r="AZ580" s="17"/>
    </row>
    <row r="581">
      <c r="A581" s="17"/>
      <c r="AZ581" s="17"/>
    </row>
    <row r="582">
      <c r="A582" s="17"/>
      <c r="AZ582" s="17"/>
    </row>
    <row r="583">
      <c r="A583" s="17"/>
      <c r="AZ583" s="17"/>
    </row>
    <row r="584">
      <c r="A584" s="17"/>
      <c r="AZ584" s="17"/>
    </row>
    <row r="585">
      <c r="A585" s="17"/>
      <c r="AZ585" s="17"/>
    </row>
    <row r="586">
      <c r="A586" s="17"/>
      <c r="AZ586" s="17"/>
    </row>
    <row r="587">
      <c r="A587" s="17"/>
      <c r="AZ587" s="17"/>
    </row>
    <row r="588">
      <c r="A588" s="17"/>
      <c r="AZ588" s="17"/>
    </row>
    <row r="589">
      <c r="A589" s="17"/>
      <c r="AZ589" s="17"/>
    </row>
    <row r="590">
      <c r="A590" s="17"/>
      <c r="AZ590" s="17"/>
    </row>
    <row r="591">
      <c r="A591" s="17"/>
      <c r="AZ591" s="17"/>
    </row>
    <row r="592">
      <c r="A592" s="17"/>
      <c r="AZ592" s="17"/>
    </row>
    <row r="593">
      <c r="A593" s="17"/>
      <c r="AZ593" s="17"/>
    </row>
    <row r="594">
      <c r="A594" s="17"/>
      <c r="AZ594" s="17"/>
    </row>
    <row r="595">
      <c r="A595" s="17"/>
      <c r="AZ595" s="17"/>
    </row>
    <row r="596">
      <c r="A596" s="17"/>
      <c r="AZ596" s="17"/>
    </row>
    <row r="597">
      <c r="A597" s="17"/>
      <c r="AZ597" s="17"/>
    </row>
    <row r="598">
      <c r="A598" s="17"/>
      <c r="AZ598" s="17"/>
    </row>
    <row r="599">
      <c r="A599" s="17"/>
      <c r="AZ599" s="17"/>
    </row>
    <row r="600">
      <c r="A600" s="17"/>
      <c r="AZ600" s="17"/>
    </row>
    <row r="601">
      <c r="A601" s="17"/>
      <c r="AZ601" s="17"/>
    </row>
    <row r="602">
      <c r="A602" s="17"/>
      <c r="AZ602" s="17"/>
    </row>
    <row r="603">
      <c r="A603" s="17"/>
      <c r="AZ603" s="17"/>
    </row>
    <row r="604">
      <c r="A604" s="17"/>
      <c r="AZ604" s="17"/>
    </row>
    <row r="605">
      <c r="A605" s="17"/>
      <c r="AZ605" s="17"/>
    </row>
    <row r="606">
      <c r="A606" s="17"/>
      <c r="AZ606" s="17"/>
    </row>
    <row r="607">
      <c r="A607" s="17"/>
      <c r="AZ607" s="17"/>
    </row>
    <row r="608">
      <c r="A608" s="17"/>
      <c r="AZ608" s="17"/>
    </row>
    <row r="609">
      <c r="A609" s="17"/>
      <c r="AZ609" s="17"/>
    </row>
    <row r="610">
      <c r="A610" s="17"/>
      <c r="AZ610" s="17"/>
    </row>
    <row r="611">
      <c r="A611" s="17"/>
      <c r="AZ611" s="17"/>
    </row>
    <row r="612">
      <c r="A612" s="17"/>
      <c r="AZ612" s="17"/>
    </row>
    <row r="613">
      <c r="A613" s="17"/>
      <c r="AZ613" s="17"/>
    </row>
    <row r="614">
      <c r="A614" s="17"/>
      <c r="AZ614" s="17"/>
    </row>
    <row r="615">
      <c r="A615" s="17"/>
      <c r="AZ615" s="17"/>
    </row>
    <row r="616">
      <c r="A616" s="17"/>
      <c r="AZ616" s="17"/>
    </row>
    <row r="617">
      <c r="A617" s="17"/>
      <c r="AZ617" s="17"/>
    </row>
    <row r="618">
      <c r="A618" s="17"/>
      <c r="AZ618" s="17"/>
    </row>
    <row r="619">
      <c r="A619" s="17"/>
      <c r="AZ619" s="17"/>
    </row>
    <row r="620">
      <c r="A620" s="17"/>
      <c r="AZ620" s="17"/>
    </row>
    <row r="621">
      <c r="A621" s="17"/>
      <c r="AZ621" s="17"/>
    </row>
    <row r="622">
      <c r="A622" s="17"/>
      <c r="AZ622" s="17"/>
    </row>
    <row r="623">
      <c r="A623" s="17"/>
      <c r="AZ623" s="17"/>
    </row>
    <row r="624">
      <c r="A624" s="17"/>
      <c r="AZ624" s="17"/>
    </row>
    <row r="625">
      <c r="A625" s="17"/>
      <c r="AZ625" s="17"/>
    </row>
    <row r="626">
      <c r="A626" s="17"/>
      <c r="AZ626" s="17"/>
    </row>
    <row r="627">
      <c r="A627" s="17"/>
      <c r="AZ627" s="17"/>
    </row>
    <row r="628">
      <c r="A628" s="17"/>
      <c r="AZ628" s="17"/>
    </row>
    <row r="629">
      <c r="A629" s="17"/>
      <c r="AZ629" s="17"/>
    </row>
    <row r="630">
      <c r="A630" s="17"/>
      <c r="AZ630" s="17"/>
    </row>
    <row r="631">
      <c r="A631" s="17"/>
      <c r="AZ631" s="17"/>
    </row>
    <row r="632">
      <c r="A632" s="17"/>
      <c r="AZ632" s="17"/>
    </row>
    <row r="633">
      <c r="A633" s="17"/>
      <c r="AZ633" s="17"/>
    </row>
    <row r="634">
      <c r="A634" s="17"/>
      <c r="AZ634" s="17"/>
    </row>
    <row r="635">
      <c r="A635" s="17"/>
      <c r="AZ635" s="17"/>
    </row>
    <row r="636">
      <c r="A636" s="17"/>
      <c r="AZ636" s="17"/>
    </row>
    <row r="637">
      <c r="A637" s="17"/>
      <c r="AZ637" s="17"/>
    </row>
    <row r="638">
      <c r="A638" s="17"/>
      <c r="AZ638" s="17"/>
    </row>
    <row r="639">
      <c r="A639" s="17"/>
      <c r="AZ639" s="17"/>
    </row>
    <row r="640">
      <c r="A640" s="17"/>
      <c r="AZ640" s="17"/>
    </row>
    <row r="641">
      <c r="A641" s="17"/>
      <c r="AZ641" s="17"/>
    </row>
    <row r="642">
      <c r="A642" s="17"/>
      <c r="AZ642" s="17"/>
    </row>
    <row r="643">
      <c r="A643" s="17"/>
      <c r="AZ643" s="17"/>
    </row>
    <row r="644">
      <c r="A644" s="17"/>
      <c r="AZ644" s="17"/>
    </row>
    <row r="645">
      <c r="A645" s="17"/>
      <c r="AZ645" s="17"/>
    </row>
    <row r="646">
      <c r="A646" s="17"/>
      <c r="AZ646" s="17"/>
    </row>
    <row r="647">
      <c r="A647" s="17"/>
      <c r="AZ647" s="17"/>
    </row>
    <row r="648">
      <c r="A648" s="17"/>
      <c r="AZ648" s="17"/>
    </row>
    <row r="649">
      <c r="A649" s="17"/>
      <c r="AZ649" s="17"/>
    </row>
    <row r="650">
      <c r="A650" s="17"/>
      <c r="AZ650" s="17"/>
    </row>
    <row r="651">
      <c r="A651" s="17"/>
      <c r="AZ651" s="17"/>
    </row>
    <row r="652">
      <c r="A652" s="17"/>
      <c r="AZ652" s="17"/>
    </row>
    <row r="653">
      <c r="A653" s="17"/>
      <c r="AZ653" s="17"/>
    </row>
    <row r="654">
      <c r="A654" s="17"/>
      <c r="AZ654" s="17"/>
    </row>
    <row r="655">
      <c r="A655" s="17"/>
      <c r="AZ655" s="17"/>
    </row>
    <row r="656">
      <c r="A656" s="17"/>
      <c r="AZ656" s="17"/>
    </row>
    <row r="657">
      <c r="A657" s="17"/>
      <c r="AZ657" s="17"/>
    </row>
    <row r="658">
      <c r="A658" s="17"/>
      <c r="AZ658" s="17"/>
    </row>
    <row r="659">
      <c r="A659" s="17"/>
      <c r="AZ659" s="17"/>
    </row>
    <row r="660">
      <c r="A660" s="17"/>
      <c r="AZ660" s="17"/>
    </row>
    <row r="661">
      <c r="A661" s="17"/>
      <c r="AZ661" s="17"/>
    </row>
    <row r="662">
      <c r="A662" s="17"/>
      <c r="AZ662" s="17"/>
    </row>
    <row r="663">
      <c r="A663" s="17"/>
      <c r="AZ663" s="17"/>
    </row>
    <row r="664">
      <c r="A664" s="17"/>
      <c r="AZ664" s="17"/>
    </row>
    <row r="665">
      <c r="A665" s="17"/>
      <c r="AZ665" s="17"/>
    </row>
    <row r="666">
      <c r="A666" s="17"/>
      <c r="AZ666" s="17"/>
    </row>
    <row r="667">
      <c r="A667" s="17"/>
      <c r="AZ667" s="17"/>
    </row>
    <row r="668">
      <c r="A668" s="17"/>
      <c r="AZ668" s="17"/>
    </row>
    <row r="669">
      <c r="A669" s="17"/>
      <c r="AZ669" s="17"/>
    </row>
    <row r="670">
      <c r="A670" s="17"/>
      <c r="AZ670" s="17"/>
    </row>
    <row r="671">
      <c r="A671" s="17"/>
      <c r="AZ671" s="17"/>
    </row>
    <row r="672">
      <c r="A672" s="17"/>
      <c r="AZ672" s="17"/>
    </row>
    <row r="673">
      <c r="A673" s="17"/>
      <c r="AZ673" s="17"/>
    </row>
    <row r="674">
      <c r="A674" s="17"/>
      <c r="AZ674" s="17"/>
    </row>
    <row r="675">
      <c r="A675" s="17"/>
      <c r="AZ675" s="17"/>
    </row>
    <row r="676">
      <c r="A676" s="17"/>
      <c r="AZ676" s="17"/>
    </row>
    <row r="677">
      <c r="A677" s="17"/>
      <c r="AZ677" s="17"/>
    </row>
    <row r="678">
      <c r="A678" s="17"/>
      <c r="AZ678" s="17"/>
    </row>
    <row r="679">
      <c r="A679" s="17"/>
      <c r="AZ679" s="17"/>
    </row>
    <row r="680">
      <c r="A680" s="17"/>
      <c r="AZ680" s="17"/>
    </row>
    <row r="681">
      <c r="A681" s="17"/>
      <c r="AZ681" s="17"/>
    </row>
    <row r="682">
      <c r="A682" s="17"/>
      <c r="AZ682" s="17"/>
    </row>
    <row r="683">
      <c r="A683" s="17"/>
      <c r="AZ683" s="17"/>
    </row>
    <row r="684">
      <c r="A684" s="17"/>
      <c r="AZ684" s="17"/>
    </row>
    <row r="685">
      <c r="A685" s="17"/>
      <c r="AZ685" s="17"/>
    </row>
    <row r="686">
      <c r="A686" s="17"/>
      <c r="AZ686" s="17"/>
    </row>
    <row r="687">
      <c r="A687" s="17"/>
      <c r="AZ687" s="17"/>
    </row>
    <row r="688">
      <c r="A688" s="17"/>
      <c r="AZ688" s="17"/>
    </row>
    <row r="689">
      <c r="A689" s="17"/>
      <c r="AZ689" s="17"/>
    </row>
    <row r="690">
      <c r="A690" s="17"/>
      <c r="AZ690" s="17"/>
    </row>
    <row r="691">
      <c r="A691" s="17"/>
      <c r="AZ691" s="17"/>
    </row>
    <row r="692">
      <c r="A692" s="17"/>
      <c r="AZ692" s="17"/>
    </row>
    <row r="693">
      <c r="A693" s="17"/>
      <c r="AZ693" s="17"/>
    </row>
    <row r="694">
      <c r="A694" s="17"/>
      <c r="AZ694" s="17"/>
    </row>
    <row r="695">
      <c r="A695" s="17"/>
      <c r="AZ695" s="17"/>
    </row>
    <row r="696">
      <c r="A696" s="17"/>
      <c r="AZ696" s="17"/>
    </row>
    <row r="697">
      <c r="A697" s="17"/>
      <c r="AZ697" s="17"/>
    </row>
    <row r="698">
      <c r="A698" s="17"/>
      <c r="AZ698" s="17"/>
    </row>
    <row r="699">
      <c r="A699" s="17"/>
      <c r="AZ699" s="17"/>
    </row>
    <row r="700">
      <c r="A700" s="17"/>
      <c r="AZ700" s="17"/>
    </row>
    <row r="701">
      <c r="A701" s="17"/>
      <c r="AZ701" s="17"/>
    </row>
    <row r="702">
      <c r="A702" s="17"/>
      <c r="AZ702" s="17"/>
    </row>
    <row r="703">
      <c r="A703" s="17"/>
      <c r="AZ703" s="17"/>
    </row>
    <row r="704">
      <c r="A704" s="17"/>
      <c r="AZ704" s="17"/>
    </row>
    <row r="705">
      <c r="A705" s="17"/>
      <c r="AZ705" s="17"/>
    </row>
    <row r="706">
      <c r="A706" s="17"/>
      <c r="AZ706" s="17"/>
    </row>
    <row r="707">
      <c r="A707" s="17"/>
      <c r="AZ707" s="17"/>
    </row>
    <row r="708">
      <c r="A708" s="17"/>
      <c r="AZ708" s="17"/>
    </row>
    <row r="709">
      <c r="A709" s="17"/>
      <c r="AZ709" s="17"/>
    </row>
    <row r="710">
      <c r="A710" s="17"/>
      <c r="AZ710" s="17"/>
    </row>
    <row r="711">
      <c r="A711" s="17"/>
      <c r="AZ711" s="17"/>
    </row>
    <row r="712">
      <c r="A712" s="17"/>
      <c r="AZ712" s="17"/>
    </row>
    <row r="713">
      <c r="A713" s="17"/>
      <c r="AZ713" s="17"/>
    </row>
    <row r="714">
      <c r="A714" s="17"/>
      <c r="AZ714" s="17"/>
    </row>
    <row r="715">
      <c r="A715" s="17"/>
      <c r="AZ715" s="17"/>
    </row>
    <row r="716">
      <c r="A716" s="17"/>
      <c r="AZ716" s="17"/>
    </row>
    <row r="717">
      <c r="A717" s="17"/>
      <c r="AZ717" s="17"/>
    </row>
    <row r="718">
      <c r="A718" s="17"/>
      <c r="AZ718" s="17"/>
    </row>
    <row r="719">
      <c r="A719" s="17"/>
      <c r="AZ719" s="17"/>
    </row>
    <row r="720">
      <c r="A720" s="17"/>
      <c r="AZ720" s="17"/>
    </row>
    <row r="721">
      <c r="A721" s="17"/>
      <c r="AZ721" s="17"/>
    </row>
    <row r="722">
      <c r="A722" s="17"/>
      <c r="AZ722" s="17"/>
    </row>
    <row r="723">
      <c r="A723" s="17"/>
      <c r="AZ723" s="17"/>
    </row>
    <row r="724">
      <c r="A724" s="17"/>
      <c r="AZ724" s="17"/>
    </row>
    <row r="725">
      <c r="A725" s="17"/>
      <c r="AZ725" s="17"/>
    </row>
    <row r="726">
      <c r="A726" s="17"/>
      <c r="AZ726" s="17"/>
    </row>
    <row r="727">
      <c r="A727" s="17"/>
      <c r="AZ727" s="17"/>
    </row>
    <row r="728">
      <c r="A728" s="17"/>
      <c r="AZ728" s="17"/>
    </row>
    <row r="729">
      <c r="A729" s="17"/>
      <c r="AZ729" s="17"/>
    </row>
    <row r="730">
      <c r="A730" s="17"/>
      <c r="AZ730" s="17"/>
    </row>
    <row r="731">
      <c r="A731" s="17"/>
      <c r="AZ731" s="17"/>
    </row>
    <row r="732">
      <c r="A732" s="17"/>
      <c r="AZ732" s="17"/>
    </row>
    <row r="733">
      <c r="A733" s="17"/>
      <c r="AZ733" s="17"/>
    </row>
    <row r="734">
      <c r="A734" s="17"/>
      <c r="AZ734" s="17"/>
    </row>
    <row r="735">
      <c r="A735" s="17"/>
      <c r="AZ735" s="17"/>
    </row>
    <row r="736">
      <c r="A736" s="17"/>
      <c r="AZ736" s="17"/>
    </row>
    <row r="737">
      <c r="A737" s="17"/>
      <c r="AZ737" s="17"/>
    </row>
    <row r="738">
      <c r="A738" s="17"/>
      <c r="AZ738" s="17"/>
    </row>
    <row r="739">
      <c r="A739" s="17"/>
      <c r="AZ739" s="17"/>
    </row>
    <row r="740">
      <c r="A740" s="17"/>
      <c r="AZ740" s="17"/>
    </row>
    <row r="741">
      <c r="A741" s="17"/>
      <c r="AZ741" s="17"/>
    </row>
    <row r="742">
      <c r="A742" s="17"/>
      <c r="AZ742" s="17"/>
    </row>
    <row r="743">
      <c r="A743" s="17"/>
      <c r="AZ743" s="17"/>
    </row>
    <row r="744">
      <c r="A744" s="17"/>
      <c r="AZ744" s="17"/>
    </row>
    <row r="745">
      <c r="A745" s="17"/>
      <c r="AZ745" s="17"/>
    </row>
    <row r="746">
      <c r="A746" s="17"/>
      <c r="AZ746" s="17"/>
    </row>
    <row r="747">
      <c r="A747" s="17"/>
      <c r="AZ747" s="17"/>
    </row>
    <row r="748">
      <c r="A748" s="17"/>
      <c r="AZ748" s="17"/>
    </row>
    <row r="749">
      <c r="A749" s="17"/>
      <c r="AZ749" s="17"/>
    </row>
    <row r="750">
      <c r="A750" s="17"/>
      <c r="AZ750" s="17"/>
    </row>
    <row r="751">
      <c r="A751" s="17"/>
      <c r="AZ751" s="17"/>
    </row>
    <row r="752">
      <c r="A752" s="17"/>
      <c r="AZ752" s="17"/>
    </row>
    <row r="753">
      <c r="A753" s="17"/>
      <c r="AZ753" s="17"/>
    </row>
    <row r="754">
      <c r="A754" s="17"/>
      <c r="AZ754" s="17"/>
    </row>
    <row r="755">
      <c r="A755" s="17"/>
      <c r="AZ755" s="17"/>
    </row>
    <row r="756">
      <c r="A756" s="17"/>
      <c r="AZ756" s="17"/>
    </row>
    <row r="757">
      <c r="A757" s="17"/>
      <c r="AZ757" s="17"/>
    </row>
    <row r="758">
      <c r="A758" s="17"/>
      <c r="AZ758" s="17"/>
    </row>
    <row r="759">
      <c r="A759" s="17"/>
      <c r="AZ759" s="17"/>
    </row>
    <row r="760">
      <c r="A760" s="17"/>
      <c r="AZ760" s="17"/>
    </row>
    <row r="761">
      <c r="A761" s="17"/>
      <c r="AZ761" s="17"/>
    </row>
    <row r="762">
      <c r="A762" s="17"/>
      <c r="AZ762" s="17"/>
    </row>
    <row r="763">
      <c r="A763" s="17"/>
      <c r="AZ763" s="17"/>
    </row>
    <row r="764">
      <c r="A764" s="17"/>
      <c r="AZ764" s="17"/>
    </row>
    <row r="765">
      <c r="A765" s="17"/>
      <c r="AZ765" s="17"/>
    </row>
    <row r="766">
      <c r="A766" s="17"/>
      <c r="AZ766" s="17"/>
    </row>
    <row r="767">
      <c r="A767" s="17"/>
      <c r="AZ767" s="17"/>
    </row>
    <row r="768">
      <c r="A768" s="17"/>
      <c r="AZ768" s="17"/>
    </row>
    <row r="769">
      <c r="A769" s="17"/>
      <c r="AZ769" s="17"/>
    </row>
    <row r="770">
      <c r="A770" s="17"/>
      <c r="AZ770" s="17"/>
    </row>
    <row r="771">
      <c r="A771" s="17"/>
      <c r="AZ771" s="17"/>
    </row>
    <row r="772">
      <c r="A772" s="17"/>
      <c r="AZ772" s="17"/>
    </row>
    <row r="773">
      <c r="A773" s="17"/>
      <c r="AZ773" s="17"/>
    </row>
    <row r="774">
      <c r="A774" s="17"/>
      <c r="AZ774" s="17"/>
    </row>
    <row r="775">
      <c r="A775" s="17"/>
      <c r="AZ775" s="17"/>
    </row>
    <row r="776">
      <c r="A776" s="17"/>
      <c r="AZ776" s="17"/>
    </row>
    <row r="777">
      <c r="A777" s="17"/>
      <c r="AZ777" s="17"/>
    </row>
    <row r="778">
      <c r="A778" s="17"/>
      <c r="AZ778" s="17"/>
    </row>
    <row r="779">
      <c r="A779" s="17"/>
      <c r="AZ779" s="17"/>
    </row>
    <row r="780">
      <c r="A780" s="17"/>
      <c r="AZ780" s="17"/>
    </row>
    <row r="781">
      <c r="A781" s="17"/>
      <c r="AZ781" s="17"/>
    </row>
    <row r="782">
      <c r="A782" s="17"/>
      <c r="AZ782" s="17"/>
    </row>
    <row r="783">
      <c r="A783" s="17"/>
      <c r="AZ783" s="17"/>
    </row>
    <row r="784">
      <c r="A784" s="17"/>
      <c r="AZ784" s="17"/>
    </row>
    <row r="785">
      <c r="A785" s="17"/>
      <c r="AZ785" s="17"/>
    </row>
    <row r="786">
      <c r="A786" s="17"/>
      <c r="AZ786" s="17"/>
    </row>
    <row r="787">
      <c r="A787" s="17"/>
      <c r="AZ787" s="17"/>
    </row>
    <row r="788">
      <c r="A788" s="17"/>
      <c r="AZ788" s="17"/>
    </row>
    <row r="789">
      <c r="A789" s="17"/>
      <c r="AZ789" s="17"/>
    </row>
    <row r="790">
      <c r="A790" s="17"/>
      <c r="AZ790" s="17"/>
    </row>
    <row r="791">
      <c r="A791" s="17"/>
      <c r="AZ791" s="17"/>
    </row>
    <row r="792">
      <c r="A792" s="17"/>
      <c r="AZ792" s="17"/>
    </row>
    <row r="793">
      <c r="A793" s="17"/>
      <c r="AZ793" s="17"/>
    </row>
    <row r="794">
      <c r="A794" s="17"/>
      <c r="AZ794" s="17"/>
    </row>
    <row r="795">
      <c r="A795" s="17"/>
      <c r="AZ795" s="17"/>
    </row>
    <row r="796">
      <c r="A796" s="17"/>
      <c r="AZ796" s="17"/>
    </row>
    <row r="797">
      <c r="A797" s="17"/>
      <c r="AZ797" s="17"/>
    </row>
    <row r="798">
      <c r="A798" s="17"/>
      <c r="AZ798" s="17"/>
    </row>
    <row r="799">
      <c r="A799" s="17"/>
      <c r="AZ799" s="17"/>
    </row>
    <row r="800">
      <c r="A800" s="17"/>
      <c r="AZ800" s="17"/>
    </row>
    <row r="801">
      <c r="A801" s="17"/>
      <c r="AZ801" s="17"/>
    </row>
    <row r="802">
      <c r="A802" s="17"/>
      <c r="AZ802" s="17"/>
    </row>
    <row r="803">
      <c r="A803" s="17"/>
      <c r="AZ803" s="17"/>
    </row>
    <row r="804">
      <c r="A804" s="17"/>
      <c r="AZ804" s="17"/>
    </row>
    <row r="805">
      <c r="A805" s="17"/>
      <c r="AZ805" s="17"/>
    </row>
    <row r="806">
      <c r="A806" s="17"/>
      <c r="AZ806" s="17"/>
    </row>
    <row r="807">
      <c r="A807" s="17"/>
      <c r="AZ807" s="17"/>
    </row>
    <row r="808">
      <c r="A808" s="17"/>
      <c r="AZ808" s="17"/>
    </row>
    <row r="809">
      <c r="A809" s="17"/>
      <c r="AZ809" s="17"/>
    </row>
    <row r="810">
      <c r="A810" s="17"/>
      <c r="AZ810" s="17"/>
    </row>
    <row r="811">
      <c r="A811" s="17"/>
      <c r="AZ811" s="17"/>
    </row>
    <row r="812">
      <c r="A812" s="17"/>
      <c r="AZ812" s="17"/>
    </row>
    <row r="813">
      <c r="A813" s="17"/>
      <c r="AZ813" s="17"/>
    </row>
    <row r="814">
      <c r="A814" s="17"/>
      <c r="AZ814" s="17"/>
    </row>
    <row r="815">
      <c r="A815" s="17"/>
      <c r="AZ815" s="17"/>
    </row>
    <row r="816">
      <c r="A816" s="17"/>
      <c r="AZ816" s="17"/>
    </row>
    <row r="817">
      <c r="A817" s="17"/>
      <c r="AZ817" s="17"/>
    </row>
    <row r="818">
      <c r="A818" s="17"/>
      <c r="AZ818" s="17"/>
    </row>
    <row r="819">
      <c r="A819" s="17"/>
      <c r="AZ819" s="17"/>
    </row>
    <row r="820">
      <c r="A820" s="17"/>
      <c r="AZ820" s="17"/>
    </row>
    <row r="821">
      <c r="A821" s="17"/>
      <c r="AZ821" s="17"/>
    </row>
    <row r="822">
      <c r="A822" s="17"/>
      <c r="AZ822" s="17"/>
    </row>
    <row r="823">
      <c r="A823" s="17"/>
      <c r="AZ823" s="17"/>
    </row>
    <row r="824">
      <c r="A824" s="17"/>
      <c r="AZ824" s="17"/>
    </row>
    <row r="825">
      <c r="A825" s="17"/>
      <c r="AZ825" s="17"/>
    </row>
    <row r="826">
      <c r="A826" s="17"/>
      <c r="AZ826" s="17"/>
    </row>
    <row r="827">
      <c r="A827" s="17"/>
      <c r="AZ827" s="17"/>
    </row>
    <row r="828">
      <c r="A828" s="17"/>
      <c r="AZ828" s="17"/>
    </row>
    <row r="829">
      <c r="A829" s="17"/>
      <c r="AZ829" s="17"/>
    </row>
    <row r="830">
      <c r="A830" s="17"/>
      <c r="AZ830" s="17"/>
    </row>
    <row r="831">
      <c r="A831" s="17"/>
      <c r="AZ831" s="17"/>
    </row>
    <row r="832">
      <c r="A832" s="17"/>
      <c r="AZ832" s="17"/>
    </row>
    <row r="833">
      <c r="A833" s="17"/>
      <c r="AZ833" s="17"/>
    </row>
    <row r="834">
      <c r="A834" s="17"/>
      <c r="AZ834" s="17"/>
    </row>
    <row r="835">
      <c r="A835" s="17"/>
      <c r="AZ835" s="17"/>
    </row>
    <row r="836">
      <c r="A836" s="17"/>
      <c r="AZ836" s="17"/>
    </row>
    <row r="837">
      <c r="A837" s="17"/>
      <c r="AZ837" s="17"/>
    </row>
    <row r="838">
      <c r="A838" s="17"/>
      <c r="AZ838" s="17"/>
    </row>
    <row r="839">
      <c r="A839" s="17"/>
      <c r="AZ839" s="17"/>
    </row>
    <row r="840">
      <c r="A840" s="17"/>
      <c r="AZ840" s="17"/>
    </row>
    <row r="841">
      <c r="A841" s="17"/>
      <c r="AZ841" s="17"/>
    </row>
    <row r="842">
      <c r="A842" s="17"/>
      <c r="AZ842" s="17"/>
    </row>
    <row r="843">
      <c r="A843" s="17"/>
      <c r="AZ843" s="17"/>
    </row>
    <row r="844">
      <c r="A844" s="17"/>
      <c r="AZ844" s="17"/>
    </row>
    <row r="845">
      <c r="A845" s="17"/>
      <c r="AZ845" s="17"/>
    </row>
    <row r="846">
      <c r="A846" s="17"/>
      <c r="AZ846" s="17"/>
    </row>
    <row r="847">
      <c r="A847" s="17"/>
      <c r="AZ847" s="17"/>
    </row>
    <row r="848">
      <c r="A848" s="17"/>
      <c r="AZ848" s="17"/>
    </row>
    <row r="849">
      <c r="A849" s="17"/>
      <c r="AZ849" s="17"/>
    </row>
    <row r="850">
      <c r="A850" s="17"/>
      <c r="AZ850" s="17"/>
    </row>
    <row r="851">
      <c r="A851" s="17"/>
      <c r="AZ851" s="17"/>
    </row>
    <row r="852">
      <c r="A852" s="17"/>
      <c r="AZ852" s="17"/>
    </row>
    <row r="853">
      <c r="A853" s="17"/>
      <c r="AZ853" s="17"/>
    </row>
    <row r="854">
      <c r="A854" s="17"/>
      <c r="AZ854" s="17"/>
    </row>
    <row r="855">
      <c r="A855" s="17"/>
      <c r="AZ855" s="17"/>
    </row>
    <row r="856">
      <c r="A856" s="17"/>
      <c r="AZ856" s="17"/>
    </row>
    <row r="857">
      <c r="A857" s="17"/>
      <c r="AZ857" s="17"/>
    </row>
    <row r="858">
      <c r="A858" s="17"/>
      <c r="AZ858" s="17"/>
    </row>
    <row r="859">
      <c r="A859" s="17"/>
      <c r="AZ859" s="17"/>
    </row>
    <row r="860">
      <c r="A860" s="17"/>
      <c r="AZ860" s="17"/>
    </row>
    <row r="861">
      <c r="A861" s="17"/>
      <c r="AZ861" s="17"/>
    </row>
    <row r="862">
      <c r="A862" s="17"/>
      <c r="AZ862" s="17"/>
    </row>
    <row r="863">
      <c r="A863" s="17"/>
      <c r="AZ863" s="17"/>
    </row>
    <row r="864">
      <c r="A864" s="17"/>
      <c r="AZ864" s="17"/>
    </row>
    <row r="865">
      <c r="A865" s="17"/>
      <c r="AZ865" s="17"/>
    </row>
    <row r="866">
      <c r="A866" s="17"/>
      <c r="AZ866" s="17"/>
    </row>
    <row r="867">
      <c r="A867" s="17"/>
      <c r="AZ867" s="17"/>
    </row>
    <row r="868">
      <c r="A868" s="17"/>
      <c r="AZ868" s="17"/>
    </row>
    <row r="869">
      <c r="A869" s="17"/>
      <c r="AZ869" s="17"/>
    </row>
    <row r="870">
      <c r="A870" s="17"/>
      <c r="AZ870" s="17"/>
    </row>
    <row r="871">
      <c r="A871" s="17"/>
      <c r="AZ871" s="17"/>
    </row>
    <row r="872">
      <c r="A872" s="17"/>
      <c r="AZ872" s="17"/>
    </row>
    <row r="873">
      <c r="A873" s="17"/>
      <c r="AZ873" s="17"/>
    </row>
    <row r="874">
      <c r="A874" s="17"/>
      <c r="AZ874" s="17"/>
    </row>
    <row r="875">
      <c r="A875" s="17"/>
      <c r="AZ875" s="17"/>
    </row>
    <row r="876">
      <c r="A876" s="17"/>
      <c r="AZ876" s="17"/>
    </row>
    <row r="877">
      <c r="A877" s="17"/>
      <c r="AZ877" s="17"/>
    </row>
    <row r="878">
      <c r="A878" s="17"/>
      <c r="AZ878" s="17"/>
    </row>
    <row r="879">
      <c r="A879" s="17"/>
      <c r="AZ879" s="17"/>
    </row>
    <row r="880">
      <c r="A880" s="17"/>
      <c r="AZ880" s="17"/>
    </row>
    <row r="881">
      <c r="A881" s="17"/>
      <c r="AZ881" s="17"/>
    </row>
    <row r="882">
      <c r="A882" s="17"/>
      <c r="AZ882" s="17"/>
    </row>
    <row r="883">
      <c r="A883" s="17"/>
      <c r="AZ883" s="17"/>
    </row>
    <row r="884">
      <c r="A884" s="17"/>
      <c r="AZ884" s="17"/>
    </row>
    <row r="885">
      <c r="A885" s="17"/>
      <c r="AZ885" s="17"/>
    </row>
    <row r="886">
      <c r="A886" s="17"/>
      <c r="AZ886" s="17"/>
    </row>
    <row r="887">
      <c r="A887" s="17"/>
      <c r="AZ887" s="17"/>
    </row>
    <row r="888">
      <c r="A888" s="17"/>
      <c r="AZ888" s="17"/>
    </row>
    <row r="889">
      <c r="A889" s="17"/>
      <c r="AZ889" s="17"/>
    </row>
    <row r="890">
      <c r="A890" s="17"/>
      <c r="AZ890" s="17"/>
    </row>
    <row r="891">
      <c r="A891" s="17"/>
      <c r="AZ891" s="17"/>
    </row>
    <row r="892">
      <c r="A892" s="17"/>
      <c r="AZ892" s="17"/>
    </row>
    <row r="893">
      <c r="A893" s="17"/>
      <c r="AZ893" s="17"/>
    </row>
    <row r="894">
      <c r="A894" s="17"/>
      <c r="AZ894" s="17"/>
    </row>
    <row r="895">
      <c r="A895" s="17"/>
      <c r="AZ895" s="17"/>
    </row>
    <row r="896">
      <c r="A896" s="17"/>
      <c r="AZ896" s="17"/>
    </row>
    <row r="897">
      <c r="A897" s="17"/>
      <c r="AZ897" s="17"/>
    </row>
    <row r="898">
      <c r="A898" s="17"/>
      <c r="AZ898" s="17"/>
    </row>
    <row r="899">
      <c r="A899" s="17"/>
      <c r="AZ899" s="17"/>
    </row>
    <row r="900">
      <c r="A900" s="17"/>
      <c r="AZ900" s="17"/>
    </row>
    <row r="901">
      <c r="A901" s="17"/>
      <c r="AZ901" s="17"/>
    </row>
    <row r="902">
      <c r="A902" s="17"/>
      <c r="AZ902" s="17"/>
    </row>
    <row r="903">
      <c r="A903" s="17"/>
      <c r="AZ903" s="17"/>
    </row>
    <row r="904">
      <c r="A904" s="17"/>
      <c r="AZ904" s="17"/>
    </row>
    <row r="905">
      <c r="A905" s="17"/>
      <c r="AZ905" s="17"/>
    </row>
    <row r="906">
      <c r="A906" s="17"/>
      <c r="AZ906" s="17"/>
    </row>
    <row r="907">
      <c r="A907" s="17"/>
      <c r="AZ907" s="17"/>
    </row>
    <row r="908">
      <c r="A908" s="17"/>
      <c r="AZ908" s="17"/>
    </row>
    <row r="909">
      <c r="A909" s="17"/>
      <c r="AZ909" s="17"/>
    </row>
    <row r="910">
      <c r="A910" s="17"/>
      <c r="AZ910" s="17"/>
    </row>
    <row r="911">
      <c r="A911" s="17"/>
      <c r="AZ911" s="17"/>
    </row>
    <row r="912">
      <c r="A912" s="17"/>
      <c r="AZ912" s="17"/>
    </row>
    <row r="913">
      <c r="A913" s="17"/>
      <c r="AZ913" s="17"/>
    </row>
    <row r="914">
      <c r="A914" s="17"/>
      <c r="AZ914" s="17"/>
    </row>
    <row r="915">
      <c r="A915" s="17"/>
      <c r="AZ915" s="17"/>
    </row>
    <row r="916">
      <c r="A916" s="17"/>
      <c r="AZ916" s="17"/>
    </row>
    <row r="917">
      <c r="A917" s="17"/>
      <c r="AZ917" s="17"/>
    </row>
    <row r="918">
      <c r="A918" s="17"/>
      <c r="AZ918" s="17"/>
    </row>
    <row r="919">
      <c r="A919" s="17"/>
      <c r="AZ919" s="17"/>
    </row>
    <row r="920">
      <c r="A920" s="17"/>
      <c r="AZ920" s="17"/>
    </row>
    <row r="921">
      <c r="A921" s="17"/>
      <c r="AZ921" s="17"/>
    </row>
    <row r="922">
      <c r="A922" s="17"/>
      <c r="AZ922" s="17"/>
    </row>
    <row r="923">
      <c r="A923" s="17"/>
      <c r="AZ923" s="17"/>
    </row>
    <row r="924">
      <c r="A924" s="17"/>
      <c r="AZ924" s="17"/>
    </row>
    <row r="925">
      <c r="A925" s="17"/>
      <c r="AZ925" s="17"/>
    </row>
    <row r="926">
      <c r="A926" s="17"/>
      <c r="AZ926" s="17"/>
    </row>
    <row r="927">
      <c r="A927" s="17"/>
      <c r="AZ927" s="17"/>
    </row>
    <row r="928">
      <c r="A928" s="17"/>
      <c r="AZ928" s="17"/>
    </row>
    <row r="929">
      <c r="A929" s="17"/>
      <c r="AZ929" s="17"/>
    </row>
    <row r="930">
      <c r="A930" s="17"/>
      <c r="AZ930" s="17"/>
    </row>
    <row r="931">
      <c r="A931" s="17"/>
      <c r="AZ931" s="17"/>
    </row>
    <row r="932">
      <c r="A932" s="17"/>
      <c r="AZ932" s="17"/>
    </row>
    <row r="933">
      <c r="A933" s="17"/>
      <c r="AZ933" s="17"/>
    </row>
    <row r="934">
      <c r="A934" s="17"/>
      <c r="AZ934" s="17"/>
    </row>
    <row r="935">
      <c r="A935" s="17"/>
      <c r="AZ935" s="17"/>
    </row>
    <row r="936">
      <c r="A936" s="17"/>
      <c r="AZ936" s="17"/>
    </row>
    <row r="937">
      <c r="A937" s="17"/>
      <c r="AZ937" s="17"/>
    </row>
    <row r="938">
      <c r="A938" s="17"/>
      <c r="AZ938" s="17"/>
    </row>
    <row r="939">
      <c r="A939" s="17"/>
      <c r="AZ939" s="17"/>
    </row>
    <row r="940">
      <c r="A940" s="17"/>
      <c r="AZ940" s="17"/>
    </row>
    <row r="941">
      <c r="A941" s="17"/>
      <c r="AZ941" s="17"/>
    </row>
    <row r="942">
      <c r="A942" s="17"/>
      <c r="AZ942" s="17"/>
    </row>
    <row r="943">
      <c r="A943" s="17"/>
      <c r="AZ943" s="17"/>
    </row>
    <row r="944">
      <c r="A944" s="17"/>
      <c r="AZ944" s="17"/>
    </row>
    <row r="945">
      <c r="A945" s="17"/>
      <c r="AZ945" s="17"/>
    </row>
    <row r="946">
      <c r="A946" s="17"/>
      <c r="AZ946" s="17"/>
    </row>
    <row r="947">
      <c r="A947" s="17"/>
      <c r="AZ947" s="17"/>
    </row>
    <row r="948">
      <c r="A948" s="17"/>
      <c r="AZ948" s="17"/>
    </row>
    <row r="949">
      <c r="A949" s="17"/>
      <c r="AZ949" s="17"/>
    </row>
    <row r="950">
      <c r="A950" s="17"/>
      <c r="AZ950" s="17"/>
    </row>
    <row r="951">
      <c r="A951" s="17"/>
      <c r="AZ951" s="17"/>
    </row>
    <row r="952">
      <c r="A952" s="17"/>
      <c r="AZ952" s="17"/>
    </row>
    <row r="953">
      <c r="A953" s="17"/>
      <c r="AZ953" s="17"/>
    </row>
    <row r="954">
      <c r="A954" s="17"/>
      <c r="AZ954" s="17"/>
    </row>
    <row r="955">
      <c r="A955" s="17"/>
      <c r="AZ955" s="17"/>
    </row>
    <row r="956">
      <c r="A956" s="17"/>
      <c r="AZ956" s="17"/>
    </row>
    <row r="957">
      <c r="A957" s="17"/>
      <c r="AZ957" s="17"/>
    </row>
    <row r="958">
      <c r="A958" s="17"/>
      <c r="AZ958" s="17"/>
    </row>
    <row r="959">
      <c r="A959" s="17"/>
      <c r="AZ959" s="17"/>
    </row>
    <row r="960">
      <c r="A960" s="17"/>
      <c r="AZ960" s="17"/>
    </row>
    <row r="961">
      <c r="A961" s="17"/>
      <c r="AZ961" s="17"/>
    </row>
    <row r="962">
      <c r="A962" s="17"/>
      <c r="AZ962" s="17"/>
    </row>
    <row r="963">
      <c r="A963" s="17"/>
      <c r="AZ963" s="17"/>
    </row>
    <row r="964">
      <c r="A964" s="17"/>
      <c r="AZ964" s="17"/>
    </row>
    <row r="965">
      <c r="A965" s="17"/>
      <c r="AZ965" s="17"/>
    </row>
    <row r="966">
      <c r="A966" s="17"/>
      <c r="AZ966" s="17"/>
    </row>
    <row r="967">
      <c r="A967" s="17"/>
      <c r="AZ967" s="17"/>
    </row>
    <row r="968">
      <c r="A968" s="17"/>
      <c r="AZ968" s="17"/>
    </row>
    <row r="969">
      <c r="A969" s="17"/>
      <c r="AZ969" s="17"/>
    </row>
    <row r="970">
      <c r="A970" s="17"/>
      <c r="AZ970" s="17"/>
    </row>
    <row r="971">
      <c r="A971" s="17"/>
      <c r="AZ971" s="17"/>
    </row>
    <row r="972">
      <c r="A972" s="17"/>
      <c r="AZ972" s="17"/>
    </row>
    <row r="973">
      <c r="A973" s="17"/>
      <c r="AZ973" s="17"/>
    </row>
    <row r="974">
      <c r="A974" s="17"/>
      <c r="AZ974" s="17"/>
    </row>
    <row r="975">
      <c r="A975" s="17"/>
      <c r="AZ975" s="17"/>
    </row>
    <row r="976">
      <c r="A976" s="17"/>
      <c r="AZ976" s="17"/>
    </row>
    <row r="977">
      <c r="A977" s="17"/>
      <c r="AZ977" s="17"/>
    </row>
    <row r="978">
      <c r="A978" s="17"/>
      <c r="AZ978" s="17"/>
    </row>
    <row r="979">
      <c r="A979" s="17"/>
      <c r="AZ979" s="17"/>
    </row>
    <row r="980">
      <c r="A980" s="17"/>
      <c r="AZ980" s="17"/>
    </row>
    <row r="981">
      <c r="A981" s="17"/>
      <c r="AZ981" s="17"/>
    </row>
    <row r="982">
      <c r="A982" s="17"/>
      <c r="AZ982" s="17"/>
    </row>
    <row r="983">
      <c r="A983" s="17"/>
      <c r="AZ983" s="17"/>
    </row>
    <row r="984">
      <c r="A984" s="17"/>
      <c r="AZ984" s="17"/>
    </row>
    <row r="985">
      <c r="A985" s="17"/>
      <c r="AZ985" s="17"/>
    </row>
    <row r="986">
      <c r="A986" s="17"/>
      <c r="AZ986" s="17"/>
    </row>
    <row r="987">
      <c r="A987" s="17"/>
      <c r="AZ987" s="17"/>
    </row>
    <row r="988">
      <c r="A988" s="17"/>
      <c r="AZ988" s="17"/>
    </row>
    <row r="989">
      <c r="A989" s="17"/>
      <c r="AZ989" s="17"/>
    </row>
    <row r="990">
      <c r="A990" s="17"/>
      <c r="AZ990" s="17"/>
    </row>
    <row r="991">
      <c r="A991" s="17"/>
      <c r="AZ991" s="17"/>
    </row>
    <row r="992">
      <c r="A992" s="17"/>
      <c r="AZ992" s="17"/>
    </row>
    <row r="993">
      <c r="A993" s="17"/>
      <c r="AZ993" s="17"/>
    </row>
    <row r="994">
      <c r="A994" s="17"/>
      <c r="AZ994" s="17"/>
    </row>
    <row r="995">
      <c r="A995" s="17"/>
      <c r="AZ995" s="17"/>
    </row>
    <row r="996">
      <c r="A996" s="17"/>
      <c r="AZ996" s="17"/>
    </row>
    <row r="997">
      <c r="A997" s="17"/>
      <c r="AZ997" s="17"/>
    </row>
    <row r="998">
      <c r="A998" s="17"/>
      <c r="AZ998" s="17"/>
    </row>
  </sheetData>
  <drawing r:id="rId1"/>
</worksheet>
</file>