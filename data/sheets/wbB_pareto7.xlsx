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eto7_clean" sheetId="1" r:id="rId4"/>
    <sheet state="visible" name="Sheet1" sheetId="2" r:id="rId5"/>
    <sheet state="visible" name="Sheet2" sheetId="3" r:id="rId6"/>
    <sheet state="visible" name="solvability" sheetId="4" r:id="rId7"/>
    <sheet state="visible" name="approx" sheetId="5" r:id="rId8"/>
    <sheet state="visible" name="pareto only" sheetId="6" r:id="rId9"/>
    <sheet state="visible" name="formulas" sheetId="7" r:id="rId10"/>
    <sheet state="visible" name="Chart1" sheetId="8" r:id="rId11"/>
  </sheets>
  <definedNames>
    <definedName hidden="1" localSheetId="1" name="_xlnm._FilterDatabase">Sheet1!$A$2:$E$262</definedName>
  </definedNames>
  <calcPr/>
</workbook>
</file>

<file path=xl/sharedStrings.xml><?xml version="1.0" encoding="utf-8"?>
<sst xmlns="http://schemas.openxmlformats.org/spreadsheetml/2006/main" count="550" uniqueCount="27">
  <si>
    <t>K</t>
  </si>
  <si>
    <t>M</t>
  </si>
  <si>
    <t>N</t>
  </si>
  <si>
    <t>M\K</t>
  </si>
  <si>
    <t>+1</t>
  </si>
  <si>
    <t>+0</t>
  </si>
  <si>
    <t>n1==n2</t>
  </si>
  <si>
    <t>k^0</t>
  </si>
  <si>
    <t>k^1</t>
  </si>
  <si>
    <t>k^2</t>
  </si>
  <si>
    <t>2^k</t>
  </si>
  <si>
    <t>2^k-1</t>
  </si>
  <si>
    <t>2^k-k</t>
  </si>
  <si>
    <t>2^k-2k+2</t>
  </si>
  <si>
    <t>2^k-0.5*k^2+1.5k-5</t>
  </si>
  <si>
    <t>2^k-0.5k^2+0.5k-3</t>
  </si>
  <si>
    <t>2^k-k^2+4k-10</t>
  </si>
  <si>
    <t>2^k-k^2+2k-2</t>
  </si>
  <si>
    <t>(31/32)*2^k-k^2+2k-2</t>
  </si>
  <si>
    <t>???</t>
  </si>
  <si>
    <t>for Sb(n : 1)</t>
  </si>
  <si>
    <t>n(0)</t>
  </si>
  <si>
    <t>n(k)</t>
  </si>
  <si>
    <t>2*n(k-1)</t>
  </si>
  <si>
    <t>sum</t>
  </si>
  <si>
    <t>Sb(n(k):1)</t>
  </si>
  <si>
    <t>[n(k-1):1]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</si>
</sst>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/>
    <font>
      <b/>
    </font>
    <font>
      <color rgb="FF000000"/>
      <name val="Arial"/>
    </font>
    <font>
      <sz val="11.0"/>
      <color rgb="FF000000"/>
      <name val="Inconsolata"/>
    </font>
    <font>
      <color rgb="FFFF0000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left"/>
    </xf>
    <xf borderId="0" fillId="2" fontId="1" numFmtId="0" xfId="0" applyFont="1"/>
    <xf borderId="0" fillId="3" fontId="3" numFmtId="0" xfId="0" applyAlignment="1" applyFill="1" applyFont="1">
      <alignment horizontal="left"/>
    </xf>
    <xf borderId="0" fillId="2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6" fontId="1" numFmtId="0" xfId="0" applyFont="1"/>
    <xf borderId="0" fillId="7" fontId="1" numFmtId="0" xfId="0" applyFill="1" applyFont="1"/>
    <xf borderId="0" fillId="8" fontId="1" numFmtId="0" xfId="0" applyFill="1" applyFont="1"/>
    <xf borderId="0" fillId="5" fontId="2" numFmtId="0" xfId="0" applyAlignment="1" applyFont="1">
      <alignment readingOrder="0"/>
    </xf>
    <xf borderId="0" fillId="5" fontId="1" numFmtId="0" xfId="0" applyFont="1"/>
    <xf borderId="0" fillId="6" fontId="2" numFmtId="0" xfId="0" applyAlignment="1" applyFont="1">
      <alignment readingOrder="0"/>
    </xf>
    <xf borderId="0" fillId="7" fontId="1" numFmtId="0" xfId="0" applyAlignment="1" applyFont="1">
      <alignment readingOrder="0"/>
    </xf>
    <xf borderId="0" fillId="7" fontId="2" numFmtId="0" xfId="0" applyFont="1"/>
    <xf borderId="0" fillId="9" fontId="3" numFmtId="0" xfId="0" applyAlignment="1" applyFill="1" applyFont="1">
      <alignment horizontal="left"/>
    </xf>
    <xf borderId="0" fillId="2" fontId="2" numFmtId="0" xfId="0" applyFont="1"/>
    <xf borderId="0" fillId="10" fontId="4" numFmtId="0" xfId="0" applyFill="1" applyFont="1"/>
    <xf borderId="0" fillId="8" fontId="2" numFmtId="0" xfId="0" applyFont="1"/>
    <xf borderId="0" fillId="9" fontId="1" numFmtId="0" xfId="0" applyFont="1"/>
    <xf borderId="0" fillId="4" fontId="1" numFmtId="0" xfId="0" applyFont="1"/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4" fontId="5" numFmtId="0" xfId="0" applyFont="1"/>
    <xf borderId="0" fillId="0" fontId="5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chartsheet" Target="chart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Best N-M for k=1-7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pareto7_clean!$F$2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pareto7_clean!$B$3:$B$263</c:f>
            </c:numRef>
          </c:xVal>
          <c:yVal>
            <c:numRef>
              <c:f>pareto7_clean!$F$3:$F$263</c:f>
              <c:numCache/>
            </c:numRef>
          </c:yVal>
        </c:ser>
        <c:ser>
          <c:idx val="1"/>
          <c:order val="1"/>
          <c:tx>
            <c:strRef>
              <c:f>pareto7_clean!$G$2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DB4437"/>
              </a:solidFill>
              <a:ln cmpd="sng">
                <a:solidFill>
                  <a:srgbClr val="DB4437"/>
                </a:solidFill>
              </a:ln>
            </c:spPr>
          </c:marker>
          <c:xVal>
            <c:numRef>
              <c:f>pareto7_clean!$B$3:$B$263</c:f>
            </c:numRef>
          </c:xVal>
          <c:yVal>
            <c:numRef>
              <c:f>pareto7_clean!$G$3:$G$263</c:f>
              <c:numCache/>
            </c:numRef>
          </c:yVal>
        </c:ser>
        <c:ser>
          <c:idx val="2"/>
          <c:order val="2"/>
          <c:tx>
            <c:strRef>
              <c:f>pareto7_clean!$H$2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F4B400"/>
              </a:solidFill>
              <a:ln cmpd="sng">
                <a:solidFill>
                  <a:srgbClr val="F4B400"/>
                </a:solidFill>
              </a:ln>
            </c:spPr>
          </c:marker>
          <c:xVal>
            <c:numRef>
              <c:f>pareto7_clean!$B$3:$B$263</c:f>
            </c:numRef>
          </c:xVal>
          <c:yVal>
            <c:numRef>
              <c:f>pareto7_clean!$H$3:$H$263</c:f>
              <c:numCache/>
            </c:numRef>
          </c:yVal>
        </c:ser>
        <c:ser>
          <c:idx val="3"/>
          <c:order val="3"/>
          <c:tx>
            <c:strRef>
              <c:f>pareto7_clean!$I$2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0F9D58"/>
              </a:solidFill>
              <a:ln cmpd="sng">
                <a:solidFill>
                  <a:srgbClr val="0F9D58"/>
                </a:solidFill>
              </a:ln>
            </c:spPr>
          </c:marker>
          <c:xVal>
            <c:numRef>
              <c:f>pareto7_clean!$B$3:$B$263</c:f>
            </c:numRef>
          </c:xVal>
          <c:yVal>
            <c:numRef>
              <c:f>pareto7_clean!$I$3:$I$263</c:f>
              <c:numCache/>
            </c:numRef>
          </c:yVal>
        </c:ser>
        <c:ser>
          <c:idx val="4"/>
          <c:order val="4"/>
          <c:tx>
            <c:strRef>
              <c:f>pareto7_clean!$J$2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FF6D00"/>
              </a:solidFill>
              <a:ln cmpd="sng">
                <a:solidFill>
                  <a:srgbClr val="FF6D00"/>
                </a:solidFill>
              </a:ln>
            </c:spPr>
          </c:marker>
          <c:xVal>
            <c:numRef>
              <c:f>pareto7_clean!$B$3:$B$263</c:f>
            </c:numRef>
          </c:xVal>
          <c:yVal>
            <c:numRef>
              <c:f>pareto7_clean!$J$3:$J$263</c:f>
              <c:numCache/>
            </c:numRef>
          </c:yVal>
        </c:ser>
        <c:ser>
          <c:idx val="5"/>
          <c:order val="5"/>
          <c:tx>
            <c:strRef>
              <c:f>pareto7_clean!$K$2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xVal>
            <c:numRef>
              <c:f>pareto7_clean!$B$3:$B$263</c:f>
            </c:numRef>
          </c:xVal>
          <c:yVal>
            <c:numRef>
              <c:f>pareto7_clean!$K$3:$K$263</c:f>
              <c:numCache/>
            </c:numRef>
          </c:yVal>
        </c:ser>
        <c:ser>
          <c:idx val="6"/>
          <c:order val="6"/>
          <c:tx>
            <c:strRef>
              <c:f>pareto7_clean!$L$2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AB30C4"/>
              </a:solidFill>
              <a:ln cmpd="sng">
                <a:solidFill>
                  <a:srgbClr val="AB30C4"/>
                </a:solidFill>
              </a:ln>
            </c:spPr>
          </c:marker>
          <c:xVal>
            <c:numRef>
              <c:f>pareto7_clean!$B$3:$B$263</c:f>
            </c:numRef>
          </c:xVal>
          <c:yVal>
            <c:numRef>
              <c:f>pareto7_clean!$L$3:$L$263</c:f>
              <c:numCache/>
            </c:numRef>
          </c:yVal>
        </c:ser>
        <c:ser>
          <c:idx val="7"/>
          <c:order val="7"/>
          <c:tx>
            <c:strRef>
              <c:f>pareto7_clean!$B$2</c:f>
            </c:strRef>
          </c:tx>
          <c:spPr>
            <a:ln>
              <a:noFill/>
            </a:ln>
          </c:spPr>
          <c:marker>
            <c:symbol val="x"/>
            <c:size val="2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xVal>
            <c:numRef>
              <c:f>pareto7_clean!$B$3:$B$263</c:f>
            </c:numRef>
          </c:xVal>
          <c:yVal>
            <c:numRef>
              <c:f>pareto7_clean!$B$3:$B$263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181516"/>
        <c:axId val="427841539"/>
      </c:scatterChart>
      <c:valAx>
        <c:axId val="173181516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27841539"/>
        <c:majorUnit val="10.0"/>
        <c:minorUnit val="1.0"/>
      </c:valAx>
      <c:valAx>
        <c:axId val="427841539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3181516"/>
        <c:minorUnit val="1.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pareto7_clean!$C$2:$C$263</c:f>
            </c:numRef>
          </c:xVal>
          <c:yVal>
            <c:numRef>
              <c:f>pareto7_clean!$M$2:$M$262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rgbClr val="DB4437"/>
              </a:solidFill>
              <a:ln cmpd="sng">
                <a:solidFill>
                  <a:srgbClr val="DB4437"/>
                </a:solidFill>
              </a:ln>
            </c:spPr>
          </c:marker>
          <c:xVal>
            <c:numRef>
              <c:f>pareto7_clean!$C$2:$C$263</c:f>
            </c:numRef>
          </c:xVal>
          <c:yVal>
            <c:numRef>
              <c:f>pareto7_clean!$N$2:$N$262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rgbClr val="F4B400"/>
              </a:solidFill>
              <a:ln cmpd="sng">
                <a:solidFill>
                  <a:srgbClr val="F4B400"/>
                </a:solidFill>
              </a:ln>
            </c:spPr>
          </c:marker>
          <c:xVal>
            <c:numRef>
              <c:f>pareto7_clean!$C$2:$C$263</c:f>
            </c:numRef>
          </c:xVal>
          <c:yVal>
            <c:numRef>
              <c:f>pareto7_clean!$O$2:$O$262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rgbClr val="0F9D58"/>
              </a:solidFill>
              <a:ln cmpd="sng">
                <a:solidFill>
                  <a:srgbClr val="0F9D58"/>
                </a:solidFill>
              </a:ln>
            </c:spPr>
          </c:marker>
          <c:xVal>
            <c:numRef>
              <c:f>pareto7_clean!$C$2:$C$263</c:f>
            </c:numRef>
          </c:xVal>
          <c:yVal>
            <c:numRef>
              <c:f>pareto7_clean!$P$2:$P$262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2"/>
            <c:spPr>
              <a:solidFill>
                <a:srgbClr val="FF6D00"/>
              </a:solidFill>
              <a:ln cmpd="sng">
                <a:solidFill>
                  <a:srgbClr val="FF6D00"/>
                </a:solidFill>
              </a:ln>
            </c:spPr>
          </c:marker>
          <c:xVal>
            <c:numRef>
              <c:f>pareto7_clean!$C$2:$C$263</c:f>
            </c:numRef>
          </c:xVal>
          <c:yVal>
            <c:numRef>
              <c:f>pareto7_clean!$Q$2:$Q$262</c:f>
              <c:numCache/>
            </c:numRef>
          </c:yVal>
        </c:ser>
        <c:ser>
          <c:idx val="5"/>
          <c:order val="5"/>
          <c:spPr>
            <a:ln>
              <a:noFill/>
            </a:ln>
          </c:spPr>
          <c:marker>
            <c:symbol val="circle"/>
            <c:size val="2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xVal>
            <c:numRef>
              <c:f>pareto7_clean!$C$2:$C$263</c:f>
            </c:numRef>
          </c:xVal>
          <c:yVal>
            <c:numRef>
              <c:f>pareto7_clean!$R$2:$R$262</c:f>
              <c:numCache/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circle"/>
            <c:size val="2"/>
            <c:spPr>
              <a:solidFill>
                <a:srgbClr val="AB30C4"/>
              </a:solidFill>
              <a:ln cmpd="sng">
                <a:solidFill>
                  <a:srgbClr val="AB30C4"/>
                </a:solidFill>
              </a:ln>
            </c:spPr>
          </c:marker>
          <c:xVal>
            <c:numRef>
              <c:f>pareto7_clean!$C$2:$C$263</c:f>
            </c:numRef>
          </c:xVal>
          <c:yVal>
            <c:numRef>
              <c:f>pareto7_clean!$S$2:$S$262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921124"/>
        <c:axId val="1169795016"/>
      </c:scatterChart>
      <c:valAx>
        <c:axId val="218921124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69795016"/>
        <c:majorUnit val="10.0"/>
        <c:minorUnit val="1.0"/>
      </c:valAx>
      <c:valAx>
        <c:axId val="1169795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8921124"/>
        <c:majorUnit val="10.0"/>
        <c:min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'pareto only'!$L$2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'pareto only'!$K$3:$K$261</c:f>
            </c:numRef>
          </c:xVal>
          <c:yVal>
            <c:numRef>
              <c:f>'pareto only'!$L$3:$L$261</c:f>
              <c:numCache/>
            </c:numRef>
          </c:yVal>
        </c:ser>
        <c:ser>
          <c:idx val="1"/>
          <c:order val="1"/>
          <c:tx>
            <c:strRef>
              <c:f>'pareto only'!$M$2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DB4437"/>
              </a:solidFill>
              <a:ln cmpd="sng">
                <a:solidFill>
                  <a:srgbClr val="DB4437"/>
                </a:solidFill>
              </a:ln>
            </c:spPr>
          </c:marker>
          <c:xVal>
            <c:numRef>
              <c:f>'pareto only'!$K$3:$K$261</c:f>
            </c:numRef>
          </c:xVal>
          <c:yVal>
            <c:numRef>
              <c:f>'pareto only'!$M$3:$M$261</c:f>
              <c:numCache/>
            </c:numRef>
          </c:yVal>
        </c:ser>
        <c:ser>
          <c:idx val="2"/>
          <c:order val="2"/>
          <c:tx>
            <c:strRef>
              <c:f>'pareto only'!$N$2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F4B400"/>
              </a:solidFill>
              <a:ln cmpd="sng">
                <a:solidFill>
                  <a:srgbClr val="F4B400"/>
                </a:solidFill>
              </a:ln>
            </c:spPr>
          </c:marker>
          <c:xVal>
            <c:numRef>
              <c:f>'pareto only'!$K$3:$K$261</c:f>
            </c:numRef>
          </c:xVal>
          <c:yVal>
            <c:numRef>
              <c:f>'pareto only'!$N$3:$N$261</c:f>
              <c:numCache/>
            </c:numRef>
          </c:yVal>
        </c:ser>
        <c:ser>
          <c:idx val="3"/>
          <c:order val="3"/>
          <c:tx>
            <c:strRef>
              <c:f>'pareto only'!$O$2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0F9D58"/>
              </a:solidFill>
              <a:ln cmpd="sng">
                <a:solidFill>
                  <a:srgbClr val="0F9D58"/>
                </a:solidFill>
              </a:ln>
            </c:spPr>
          </c:marker>
          <c:xVal>
            <c:numRef>
              <c:f>'pareto only'!$K$3:$K$261</c:f>
            </c:numRef>
          </c:xVal>
          <c:yVal>
            <c:numRef>
              <c:f>'pareto only'!$O$3:$O$261</c:f>
              <c:numCache/>
            </c:numRef>
          </c:yVal>
        </c:ser>
        <c:ser>
          <c:idx val="4"/>
          <c:order val="4"/>
          <c:tx>
            <c:strRef>
              <c:f>'pareto only'!$P$2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FF6D00"/>
              </a:solidFill>
              <a:ln cmpd="sng">
                <a:solidFill>
                  <a:srgbClr val="FF6D00"/>
                </a:solidFill>
              </a:ln>
            </c:spPr>
          </c:marker>
          <c:xVal>
            <c:numRef>
              <c:f>'pareto only'!$K$3:$K$261</c:f>
            </c:numRef>
          </c:xVal>
          <c:yVal>
            <c:numRef>
              <c:f>'pareto only'!$P$3:$P$261</c:f>
              <c:numCache/>
            </c:numRef>
          </c:yVal>
        </c:ser>
        <c:ser>
          <c:idx val="5"/>
          <c:order val="5"/>
          <c:tx>
            <c:strRef>
              <c:f>'pareto only'!$Q$2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xVal>
            <c:numRef>
              <c:f>'pareto only'!$K$3:$K$261</c:f>
            </c:numRef>
          </c:xVal>
          <c:yVal>
            <c:numRef>
              <c:f>'pareto only'!$Q$3:$Q$261</c:f>
              <c:numCache/>
            </c:numRef>
          </c:yVal>
        </c:ser>
        <c:ser>
          <c:idx val="6"/>
          <c:order val="6"/>
          <c:tx>
            <c:strRef>
              <c:f>'pareto only'!$R$2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AB30C4"/>
              </a:solidFill>
              <a:ln cmpd="sng">
                <a:solidFill>
                  <a:srgbClr val="AB30C4"/>
                </a:solidFill>
              </a:ln>
            </c:spPr>
          </c:marker>
          <c:xVal>
            <c:numRef>
              <c:f>'pareto only'!$K$3:$K$261</c:f>
            </c:numRef>
          </c:xVal>
          <c:yVal>
            <c:numRef>
              <c:f>'pareto only'!$R$3:$R$261</c:f>
              <c:numCache/>
            </c:numRef>
          </c:yVal>
        </c:ser>
        <c:ser>
          <c:idx val="7"/>
          <c:order val="7"/>
          <c:tx>
            <c:strRef>
              <c:f>'pareto only'!$S$2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C1BC1F"/>
              </a:solidFill>
              <a:ln cmpd="sng">
                <a:solidFill>
                  <a:srgbClr val="C1BC1F"/>
                </a:solidFill>
              </a:ln>
            </c:spPr>
          </c:marker>
          <c:xVal>
            <c:numRef>
              <c:f>'pareto only'!$K$3:$K$261</c:f>
            </c:numRef>
          </c:xVal>
          <c:yVal>
            <c:numRef>
              <c:f>'pareto only'!$S$3:$S$261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016036"/>
        <c:axId val="1405743326"/>
      </c:scatterChart>
      <c:valAx>
        <c:axId val="1663016036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05743326"/>
        <c:majorUnit val="10.0"/>
        <c:minorUnit val="1.0"/>
      </c:valAx>
      <c:valAx>
        <c:axId val="140574332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63016036"/>
        <c:majorUnit val="10.0"/>
        <c:min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1, 2, 3, 4, 5…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'pareto only'!$A$3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only'!$B$3:$I$3</c:f>
              <c:numCache/>
            </c:numRef>
          </c:val>
          <c:smooth val="0"/>
        </c:ser>
        <c:ser>
          <c:idx val="1"/>
          <c:order val="1"/>
          <c:tx>
            <c:strRef>
              <c:f>'pareto only'!$A$4</c:f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circle"/>
            <c:size val="2"/>
            <c:spPr>
              <a:solidFill>
                <a:srgbClr val="DB4437"/>
              </a:solidFill>
              <a:ln cmpd="sng">
                <a:solidFill>
                  <a:srgbClr val="DB4437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only'!$B$4:$I$4</c:f>
              <c:numCache/>
            </c:numRef>
          </c:val>
          <c:smooth val="0"/>
        </c:ser>
        <c:ser>
          <c:idx val="2"/>
          <c:order val="2"/>
          <c:tx>
            <c:strRef>
              <c:f>'pareto only'!$A$5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circle"/>
            <c:size val="2"/>
            <c:spPr>
              <a:solidFill>
                <a:srgbClr val="F4B400"/>
              </a:solidFill>
              <a:ln cmpd="sng">
                <a:solidFill>
                  <a:srgbClr val="F4B400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only'!$B$5:$I$5</c:f>
              <c:numCache/>
            </c:numRef>
          </c:val>
          <c:smooth val="0"/>
        </c:ser>
        <c:ser>
          <c:idx val="3"/>
          <c:order val="3"/>
          <c:tx>
            <c:strRef>
              <c:f>'pareto only'!$A$6</c:f>
            </c:strRef>
          </c:tx>
          <c:spPr>
            <a:ln cmpd="sng">
              <a:solidFill>
                <a:srgbClr val="0F9D58"/>
              </a:solidFill>
            </a:ln>
          </c:spPr>
          <c:marker>
            <c:symbol val="circle"/>
            <c:size val="2"/>
            <c:spPr>
              <a:solidFill>
                <a:srgbClr val="0F9D58"/>
              </a:solidFill>
              <a:ln cmpd="sng">
                <a:solidFill>
                  <a:srgbClr val="0F9D58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only'!$B$6:$I$6</c:f>
              <c:numCache/>
            </c:numRef>
          </c:val>
          <c:smooth val="0"/>
        </c:ser>
        <c:ser>
          <c:idx val="4"/>
          <c:order val="4"/>
          <c:tx>
            <c:strRef>
              <c:f>'pareto only'!$A$7</c:f>
            </c:strRef>
          </c:tx>
          <c:spPr>
            <a:ln cmpd="sng">
              <a:solidFill>
                <a:srgbClr val="FF6D00"/>
              </a:solidFill>
            </a:ln>
          </c:spPr>
          <c:marker>
            <c:symbol val="circle"/>
            <c:size val="2"/>
            <c:spPr>
              <a:solidFill>
                <a:srgbClr val="FF6D00"/>
              </a:solidFill>
              <a:ln cmpd="sng">
                <a:solidFill>
                  <a:srgbClr val="FF6D00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only'!$B$7:$I$7</c:f>
              <c:numCache/>
            </c:numRef>
          </c:val>
          <c:smooth val="0"/>
        </c:ser>
        <c:ser>
          <c:idx val="5"/>
          <c:order val="5"/>
          <c:tx>
            <c:strRef>
              <c:f>'pareto only'!$A$8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circle"/>
            <c:size val="2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only'!$B$8:$I$8</c:f>
              <c:numCache/>
            </c:numRef>
          </c:val>
          <c:smooth val="0"/>
        </c:ser>
        <c:ser>
          <c:idx val="6"/>
          <c:order val="6"/>
          <c:tx>
            <c:strRef>
              <c:f>'pareto only'!$A$9</c:f>
            </c:strRef>
          </c:tx>
          <c:spPr>
            <a:ln cmpd="sng">
              <a:solidFill>
                <a:srgbClr val="AB30C4"/>
              </a:solidFill>
            </a:ln>
          </c:spPr>
          <c:marker>
            <c:symbol val="circle"/>
            <c:size val="2"/>
            <c:spPr>
              <a:solidFill>
                <a:srgbClr val="AB30C4"/>
              </a:solidFill>
              <a:ln cmpd="sng">
                <a:solidFill>
                  <a:srgbClr val="AB30C4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only'!$B$9:$I$9</c:f>
              <c:numCache/>
            </c:numRef>
          </c:val>
          <c:smooth val="0"/>
        </c:ser>
        <c:ser>
          <c:idx val="7"/>
          <c:order val="7"/>
          <c:tx>
            <c:strRef>
              <c:f>'pareto only'!$A$10</c:f>
            </c:strRef>
          </c:tx>
          <c:spPr>
            <a:ln cmpd="sng">
              <a:solidFill>
                <a:srgbClr val="C1BC1F"/>
              </a:solidFill>
            </a:ln>
          </c:spPr>
          <c:marker>
            <c:symbol val="circle"/>
            <c:size val="2"/>
            <c:spPr>
              <a:solidFill>
                <a:srgbClr val="C1BC1F"/>
              </a:solidFill>
              <a:ln cmpd="sng">
                <a:solidFill>
                  <a:srgbClr val="C1BC1F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only'!$B$10:$I$10</c:f>
              <c:numCache/>
            </c:numRef>
          </c:val>
          <c:smooth val="0"/>
        </c:ser>
        <c:ser>
          <c:idx val="8"/>
          <c:order val="8"/>
          <c:tx>
            <c:strRef>
              <c:f>'pareto only'!$A$11</c:f>
            </c:strRef>
          </c:tx>
          <c:spPr>
            <a:ln cmpd="sng">
              <a:solidFill>
                <a:srgbClr val="3949AB"/>
              </a:solidFill>
            </a:ln>
          </c:spPr>
          <c:marker>
            <c:symbol val="circle"/>
            <c:size val="2"/>
            <c:spPr>
              <a:solidFill>
                <a:srgbClr val="3949AB"/>
              </a:solidFill>
              <a:ln cmpd="sng">
                <a:solidFill>
                  <a:srgbClr val="3949AB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only'!$B$11:$I$11</c:f>
              <c:numCache/>
            </c:numRef>
          </c:val>
          <c:smooth val="0"/>
        </c:ser>
        <c:ser>
          <c:idx val="9"/>
          <c:order val="9"/>
          <c:tx>
            <c:strRef>
              <c:f>'pareto only'!$A$12</c:f>
            </c:strRef>
          </c:tx>
          <c:spPr>
            <a:ln cmpd="sng">
              <a:solidFill>
                <a:srgbClr val="F975A8"/>
              </a:solidFill>
            </a:ln>
          </c:spPr>
          <c:marker>
            <c:symbol val="circle"/>
            <c:size val="2"/>
            <c:spPr>
              <a:solidFill>
                <a:srgbClr val="F975A8"/>
              </a:solidFill>
              <a:ln cmpd="sng">
                <a:solidFill>
                  <a:srgbClr val="F975A8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only'!$B$12:$I$12</c:f>
              <c:numCache/>
            </c:numRef>
          </c:val>
          <c:smooth val="0"/>
        </c:ser>
        <c:ser>
          <c:idx val="10"/>
          <c:order val="10"/>
          <c:tx>
            <c:strRef>
              <c:f>'pareto only'!$A$13</c:f>
            </c:strRef>
          </c:tx>
          <c:spPr>
            <a:ln cmpd="sng">
              <a:solidFill>
                <a:srgbClr val="00695C"/>
              </a:solidFill>
            </a:ln>
          </c:spPr>
          <c:marker>
            <c:symbol val="circle"/>
            <c:size val="2"/>
            <c:spPr>
              <a:solidFill>
                <a:srgbClr val="00695C"/>
              </a:solidFill>
              <a:ln cmpd="sng">
                <a:solidFill>
                  <a:srgbClr val="00695C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only'!$B$13:$I$13</c:f>
              <c:numCache/>
            </c:numRef>
          </c:val>
          <c:smooth val="0"/>
        </c:ser>
        <c:ser>
          <c:idx val="11"/>
          <c:order val="11"/>
          <c:tx>
            <c:strRef>
              <c:f>'pareto only'!$A$14</c:f>
            </c:strRef>
          </c:tx>
          <c:spPr>
            <a:ln cmpd="sng">
              <a:solidFill>
                <a:srgbClr val="C2185B"/>
              </a:solidFill>
            </a:ln>
          </c:spPr>
          <c:marker>
            <c:symbol val="circle"/>
            <c:size val="2"/>
            <c:spPr>
              <a:solidFill>
                <a:srgbClr val="C2185B"/>
              </a:solidFill>
              <a:ln cmpd="sng">
                <a:solidFill>
                  <a:srgbClr val="C2185B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only'!$B$14:$I$14</c:f>
              <c:numCache/>
            </c:numRef>
          </c:val>
          <c:smooth val="0"/>
        </c:ser>
        <c:ser>
          <c:idx val="12"/>
          <c:order val="12"/>
          <c:tx>
            <c:strRef>
              <c:f>'pareto only'!$A$15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only'!$B$15:$I$15</c:f>
              <c:numCache/>
            </c:numRef>
          </c:val>
          <c:smooth val="0"/>
        </c:ser>
        <c:ser>
          <c:idx val="13"/>
          <c:order val="13"/>
          <c:tx>
            <c:strRef>
              <c:f>'pareto only'!$A$16</c:f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circle"/>
            <c:size val="2"/>
            <c:spPr>
              <a:solidFill>
                <a:srgbClr val="DB4437"/>
              </a:solidFill>
              <a:ln cmpd="sng">
                <a:solidFill>
                  <a:srgbClr val="DB4437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only'!$B$16:$I$16</c:f>
              <c:numCache/>
            </c:numRef>
          </c:val>
          <c:smooth val="0"/>
        </c:ser>
        <c:ser>
          <c:idx val="14"/>
          <c:order val="14"/>
          <c:tx>
            <c:strRef>
              <c:f>'pareto only'!$A$17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circle"/>
            <c:size val="2"/>
            <c:spPr>
              <a:solidFill>
                <a:srgbClr val="F4B400"/>
              </a:solidFill>
              <a:ln cmpd="sng">
                <a:solidFill>
                  <a:srgbClr val="F4B400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only'!$B$17:$I$17</c:f>
              <c:numCache/>
            </c:numRef>
          </c:val>
          <c:smooth val="0"/>
        </c:ser>
        <c:ser>
          <c:idx val="15"/>
          <c:order val="15"/>
          <c:tx>
            <c:strRef>
              <c:f>'pareto only'!$A$18</c:f>
            </c:strRef>
          </c:tx>
          <c:spPr>
            <a:ln cmpd="sng">
              <a:solidFill>
                <a:srgbClr val="0F9D58"/>
              </a:solidFill>
            </a:ln>
          </c:spPr>
          <c:marker>
            <c:symbol val="circle"/>
            <c:size val="2"/>
            <c:spPr>
              <a:solidFill>
                <a:srgbClr val="0F9D58"/>
              </a:solidFill>
              <a:ln cmpd="sng">
                <a:solidFill>
                  <a:srgbClr val="0F9D58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only'!$B$18:$I$18</c:f>
              <c:numCache/>
            </c:numRef>
          </c:val>
          <c:smooth val="0"/>
        </c:ser>
        <c:ser>
          <c:idx val="16"/>
          <c:order val="16"/>
          <c:tx>
            <c:strRef>
              <c:f>'pareto only'!$A$19</c:f>
            </c:strRef>
          </c:tx>
          <c:spPr>
            <a:ln cmpd="sng">
              <a:solidFill>
                <a:srgbClr val="FF6D00"/>
              </a:solidFill>
            </a:ln>
          </c:spPr>
          <c:marker>
            <c:symbol val="circle"/>
            <c:size val="2"/>
            <c:spPr>
              <a:solidFill>
                <a:srgbClr val="FF6D00"/>
              </a:solidFill>
              <a:ln cmpd="sng">
                <a:solidFill>
                  <a:srgbClr val="FF6D00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only'!$B$19:$I$19</c:f>
              <c:numCache/>
            </c:numRef>
          </c:val>
          <c:smooth val="0"/>
        </c:ser>
        <c:ser>
          <c:idx val="17"/>
          <c:order val="17"/>
          <c:tx>
            <c:strRef>
              <c:f>'pareto only'!$A$20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circle"/>
            <c:size val="2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only'!$B$20:$I$20</c:f>
              <c:numCache/>
            </c:numRef>
          </c:val>
          <c:smooth val="0"/>
        </c:ser>
        <c:ser>
          <c:idx val="18"/>
          <c:order val="18"/>
          <c:tx>
            <c:strRef>
              <c:f>'pareto only'!$A$21</c:f>
            </c:strRef>
          </c:tx>
          <c:spPr>
            <a:ln cmpd="sng">
              <a:solidFill>
                <a:srgbClr val="AB30C4"/>
              </a:solidFill>
            </a:ln>
          </c:spPr>
          <c:marker>
            <c:symbol val="circle"/>
            <c:size val="2"/>
            <c:spPr>
              <a:solidFill>
                <a:srgbClr val="AB30C4"/>
              </a:solidFill>
              <a:ln cmpd="sng">
                <a:solidFill>
                  <a:srgbClr val="AB30C4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only'!$B$21:$I$21</c:f>
              <c:numCache/>
            </c:numRef>
          </c:val>
          <c:smooth val="0"/>
        </c:ser>
        <c:ser>
          <c:idx val="19"/>
          <c:order val="19"/>
          <c:tx>
            <c:strRef>
              <c:f>'pareto only'!$A$22</c:f>
            </c:strRef>
          </c:tx>
          <c:spPr>
            <a:ln cmpd="sng">
              <a:solidFill>
                <a:srgbClr val="C1BC1F"/>
              </a:solidFill>
            </a:ln>
          </c:spPr>
          <c:marker>
            <c:symbol val="circle"/>
            <c:size val="2"/>
            <c:spPr>
              <a:solidFill>
                <a:srgbClr val="C1BC1F"/>
              </a:solidFill>
              <a:ln cmpd="sng">
                <a:solidFill>
                  <a:srgbClr val="C1BC1F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only'!$B$22:$I$22</c:f>
              <c:numCache/>
            </c:numRef>
          </c:val>
          <c:smooth val="0"/>
        </c:ser>
        <c:ser>
          <c:idx val="20"/>
          <c:order val="20"/>
          <c:tx>
            <c:strRef>
              <c:f>'pareto only'!$A$23</c:f>
            </c:strRef>
          </c:tx>
          <c:spPr>
            <a:ln cmpd="sng">
              <a:solidFill>
                <a:srgbClr val="3949AB"/>
              </a:solidFill>
            </a:ln>
          </c:spPr>
          <c:marker>
            <c:symbol val="circle"/>
            <c:size val="2"/>
            <c:spPr>
              <a:solidFill>
                <a:srgbClr val="3949AB"/>
              </a:solidFill>
              <a:ln cmpd="sng">
                <a:solidFill>
                  <a:srgbClr val="3949AB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only'!$B$23:$I$23</c:f>
              <c:numCache/>
            </c:numRef>
          </c:val>
          <c:smooth val="0"/>
        </c:ser>
        <c:ser>
          <c:idx val="21"/>
          <c:order val="21"/>
          <c:tx>
            <c:strRef>
              <c:f>'pareto only'!$A$24</c:f>
            </c:strRef>
          </c:tx>
          <c:spPr>
            <a:ln cmpd="sng">
              <a:solidFill>
                <a:srgbClr val="F975A8"/>
              </a:solidFill>
            </a:ln>
          </c:spPr>
          <c:marker>
            <c:symbol val="circle"/>
            <c:size val="2"/>
            <c:spPr>
              <a:solidFill>
                <a:srgbClr val="F975A8"/>
              </a:solidFill>
              <a:ln cmpd="sng">
                <a:solidFill>
                  <a:srgbClr val="F975A8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only'!$B$24:$I$24</c:f>
              <c:numCache/>
            </c:numRef>
          </c:val>
          <c:smooth val="0"/>
        </c:ser>
        <c:ser>
          <c:idx val="22"/>
          <c:order val="22"/>
          <c:tx>
            <c:strRef>
              <c:f>'pareto only'!$A$25</c:f>
            </c:strRef>
          </c:tx>
          <c:spPr>
            <a:ln cmpd="sng">
              <a:solidFill>
                <a:srgbClr val="00695C"/>
              </a:solidFill>
            </a:ln>
          </c:spPr>
          <c:marker>
            <c:symbol val="circle"/>
            <c:size val="2"/>
            <c:spPr>
              <a:solidFill>
                <a:srgbClr val="00695C"/>
              </a:solidFill>
              <a:ln cmpd="sng">
                <a:solidFill>
                  <a:srgbClr val="00695C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only'!$B$25:$I$25</c:f>
              <c:numCache/>
            </c:numRef>
          </c:val>
          <c:smooth val="0"/>
        </c:ser>
        <c:ser>
          <c:idx val="23"/>
          <c:order val="23"/>
          <c:tx>
            <c:strRef>
              <c:f>'pareto only'!$A$26</c:f>
            </c:strRef>
          </c:tx>
          <c:spPr>
            <a:ln cmpd="sng">
              <a:solidFill>
                <a:srgbClr val="C2185B"/>
              </a:solidFill>
            </a:ln>
          </c:spPr>
          <c:marker>
            <c:symbol val="circle"/>
            <c:size val="2"/>
            <c:spPr>
              <a:solidFill>
                <a:srgbClr val="C2185B"/>
              </a:solidFill>
              <a:ln cmpd="sng">
                <a:solidFill>
                  <a:srgbClr val="C2185B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only'!$B$26:$I$26</c:f>
              <c:numCache/>
            </c:numRef>
          </c:val>
          <c:smooth val="0"/>
        </c:ser>
        <c:ser>
          <c:idx val="24"/>
          <c:order val="24"/>
          <c:tx>
            <c:strRef>
              <c:f>'pareto only'!$A$27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only'!$B$27:$I$27</c:f>
              <c:numCache/>
            </c:numRef>
          </c:val>
          <c:smooth val="0"/>
        </c:ser>
        <c:ser>
          <c:idx val="25"/>
          <c:order val="25"/>
          <c:tx>
            <c:strRef>
              <c:f>'pareto only'!$A$28</c:f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circle"/>
            <c:size val="2"/>
            <c:spPr>
              <a:solidFill>
                <a:srgbClr val="DB4437"/>
              </a:solidFill>
              <a:ln cmpd="sng">
                <a:solidFill>
                  <a:srgbClr val="DB4437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only'!$B$28:$I$28</c:f>
              <c:numCache/>
            </c:numRef>
          </c:val>
          <c:smooth val="0"/>
        </c:ser>
        <c:ser>
          <c:idx val="26"/>
          <c:order val="26"/>
          <c:tx>
            <c:strRef>
              <c:f>'pareto only'!$A$29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circle"/>
            <c:size val="2"/>
            <c:spPr>
              <a:solidFill>
                <a:srgbClr val="F4B400"/>
              </a:solidFill>
              <a:ln cmpd="sng">
                <a:solidFill>
                  <a:srgbClr val="F4B400"/>
                </a:solidFill>
              </a:ln>
            </c:spPr>
          </c:marker>
          <c:cat>
            <c:strRef>
              <c:f>'pareto only'!$B$3:$I$3</c:f>
            </c:strRef>
          </c:cat>
          <c:val>
            <c:numRef>
              <c:f>'pareto only'!$B$29:$I$29</c:f>
              <c:numCache/>
            </c:numRef>
          </c:val>
          <c:smooth val="0"/>
        </c:ser>
        <c:axId val="453165865"/>
        <c:axId val="333773051"/>
      </c:lineChart>
      <c:catAx>
        <c:axId val="453165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M\K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33773051"/>
      </c:catAx>
      <c:valAx>
        <c:axId val="333773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53165865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'pareto only'!$L$2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'pareto only'!$K$3:$K$261</c:f>
            </c:numRef>
          </c:xVal>
          <c:yVal>
            <c:numRef>
              <c:f>'pareto only'!$L$3:$L$261</c:f>
              <c:numCache/>
            </c:numRef>
          </c:yVal>
        </c:ser>
        <c:ser>
          <c:idx val="1"/>
          <c:order val="1"/>
          <c:tx>
            <c:strRef>
              <c:f>'pareto only'!$M$2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DB4437"/>
              </a:solidFill>
              <a:ln cmpd="sng">
                <a:solidFill>
                  <a:srgbClr val="DB4437"/>
                </a:solidFill>
              </a:ln>
            </c:spPr>
          </c:marker>
          <c:xVal>
            <c:numRef>
              <c:f>'pareto only'!$K$3:$K$261</c:f>
            </c:numRef>
          </c:xVal>
          <c:yVal>
            <c:numRef>
              <c:f>'pareto only'!$M$3:$M$261</c:f>
              <c:numCache/>
            </c:numRef>
          </c:yVal>
        </c:ser>
        <c:ser>
          <c:idx val="2"/>
          <c:order val="2"/>
          <c:tx>
            <c:strRef>
              <c:f>'pareto only'!$N$2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F4B400"/>
              </a:solidFill>
              <a:ln cmpd="sng">
                <a:solidFill>
                  <a:srgbClr val="F4B400"/>
                </a:solidFill>
              </a:ln>
            </c:spPr>
          </c:marker>
          <c:xVal>
            <c:numRef>
              <c:f>'pareto only'!$K$3:$K$261</c:f>
            </c:numRef>
          </c:xVal>
          <c:yVal>
            <c:numRef>
              <c:f>'pareto only'!$N$3:$N$261</c:f>
              <c:numCache/>
            </c:numRef>
          </c:yVal>
        </c:ser>
        <c:ser>
          <c:idx val="3"/>
          <c:order val="3"/>
          <c:tx>
            <c:strRef>
              <c:f>'pareto only'!$O$2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0F9D58"/>
              </a:solidFill>
              <a:ln cmpd="sng">
                <a:solidFill>
                  <a:srgbClr val="0F9D58"/>
                </a:solidFill>
              </a:ln>
            </c:spPr>
          </c:marker>
          <c:xVal>
            <c:numRef>
              <c:f>'pareto only'!$K$3:$K$261</c:f>
            </c:numRef>
          </c:xVal>
          <c:yVal>
            <c:numRef>
              <c:f>'pareto only'!$O$3:$O$261</c:f>
              <c:numCache/>
            </c:numRef>
          </c:yVal>
        </c:ser>
        <c:ser>
          <c:idx val="4"/>
          <c:order val="4"/>
          <c:tx>
            <c:strRef>
              <c:f>'pareto only'!$P$2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FF6D00"/>
              </a:solidFill>
              <a:ln cmpd="sng">
                <a:solidFill>
                  <a:srgbClr val="FF6D00"/>
                </a:solidFill>
              </a:ln>
            </c:spPr>
          </c:marker>
          <c:xVal>
            <c:numRef>
              <c:f>'pareto only'!$K$3:$K$261</c:f>
            </c:numRef>
          </c:xVal>
          <c:yVal>
            <c:numRef>
              <c:f>'pareto only'!$P$3:$P$261</c:f>
              <c:numCache/>
            </c:numRef>
          </c:yVal>
        </c:ser>
        <c:ser>
          <c:idx val="5"/>
          <c:order val="5"/>
          <c:tx>
            <c:strRef>
              <c:f>'pareto only'!$Q$2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xVal>
            <c:numRef>
              <c:f>'pareto only'!$K$3:$K$261</c:f>
            </c:numRef>
          </c:xVal>
          <c:yVal>
            <c:numRef>
              <c:f>'pareto only'!$Q$3:$Q$261</c:f>
              <c:numCache/>
            </c:numRef>
          </c:yVal>
        </c:ser>
        <c:ser>
          <c:idx val="6"/>
          <c:order val="6"/>
          <c:tx>
            <c:strRef>
              <c:f>'pareto only'!$R$2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AB30C4"/>
              </a:solidFill>
              <a:ln cmpd="sng">
                <a:solidFill>
                  <a:srgbClr val="AB30C4"/>
                </a:solidFill>
              </a:ln>
            </c:spPr>
          </c:marker>
          <c:xVal>
            <c:numRef>
              <c:f>'pareto only'!$K$3:$K$261</c:f>
            </c:numRef>
          </c:xVal>
          <c:yVal>
            <c:numRef>
              <c:f>'pareto only'!$R$3:$R$261</c:f>
              <c:numCache/>
            </c:numRef>
          </c:yVal>
        </c:ser>
        <c:ser>
          <c:idx val="7"/>
          <c:order val="7"/>
          <c:tx>
            <c:strRef>
              <c:f>'pareto only'!$S$2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C1BC1F"/>
              </a:solidFill>
              <a:ln cmpd="sng">
                <a:solidFill>
                  <a:srgbClr val="C1BC1F"/>
                </a:solidFill>
              </a:ln>
            </c:spPr>
          </c:marker>
          <c:xVal>
            <c:numRef>
              <c:f>'pareto only'!$K$3:$K$261</c:f>
            </c:numRef>
          </c:xVal>
          <c:yVal>
            <c:numRef>
              <c:f>'pareto only'!$S$3:$S$261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125646"/>
        <c:axId val="1947121620"/>
      </c:scatterChart>
      <c:valAx>
        <c:axId val="1461125646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47121620"/>
        <c:majorUnit val="10.0"/>
        <c:minorUnit val="1.0"/>
      </c:valAx>
      <c:valAx>
        <c:axId val="194712162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61125646"/>
        <c:majorUnit val="10.0"/>
        <c:min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142875</xdr:colOff>
      <xdr:row>0</xdr:row>
      <xdr:rowOff>66675</xdr:rowOff>
    </xdr:from>
    <xdr:ext cx="16659225" cy="5305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24</xdr:col>
      <xdr:colOff>190500</xdr:colOff>
      <xdr:row>27</xdr:row>
      <xdr:rowOff>152400</xdr:rowOff>
    </xdr:from>
    <xdr:ext cx="4581525" cy="80962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57</xdr:row>
      <xdr:rowOff>57150</xdr:rowOff>
    </xdr:from>
    <xdr:ext cx="14487525" cy="36290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247650</xdr:colOff>
      <xdr:row>78</xdr:row>
      <xdr:rowOff>19050</xdr:rowOff>
    </xdr:from>
    <xdr:ext cx="904875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.75"/>
    <col customWidth="1" min="3" max="3" width="2.88"/>
    <col customWidth="1" min="4" max="5" width="1.88"/>
    <col customWidth="1" min="6" max="19" width="2.88"/>
    <col customWidth="1" min="20" max="20" width="4.75"/>
    <col customWidth="1" min="21" max="21" width="6.13"/>
    <col customWidth="1" min="22" max="22" width="4.25"/>
    <col customWidth="1" min="23" max="26" width="4.13"/>
    <col customWidth="1" min="27" max="27" width="60.75"/>
    <col customWidth="1" min="28" max="28" width="99.5"/>
    <col customWidth="1" min="29" max="29" width="96.75"/>
  </cols>
  <sheetData>
    <row r="1">
      <c r="A1" s="1"/>
      <c r="B1" s="1"/>
      <c r="C1" s="1"/>
      <c r="D1" s="1"/>
      <c r="F1" s="1">
        <v>1.0</v>
      </c>
      <c r="G1" s="1">
        <v>2.0</v>
      </c>
      <c r="H1" s="1">
        <v>3.0</v>
      </c>
      <c r="I1" s="1">
        <v>4.0</v>
      </c>
      <c r="J1" s="1">
        <v>5.0</v>
      </c>
      <c r="K1" s="1">
        <v>6.0</v>
      </c>
      <c r="L1" s="1">
        <v>7.0</v>
      </c>
      <c r="M1" s="1">
        <v>1.0</v>
      </c>
      <c r="N1" s="1">
        <v>2.0</v>
      </c>
      <c r="O1" s="1">
        <v>3.0</v>
      </c>
      <c r="P1" s="1">
        <v>4.0</v>
      </c>
      <c r="Q1" s="1">
        <v>5.0</v>
      </c>
      <c r="R1" s="1">
        <v>6.0</v>
      </c>
      <c r="S1" s="1">
        <v>7.0</v>
      </c>
      <c r="U1" s="25"/>
      <c r="V1" s="25"/>
      <c r="W1" s="26">
        <v>2.8</v>
      </c>
      <c r="X1" s="26">
        <v>0.02</v>
      </c>
      <c r="Y1" s="25"/>
      <c r="Z1" s="25"/>
    </row>
    <row r="2">
      <c r="A2" s="1" t="s">
        <v>4</v>
      </c>
      <c r="B2" s="1">
        <v>3.0</v>
      </c>
      <c r="C2" s="1">
        <v>1.0</v>
      </c>
      <c r="D2" s="1">
        <v>1.0</v>
      </c>
      <c r="E2">
        <f t="shared" ref="E2:E262" si="2">D2+A2</f>
        <v>2</v>
      </c>
      <c r="F2" t="str">
        <f t="shared" ref="F2:M2" si="1">IF((AND($A2 = "+0",$E2 = F$1)), $C2, "")</f>
        <v/>
      </c>
      <c r="G2" t="str">
        <f t="shared" si="1"/>
        <v/>
      </c>
      <c r="H2" t="str">
        <f t="shared" si="1"/>
        <v/>
      </c>
      <c r="I2" t="str">
        <f t="shared" si="1"/>
        <v/>
      </c>
      <c r="J2" t="str">
        <f t="shared" si="1"/>
        <v/>
      </c>
      <c r="K2" t="str">
        <f t="shared" si="1"/>
        <v/>
      </c>
      <c r="L2" t="str">
        <f t="shared" si="1"/>
        <v/>
      </c>
      <c r="M2" t="str">
        <f t="shared" si="1"/>
        <v/>
      </c>
      <c r="T2">
        <f t="shared" ref="T2:T262" si="5">B2*C2</f>
        <v>3</v>
      </c>
      <c r="U2" s="25">
        <f t="shared" ref="U2:U262" si="6">B2/C2</f>
        <v>3</v>
      </c>
      <c r="V2" s="26">
        <f t="shared" ref="V2:V262" si="7">(C2-1)/(B2)</f>
        <v>0</v>
      </c>
      <c r="W2" s="25">
        <f t="shared" ref="W2:W262" si="8">log(T2, W$1)</f>
        <v>1.06700813</v>
      </c>
      <c r="X2" s="25">
        <f t="shared" ref="X2:X262" si="9">W2+U2*X$1</f>
        <v>1.12700813</v>
      </c>
      <c r="Y2" s="25"/>
      <c r="Z2" s="25"/>
    </row>
    <row r="3">
      <c r="A3" s="1" t="s">
        <v>5</v>
      </c>
      <c r="B3" s="1">
        <v>2.0</v>
      </c>
      <c r="C3" s="1">
        <v>1.0</v>
      </c>
      <c r="D3" s="1">
        <v>1.0</v>
      </c>
      <c r="E3">
        <f t="shared" si="2"/>
        <v>1</v>
      </c>
      <c r="F3">
        <f t="shared" ref="F3:L3" si="3">IF((AND($A3 = "+0",$E3 = F$1)), $C3, "")</f>
        <v>1</v>
      </c>
      <c r="G3" t="str">
        <f t="shared" si="3"/>
        <v/>
      </c>
      <c r="H3" t="str">
        <f t="shared" si="3"/>
        <v/>
      </c>
      <c r="I3" t="str">
        <f t="shared" si="3"/>
        <v/>
      </c>
      <c r="J3" t="str">
        <f t="shared" si="3"/>
        <v/>
      </c>
      <c r="K3" t="str">
        <f t="shared" si="3"/>
        <v/>
      </c>
      <c r="L3" t="str">
        <f t="shared" si="3"/>
        <v/>
      </c>
      <c r="M3">
        <f t="shared" ref="M3:S3" si="4">IF((AND($A3 = "+0",$E3 = M$1)), 2^$D3-$B3, "")</f>
        <v>0</v>
      </c>
      <c r="N3" t="str">
        <f t="shared" si="4"/>
        <v/>
      </c>
      <c r="O3" t="str">
        <f t="shared" si="4"/>
        <v/>
      </c>
      <c r="P3" t="str">
        <f t="shared" si="4"/>
        <v/>
      </c>
      <c r="Q3" t="str">
        <f t="shared" si="4"/>
        <v/>
      </c>
      <c r="R3" t="str">
        <f t="shared" si="4"/>
        <v/>
      </c>
      <c r="S3" t="str">
        <f t="shared" si="4"/>
        <v/>
      </c>
      <c r="T3">
        <f t="shared" si="5"/>
        <v>2</v>
      </c>
      <c r="U3" s="25">
        <f t="shared" si="6"/>
        <v>2</v>
      </c>
      <c r="V3" s="26">
        <f t="shared" si="7"/>
        <v>0</v>
      </c>
      <c r="W3" s="25">
        <f t="shared" si="8"/>
        <v>0.6732071764</v>
      </c>
      <c r="X3" s="25">
        <f t="shared" si="9"/>
        <v>0.7132071764</v>
      </c>
      <c r="Y3" s="25"/>
      <c r="Z3" s="25"/>
    </row>
    <row r="4">
      <c r="A4" s="1" t="s">
        <v>4</v>
      </c>
      <c r="B4" s="1">
        <v>2.0</v>
      </c>
      <c r="C4" s="1">
        <v>2.0</v>
      </c>
      <c r="D4" s="1">
        <v>1.0</v>
      </c>
      <c r="E4">
        <f t="shared" si="2"/>
        <v>2</v>
      </c>
      <c r="F4" t="str">
        <f t="shared" ref="F4:L4" si="10">IF((AND($A4 = "+0",$E4 = F$1)), $C4, "")</f>
        <v/>
      </c>
      <c r="G4" t="str">
        <f t="shared" si="10"/>
        <v/>
      </c>
      <c r="H4" t="str">
        <f t="shared" si="10"/>
        <v/>
      </c>
      <c r="I4" t="str">
        <f t="shared" si="10"/>
        <v/>
      </c>
      <c r="J4" t="str">
        <f t="shared" si="10"/>
        <v/>
      </c>
      <c r="K4" t="str">
        <f t="shared" si="10"/>
        <v/>
      </c>
      <c r="L4" t="str">
        <f t="shared" si="10"/>
        <v/>
      </c>
      <c r="M4" t="str">
        <f t="shared" ref="M4:S4" si="11">IF((AND($A4 = "+0",$E4 = M$1)), 2^$D4-$B4, "")</f>
        <v/>
      </c>
      <c r="N4" t="str">
        <f t="shared" si="11"/>
        <v/>
      </c>
      <c r="O4" t="str">
        <f t="shared" si="11"/>
        <v/>
      </c>
      <c r="P4" t="str">
        <f t="shared" si="11"/>
        <v/>
      </c>
      <c r="Q4" t="str">
        <f t="shared" si="11"/>
        <v/>
      </c>
      <c r="R4" t="str">
        <f t="shared" si="11"/>
        <v/>
      </c>
      <c r="S4" t="str">
        <f t="shared" si="11"/>
        <v/>
      </c>
      <c r="T4">
        <f t="shared" si="5"/>
        <v>4</v>
      </c>
      <c r="U4" s="25">
        <f t="shared" si="6"/>
        <v>1</v>
      </c>
      <c r="V4" s="26">
        <f t="shared" si="7"/>
        <v>0.5</v>
      </c>
      <c r="W4" s="25">
        <f t="shared" si="8"/>
        <v>1.346414353</v>
      </c>
      <c r="X4" s="25">
        <f t="shared" si="9"/>
        <v>1.366414353</v>
      </c>
      <c r="Y4" s="25"/>
      <c r="Z4" s="25"/>
    </row>
    <row r="5">
      <c r="A5" s="1" t="s">
        <v>4</v>
      </c>
      <c r="B5" s="1">
        <v>5.0</v>
      </c>
      <c r="C5" s="1">
        <v>1.0</v>
      </c>
      <c r="D5" s="1">
        <v>2.0</v>
      </c>
      <c r="E5">
        <f t="shared" si="2"/>
        <v>3</v>
      </c>
      <c r="F5" t="str">
        <f t="shared" ref="F5:L5" si="12">IF((AND($A5 = "+0",$E5 = F$1)), $C5, "")</f>
        <v/>
      </c>
      <c r="G5" t="str">
        <f t="shared" si="12"/>
        <v/>
      </c>
      <c r="H5" t="str">
        <f t="shared" si="12"/>
        <v/>
      </c>
      <c r="I5" t="str">
        <f t="shared" si="12"/>
        <v/>
      </c>
      <c r="J5" t="str">
        <f t="shared" si="12"/>
        <v/>
      </c>
      <c r="K5" t="str">
        <f t="shared" si="12"/>
        <v/>
      </c>
      <c r="L5" t="str">
        <f t="shared" si="12"/>
        <v/>
      </c>
      <c r="M5" t="str">
        <f t="shared" ref="M5:S5" si="13">IF((AND($A5 = "+0",$E5 = M$1)), 2^$D5-$B5, "")</f>
        <v/>
      </c>
      <c r="N5" t="str">
        <f t="shared" si="13"/>
        <v/>
      </c>
      <c r="O5" t="str">
        <f t="shared" si="13"/>
        <v/>
      </c>
      <c r="P5" t="str">
        <f t="shared" si="13"/>
        <v/>
      </c>
      <c r="Q5" t="str">
        <f t="shared" si="13"/>
        <v/>
      </c>
      <c r="R5" t="str">
        <f t="shared" si="13"/>
        <v/>
      </c>
      <c r="S5" t="str">
        <f t="shared" si="13"/>
        <v/>
      </c>
      <c r="T5">
        <f t="shared" si="5"/>
        <v>5</v>
      </c>
      <c r="U5" s="25">
        <f t="shared" si="6"/>
        <v>5</v>
      </c>
      <c r="V5" s="26">
        <f t="shared" si="7"/>
        <v>0</v>
      </c>
      <c r="W5" s="25">
        <f t="shared" si="8"/>
        <v>1.563138656</v>
      </c>
      <c r="X5" s="25">
        <f t="shared" si="9"/>
        <v>1.663138656</v>
      </c>
      <c r="Y5" s="25"/>
      <c r="Z5" s="25"/>
    </row>
    <row r="6">
      <c r="A6" s="1" t="s">
        <v>5</v>
      </c>
      <c r="B6" s="1">
        <v>4.0</v>
      </c>
      <c r="C6" s="1">
        <v>1.0</v>
      </c>
      <c r="D6" s="1">
        <v>2.0</v>
      </c>
      <c r="E6">
        <f t="shared" si="2"/>
        <v>2</v>
      </c>
      <c r="F6" t="str">
        <f t="shared" ref="F6:L6" si="14">IF((AND($A6 = "+0",$E6 = F$1)), $C6, "")</f>
        <v/>
      </c>
      <c r="G6">
        <f t="shared" si="14"/>
        <v>1</v>
      </c>
      <c r="H6" t="str">
        <f t="shared" si="14"/>
        <v/>
      </c>
      <c r="I6" t="str">
        <f t="shared" si="14"/>
        <v/>
      </c>
      <c r="J6" t="str">
        <f t="shared" si="14"/>
        <v/>
      </c>
      <c r="K6" t="str">
        <f t="shared" si="14"/>
        <v/>
      </c>
      <c r="L6" t="str">
        <f t="shared" si="14"/>
        <v/>
      </c>
      <c r="M6" t="str">
        <f t="shared" ref="M6:S6" si="15">IF((AND($A6 = "+0",$E6 = M$1)), 2^$D6-$B6, "")</f>
        <v/>
      </c>
      <c r="N6">
        <f t="shared" si="15"/>
        <v>0</v>
      </c>
      <c r="O6" t="str">
        <f t="shared" si="15"/>
        <v/>
      </c>
      <c r="P6" t="str">
        <f t="shared" si="15"/>
        <v/>
      </c>
      <c r="Q6" t="str">
        <f t="shared" si="15"/>
        <v/>
      </c>
      <c r="R6" t="str">
        <f t="shared" si="15"/>
        <v/>
      </c>
      <c r="S6" t="str">
        <f t="shared" si="15"/>
        <v/>
      </c>
      <c r="T6">
        <f t="shared" si="5"/>
        <v>4</v>
      </c>
      <c r="U6" s="25">
        <f t="shared" si="6"/>
        <v>4</v>
      </c>
      <c r="V6" s="26">
        <f t="shared" si="7"/>
        <v>0</v>
      </c>
      <c r="W6" s="25">
        <f t="shared" si="8"/>
        <v>1.346414353</v>
      </c>
      <c r="X6" s="25">
        <f t="shared" si="9"/>
        <v>1.426414353</v>
      </c>
      <c r="Y6" s="25"/>
      <c r="Z6" s="25"/>
    </row>
    <row r="7">
      <c r="A7" s="1" t="s">
        <v>4</v>
      </c>
      <c r="B7" s="1">
        <v>4.0</v>
      </c>
      <c r="C7" s="1">
        <v>2.0</v>
      </c>
      <c r="D7" s="1">
        <v>2.0</v>
      </c>
      <c r="E7">
        <f t="shared" si="2"/>
        <v>3</v>
      </c>
      <c r="F7" t="str">
        <f t="shared" ref="F7:L7" si="16">IF((AND($A7 = "+0",$E7 = F$1)), $C7, "")</f>
        <v/>
      </c>
      <c r="G7" t="str">
        <f t="shared" si="16"/>
        <v/>
      </c>
      <c r="H7" t="str">
        <f t="shared" si="16"/>
        <v/>
      </c>
      <c r="I7" t="str">
        <f t="shared" si="16"/>
        <v/>
      </c>
      <c r="J7" t="str">
        <f t="shared" si="16"/>
        <v/>
      </c>
      <c r="K7" t="str">
        <f t="shared" si="16"/>
        <v/>
      </c>
      <c r="L7" t="str">
        <f t="shared" si="16"/>
        <v/>
      </c>
      <c r="M7" t="str">
        <f t="shared" ref="M7:S7" si="17">IF((AND($A7 = "+0",$E7 = M$1)), 2^$D7-$B7, "")</f>
        <v/>
      </c>
      <c r="N7" t="str">
        <f t="shared" si="17"/>
        <v/>
      </c>
      <c r="O7" t="str">
        <f t="shared" si="17"/>
        <v/>
      </c>
      <c r="P7" t="str">
        <f t="shared" si="17"/>
        <v/>
      </c>
      <c r="Q7" t="str">
        <f t="shared" si="17"/>
        <v/>
      </c>
      <c r="R7" t="str">
        <f t="shared" si="17"/>
        <v/>
      </c>
      <c r="S7" t="str">
        <f t="shared" si="17"/>
        <v/>
      </c>
      <c r="T7">
        <f t="shared" si="5"/>
        <v>8</v>
      </c>
      <c r="U7" s="25">
        <f t="shared" si="6"/>
        <v>2</v>
      </c>
      <c r="V7" s="26">
        <f t="shared" si="7"/>
        <v>0.25</v>
      </c>
      <c r="W7" s="25">
        <f t="shared" si="8"/>
        <v>2.019621529</v>
      </c>
      <c r="X7" s="25">
        <f t="shared" si="9"/>
        <v>2.059621529</v>
      </c>
      <c r="Y7" s="25"/>
      <c r="Z7" s="25"/>
    </row>
    <row r="8">
      <c r="A8" s="1" t="s">
        <v>5</v>
      </c>
      <c r="B8" s="1">
        <v>3.0</v>
      </c>
      <c r="C8" s="1">
        <v>2.0</v>
      </c>
      <c r="D8" s="1">
        <v>2.0</v>
      </c>
      <c r="E8">
        <f t="shared" si="2"/>
        <v>2</v>
      </c>
      <c r="F8" t="str">
        <f t="shared" ref="F8:L8" si="18">IF((AND($A8 = "+0",$E8 = F$1)), $C8, "")</f>
        <v/>
      </c>
      <c r="G8">
        <f t="shared" si="18"/>
        <v>2</v>
      </c>
      <c r="H8" t="str">
        <f t="shared" si="18"/>
        <v/>
      </c>
      <c r="I8" t="str">
        <f t="shared" si="18"/>
        <v/>
      </c>
      <c r="J8" t="str">
        <f t="shared" si="18"/>
        <v/>
      </c>
      <c r="K8" t="str">
        <f t="shared" si="18"/>
        <v/>
      </c>
      <c r="L8" t="str">
        <f t="shared" si="18"/>
        <v/>
      </c>
      <c r="M8" t="str">
        <f t="shared" ref="M8:S8" si="19">IF((AND($A8 = "+0",$E8 = M$1)), 2^$D8-$B8, "")</f>
        <v/>
      </c>
      <c r="N8">
        <f t="shared" si="19"/>
        <v>1</v>
      </c>
      <c r="O8" t="str">
        <f t="shared" si="19"/>
        <v/>
      </c>
      <c r="P8" t="str">
        <f t="shared" si="19"/>
        <v/>
      </c>
      <c r="Q8" t="str">
        <f t="shared" si="19"/>
        <v/>
      </c>
      <c r="R8" t="str">
        <f t="shared" si="19"/>
        <v/>
      </c>
      <c r="S8" t="str">
        <f t="shared" si="19"/>
        <v/>
      </c>
      <c r="T8">
        <f t="shared" si="5"/>
        <v>6</v>
      </c>
      <c r="U8" s="25">
        <f t="shared" si="6"/>
        <v>1.5</v>
      </c>
      <c r="V8" s="26">
        <f t="shared" si="7"/>
        <v>0.3333333333</v>
      </c>
      <c r="W8" s="25">
        <f t="shared" si="8"/>
        <v>1.740215306</v>
      </c>
      <c r="X8" s="25">
        <f t="shared" si="9"/>
        <v>1.770215306</v>
      </c>
      <c r="Y8" s="25"/>
      <c r="Z8" s="25"/>
    </row>
    <row r="9">
      <c r="A9" s="1" t="s">
        <v>4</v>
      </c>
      <c r="B9" s="1">
        <v>3.0</v>
      </c>
      <c r="C9" s="1">
        <v>3.0</v>
      </c>
      <c r="D9" s="1">
        <v>2.0</v>
      </c>
      <c r="E9">
        <f t="shared" si="2"/>
        <v>3</v>
      </c>
      <c r="F9" t="str">
        <f t="shared" ref="F9:L9" si="20">IF((AND($A9 = "+0",$E9 = F$1)), $C9, "")</f>
        <v/>
      </c>
      <c r="G9" t="str">
        <f t="shared" si="20"/>
        <v/>
      </c>
      <c r="H9" t="str">
        <f t="shared" si="20"/>
        <v/>
      </c>
      <c r="I9" t="str">
        <f t="shared" si="20"/>
        <v/>
      </c>
      <c r="J9" t="str">
        <f t="shared" si="20"/>
        <v/>
      </c>
      <c r="K9" t="str">
        <f t="shared" si="20"/>
        <v/>
      </c>
      <c r="L9" t="str">
        <f t="shared" si="20"/>
        <v/>
      </c>
      <c r="M9" t="str">
        <f t="shared" ref="M9:S9" si="21">IF((AND($A9 = "+0",$E9 = M$1)), 2^$D9-$B9, "")</f>
        <v/>
      </c>
      <c r="N9" t="str">
        <f t="shared" si="21"/>
        <v/>
      </c>
      <c r="O9" t="str">
        <f t="shared" si="21"/>
        <v/>
      </c>
      <c r="P9" t="str">
        <f t="shared" si="21"/>
        <v/>
      </c>
      <c r="Q9" t="str">
        <f t="shared" si="21"/>
        <v/>
      </c>
      <c r="R9" t="str">
        <f t="shared" si="21"/>
        <v/>
      </c>
      <c r="S9" t="str">
        <f t="shared" si="21"/>
        <v/>
      </c>
      <c r="T9">
        <f t="shared" si="5"/>
        <v>9</v>
      </c>
      <c r="U9" s="25">
        <f t="shared" si="6"/>
        <v>1</v>
      </c>
      <c r="V9" s="26">
        <f t="shared" si="7"/>
        <v>0.6666666667</v>
      </c>
      <c r="W9" s="25">
        <f t="shared" si="8"/>
        <v>2.134016259</v>
      </c>
      <c r="X9" s="25">
        <f t="shared" si="9"/>
        <v>2.154016259</v>
      </c>
      <c r="Y9" s="25"/>
      <c r="Z9" s="25"/>
    </row>
    <row r="10">
      <c r="A10" s="1" t="s">
        <v>4</v>
      </c>
      <c r="B10" s="1">
        <v>9.0</v>
      </c>
      <c r="C10" s="1">
        <v>1.0</v>
      </c>
      <c r="D10" s="1">
        <v>3.0</v>
      </c>
      <c r="E10">
        <f t="shared" si="2"/>
        <v>4</v>
      </c>
      <c r="F10" t="str">
        <f t="shared" ref="F10:L10" si="22">IF((AND($A10 = "+0",$E10 = F$1)), $C10, "")</f>
        <v/>
      </c>
      <c r="G10" t="str">
        <f t="shared" si="22"/>
        <v/>
      </c>
      <c r="H10" t="str">
        <f t="shared" si="22"/>
        <v/>
      </c>
      <c r="I10" t="str">
        <f t="shared" si="22"/>
        <v/>
      </c>
      <c r="J10" t="str">
        <f t="shared" si="22"/>
        <v/>
      </c>
      <c r="K10" t="str">
        <f t="shared" si="22"/>
        <v/>
      </c>
      <c r="L10" t="str">
        <f t="shared" si="22"/>
        <v/>
      </c>
      <c r="M10" t="str">
        <f t="shared" ref="M10:S10" si="23">IF((AND($A10 = "+0",$E10 = M$1)), 2^$D10-$B10, "")</f>
        <v/>
      </c>
      <c r="N10" t="str">
        <f t="shared" si="23"/>
        <v/>
      </c>
      <c r="O10" t="str">
        <f t="shared" si="23"/>
        <v/>
      </c>
      <c r="P10" t="str">
        <f t="shared" si="23"/>
        <v/>
      </c>
      <c r="Q10" t="str">
        <f t="shared" si="23"/>
        <v/>
      </c>
      <c r="R10" t="str">
        <f t="shared" si="23"/>
        <v/>
      </c>
      <c r="S10" t="str">
        <f t="shared" si="23"/>
        <v/>
      </c>
      <c r="T10">
        <f t="shared" si="5"/>
        <v>9</v>
      </c>
      <c r="U10" s="25">
        <f t="shared" si="6"/>
        <v>9</v>
      </c>
      <c r="V10" s="26">
        <f t="shared" si="7"/>
        <v>0</v>
      </c>
      <c r="W10" s="25">
        <f t="shared" si="8"/>
        <v>2.134016259</v>
      </c>
      <c r="X10" s="25">
        <f t="shared" si="9"/>
        <v>2.314016259</v>
      </c>
      <c r="Y10" s="25"/>
      <c r="Z10" s="25"/>
    </row>
    <row r="11">
      <c r="A11" s="1" t="s">
        <v>5</v>
      </c>
      <c r="B11" s="1">
        <v>8.0</v>
      </c>
      <c r="C11" s="1">
        <v>1.0</v>
      </c>
      <c r="D11" s="1">
        <v>3.0</v>
      </c>
      <c r="E11">
        <f t="shared" si="2"/>
        <v>3</v>
      </c>
      <c r="F11" t="str">
        <f t="shared" ref="F11:L11" si="24">IF((AND($A11 = "+0",$E11 = F$1)), $C11, "")</f>
        <v/>
      </c>
      <c r="G11" t="str">
        <f t="shared" si="24"/>
        <v/>
      </c>
      <c r="H11">
        <f t="shared" si="24"/>
        <v>1</v>
      </c>
      <c r="I11" t="str">
        <f t="shared" si="24"/>
        <v/>
      </c>
      <c r="J11" t="str">
        <f t="shared" si="24"/>
        <v/>
      </c>
      <c r="K11" t="str">
        <f t="shared" si="24"/>
        <v/>
      </c>
      <c r="L11" t="str">
        <f t="shared" si="24"/>
        <v/>
      </c>
      <c r="M11" t="str">
        <f t="shared" ref="M11:S11" si="25">IF((AND($A11 = "+0",$E11 = M$1)), 2^$D11-$B11, "")</f>
        <v/>
      </c>
      <c r="N11" t="str">
        <f t="shared" si="25"/>
        <v/>
      </c>
      <c r="O11">
        <f t="shared" si="25"/>
        <v>0</v>
      </c>
      <c r="P11" t="str">
        <f t="shared" si="25"/>
        <v/>
      </c>
      <c r="Q11" t="str">
        <f t="shared" si="25"/>
        <v/>
      </c>
      <c r="R11" t="str">
        <f t="shared" si="25"/>
        <v/>
      </c>
      <c r="S11" t="str">
        <f t="shared" si="25"/>
        <v/>
      </c>
      <c r="T11">
        <f t="shared" si="5"/>
        <v>8</v>
      </c>
      <c r="U11" s="25">
        <f t="shared" si="6"/>
        <v>8</v>
      </c>
      <c r="V11" s="26">
        <f t="shared" si="7"/>
        <v>0</v>
      </c>
      <c r="W11" s="25">
        <f t="shared" si="8"/>
        <v>2.019621529</v>
      </c>
      <c r="X11" s="25">
        <f t="shared" si="9"/>
        <v>2.179621529</v>
      </c>
      <c r="Y11" s="25"/>
      <c r="Z11" s="25"/>
    </row>
    <row r="12">
      <c r="A12" s="1" t="s">
        <v>4</v>
      </c>
      <c r="B12" s="1">
        <v>8.0</v>
      </c>
      <c r="C12" s="1">
        <v>2.0</v>
      </c>
      <c r="D12" s="1">
        <v>3.0</v>
      </c>
      <c r="E12">
        <f t="shared" si="2"/>
        <v>4</v>
      </c>
      <c r="F12" t="str">
        <f t="shared" ref="F12:L12" si="26">IF((AND($A12 = "+0",$E12 = F$1)), $C12, "")</f>
        <v/>
      </c>
      <c r="G12" t="str">
        <f t="shared" si="26"/>
        <v/>
      </c>
      <c r="H12" t="str">
        <f t="shared" si="26"/>
        <v/>
      </c>
      <c r="I12" t="str">
        <f t="shared" si="26"/>
        <v/>
      </c>
      <c r="J12" t="str">
        <f t="shared" si="26"/>
        <v/>
      </c>
      <c r="K12" t="str">
        <f t="shared" si="26"/>
        <v/>
      </c>
      <c r="L12" t="str">
        <f t="shared" si="26"/>
        <v/>
      </c>
      <c r="M12" t="str">
        <f t="shared" ref="M12:S12" si="27">IF((AND($A12 = "+0",$E12 = M$1)), 2^$D12-$B12, "")</f>
        <v/>
      </c>
      <c r="N12" t="str">
        <f t="shared" si="27"/>
        <v/>
      </c>
      <c r="O12" t="str">
        <f t="shared" si="27"/>
        <v/>
      </c>
      <c r="P12" t="str">
        <f t="shared" si="27"/>
        <v/>
      </c>
      <c r="Q12" t="str">
        <f t="shared" si="27"/>
        <v/>
      </c>
      <c r="R12" t="str">
        <f t="shared" si="27"/>
        <v/>
      </c>
      <c r="S12" t="str">
        <f t="shared" si="27"/>
        <v/>
      </c>
      <c r="T12">
        <f t="shared" si="5"/>
        <v>16</v>
      </c>
      <c r="U12" s="25">
        <f t="shared" si="6"/>
        <v>4</v>
      </c>
      <c r="V12" s="26">
        <f t="shared" si="7"/>
        <v>0.125</v>
      </c>
      <c r="W12" s="25">
        <f t="shared" si="8"/>
        <v>2.692828705</v>
      </c>
      <c r="X12" s="25">
        <f t="shared" si="9"/>
        <v>2.772828705</v>
      </c>
      <c r="Y12" s="25"/>
      <c r="Z12" s="25"/>
    </row>
    <row r="13">
      <c r="A13" s="1" t="s">
        <v>5</v>
      </c>
      <c r="B13" s="1">
        <v>7.0</v>
      </c>
      <c r="C13" s="1">
        <v>2.0</v>
      </c>
      <c r="D13" s="1">
        <v>3.0</v>
      </c>
      <c r="E13">
        <f t="shared" si="2"/>
        <v>3</v>
      </c>
      <c r="F13" t="str">
        <f t="shared" ref="F13:L13" si="28">IF((AND($A13 = "+0",$E13 = F$1)), $C13, "")</f>
        <v/>
      </c>
      <c r="G13" t="str">
        <f t="shared" si="28"/>
        <v/>
      </c>
      <c r="H13">
        <f t="shared" si="28"/>
        <v>2</v>
      </c>
      <c r="I13" t="str">
        <f t="shared" si="28"/>
        <v/>
      </c>
      <c r="J13" t="str">
        <f t="shared" si="28"/>
        <v/>
      </c>
      <c r="K13" t="str">
        <f t="shared" si="28"/>
        <v/>
      </c>
      <c r="L13" t="str">
        <f t="shared" si="28"/>
        <v/>
      </c>
      <c r="M13" t="str">
        <f t="shared" ref="M13:S13" si="29">IF((AND($A13 = "+0",$E13 = M$1)), 2^$D13-$B13, "")</f>
        <v/>
      </c>
      <c r="N13" t="str">
        <f t="shared" si="29"/>
        <v/>
      </c>
      <c r="O13">
        <f t="shared" si="29"/>
        <v>1</v>
      </c>
      <c r="P13" t="str">
        <f t="shared" si="29"/>
        <v/>
      </c>
      <c r="Q13" t="str">
        <f t="shared" si="29"/>
        <v/>
      </c>
      <c r="R13" t="str">
        <f t="shared" si="29"/>
        <v/>
      </c>
      <c r="S13" t="str">
        <f t="shared" si="29"/>
        <v/>
      </c>
      <c r="T13">
        <f t="shared" si="5"/>
        <v>14</v>
      </c>
      <c r="U13" s="25">
        <f t="shared" si="6"/>
        <v>3.5</v>
      </c>
      <c r="V13" s="26">
        <f t="shared" si="7"/>
        <v>0.1428571429</v>
      </c>
      <c r="W13" s="25">
        <f t="shared" si="8"/>
        <v>2.563138656</v>
      </c>
      <c r="X13" s="25">
        <f t="shared" si="9"/>
        <v>2.633138656</v>
      </c>
      <c r="Y13" s="25"/>
      <c r="Z13" s="25"/>
    </row>
    <row r="14">
      <c r="A14" s="1" t="s">
        <v>4</v>
      </c>
      <c r="B14" s="1">
        <v>7.0</v>
      </c>
      <c r="C14" s="1">
        <v>3.0</v>
      </c>
      <c r="D14" s="1">
        <v>3.0</v>
      </c>
      <c r="E14">
        <f t="shared" si="2"/>
        <v>4</v>
      </c>
      <c r="F14" t="str">
        <f t="shared" ref="F14:L14" si="30">IF((AND($A14 = "+0",$E14 = F$1)), $C14, "")</f>
        <v/>
      </c>
      <c r="G14" t="str">
        <f t="shared" si="30"/>
        <v/>
      </c>
      <c r="H14" t="str">
        <f t="shared" si="30"/>
        <v/>
      </c>
      <c r="I14" t="str">
        <f t="shared" si="30"/>
        <v/>
      </c>
      <c r="J14" t="str">
        <f t="shared" si="30"/>
        <v/>
      </c>
      <c r="K14" t="str">
        <f t="shared" si="30"/>
        <v/>
      </c>
      <c r="L14" t="str">
        <f t="shared" si="30"/>
        <v/>
      </c>
      <c r="M14" t="str">
        <f t="shared" ref="M14:S14" si="31">IF((AND($A14 = "+0",$E14 = M$1)), 2^$D14-$B14, "")</f>
        <v/>
      </c>
      <c r="N14" t="str">
        <f t="shared" si="31"/>
        <v/>
      </c>
      <c r="O14" t="str">
        <f t="shared" si="31"/>
        <v/>
      </c>
      <c r="P14" t="str">
        <f t="shared" si="31"/>
        <v/>
      </c>
      <c r="Q14" t="str">
        <f t="shared" si="31"/>
        <v/>
      </c>
      <c r="R14" t="str">
        <f t="shared" si="31"/>
        <v/>
      </c>
      <c r="S14" t="str">
        <f t="shared" si="31"/>
        <v/>
      </c>
      <c r="T14">
        <f t="shared" si="5"/>
        <v>21</v>
      </c>
      <c r="U14" s="25">
        <f t="shared" si="6"/>
        <v>2.333333333</v>
      </c>
      <c r="V14" s="26">
        <f t="shared" si="7"/>
        <v>0.2857142857</v>
      </c>
      <c r="W14" s="25">
        <f t="shared" si="8"/>
        <v>2.95693961</v>
      </c>
      <c r="X14" s="25">
        <f t="shared" si="9"/>
        <v>3.003606277</v>
      </c>
      <c r="Y14" s="25"/>
      <c r="Z14" s="25"/>
    </row>
    <row r="15">
      <c r="A15" s="1" t="s">
        <v>4</v>
      </c>
      <c r="B15" s="1">
        <v>6.0</v>
      </c>
      <c r="C15" s="1">
        <v>3.0</v>
      </c>
      <c r="D15" s="1">
        <v>3.0</v>
      </c>
      <c r="E15">
        <f t="shared" si="2"/>
        <v>4</v>
      </c>
      <c r="F15" t="str">
        <f t="shared" ref="F15:L15" si="32">IF((AND($A15 = "+0",$E15 = F$1)), $C15, "")</f>
        <v/>
      </c>
      <c r="G15" t="str">
        <f t="shared" si="32"/>
        <v/>
      </c>
      <c r="H15" t="str">
        <f t="shared" si="32"/>
        <v/>
      </c>
      <c r="I15" t="str">
        <f t="shared" si="32"/>
        <v/>
      </c>
      <c r="J15" t="str">
        <f t="shared" si="32"/>
        <v/>
      </c>
      <c r="K15" t="str">
        <f t="shared" si="32"/>
        <v/>
      </c>
      <c r="L15" t="str">
        <f t="shared" si="32"/>
        <v/>
      </c>
      <c r="M15" t="str">
        <f t="shared" ref="M15:S15" si="33">IF((AND($A15 = "+0",$E15 = M$1)), 2^$D15-$B15, "")</f>
        <v/>
      </c>
      <c r="N15" t="str">
        <f t="shared" si="33"/>
        <v/>
      </c>
      <c r="O15" t="str">
        <f t="shared" si="33"/>
        <v/>
      </c>
      <c r="P15" t="str">
        <f t="shared" si="33"/>
        <v/>
      </c>
      <c r="Q15" t="str">
        <f t="shared" si="33"/>
        <v/>
      </c>
      <c r="R15" t="str">
        <f t="shared" si="33"/>
        <v/>
      </c>
      <c r="S15" t="str">
        <f t="shared" si="33"/>
        <v/>
      </c>
      <c r="T15">
        <f t="shared" si="5"/>
        <v>18</v>
      </c>
      <c r="U15" s="25">
        <f t="shared" si="6"/>
        <v>2</v>
      </c>
      <c r="V15" s="26">
        <f t="shared" si="7"/>
        <v>0.3333333333</v>
      </c>
      <c r="W15" s="25">
        <f t="shared" si="8"/>
        <v>2.807223436</v>
      </c>
      <c r="X15" s="25">
        <f t="shared" si="9"/>
        <v>2.847223436</v>
      </c>
      <c r="Y15" s="25"/>
      <c r="Z15" s="25"/>
    </row>
    <row r="16">
      <c r="A16" s="1" t="s">
        <v>5</v>
      </c>
      <c r="B16" s="1">
        <v>5.0</v>
      </c>
      <c r="C16" s="1">
        <v>3.0</v>
      </c>
      <c r="D16" s="1">
        <v>3.0</v>
      </c>
      <c r="E16">
        <f t="shared" si="2"/>
        <v>3</v>
      </c>
      <c r="F16" t="str">
        <f t="shared" ref="F16:L16" si="34">IF((AND($A16 = "+0",$E16 = F$1)), $C16, "")</f>
        <v/>
      </c>
      <c r="G16" t="str">
        <f t="shared" si="34"/>
        <v/>
      </c>
      <c r="H16">
        <f t="shared" si="34"/>
        <v>3</v>
      </c>
      <c r="I16" t="str">
        <f t="shared" si="34"/>
        <v/>
      </c>
      <c r="J16" t="str">
        <f t="shared" si="34"/>
        <v/>
      </c>
      <c r="K16" t="str">
        <f t="shared" si="34"/>
        <v/>
      </c>
      <c r="L16" t="str">
        <f t="shared" si="34"/>
        <v/>
      </c>
      <c r="M16" t="str">
        <f t="shared" ref="M16:S16" si="35">IF((AND($A16 = "+0",$E16 = M$1)), 2^$D16-$B16, "")</f>
        <v/>
      </c>
      <c r="N16" t="str">
        <f t="shared" si="35"/>
        <v/>
      </c>
      <c r="O16">
        <f t="shared" si="35"/>
        <v>3</v>
      </c>
      <c r="P16" t="str">
        <f t="shared" si="35"/>
        <v/>
      </c>
      <c r="Q16" t="str">
        <f t="shared" si="35"/>
        <v/>
      </c>
      <c r="R16" t="str">
        <f t="shared" si="35"/>
        <v/>
      </c>
      <c r="S16" t="str">
        <f t="shared" si="35"/>
        <v/>
      </c>
      <c r="T16">
        <f t="shared" si="5"/>
        <v>15</v>
      </c>
      <c r="U16" s="25">
        <f t="shared" si="6"/>
        <v>1.666666667</v>
      </c>
      <c r="V16" s="26">
        <f t="shared" si="7"/>
        <v>0.4</v>
      </c>
      <c r="W16" s="25">
        <f t="shared" si="8"/>
        <v>2.630146786</v>
      </c>
      <c r="X16" s="25">
        <f t="shared" si="9"/>
        <v>2.66348012</v>
      </c>
      <c r="Y16" s="25"/>
      <c r="Z16" s="25"/>
    </row>
    <row r="17">
      <c r="A17" s="1" t="s">
        <v>4</v>
      </c>
      <c r="B17" s="1">
        <v>5.0</v>
      </c>
      <c r="C17" s="1">
        <v>4.0</v>
      </c>
      <c r="D17" s="1">
        <v>3.0</v>
      </c>
      <c r="E17">
        <f t="shared" si="2"/>
        <v>4</v>
      </c>
      <c r="F17" t="str">
        <f t="shared" ref="F17:L17" si="36">IF((AND($A17 = "+0",$E17 = F$1)), $C17, "")</f>
        <v/>
      </c>
      <c r="G17" t="str">
        <f t="shared" si="36"/>
        <v/>
      </c>
      <c r="H17" t="str">
        <f t="shared" si="36"/>
        <v/>
      </c>
      <c r="I17" t="str">
        <f t="shared" si="36"/>
        <v/>
      </c>
      <c r="J17" t="str">
        <f t="shared" si="36"/>
        <v/>
      </c>
      <c r="K17" t="str">
        <f t="shared" si="36"/>
        <v/>
      </c>
      <c r="L17" t="str">
        <f t="shared" si="36"/>
        <v/>
      </c>
      <c r="M17" t="str">
        <f t="shared" ref="M17:S17" si="37">IF((AND($A17 = "+0",$E17 = M$1)), 2^$D17-$B17, "")</f>
        <v/>
      </c>
      <c r="N17" t="str">
        <f t="shared" si="37"/>
        <v/>
      </c>
      <c r="O17" t="str">
        <f t="shared" si="37"/>
        <v/>
      </c>
      <c r="P17" t="str">
        <f t="shared" si="37"/>
        <v/>
      </c>
      <c r="Q17" t="str">
        <f t="shared" si="37"/>
        <v/>
      </c>
      <c r="R17" t="str">
        <f t="shared" si="37"/>
        <v/>
      </c>
      <c r="S17" t="str">
        <f t="shared" si="37"/>
        <v/>
      </c>
      <c r="T17">
        <f t="shared" si="5"/>
        <v>20</v>
      </c>
      <c r="U17" s="25">
        <f t="shared" si="6"/>
        <v>1.25</v>
      </c>
      <c r="V17" s="26">
        <f t="shared" si="7"/>
        <v>0.6</v>
      </c>
      <c r="W17" s="25">
        <f t="shared" si="8"/>
        <v>2.909553009</v>
      </c>
      <c r="X17" s="25">
        <f t="shared" si="9"/>
        <v>2.934553009</v>
      </c>
      <c r="Y17" s="25"/>
      <c r="Z17" s="25"/>
    </row>
    <row r="18">
      <c r="A18" s="1" t="s">
        <v>5</v>
      </c>
      <c r="B18" s="1">
        <v>4.0</v>
      </c>
      <c r="C18" s="1">
        <v>4.0</v>
      </c>
      <c r="D18" s="1">
        <v>3.0</v>
      </c>
      <c r="E18">
        <f t="shared" si="2"/>
        <v>3</v>
      </c>
      <c r="F18" t="str">
        <f t="shared" ref="F18:L18" si="38">IF((AND($A18 = "+0",$E18 = F$1)), $C18, "")</f>
        <v/>
      </c>
      <c r="G18" t="str">
        <f t="shared" si="38"/>
        <v/>
      </c>
      <c r="H18">
        <f t="shared" si="38"/>
        <v>4</v>
      </c>
      <c r="I18" t="str">
        <f t="shared" si="38"/>
        <v/>
      </c>
      <c r="J18" t="str">
        <f t="shared" si="38"/>
        <v/>
      </c>
      <c r="K18" t="str">
        <f t="shared" si="38"/>
        <v/>
      </c>
      <c r="L18" t="str">
        <f t="shared" si="38"/>
        <v/>
      </c>
      <c r="M18" t="str">
        <f t="shared" ref="M18:S18" si="39">IF((AND($A18 = "+0",$E18 = M$1)), 2^$D18-$B18, "")</f>
        <v/>
      </c>
      <c r="N18" t="str">
        <f t="shared" si="39"/>
        <v/>
      </c>
      <c r="O18">
        <f t="shared" si="39"/>
        <v>4</v>
      </c>
      <c r="P18" t="str">
        <f t="shared" si="39"/>
        <v/>
      </c>
      <c r="Q18" t="str">
        <f t="shared" si="39"/>
        <v/>
      </c>
      <c r="R18" t="str">
        <f t="shared" si="39"/>
        <v/>
      </c>
      <c r="S18" t="str">
        <f t="shared" si="39"/>
        <v/>
      </c>
      <c r="T18">
        <f t="shared" si="5"/>
        <v>16</v>
      </c>
      <c r="U18" s="25">
        <f t="shared" si="6"/>
        <v>1</v>
      </c>
      <c r="V18" s="26">
        <f t="shared" si="7"/>
        <v>0.75</v>
      </c>
      <c r="W18" s="25">
        <f t="shared" si="8"/>
        <v>2.692828705</v>
      </c>
      <c r="X18" s="25">
        <f t="shared" si="9"/>
        <v>2.712828705</v>
      </c>
      <c r="Y18" s="25"/>
      <c r="Z18" s="25"/>
    </row>
    <row r="19">
      <c r="A19" s="1" t="s">
        <v>4</v>
      </c>
      <c r="B19" s="1">
        <v>17.0</v>
      </c>
      <c r="C19" s="1">
        <v>1.0</v>
      </c>
      <c r="D19" s="1">
        <v>4.0</v>
      </c>
      <c r="E19">
        <f t="shared" si="2"/>
        <v>5</v>
      </c>
      <c r="F19" t="str">
        <f t="shared" ref="F19:L19" si="40">IF((AND($A19 = "+0",$E19 = F$1)), $C19, "")</f>
        <v/>
      </c>
      <c r="G19" t="str">
        <f t="shared" si="40"/>
        <v/>
      </c>
      <c r="H19" t="str">
        <f t="shared" si="40"/>
        <v/>
      </c>
      <c r="I19" t="str">
        <f t="shared" si="40"/>
        <v/>
      </c>
      <c r="J19" t="str">
        <f t="shared" si="40"/>
        <v/>
      </c>
      <c r="K19" t="str">
        <f t="shared" si="40"/>
        <v/>
      </c>
      <c r="L19" t="str">
        <f t="shared" si="40"/>
        <v/>
      </c>
      <c r="M19" t="str">
        <f t="shared" ref="M19:S19" si="41">IF((AND($A19 = "+0",$E19 = M$1)), 2^$D19-$B19, "")</f>
        <v/>
      </c>
      <c r="N19" t="str">
        <f t="shared" si="41"/>
        <v/>
      </c>
      <c r="O19" t="str">
        <f t="shared" si="41"/>
        <v/>
      </c>
      <c r="P19" t="str">
        <f t="shared" si="41"/>
        <v/>
      </c>
      <c r="Q19" t="str">
        <f t="shared" si="41"/>
        <v/>
      </c>
      <c r="R19" t="str">
        <f t="shared" si="41"/>
        <v/>
      </c>
      <c r="S19" t="str">
        <f t="shared" si="41"/>
        <v/>
      </c>
      <c r="T19">
        <f t="shared" si="5"/>
        <v>17</v>
      </c>
      <c r="U19" s="25">
        <f t="shared" si="6"/>
        <v>17</v>
      </c>
      <c r="V19" s="26">
        <f t="shared" si="7"/>
        <v>0</v>
      </c>
      <c r="W19" s="25">
        <f t="shared" si="8"/>
        <v>2.751709318</v>
      </c>
      <c r="X19" s="25">
        <f t="shared" si="9"/>
        <v>3.091709318</v>
      </c>
      <c r="Y19" s="25"/>
      <c r="Z19" s="25"/>
    </row>
    <row r="20">
      <c r="A20" s="1" t="s">
        <v>5</v>
      </c>
      <c r="B20" s="1">
        <v>16.0</v>
      </c>
      <c r="C20" s="1">
        <v>1.0</v>
      </c>
      <c r="D20" s="1">
        <v>4.0</v>
      </c>
      <c r="E20">
        <f t="shared" si="2"/>
        <v>4</v>
      </c>
      <c r="F20" t="str">
        <f t="shared" ref="F20:L20" si="42">IF((AND($A20 = "+0",$E20 = F$1)), $C20, "")</f>
        <v/>
      </c>
      <c r="G20" t="str">
        <f t="shared" si="42"/>
        <v/>
      </c>
      <c r="H20" t="str">
        <f t="shared" si="42"/>
        <v/>
      </c>
      <c r="I20">
        <f t="shared" si="42"/>
        <v>1</v>
      </c>
      <c r="J20" t="str">
        <f t="shared" si="42"/>
        <v/>
      </c>
      <c r="K20" t="str">
        <f t="shared" si="42"/>
        <v/>
      </c>
      <c r="L20" t="str">
        <f t="shared" si="42"/>
        <v/>
      </c>
      <c r="M20" t="str">
        <f t="shared" ref="M20:S20" si="43">IF((AND($A20 = "+0",$E20 = M$1)), 2^$D20-$B20, "")</f>
        <v/>
      </c>
      <c r="N20" t="str">
        <f t="shared" si="43"/>
        <v/>
      </c>
      <c r="O20" t="str">
        <f t="shared" si="43"/>
        <v/>
      </c>
      <c r="P20">
        <f t="shared" si="43"/>
        <v>0</v>
      </c>
      <c r="Q20" t="str">
        <f t="shared" si="43"/>
        <v/>
      </c>
      <c r="R20" t="str">
        <f t="shared" si="43"/>
        <v/>
      </c>
      <c r="S20" t="str">
        <f t="shared" si="43"/>
        <v/>
      </c>
      <c r="T20">
        <f t="shared" si="5"/>
        <v>16</v>
      </c>
      <c r="U20" s="25">
        <f t="shared" si="6"/>
        <v>16</v>
      </c>
      <c r="V20" s="26">
        <f t="shared" si="7"/>
        <v>0</v>
      </c>
      <c r="W20" s="25">
        <f t="shared" si="8"/>
        <v>2.692828705</v>
      </c>
      <c r="X20" s="25">
        <f t="shared" si="9"/>
        <v>3.012828705</v>
      </c>
      <c r="Y20" s="25"/>
      <c r="Z20" s="25"/>
    </row>
    <row r="21">
      <c r="A21" s="1" t="s">
        <v>4</v>
      </c>
      <c r="B21" s="1">
        <v>16.0</v>
      </c>
      <c r="C21" s="1">
        <v>2.0</v>
      </c>
      <c r="D21" s="1">
        <v>4.0</v>
      </c>
      <c r="E21">
        <f t="shared" si="2"/>
        <v>5</v>
      </c>
      <c r="F21" t="str">
        <f t="shared" ref="F21:L21" si="44">IF((AND($A21 = "+0",$E21 = F$1)), $C21, "")</f>
        <v/>
      </c>
      <c r="G21" t="str">
        <f t="shared" si="44"/>
        <v/>
      </c>
      <c r="H21" t="str">
        <f t="shared" si="44"/>
        <v/>
      </c>
      <c r="I21" t="str">
        <f t="shared" si="44"/>
        <v/>
      </c>
      <c r="J21" t="str">
        <f t="shared" si="44"/>
        <v/>
      </c>
      <c r="K21" t="str">
        <f t="shared" si="44"/>
        <v/>
      </c>
      <c r="L21" t="str">
        <f t="shared" si="44"/>
        <v/>
      </c>
      <c r="M21" t="str">
        <f t="shared" ref="M21:S21" si="45">IF((AND($A21 = "+0",$E21 = M$1)), 2^$D21-$B21, "")</f>
        <v/>
      </c>
      <c r="N21" t="str">
        <f t="shared" si="45"/>
        <v/>
      </c>
      <c r="O21" t="str">
        <f t="shared" si="45"/>
        <v/>
      </c>
      <c r="P21" t="str">
        <f t="shared" si="45"/>
        <v/>
      </c>
      <c r="Q21" t="str">
        <f t="shared" si="45"/>
        <v/>
      </c>
      <c r="R21" t="str">
        <f t="shared" si="45"/>
        <v/>
      </c>
      <c r="S21" t="str">
        <f t="shared" si="45"/>
        <v/>
      </c>
      <c r="T21">
        <f t="shared" si="5"/>
        <v>32</v>
      </c>
      <c r="U21" s="25">
        <f t="shared" si="6"/>
        <v>8</v>
      </c>
      <c r="V21" s="26">
        <f t="shared" si="7"/>
        <v>0.0625</v>
      </c>
      <c r="W21" s="25">
        <f t="shared" si="8"/>
        <v>3.366035882</v>
      </c>
      <c r="X21" s="25">
        <f t="shared" si="9"/>
        <v>3.526035882</v>
      </c>
      <c r="Y21" s="25"/>
      <c r="Z21" s="25"/>
    </row>
    <row r="22">
      <c r="A22" s="1" t="s">
        <v>5</v>
      </c>
      <c r="B22" s="1">
        <v>15.0</v>
      </c>
      <c r="C22" s="1">
        <v>2.0</v>
      </c>
      <c r="D22" s="1">
        <v>4.0</v>
      </c>
      <c r="E22">
        <f t="shared" si="2"/>
        <v>4</v>
      </c>
      <c r="F22" t="str">
        <f t="shared" ref="F22:L22" si="46">IF((AND($A22 = "+0",$E22 = F$1)), $C22, "")</f>
        <v/>
      </c>
      <c r="G22" t="str">
        <f t="shared" si="46"/>
        <v/>
      </c>
      <c r="H22" t="str">
        <f t="shared" si="46"/>
        <v/>
      </c>
      <c r="I22">
        <f t="shared" si="46"/>
        <v>2</v>
      </c>
      <c r="J22" t="str">
        <f t="shared" si="46"/>
        <v/>
      </c>
      <c r="K22" t="str">
        <f t="shared" si="46"/>
        <v/>
      </c>
      <c r="L22" t="str">
        <f t="shared" si="46"/>
        <v/>
      </c>
      <c r="M22" t="str">
        <f t="shared" ref="M22:S22" si="47">IF((AND($A22 = "+0",$E22 = M$1)), 2^$D22-$B22, "")</f>
        <v/>
      </c>
      <c r="N22" t="str">
        <f t="shared" si="47"/>
        <v/>
      </c>
      <c r="O22" t="str">
        <f t="shared" si="47"/>
        <v/>
      </c>
      <c r="P22">
        <f t="shared" si="47"/>
        <v>1</v>
      </c>
      <c r="Q22" t="str">
        <f t="shared" si="47"/>
        <v/>
      </c>
      <c r="R22" t="str">
        <f t="shared" si="47"/>
        <v/>
      </c>
      <c r="S22" t="str">
        <f t="shared" si="47"/>
        <v/>
      </c>
      <c r="T22">
        <f t="shared" si="5"/>
        <v>30</v>
      </c>
      <c r="U22" s="25">
        <f t="shared" si="6"/>
        <v>7.5</v>
      </c>
      <c r="V22" s="26">
        <f t="shared" si="7"/>
        <v>0.06666666667</v>
      </c>
      <c r="W22" s="25">
        <f t="shared" si="8"/>
        <v>3.303353963</v>
      </c>
      <c r="X22" s="25">
        <f t="shared" si="9"/>
        <v>3.453353963</v>
      </c>
      <c r="Y22" s="25"/>
      <c r="Z22" s="25"/>
    </row>
    <row r="23">
      <c r="A23" s="1" t="s">
        <v>4</v>
      </c>
      <c r="B23" s="1">
        <v>15.0</v>
      </c>
      <c r="C23" s="1">
        <v>3.0</v>
      </c>
      <c r="D23" s="1">
        <v>4.0</v>
      </c>
      <c r="E23">
        <f t="shared" si="2"/>
        <v>5</v>
      </c>
      <c r="F23" t="str">
        <f t="shared" ref="F23:L23" si="48">IF((AND($A23 = "+0",$E23 = F$1)), $C23, "")</f>
        <v/>
      </c>
      <c r="G23" t="str">
        <f t="shared" si="48"/>
        <v/>
      </c>
      <c r="H23" t="str">
        <f t="shared" si="48"/>
        <v/>
      </c>
      <c r="I23" t="str">
        <f t="shared" si="48"/>
        <v/>
      </c>
      <c r="J23" t="str">
        <f t="shared" si="48"/>
        <v/>
      </c>
      <c r="K23" t="str">
        <f t="shared" si="48"/>
        <v/>
      </c>
      <c r="L23" t="str">
        <f t="shared" si="48"/>
        <v/>
      </c>
      <c r="M23" t="str">
        <f t="shared" ref="M23:S23" si="49">IF((AND($A23 = "+0",$E23 = M$1)), 2^$D23-$B23, "")</f>
        <v/>
      </c>
      <c r="N23" t="str">
        <f t="shared" si="49"/>
        <v/>
      </c>
      <c r="O23" t="str">
        <f t="shared" si="49"/>
        <v/>
      </c>
      <c r="P23" t="str">
        <f t="shared" si="49"/>
        <v/>
      </c>
      <c r="Q23" t="str">
        <f t="shared" si="49"/>
        <v/>
      </c>
      <c r="R23" t="str">
        <f t="shared" si="49"/>
        <v/>
      </c>
      <c r="S23" t="str">
        <f t="shared" si="49"/>
        <v/>
      </c>
      <c r="T23">
        <f t="shared" si="5"/>
        <v>45</v>
      </c>
      <c r="U23" s="25">
        <f t="shared" si="6"/>
        <v>5</v>
      </c>
      <c r="V23" s="26">
        <f t="shared" si="7"/>
        <v>0.1333333333</v>
      </c>
      <c r="W23" s="25">
        <f t="shared" si="8"/>
        <v>3.697154916</v>
      </c>
      <c r="X23" s="25">
        <f t="shared" si="9"/>
        <v>3.797154916</v>
      </c>
      <c r="Y23" s="25"/>
      <c r="Z23" s="25"/>
    </row>
    <row r="24">
      <c r="A24" s="1" t="s">
        <v>4</v>
      </c>
      <c r="B24" s="1">
        <v>14.0</v>
      </c>
      <c r="C24" s="1">
        <v>3.0</v>
      </c>
      <c r="D24" s="1">
        <v>4.0</v>
      </c>
      <c r="E24">
        <f t="shared" si="2"/>
        <v>5</v>
      </c>
      <c r="F24" t="str">
        <f t="shared" ref="F24:L24" si="50">IF((AND($A24 = "+0",$E24 = F$1)), $C24, "")</f>
        <v/>
      </c>
      <c r="G24" t="str">
        <f t="shared" si="50"/>
        <v/>
      </c>
      <c r="H24" t="str">
        <f t="shared" si="50"/>
        <v/>
      </c>
      <c r="I24" t="str">
        <f t="shared" si="50"/>
        <v/>
      </c>
      <c r="J24" t="str">
        <f t="shared" si="50"/>
        <v/>
      </c>
      <c r="K24" t="str">
        <f t="shared" si="50"/>
        <v/>
      </c>
      <c r="L24" t="str">
        <f t="shared" si="50"/>
        <v/>
      </c>
      <c r="M24" t="str">
        <f t="shared" ref="M24:S24" si="51">IF((AND($A24 = "+0",$E24 = M$1)), 2^$D24-$B24, "")</f>
        <v/>
      </c>
      <c r="N24" t="str">
        <f t="shared" si="51"/>
        <v/>
      </c>
      <c r="O24" t="str">
        <f t="shared" si="51"/>
        <v/>
      </c>
      <c r="P24" t="str">
        <f t="shared" si="51"/>
        <v/>
      </c>
      <c r="Q24" t="str">
        <f t="shared" si="51"/>
        <v/>
      </c>
      <c r="R24" t="str">
        <f t="shared" si="51"/>
        <v/>
      </c>
      <c r="S24" t="str">
        <f t="shared" si="51"/>
        <v/>
      </c>
      <c r="T24">
        <f t="shared" si="5"/>
        <v>42</v>
      </c>
      <c r="U24" s="25">
        <f t="shared" si="6"/>
        <v>4.666666667</v>
      </c>
      <c r="V24" s="26">
        <f t="shared" si="7"/>
        <v>0.1428571429</v>
      </c>
      <c r="W24" s="25">
        <f t="shared" si="8"/>
        <v>3.630146786</v>
      </c>
      <c r="X24" s="25">
        <f t="shared" si="9"/>
        <v>3.72348012</v>
      </c>
      <c r="Y24" s="25"/>
      <c r="Z24" s="25"/>
    </row>
    <row r="25">
      <c r="A25" s="1" t="s">
        <v>4</v>
      </c>
      <c r="B25" s="1">
        <v>13.0</v>
      </c>
      <c r="C25" s="1">
        <v>3.0</v>
      </c>
      <c r="D25" s="1">
        <v>4.0</v>
      </c>
      <c r="E25">
        <f t="shared" si="2"/>
        <v>5</v>
      </c>
      <c r="F25" t="str">
        <f t="shared" ref="F25:L25" si="52">IF((AND($A25 = "+0",$E25 = F$1)), $C25, "")</f>
        <v/>
      </c>
      <c r="G25" t="str">
        <f t="shared" si="52"/>
        <v/>
      </c>
      <c r="H25" t="str">
        <f t="shared" si="52"/>
        <v/>
      </c>
      <c r="I25" t="str">
        <f t="shared" si="52"/>
        <v/>
      </c>
      <c r="J25" t="str">
        <f t="shared" si="52"/>
        <v/>
      </c>
      <c r="K25" t="str">
        <f t="shared" si="52"/>
        <v/>
      </c>
      <c r="L25" t="str">
        <f t="shared" si="52"/>
        <v/>
      </c>
      <c r="M25" t="str">
        <f t="shared" ref="M25:S25" si="53">IF((AND($A25 = "+0",$E25 = M$1)), 2^$D25-$B25, "")</f>
        <v/>
      </c>
      <c r="N25" t="str">
        <f t="shared" si="53"/>
        <v/>
      </c>
      <c r="O25" t="str">
        <f t="shared" si="53"/>
        <v/>
      </c>
      <c r="P25" t="str">
        <f t="shared" si="53"/>
        <v/>
      </c>
      <c r="Q25" t="str">
        <f t="shared" si="53"/>
        <v/>
      </c>
      <c r="R25" t="str">
        <f t="shared" si="53"/>
        <v/>
      </c>
      <c r="S25" t="str">
        <f t="shared" si="53"/>
        <v/>
      </c>
      <c r="T25">
        <f t="shared" si="5"/>
        <v>39</v>
      </c>
      <c r="U25" s="25">
        <f t="shared" si="6"/>
        <v>4.333333333</v>
      </c>
      <c r="V25" s="26">
        <f t="shared" si="7"/>
        <v>0.1538461538</v>
      </c>
      <c r="W25" s="25">
        <f t="shared" si="8"/>
        <v>3.558170704</v>
      </c>
      <c r="X25" s="25">
        <f t="shared" si="9"/>
        <v>3.64483737</v>
      </c>
      <c r="Y25" s="25"/>
      <c r="Z25" s="25"/>
    </row>
    <row r="26">
      <c r="A26" s="1" t="s">
        <v>5</v>
      </c>
      <c r="B26" s="1">
        <v>12.0</v>
      </c>
      <c r="C26" s="1">
        <v>3.0</v>
      </c>
      <c r="D26" s="1">
        <v>4.0</v>
      </c>
      <c r="E26">
        <f t="shared" si="2"/>
        <v>4</v>
      </c>
      <c r="F26" t="str">
        <f t="shared" ref="F26:L26" si="54">IF((AND($A26 = "+0",$E26 = F$1)), $C26, "")</f>
        <v/>
      </c>
      <c r="G26" t="str">
        <f t="shared" si="54"/>
        <v/>
      </c>
      <c r="H26" t="str">
        <f t="shared" si="54"/>
        <v/>
      </c>
      <c r="I26">
        <f t="shared" si="54"/>
        <v>3</v>
      </c>
      <c r="J26" t="str">
        <f t="shared" si="54"/>
        <v/>
      </c>
      <c r="K26" t="str">
        <f t="shared" si="54"/>
        <v/>
      </c>
      <c r="L26" t="str">
        <f t="shared" si="54"/>
        <v/>
      </c>
      <c r="M26" t="str">
        <f t="shared" ref="M26:S26" si="55">IF((AND($A26 = "+0",$E26 = M$1)), 2^$D26-$B26, "")</f>
        <v/>
      </c>
      <c r="N26" t="str">
        <f t="shared" si="55"/>
        <v/>
      </c>
      <c r="O26" t="str">
        <f t="shared" si="55"/>
        <v/>
      </c>
      <c r="P26">
        <f t="shared" si="55"/>
        <v>4</v>
      </c>
      <c r="Q26" t="str">
        <f t="shared" si="55"/>
        <v/>
      </c>
      <c r="R26" t="str">
        <f t="shared" si="55"/>
        <v/>
      </c>
      <c r="S26" t="str">
        <f t="shared" si="55"/>
        <v/>
      </c>
      <c r="T26">
        <f t="shared" si="5"/>
        <v>36</v>
      </c>
      <c r="U26" s="25">
        <f t="shared" si="6"/>
        <v>4</v>
      </c>
      <c r="V26" s="26">
        <f t="shared" si="7"/>
        <v>0.1666666667</v>
      </c>
      <c r="W26" s="25">
        <f t="shared" si="8"/>
        <v>3.480430612</v>
      </c>
      <c r="X26" s="25">
        <f t="shared" si="9"/>
        <v>3.560430612</v>
      </c>
      <c r="Y26" s="25"/>
      <c r="Z26" s="25"/>
    </row>
    <row r="27">
      <c r="A27" s="1" t="s">
        <v>4</v>
      </c>
      <c r="B27" s="1">
        <v>12.0</v>
      </c>
      <c r="C27" s="1">
        <v>4.0</v>
      </c>
      <c r="D27" s="1">
        <v>4.0</v>
      </c>
      <c r="E27">
        <f t="shared" si="2"/>
        <v>5</v>
      </c>
      <c r="F27" t="str">
        <f t="shared" ref="F27:L27" si="56">IF((AND($A27 = "+0",$E27 = F$1)), $C27, "")</f>
        <v/>
      </c>
      <c r="G27" t="str">
        <f t="shared" si="56"/>
        <v/>
      </c>
      <c r="H27" t="str">
        <f t="shared" si="56"/>
        <v/>
      </c>
      <c r="I27" t="str">
        <f t="shared" si="56"/>
        <v/>
      </c>
      <c r="J27" t="str">
        <f t="shared" si="56"/>
        <v/>
      </c>
      <c r="K27" t="str">
        <f t="shared" si="56"/>
        <v/>
      </c>
      <c r="L27" t="str">
        <f t="shared" si="56"/>
        <v/>
      </c>
      <c r="M27" t="str">
        <f t="shared" ref="M27:S27" si="57">IF((AND($A27 = "+0",$E27 = M$1)), 2^$D27-$B27, "")</f>
        <v/>
      </c>
      <c r="N27" t="str">
        <f t="shared" si="57"/>
        <v/>
      </c>
      <c r="O27" t="str">
        <f t="shared" si="57"/>
        <v/>
      </c>
      <c r="P27" t="str">
        <f t="shared" si="57"/>
        <v/>
      </c>
      <c r="Q27" t="str">
        <f t="shared" si="57"/>
        <v/>
      </c>
      <c r="R27" t="str">
        <f t="shared" si="57"/>
        <v/>
      </c>
      <c r="S27" t="str">
        <f t="shared" si="57"/>
        <v/>
      </c>
      <c r="T27">
        <f t="shared" si="5"/>
        <v>48</v>
      </c>
      <c r="U27" s="25">
        <f t="shared" si="6"/>
        <v>3</v>
      </c>
      <c r="V27" s="26">
        <f t="shared" si="7"/>
        <v>0.25</v>
      </c>
      <c r="W27" s="25">
        <f t="shared" si="8"/>
        <v>3.759836835</v>
      </c>
      <c r="X27" s="25">
        <f t="shared" si="9"/>
        <v>3.819836835</v>
      </c>
      <c r="Y27" s="25"/>
      <c r="Z27" s="25"/>
    </row>
    <row r="28">
      <c r="A28" s="1" t="s">
        <v>4</v>
      </c>
      <c r="B28" s="1">
        <v>11.0</v>
      </c>
      <c r="C28" s="1">
        <v>4.0</v>
      </c>
      <c r="D28" s="1">
        <v>4.0</v>
      </c>
      <c r="E28">
        <f t="shared" si="2"/>
        <v>5</v>
      </c>
      <c r="F28" t="str">
        <f t="shared" ref="F28:L28" si="58">IF((AND($A28 = "+0",$E28 = F$1)), $C28, "")</f>
        <v/>
      </c>
      <c r="G28" t="str">
        <f t="shared" si="58"/>
        <v/>
      </c>
      <c r="H28" t="str">
        <f t="shared" si="58"/>
        <v/>
      </c>
      <c r="I28" t="str">
        <f t="shared" si="58"/>
        <v/>
      </c>
      <c r="J28" t="str">
        <f t="shared" si="58"/>
        <v/>
      </c>
      <c r="K28" t="str">
        <f t="shared" si="58"/>
        <v/>
      </c>
      <c r="L28" t="str">
        <f t="shared" si="58"/>
        <v/>
      </c>
      <c r="M28" t="str">
        <f t="shared" ref="M28:S28" si="59">IF((AND($A28 = "+0",$E28 = M$1)), 2^$D28-$B28, "")</f>
        <v/>
      </c>
      <c r="N28" t="str">
        <f t="shared" si="59"/>
        <v/>
      </c>
      <c r="O28" t="str">
        <f t="shared" si="59"/>
        <v/>
      </c>
      <c r="P28" t="str">
        <f t="shared" si="59"/>
        <v/>
      </c>
      <c r="Q28" t="str">
        <f t="shared" si="59"/>
        <v/>
      </c>
      <c r="R28" t="str">
        <f t="shared" si="59"/>
        <v/>
      </c>
      <c r="S28" t="str">
        <f t="shared" si="59"/>
        <v/>
      </c>
      <c r="T28">
        <f t="shared" si="5"/>
        <v>44</v>
      </c>
      <c r="U28" s="25">
        <f t="shared" si="6"/>
        <v>2.75</v>
      </c>
      <c r="V28" s="26">
        <f t="shared" si="7"/>
        <v>0.2727272727</v>
      </c>
      <c r="W28" s="25">
        <f t="shared" si="8"/>
        <v>3.675328544</v>
      </c>
      <c r="X28" s="25">
        <f t="shared" si="9"/>
        <v>3.730328544</v>
      </c>
      <c r="Y28" s="25"/>
      <c r="Z28" s="25"/>
    </row>
    <row r="29">
      <c r="A29" s="1" t="s">
        <v>5</v>
      </c>
      <c r="B29" s="1">
        <v>10.0</v>
      </c>
      <c r="C29" s="1">
        <v>4.0</v>
      </c>
      <c r="D29" s="1">
        <v>4.0</v>
      </c>
      <c r="E29">
        <f t="shared" si="2"/>
        <v>4</v>
      </c>
      <c r="F29" t="str">
        <f t="shared" ref="F29:L29" si="60">IF((AND($A29 = "+0",$E29 = F$1)), $C29, "")</f>
        <v/>
      </c>
      <c r="G29" t="str">
        <f t="shared" si="60"/>
        <v/>
      </c>
      <c r="H29" t="str">
        <f t="shared" si="60"/>
        <v/>
      </c>
      <c r="I29">
        <f t="shared" si="60"/>
        <v>4</v>
      </c>
      <c r="J29" t="str">
        <f t="shared" si="60"/>
        <v/>
      </c>
      <c r="K29" t="str">
        <f t="shared" si="60"/>
        <v/>
      </c>
      <c r="L29" t="str">
        <f t="shared" si="60"/>
        <v/>
      </c>
      <c r="M29" t="str">
        <f t="shared" ref="M29:S29" si="61">IF((AND($A29 = "+0",$E29 = M$1)), 2^$D29-$B29, "")</f>
        <v/>
      </c>
      <c r="N29" t="str">
        <f t="shared" si="61"/>
        <v/>
      </c>
      <c r="O29" t="str">
        <f t="shared" si="61"/>
        <v/>
      </c>
      <c r="P29">
        <f t="shared" si="61"/>
        <v>6</v>
      </c>
      <c r="Q29" t="str">
        <f t="shared" si="61"/>
        <v/>
      </c>
      <c r="R29" t="str">
        <f t="shared" si="61"/>
        <v/>
      </c>
      <c r="S29" t="str">
        <f t="shared" si="61"/>
        <v/>
      </c>
      <c r="T29">
        <f t="shared" si="5"/>
        <v>40</v>
      </c>
      <c r="U29" s="25">
        <f t="shared" si="6"/>
        <v>2.5</v>
      </c>
      <c r="V29" s="26">
        <f t="shared" si="7"/>
        <v>0.3</v>
      </c>
      <c r="W29" s="25">
        <f t="shared" si="8"/>
        <v>3.582760186</v>
      </c>
      <c r="X29" s="25">
        <f t="shared" si="9"/>
        <v>3.632760186</v>
      </c>
      <c r="Y29" s="25"/>
      <c r="Z29" s="25"/>
    </row>
    <row r="30">
      <c r="A30" s="1" t="s">
        <v>4</v>
      </c>
      <c r="B30" s="1">
        <v>10.0</v>
      </c>
      <c r="C30" s="1">
        <v>5.0</v>
      </c>
      <c r="D30" s="1">
        <v>4.0</v>
      </c>
      <c r="E30">
        <f t="shared" si="2"/>
        <v>5</v>
      </c>
      <c r="F30" t="str">
        <f t="shared" ref="F30:L30" si="62">IF((AND($A30 = "+0",$E30 = F$1)), $C30, "")</f>
        <v/>
      </c>
      <c r="G30" t="str">
        <f t="shared" si="62"/>
        <v/>
      </c>
      <c r="H30" t="str">
        <f t="shared" si="62"/>
        <v/>
      </c>
      <c r="I30" t="str">
        <f t="shared" si="62"/>
        <v/>
      </c>
      <c r="J30" t="str">
        <f t="shared" si="62"/>
        <v/>
      </c>
      <c r="K30" t="str">
        <f t="shared" si="62"/>
        <v/>
      </c>
      <c r="L30" t="str">
        <f t="shared" si="62"/>
        <v/>
      </c>
      <c r="M30" t="str">
        <f t="shared" ref="M30:S30" si="63">IF((AND($A30 = "+0",$E30 = M$1)), 2^$D30-$B30, "")</f>
        <v/>
      </c>
      <c r="N30" t="str">
        <f t="shared" si="63"/>
        <v/>
      </c>
      <c r="O30" t="str">
        <f t="shared" si="63"/>
        <v/>
      </c>
      <c r="P30" t="str">
        <f t="shared" si="63"/>
        <v/>
      </c>
      <c r="Q30" t="str">
        <f t="shared" si="63"/>
        <v/>
      </c>
      <c r="R30" t="str">
        <f t="shared" si="63"/>
        <v/>
      </c>
      <c r="S30" t="str">
        <f t="shared" si="63"/>
        <v/>
      </c>
      <c r="T30">
        <f t="shared" si="5"/>
        <v>50</v>
      </c>
      <c r="U30" s="25">
        <f t="shared" si="6"/>
        <v>2</v>
      </c>
      <c r="V30" s="26">
        <f t="shared" si="7"/>
        <v>0.4</v>
      </c>
      <c r="W30" s="25">
        <f t="shared" si="8"/>
        <v>3.799484489</v>
      </c>
      <c r="X30" s="25">
        <f t="shared" si="9"/>
        <v>3.839484489</v>
      </c>
      <c r="Y30" s="25"/>
      <c r="Z30" s="25"/>
    </row>
    <row r="31">
      <c r="A31" s="1" t="s">
        <v>5</v>
      </c>
      <c r="B31" s="1">
        <v>9.0</v>
      </c>
      <c r="C31" s="1">
        <v>5.0</v>
      </c>
      <c r="D31" s="1">
        <v>4.0</v>
      </c>
      <c r="E31">
        <f t="shared" si="2"/>
        <v>4</v>
      </c>
      <c r="F31" t="str">
        <f t="shared" ref="F31:L31" si="64">IF((AND($A31 = "+0",$E31 = F$1)), $C31, "")</f>
        <v/>
      </c>
      <c r="G31" t="str">
        <f t="shared" si="64"/>
        <v/>
      </c>
      <c r="H31" t="str">
        <f t="shared" si="64"/>
        <v/>
      </c>
      <c r="I31">
        <f t="shared" si="64"/>
        <v>5</v>
      </c>
      <c r="J31" t="str">
        <f t="shared" si="64"/>
        <v/>
      </c>
      <c r="K31" t="str">
        <f t="shared" si="64"/>
        <v/>
      </c>
      <c r="L31" t="str">
        <f t="shared" si="64"/>
        <v/>
      </c>
      <c r="M31" t="str">
        <f t="shared" ref="M31:S31" si="65">IF((AND($A31 = "+0",$E31 = M$1)), 2^$D31-$B31, "")</f>
        <v/>
      </c>
      <c r="N31" t="str">
        <f t="shared" si="65"/>
        <v/>
      </c>
      <c r="O31" t="str">
        <f t="shared" si="65"/>
        <v/>
      </c>
      <c r="P31">
        <f t="shared" si="65"/>
        <v>7</v>
      </c>
      <c r="Q31" t="str">
        <f t="shared" si="65"/>
        <v/>
      </c>
      <c r="R31" t="str">
        <f t="shared" si="65"/>
        <v/>
      </c>
      <c r="S31" t="str">
        <f t="shared" si="65"/>
        <v/>
      </c>
      <c r="T31">
        <f t="shared" si="5"/>
        <v>45</v>
      </c>
      <c r="U31" s="25">
        <f t="shared" si="6"/>
        <v>1.8</v>
      </c>
      <c r="V31" s="26">
        <f t="shared" si="7"/>
        <v>0.4444444444</v>
      </c>
      <c r="W31" s="25">
        <f t="shared" si="8"/>
        <v>3.697154916</v>
      </c>
      <c r="X31" s="25">
        <f t="shared" si="9"/>
        <v>3.733154916</v>
      </c>
      <c r="Y31" s="25"/>
      <c r="Z31" s="25"/>
    </row>
    <row r="32">
      <c r="A32" s="1" t="s">
        <v>4</v>
      </c>
      <c r="B32" s="1">
        <v>9.0</v>
      </c>
      <c r="C32" s="1">
        <v>6.0</v>
      </c>
      <c r="D32" s="1">
        <v>4.0</v>
      </c>
      <c r="E32">
        <f t="shared" si="2"/>
        <v>5</v>
      </c>
      <c r="F32" t="str">
        <f t="shared" ref="F32:L32" si="66">IF((AND($A32 = "+0",$E32 = F$1)), $C32, "")</f>
        <v/>
      </c>
      <c r="G32" t="str">
        <f t="shared" si="66"/>
        <v/>
      </c>
      <c r="H32" t="str">
        <f t="shared" si="66"/>
        <v/>
      </c>
      <c r="I32" t="str">
        <f t="shared" si="66"/>
        <v/>
      </c>
      <c r="J32" t="str">
        <f t="shared" si="66"/>
        <v/>
      </c>
      <c r="K32" t="str">
        <f t="shared" si="66"/>
        <v/>
      </c>
      <c r="L32" t="str">
        <f t="shared" si="66"/>
        <v/>
      </c>
      <c r="M32" t="str">
        <f t="shared" ref="M32:S32" si="67">IF((AND($A32 = "+0",$E32 = M$1)), 2^$D32-$B32, "")</f>
        <v/>
      </c>
      <c r="N32" t="str">
        <f t="shared" si="67"/>
        <v/>
      </c>
      <c r="O32" t="str">
        <f t="shared" si="67"/>
        <v/>
      </c>
      <c r="P32" t="str">
        <f t="shared" si="67"/>
        <v/>
      </c>
      <c r="Q32" t="str">
        <f t="shared" si="67"/>
        <v/>
      </c>
      <c r="R32" t="str">
        <f t="shared" si="67"/>
        <v/>
      </c>
      <c r="S32" t="str">
        <f t="shared" si="67"/>
        <v/>
      </c>
      <c r="T32">
        <f t="shared" si="5"/>
        <v>54</v>
      </c>
      <c r="U32" s="25">
        <f t="shared" si="6"/>
        <v>1.5</v>
      </c>
      <c r="V32" s="26">
        <f t="shared" si="7"/>
        <v>0.5555555556</v>
      </c>
      <c r="W32" s="25">
        <f t="shared" si="8"/>
        <v>3.874231566</v>
      </c>
      <c r="X32" s="25">
        <f t="shared" si="9"/>
        <v>3.904231566</v>
      </c>
      <c r="Y32" s="25"/>
      <c r="Z32" s="25"/>
    </row>
    <row r="33">
      <c r="A33" s="1" t="s">
        <v>4</v>
      </c>
      <c r="B33" s="1">
        <v>8.0</v>
      </c>
      <c r="C33" s="1">
        <v>6.0</v>
      </c>
      <c r="D33" s="1">
        <v>4.0</v>
      </c>
      <c r="E33">
        <f t="shared" si="2"/>
        <v>5</v>
      </c>
      <c r="F33" t="str">
        <f t="shared" ref="F33:L33" si="68">IF((AND($A33 = "+0",$E33 = F$1)), $C33, "")</f>
        <v/>
      </c>
      <c r="G33" t="str">
        <f t="shared" si="68"/>
        <v/>
      </c>
      <c r="H33" t="str">
        <f t="shared" si="68"/>
        <v/>
      </c>
      <c r="I33" t="str">
        <f t="shared" si="68"/>
        <v/>
      </c>
      <c r="J33" t="str">
        <f t="shared" si="68"/>
        <v/>
      </c>
      <c r="K33" t="str">
        <f t="shared" si="68"/>
        <v/>
      </c>
      <c r="L33" t="str">
        <f t="shared" si="68"/>
        <v/>
      </c>
      <c r="M33" t="str">
        <f t="shared" ref="M33:S33" si="69">IF((AND($A33 = "+0",$E33 = M$1)), 2^$D33-$B33, "")</f>
        <v/>
      </c>
      <c r="N33" t="str">
        <f t="shared" si="69"/>
        <v/>
      </c>
      <c r="O33" t="str">
        <f t="shared" si="69"/>
        <v/>
      </c>
      <c r="P33" t="str">
        <f t="shared" si="69"/>
        <v/>
      </c>
      <c r="Q33" t="str">
        <f t="shared" si="69"/>
        <v/>
      </c>
      <c r="R33" t="str">
        <f t="shared" si="69"/>
        <v/>
      </c>
      <c r="S33" t="str">
        <f t="shared" si="69"/>
        <v/>
      </c>
      <c r="T33">
        <f t="shared" si="5"/>
        <v>48</v>
      </c>
      <c r="U33" s="25">
        <f t="shared" si="6"/>
        <v>1.333333333</v>
      </c>
      <c r="V33" s="26">
        <f t="shared" si="7"/>
        <v>0.625</v>
      </c>
      <c r="W33" s="25">
        <f t="shared" si="8"/>
        <v>3.759836835</v>
      </c>
      <c r="X33" s="25">
        <f t="shared" si="9"/>
        <v>3.786503502</v>
      </c>
      <c r="Y33" s="25"/>
      <c r="Z33" s="25"/>
    </row>
    <row r="34">
      <c r="A34" s="1" t="s">
        <v>5</v>
      </c>
      <c r="B34" s="1">
        <v>7.0</v>
      </c>
      <c r="C34" s="1">
        <v>6.0</v>
      </c>
      <c r="D34" s="1">
        <v>4.0</v>
      </c>
      <c r="E34">
        <f t="shared" si="2"/>
        <v>4</v>
      </c>
      <c r="F34" t="str">
        <f t="shared" ref="F34:L34" si="70">IF((AND($A34 = "+0",$E34 = F$1)), $C34, "")</f>
        <v/>
      </c>
      <c r="G34" t="str">
        <f t="shared" si="70"/>
        <v/>
      </c>
      <c r="H34" t="str">
        <f t="shared" si="70"/>
        <v/>
      </c>
      <c r="I34">
        <f t="shared" si="70"/>
        <v>6</v>
      </c>
      <c r="J34" t="str">
        <f t="shared" si="70"/>
        <v/>
      </c>
      <c r="K34" t="str">
        <f t="shared" si="70"/>
        <v/>
      </c>
      <c r="L34" t="str">
        <f t="shared" si="70"/>
        <v/>
      </c>
      <c r="M34" t="str">
        <f t="shared" ref="M34:S34" si="71">IF((AND($A34 = "+0",$E34 = M$1)), 2^$D34-$B34, "")</f>
        <v/>
      </c>
      <c r="N34" t="str">
        <f t="shared" si="71"/>
        <v/>
      </c>
      <c r="O34" t="str">
        <f t="shared" si="71"/>
        <v/>
      </c>
      <c r="P34">
        <f t="shared" si="71"/>
        <v>9</v>
      </c>
      <c r="Q34" t="str">
        <f t="shared" si="71"/>
        <v/>
      </c>
      <c r="R34" t="str">
        <f t="shared" si="71"/>
        <v/>
      </c>
      <c r="S34" t="str">
        <f t="shared" si="71"/>
        <v/>
      </c>
      <c r="T34">
        <f t="shared" si="5"/>
        <v>42</v>
      </c>
      <c r="U34" s="25">
        <f t="shared" si="6"/>
        <v>1.166666667</v>
      </c>
      <c r="V34" s="26">
        <f t="shared" si="7"/>
        <v>0.7142857143</v>
      </c>
      <c r="W34" s="25">
        <f t="shared" si="8"/>
        <v>3.630146786</v>
      </c>
      <c r="X34" s="25">
        <f t="shared" si="9"/>
        <v>3.65348012</v>
      </c>
      <c r="Y34" s="25"/>
      <c r="Z34" s="25"/>
    </row>
    <row r="35">
      <c r="A35" s="1" t="s">
        <v>4</v>
      </c>
      <c r="B35" s="1">
        <v>7.0</v>
      </c>
      <c r="C35" s="1">
        <v>7.0</v>
      </c>
      <c r="D35" s="1">
        <v>4.0</v>
      </c>
      <c r="E35">
        <f t="shared" si="2"/>
        <v>5</v>
      </c>
      <c r="F35" t="str">
        <f t="shared" ref="F35:L35" si="72">IF((AND($A35 = "+0",$E35 = F$1)), $C35, "")</f>
        <v/>
      </c>
      <c r="G35" t="str">
        <f t="shared" si="72"/>
        <v/>
      </c>
      <c r="H35" t="str">
        <f t="shared" si="72"/>
        <v/>
      </c>
      <c r="I35" t="str">
        <f t="shared" si="72"/>
        <v/>
      </c>
      <c r="J35" t="str">
        <f t="shared" si="72"/>
        <v/>
      </c>
      <c r="K35" t="str">
        <f t="shared" si="72"/>
        <v/>
      </c>
      <c r="L35" t="str">
        <f t="shared" si="72"/>
        <v/>
      </c>
      <c r="M35" t="str">
        <f t="shared" ref="M35:S35" si="73">IF((AND($A35 = "+0",$E35 = M$1)), 2^$D35-$B35, "")</f>
        <v/>
      </c>
      <c r="N35" t="str">
        <f t="shared" si="73"/>
        <v/>
      </c>
      <c r="O35" t="str">
        <f t="shared" si="73"/>
        <v/>
      </c>
      <c r="P35" t="str">
        <f t="shared" si="73"/>
        <v/>
      </c>
      <c r="Q35" t="str">
        <f t="shared" si="73"/>
        <v/>
      </c>
      <c r="R35" t="str">
        <f t="shared" si="73"/>
        <v/>
      </c>
      <c r="S35" t="str">
        <f t="shared" si="73"/>
        <v/>
      </c>
      <c r="T35">
        <f t="shared" si="5"/>
        <v>49</v>
      </c>
      <c r="U35" s="25">
        <f t="shared" si="6"/>
        <v>1</v>
      </c>
      <c r="V35" s="26">
        <f t="shared" si="7"/>
        <v>0.8571428571</v>
      </c>
      <c r="W35" s="25">
        <f t="shared" si="8"/>
        <v>3.77986296</v>
      </c>
      <c r="X35" s="25">
        <f t="shared" si="9"/>
        <v>3.79986296</v>
      </c>
      <c r="Y35" s="25"/>
      <c r="Z35" s="25"/>
    </row>
    <row r="36">
      <c r="A36" s="1" t="s">
        <v>4</v>
      </c>
      <c r="B36" s="1">
        <v>33.0</v>
      </c>
      <c r="C36" s="1">
        <v>1.0</v>
      </c>
      <c r="D36" s="1">
        <v>5.0</v>
      </c>
      <c r="E36">
        <f t="shared" si="2"/>
        <v>6</v>
      </c>
      <c r="F36" t="str">
        <f t="shared" ref="F36:L36" si="74">IF((AND($A36 = "+0",$E36 = F$1)), $C36, "")</f>
        <v/>
      </c>
      <c r="G36" t="str">
        <f t="shared" si="74"/>
        <v/>
      </c>
      <c r="H36" t="str">
        <f t="shared" si="74"/>
        <v/>
      </c>
      <c r="I36" t="str">
        <f t="shared" si="74"/>
        <v/>
      </c>
      <c r="J36" t="str">
        <f t="shared" si="74"/>
        <v/>
      </c>
      <c r="K36" t="str">
        <f t="shared" si="74"/>
        <v/>
      </c>
      <c r="L36" t="str">
        <f t="shared" si="74"/>
        <v/>
      </c>
      <c r="M36" t="str">
        <f t="shared" ref="M36:S36" si="75">IF((AND($A36 = "+0",$E36 = M$1)), 2^$D36-$B36, "")</f>
        <v/>
      </c>
      <c r="N36" t="str">
        <f t="shared" si="75"/>
        <v/>
      </c>
      <c r="O36" t="str">
        <f t="shared" si="75"/>
        <v/>
      </c>
      <c r="P36" t="str">
        <f t="shared" si="75"/>
        <v/>
      </c>
      <c r="Q36" t="str">
        <f t="shared" si="75"/>
        <v/>
      </c>
      <c r="R36" t="str">
        <f t="shared" si="75"/>
        <v/>
      </c>
      <c r="S36" t="str">
        <f t="shared" si="75"/>
        <v/>
      </c>
      <c r="T36">
        <f t="shared" si="5"/>
        <v>33</v>
      </c>
      <c r="U36" s="25">
        <f t="shared" si="6"/>
        <v>33</v>
      </c>
      <c r="V36" s="26">
        <f t="shared" si="7"/>
        <v>0</v>
      </c>
      <c r="W36" s="25">
        <f t="shared" si="8"/>
        <v>3.395922322</v>
      </c>
      <c r="X36" s="25">
        <f t="shared" si="9"/>
        <v>4.055922322</v>
      </c>
      <c r="Y36" s="25"/>
      <c r="Z36" s="25"/>
    </row>
    <row r="37">
      <c r="A37" s="1" t="s">
        <v>5</v>
      </c>
      <c r="B37" s="1">
        <v>32.0</v>
      </c>
      <c r="C37" s="1">
        <v>1.0</v>
      </c>
      <c r="D37" s="1">
        <v>5.0</v>
      </c>
      <c r="E37">
        <f t="shared" si="2"/>
        <v>5</v>
      </c>
      <c r="F37" t="str">
        <f t="shared" ref="F37:L37" si="76">IF((AND($A37 = "+0",$E37 = F$1)), $C37, "")</f>
        <v/>
      </c>
      <c r="G37" t="str">
        <f t="shared" si="76"/>
        <v/>
      </c>
      <c r="H37" t="str">
        <f t="shared" si="76"/>
        <v/>
      </c>
      <c r="I37" t="str">
        <f t="shared" si="76"/>
        <v/>
      </c>
      <c r="J37">
        <f t="shared" si="76"/>
        <v>1</v>
      </c>
      <c r="K37" t="str">
        <f t="shared" si="76"/>
        <v/>
      </c>
      <c r="L37" t="str">
        <f t="shared" si="76"/>
        <v/>
      </c>
      <c r="M37" t="str">
        <f t="shared" ref="M37:S37" si="77">IF((AND($A37 = "+0",$E37 = M$1)), 2^$D37-$B37, "")</f>
        <v/>
      </c>
      <c r="N37" t="str">
        <f t="shared" si="77"/>
        <v/>
      </c>
      <c r="O37" t="str">
        <f t="shared" si="77"/>
        <v/>
      </c>
      <c r="P37" t="str">
        <f t="shared" si="77"/>
        <v/>
      </c>
      <c r="Q37">
        <f t="shared" si="77"/>
        <v>0</v>
      </c>
      <c r="R37" t="str">
        <f t="shared" si="77"/>
        <v/>
      </c>
      <c r="S37" t="str">
        <f t="shared" si="77"/>
        <v/>
      </c>
      <c r="T37">
        <f t="shared" si="5"/>
        <v>32</v>
      </c>
      <c r="U37" s="25">
        <f t="shared" si="6"/>
        <v>32</v>
      </c>
      <c r="V37" s="26">
        <f t="shared" si="7"/>
        <v>0</v>
      </c>
      <c r="W37" s="25">
        <f t="shared" si="8"/>
        <v>3.366035882</v>
      </c>
      <c r="X37" s="25">
        <f t="shared" si="9"/>
        <v>4.006035882</v>
      </c>
      <c r="Y37" s="25"/>
      <c r="Z37" s="25"/>
    </row>
    <row r="38">
      <c r="A38" s="1" t="s">
        <v>4</v>
      </c>
      <c r="B38" s="1">
        <v>32.0</v>
      </c>
      <c r="C38" s="1">
        <v>2.0</v>
      </c>
      <c r="D38" s="1">
        <v>5.0</v>
      </c>
      <c r="E38">
        <f t="shared" si="2"/>
        <v>6</v>
      </c>
      <c r="F38" t="str">
        <f t="shared" ref="F38:L38" si="78">IF((AND($A38 = "+0",$E38 = F$1)), $C38, "")</f>
        <v/>
      </c>
      <c r="G38" t="str">
        <f t="shared" si="78"/>
        <v/>
      </c>
      <c r="H38" t="str">
        <f t="shared" si="78"/>
        <v/>
      </c>
      <c r="I38" t="str">
        <f t="shared" si="78"/>
        <v/>
      </c>
      <c r="J38" t="str">
        <f t="shared" si="78"/>
        <v/>
      </c>
      <c r="K38" t="str">
        <f t="shared" si="78"/>
        <v/>
      </c>
      <c r="L38" t="str">
        <f t="shared" si="78"/>
        <v/>
      </c>
      <c r="M38" t="str">
        <f t="shared" ref="M38:S38" si="79">IF((AND($A38 = "+0",$E38 = M$1)), 2^$D38-$B38, "")</f>
        <v/>
      </c>
      <c r="N38" t="str">
        <f t="shared" si="79"/>
        <v/>
      </c>
      <c r="O38" t="str">
        <f t="shared" si="79"/>
        <v/>
      </c>
      <c r="P38" t="str">
        <f t="shared" si="79"/>
        <v/>
      </c>
      <c r="Q38" t="str">
        <f t="shared" si="79"/>
        <v/>
      </c>
      <c r="R38" t="str">
        <f t="shared" si="79"/>
        <v/>
      </c>
      <c r="S38" t="str">
        <f t="shared" si="79"/>
        <v/>
      </c>
      <c r="T38">
        <f t="shared" si="5"/>
        <v>64</v>
      </c>
      <c r="U38" s="25">
        <f t="shared" si="6"/>
        <v>16</v>
      </c>
      <c r="V38" s="26">
        <f t="shared" si="7"/>
        <v>0.03125</v>
      </c>
      <c r="W38" s="25">
        <f t="shared" si="8"/>
        <v>4.039243058</v>
      </c>
      <c r="X38" s="25">
        <f t="shared" si="9"/>
        <v>4.359243058</v>
      </c>
      <c r="Y38" s="25"/>
      <c r="Z38" s="25"/>
    </row>
    <row r="39">
      <c r="A39" s="1" t="s">
        <v>5</v>
      </c>
      <c r="B39" s="1">
        <v>31.0</v>
      </c>
      <c r="C39" s="1">
        <v>2.0</v>
      </c>
      <c r="D39" s="1">
        <v>5.0</v>
      </c>
      <c r="E39">
        <f t="shared" si="2"/>
        <v>5</v>
      </c>
      <c r="F39" t="str">
        <f t="shared" ref="F39:L39" si="80">IF((AND($A39 = "+0",$E39 = F$1)), $C39, "")</f>
        <v/>
      </c>
      <c r="G39" t="str">
        <f t="shared" si="80"/>
        <v/>
      </c>
      <c r="H39" t="str">
        <f t="shared" si="80"/>
        <v/>
      </c>
      <c r="I39" t="str">
        <f t="shared" si="80"/>
        <v/>
      </c>
      <c r="J39">
        <f t="shared" si="80"/>
        <v>2</v>
      </c>
      <c r="K39" t="str">
        <f t="shared" si="80"/>
        <v/>
      </c>
      <c r="L39" t="str">
        <f t="shared" si="80"/>
        <v/>
      </c>
      <c r="M39" t="str">
        <f t="shared" ref="M39:S39" si="81">IF((AND($A39 = "+0",$E39 = M$1)), 2^$D39-$B39, "")</f>
        <v/>
      </c>
      <c r="N39" t="str">
        <f t="shared" si="81"/>
        <v/>
      </c>
      <c r="O39" t="str">
        <f t="shared" si="81"/>
        <v/>
      </c>
      <c r="P39" t="str">
        <f t="shared" si="81"/>
        <v/>
      </c>
      <c r="Q39">
        <f t="shared" si="81"/>
        <v>1</v>
      </c>
      <c r="R39" t="str">
        <f t="shared" si="81"/>
        <v/>
      </c>
      <c r="S39" t="str">
        <f t="shared" si="81"/>
        <v/>
      </c>
      <c r="T39">
        <f t="shared" si="5"/>
        <v>62</v>
      </c>
      <c r="U39" s="25">
        <f t="shared" si="6"/>
        <v>15.5</v>
      </c>
      <c r="V39" s="26">
        <f t="shared" si="7"/>
        <v>0.03225806452</v>
      </c>
      <c r="W39" s="25">
        <f t="shared" si="8"/>
        <v>4.008407686</v>
      </c>
      <c r="X39" s="25">
        <f t="shared" si="9"/>
        <v>4.318407686</v>
      </c>
      <c r="Y39" s="25"/>
      <c r="Z39" s="25"/>
    </row>
    <row r="40">
      <c r="A40" s="1" t="s">
        <v>4</v>
      </c>
      <c r="B40" s="1">
        <v>31.0</v>
      </c>
      <c r="C40" s="1">
        <v>3.0</v>
      </c>
      <c r="D40" s="1">
        <v>5.0</v>
      </c>
      <c r="E40">
        <f t="shared" si="2"/>
        <v>6</v>
      </c>
      <c r="F40" t="str">
        <f t="shared" ref="F40:L40" si="82">IF((AND($A40 = "+0",$E40 = F$1)), $C40, "")</f>
        <v/>
      </c>
      <c r="G40" t="str">
        <f t="shared" si="82"/>
        <v/>
      </c>
      <c r="H40" t="str">
        <f t="shared" si="82"/>
        <v/>
      </c>
      <c r="I40" t="str">
        <f t="shared" si="82"/>
        <v/>
      </c>
      <c r="J40" t="str">
        <f t="shared" si="82"/>
        <v/>
      </c>
      <c r="K40" t="str">
        <f t="shared" si="82"/>
        <v/>
      </c>
      <c r="L40" t="str">
        <f t="shared" si="82"/>
        <v/>
      </c>
      <c r="M40" t="str">
        <f t="shared" ref="M40:S40" si="83">IF((AND($A40 = "+0",$E40 = M$1)), 2^$D40-$B40, "")</f>
        <v/>
      </c>
      <c r="N40" t="str">
        <f t="shared" si="83"/>
        <v/>
      </c>
      <c r="O40" t="str">
        <f t="shared" si="83"/>
        <v/>
      </c>
      <c r="P40" t="str">
        <f t="shared" si="83"/>
        <v/>
      </c>
      <c r="Q40" t="str">
        <f t="shared" si="83"/>
        <v/>
      </c>
      <c r="R40" t="str">
        <f t="shared" si="83"/>
        <v/>
      </c>
      <c r="S40" t="str">
        <f t="shared" si="83"/>
        <v/>
      </c>
      <c r="T40">
        <f t="shared" si="5"/>
        <v>93</v>
      </c>
      <c r="U40" s="25">
        <f t="shared" si="6"/>
        <v>10.33333333</v>
      </c>
      <c r="V40" s="26">
        <f t="shared" si="7"/>
        <v>0.06451612903</v>
      </c>
      <c r="W40" s="25">
        <f t="shared" si="8"/>
        <v>4.402208639</v>
      </c>
      <c r="X40" s="25">
        <f t="shared" si="9"/>
        <v>4.608875306</v>
      </c>
      <c r="Y40" s="25"/>
      <c r="Z40" s="25"/>
    </row>
    <row r="41">
      <c r="A41" s="1" t="s">
        <v>4</v>
      </c>
      <c r="B41" s="1">
        <v>30.0</v>
      </c>
      <c r="C41" s="1">
        <v>3.0</v>
      </c>
      <c r="D41" s="1">
        <v>5.0</v>
      </c>
      <c r="E41">
        <f t="shared" si="2"/>
        <v>6</v>
      </c>
      <c r="F41" t="str">
        <f t="shared" ref="F41:L41" si="84">IF((AND($A41 = "+0",$E41 = F$1)), $C41, "")</f>
        <v/>
      </c>
      <c r="G41" t="str">
        <f t="shared" si="84"/>
        <v/>
      </c>
      <c r="H41" t="str">
        <f t="shared" si="84"/>
        <v/>
      </c>
      <c r="I41" t="str">
        <f t="shared" si="84"/>
        <v/>
      </c>
      <c r="J41" t="str">
        <f t="shared" si="84"/>
        <v/>
      </c>
      <c r="K41" t="str">
        <f t="shared" si="84"/>
        <v/>
      </c>
      <c r="L41" t="str">
        <f t="shared" si="84"/>
        <v/>
      </c>
      <c r="M41" t="str">
        <f t="shared" ref="M41:S41" si="85">IF((AND($A41 = "+0",$E41 = M$1)), 2^$D41-$B41, "")</f>
        <v/>
      </c>
      <c r="N41" t="str">
        <f t="shared" si="85"/>
        <v/>
      </c>
      <c r="O41" t="str">
        <f t="shared" si="85"/>
        <v/>
      </c>
      <c r="P41" t="str">
        <f t="shared" si="85"/>
        <v/>
      </c>
      <c r="Q41" t="str">
        <f t="shared" si="85"/>
        <v/>
      </c>
      <c r="R41" t="str">
        <f t="shared" si="85"/>
        <v/>
      </c>
      <c r="S41" t="str">
        <f t="shared" si="85"/>
        <v/>
      </c>
      <c r="T41">
        <f t="shared" si="5"/>
        <v>90</v>
      </c>
      <c r="U41" s="25">
        <f t="shared" si="6"/>
        <v>10</v>
      </c>
      <c r="V41" s="26">
        <f t="shared" si="7"/>
        <v>0.06666666667</v>
      </c>
      <c r="W41" s="25">
        <f t="shared" si="8"/>
        <v>4.370362092</v>
      </c>
      <c r="X41" s="25">
        <f t="shared" si="9"/>
        <v>4.570362092</v>
      </c>
      <c r="Y41" s="25"/>
      <c r="Z41" s="25"/>
    </row>
    <row r="42">
      <c r="A42" s="1" t="s">
        <v>4</v>
      </c>
      <c r="B42" s="1">
        <v>29.0</v>
      </c>
      <c r="C42" s="1">
        <v>3.0</v>
      </c>
      <c r="D42" s="1">
        <v>5.0</v>
      </c>
      <c r="E42">
        <f t="shared" si="2"/>
        <v>6</v>
      </c>
      <c r="F42" t="str">
        <f t="shared" ref="F42:L42" si="86">IF((AND($A42 = "+0",$E42 = F$1)), $C42, "")</f>
        <v/>
      </c>
      <c r="G42" t="str">
        <f t="shared" si="86"/>
        <v/>
      </c>
      <c r="H42" t="str">
        <f t="shared" si="86"/>
        <v/>
      </c>
      <c r="I42" t="str">
        <f t="shared" si="86"/>
        <v/>
      </c>
      <c r="J42" t="str">
        <f t="shared" si="86"/>
        <v/>
      </c>
      <c r="K42" t="str">
        <f t="shared" si="86"/>
        <v/>
      </c>
      <c r="L42" t="str">
        <f t="shared" si="86"/>
        <v/>
      </c>
      <c r="M42" t="str">
        <f t="shared" ref="M42:S42" si="87">IF((AND($A42 = "+0",$E42 = M$1)), 2^$D42-$B42, "")</f>
        <v/>
      </c>
      <c r="N42" t="str">
        <f t="shared" si="87"/>
        <v/>
      </c>
      <c r="O42" t="str">
        <f t="shared" si="87"/>
        <v/>
      </c>
      <c r="P42" t="str">
        <f t="shared" si="87"/>
        <v/>
      </c>
      <c r="Q42" t="str">
        <f t="shared" si="87"/>
        <v/>
      </c>
      <c r="R42" t="str">
        <f t="shared" si="87"/>
        <v/>
      </c>
      <c r="S42" t="str">
        <f t="shared" si="87"/>
        <v/>
      </c>
      <c r="T42">
        <f t="shared" si="5"/>
        <v>87</v>
      </c>
      <c r="U42" s="25">
        <f t="shared" si="6"/>
        <v>9.666666667</v>
      </c>
      <c r="V42" s="26">
        <f t="shared" si="7"/>
        <v>0.06896551724</v>
      </c>
      <c r="W42" s="25">
        <f t="shared" si="8"/>
        <v>4.337435798</v>
      </c>
      <c r="X42" s="25">
        <f t="shared" si="9"/>
        <v>4.530769132</v>
      </c>
      <c r="Y42" s="25"/>
      <c r="Z42" s="25"/>
    </row>
    <row r="43">
      <c r="A43" s="1" t="s">
        <v>4</v>
      </c>
      <c r="B43" s="1">
        <v>28.0</v>
      </c>
      <c r="C43" s="1">
        <v>3.0</v>
      </c>
      <c r="D43" s="1">
        <v>5.0</v>
      </c>
      <c r="E43">
        <f t="shared" si="2"/>
        <v>6</v>
      </c>
      <c r="F43" t="str">
        <f t="shared" ref="F43:L43" si="88">IF((AND($A43 = "+0",$E43 = F$1)), $C43, "")</f>
        <v/>
      </c>
      <c r="G43" t="str">
        <f t="shared" si="88"/>
        <v/>
      </c>
      <c r="H43" t="str">
        <f t="shared" si="88"/>
        <v/>
      </c>
      <c r="I43" t="str">
        <f t="shared" si="88"/>
        <v/>
      </c>
      <c r="J43" t="str">
        <f t="shared" si="88"/>
        <v/>
      </c>
      <c r="K43" t="str">
        <f t="shared" si="88"/>
        <v/>
      </c>
      <c r="L43" t="str">
        <f t="shared" si="88"/>
        <v/>
      </c>
      <c r="M43" t="str">
        <f t="shared" ref="M43:S43" si="89">IF((AND($A43 = "+0",$E43 = M$1)), 2^$D43-$B43, "")</f>
        <v/>
      </c>
      <c r="N43" t="str">
        <f t="shared" si="89"/>
        <v/>
      </c>
      <c r="O43" t="str">
        <f t="shared" si="89"/>
        <v/>
      </c>
      <c r="P43" t="str">
        <f t="shared" si="89"/>
        <v/>
      </c>
      <c r="Q43" t="str">
        <f t="shared" si="89"/>
        <v/>
      </c>
      <c r="R43" t="str">
        <f t="shared" si="89"/>
        <v/>
      </c>
      <c r="S43" t="str">
        <f t="shared" si="89"/>
        <v/>
      </c>
      <c r="T43">
        <f t="shared" si="5"/>
        <v>84</v>
      </c>
      <c r="U43" s="25">
        <f t="shared" si="6"/>
        <v>9.333333333</v>
      </c>
      <c r="V43" s="26">
        <f t="shared" si="7"/>
        <v>0.07142857143</v>
      </c>
      <c r="W43" s="25">
        <f t="shared" si="8"/>
        <v>4.303353963</v>
      </c>
      <c r="X43" s="25">
        <f t="shared" si="9"/>
        <v>4.490020629</v>
      </c>
      <c r="Y43" s="25"/>
      <c r="Z43" s="25"/>
    </row>
    <row r="44">
      <c r="A44" s="1" t="s">
        <v>5</v>
      </c>
      <c r="B44" s="1">
        <v>27.0</v>
      </c>
      <c r="C44" s="1">
        <v>3.0</v>
      </c>
      <c r="D44" s="1">
        <v>5.0</v>
      </c>
      <c r="E44">
        <f t="shared" si="2"/>
        <v>5</v>
      </c>
      <c r="F44" t="str">
        <f t="shared" ref="F44:L44" si="90">IF((AND($A44 = "+0",$E44 = F$1)), $C44, "")</f>
        <v/>
      </c>
      <c r="G44" t="str">
        <f t="shared" si="90"/>
        <v/>
      </c>
      <c r="H44" t="str">
        <f t="shared" si="90"/>
        <v/>
      </c>
      <c r="I44" t="str">
        <f t="shared" si="90"/>
        <v/>
      </c>
      <c r="J44">
        <f t="shared" si="90"/>
        <v>3</v>
      </c>
      <c r="K44" t="str">
        <f t="shared" si="90"/>
        <v/>
      </c>
      <c r="L44" t="str">
        <f t="shared" si="90"/>
        <v/>
      </c>
      <c r="M44" t="str">
        <f t="shared" ref="M44:S44" si="91">IF((AND($A44 = "+0",$E44 = M$1)), 2^$D44-$B44, "")</f>
        <v/>
      </c>
      <c r="N44" t="str">
        <f t="shared" si="91"/>
        <v/>
      </c>
      <c r="O44" t="str">
        <f t="shared" si="91"/>
        <v/>
      </c>
      <c r="P44" t="str">
        <f t="shared" si="91"/>
        <v/>
      </c>
      <c r="Q44">
        <f t="shared" si="91"/>
        <v>5</v>
      </c>
      <c r="R44" t="str">
        <f t="shared" si="91"/>
        <v/>
      </c>
      <c r="S44" t="str">
        <f t="shared" si="91"/>
        <v/>
      </c>
      <c r="T44">
        <f t="shared" si="5"/>
        <v>81</v>
      </c>
      <c r="U44" s="25">
        <f t="shared" si="6"/>
        <v>9</v>
      </c>
      <c r="V44" s="26">
        <f t="shared" si="7"/>
        <v>0.07407407407</v>
      </c>
      <c r="W44" s="25">
        <f t="shared" si="8"/>
        <v>4.268032519</v>
      </c>
      <c r="X44" s="25">
        <f t="shared" si="9"/>
        <v>4.448032519</v>
      </c>
      <c r="Y44" s="25"/>
      <c r="Z44" s="25"/>
    </row>
    <row r="45">
      <c r="A45" s="1" t="s">
        <v>4</v>
      </c>
      <c r="B45" s="1">
        <v>27.0</v>
      </c>
      <c r="C45" s="1">
        <v>4.0</v>
      </c>
      <c r="D45" s="1">
        <v>5.0</v>
      </c>
      <c r="E45">
        <f t="shared" si="2"/>
        <v>6</v>
      </c>
      <c r="F45" t="str">
        <f t="shared" ref="F45:L45" si="92">IF((AND($A45 = "+0",$E45 = F$1)), $C45, "")</f>
        <v/>
      </c>
      <c r="G45" t="str">
        <f t="shared" si="92"/>
        <v/>
      </c>
      <c r="H45" t="str">
        <f t="shared" si="92"/>
        <v/>
      </c>
      <c r="I45" t="str">
        <f t="shared" si="92"/>
        <v/>
      </c>
      <c r="J45" t="str">
        <f t="shared" si="92"/>
        <v/>
      </c>
      <c r="K45" t="str">
        <f t="shared" si="92"/>
        <v/>
      </c>
      <c r="L45" t="str">
        <f t="shared" si="92"/>
        <v/>
      </c>
      <c r="M45" t="str">
        <f t="shared" ref="M45:S45" si="93">IF((AND($A45 = "+0",$E45 = M$1)), 2^$D45-$B45, "")</f>
        <v/>
      </c>
      <c r="N45" t="str">
        <f t="shared" si="93"/>
        <v/>
      </c>
      <c r="O45" t="str">
        <f t="shared" si="93"/>
        <v/>
      </c>
      <c r="P45" t="str">
        <f t="shared" si="93"/>
        <v/>
      </c>
      <c r="Q45" t="str">
        <f t="shared" si="93"/>
        <v/>
      </c>
      <c r="R45" t="str">
        <f t="shared" si="93"/>
        <v/>
      </c>
      <c r="S45" t="str">
        <f t="shared" si="93"/>
        <v/>
      </c>
      <c r="T45">
        <f t="shared" si="5"/>
        <v>108</v>
      </c>
      <c r="U45" s="25">
        <f t="shared" si="6"/>
        <v>6.75</v>
      </c>
      <c r="V45" s="26">
        <f t="shared" si="7"/>
        <v>0.1111111111</v>
      </c>
      <c r="W45" s="25">
        <f t="shared" si="8"/>
        <v>4.547438742</v>
      </c>
      <c r="X45" s="25">
        <f t="shared" si="9"/>
        <v>4.682438742</v>
      </c>
      <c r="Y45" s="25"/>
      <c r="Z45" s="25"/>
    </row>
    <row r="46">
      <c r="A46" s="1" t="s">
        <v>4</v>
      </c>
      <c r="B46" s="1">
        <v>26.0</v>
      </c>
      <c r="C46" s="1">
        <v>4.0</v>
      </c>
      <c r="D46" s="1">
        <v>5.0</v>
      </c>
      <c r="E46">
        <f t="shared" si="2"/>
        <v>6</v>
      </c>
      <c r="F46" t="str">
        <f t="shared" ref="F46:L46" si="94">IF((AND($A46 = "+0",$E46 = F$1)), $C46, "")</f>
        <v/>
      </c>
      <c r="G46" t="str">
        <f t="shared" si="94"/>
        <v/>
      </c>
      <c r="H46" t="str">
        <f t="shared" si="94"/>
        <v/>
      </c>
      <c r="I46" t="str">
        <f t="shared" si="94"/>
        <v/>
      </c>
      <c r="J46" t="str">
        <f t="shared" si="94"/>
        <v/>
      </c>
      <c r="K46" t="str">
        <f t="shared" si="94"/>
        <v/>
      </c>
      <c r="L46" t="str">
        <f t="shared" si="94"/>
        <v/>
      </c>
      <c r="M46" t="str">
        <f t="shared" ref="M46:S46" si="95">IF((AND($A46 = "+0",$E46 = M$1)), 2^$D46-$B46, "")</f>
        <v/>
      </c>
      <c r="N46" t="str">
        <f t="shared" si="95"/>
        <v/>
      </c>
      <c r="O46" t="str">
        <f t="shared" si="95"/>
        <v/>
      </c>
      <c r="P46" t="str">
        <f t="shared" si="95"/>
        <v/>
      </c>
      <c r="Q46" t="str">
        <f t="shared" si="95"/>
        <v/>
      </c>
      <c r="R46" t="str">
        <f t="shared" si="95"/>
        <v/>
      </c>
      <c r="S46" t="str">
        <f t="shared" si="95"/>
        <v/>
      </c>
      <c r="T46">
        <f t="shared" si="5"/>
        <v>104</v>
      </c>
      <c r="U46" s="25">
        <f t="shared" si="6"/>
        <v>6.5</v>
      </c>
      <c r="V46" s="26">
        <f t="shared" si="7"/>
        <v>0.1153846154</v>
      </c>
      <c r="W46" s="25">
        <f t="shared" si="8"/>
        <v>4.510784103</v>
      </c>
      <c r="X46" s="25">
        <f t="shared" si="9"/>
        <v>4.640784103</v>
      </c>
      <c r="Y46" s="25"/>
      <c r="Z46" s="25"/>
    </row>
    <row r="47">
      <c r="A47" s="1" t="s">
        <v>4</v>
      </c>
      <c r="B47" s="1">
        <v>25.0</v>
      </c>
      <c r="C47" s="1">
        <v>4.0</v>
      </c>
      <c r="D47" s="1">
        <v>5.0</v>
      </c>
      <c r="E47">
        <f t="shared" si="2"/>
        <v>6</v>
      </c>
      <c r="F47" t="str">
        <f t="shared" ref="F47:L47" si="96">IF((AND($A47 = "+0",$E47 = F$1)), $C47, "")</f>
        <v/>
      </c>
      <c r="G47" t="str">
        <f t="shared" si="96"/>
        <v/>
      </c>
      <c r="H47" t="str">
        <f t="shared" si="96"/>
        <v/>
      </c>
      <c r="I47" t="str">
        <f t="shared" si="96"/>
        <v/>
      </c>
      <c r="J47" t="str">
        <f t="shared" si="96"/>
        <v/>
      </c>
      <c r="K47" t="str">
        <f t="shared" si="96"/>
        <v/>
      </c>
      <c r="L47" t="str">
        <f t="shared" si="96"/>
        <v/>
      </c>
      <c r="M47" t="str">
        <f t="shared" ref="M47:S47" si="97">IF((AND($A47 = "+0",$E47 = M$1)), 2^$D47-$B47, "")</f>
        <v/>
      </c>
      <c r="N47" t="str">
        <f t="shared" si="97"/>
        <v/>
      </c>
      <c r="O47" t="str">
        <f t="shared" si="97"/>
        <v/>
      </c>
      <c r="P47" t="str">
        <f t="shared" si="97"/>
        <v/>
      </c>
      <c r="Q47" t="str">
        <f t="shared" si="97"/>
        <v/>
      </c>
      <c r="R47" t="str">
        <f t="shared" si="97"/>
        <v/>
      </c>
      <c r="S47" t="str">
        <f t="shared" si="97"/>
        <v/>
      </c>
      <c r="T47">
        <f t="shared" si="5"/>
        <v>100</v>
      </c>
      <c r="U47" s="25">
        <f t="shared" si="6"/>
        <v>6.25</v>
      </c>
      <c r="V47" s="26">
        <f t="shared" si="7"/>
        <v>0.12</v>
      </c>
      <c r="W47" s="25">
        <f t="shared" si="8"/>
        <v>4.472691666</v>
      </c>
      <c r="X47" s="25">
        <f t="shared" si="9"/>
        <v>4.597691666</v>
      </c>
      <c r="Y47" s="25"/>
      <c r="Z47" s="25"/>
    </row>
    <row r="48">
      <c r="A48" s="1" t="s">
        <v>5</v>
      </c>
      <c r="B48" s="1">
        <v>24.0</v>
      </c>
      <c r="C48" s="1">
        <v>4.0</v>
      </c>
      <c r="D48" s="1">
        <v>5.0</v>
      </c>
      <c r="E48">
        <f t="shared" si="2"/>
        <v>5</v>
      </c>
      <c r="F48" t="str">
        <f t="shared" ref="F48:L48" si="98">IF((AND($A48 = "+0",$E48 = F$1)), $C48, "")</f>
        <v/>
      </c>
      <c r="G48" t="str">
        <f t="shared" si="98"/>
        <v/>
      </c>
      <c r="H48" t="str">
        <f t="shared" si="98"/>
        <v/>
      </c>
      <c r="I48" t="str">
        <f t="shared" si="98"/>
        <v/>
      </c>
      <c r="J48">
        <f t="shared" si="98"/>
        <v>4</v>
      </c>
      <c r="K48" t="str">
        <f t="shared" si="98"/>
        <v/>
      </c>
      <c r="L48" t="str">
        <f t="shared" si="98"/>
        <v/>
      </c>
      <c r="M48" t="str">
        <f t="shared" ref="M48:S48" si="99">IF((AND($A48 = "+0",$E48 = M$1)), 2^$D48-$B48, "")</f>
        <v/>
      </c>
      <c r="N48" t="str">
        <f t="shared" si="99"/>
        <v/>
      </c>
      <c r="O48" t="str">
        <f t="shared" si="99"/>
        <v/>
      </c>
      <c r="P48" t="str">
        <f t="shared" si="99"/>
        <v/>
      </c>
      <c r="Q48">
        <f t="shared" si="99"/>
        <v>8</v>
      </c>
      <c r="R48" t="str">
        <f t="shared" si="99"/>
        <v/>
      </c>
      <c r="S48" t="str">
        <f t="shared" si="99"/>
        <v/>
      </c>
      <c r="T48">
        <f t="shared" si="5"/>
        <v>96</v>
      </c>
      <c r="U48" s="25">
        <f t="shared" si="6"/>
        <v>6</v>
      </c>
      <c r="V48" s="26">
        <f t="shared" si="7"/>
        <v>0.125</v>
      </c>
      <c r="W48" s="25">
        <f t="shared" si="8"/>
        <v>4.433044012</v>
      </c>
      <c r="X48" s="25">
        <f t="shared" si="9"/>
        <v>4.553044012</v>
      </c>
      <c r="Y48" s="25"/>
      <c r="Z48" s="25"/>
    </row>
    <row r="49">
      <c r="A49" s="1" t="s">
        <v>4</v>
      </c>
      <c r="B49" s="1">
        <v>24.0</v>
      </c>
      <c r="C49" s="1">
        <v>5.0</v>
      </c>
      <c r="D49" s="1">
        <v>5.0</v>
      </c>
      <c r="E49">
        <f t="shared" si="2"/>
        <v>6</v>
      </c>
      <c r="F49" t="str">
        <f t="shared" ref="F49:L49" si="100">IF((AND($A49 = "+0",$E49 = F$1)), $C49, "")</f>
        <v/>
      </c>
      <c r="G49" t="str">
        <f t="shared" si="100"/>
        <v/>
      </c>
      <c r="H49" t="str">
        <f t="shared" si="100"/>
        <v/>
      </c>
      <c r="I49" t="str">
        <f t="shared" si="100"/>
        <v/>
      </c>
      <c r="J49" t="str">
        <f t="shared" si="100"/>
        <v/>
      </c>
      <c r="K49" t="str">
        <f t="shared" si="100"/>
        <v/>
      </c>
      <c r="L49" t="str">
        <f t="shared" si="100"/>
        <v/>
      </c>
      <c r="M49" t="str">
        <f t="shared" ref="M49:S49" si="101">IF((AND($A49 = "+0",$E49 = M$1)), 2^$D49-$B49, "")</f>
        <v/>
      </c>
      <c r="N49" t="str">
        <f t="shared" si="101"/>
        <v/>
      </c>
      <c r="O49" t="str">
        <f t="shared" si="101"/>
        <v/>
      </c>
      <c r="P49" t="str">
        <f t="shared" si="101"/>
        <v/>
      </c>
      <c r="Q49" t="str">
        <f t="shared" si="101"/>
        <v/>
      </c>
      <c r="R49" t="str">
        <f t="shared" si="101"/>
        <v/>
      </c>
      <c r="S49" t="str">
        <f t="shared" si="101"/>
        <v/>
      </c>
      <c r="T49">
        <f t="shared" si="5"/>
        <v>120</v>
      </c>
      <c r="U49" s="25">
        <f t="shared" si="6"/>
        <v>4.8</v>
      </c>
      <c r="V49" s="26">
        <f t="shared" si="7"/>
        <v>0.1666666667</v>
      </c>
      <c r="W49" s="25">
        <f t="shared" si="8"/>
        <v>4.649768315</v>
      </c>
      <c r="X49" s="25">
        <f t="shared" si="9"/>
        <v>4.745768315</v>
      </c>
      <c r="Y49" s="25"/>
      <c r="Z49" s="25"/>
    </row>
    <row r="50">
      <c r="A50" s="1" t="s">
        <v>4</v>
      </c>
      <c r="B50" s="1">
        <v>23.0</v>
      </c>
      <c r="C50" s="1">
        <v>5.0</v>
      </c>
      <c r="D50" s="1">
        <v>5.0</v>
      </c>
      <c r="E50">
        <f t="shared" si="2"/>
        <v>6</v>
      </c>
      <c r="F50" t="str">
        <f t="shared" ref="F50:L50" si="102">IF((AND($A50 = "+0",$E50 = F$1)), $C50, "")</f>
        <v/>
      </c>
      <c r="G50" t="str">
        <f t="shared" si="102"/>
        <v/>
      </c>
      <c r="H50" t="str">
        <f t="shared" si="102"/>
        <v/>
      </c>
      <c r="I50" t="str">
        <f t="shared" si="102"/>
        <v/>
      </c>
      <c r="J50" t="str">
        <f t="shared" si="102"/>
        <v/>
      </c>
      <c r="K50" t="str">
        <f t="shared" si="102"/>
        <v/>
      </c>
      <c r="L50" t="str">
        <f t="shared" si="102"/>
        <v/>
      </c>
      <c r="M50" t="str">
        <f t="shared" ref="M50:S50" si="103">IF((AND($A50 = "+0",$E50 = M$1)), 2^$D50-$B50, "")</f>
        <v/>
      </c>
      <c r="N50" t="str">
        <f t="shared" si="103"/>
        <v/>
      </c>
      <c r="O50" t="str">
        <f t="shared" si="103"/>
        <v/>
      </c>
      <c r="P50" t="str">
        <f t="shared" si="103"/>
        <v/>
      </c>
      <c r="Q50" t="str">
        <f t="shared" si="103"/>
        <v/>
      </c>
      <c r="R50" t="str">
        <f t="shared" si="103"/>
        <v/>
      </c>
      <c r="S50" t="str">
        <f t="shared" si="103"/>
        <v/>
      </c>
      <c r="T50">
        <f t="shared" si="5"/>
        <v>115</v>
      </c>
      <c r="U50" s="25">
        <f t="shared" si="6"/>
        <v>4.6</v>
      </c>
      <c r="V50" s="26">
        <f t="shared" si="7"/>
        <v>0.1739130435</v>
      </c>
      <c r="W50" s="25">
        <f t="shared" si="8"/>
        <v>4.608433028</v>
      </c>
      <c r="X50" s="25">
        <f t="shared" si="9"/>
        <v>4.700433028</v>
      </c>
      <c r="Y50" s="25"/>
      <c r="Z50" s="25"/>
    </row>
    <row r="51">
      <c r="A51" s="1" t="s">
        <v>5</v>
      </c>
      <c r="B51" s="1">
        <v>22.0</v>
      </c>
      <c r="C51" s="1">
        <v>5.0</v>
      </c>
      <c r="D51" s="1">
        <v>5.0</v>
      </c>
      <c r="E51">
        <f t="shared" si="2"/>
        <v>5</v>
      </c>
      <c r="F51" t="str">
        <f t="shared" ref="F51:L51" si="104">IF((AND($A51 = "+0",$E51 = F$1)), $C51, "")</f>
        <v/>
      </c>
      <c r="G51" t="str">
        <f t="shared" si="104"/>
        <v/>
      </c>
      <c r="H51" t="str">
        <f t="shared" si="104"/>
        <v/>
      </c>
      <c r="I51" t="str">
        <f t="shared" si="104"/>
        <v/>
      </c>
      <c r="J51">
        <f t="shared" si="104"/>
        <v>5</v>
      </c>
      <c r="K51" t="str">
        <f t="shared" si="104"/>
        <v/>
      </c>
      <c r="L51" t="str">
        <f t="shared" si="104"/>
        <v/>
      </c>
      <c r="M51" t="str">
        <f t="shared" ref="M51:S51" si="105">IF((AND($A51 = "+0",$E51 = M$1)), 2^$D51-$B51, "")</f>
        <v/>
      </c>
      <c r="N51" t="str">
        <f t="shared" si="105"/>
        <v/>
      </c>
      <c r="O51" t="str">
        <f t="shared" si="105"/>
        <v/>
      </c>
      <c r="P51" t="str">
        <f t="shared" si="105"/>
        <v/>
      </c>
      <c r="Q51">
        <f t="shared" si="105"/>
        <v>10</v>
      </c>
      <c r="R51" t="str">
        <f t="shared" si="105"/>
        <v/>
      </c>
      <c r="S51" t="str">
        <f t="shared" si="105"/>
        <v/>
      </c>
      <c r="T51">
        <f t="shared" si="5"/>
        <v>110</v>
      </c>
      <c r="U51" s="25">
        <f t="shared" si="6"/>
        <v>4.4</v>
      </c>
      <c r="V51" s="26">
        <f t="shared" si="7"/>
        <v>0.1818181818</v>
      </c>
      <c r="W51" s="25">
        <f t="shared" si="8"/>
        <v>4.565260025</v>
      </c>
      <c r="X51" s="25">
        <f t="shared" si="9"/>
        <v>4.653260025</v>
      </c>
      <c r="Y51" s="25"/>
      <c r="Z51" s="25"/>
    </row>
    <row r="52">
      <c r="A52" s="1" t="s">
        <v>4</v>
      </c>
      <c r="B52" s="1">
        <v>22.0</v>
      </c>
      <c r="C52" s="1">
        <v>6.0</v>
      </c>
      <c r="D52" s="1">
        <v>5.0</v>
      </c>
      <c r="E52">
        <f t="shared" si="2"/>
        <v>6</v>
      </c>
      <c r="F52" t="str">
        <f t="shared" ref="F52:L52" si="106">IF((AND($A52 = "+0",$E52 = F$1)), $C52, "")</f>
        <v/>
      </c>
      <c r="G52" t="str">
        <f t="shared" si="106"/>
        <v/>
      </c>
      <c r="H52" t="str">
        <f t="shared" si="106"/>
        <v/>
      </c>
      <c r="I52" t="str">
        <f t="shared" si="106"/>
        <v/>
      </c>
      <c r="J52" t="str">
        <f t="shared" si="106"/>
        <v/>
      </c>
      <c r="K52" t="str">
        <f t="shared" si="106"/>
        <v/>
      </c>
      <c r="L52" t="str">
        <f t="shared" si="106"/>
        <v/>
      </c>
      <c r="M52" t="str">
        <f t="shared" ref="M52:S52" si="107">IF((AND($A52 = "+0",$E52 = M$1)), 2^$D52-$B52, "")</f>
        <v/>
      </c>
      <c r="N52" t="str">
        <f t="shared" si="107"/>
        <v/>
      </c>
      <c r="O52" t="str">
        <f t="shared" si="107"/>
        <v/>
      </c>
      <c r="P52" t="str">
        <f t="shared" si="107"/>
        <v/>
      </c>
      <c r="Q52" t="str">
        <f t="shared" si="107"/>
        <v/>
      </c>
      <c r="R52" t="str">
        <f t="shared" si="107"/>
        <v/>
      </c>
      <c r="S52" t="str">
        <f t="shared" si="107"/>
        <v/>
      </c>
      <c r="T52">
        <f t="shared" si="5"/>
        <v>132</v>
      </c>
      <c r="U52" s="25">
        <f t="shared" si="6"/>
        <v>3.666666667</v>
      </c>
      <c r="V52" s="26">
        <f t="shared" si="7"/>
        <v>0.2272727273</v>
      </c>
      <c r="W52" s="25">
        <f t="shared" si="8"/>
        <v>4.742336674</v>
      </c>
      <c r="X52" s="25">
        <f t="shared" si="9"/>
        <v>4.815670008</v>
      </c>
      <c r="Y52" s="25"/>
      <c r="Z52" s="25"/>
    </row>
    <row r="53">
      <c r="A53" s="1" t="s">
        <v>4</v>
      </c>
      <c r="B53" s="1">
        <v>21.0</v>
      </c>
      <c r="C53" s="1">
        <v>6.0</v>
      </c>
      <c r="D53" s="1">
        <v>5.0</v>
      </c>
      <c r="E53">
        <f t="shared" si="2"/>
        <v>6</v>
      </c>
      <c r="F53" t="str">
        <f t="shared" ref="F53:L53" si="108">IF((AND($A53 = "+0",$E53 = F$1)), $C53, "")</f>
        <v/>
      </c>
      <c r="G53" t="str">
        <f t="shared" si="108"/>
        <v/>
      </c>
      <c r="H53" t="str">
        <f t="shared" si="108"/>
        <v/>
      </c>
      <c r="I53" t="str">
        <f t="shared" si="108"/>
        <v/>
      </c>
      <c r="J53" t="str">
        <f t="shared" si="108"/>
        <v/>
      </c>
      <c r="K53" t="str">
        <f t="shared" si="108"/>
        <v/>
      </c>
      <c r="L53" t="str">
        <f t="shared" si="108"/>
        <v/>
      </c>
      <c r="M53" t="str">
        <f t="shared" ref="M53:S53" si="109">IF((AND($A53 = "+0",$E53 = M$1)), 2^$D53-$B53, "")</f>
        <v/>
      </c>
      <c r="N53" t="str">
        <f t="shared" si="109"/>
        <v/>
      </c>
      <c r="O53" t="str">
        <f t="shared" si="109"/>
        <v/>
      </c>
      <c r="P53" t="str">
        <f t="shared" si="109"/>
        <v/>
      </c>
      <c r="Q53" t="str">
        <f t="shared" si="109"/>
        <v/>
      </c>
      <c r="R53" t="str">
        <f t="shared" si="109"/>
        <v/>
      </c>
      <c r="S53" t="str">
        <f t="shared" si="109"/>
        <v/>
      </c>
      <c r="T53">
        <f t="shared" si="5"/>
        <v>126</v>
      </c>
      <c r="U53" s="25">
        <f t="shared" si="6"/>
        <v>3.5</v>
      </c>
      <c r="V53" s="26">
        <f t="shared" si="7"/>
        <v>0.2380952381</v>
      </c>
      <c r="W53" s="25">
        <f t="shared" si="8"/>
        <v>4.697154916</v>
      </c>
      <c r="X53" s="25">
        <f t="shared" si="9"/>
        <v>4.767154916</v>
      </c>
      <c r="Y53" s="25"/>
      <c r="Z53" s="25"/>
    </row>
    <row r="54">
      <c r="A54" s="1" t="s">
        <v>4</v>
      </c>
      <c r="B54" s="1">
        <v>20.0</v>
      </c>
      <c r="C54" s="1">
        <v>6.0</v>
      </c>
      <c r="D54" s="1">
        <v>5.0</v>
      </c>
      <c r="E54">
        <f t="shared" si="2"/>
        <v>6</v>
      </c>
      <c r="F54" t="str">
        <f t="shared" ref="F54:L54" si="110">IF((AND($A54 = "+0",$E54 = F$1)), $C54, "")</f>
        <v/>
      </c>
      <c r="G54" t="str">
        <f t="shared" si="110"/>
        <v/>
      </c>
      <c r="H54" t="str">
        <f t="shared" si="110"/>
        <v/>
      </c>
      <c r="I54" t="str">
        <f t="shared" si="110"/>
        <v/>
      </c>
      <c r="J54" t="str">
        <f t="shared" si="110"/>
        <v/>
      </c>
      <c r="K54" t="str">
        <f t="shared" si="110"/>
        <v/>
      </c>
      <c r="L54" t="str">
        <f t="shared" si="110"/>
        <v/>
      </c>
      <c r="M54" t="str">
        <f t="shared" ref="M54:S54" si="111">IF((AND($A54 = "+0",$E54 = M$1)), 2^$D54-$B54, "")</f>
        <v/>
      </c>
      <c r="N54" t="str">
        <f t="shared" si="111"/>
        <v/>
      </c>
      <c r="O54" t="str">
        <f t="shared" si="111"/>
        <v/>
      </c>
      <c r="P54" t="str">
        <f t="shared" si="111"/>
        <v/>
      </c>
      <c r="Q54" t="str">
        <f t="shared" si="111"/>
        <v/>
      </c>
      <c r="R54" t="str">
        <f t="shared" si="111"/>
        <v/>
      </c>
      <c r="S54" t="str">
        <f t="shared" si="111"/>
        <v/>
      </c>
      <c r="T54">
        <f t="shared" si="5"/>
        <v>120</v>
      </c>
      <c r="U54" s="25">
        <f t="shared" si="6"/>
        <v>3.333333333</v>
      </c>
      <c r="V54" s="26">
        <f t="shared" si="7"/>
        <v>0.25</v>
      </c>
      <c r="W54" s="25">
        <f t="shared" si="8"/>
        <v>4.649768315</v>
      </c>
      <c r="X54" s="25">
        <f t="shared" si="9"/>
        <v>4.716434982</v>
      </c>
      <c r="Y54" s="25"/>
      <c r="Z54" s="25"/>
    </row>
    <row r="55">
      <c r="A55" s="1" t="s">
        <v>5</v>
      </c>
      <c r="B55" s="1">
        <v>19.0</v>
      </c>
      <c r="C55" s="1">
        <v>6.0</v>
      </c>
      <c r="D55" s="1">
        <v>5.0</v>
      </c>
      <c r="E55">
        <f t="shared" si="2"/>
        <v>5</v>
      </c>
      <c r="F55" t="str">
        <f t="shared" ref="F55:L55" si="112">IF((AND($A55 = "+0",$E55 = F$1)), $C55, "")</f>
        <v/>
      </c>
      <c r="G55" t="str">
        <f t="shared" si="112"/>
        <v/>
      </c>
      <c r="H55" t="str">
        <f t="shared" si="112"/>
        <v/>
      </c>
      <c r="I55" t="str">
        <f t="shared" si="112"/>
        <v/>
      </c>
      <c r="J55">
        <f t="shared" si="112"/>
        <v>6</v>
      </c>
      <c r="K55" t="str">
        <f t="shared" si="112"/>
        <v/>
      </c>
      <c r="L55" t="str">
        <f t="shared" si="112"/>
        <v/>
      </c>
      <c r="M55" t="str">
        <f t="shared" ref="M55:S55" si="113">IF((AND($A55 = "+0",$E55 = M$1)), 2^$D55-$B55, "")</f>
        <v/>
      </c>
      <c r="N55" t="str">
        <f t="shared" si="113"/>
        <v/>
      </c>
      <c r="O55" t="str">
        <f t="shared" si="113"/>
        <v/>
      </c>
      <c r="P55" t="str">
        <f t="shared" si="113"/>
        <v/>
      </c>
      <c r="Q55">
        <f t="shared" si="113"/>
        <v>13</v>
      </c>
      <c r="R55" t="str">
        <f t="shared" si="113"/>
        <v/>
      </c>
      <c r="S55" t="str">
        <f t="shared" si="113"/>
        <v/>
      </c>
      <c r="T55">
        <f t="shared" si="5"/>
        <v>114</v>
      </c>
      <c r="U55" s="25">
        <f t="shared" si="6"/>
        <v>3.166666667</v>
      </c>
      <c r="V55" s="26">
        <f t="shared" si="7"/>
        <v>0.2631578947</v>
      </c>
      <c r="W55" s="25">
        <f t="shared" si="8"/>
        <v>4.599950593</v>
      </c>
      <c r="X55" s="25">
        <f t="shared" si="9"/>
        <v>4.663283926</v>
      </c>
      <c r="Y55" s="25"/>
      <c r="Z55" s="25"/>
    </row>
    <row r="56">
      <c r="A56" s="1" t="s">
        <v>4</v>
      </c>
      <c r="B56" s="1">
        <v>19.0</v>
      </c>
      <c r="C56" s="1">
        <v>7.0</v>
      </c>
      <c r="D56" s="1">
        <v>5.0</v>
      </c>
      <c r="E56">
        <f t="shared" si="2"/>
        <v>6</v>
      </c>
      <c r="F56" t="str">
        <f t="shared" ref="F56:L56" si="114">IF((AND($A56 = "+0",$E56 = F$1)), $C56, "")</f>
        <v/>
      </c>
      <c r="G56" t="str">
        <f t="shared" si="114"/>
        <v/>
      </c>
      <c r="H56" t="str">
        <f t="shared" si="114"/>
        <v/>
      </c>
      <c r="I56" t="str">
        <f t="shared" si="114"/>
        <v/>
      </c>
      <c r="J56" t="str">
        <f t="shared" si="114"/>
        <v/>
      </c>
      <c r="K56" t="str">
        <f t="shared" si="114"/>
        <v/>
      </c>
      <c r="L56" t="str">
        <f t="shared" si="114"/>
        <v/>
      </c>
      <c r="M56" t="str">
        <f t="shared" ref="M56:S56" si="115">IF((AND($A56 = "+0",$E56 = M$1)), 2^$D56-$B56, "")</f>
        <v/>
      </c>
      <c r="N56" t="str">
        <f t="shared" si="115"/>
        <v/>
      </c>
      <c r="O56" t="str">
        <f t="shared" si="115"/>
        <v/>
      </c>
      <c r="P56" t="str">
        <f t="shared" si="115"/>
        <v/>
      </c>
      <c r="Q56" t="str">
        <f t="shared" si="115"/>
        <v/>
      </c>
      <c r="R56" t="str">
        <f t="shared" si="115"/>
        <v/>
      </c>
      <c r="S56" t="str">
        <f t="shared" si="115"/>
        <v/>
      </c>
      <c r="T56">
        <f t="shared" si="5"/>
        <v>133</v>
      </c>
      <c r="U56" s="25">
        <f t="shared" si="6"/>
        <v>2.714285714</v>
      </c>
      <c r="V56" s="26">
        <f t="shared" si="7"/>
        <v>0.3157894737</v>
      </c>
      <c r="W56" s="25">
        <f t="shared" si="8"/>
        <v>4.749666767</v>
      </c>
      <c r="X56" s="25">
        <f t="shared" si="9"/>
        <v>4.803952481</v>
      </c>
      <c r="Y56" s="25"/>
      <c r="Z56" s="25"/>
    </row>
    <row r="57">
      <c r="A57" s="1" t="s">
        <v>4</v>
      </c>
      <c r="B57" s="1">
        <v>18.0</v>
      </c>
      <c r="C57" s="1">
        <v>7.0</v>
      </c>
      <c r="D57" s="1">
        <v>5.0</v>
      </c>
      <c r="E57">
        <f t="shared" si="2"/>
        <v>6</v>
      </c>
      <c r="F57" t="str">
        <f t="shared" ref="F57:L57" si="116">IF((AND($A57 = "+0",$E57 = F$1)), $C57, "")</f>
        <v/>
      </c>
      <c r="G57" t="str">
        <f t="shared" si="116"/>
        <v/>
      </c>
      <c r="H57" t="str">
        <f t="shared" si="116"/>
        <v/>
      </c>
      <c r="I57" t="str">
        <f t="shared" si="116"/>
        <v/>
      </c>
      <c r="J57" t="str">
        <f t="shared" si="116"/>
        <v/>
      </c>
      <c r="K57" t="str">
        <f t="shared" si="116"/>
        <v/>
      </c>
      <c r="L57" t="str">
        <f t="shared" si="116"/>
        <v/>
      </c>
      <c r="M57" t="str">
        <f t="shared" ref="M57:S57" si="117">IF((AND($A57 = "+0",$E57 = M$1)), 2^$D57-$B57, "")</f>
        <v/>
      </c>
      <c r="N57" t="str">
        <f t="shared" si="117"/>
        <v/>
      </c>
      <c r="O57" t="str">
        <f t="shared" si="117"/>
        <v/>
      </c>
      <c r="P57" t="str">
        <f t="shared" si="117"/>
        <v/>
      </c>
      <c r="Q57" t="str">
        <f t="shared" si="117"/>
        <v/>
      </c>
      <c r="R57" t="str">
        <f t="shared" si="117"/>
        <v/>
      </c>
      <c r="S57" t="str">
        <f t="shared" si="117"/>
        <v/>
      </c>
      <c r="T57">
        <f t="shared" si="5"/>
        <v>126</v>
      </c>
      <c r="U57" s="25">
        <f t="shared" si="6"/>
        <v>2.571428571</v>
      </c>
      <c r="V57" s="26">
        <f t="shared" si="7"/>
        <v>0.3333333333</v>
      </c>
      <c r="W57" s="25">
        <f t="shared" si="8"/>
        <v>4.697154916</v>
      </c>
      <c r="X57" s="25">
        <f t="shared" si="9"/>
        <v>4.748583487</v>
      </c>
      <c r="Y57" s="25"/>
      <c r="Z57" s="25"/>
    </row>
    <row r="58">
      <c r="A58" s="1" t="s">
        <v>5</v>
      </c>
      <c r="B58" s="1">
        <v>17.0</v>
      </c>
      <c r="C58" s="1">
        <v>7.0</v>
      </c>
      <c r="D58" s="1">
        <v>5.0</v>
      </c>
      <c r="E58">
        <f t="shared" si="2"/>
        <v>5</v>
      </c>
      <c r="F58" t="str">
        <f t="shared" ref="F58:L58" si="118">IF((AND($A58 = "+0",$E58 = F$1)), $C58, "")</f>
        <v/>
      </c>
      <c r="G58" t="str">
        <f t="shared" si="118"/>
        <v/>
      </c>
      <c r="H58" t="str">
        <f t="shared" si="118"/>
        <v/>
      </c>
      <c r="I58" t="str">
        <f t="shared" si="118"/>
        <v/>
      </c>
      <c r="J58">
        <f t="shared" si="118"/>
        <v>7</v>
      </c>
      <c r="K58" t="str">
        <f t="shared" si="118"/>
        <v/>
      </c>
      <c r="L58" t="str">
        <f t="shared" si="118"/>
        <v/>
      </c>
      <c r="M58" t="str">
        <f t="shared" ref="M58:S58" si="119">IF((AND($A58 = "+0",$E58 = M$1)), 2^$D58-$B58, "")</f>
        <v/>
      </c>
      <c r="N58" t="str">
        <f t="shared" si="119"/>
        <v/>
      </c>
      <c r="O58" t="str">
        <f t="shared" si="119"/>
        <v/>
      </c>
      <c r="P58" t="str">
        <f t="shared" si="119"/>
        <v/>
      </c>
      <c r="Q58">
        <f t="shared" si="119"/>
        <v>15</v>
      </c>
      <c r="R58" t="str">
        <f t="shared" si="119"/>
        <v/>
      </c>
      <c r="S58" t="str">
        <f t="shared" si="119"/>
        <v/>
      </c>
      <c r="T58">
        <f t="shared" si="5"/>
        <v>119</v>
      </c>
      <c r="U58" s="25">
        <f t="shared" si="6"/>
        <v>2.428571429</v>
      </c>
      <c r="V58" s="26">
        <f t="shared" si="7"/>
        <v>0.3529411765</v>
      </c>
      <c r="W58" s="25">
        <f t="shared" si="8"/>
        <v>4.641640798</v>
      </c>
      <c r="X58" s="25">
        <f t="shared" si="9"/>
        <v>4.690212226</v>
      </c>
      <c r="Y58" s="25"/>
      <c r="Z58" s="25"/>
    </row>
    <row r="59">
      <c r="A59" s="1" t="s">
        <v>4</v>
      </c>
      <c r="B59" s="1">
        <v>17.0</v>
      </c>
      <c r="C59" s="1">
        <v>8.0</v>
      </c>
      <c r="D59" s="1">
        <v>5.0</v>
      </c>
      <c r="E59">
        <f t="shared" si="2"/>
        <v>6</v>
      </c>
      <c r="F59" t="str">
        <f t="shared" ref="F59:L59" si="120">IF((AND($A59 = "+0",$E59 = F$1)), $C59, "")</f>
        <v/>
      </c>
      <c r="G59" t="str">
        <f t="shared" si="120"/>
        <v/>
      </c>
      <c r="H59" t="str">
        <f t="shared" si="120"/>
        <v/>
      </c>
      <c r="I59" t="str">
        <f t="shared" si="120"/>
        <v/>
      </c>
      <c r="J59" t="str">
        <f t="shared" si="120"/>
        <v/>
      </c>
      <c r="K59" t="str">
        <f t="shared" si="120"/>
        <v/>
      </c>
      <c r="L59" t="str">
        <f t="shared" si="120"/>
        <v/>
      </c>
      <c r="M59" t="str">
        <f t="shared" ref="M59:S59" si="121">IF((AND($A59 = "+0",$E59 = M$1)), 2^$D59-$B59, "")</f>
        <v/>
      </c>
      <c r="N59" t="str">
        <f t="shared" si="121"/>
        <v/>
      </c>
      <c r="O59" t="str">
        <f t="shared" si="121"/>
        <v/>
      </c>
      <c r="P59" t="str">
        <f t="shared" si="121"/>
        <v/>
      </c>
      <c r="Q59" t="str">
        <f t="shared" si="121"/>
        <v/>
      </c>
      <c r="R59" t="str">
        <f t="shared" si="121"/>
        <v/>
      </c>
      <c r="S59" t="str">
        <f t="shared" si="121"/>
        <v/>
      </c>
      <c r="T59">
        <f t="shared" si="5"/>
        <v>136</v>
      </c>
      <c r="U59" s="25">
        <f t="shared" si="6"/>
        <v>2.125</v>
      </c>
      <c r="V59" s="26">
        <f t="shared" si="7"/>
        <v>0.4117647059</v>
      </c>
      <c r="W59" s="25">
        <f t="shared" si="8"/>
        <v>4.771330847</v>
      </c>
      <c r="X59" s="25">
        <f t="shared" si="9"/>
        <v>4.813830847</v>
      </c>
      <c r="Y59" s="25"/>
      <c r="Z59" s="25"/>
    </row>
    <row r="60">
      <c r="A60" s="1" t="s">
        <v>4</v>
      </c>
      <c r="B60" s="1">
        <v>16.0</v>
      </c>
      <c r="C60" s="1">
        <v>8.0</v>
      </c>
      <c r="D60" s="1">
        <v>5.0</v>
      </c>
      <c r="E60">
        <f t="shared" si="2"/>
        <v>6</v>
      </c>
      <c r="F60" t="str">
        <f t="shared" ref="F60:L60" si="122">IF((AND($A60 = "+0",$E60 = F$1)), $C60, "")</f>
        <v/>
      </c>
      <c r="G60" t="str">
        <f t="shared" si="122"/>
        <v/>
      </c>
      <c r="H60" t="str">
        <f t="shared" si="122"/>
        <v/>
      </c>
      <c r="I60" t="str">
        <f t="shared" si="122"/>
        <v/>
      </c>
      <c r="J60" t="str">
        <f t="shared" si="122"/>
        <v/>
      </c>
      <c r="K60" t="str">
        <f t="shared" si="122"/>
        <v/>
      </c>
      <c r="L60" t="str">
        <f t="shared" si="122"/>
        <v/>
      </c>
      <c r="M60" t="str">
        <f t="shared" ref="M60:S60" si="123">IF((AND($A60 = "+0",$E60 = M$1)), 2^$D60-$B60, "")</f>
        <v/>
      </c>
      <c r="N60" t="str">
        <f t="shared" si="123"/>
        <v/>
      </c>
      <c r="O60" t="str">
        <f t="shared" si="123"/>
        <v/>
      </c>
      <c r="P60" t="str">
        <f t="shared" si="123"/>
        <v/>
      </c>
      <c r="Q60" t="str">
        <f t="shared" si="123"/>
        <v/>
      </c>
      <c r="R60" t="str">
        <f t="shared" si="123"/>
        <v/>
      </c>
      <c r="S60" t="str">
        <f t="shared" si="123"/>
        <v/>
      </c>
      <c r="T60">
        <f t="shared" si="5"/>
        <v>128</v>
      </c>
      <c r="U60" s="25">
        <f t="shared" si="6"/>
        <v>2</v>
      </c>
      <c r="V60" s="26">
        <f t="shared" si="7"/>
        <v>0.4375</v>
      </c>
      <c r="W60" s="25">
        <f t="shared" si="8"/>
        <v>4.712450234</v>
      </c>
      <c r="X60" s="25">
        <f t="shared" si="9"/>
        <v>4.752450234</v>
      </c>
      <c r="Y60" s="25"/>
      <c r="Z60" s="25"/>
    </row>
    <row r="61">
      <c r="A61" s="1" t="s">
        <v>5</v>
      </c>
      <c r="B61" s="1">
        <v>15.0</v>
      </c>
      <c r="C61" s="1">
        <v>8.0</v>
      </c>
      <c r="D61" s="1">
        <v>5.0</v>
      </c>
      <c r="E61">
        <f t="shared" si="2"/>
        <v>5</v>
      </c>
      <c r="F61" t="str">
        <f t="shared" ref="F61:L61" si="124">IF((AND($A61 = "+0",$E61 = F$1)), $C61, "")</f>
        <v/>
      </c>
      <c r="G61" t="str">
        <f t="shared" si="124"/>
        <v/>
      </c>
      <c r="H61" t="str">
        <f t="shared" si="124"/>
        <v/>
      </c>
      <c r="I61" t="str">
        <f t="shared" si="124"/>
        <v/>
      </c>
      <c r="J61">
        <f t="shared" si="124"/>
        <v>8</v>
      </c>
      <c r="K61" t="str">
        <f t="shared" si="124"/>
        <v/>
      </c>
      <c r="L61" t="str">
        <f t="shared" si="124"/>
        <v/>
      </c>
      <c r="M61" t="str">
        <f t="shared" ref="M61:S61" si="125">IF((AND($A61 = "+0",$E61 = M$1)), 2^$D61-$B61, "")</f>
        <v/>
      </c>
      <c r="N61" t="str">
        <f t="shared" si="125"/>
        <v/>
      </c>
      <c r="O61" t="str">
        <f t="shared" si="125"/>
        <v/>
      </c>
      <c r="P61" t="str">
        <f t="shared" si="125"/>
        <v/>
      </c>
      <c r="Q61">
        <f t="shared" si="125"/>
        <v>17</v>
      </c>
      <c r="R61" t="str">
        <f t="shared" si="125"/>
        <v/>
      </c>
      <c r="S61" t="str">
        <f t="shared" si="125"/>
        <v/>
      </c>
      <c r="T61">
        <f t="shared" si="5"/>
        <v>120</v>
      </c>
      <c r="U61" s="25">
        <f t="shared" si="6"/>
        <v>1.875</v>
      </c>
      <c r="V61" s="26">
        <f t="shared" si="7"/>
        <v>0.4666666667</v>
      </c>
      <c r="W61" s="25">
        <f t="shared" si="8"/>
        <v>4.649768315</v>
      </c>
      <c r="X61" s="25">
        <f t="shared" si="9"/>
        <v>4.687268315</v>
      </c>
      <c r="Y61" s="25"/>
      <c r="Z61" s="25"/>
    </row>
    <row r="62">
      <c r="A62" s="1" t="s">
        <v>4</v>
      </c>
      <c r="B62" s="1">
        <v>15.0</v>
      </c>
      <c r="C62" s="1">
        <v>9.0</v>
      </c>
      <c r="D62" s="1">
        <v>5.0</v>
      </c>
      <c r="E62">
        <f t="shared" si="2"/>
        <v>6</v>
      </c>
      <c r="F62" t="str">
        <f t="shared" ref="F62:L62" si="126">IF((AND($A62 = "+0",$E62 = F$1)), $C62, "")</f>
        <v/>
      </c>
      <c r="G62" t="str">
        <f t="shared" si="126"/>
        <v/>
      </c>
      <c r="H62" t="str">
        <f t="shared" si="126"/>
        <v/>
      </c>
      <c r="I62" t="str">
        <f t="shared" si="126"/>
        <v/>
      </c>
      <c r="J62" t="str">
        <f t="shared" si="126"/>
        <v/>
      </c>
      <c r="K62" t="str">
        <f t="shared" si="126"/>
        <v/>
      </c>
      <c r="L62" t="str">
        <f t="shared" si="126"/>
        <v/>
      </c>
      <c r="M62" t="str">
        <f t="shared" ref="M62:S62" si="127">IF((AND($A62 = "+0",$E62 = M$1)), 2^$D62-$B62, "")</f>
        <v/>
      </c>
      <c r="N62" t="str">
        <f t="shared" si="127"/>
        <v/>
      </c>
      <c r="O62" t="str">
        <f t="shared" si="127"/>
        <v/>
      </c>
      <c r="P62" t="str">
        <f t="shared" si="127"/>
        <v/>
      </c>
      <c r="Q62" t="str">
        <f t="shared" si="127"/>
        <v/>
      </c>
      <c r="R62" t="str">
        <f t="shared" si="127"/>
        <v/>
      </c>
      <c r="S62" t="str">
        <f t="shared" si="127"/>
        <v/>
      </c>
      <c r="T62">
        <f t="shared" si="5"/>
        <v>135</v>
      </c>
      <c r="U62" s="25">
        <f t="shared" si="6"/>
        <v>1.666666667</v>
      </c>
      <c r="V62" s="26">
        <f t="shared" si="7"/>
        <v>0.5333333333</v>
      </c>
      <c r="W62" s="25">
        <f t="shared" si="8"/>
        <v>4.764163046</v>
      </c>
      <c r="X62" s="25">
        <f t="shared" si="9"/>
        <v>4.797496379</v>
      </c>
      <c r="Y62" s="25"/>
      <c r="Z62" s="25"/>
    </row>
    <row r="63">
      <c r="A63" s="1" t="s">
        <v>5</v>
      </c>
      <c r="B63" s="1">
        <v>14.0</v>
      </c>
      <c r="C63" s="1">
        <v>9.0</v>
      </c>
      <c r="D63" s="1">
        <v>5.0</v>
      </c>
      <c r="E63">
        <f t="shared" si="2"/>
        <v>5</v>
      </c>
      <c r="F63" t="str">
        <f t="shared" ref="F63:L63" si="128">IF((AND($A63 = "+0",$E63 = F$1)), $C63, "")</f>
        <v/>
      </c>
      <c r="G63" t="str">
        <f t="shared" si="128"/>
        <v/>
      </c>
      <c r="H63" t="str">
        <f t="shared" si="128"/>
        <v/>
      </c>
      <c r="I63" t="str">
        <f t="shared" si="128"/>
        <v/>
      </c>
      <c r="J63">
        <f t="shared" si="128"/>
        <v>9</v>
      </c>
      <c r="K63" t="str">
        <f t="shared" si="128"/>
        <v/>
      </c>
      <c r="L63" t="str">
        <f t="shared" si="128"/>
        <v/>
      </c>
      <c r="M63" t="str">
        <f t="shared" ref="M63:S63" si="129">IF((AND($A63 = "+0",$E63 = M$1)), 2^$D63-$B63, "")</f>
        <v/>
      </c>
      <c r="N63" t="str">
        <f t="shared" si="129"/>
        <v/>
      </c>
      <c r="O63" t="str">
        <f t="shared" si="129"/>
        <v/>
      </c>
      <c r="P63" t="str">
        <f t="shared" si="129"/>
        <v/>
      </c>
      <c r="Q63">
        <f t="shared" si="129"/>
        <v>18</v>
      </c>
      <c r="R63" t="str">
        <f t="shared" si="129"/>
        <v/>
      </c>
      <c r="S63" t="str">
        <f t="shared" si="129"/>
        <v/>
      </c>
      <c r="T63">
        <f t="shared" si="5"/>
        <v>126</v>
      </c>
      <c r="U63" s="25">
        <f t="shared" si="6"/>
        <v>1.555555556</v>
      </c>
      <c r="V63" s="26">
        <f t="shared" si="7"/>
        <v>0.5714285714</v>
      </c>
      <c r="W63" s="25">
        <f t="shared" si="8"/>
        <v>4.697154916</v>
      </c>
      <c r="X63" s="25">
        <f t="shared" si="9"/>
        <v>4.728266027</v>
      </c>
      <c r="Y63" s="25"/>
      <c r="Z63" s="25"/>
    </row>
    <row r="64">
      <c r="A64" s="1" t="s">
        <v>4</v>
      </c>
      <c r="B64" s="1">
        <v>14.0</v>
      </c>
      <c r="C64" s="1">
        <v>10.0</v>
      </c>
      <c r="D64" s="1">
        <v>5.0</v>
      </c>
      <c r="E64">
        <f t="shared" si="2"/>
        <v>6</v>
      </c>
      <c r="F64" t="str">
        <f t="shared" ref="F64:L64" si="130">IF((AND($A64 = "+0",$E64 = F$1)), $C64, "")</f>
        <v/>
      </c>
      <c r="G64" t="str">
        <f t="shared" si="130"/>
        <v/>
      </c>
      <c r="H64" t="str">
        <f t="shared" si="130"/>
        <v/>
      </c>
      <c r="I64" t="str">
        <f t="shared" si="130"/>
        <v/>
      </c>
      <c r="J64" t="str">
        <f t="shared" si="130"/>
        <v/>
      </c>
      <c r="K64" t="str">
        <f t="shared" si="130"/>
        <v/>
      </c>
      <c r="L64" t="str">
        <f t="shared" si="130"/>
        <v/>
      </c>
      <c r="M64" t="str">
        <f t="shared" ref="M64:S64" si="131">IF((AND($A64 = "+0",$E64 = M$1)), 2^$D64-$B64, "")</f>
        <v/>
      </c>
      <c r="N64" t="str">
        <f t="shared" si="131"/>
        <v/>
      </c>
      <c r="O64" t="str">
        <f t="shared" si="131"/>
        <v/>
      </c>
      <c r="P64" t="str">
        <f t="shared" si="131"/>
        <v/>
      </c>
      <c r="Q64" t="str">
        <f t="shared" si="131"/>
        <v/>
      </c>
      <c r="R64" t="str">
        <f t="shared" si="131"/>
        <v/>
      </c>
      <c r="S64" t="str">
        <f t="shared" si="131"/>
        <v/>
      </c>
      <c r="T64">
        <f t="shared" si="5"/>
        <v>140</v>
      </c>
      <c r="U64" s="25">
        <f t="shared" si="6"/>
        <v>1.4</v>
      </c>
      <c r="V64" s="26">
        <f t="shared" si="7"/>
        <v>0.6428571429</v>
      </c>
      <c r="W64" s="25">
        <f t="shared" si="8"/>
        <v>4.799484489</v>
      </c>
      <c r="X64" s="25">
        <f t="shared" si="9"/>
        <v>4.827484489</v>
      </c>
      <c r="Y64" s="25"/>
      <c r="Z64" s="25"/>
    </row>
    <row r="65">
      <c r="A65" s="1" t="s">
        <v>4</v>
      </c>
      <c r="B65" s="1">
        <v>13.0</v>
      </c>
      <c r="C65" s="1">
        <v>10.0</v>
      </c>
      <c r="D65" s="1">
        <v>5.0</v>
      </c>
      <c r="E65">
        <f t="shared" si="2"/>
        <v>6</v>
      </c>
      <c r="F65" t="str">
        <f t="shared" ref="F65:L65" si="132">IF((AND($A65 = "+0",$E65 = F$1)), $C65, "")</f>
        <v/>
      </c>
      <c r="G65" t="str">
        <f t="shared" si="132"/>
        <v/>
      </c>
      <c r="H65" t="str">
        <f t="shared" si="132"/>
        <v/>
      </c>
      <c r="I65" t="str">
        <f t="shared" si="132"/>
        <v/>
      </c>
      <c r="J65" t="str">
        <f t="shared" si="132"/>
        <v/>
      </c>
      <c r="K65" t="str">
        <f t="shared" si="132"/>
        <v/>
      </c>
      <c r="L65" t="str">
        <f t="shared" si="132"/>
        <v/>
      </c>
      <c r="M65" t="str">
        <f t="shared" ref="M65:S65" si="133">IF((AND($A65 = "+0",$E65 = M$1)), 2^$D65-$B65, "")</f>
        <v/>
      </c>
      <c r="N65" t="str">
        <f t="shared" si="133"/>
        <v/>
      </c>
      <c r="O65" t="str">
        <f t="shared" si="133"/>
        <v/>
      </c>
      <c r="P65" t="str">
        <f t="shared" si="133"/>
        <v/>
      </c>
      <c r="Q65" t="str">
        <f t="shared" si="133"/>
        <v/>
      </c>
      <c r="R65" t="str">
        <f t="shared" si="133"/>
        <v/>
      </c>
      <c r="S65" t="str">
        <f t="shared" si="133"/>
        <v/>
      </c>
      <c r="T65">
        <f t="shared" si="5"/>
        <v>130</v>
      </c>
      <c r="U65" s="25">
        <f t="shared" si="6"/>
        <v>1.3</v>
      </c>
      <c r="V65" s="26">
        <f t="shared" si="7"/>
        <v>0.6923076923</v>
      </c>
      <c r="W65" s="25">
        <f t="shared" si="8"/>
        <v>4.727508407</v>
      </c>
      <c r="X65" s="25">
        <f t="shared" si="9"/>
        <v>4.753508407</v>
      </c>
      <c r="Y65" s="25"/>
      <c r="Z65" s="25"/>
    </row>
    <row r="66">
      <c r="A66" s="1" t="s">
        <v>5</v>
      </c>
      <c r="B66" s="1">
        <v>12.0</v>
      </c>
      <c r="C66" s="1">
        <v>10.0</v>
      </c>
      <c r="D66" s="1">
        <v>5.0</v>
      </c>
      <c r="E66">
        <f t="shared" si="2"/>
        <v>5</v>
      </c>
      <c r="F66" t="str">
        <f t="shared" ref="F66:L66" si="134">IF((AND($A66 = "+0",$E66 = F$1)), $C66, "")</f>
        <v/>
      </c>
      <c r="G66" t="str">
        <f t="shared" si="134"/>
        <v/>
      </c>
      <c r="H66" t="str">
        <f t="shared" si="134"/>
        <v/>
      </c>
      <c r="I66" t="str">
        <f t="shared" si="134"/>
        <v/>
      </c>
      <c r="J66">
        <f t="shared" si="134"/>
        <v>10</v>
      </c>
      <c r="K66" t="str">
        <f t="shared" si="134"/>
        <v/>
      </c>
      <c r="L66" t="str">
        <f t="shared" si="134"/>
        <v/>
      </c>
      <c r="M66" t="str">
        <f t="shared" ref="M66:S66" si="135">IF((AND($A66 = "+0",$E66 = M$1)), 2^$D66-$B66, "")</f>
        <v/>
      </c>
      <c r="N66" t="str">
        <f t="shared" si="135"/>
        <v/>
      </c>
      <c r="O66" t="str">
        <f t="shared" si="135"/>
        <v/>
      </c>
      <c r="P66" t="str">
        <f t="shared" si="135"/>
        <v/>
      </c>
      <c r="Q66">
        <f t="shared" si="135"/>
        <v>20</v>
      </c>
      <c r="R66" t="str">
        <f t="shared" si="135"/>
        <v/>
      </c>
      <c r="S66" t="str">
        <f t="shared" si="135"/>
        <v/>
      </c>
      <c r="T66">
        <f t="shared" si="5"/>
        <v>120</v>
      </c>
      <c r="U66" s="25">
        <f t="shared" si="6"/>
        <v>1.2</v>
      </c>
      <c r="V66" s="26">
        <f t="shared" si="7"/>
        <v>0.75</v>
      </c>
      <c r="W66" s="25">
        <f t="shared" si="8"/>
        <v>4.649768315</v>
      </c>
      <c r="X66" s="25">
        <f t="shared" si="9"/>
        <v>4.673768315</v>
      </c>
      <c r="Y66" s="25"/>
      <c r="Z66" s="25"/>
    </row>
    <row r="67">
      <c r="A67" s="1" t="s">
        <v>4</v>
      </c>
      <c r="B67" s="1">
        <v>12.0</v>
      </c>
      <c r="C67" s="1">
        <v>11.0</v>
      </c>
      <c r="D67" s="1">
        <v>5.0</v>
      </c>
      <c r="E67">
        <f t="shared" si="2"/>
        <v>6</v>
      </c>
      <c r="F67" t="str">
        <f t="shared" ref="F67:L67" si="136">IF((AND($A67 = "+0",$E67 = F$1)), $C67, "")</f>
        <v/>
      </c>
      <c r="G67" t="str">
        <f t="shared" si="136"/>
        <v/>
      </c>
      <c r="H67" t="str">
        <f t="shared" si="136"/>
        <v/>
      </c>
      <c r="I67" t="str">
        <f t="shared" si="136"/>
        <v/>
      </c>
      <c r="J67" t="str">
        <f t="shared" si="136"/>
        <v/>
      </c>
      <c r="K67" t="str">
        <f t="shared" si="136"/>
        <v/>
      </c>
      <c r="L67" t="str">
        <f t="shared" si="136"/>
        <v/>
      </c>
      <c r="M67" t="str">
        <f t="shared" ref="M67:S67" si="137">IF((AND($A67 = "+0",$E67 = M$1)), 2^$D67-$B67, "")</f>
        <v/>
      </c>
      <c r="N67" t="str">
        <f t="shared" si="137"/>
        <v/>
      </c>
      <c r="O67" t="str">
        <f t="shared" si="137"/>
        <v/>
      </c>
      <c r="P67" t="str">
        <f t="shared" si="137"/>
        <v/>
      </c>
      <c r="Q67" t="str">
        <f t="shared" si="137"/>
        <v/>
      </c>
      <c r="R67" t="str">
        <f t="shared" si="137"/>
        <v/>
      </c>
      <c r="S67" t="str">
        <f t="shared" si="137"/>
        <v/>
      </c>
      <c r="T67">
        <f t="shared" si="5"/>
        <v>132</v>
      </c>
      <c r="U67" s="25">
        <f t="shared" si="6"/>
        <v>1.090909091</v>
      </c>
      <c r="V67" s="26">
        <f t="shared" si="7"/>
        <v>0.8333333333</v>
      </c>
      <c r="W67" s="25">
        <f t="shared" si="8"/>
        <v>4.742336674</v>
      </c>
      <c r="X67" s="25">
        <f t="shared" si="9"/>
        <v>4.764154856</v>
      </c>
      <c r="Y67" s="25"/>
      <c r="Z67" s="25"/>
    </row>
    <row r="68">
      <c r="A68" s="1" t="s">
        <v>5</v>
      </c>
      <c r="B68" s="1">
        <v>11.0</v>
      </c>
      <c r="C68" s="1">
        <v>11.0</v>
      </c>
      <c r="D68" s="1">
        <v>5.0</v>
      </c>
      <c r="E68">
        <f t="shared" si="2"/>
        <v>5</v>
      </c>
      <c r="F68" t="str">
        <f t="shared" ref="F68:L68" si="138">IF((AND($A68 = "+0",$E68 = F$1)), $C68, "")</f>
        <v/>
      </c>
      <c r="G68" t="str">
        <f t="shared" si="138"/>
        <v/>
      </c>
      <c r="H68" t="str">
        <f t="shared" si="138"/>
        <v/>
      </c>
      <c r="I68" t="str">
        <f t="shared" si="138"/>
        <v/>
      </c>
      <c r="J68">
        <f t="shared" si="138"/>
        <v>11</v>
      </c>
      <c r="K68" t="str">
        <f t="shared" si="138"/>
        <v/>
      </c>
      <c r="L68" t="str">
        <f t="shared" si="138"/>
        <v/>
      </c>
      <c r="M68" t="str">
        <f t="shared" ref="M68:S68" si="139">IF((AND($A68 = "+0",$E68 = M$1)), 2^$D68-$B68, "")</f>
        <v/>
      </c>
      <c r="N68" t="str">
        <f t="shared" si="139"/>
        <v/>
      </c>
      <c r="O68" t="str">
        <f t="shared" si="139"/>
        <v/>
      </c>
      <c r="P68" t="str">
        <f t="shared" si="139"/>
        <v/>
      </c>
      <c r="Q68">
        <f t="shared" si="139"/>
        <v>21</v>
      </c>
      <c r="R68" t="str">
        <f t="shared" si="139"/>
        <v/>
      </c>
      <c r="S68" t="str">
        <f t="shared" si="139"/>
        <v/>
      </c>
      <c r="T68">
        <f t="shared" si="5"/>
        <v>121</v>
      </c>
      <c r="U68" s="25">
        <f t="shared" si="6"/>
        <v>1</v>
      </c>
      <c r="V68" s="26">
        <f t="shared" si="7"/>
        <v>0.9090909091</v>
      </c>
      <c r="W68" s="25">
        <f t="shared" si="8"/>
        <v>4.657828384</v>
      </c>
      <c r="X68" s="25">
        <f t="shared" si="9"/>
        <v>4.677828384</v>
      </c>
      <c r="Y68" s="25"/>
      <c r="Z68" s="25"/>
    </row>
    <row r="69">
      <c r="A69" s="1" t="s">
        <v>4</v>
      </c>
      <c r="B69" s="1">
        <v>65.0</v>
      </c>
      <c r="C69" s="1">
        <v>1.0</v>
      </c>
      <c r="D69" s="1">
        <v>6.0</v>
      </c>
      <c r="E69">
        <f t="shared" si="2"/>
        <v>7</v>
      </c>
      <c r="F69" t="str">
        <f t="shared" ref="F69:L69" si="140">IF((AND($A69 = "+0",$E69 = F$1)), $C69, "")</f>
        <v/>
      </c>
      <c r="G69" t="str">
        <f t="shared" si="140"/>
        <v/>
      </c>
      <c r="H69" t="str">
        <f t="shared" si="140"/>
        <v/>
      </c>
      <c r="I69" t="str">
        <f t="shared" si="140"/>
        <v/>
      </c>
      <c r="J69" t="str">
        <f t="shared" si="140"/>
        <v/>
      </c>
      <c r="K69" t="str">
        <f t="shared" si="140"/>
        <v/>
      </c>
      <c r="L69" t="str">
        <f t="shared" si="140"/>
        <v/>
      </c>
      <c r="M69" t="str">
        <f t="shared" ref="M69:S69" si="141">IF((AND($A69 = "+0",$E69 = M$1)), 2^$D69-$B69, "")</f>
        <v/>
      </c>
      <c r="N69" t="str">
        <f t="shared" si="141"/>
        <v/>
      </c>
      <c r="O69" t="str">
        <f t="shared" si="141"/>
        <v/>
      </c>
      <c r="P69" t="str">
        <f t="shared" si="141"/>
        <v/>
      </c>
      <c r="Q69" t="str">
        <f t="shared" si="141"/>
        <v/>
      </c>
      <c r="R69" t="str">
        <f t="shared" si="141"/>
        <v/>
      </c>
      <c r="S69" t="str">
        <f t="shared" si="141"/>
        <v/>
      </c>
      <c r="T69">
        <f t="shared" si="5"/>
        <v>65</v>
      </c>
      <c r="U69" s="25">
        <f t="shared" si="6"/>
        <v>65</v>
      </c>
      <c r="V69" s="26">
        <f t="shared" si="7"/>
        <v>0</v>
      </c>
      <c r="W69" s="25">
        <f t="shared" si="8"/>
        <v>4.05430123</v>
      </c>
      <c r="X69" s="25">
        <f t="shared" si="9"/>
        <v>5.35430123</v>
      </c>
      <c r="Y69" s="25"/>
      <c r="Z69" s="25"/>
    </row>
    <row r="70">
      <c r="A70" s="1" t="s">
        <v>5</v>
      </c>
      <c r="B70" s="1">
        <v>64.0</v>
      </c>
      <c r="C70" s="1">
        <v>1.0</v>
      </c>
      <c r="D70" s="1">
        <v>6.0</v>
      </c>
      <c r="E70">
        <f t="shared" si="2"/>
        <v>6</v>
      </c>
      <c r="F70" t="str">
        <f t="shared" ref="F70:L70" si="142">IF((AND($A70 = "+0",$E70 = F$1)), $C70, "")</f>
        <v/>
      </c>
      <c r="G70" t="str">
        <f t="shared" si="142"/>
        <v/>
      </c>
      <c r="H70" t="str">
        <f t="shared" si="142"/>
        <v/>
      </c>
      <c r="I70" t="str">
        <f t="shared" si="142"/>
        <v/>
      </c>
      <c r="J70" t="str">
        <f t="shared" si="142"/>
        <v/>
      </c>
      <c r="K70">
        <f t="shared" si="142"/>
        <v>1</v>
      </c>
      <c r="L70" t="str">
        <f t="shared" si="142"/>
        <v/>
      </c>
      <c r="M70" t="str">
        <f t="shared" ref="M70:S70" si="143">IF((AND($A70 = "+0",$E70 = M$1)), 2^$D70-$B70, "")</f>
        <v/>
      </c>
      <c r="N70" t="str">
        <f t="shared" si="143"/>
        <v/>
      </c>
      <c r="O70" t="str">
        <f t="shared" si="143"/>
        <v/>
      </c>
      <c r="P70" t="str">
        <f t="shared" si="143"/>
        <v/>
      </c>
      <c r="Q70" t="str">
        <f t="shared" si="143"/>
        <v/>
      </c>
      <c r="R70">
        <f t="shared" si="143"/>
        <v>0</v>
      </c>
      <c r="S70" t="str">
        <f t="shared" si="143"/>
        <v/>
      </c>
      <c r="T70">
        <f t="shared" si="5"/>
        <v>64</v>
      </c>
      <c r="U70" s="25">
        <f t="shared" si="6"/>
        <v>64</v>
      </c>
      <c r="V70" s="26">
        <f t="shared" si="7"/>
        <v>0</v>
      </c>
      <c r="W70" s="25">
        <f t="shared" si="8"/>
        <v>4.039243058</v>
      </c>
      <c r="X70" s="25">
        <f t="shared" si="9"/>
        <v>5.319243058</v>
      </c>
      <c r="Y70" s="25"/>
      <c r="Z70" s="25"/>
    </row>
    <row r="71">
      <c r="A71" s="1" t="s">
        <v>4</v>
      </c>
      <c r="B71" s="1">
        <v>64.0</v>
      </c>
      <c r="C71" s="1">
        <v>2.0</v>
      </c>
      <c r="D71" s="1">
        <v>6.0</v>
      </c>
      <c r="E71">
        <f t="shared" si="2"/>
        <v>7</v>
      </c>
      <c r="F71" t="str">
        <f t="shared" ref="F71:L71" si="144">IF((AND($A71 = "+0",$E71 = F$1)), $C71, "")</f>
        <v/>
      </c>
      <c r="G71" t="str">
        <f t="shared" si="144"/>
        <v/>
      </c>
      <c r="H71" t="str">
        <f t="shared" si="144"/>
        <v/>
      </c>
      <c r="I71" t="str">
        <f t="shared" si="144"/>
        <v/>
      </c>
      <c r="J71" t="str">
        <f t="shared" si="144"/>
        <v/>
      </c>
      <c r="K71" t="str">
        <f t="shared" si="144"/>
        <v/>
      </c>
      <c r="L71" t="str">
        <f t="shared" si="144"/>
        <v/>
      </c>
      <c r="M71" t="str">
        <f t="shared" ref="M71:S71" si="145">IF((AND($A71 = "+0",$E71 = M$1)), 2^$D71-$B71, "")</f>
        <v/>
      </c>
      <c r="N71" t="str">
        <f t="shared" si="145"/>
        <v/>
      </c>
      <c r="O71" t="str">
        <f t="shared" si="145"/>
        <v/>
      </c>
      <c r="P71" t="str">
        <f t="shared" si="145"/>
        <v/>
      </c>
      <c r="Q71" t="str">
        <f t="shared" si="145"/>
        <v/>
      </c>
      <c r="R71" t="str">
        <f t="shared" si="145"/>
        <v/>
      </c>
      <c r="S71" t="str">
        <f t="shared" si="145"/>
        <v/>
      </c>
      <c r="T71">
        <f t="shared" si="5"/>
        <v>128</v>
      </c>
      <c r="U71" s="25">
        <f t="shared" si="6"/>
        <v>32</v>
      </c>
      <c r="V71" s="26">
        <f t="shared" si="7"/>
        <v>0.015625</v>
      </c>
      <c r="W71" s="25">
        <f t="shared" si="8"/>
        <v>4.712450234</v>
      </c>
      <c r="X71" s="25">
        <f t="shared" si="9"/>
        <v>5.352450234</v>
      </c>
      <c r="Y71" s="25"/>
      <c r="Z71" s="25"/>
    </row>
    <row r="72">
      <c r="A72" s="1" t="s">
        <v>5</v>
      </c>
      <c r="B72" s="1">
        <v>63.0</v>
      </c>
      <c r="C72" s="1">
        <v>2.0</v>
      </c>
      <c r="D72" s="1">
        <v>6.0</v>
      </c>
      <c r="E72">
        <f t="shared" si="2"/>
        <v>6</v>
      </c>
      <c r="F72" t="str">
        <f t="shared" ref="F72:L72" si="146">IF((AND($A72 = "+0",$E72 = F$1)), $C72, "")</f>
        <v/>
      </c>
      <c r="G72" t="str">
        <f t="shared" si="146"/>
        <v/>
      </c>
      <c r="H72" t="str">
        <f t="shared" si="146"/>
        <v/>
      </c>
      <c r="I72" t="str">
        <f t="shared" si="146"/>
        <v/>
      </c>
      <c r="J72" t="str">
        <f t="shared" si="146"/>
        <v/>
      </c>
      <c r="K72">
        <f t="shared" si="146"/>
        <v>2</v>
      </c>
      <c r="L72" t="str">
        <f t="shared" si="146"/>
        <v/>
      </c>
      <c r="M72" t="str">
        <f t="shared" ref="M72:S72" si="147">IF((AND($A72 = "+0",$E72 = M$1)), 2^$D72-$B72, "")</f>
        <v/>
      </c>
      <c r="N72" t="str">
        <f t="shared" si="147"/>
        <v/>
      </c>
      <c r="O72" t="str">
        <f t="shared" si="147"/>
        <v/>
      </c>
      <c r="P72" t="str">
        <f t="shared" si="147"/>
        <v/>
      </c>
      <c r="Q72" t="str">
        <f t="shared" si="147"/>
        <v/>
      </c>
      <c r="R72">
        <f t="shared" si="147"/>
        <v>1</v>
      </c>
      <c r="S72" t="str">
        <f t="shared" si="147"/>
        <v/>
      </c>
      <c r="T72">
        <f t="shared" si="5"/>
        <v>126</v>
      </c>
      <c r="U72" s="25">
        <f t="shared" si="6"/>
        <v>31.5</v>
      </c>
      <c r="V72" s="26">
        <f t="shared" si="7"/>
        <v>0.01587301587</v>
      </c>
      <c r="W72" s="25">
        <f t="shared" si="8"/>
        <v>4.697154916</v>
      </c>
      <c r="X72" s="25">
        <f t="shared" si="9"/>
        <v>5.327154916</v>
      </c>
      <c r="Y72" s="25"/>
      <c r="Z72" s="25"/>
    </row>
    <row r="73">
      <c r="A73" s="1" t="s">
        <v>4</v>
      </c>
      <c r="B73" s="1">
        <v>63.0</v>
      </c>
      <c r="C73" s="1">
        <v>3.0</v>
      </c>
      <c r="D73" s="1">
        <v>6.0</v>
      </c>
      <c r="E73">
        <f t="shared" si="2"/>
        <v>7</v>
      </c>
      <c r="F73" t="str">
        <f t="shared" ref="F73:L73" si="148">IF((AND($A73 = "+0",$E73 = F$1)), $C73, "")</f>
        <v/>
      </c>
      <c r="G73" t="str">
        <f t="shared" si="148"/>
        <v/>
      </c>
      <c r="H73" t="str">
        <f t="shared" si="148"/>
        <v/>
      </c>
      <c r="I73" t="str">
        <f t="shared" si="148"/>
        <v/>
      </c>
      <c r="J73" t="str">
        <f t="shared" si="148"/>
        <v/>
      </c>
      <c r="K73" t="str">
        <f t="shared" si="148"/>
        <v/>
      </c>
      <c r="L73" t="str">
        <f t="shared" si="148"/>
        <v/>
      </c>
      <c r="M73" t="str">
        <f t="shared" ref="M73:S73" si="149">IF((AND($A73 = "+0",$E73 = M$1)), 2^$D73-$B73, "")</f>
        <v/>
      </c>
      <c r="N73" t="str">
        <f t="shared" si="149"/>
        <v/>
      </c>
      <c r="O73" t="str">
        <f t="shared" si="149"/>
        <v/>
      </c>
      <c r="P73" t="str">
        <f t="shared" si="149"/>
        <v/>
      </c>
      <c r="Q73" t="str">
        <f t="shared" si="149"/>
        <v/>
      </c>
      <c r="R73" t="str">
        <f t="shared" si="149"/>
        <v/>
      </c>
      <c r="S73" t="str">
        <f t="shared" si="149"/>
        <v/>
      </c>
      <c r="T73">
        <f t="shared" si="5"/>
        <v>189</v>
      </c>
      <c r="U73" s="25">
        <f t="shared" si="6"/>
        <v>21</v>
      </c>
      <c r="V73" s="26">
        <f t="shared" si="7"/>
        <v>0.03174603175</v>
      </c>
      <c r="W73" s="25">
        <f t="shared" si="8"/>
        <v>5.090955869</v>
      </c>
      <c r="X73" s="25">
        <f t="shared" si="9"/>
        <v>5.510955869</v>
      </c>
      <c r="Y73" s="25"/>
      <c r="Z73" s="25"/>
    </row>
    <row r="74">
      <c r="A74" s="1" t="s">
        <v>4</v>
      </c>
      <c r="B74" s="1">
        <v>62.0</v>
      </c>
      <c r="C74" s="1">
        <v>3.0</v>
      </c>
      <c r="D74" s="1">
        <v>6.0</v>
      </c>
      <c r="E74">
        <f t="shared" si="2"/>
        <v>7</v>
      </c>
      <c r="F74" t="str">
        <f t="shared" ref="F74:L74" si="150">IF((AND($A74 = "+0",$E74 = F$1)), $C74, "")</f>
        <v/>
      </c>
      <c r="G74" t="str">
        <f t="shared" si="150"/>
        <v/>
      </c>
      <c r="H74" t="str">
        <f t="shared" si="150"/>
        <v/>
      </c>
      <c r="I74" t="str">
        <f t="shared" si="150"/>
        <v/>
      </c>
      <c r="J74" t="str">
        <f t="shared" si="150"/>
        <v/>
      </c>
      <c r="K74" t="str">
        <f t="shared" si="150"/>
        <v/>
      </c>
      <c r="L74" t="str">
        <f t="shared" si="150"/>
        <v/>
      </c>
      <c r="M74" t="str">
        <f t="shared" ref="M74:S74" si="151">IF((AND($A74 = "+0",$E74 = M$1)), 2^$D74-$B74, "")</f>
        <v/>
      </c>
      <c r="N74" t="str">
        <f t="shared" si="151"/>
        <v/>
      </c>
      <c r="O74" t="str">
        <f t="shared" si="151"/>
        <v/>
      </c>
      <c r="P74" t="str">
        <f t="shared" si="151"/>
        <v/>
      </c>
      <c r="Q74" t="str">
        <f t="shared" si="151"/>
        <v/>
      </c>
      <c r="R74" t="str">
        <f t="shared" si="151"/>
        <v/>
      </c>
      <c r="S74" t="str">
        <f t="shared" si="151"/>
        <v/>
      </c>
      <c r="T74">
        <f t="shared" si="5"/>
        <v>186</v>
      </c>
      <c r="U74" s="25">
        <f t="shared" si="6"/>
        <v>20.66666667</v>
      </c>
      <c r="V74" s="26">
        <f t="shared" si="7"/>
        <v>0.03225806452</v>
      </c>
      <c r="W74" s="25">
        <f t="shared" si="8"/>
        <v>5.075415815</v>
      </c>
      <c r="X74" s="25">
        <f t="shared" si="9"/>
        <v>5.488749149</v>
      </c>
      <c r="Y74" s="25"/>
      <c r="Z74" s="25"/>
    </row>
    <row r="75">
      <c r="A75" s="1" t="s">
        <v>4</v>
      </c>
      <c r="B75" s="1">
        <v>61.0</v>
      </c>
      <c r="C75" s="1">
        <v>3.0</v>
      </c>
      <c r="D75" s="1">
        <v>6.0</v>
      </c>
      <c r="E75">
        <f t="shared" si="2"/>
        <v>7</v>
      </c>
      <c r="F75" t="str">
        <f t="shared" ref="F75:L75" si="152">IF((AND($A75 = "+0",$E75 = F$1)), $C75, "")</f>
        <v/>
      </c>
      <c r="G75" t="str">
        <f t="shared" si="152"/>
        <v/>
      </c>
      <c r="H75" t="str">
        <f t="shared" si="152"/>
        <v/>
      </c>
      <c r="I75" t="str">
        <f t="shared" si="152"/>
        <v/>
      </c>
      <c r="J75" t="str">
        <f t="shared" si="152"/>
        <v/>
      </c>
      <c r="K75" t="str">
        <f t="shared" si="152"/>
        <v/>
      </c>
      <c r="L75" t="str">
        <f t="shared" si="152"/>
        <v/>
      </c>
      <c r="M75" t="str">
        <f t="shared" ref="M75:S75" si="153">IF((AND($A75 = "+0",$E75 = M$1)), 2^$D75-$B75, "")</f>
        <v/>
      </c>
      <c r="N75" t="str">
        <f t="shared" si="153"/>
        <v/>
      </c>
      <c r="O75" t="str">
        <f t="shared" si="153"/>
        <v/>
      </c>
      <c r="P75" t="str">
        <f t="shared" si="153"/>
        <v/>
      </c>
      <c r="Q75" t="str">
        <f t="shared" si="153"/>
        <v/>
      </c>
      <c r="R75" t="str">
        <f t="shared" si="153"/>
        <v/>
      </c>
      <c r="S75" t="str">
        <f t="shared" si="153"/>
        <v/>
      </c>
      <c r="T75">
        <f t="shared" si="5"/>
        <v>183</v>
      </c>
      <c r="U75" s="25">
        <f t="shared" si="6"/>
        <v>20.33333333</v>
      </c>
      <c r="V75" s="26">
        <f t="shared" si="7"/>
        <v>0.03278688525</v>
      </c>
      <c r="W75" s="25">
        <f t="shared" si="8"/>
        <v>5.059623066</v>
      </c>
      <c r="X75" s="25">
        <f t="shared" si="9"/>
        <v>5.466289733</v>
      </c>
      <c r="Y75" s="25"/>
      <c r="Z75" s="25"/>
    </row>
    <row r="76">
      <c r="A76" s="1" t="s">
        <v>4</v>
      </c>
      <c r="B76" s="1">
        <v>60.0</v>
      </c>
      <c r="C76" s="1">
        <v>3.0</v>
      </c>
      <c r="D76" s="1">
        <v>6.0</v>
      </c>
      <c r="E76">
        <f t="shared" si="2"/>
        <v>7</v>
      </c>
      <c r="F76" t="str">
        <f t="shared" ref="F76:L76" si="154">IF((AND($A76 = "+0",$E76 = F$1)), $C76, "")</f>
        <v/>
      </c>
      <c r="G76" t="str">
        <f t="shared" si="154"/>
        <v/>
      </c>
      <c r="H76" t="str">
        <f t="shared" si="154"/>
        <v/>
      </c>
      <c r="I76" t="str">
        <f t="shared" si="154"/>
        <v/>
      </c>
      <c r="J76" t="str">
        <f t="shared" si="154"/>
        <v/>
      </c>
      <c r="K76" t="str">
        <f t="shared" si="154"/>
        <v/>
      </c>
      <c r="L76" t="str">
        <f t="shared" si="154"/>
        <v/>
      </c>
      <c r="M76" t="str">
        <f t="shared" ref="M76:S76" si="155">IF((AND($A76 = "+0",$E76 = M$1)), 2^$D76-$B76, "")</f>
        <v/>
      </c>
      <c r="N76" t="str">
        <f t="shared" si="155"/>
        <v/>
      </c>
      <c r="O76" t="str">
        <f t="shared" si="155"/>
        <v/>
      </c>
      <c r="P76" t="str">
        <f t="shared" si="155"/>
        <v/>
      </c>
      <c r="Q76" t="str">
        <f t="shared" si="155"/>
        <v/>
      </c>
      <c r="R76" t="str">
        <f t="shared" si="155"/>
        <v/>
      </c>
      <c r="S76" t="str">
        <f t="shared" si="155"/>
        <v/>
      </c>
      <c r="T76">
        <f t="shared" si="5"/>
        <v>180</v>
      </c>
      <c r="U76" s="25">
        <f t="shared" si="6"/>
        <v>20</v>
      </c>
      <c r="V76" s="26">
        <f t="shared" si="7"/>
        <v>0.03333333333</v>
      </c>
      <c r="W76" s="25">
        <f t="shared" si="8"/>
        <v>5.043569269</v>
      </c>
      <c r="X76" s="25">
        <f t="shared" si="9"/>
        <v>5.443569269</v>
      </c>
      <c r="Y76" s="25"/>
      <c r="Z76" s="25"/>
    </row>
    <row r="77">
      <c r="A77" s="1" t="s">
        <v>4</v>
      </c>
      <c r="B77" s="1">
        <v>59.0</v>
      </c>
      <c r="C77" s="1">
        <v>3.0</v>
      </c>
      <c r="D77" s="1">
        <v>6.0</v>
      </c>
      <c r="E77">
        <f t="shared" si="2"/>
        <v>7</v>
      </c>
      <c r="F77" t="str">
        <f t="shared" ref="F77:L77" si="156">IF((AND($A77 = "+0",$E77 = F$1)), $C77, "")</f>
        <v/>
      </c>
      <c r="G77" t="str">
        <f t="shared" si="156"/>
        <v/>
      </c>
      <c r="H77" t="str">
        <f t="shared" si="156"/>
        <v/>
      </c>
      <c r="I77" t="str">
        <f t="shared" si="156"/>
        <v/>
      </c>
      <c r="J77" t="str">
        <f t="shared" si="156"/>
        <v/>
      </c>
      <c r="K77" t="str">
        <f t="shared" si="156"/>
        <v/>
      </c>
      <c r="L77" t="str">
        <f t="shared" si="156"/>
        <v/>
      </c>
      <c r="M77" t="str">
        <f t="shared" ref="M77:S77" si="157">IF((AND($A77 = "+0",$E77 = M$1)), 2^$D77-$B77, "")</f>
        <v/>
      </c>
      <c r="N77" t="str">
        <f t="shared" si="157"/>
        <v/>
      </c>
      <c r="O77" t="str">
        <f t="shared" si="157"/>
        <v/>
      </c>
      <c r="P77" t="str">
        <f t="shared" si="157"/>
        <v/>
      </c>
      <c r="Q77" t="str">
        <f t="shared" si="157"/>
        <v/>
      </c>
      <c r="R77" t="str">
        <f t="shared" si="157"/>
        <v/>
      </c>
      <c r="S77" t="str">
        <f t="shared" si="157"/>
        <v/>
      </c>
      <c r="T77">
        <f t="shared" si="5"/>
        <v>177</v>
      </c>
      <c r="U77" s="25">
        <f t="shared" si="6"/>
        <v>19.66666667</v>
      </c>
      <c r="V77" s="26">
        <f t="shared" si="7"/>
        <v>0.03389830508</v>
      </c>
      <c r="W77" s="25">
        <f t="shared" si="8"/>
        <v>5.027245646</v>
      </c>
      <c r="X77" s="25">
        <f t="shared" si="9"/>
        <v>5.42057898</v>
      </c>
      <c r="Y77" s="25"/>
      <c r="Z77" s="25"/>
    </row>
    <row r="78">
      <c r="A78" s="1" t="s">
        <v>5</v>
      </c>
      <c r="B78" s="1">
        <v>58.0</v>
      </c>
      <c r="C78" s="1">
        <v>3.0</v>
      </c>
      <c r="D78" s="1">
        <v>6.0</v>
      </c>
      <c r="E78">
        <f t="shared" si="2"/>
        <v>6</v>
      </c>
      <c r="F78" t="str">
        <f t="shared" ref="F78:L78" si="158">IF((AND($A78 = "+0",$E78 = F$1)), $C78, "")</f>
        <v/>
      </c>
      <c r="G78" t="str">
        <f t="shared" si="158"/>
        <v/>
      </c>
      <c r="H78" t="str">
        <f t="shared" si="158"/>
        <v/>
      </c>
      <c r="I78" t="str">
        <f t="shared" si="158"/>
        <v/>
      </c>
      <c r="J78" t="str">
        <f t="shared" si="158"/>
        <v/>
      </c>
      <c r="K78">
        <f t="shared" si="158"/>
        <v>3</v>
      </c>
      <c r="L78" t="str">
        <f t="shared" si="158"/>
        <v/>
      </c>
      <c r="M78" t="str">
        <f t="shared" ref="M78:S78" si="159">IF((AND($A78 = "+0",$E78 = M$1)), 2^$D78-$B78, "")</f>
        <v/>
      </c>
      <c r="N78" t="str">
        <f t="shared" si="159"/>
        <v/>
      </c>
      <c r="O78" t="str">
        <f t="shared" si="159"/>
        <v/>
      </c>
      <c r="P78" t="str">
        <f t="shared" si="159"/>
        <v/>
      </c>
      <c r="Q78" t="str">
        <f t="shared" si="159"/>
        <v/>
      </c>
      <c r="R78">
        <f t="shared" si="159"/>
        <v>6</v>
      </c>
      <c r="S78" t="str">
        <f t="shared" si="159"/>
        <v/>
      </c>
      <c r="T78">
        <f t="shared" si="5"/>
        <v>174</v>
      </c>
      <c r="U78" s="25">
        <f t="shared" si="6"/>
        <v>19.33333333</v>
      </c>
      <c r="V78" s="26">
        <f t="shared" si="7"/>
        <v>0.03448275862</v>
      </c>
      <c r="W78" s="25">
        <f t="shared" si="8"/>
        <v>5.010642975</v>
      </c>
      <c r="X78" s="25">
        <f t="shared" si="9"/>
        <v>5.397309641</v>
      </c>
      <c r="Y78" s="25"/>
      <c r="Z78" s="25"/>
    </row>
    <row r="79">
      <c r="A79" s="1" t="s">
        <v>4</v>
      </c>
      <c r="B79" s="1">
        <v>58.0</v>
      </c>
      <c r="C79" s="1">
        <v>4.0</v>
      </c>
      <c r="D79" s="1">
        <v>6.0</v>
      </c>
      <c r="E79">
        <f t="shared" si="2"/>
        <v>7</v>
      </c>
      <c r="F79" t="str">
        <f t="shared" ref="F79:L79" si="160">IF((AND($A79 = "+0",$E79 = F$1)), $C79, "")</f>
        <v/>
      </c>
      <c r="G79" t="str">
        <f t="shared" si="160"/>
        <v/>
      </c>
      <c r="H79" t="str">
        <f t="shared" si="160"/>
        <v/>
      </c>
      <c r="I79" t="str">
        <f t="shared" si="160"/>
        <v/>
      </c>
      <c r="J79" t="str">
        <f t="shared" si="160"/>
        <v/>
      </c>
      <c r="K79" t="str">
        <f t="shared" si="160"/>
        <v/>
      </c>
      <c r="L79" t="str">
        <f t="shared" si="160"/>
        <v/>
      </c>
      <c r="M79" t="str">
        <f t="shared" ref="M79:S79" si="161">IF((AND($A79 = "+0",$E79 = M$1)), 2^$D79-$B79, "")</f>
        <v/>
      </c>
      <c r="N79" t="str">
        <f t="shared" si="161"/>
        <v/>
      </c>
      <c r="O79" t="str">
        <f t="shared" si="161"/>
        <v/>
      </c>
      <c r="P79" t="str">
        <f t="shared" si="161"/>
        <v/>
      </c>
      <c r="Q79" t="str">
        <f t="shared" si="161"/>
        <v/>
      </c>
      <c r="R79" t="str">
        <f t="shared" si="161"/>
        <v/>
      </c>
      <c r="S79" t="str">
        <f t="shared" si="161"/>
        <v/>
      </c>
      <c r="T79">
        <f t="shared" si="5"/>
        <v>232</v>
      </c>
      <c r="U79" s="25">
        <f t="shared" si="6"/>
        <v>14.5</v>
      </c>
      <c r="V79" s="26">
        <f t="shared" si="7"/>
        <v>0.05172413793</v>
      </c>
      <c r="W79" s="25">
        <f t="shared" si="8"/>
        <v>5.290049198</v>
      </c>
      <c r="X79" s="25">
        <f t="shared" si="9"/>
        <v>5.580049198</v>
      </c>
      <c r="Y79" s="25"/>
      <c r="Z79" s="25"/>
    </row>
    <row r="80">
      <c r="A80" s="1" t="s">
        <v>4</v>
      </c>
      <c r="B80" s="1">
        <v>57.0</v>
      </c>
      <c r="C80" s="1">
        <v>4.0</v>
      </c>
      <c r="D80" s="1">
        <v>6.0</v>
      </c>
      <c r="E80">
        <f t="shared" si="2"/>
        <v>7</v>
      </c>
      <c r="F80" t="str">
        <f t="shared" ref="F80:L80" si="162">IF((AND($A80 = "+0",$E80 = F$1)), $C80, "")</f>
        <v/>
      </c>
      <c r="G80" t="str">
        <f t="shared" si="162"/>
        <v/>
      </c>
      <c r="H80" t="str">
        <f t="shared" si="162"/>
        <v/>
      </c>
      <c r="I80" t="str">
        <f t="shared" si="162"/>
        <v/>
      </c>
      <c r="J80" t="str">
        <f t="shared" si="162"/>
        <v/>
      </c>
      <c r="K80" t="str">
        <f t="shared" si="162"/>
        <v/>
      </c>
      <c r="L80" t="str">
        <f t="shared" si="162"/>
        <v/>
      </c>
      <c r="M80" t="str">
        <f t="shared" ref="M80:S80" si="163">IF((AND($A80 = "+0",$E80 = M$1)), 2^$D80-$B80, "")</f>
        <v/>
      </c>
      <c r="N80" t="str">
        <f t="shared" si="163"/>
        <v/>
      </c>
      <c r="O80" t="str">
        <f t="shared" si="163"/>
        <v/>
      </c>
      <c r="P80" t="str">
        <f t="shared" si="163"/>
        <v/>
      </c>
      <c r="Q80" t="str">
        <f t="shared" si="163"/>
        <v/>
      </c>
      <c r="R80" t="str">
        <f t="shared" si="163"/>
        <v/>
      </c>
      <c r="S80" t="str">
        <f t="shared" si="163"/>
        <v/>
      </c>
      <c r="T80">
        <f t="shared" si="5"/>
        <v>228</v>
      </c>
      <c r="U80" s="25">
        <f t="shared" si="6"/>
        <v>14.25</v>
      </c>
      <c r="V80" s="26">
        <f t="shared" si="7"/>
        <v>0.05263157895</v>
      </c>
      <c r="W80" s="25">
        <f t="shared" si="8"/>
        <v>5.273157769</v>
      </c>
      <c r="X80" s="25">
        <f t="shared" si="9"/>
        <v>5.558157769</v>
      </c>
      <c r="Y80" s="25"/>
      <c r="Z80" s="25"/>
    </row>
    <row r="81">
      <c r="A81" s="1" t="s">
        <v>4</v>
      </c>
      <c r="B81" s="1">
        <v>56.0</v>
      </c>
      <c r="C81" s="1">
        <v>4.0</v>
      </c>
      <c r="D81" s="1">
        <v>6.0</v>
      </c>
      <c r="E81">
        <f t="shared" si="2"/>
        <v>7</v>
      </c>
      <c r="F81" t="str">
        <f t="shared" ref="F81:L81" si="164">IF((AND($A81 = "+0",$E81 = F$1)), $C81, "")</f>
        <v/>
      </c>
      <c r="G81" t="str">
        <f t="shared" si="164"/>
        <v/>
      </c>
      <c r="H81" t="str">
        <f t="shared" si="164"/>
        <v/>
      </c>
      <c r="I81" t="str">
        <f t="shared" si="164"/>
        <v/>
      </c>
      <c r="J81" t="str">
        <f t="shared" si="164"/>
        <v/>
      </c>
      <c r="K81" t="str">
        <f t="shared" si="164"/>
        <v/>
      </c>
      <c r="L81" t="str">
        <f t="shared" si="164"/>
        <v/>
      </c>
      <c r="M81" t="str">
        <f t="shared" ref="M81:S81" si="165">IF((AND($A81 = "+0",$E81 = M$1)), 2^$D81-$B81, "")</f>
        <v/>
      </c>
      <c r="N81" t="str">
        <f t="shared" si="165"/>
        <v/>
      </c>
      <c r="O81" t="str">
        <f t="shared" si="165"/>
        <v/>
      </c>
      <c r="P81" t="str">
        <f t="shared" si="165"/>
        <v/>
      </c>
      <c r="Q81" t="str">
        <f t="shared" si="165"/>
        <v/>
      </c>
      <c r="R81" t="str">
        <f t="shared" si="165"/>
        <v/>
      </c>
      <c r="S81" t="str">
        <f t="shared" si="165"/>
        <v/>
      </c>
      <c r="T81">
        <f t="shared" si="5"/>
        <v>224</v>
      </c>
      <c r="U81" s="25">
        <f t="shared" si="6"/>
        <v>14</v>
      </c>
      <c r="V81" s="26">
        <f t="shared" si="7"/>
        <v>0.05357142857</v>
      </c>
      <c r="W81" s="25">
        <f t="shared" si="8"/>
        <v>5.255967362</v>
      </c>
      <c r="X81" s="25">
        <f t="shared" si="9"/>
        <v>5.535967362</v>
      </c>
      <c r="Y81" s="25"/>
      <c r="Z81" s="25"/>
    </row>
    <row r="82">
      <c r="A82" s="1" t="s">
        <v>4</v>
      </c>
      <c r="B82" s="1">
        <v>55.0</v>
      </c>
      <c r="C82" s="1">
        <v>4.0</v>
      </c>
      <c r="D82" s="1">
        <v>6.0</v>
      </c>
      <c r="E82">
        <f t="shared" si="2"/>
        <v>7</v>
      </c>
      <c r="F82" t="str">
        <f t="shared" ref="F82:L82" si="166">IF((AND($A82 = "+0",$E82 = F$1)), $C82, "")</f>
        <v/>
      </c>
      <c r="G82" t="str">
        <f t="shared" si="166"/>
        <v/>
      </c>
      <c r="H82" t="str">
        <f t="shared" si="166"/>
        <v/>
      </c>
      <c r="I82" t="str">
        <f t="shared" si="166"/>
        <v/>
      </c>
      <c r="J82" t="str">
        <f t="shared" si="166"/>
        <v/>
      </c>
      <c r="K82" t="str">
        <f t="shared" si="166"/>
        <v/>
      </c>
      <c r="L82" t="str">
        <f t="shared" si="166"/>
        <v/>
      </c>
      <c r="M82" t="str">
        <f t="shared" ref="M82:S82" si="167">IF((AND($A82 = "+0",$E82 = M$1)), 2^$D82-$B82, "")</f>
        <v/>
      </c>
      <c r="N82" t="str">
        <f t="shared" si="167"/>
        <v/>
      </c>
      <c r="O82" t="str">
        <f t="shared" si="167"/>
        <v/>
      </c>
      <c r="P82" t="str">
        <f t="shared" si="167"/>
        <v/>
      </c>
      <c r="Q82" t="str">
        <f t="shared" si="167"/>
        <v/>
      </c>
      <c r="R82" t="str">
        <f t="shared" si="167"/>
        <v/>
      </c>
      <c r="S82" t="str">
        <f t="shared" si="167"/>
        <v/>
      </c>
      <c r="T82">
        <f t="shared" si="5"/>
        <v>220</v>
      </c>
      <c r="U82" s="25">
        <f t="shared" si="6"/>
        <v>13.75</v>
      </c>
      <c r="V82" s="26">
        <f t="shared" si="7"/>
        <v>0.05454545455</v>
      </c>
      <c r="W82" s="25">
        <f t="shared" si="8"/>
        <v>5.238467201</v>
      </c>
      <c r="X82" s="25">
        <f t="shared" si="9"/>
        <v>5.513467201</v>
      </c>
      <c r="Y82" s="25"/>
      <c r="Z82" s="25"/>
    </row>
    <row r="83">
      <c r="A83" s="1" t="s">
        <v>5</v>
      </c>
      <c r="B83" s="1">
        <v>54.0</v>
      </c>
      <c r="C83" s="1">
        <v>4.0</v>
      </c>
      <c r="D83" s="1">
        <v>6.0</v>
      </c>
      <c r="E83">
        <f t="shared" si="2"/>
        <v>6</v>
      </c>
      <c r="F83" t="str">
        <f t="shared" ref="F83:L83" si="168">IF((AND($A83 = "+0",$E83 = F$1)), $C83, "")</f>
        <v/>
      </c>
      <c r="G83" t="str">
        <f t="shared" si="168"/>
        <v/>
      </c>
      <c r="H83" t="str">
        <f t="shared" si="168"/>
        <v/>
      </c>
      <c r="I83" t="str">
        <f t="shared" si="168"/>
        <v/>
      </c>
      <c r="J83" t="str">
        <f t="shared" si="168"/>
        <v/>
      </c>
      <c r="K83">
        <f t="shared" si="168"/>
        <v>4</v>
      </c>
      <c r="L83" t="str">
        <f t="shared" si="168"/>
        <v/>
      </c>
      <c r="M83" t="str">
        <f t="shared" ref="M83:S83" si="169">IF((AND($A83 = "+0",$E83 = M$1)), 2^$D83-$B83, "")</f>
        <v/>
      </c>
      <c r="N83" t="str">
        <f t="shared" si="169"/>
        <v/>
      </c>
      <c r="O83" t="str">
        <f t="shared" si="169"/>
        <v/>
      </c>
      <c r="P83" t="str">
        <f t="shared" si="169"/>
        <v/>
      </c>
      <c r="Q83" t="str">
        <f t="shared" si="169"/>
        <v/>
      </c>
      <c r="R83">
        <f t="shared" si="169"/>
        <v>10</v>
      </c>
      <c r="S83" t="str">
        <f t="shared" si="169"/>
        <v/>
      </c>
      <c r="T83">
        <f t="shared" si="5"/>
        <v>216</v>
      </c>
      <c r="U83" s="25">
        <f t="shared" si="6"/>
        <v>13.5</v>
      </c>
      <c r="V83" s="26">
        <f t="shared" si="7"/>
        <v>0.05555555556</v>
      </c>
      <c r="W83" s="25">
        <f t="shared" si="8"/>
        <v>5.220645918</v>
      </c>
      <c r="X83" s="25">
        <f t="shared" si="9"/>
        <v>5.490645918</v>
      </c>
      <c r="Y83" s="25"/>
      <c r="Z83" s="25"/>
    </row>
    <row r="84">
      <c r="A84" s="1" t="s">
        <v>4</v>
      </c>
      <c r="B84" s="1">
        <v>54.0</v>
      </c>
      <c r="C84" s="1">
        <v>5.0</v>
      </c>
      <c r="D84" s="1">
        <v>6.0</v>
      </c>
      <c r="E84">
        <f t="shared" si="2"/>
        <v>7</v>
      </c>
      <c r="F84" t="str">
        <f t="shared" ref="F84:L84" si="170">IF((AND($A84 = "+0",$E84 = F$1)), $C84, "")</f>
        <v/>
      </c>
      <c r="G84" t="str">
        <f t="shared" si="170"/>
        <v/>
      </c>
      <c r="H84" t="str">
        <f t="shared" si="170"/>
        <v/>
      </c>
      <c r="I84" t="str">
        <f t="shared" si="170"/>
        <v/>
      </c>
      <c r="J84" t="str">
        <f t="shared" si="170"/>
        <v/>
      </c>
      <c r="K84" t="str">
        <f t="shared" si="170"/>
        <v/>
      </c>
      <c r="L84" t="str">
        <f t="shared" si="170"/>
        <v/>
      </c>
      <c r="M84" t="str">
        <f t="shared" ref="M84:S84" si="171">IF((AND($A84 = "+0",$E84 = M$1)), 2^$D84-$B84, "")</f>
        <v/>
      </c>
      <c r="N84" t="str">
        <f t="shared" si="171"/>
        <v/>
      </c>
      <c r="O84" t="str">
        <f t="shared" si="171"/>
        <v/>
      </c>
      <c r="P84" t="str">
        <f t="shared" si="171"/>
        <v/>
      </c>
      <c r="Q84" t="str">
        <f t="shared" si="171"/>
        <v/>
      </c>
      <c r="R84" t="str">
        <f t="shared" si="171"/>
        <v/>
      </c>
      <c r="S84" t="str">
        <f t="shared" si="171"/>
        <v/>
      </c>
      <c r="T84">
        <f t="shared" si="5"/>
        <v>270</v>
      </c>
      <c r="U84" s="25">
        <f t="shared" si="6"/>
        <v>10.8</v>
      </c>
      <c r="V84" s="26">
        <f t="shared" si="7"/>
        <v>0.07407407407</v>
      </c>
      <c r="W84" s="25">
        <f t="shared" si="8"/>
        <v>5.437370222</v>
      </c>
      <c r="X84" s="25">
        <f t="shared" si="9"/>
        <v>5.653370222</v>
      </c>
      <c r="Y84" s="25"/>
      <c r="Z84" s="25"/>
    </row>
    <row r="85">
      <c r="A85" s="1" t="s">
        <v>4</v>
      </c>
      <c r="B85" s="1">
        <v>53.0</v>
      </c>
      <c r="C85" s="1">
        <v>5.0</v>
      </c>
      <c r="D85" s="1">
        <v>6.0</v>
      </c>
      <c r="E85">
        <f t="shared" si="2"/>
        <v>7</v>
      </c>
      <c r="F85" t="str">
        <f t="shared" ref="F85:L85" si="172">IF((AND($A85 = "+0",$E85 = F$1)), $C85, "")</f>
        <v/>
      </c>
      <c r="G85" t="str">
        <f t="shared" si="172"/>
        <v/>
      </c>
      <c r="H85" t="str">
        <f t="shared" si="172"/>
        <v/>
      </c>
      <c r="I85" t="str">
        <f t="shared" si="172"/>
        <v/>
      </c>
      <c r="J85" t="str">
        <f t="shared" si="172"/>
        <v/>
      </c>
      <c r="K85" t="str">
        <f t="shared" si="172"/>
        <v/>
      </c>
      <c r="L85" t="str">
        <f t="shared" si="172"/>
        <v/>
      </c>
      <c r="M85" t="str">
        <f t="shared" ref="M85:S85" si="173">IF((AND($A85 = "+0",$E85 = M$1)), 2^$D85-$B85, "")</f>
        <v/>
      </c>
      <c r="N85" t="str">
        <f t="shared" si="173"/>
        <v/>
      </c>
      <c r="O85" t="str">
        <f t="shared" si="173"/>
        <v/>
      </c>
      <c r="P85" t="str">
        <f t="shared" si="173"/>
        <v/>
      </c>
      <c r="Q85" t="str">
        <f t="shared" si="173"/>
        <v/>
      </c>
      <c r="R85" t="str">
        <f t="shared" si="173"/>
        <v/>
      </c>
      <c r="S85" t="str">
        <f t="shared" si="173"/>
        <v/>
      </c>
      <c r="T85">
        <f t="shared" si="5"/>
        <v>265</v>
      </c>
      <c r="U85" s="25">
        <f t="shared" si="6"/>
        <v>10.6</v>
      </c>
      <c r="V85" s="26">
        <f t="shared" si="7"/>
        <v>0.07547169811</v>
      </c>
      <c r="W85" s="25">
        <f t="shared" si="8"/>
        <v>5.419215812</v>
      </c>
      <c r="X85" s="25">
        <f t="shared" si="9"/>
        <v>5.631215812</v>
      </c>
      <c r="Y85" s="25"/>
      <c r="Z85" s="25"/>
    </row>
    <row r="86">
      <c r="A86" s="1" t="s">
        <v>4</v>
      </c>
      <c r="B86" s="1">
        <v>52.0</v>
      </c>
      <c r="C86" s="1">
        <v>5.0</v>
      </c>
      <c r="D86" s="1">
        <v>6.0</v>
      </c>
      <c r="E86">
        <f t="shared" si="2"/>
        <v>7</v>
      </c>
      <c r="F86" t="str">
        <f t="shared" ref="F86:L86" si="174">IF((AND($A86 = "+0",$E86 = F$1)), $C86, "")</f>
        <v/>
      </c>
      <c r="G86" t="str">
        <f t="shared" si="174"/>
        <v/>
      </c>
      <c r="H86" t="str">
        <f t="shared" si="174"/>
        <v/>
      </c>
      <c r="I86" t="str">
        <f t="shared" si="174"/>
        <v/>
      </c>
      <c r="J86" t="str">
        <f t="shared" si="174"/>
        <v/>
      </c>
      <c r="K86" t="str">
        <f t="shared" si="174"/>
        <v/>
      </c>
      <c r="L86" t="str">
        <f t="shared" si="174"/>
        <v/>
      </c>
      <c r="M86" t="str">
        <f t="shared" ref="M86:S86" si="175">IF((AND($A86 = "+0",$E86 = M$1)), 2^$D86-$B86, "")</f>
        <v/>
      </c>
      <c r="N86" t="str">
        <f t="shared" si="175"/>
        <v/>
      </c>
      <c r="O86" t="str">
        <f t="shared" si="175"/>
        <v/>
      </c>
      <c r="P86" t="str">
        <f t="shared" si="175"/>
        <v/>
      </c>
      <c r="Q86" t="str">
        <f t="shared" si="175"/>
        <v/>
      </c>
      <c r="R86" t="str">
        <f t="shared" si="175"/>
        <v/>
      </c>
      <c r="S86" t="str">
        <f t="shared" si="175"/>
        <v/>
      </c>
      <c r="T86">
        <f t="shared" si="5"/>
        <v>260</v>
      </c>
      <c r="U86" s="25">
        <f t="shared" si="6"/>
        <v>10.4</v>
      </c>
      <c r="V86" s="26">
        <f t="shared" si="7"/>
        <v>0.07692307692</v>
      </c>
      <c r="W86" s="25">
        <f t="shared" si="8"/>
        <v>5.400715583</v>
      </c>
      <c r="X86" s="25">
        <f t="shared" si="9"/>
        <v>5.608715583</v>
      </c>
      <c r="Y86" s="25"/>
      <c r="Z86" s="25"/>
    </row>
    <row r="87">
      <c r="A87" s="1" t="s">
        <v>4</v>
      </c>
      <c r="B87" s="1">
        <v>51.0</v>
      </c>
      <c r="C87" s="1">
        <v>5.0</v>
      </c>
      <c r="D87" s="1">
        <v>6.0</v>
      </c>
      <c r="E87">
        <f t="shared" si="2"/>
        <v>7</v>
      </c>
      <c r="F87" t="str">
        <f t="shared" ref="F87:L87" si="176">IF((AND($A87 = "+0",$E87 = F$1)), $C87, "")</f>
        <v/>
      </c>
      <c r="G87" t="str">
        <f t="shared" si="176"/>
        <v/>
      </c>
      <c r="H87" t="str">
        <f t="shared" si="176"/>
        <v/>
      </c>
      <c r="I87" t="str">
        <f t="shared" si="176"/>
        <v/>
      </c>
      <c r="J87" t="str">
        <f t="shared" si="176"/>
        <v/>
      </c>
      <c r="K87" t="str">
        <f t="shared" si="176"/>
        <v/>
      </c>
      <c r="L87" t="str">
        <f t="shared" si="176"/>
        <v/>
      </c>
      <c r="M87" t="str">
        <f t="shared" ref="M87:S87" si="177">IF((AND($A87 = "+0",$E87 = M$1)), 2^$D87-$B87, "")</f>
        <v/>
      </c>
      <c r="N87" t="str">
        <f t="shared" si="177"/>
        <v/>
      </c>
      <c r="O87" t="str">
        <f t="shared" si="177"/>
        <v/>
      </c>
      <c r="P87" t="str">
        <f t="shared" si="177"/>
        <v/>
      </c>
      <c r="Q87" t="str">
        <f t="shared" si="177"/>
        <v/>
      </c>
      <c r="R87" t="str">
        <f t="shared" si="177"/>
        <v/>
      </c>
      <c r="S87" t="str">
        <f t="shared" si="177"/>
        <v/>
      </c>
      <c r="T87">
        <f t="shared" si="5"/>
        <v>255</v>
      </c>
      <c r="U87" s="25">
        <f t="shared" si="6"/>
        <v>10.2</v>
      </c>
      <c r="V87" s="26">
        <f t="shared" si="7"/>
        <v>0.07843137255</v>
      </c>
      <c r="W87" s="25">
        <f t="shared" si="8"/>
        <v>5.381856104</v>
      </c>
      <c r="X87" s="25">
        <f t="shared" si="9"/>
        <v>5.585856104</v>
      </c>
      <c r="Y87" s="25"/>
      <c r="Z87" s="25"/>
    </row>
    <row r="88">
      <c r="A88" s="1" t="s">
        <v>5</v>
      </c>
      <c r="B88" s="1">
        <v>50.0</v>
      </c>
      <c r="C88" s="1">
        <v>5.0</v>
      </c>
      <c r="D88" s="1">
        <v>6.0</v>
      </c>
      <c r="E88">
        <f t="shared" si="2"/>
        <v>6</v>
      </c>
      <c r="F88" t="str">
        <f t="shared" ref="F88:L88" si="178">IF((AND($A88 = "+0",$E88 = F$1)), $C88, "")</f>
        <v/>
      </c>
      <c r="G88" t="str">
        <f t="shared" si="178"/>
        <v/>
      </c>
      <c r="H88" t="str">
        <f t="shared" si="178"/>
        <v/>
      </c>
      <c r="I88" t="str">
        <f t="shared" si="178"/>
        <v/>
      </c>
      <c r="J88" t="str">
        <f t="shared" si="178"/>
        <v/>
      </c>
      <c r="K88">
        <f t="shared" si="178"/>
        <v>5</v>
      </c>
      <c r="L88" t="str">
        <f t="shared" si="178"/>
        <v/>
      </c>
      <c r="M88" t="str">
        <f t="shared" ref="M88:S88" si="179">IF((AND($A88 = "+0",$E88 = M$1)), 2^$D88-$B88, "")</f>
        <v/>
      </c>
      <c r="N88" t="str">
        <f t="shared" si="179"/>
        <v/>
      </c>
      <c r="O88" t="str">
        <f t="shared" si="179"/>
        <v/>
      </c>
      <c r="P88" t="str">
        <f t="shared" si="179"/>
        <v/>
      </c>
      <c r="Q88" t="str">
        <f t="shared" si="179"/>
        <v/>
      </c>
      <c r="R88">
        <f t="shared" si="179"/>
        <v>14</v>
      </c>
      <c r="S88" t="str">
        <f t="shared" si="179"/>
        <v/>
      </c>
      <c r="T88">
        <f t="shared" si="5"/>
        <v>250</v>
      </c>
      <c r="U88" s="25">
        <f t="shared" si="6"/>
        <v>10</v>
      </c>
      <c r="V88" s="26">
        <f t="shared" si="7"/>
        <v>0.08</v>
      </c>
      <c r="W88" s="25">
        <f t="shared" si="8"/>
        <v>5.362623146</v>
      </c>
      <c r="X88" s="25">
        <f t="shared" si="9"/>
        <v>5.562623146</v>
      </c>
      <c r="Y88" s="25"/>
      <c r="Z88" s="25"/>
    </row>
    <row r="89">
      <c r="A89" s="1" t="s">
        <v>4</v>
      </c>
      <c r="B89" s="1">
        <v>50.0</v>
      </c>
      <c r="C89" s="1">
        <v>6.0</v>
      </c>
      <c r="D89" s="1">
        <v>6.0</v>
      </c>
      <c r="E89">
        <f t="shared" si="2"/>
        <v>7</v>
      </c>
      <c r="F89" t="str">
        <f t="shared" ref="F89:L89" si="180">IF((AND($A89 = "+0",$E89 = F$1)), $C89, "")</f>
        <v/>
      </c>
      <c r="G89" t="str">
        <f t="shared" si="180"/>
        <v/>
      </c>
      <c r="H89" t="str">
        <f t="shared" si="180"/>
        <v/>
      </c>
      <c r="I89" t="str">
        <f t="shared" si="180"/>
        <v/>
      </c>
      <c r="J89" t="str">
        <f t="shared" si="180"/>
        <v/>
      </c>
      <c r="K89" t="str">
        <f t="shared" si="180"/>
        <v/>
      </c>
      <c r="L89" t="str">
        <f t="shared" si="180"/>
        <v/>
      </c>
      <c r="M89" t="str">
        <f t="shared" ref="M89:S89" si="181">IF((AND($A89 = "+0",$E89 = M$1)), 2^$D89-$B89, "")</f>
        <v/>
      </c>
      <c r="N89" t="str">
        <f t="shared" si="181"/>
        <v/>
      </c>
      <c r="O89" t="str">
        <f t="shared" si="181"/>
        <v/>
      </c>
      <c r="P89" t="str">
        <f t="shared" si="181"/>
        <v/>
      </c>
      <c r="Q89" t="str">
        <f t="shared" si="181"/>
        <v/>
      </c>
      <c r="R89" t="str">
        <f t="shared" si="181"/>
        <v/>
      </c>
      <c r="S89" t="str">
        <f t="shared" si="181"/>
        <v/>
      </c>
      <c r="T89">
        <f t="shared" si="5"/>
        <v>300</v>
      </c>
      <c r="U89" s="25">
        <f t="shared" si="6"/>
        <v>8.333333333</v>
      </c>
      <c r="V89" s="26">
        <f t="shared" si="7"/>
        <v>0.1</v>
      </c>
      <c r="W89" s="25">
        <f t="shared" si="8"/>
        <v>5.539699795</v>
      </c>
      <c r="X89" s="25">
        <f t="shared" si="9"/>
        <v>5.706366462</v>
      </c>
      <c r="Y89" s="25"/>
      <c r="Z89" s="25"/>
    </row>
    <row r="90">
      <c r="A90" s="1" t="s">
        <v>4</v>
      </c>
      <c r="B90" s="1">
        <v>49.0</v>
      </c>
      <c r="C90" s="1">
        <v>6.0</v>
      </c>
      <c r="D90" s="1">
        <v>6.0</v>
      </c>
      <c r="E90">
        <f t="shared" si="2"/>
        <v>7</v>
      </c>
      <c r="F90" t="str">
        <f t="shared" ref="F90:L90" si="182">IF((AND($A90 = "+0",$E90 = F$1)), $C90, "")</f>
        <v/>
      </c>
      <c r="G90" t="str">
        <f t="shared" si="182"/>
        <v/>
      </c>
      <c r="H90" t="str">
        <f t="shared" si="182"/>
        <v/>
      </c>
      <c r="I90" t="str">
        <f t="shared" si="182"/>
        <v/>
      </c>
      <c r="J90" t="str">
        <f t="shared" si="182"/>
        <v/>
      </c>
      <c r="K90" t="str">
        <f t="shared" si="182"/>
        <v/>
      </c>
      <c r="L90" t="str">
        <f t="shared" si="182"/>
        <v/>
      </c>
      <c r="M90" t="str">
        <f t="shared" ref="M90:S90" si="183">IF((AND($A90 = "+0",$E90 = M$1)), 2^$D90-$B90, "")</f>
        <v/>
      </c>
      <c r="N90" t="str">
        <f t="shared" si="183"/>
        <v/>
      </c>
      <c r="O90" t="str">
        <f t="shared" si="183"/>
        <v/>
      </c>
      <c r="P90" t="str">
        <f t="shared" si="183"/>
        <v/>
      </c>
      <c r="Q90" t="str">
        <f t="shared" si="183"/>
        <v/>
      </c>
      <c r="R90" t="str">
        <f t="shared" si="183"/>
        <v/>
      </c>
      <c r="S90" t="str">
        <f t="shared" si="183"/>
        <v/>
      </c>
      <c r="T90">
        <f t="shared" si="5"/>
        <v>294</v>
      </c>
      <c r="U90" s="25">
        <f t="shared" si="6"/>
        <v>8.166666667</v>
      </c>
      <c r="V90" s="26">
        <f t="shared" si="7"/>
        <v>0.1020408163</v>
      </c>
      <c r="W90" s="25">
        <f t="shared" si="8"/>
        <v>5.520078266</v>
      </c>
      <c r="X90" s="25">
        <f t="shared" si="9"/>
        <v>5.6834116</v>
      </c>
      <c r="Y90" s="25"/>
      <c r="Z90" s="25"/>
    </row>
    <row r="91">
      <c r="A91" s="1" t="s">
        <v>4</v>
      </c>
      <c r="B91" s="1">
        <v>48.0</v>
      </c>
      <c r="C91" s="1">
        <v>6.0</v>
      </c>
      <c r="D91" s="1">
        <v>6.0</v>
      </c>
      <c r="E91">
        <f t="shared" si="2"/>
        <v>7</v>
      </c>
      <c r="F91" t="str">
        <f t="shared" ref="F91:L91" si="184">IF((AND($A91 = "+0",$E91 = F$1)), $C91, "")</f>
        <v/>
      </c>
      <c r="G91" t="str">
        <f t="shared" si="184"/>
        <v/>
      </c>
      <c r="H91" t="str">
        <f t="shared" si="184"/>
        <v/>
      </c>
      <c r="I91" t="str">
        <f t="shared" si="184"/>
        <v/>
      </c>
      <c r="J91" t="str">
        <f t="shared" si="184"/>
        <v/>
      </c>
      <c r="K91" t="str">
        <f t="shared" si="184"/>
        <v/>
      </c>
      <c r="L91" t="str">
        <f t="shared" si="184"/>
        <v/>
      </c>
      <c r="M91" t="str">
        <f t="shared" ref="M91:S91" si="185">IF((AND($A91 = "+0",$E91 = M$1)), 2^$D91-$B91, "")</f>
        <v/>
      </c>
      <c r="N91" t="str">
        <f t="shared" si="185"/>
        <v/>
      </c>
      <c r="O91" t="str">
        <f t="shared" si="185"/>
        <v/>
      </c>
      <c r="P91" t="str">
        <f t="shared" si="185"/>
        <v/>
      </c>
      <c r="Q91" t="str">
        <f t="shared" si="185"/>
        <v/>
      </c>
      <c r="R91" t="str">
        <f t="shared" si="185"/>
        <v/>
      </c>
      <c r="S91" t="str">
        <f t="shared" si="185"/>
        <v/>
      </c>
      <c r="T91">
        <f t="shared" si="5"/>
        <v>288</v>
      </c>
      <c r="U91" s="25">
        <f t="shared" si="6"/>
        <v>8</v>
      </c>
      <c r="V91" s="26">
        <f t="shared" si="7"/>
        <v>0.1041666667</v>
      </c>
      <c r="W91" s="25">
        <f t="shared" si="8"/>
        <v>5.500052141</v>
      </c>
      <c r="X91" s="25">
        <f t="shared" si="9"/>
        <v>5.660052141</v>
      </c>
      <c r="Y91" s="25"/>
      <c r="Z91" s="25"/>
    </row>
    <row r="92">
      <c r="A92" s="1" t="s">
        <v>4</v>
      </c>
      <c r="B92" s="1">
        <v>47.0</v>
      </c>
      <c r="C92" s="1">
        <v>6.0</v>
      </c>
      <c r="D92" s="1">
        <v>6.0</v>
      </c>
      <c r="E92">
        <f t="shared" si="2"/>
        <v>7</v>
      </c>
      <c r="F92" t="str">
        <f t="shared" ref="F92:L92" si="186">IF((AND($A92 = "+0",$E92 = F$1)), $C92, "")</f>
        <v/>
      </c>
      <c r="G92" t="str">
        <f t="shared" si="186"/>
        <v/>
      </c>
      <c r="H92" t="str">
        <f t="shared" si="186"/>
        <v/>
      </c>
      <c r="I92" t="str">
        <f t="shared" si="186"/>
        <v/>
      </c>
      <c r="J92" t="str">
        <f t="shared" si="186"/>
        <v/>
      </c>
      <c r="K92" t="str">
        <f t="shared" si="186"/>
        <v/>
      </c>
      <c r="L92" t="str">
        <f t="shared" si="186"/>
        <v/>
      </c>
      <c r="M92" t="str">
        <f t="shared" ref="M92:S92" si="187">IF((AND($A92 = "+0",$E92 = M$1)), 2^$D92-$B92, "")</f>
        <v/>
      </c>
      <c r="N92" t="str">
        <f t="shared" si="187"/>
        <v/>
      </c>
      <c r="O92" t="str">
        <f t="shared" si="187"/>
        <v/>
      </c>
      <c r="P92" t="str">
        <f t="shared" si="187"/>
        <v/>
      </c>
      <c r="Q92" t="str">
        <f t="shared" si="187"/>
        <v/>
      </c>
      <c r="R92" t="str">
        <f t="shared" si="187"/>
        <v/>
      </c>
      <c r="S92" t="str">
        <f t="shared" si="187"/>
        <v/>
      </c>
      <c r="T92">
        <f t="shared" si="5"/>
        <v>282</v>
      </c>
      <c r="U92" s="25">
        <f t="shared" si="6"/>
        <v>7.833333333</v>
      </c>
      <c r="V92" s="26">
        <f t="shared" si="7"/>
        <v>0.1063829787</v>
      </c>
      <c r="W92" s="25">
        <f t="shared" si="8"/>
        <v>5.479604383</v>
      </c>
      <c r="X92" s="25">
        <f t="shared" si="9"/>
        <v>5.636271049</v>
      </c>
      <c r="Y92" s="25"/>
      <c r="Z92" s="25"/>
    </row>
    <row r="93">
      <c r="A93" s="1" t="s">
        <v>5</v>
      </c>
      <c r="B93" s="1">
        <v>46.0</v>
      </c>
      <c r="C93" s="1">
        <v>6.0</v>
      </c>
      <c r="D93" s="1">
        <v>6.0</v>
      </c>
      <c r="E93">
        <f t="shared" si="2"/>
        <v>6</v>
      </c>
      <c r="F93" t="str">
        <f t="shared" ref="F93:L93" si="188">IF((AND($A93 = "+0",$E93 = F$1)), $C93, "")</f>
        <v/>
      </c>
      <c r="G93" t="str">
        <f t="shared" si="188"/>
        <v/>
      </c>
      <c r="H93" t="str">
        <f t="shared" si="188"/>
        <v/>
      </c>
      <c r="I93" t="str">
        <f t="shared" si="188"/>
        <v/>
      </c>
      <c r="J93" t="str">
        <f t="shared" si="188"/>
        <v/>
      </c>
      <c r="K93">
        <f t="shared" si="188"/>
        <v>6</v>
      </c>
      <c r="L93" t="str">
        <f t="shared" si="188"/>
        <v/>
      </c>
      <c r="M93" t="str">
        <f t="shared" ref="M93:S93" si="189">IF((AND($A93 = "+0",$E93 = M$1)), 2^$D93-$B93, "")</f>
        <v/>
      </c>
      <c r="N93" t="str">
        <f t="shared" si="189"/>
        <v/>
      </c>
      <c r="O93" t="str">
        <f t="shared" si="189"/>
        <v/>
      </c>
      <c r="P93" t="str">
        <f t="shared" si="189"/>
        <v/>
      </c>
      <c r="Q93" t="str">
        <f t="shared" si="189"/>
        <v/>
      </c>
      <c r="R93">
        <f t="shared" si="189"/>
        <v>18</v>
      </c>
      <c r="S93" t="str">
        <f t="shared" si="189"/>
        <v/>
      </c>
      <c r="T93">
        <f t="shared" si="5"/>
        <v>276</v>
      </c>
      <c r="U93" s="25">
        <f t="shared" si="6"/>
        <v>7.666666667</v>
      </c>
      <c r="V93" s="26">
        <f t="shared" si="7"/>
        <v>0.1086956522</v>
      </c>
      <c r="W93" s="25">
        <f t="shared" si="8"/>
        <v>5.458716854</v>
      </c>
      <c r="X93" s="25">
        <f t="shared" si="9"/>
        <v>5.612050187</v>
      </c>
      <c r="Y93" s="25"/>
      <c r="Z93" s="25"/>
    </row>
    <row r="94">
      <c r="A94" s="1" t="s">
        <v>4</v>
      </c>
      <c r="B94" s="1">
        <v>46.0</v>
      </c>
      <c r="C94" s="1">
        <v>7.0</v>
      </c>
      <c r="D94" s="1">
        <v>6.0</v>
      </c>
      <c r="E94">
        <f t="shared" si="2"/>
        <v>7</v>
      </c>
      <c r="F94" t="str">
        <f t="shared" ref="F94:L94" si="190">IF((AND($A94 = "+0",$E94 = F$1)), $C94, "")</f>
        <v/>
      </c>
      <c r="G94" t="str">
        <f t="shared" si="190"/>
        <v/>
      </c>
      <c r="H94" t="str">
        <f t="shared" si="190"/>
        <v/>
      </c>
      <c r="I94" t="str">
        <f t="shared" si="190"/>
        <v/>
      </c>
      <c r="J94" t="str">
        <f t="shared" si="190"/>
        <v/>
      </c>
      <c r="K94" t="str">
        <f t="shared" si="190"/>
        <v/>
      </c>
      <c r="L94" t="str">
        <f t="shared" si="190"/>
        <v/>
      </c>
      <c r="M94" t="str">
        <f t="shared" ref="M94:S94" si="191">IF((AND($A94 = "+0",$E94 = M$1)), 2^$D94-$B94, "")</f>
        <v/>
      </c>
      <c r="N94" t="str">
        <f t="shared" si="191"/>
        <v/>
      </c>
      <c r="O94" t="str">
        <f t="shared" si="191"/>
        <v/>
      </c>
      <c r="P94" t="str">
        <f t="shared" si="191"/>
        <v/>
      </c>
      <c r="Q94" t="str">
        <f t="shared" si="191"/>
        <v/>
      </c>
      <c r="R94" t="str">
        <f t="shared" si="191"/>
        <v/>
      </c>
      <c r="S94" t="str">
        <f t="shared" si="191"/>
        <v/>
      </c>
      <c r="T94">
        <f t="shared" si="5"/>
        <v>322</v>
      </c>
      <c r="U94" s="25">
        <f t="shared" si="6"/>
        <v>6.571428571</v>
      </c>
      <c r="V94" s="26">
        <f t="shared" si="7"/>
        <v>0.1304347826</v>
      </c>
      <c r="W94" s="25">
        <f t="shared" si="8"/>
        <v>5.608433028</v>
      </c>
      <c r="X94" s="25">
        <f t="shared" si="9"/>
        <v>5.739861599</v>
      </c>
      <c r="Y94" s="25"/>
      <c r="Z94" s="25"/>
    </row>
    <row r="95">
      <c r="A95" s="1" t="s">
        <v>4</v>
      </c>
      <c r="B95" s="1">
        <v>45.0</v>
      </c>
      <c r="C95" s="1">
        <v>7.0</v>
      </c>
      <c r="D95" s="1">
        <v>6.0</v>
      </c>
      <c r="E95">
        <f t="shared" si="2"/>
        <v>7</v>
      </c>
      <c r="F95" t="str">
        <f t="shared" ref="F95:L95" si="192">IF((AND($A95 = "+0",$E95 = F$1)), $C95, "")</f>
        <v/>
      </c>
      <c r="G95" t="str">
        <f t="shared" si="192"/>
        <v/>
      </c>
      <c r="H95" t="str">
        <f t="shared" si="192"/>
        <v/>
      </c>
      <c r="I95" t="str">
        <f t="shared" si="192"/>
        <v/>
      </c>
      <c r="J95" t="str">
        <f t="shared" si="192"/>
        <v/>
      </c>
      <c r="K95" t="str">
        <f t="shared" si="192"/>
        <v/>
      </c>
      <c r="L95" t="str">
        <f t="shared" si="192"/>
        <v/>
      </c>
      <c r="M95" t="str">
        <f t="shared" ref="M95:S95" si="193">IF((AND($A95 = "+0",$E95 = M$1)), 2^$D95-$B95, "")</f>
        <v/>
      </c>
      <c r="N95" t="str">
        <f t="shared" si="193"/>
        <v/>
      </c>
      <c r="O95" t="str">
        <f t="shared" si="193"/>
        <v/>
      </c>
      <c r="P95" t="str">
        <f t="shared" si="193"/>
        <v/>
      </c>
      <c r="Q95" t="str">
        <f t="shared" si="193"/>
        <v/>
      </c>
      <c r="R95" t="str">
        <f t="shared" si="193"/>
        <v/>
      </c>
      <c r="S95" t="str">
        <f t="shared" si="193"/>
        <v/>
      </c>
      <c r="T95">
        <f t="shared" si="5"/>
        <v>315</v>
      </c>
      <c r="U95" s="25">
        <f t="shared" si="6"/>
        <v>6.428571429</v>
      </c>
      <c r="V95" s="26">
        <f t="shared" si="7"/>
        <v>0.1333333333</v>
      </c>
      <c r="W95" s="25">
        <f t="shared" si="8"/>
        <v>5.587086396</v>
      </c>
      <c r="X95" s="25">
        <f t="shared" si="9"/>
        <v>5.715657825</v>
      </c>
      <c r="Y95" s="25"/>
      <c r="Z95" s="25"/>
    </row>
    <row r="96">
      <c r="A96" s="1" t="s">
        <v>4</v>
      </c>
      <c r="B96" s="1">
        <v>44.0</v>
      </c>
      <c r="C96" s="1">
        <v>7.0</v>
      </c>
      <c r="D96" s="1">
        <v>6.0</v>
      </c>
      <c r="E96">
        <f t="shared" si="2"/>
        <v>7</v>
      </c>
      <c r="F96" t="str">
        <f t="shared" ref="F96:L96" si="194">IF((AND($A96 = "+0",$E96 = F$1)), $C96, "")</f>
        <v/>
      </c>
      <c r="G96" t="str">
        <f t="shared" si="194"/>
        <v/>
      </c>
      <c r="H96" t="str">
        <f t="shared" si="194"/>
        <v/>
      </c>
      <c r="I96" t="str">
        <f t="shared" si="194"/>
        <v/>
      </c>
      <c r="J96" t="str">
        <f t="shared" si="194"/>
        <v/>
      </c>
      <c r="K96" t="str">
        <f t="shared" si="194"/>
        <v/>
      </c>
      <c r="L96" t="str">
        <f t="shared" si="194"/>
        <v/>
      </c>
      <c r="M96" t="str">
        <f t="shared" ref="M96:S96" si="195">IF((AND($A96 = "+0",$E96 = M$1)), 2^$D96-$B96, "")</f>
        <v/>
      </c>
      <c r="N96" t="str">
        <f t="shared" si="195"/>
        <v/>
      </c>
      <c r="O96" t="str">
        <f t="shared" si="195"/>
        <v/>
      </c>
      <c r="P96" t="str">
        <f t="shared" si="195"/>
        <v/>
      </c>
      <c r="Q96" t="str">
        <f t="shared" si="195"/>
        <v/>
      </c>
      <c r="R96" t="str">
        <f t="shared" si="195"/>
        <v/>
      </c>
      <c r="S96" t="str">
        <f t="shared" si="195"/>
        <v/>
      </c>
      <c r="T96">
        <f t="shared" si="5"/>
        <v>308</v>
      </c>
      <c r="U96" s="25">
        <f t="shared" si="6"/>
        <v>6.285714286</v>
      </c>
      <c r="V96" s="26">
        <f t="shared" si="7"/>
        <v>0.1363636364</v>
      </c>
      <c r="W96" s="25">
        <f t="shared" si="8"/>
        <v>5.565260025</v>
      </c>
      <c r="X96" s="25">
        <f t="shared" si="9"/>
        <v>5.69097431</v>
      </c>
      <c r="Y96" s="25"/>
      <c r="Z96" s="25"/>
    </row>
    <row r="97">
      <c r="A97" s="1" t="s">
        <v>4</v>
      </c>
      <c r="B97" s="1">
        <v>43.0</v>
      </c>
      <c r="C97" s="1">
        <v>7.0</v>
      </c>
      <c r="D97" s="1">
        <v>6.0</v>
      </c>
      <c r="E97">
        <f t="shared" si="2"/>
        <v>7</v>
      </c>
      <c r="F97" t="str">
        <f t="shared" ref="F97:L97" si="196">IF((AND($A97 = "+0",$E97 = F$1)), $C97, "")</f>
        <v/>
      </c>
      <c r="G97" t="str">
        <f t="shared" si="196"/>
        <v/>
      </c>
      <c r="H97" t="str">
        <f t="shared" si="196"/>
        <v/>
      </c>
      <c r="I97" t="str">
        <f t="shared" si="196"/>
        <v/>
      </c>
      <c r="J97" t="str">
        <f t="shared" si="196"/>
        <v/>
      </c>
      <c r="K97" t="str">
        <f t="shared" si="196"/>
        <v/>
      </c>
      <c r="L97" t="str">
        <f t="shared" si="196"/>
        <v/>
      </c>
      <c r="M97" t="str">
        <f t="shared" ref="M97:S97" si="197">IF((AND($A97 = "+0",$E97 = M$1)), 2^$D97-$B97, "")</f>
        <v/>
      </c>
      <c r="N97" t="str">
        <f t="shared" si="197"/>
        <v/>
      </c>
      <c r="O97" t="str">
        <f t="shared" si="197"/>
        <v/>
      </c>
      <c r="P97" t="str">
        <f t="shared" si="197"/>
        <v/>
      </c>
      <c r="Q97" t="str">
        <f t="shared" si="197"/>
        <v/>
      </c>
      <c r="R97" t="str">
        <f t="shared" si="197"/>
        <v/>
      </c>
      <c r="S97" t="str">
        <f t="shared" si="197"/>
        <v/>
      </c>
      <c r="T97">
        <f t="shared" si="5"/>
        <v>301</v>
      </c>
      <c r="U97" s="25">
        <f t="shared" si="6"/>
        <v>6.142857143</v>
      </c>
      <c r="V97" s="26">
        <f t="shared" si="7"/>
        <v>0.1395348837</v>
      </c>
      <c r="W97" s="25">
        <f t="shared" si="8"/>
        <v>5.542931854</v>
      </c>
      <c r="X97" s="25">
        <f t="shared" si="9"/>
        <v>5.665788997</v>
      </c>
      <c r="Y97" s="25"/>
      <c r="Z97" s="25"/>
    </row>
    <row r="98">
      <c r="A98" s="1" t="s">
        <v>5</v>
      </c>
      <c r="B98" s="1">
        <v>42.0</v>
      </c>
      <c r="C98" s="1">
        <v>7.0</v>
      </c>
      <c r="D98" s="1">
        <v>6.0</v>
      </c>
      <c r="E98">
        <f t="shared" si="2"/>
        <v>6</v>
      </c>
      <c r="F98" t="str">
        <f t="shared" ref="F98:L98" si="198">IF((AND($A98 = "+0",$E98 = F$1)), $C98, "")</f>
        <v/>
      </c>
      <c r="G98" t="str">
        <f t="shared" si="198"/>
        <v/>
      </c>
      <c r="H98" t="str">
        <f t="shared" si="198"/>
        <v/>
      </c>
      <c r="I98" t="str">
        <f t="shared" si="198"/>
        <v/>
      </c>
      <c r="J98" t="str">
        <f t="shared" si="198"/>
        <v/>
      </c>
      <c r="K98">
        <f t="shared" si="198"/>
        <v>7</v>
      </c>
      <c r="L98" t="str">
        <f t="shared" si="198"/>
        <v/>
      </c>
      <c r="M98" t="str">
        <f t="shared" ref="M98:S98" si="199">IF((AND($A98 = "+0",$E98 = M$1)), 2^$D98-$B98, "")</f>
        <v/>
      </c>
      <c r="N98" t="str">
        <f t="shared" si="199"/>
        <v/>
      </c>
      <c r="O98" t="str">
        <f t="shared" si="199"/>
        <v/>
      </c>
      <c r="P98" t="str">
        <f t="shared" si="199"/>
        <v/>
      </c>
      <c r="Q98" t="str">
        <f t="shared" si="199"/>
        <v/>
      </c>
      <c r="R98">
        <f t="shared" si="199"/>
        <v>22</v>
      </c>
      <c r="S98" t="str">
        <f t="shared" si="199"/>
        <v/>
      </c>
      <c r="T98">
        <f t="shared" si="5"/>
        <v>294</v>
      </c>
      <c r="U98" s="25">
        <f t="shared" si="6"/>
        <v>6</v>
      </c>
      <c r="V98" s="26">
        <f t="shared" si="7"/>
        <v>0.1428571429</v>
      </c>
      <c r="W98" s="25">
        <f t="shared" si="8"/>
        <v>5.520078266</v>
      </c>
      <c r="X98" s="25">
        <f t="shared" si="9"/>
        <v>5.640078266</v>
      </c>
      <c r="Y98" s="25"/>
      <c r="Z98" s="25"/>
    </row>
    <row r="99">
      <c r="A99" s="1" t="s">
        <v>4</v>
      </c>
      <c r="B99" s="1">
        <v>42.0</v>
      </c>
      <c r="C99" s="1">
        <v>8.0</v>
      </c>
      <c r="D99" s="1">
        <v>6.0</v>
      </c>
      <c r="E99">
        <f t="shared" si="2"/>
        <v>7</v>
      </c>
      <c r="F99" t="str">
        <f t="shared" ref="F99:L99" si="200">IF((AND($A99 = "+0",$E99 = F$1)), $C99, "")</f>
        <v/>
      </c>
      <c r="G99" t="str">
        <f t="shared" si="200"/>
        <v/>
      </c>
      <c r="H99" t="str">
        <f t="shared" si="200"/>
        <v/>
      </c>
      <c r="I99" t="str">
        <f t="shared" si="200"/>
        <v/>
      </c>
      <c r="J99" t="str">
        <f t="shared" si="200"/>
        <v/>
      </c>
      <c r="K99" t="str">
        <f t="shared" si="200"/>
        <v/>
      </c>
      <c r="L99" t="str">
        <f t="shared" si="200"/>
        <v/>
      </c>
      <c r="M99" t="str">
        <f t="shared" ref="M99:S99" si="201">IF((AND($A99 = "+0",$E99 = M$1)), 2^$D99-$B99, "")</f>
        <v/>
      </c>
      <c r="N99" t="str">
        <f t="shared" si="201"/>
        <v/>
      </c>
      <c r="O99" t="str">
        <f t="shared" si="201"/>
        <v/>
      </c>
      <c r="P99" t="str">
        <f t="shared" si="201"/>
        <v/>
      </c>
      <c r="Q99" t="str">
        <f t="shared" si="201"/>
        <v/>
      </c>
      <c r="R99" t="str">
        <f t="shared" si="201"/>
        <v/>
      </c>
      <c r="S99" t="str">
        <f t="shared" si="201"/>
        <v/>
      </c>
      <c r="T99">
        <f t="shared" si="5"/>
        <v>336</v>
      </c>
      <c r="U99" s="25">
        <f t="shared" si="6"/>
        <v>5.25</v>
      </c>
      <c r="V99" s="26">
        <f t="shared" si="7"/>
        <v>0.1666666667</v>
      </c>
      <c r="W99" s="25">
        <f t="shared" si="8"/>
        <v>5.649768315</v>
      </c>
      <c r="X99" s="25">
        <f t="shared" si="9"/>
        <v>5.754768315</v>
      </c>
      <c r="Y99" s="25"/>
      <c r="Z99" s="25"/>
    </row>
    <row r="100">
      <c r="A100" s="1" t="s">
        <v>4</v>
      </c>
      <c r="B100" s="1">
        <v>41.0</v>
      </c>
      <c r="C100" s="1">
        <v>8.0</v>
      </c>
      <c r="D100" s="1">
        <v>6.0</v>
      </c>
      <c r="E100">
        <f t="shared" si="2"/>
        <v>7</v>
      </c>
      <c r="F100" t="str">
        <f t="shared" ref="F100:L100" si="202">IF((AND($A100 = "+0",$E100 = F$1)), $C100, "")</f>
        <v/>
      </c>
      <c r="G100" t="str">
        <f t="shared" si="202"/>
        <v/>
      </c>
      <c r="H100" t="str">
        <f t="shared" si="202"/>
        <v/>
      </c>
      <c r="I100" t="str">
        <f t="shared" si="202"/>
        <v/>
      </c>
      <c r="J100" t="str">
        <f t="shared" si="202"/>
        <v/>
      </c>
      <c r="K100" t="str">
        <f t="shared" si="202"/>
        <v/>
      </c>
      <c r="L100" t="str">
        <f t="shared" si="202"/>
        <v/>
      </c>
      <c r="M100" t="str">
        <f t="shared" ref="M100:S100" si="203">IF((AND($A100 = "+0",$E100 = M$1)), 2^$D100-$B100, "")</f>
        <v/>
      </c>
      <c r="N100" t="str">
        <f t="shared" si="203"/>
        <v/>
      </c>
      <c r="O100" t="str">
        <f t="shared" si="203"/>
        <v/>
      </c>
      <c r="P100" t="str">
        <f t="shared" si="203"/>
        <v/>
      </c>
      <c r="Q100" t="str">
        <f t="shared" si="203"/>
        <v/>
      </c>
      <c r="R100" t="str">
        <f t="shared" si="203"/>
        <v/>
      </c>
      <c r="S100" t="str">
        <f t="shared" si="203"/>
        <v/>
      </c>
      <c r="T100">
        <f t="shared" si="5"/>
        <v>328</v>
      </c>
      <c r="U100" s="25">
        <f t="shared" si="6"/>
        <v>5.125</v>
      </c>
      <c r="V100" s="26">
        <f t="shared" si="7"/>
        <v>0.1707317073</v>
      </c>
      <c r="W100" s="25">
        <f t="shared" si="8"/>
        <v>5.626363986</v>
      </c>
      <c r="X100" s="25">
        <f t="shared" si="9"/>
        <v>5.728863986</v>
      </c>
      <c r="Y100" s="25"/>
      <c r="Z100" s="25"/>
    </row>
    <row r="101">
      <c r="A101" s="1" t="s">
        <v>4</v>
      </c>
      <c r="B101" s="1">
        <v>40.0</v>
      </c>
      <c r="C101" s="1">
        <v>8.0</v>
      </c>
      <c r="D101" s="1">
        <v>6.0</v>
      </c>
      <c r="E101">
        <f t="shared" si="2"/>
        <v>7</v>
      </c>
      <c r="F101" t="str">
        <f t="shared" ref="F101:L101" si="204">IF((AND($A101 = "+0",$E101 = F$1)), $C101, "")</f>
        <v/>
      </c>
      <c r="G101" t="str">
        <f t="shared" si="204"/>
        <v/>
      </c>
      <c r="H101" t="str">
        <f t="shared" si="204"/>
        <v/>
      </c>
      <c r="I101" t="str">
        <f t="shared" si="204"/>
        <v/>
      </c>
      <c r="J101" t="str">
        <f t="shared" si="204"/>
        <v/>
      </c>
      <c r="K101" t="str">
        <f t="shared" si="204"/>
        <v/>
      </c>
      <c r="L101" t="str">
        <f t="shared" si="204"/>
        <v/>
      </c>
      <c r="M101" t="str">
        <f t="shared" ref="M101:S101" si="205">IF((AND($A101 = "+0",$E101 = M$1)), 2^$D101-$B101, "")</f>
        <v/>
      </c>
      <c r="N101" t="str">
        <f t="shared" si="205"/>
        <v/>
      </c>
      <c r="O101" t="str">
        <f t="shared" si="205"/>
        <v/>
      </c>
      <c r="P101" t="str">
        <f t="shared" si="205"/>
        <v/>
      </c>
      <c r="Q101" t="str">
        <f t="shared" si="205"/>
        <v/>
      </c>
      <c r="R101" t="str">
        <f t="shared" si="205"/>
        <v/>
      </c>
      <c r="S101" t="str">
        <f t="shared" si="205"/>
        <v/>
      </c>
      <c r="T101">
        <f t="shared" si="5"/>
        <v>320</v>
      </c>
      <c r="U101" s="25">
        <f t="shared" si="6"/>
        <v>5</v>
      </c>
      <c r="V101" s="26">
        <f t="shared" si="7"/>
        <v>0.175</v>
      </c>
      <c r="W101" s="25">
        <f t="shared" si="8"/>
        <v>5.602381715</v>
      </c>
      <c r="X101" s="25">
        <f t="shared" si="9"/>
        <v>5.702381715</v>
      </c>
      <c r="Y101" s="25"/>
      <c r="Z101" s="25"/>
    </row>
    <row r="102">
      <c r="A102" s="1" t="s">
        <v>4</v>
      </c>
      <c r="B102" s="1">
        <v>39.0</v>
      </c>
      <c r="C102" s="1">
        <v>8.0</v>
      </c>
      <c r="D102" s="1">
        <v>6.0</v>
      </c>
      <c r="E102">
        <f t="shared" si="2"/>
        <v>7</v>
      </c>
      <c r="F102" t="str">
        <f t="shared" ref="F102:L102" si="206">IF((AND($A102 = "+0",$E102 = F$1)), $C102, "")</f>
        <v/>
      </c>
      <c r="G102" t="str">
        <f t="shared" si="206"/>
        <v/>
      </c>
      <c r="H102" t="str">
        <f t="shared" si="206"/>
        <v/>
      </c>
      <c r="I102" t="str">
        <f t="shared" si="206"/>
        <v/>
      </c>
      <c r="J102" t="str">
        <f t="shared" si="206"/>
        <v/>
      </c>
      <c r="K102" t="str">
        <f t="shared" si="206"/>
        <v/>
      </c>
      <c r="L102" t="str">
        <f t="shared" si="206"/>
        <v/>
      </c>
      <c r="M102" t="str">
        <f t="shared" ref="M102:S102" si="207">IF((AND($A102 = "+0",$E102 = M$1)), 2^$D102-$B102, "")</f>
        <v/>
      </c>
      <c r="N102" t="str">
        <f t="shared" si="207"/>
        <v/>
      </c>
      <c r="O102" t="str">
        <f t="shared" si="207"/>
        <v/>
      </c>
      <c r="P102" t="str">
        <f t="shared" si="207"/>
        <v/>
      </c>
      <c r="Q102" t="str">
        <f t="shared" si="207"/>
        <v/>
      </c>
      <c r="R102" t="str">
        <f t="shared" si="207"/>
        <v/>
      </c>
      <c r="S102" t="str">
        <f t="shared" si="207"/>
        <v/>
      </c>
      <c r="T102">
        <f t="shared" si="5"/>
        <v>312</v>
      </c>
      <c r="U102" s="25">
        <f t="shared" si="6"/>
        <v>4.875</v>
      </c>
      <c r="V102" s="26">
        <f t="shared" si="7"/>
        <v>0.1794871795</v>
      </c>
      <c r="W102" s="25">
        <f t="shared" si="8"/>
        <v>5.577792233</v>
      </c>
      <c r="X102" s="25">
        <f t="shared" si="9"/>
        <v>5.675292233</v>
      </c>
      <c r="Y102" s="25"/>
      <c r="Z102" s="25"/>
    </row>
    <row r="103">
      <c r="A103" s="1" t="s">
        <v>5</v>
      </c>
      <c r="B103" s="1">
        <v>38.0</v>
      </c>
      <c r="C103" s="1">
        <v>8.0</v>
      </c>
      <c r="D103" s="1">
        <v>6.0</v>
      </c>
      <c r="E103">
        <f t="shared" si="2"/>
        <v>6</v>
      </c>
      <c r="F103" t="str">
        <f t="shared" ref="F103:L103" si="208">IF((AND($A103 = "+0",$E103 = F$1)), $C103, "")</f>
        <v/>
      </c>
      <c r="G103" t="str">
        <f t="shared" si="208"/>
        <v/>
      </c>
      <c r="H103" t="str">
        <f t="shared" si="208"/>
        <v/>
      </c>
      <c r="I103" t="str">
        <f t="shared" si="208"/>
        <v/>
      </c>
      <c r="J103" t="str">
        <f t="shared" si="208"/>
        <v/>
      </c>
      <c r="K103">
        <f t="shared" si="208"/>
        <v>8</v>
      </c>
      <c r="L103" t="str">
        <f t="shared" si="208"/>
        <v/>
      </c>
      <c r="M103" t="str">
        <f t="shared" ref="M103:S103" si="209">IF((AND($A103 = "+0",$E103 = M$1)), 2^$D103-$B103, "")</f>
        <v/>
      </c>
      <c r="N103" t="str">
        <f t="shared" si="209"/>
        <v/>
      </c>
      <c r="O103" t="str">
        <f t="shared" si="209"/>
        <v/>
      </c>
      <c r="P103" t="str">
        <f t="shared" si="209"/>
        <v/>
      </c>
      <c r="Q103" t="str">
        <f t="shared" si="209"/>
        <v/>
      </c>
      <c r="R103">
        <f t="shared" si="209"/>
        <v>26</v>
      </c>
      <c r="S103" t="str">
        <f t="shared" si="209"/>
        <v/>
      </c>
      <c r="T103">
        <f t="shared" si="5"/>
        <v>304</v>
      </c>
      <c r="U103" s="25">
        <f t="shared" si="6"/>
        <v>4.75</v>
      </c>
      <c r="V103" s="26">
        <f t="shared" si="7"/>
        <v>0.1842105263</v>
      </c>
      <c r="W103" s="25">
        <f t="shared" si="8"/>
        <v>5.552563992</v>
      </c>
      <c r="X103" s="25">
        <f t="shared" si="9"/>
        <v>5.647563992</v>
      </c>
      <c r="Y103" s="25"/>
      <c r="Z103" s="25"/>
    </row>
    <row r="104">
      <c r="A104" s="1" t="s">
        <v>4</v>
      </c>
      <c r="B104" s="1">
        <v>38.0</v>
      </c>
      <c r="C104" s="1">
        <v>9.0</v>
      </c>
      <c r="D104" s="1">
        <v>6.0</v>
      </c>
      <c r="E104">
        <f t="shared" si="2"/>
        <v>7</v>
      </c>
      <c r="F104" t="str">
        <f t="shared" ref="F104:L104" si="210">IF((AND($A104 = "+0",$E104 = F$1)), $C104, "")</f>
        <v/>
      </c>
      <c r="G104" t="str">
        <f t="shared" si="210"/>
        <v/>
      </c>
      <c r="H104" t="str">
        <f t="shared" si="210"/>
        <v/>
      </c>
      <c r="I104" t="str">
        <f t="shared" si="210"/>
        <v/>
      </c>
      <c r="J104" t="str">
        <f t="shared" si="210"/>
        <v/>
      </c>
      <c r="K104" t="str">
        <f t="shared" si="210"/>
        <v/>
      </c>
      <c r="L104" t="str">
        <f t="shared" si="210"/>
        <v/>
      </c>
      <c r="M104" t="str">
        <f t="shared" ref="M104:S104" si="211">IF((AND($A104 = "+0",$E104 = M$1)), 2^$D104-$B104, "")</f>
        <v/>
      </c>
      <c r="N104" t="str">
        <f t="shared" si="211"/>
        <v/>
      </c>
      <c r="O104" t="str">
        <f t="shared" si="211"/>
        <v/>
      </c>
      <c r="P104" t="str">
        <f t="shared" si="211"/>
        <v/>
      </c>
      <c r="Q104" t="str">
        <f t="shared" si="211"/>
        <v/>
      </c>
      <c r="R104" t="str">
        <f t="shared" si="211"/>
        <v/>
      </c>
      <c r="S104" t="str">
        <f t="shared" si="211"/>
        <v/>
      </c>
      <c r="T104">
        <f t="shared" si="5"/>
        <v>342</v>
      </c>
      <c r="U104" s="25">
        <f t="shared" si="6"/>
        <v>4.222222222</v>
      </c>
      <c r="V104" s="26">
        <f t="shared" si="7"/>
        <v>0.2105263158</v>
      </c>
      <c r="W104" s="25">
        <f t="shared" si="8"/>
        <v>5.666958723</v>
      </c>
      <c r="X104" s="25">
        <f t="shared" si="9"/>
        <v>5.751403167</v>
      </c>
      <c r="Y104" s="25"/>
      <c r="Z104" s="25"/>
    </row>
    <row r="105">
      <c r="A105" s="1" t="s">
        <v>4</v>
      </c>
      <c r="B105" s="1">
        <v>37.0</v>
      </c>
      <c r="C105" s="1">
        <v>9.0</v>
      </c>
      <c r="D105" s="1">
        <v>6.0</v>
      </c>
      <c r="E105">
        <f t="shared" si="2"/>
        <v>7</v>
      </c>
      <c r="F105" t="str">
        <f t="shared" ref="F105:L105" si="212">IF((AND($A105 = "+0",$E105 = F$1)), $C105, "")</f>
        <v/>
      </c>
      <c r="G105" t="str">
        <f t="shared" si="212"/>
        <v/>
      </c>
      <c r="H105" t="str">
        <f t="shared" si="212"/>
        <v/>
      </c>
      <c r="I105" t="str">
        <f t="shared" si="212"/>
        <v/>
      </c>
      <c r="J105" t="str">
        <f t="shared" si="212"/>
        <v/>
      </c>
      <c r="K105" t="str">
        <f t="shared" si="212"/>
        <v/>
      </c>
      <c r="L105" t="str">
        <f t="shared" si="212"/>
        <v/>
      </c>
      <c r="M105" t="str">
        <f t="shared" ref="M105:S105" si="213">IF((AND($A105 = "+0",$E105 = M$1)), 2^$D105-$B105, "")</f>
        <v/>
      </c>
      <c r="N105" t="str">
        <f t="shared" si="213"/>
        <v/>
      </c>
      <c r="O105" t="str">
        <f t="shared" si="213"/>
        <v/>
      </c>
      <c r="P105" t="str">
        <f t="shared" si="213"/>
        <v/>
      </c>
      <c r="Q105" t="str">
        <f t="shared" si="213"/>
        <v/>
      </c>
      <c r="R105" t="str">
        <f t="shared" si="213"/>
        <v/>
      </c>
      <c r="S105" t="str">
        <f t="shared" si="213"/>
        <v/>
      </c>
      <c r="T105">
        <f t="shared" si="5"/>
        <v>333</v>
      </c>
      <c r="U105" s="25">
        <f t="shared" si="6"/>
        <v>4.111111111</v>
      </c>
      <c r="V105" s="26">
        <f t="shared" si="7"/>
        <v>0.2162162162</v>
      </c>
      <c r="W105" s="25">
        <f t="shared" si="8"/>
        <v>5.64105765</v>
      </c>
      <c r="X105" s="25">
        <f t="shared" si="9"/>
        <v>5.723279872</v>
      </c>
      <c r="Y105" s="25"/>
      <c r="Z105" s="25"/>
    </row>
    <row r="106">
      <c r="A106" s="1" t="s">
        <v>5</v>
      </c>
      <c r="B106" s="1">
        <v>36.0</v>
      </c>
      <c r="C106" s="1">
        <v>9.0</v>
      </c>
      <c r="D106" s="1">
        <v>6.0</v>
      </c>
      <c r="E106">
        <f t="shared" si="2"/>
        <v>6</v>
      </c>
      <c r="F106" t="str">
        <f t="shared" ref="F106:L106" si="214">IF((AND($A106 = "+0",$E106 = F$1)), $C106, "")</f>
        <v/>
      </c>
      <c r="G106" t="str">
        <f t="shared" si="214"/>
        <v/>
      </c>
      <c r="H106" t="str">
        <f t="shared" si="214"/>
        <v/>
      </c>
      <c r="I106" t="str">
        <f t="shared" si="214"/>
        <v/>
      </c>
      <c r="J106" t="str">
        <f t="shared" si="214"/>
        <v/>
      </c>
      <c r="K106">
        <f t="shared" si="214"/>
        <v>9</v>
      </c>
      <c r="L106" t="str">
        <f t="shared" si="214"/>
        <v/>
      </c>
      <c r="M106" t="str">
        <f t="shared" ref="M106:S106" si="215">IF((AND($A106 = "+0",$E106 = M$1)), 2^$D106-$B106, "")</f>
        <v/>
      </c>
      <c r="N106" t="str">
        <f t="shared" si="215"/>
        <v/>
      </c>
      <c r="O106" t="str">
        <f t="shared" si="215"/>
        <v/>
      </c>
      <c r="P106" t="str">
        <f t="shared" si="215"/>
        <v/>
      </c>
      <c r="Q106" t="str">
        <f t="shared" si="215"/>
        <v/>
      </c>
      <c r="R106">
        <f t="shared" si="215"/>
        <v>28</v>
      </c>
      <c r="S106" t="str">
        <f t="shared" si="215"/>
        <v/>
      </c>
      <c r="T106">
        <f t="shared" si="5"/>
        <v>324</v>
      </c>
      <c r="U106" s="25">
        <f t="shared" si="6"/>
        <v>4</v>
      </c>
      <c r="V106" s="26">
        <f t="shared" si="7"/>
        <v>0.2222222222</v>
      </c>
      <c r="W106" s="25">
        <f t="shared" si="8"/>
        <v>5.614446872</v>
      </c>
      <c r="X106" s="25">
        <f t="shared" si="9"/>
        <v>5.694446872</v>
      </c>
      <c r="Y106" s="25"/>
      <c r="Z106" s="25"/>
    </row>
    <row r="107">
      <c r="A107" s="1" t="s">
        <v>4</v>
      </c>
      <c r="B107" s="1">
        <v>36.0</v>
      </c>
      <c r="C107" s="1">
        <v>10.0</v>
      </c>
      <c r="D107" s="1">
        <v>6.0</v>
      </c>
      <c r="E107">
        <f t="shared" si="2"/>
        <v>7</v>
      </c>
      <c r="F107" t="str">
        <f t="shared" ref="F107:L107" si="216">IF((AND($A107 = "+0",$E107 = F$1)), $C107, "")</f>
        <v/>
      </c>
      <c r="G107" t="str">
        <f t="shared" si="216"/>
        <v/>
      </c>
      <c r="H107" t="str">
        <f t="shared" si="216"/>
        <v/>
      </c>
      <c r="I107" t="str">
        <f t="shared" si="216"/>
        <v/>
      </c>
      <c r="J107" t="str">
        <f t="shared" si="216"/>
        <v/>
      </c>
      <c r="K107" t="str">
        <f t="shared" si="216"/>
        <v/>
      </c>
      <c r="L107" t="str">
        <f t="shared" si="216"/>
        <v/>
      </c>
      <c r="M107" t="str">
        <f t="shared" ref="M107:S107" si="217">IF((AND($A107 = "+0",$E107 = M$1)), 2^$D107-$B107, "")</f>
        <v/>
      </c>
      <c r="N107" t="str">
        <f t="shared" si="217"/>
        <v/>
      </c>
      <c r="O107" t="str">
        <f t="shared" si="217"/>
        <v/>
      </c>
      <c r="P107" t="str">
        <f t="shared" si="217"/>
        <v/>
      </c>
      <c r="Q107" t="str">
        <f t="shared" si="217"/>
        <v/>
      </c>
      <c r="R107" t="str">
        <f t="shared" si="217"/>
        <v/>
      </c>
      <c r="S107" t="str">
        <f t="shared" si="217"/>
        <v/>
      </c>
      <c r="T107">
        <f t="shared" si="5"/>
        <v>360</v>
      </c>
      <c r="U107" s="25">
        <f t="shared" si="6"/>
        <v>3.6</v>
      </c>
      <c r="V107" s="26">
        <f t="shared" si="7"/>
        <v>0.25</v>
      </c>
      <c r="W107" s="25">
        <f t="shared" si="8"/>
        <v>5.716776445</v>
      </c>
      <c r="X107" s="25">
        <f t="shared" si="9"/>
        <v>5.788776445</v>
      </c>
      <c r="Y107" s="25"/>
      <c r="Z107" s="25"/>
    </row>
    <row r="108">
      <c r="A108" s="1" t="s">
        <v>4</v>
      </c>
      <c r="B108" s="1">
        <v>35.0</v>
      </c>
      <c r="C108" s="1">
        <v>10.0</v>
      </c>
      <c r="D108" s="1">
        <v>6.0</v>
      </c>
      <c r="E108">
        <f t="shared" si="2"/>
        <v>7</v>
      </c>
      <c r="F108" t="str">
        <f t="shared" ref="F108:L108" si="218">IF((AND($A108 = "+0",$E108 = F$1)), $C108, "")</f>
        <v/>
      </c>
      <c r="G108" t="str">
        <f t="shared" si="218"/>
        <v/>
      </c>
      <c r="H108" t="str">
        <f t="shared" si="218"/>
        <v/>
      </c>
      <c r="I108" t="str">
        <f t="shared" si="218"/>
        <v/>
      </c>
      <c r="J108" t="str">
        <f t="shared" si="218"/>
        <v/>
      </c>
      <c r="K108" t="str">
        <f t="shared" si="218"/>
        <v/>
      </c>
      <c r="L108" t="str">
        <f t="shared" si="218"/>
        <v/>
      </c>
      <c r="M108" t="str">
        <f t="shared" ref="M108:S108" si="219">IF((AND($A108 = "+0",$E108 = M$1)), 2^$D108-$B108, "")</f>
        <v/>
      </c>
      <c r="N108" t="str">
        <f t="shared" si="219"/>
        <v/>
      </c>
      <c r="O108" t="str">
        <f t="shared" si="219"/>
        <v/>
      </c>
      <c r="P108" t="str">
        <f t="shared" si="219"/>
        <v/>
      </c>
      <c r="Q108" t="str">
        <f t="shared" si="219"/>
        <v/>
      </c>
      <c r="R108" t="str">
        <f t="shared" si="219"/>
        <v/>
      </c>
      <c r="S108" t="str">
        <f t="shared" si="219"/>
        <v/>
      </c>
      <c r="T108">
        <f t="shared" si="5"/>
        <v>350</v>
      </c>
      <c r="U108" s="25">
        <f t="shared" si="6"/>
        <v>3.5</v>
      </c>
      <c r="V108" s="26">
        <f t="shared" si="7"/>
        <v>0.2571428571</v>
      </c>
      <c r="W108" s="25">
        <f t="shared" si="8"/>
        <v>5.689415969</v>
      </c>
      <c r="X108" s="25">
        <f t="shared" si="9"/>
        <v>5.759415969</v>
      </c>
      <c r="Y108" s="25"/>
      <c r="Z108" s="25"/>
    </row>
    <row r="109">
      <c r="A109" s="1" t="s">
        <v>4</v>
      </c>
      <c r="B109" s="1">
        <v>34.0</v>
      </c>
      <c r="C109" s="1">
        <v>10.0</v>
      </c>
      <c r="D109" s="1">
        <v>6.0</v>
      </c>
      <c r="E109">
        <f t="shared" si="2"/>
        <v>7</v>
      </c>
      <c r="F109" t="str">
        <f t="shared" ref="F109:L109" si="220">IF((AND($A109 = "+0",$E109 = F$1)), $C109, "")</f>
        <v/>
      </c>
      <c r="G109" t="str">
        <f t="shared" si="220"/>
        <v/>
      </c>
      <c r="H109" t="str">
        <f t="shared" si="220"/>
        <v/>
      </c>
      <c r="I109" t="str">
        <f t="shared" si="220"/>
        <v/>
      </c>
      <c r="J109" t="str">
        <f t="shared" si="220"/>
        <v/>
      </c>
      <c r="K109" t="str">
        <f t="shared" si="220"/>
        <v/>
      </c>
      <c r="L109" t="str">
        <f t="shared" si="220"/>
        <v/>
      </c>
      <c r="M109" t="str">
        <f t="shared" ref="M109:S109" si="221">IF((AND($A109 = "+0",$E109 = M$1)), 2^$D109-$B109, "")</f>
        <v/>
      </c>
      <c r="N109" t="str">
        <f t="shared" si="221"/>
        <v/>
      </c>
      <c r="O109" t="str">
        <f t="shared" si="221"/>
        <v/>
      </c>
      <c r="P109" t="str">
        <f t="shared" si="221"/>
        <v/>
      </c>
      <c r="Q109" t="str">
        <f t="shared" si="221"/>
        <v/>
      </c>
      <c r="R109" t="str">
        <f t="shared" si="221"/>
        <v/>
      </c>
      <c r="S109" t="str">
        <f t="shared" si="221"/>
        <v/>
      </c>
      <c r="T109">
        <f t="shared" si="5"/>
        <v>340</v>
      </c>
      <c r="U109" s="25">
        <f t="shared" si="6"/>
        <v>3.4</v>
      </c>
      <c r="V109" s="26">
        <f t="shared" si="7"/>
        <v>0.2647058824</v>
      </c>
      <c r="W109" s="25">
        <f t="shared" si="8"/>
        <v>5.661262327</v>
      </c>
      <c r="X109" s="25">
        <f t="shared" si="9"/>
        <v>5.729262327</v>
      </c>
      <c r="Y109" s="25"/>
      <c r="Z109" s="25"/>
    </row>
    <row r="110">
      <c r="A110" s="1" t="s">
        <v>5</v>
      </c>
      <c r="B110" s="1">
        <v>33.0</v>
      </c>
      <c r="C110" s="1">
        <v>10.0</v>
      </c>
      <c r="D110" s="1">
        <v>6.0</v>
      </c>
      <c r="E110">
        <f t="shared" si="2"/>
        <v>6</v>
      </c>
      <c r="F110" t="str">
        <f t="shared" ref="F110:L110" si="222">IF((AND($A110 = "+0",$E110 = F$1)), $C110, "")</f>
        <v/>
      </c>
      <c r="G110" t="str">
        <f t="shared" si="222"/>
        <v/>
      </c>
      <c r="H110" t="str">
        <f t="shared" si="222"/>
        <v/>
      </c>
      <c r="I110" t="str">
        <f t="shared" si="222"/>
        <v/>
      </c>
      <c r="J110" t="str">
        <f t="shared" si="222"/>
        <v/>
      </c>
      <c r="K110">
        <f t="shared" si="222"/>
        <v>10</v>
      </c>
      <c r="L110" t="str">
        <f t="shared" si="222"/>
        <v/>
      </c>
      <c r="M110" t="str">
        <f t="shared" ref="M110:S110" si="223">IF((AND($A110 = "+0",$E110 = M$1)), 2^$D110-$B110, "")</f>
        <v/>
      </c>
      <c r="N110" t="str">
        <f t="shared" si="223"/>
        <v/>
      </c>
      <c r="O110" t="str">
        <f t="shared" si="223"/>
        <v/>
      </c>
      <c r="P110" t="str">
        <f t="shared" si="223"/>
        <v/>
      </c>
      <c r="Q110" t="str">
        <f t="shared" si="223"/>
        <v/>
      </c>
      <c r="R110">
        <f t="shared" si="223"/>
        <v>31</v>
      </c>
      <c r="S110" t="str">
        <f t="shared" si="223"/>
        <v/>
      </c>
      <c r="T110">
        <f t="shared" si="5"/>
        <v>330</v>
      </c>
      <c r="U110" s="25">
        <f t="shared" si="6"/>
        <v>3.3</v>
      </c>
      <c r="V110" s="26">
        <f t="shared" si="7"/>
        <v>0.2727272727</v>
      </c>
      <c r="W110" s="25">
        <f t="shared" si="8"/>
        <v>5.632268154</v>
      </c>
      <c r="X110" s="25">
        <f t="shared" si="9"/>
        <v>5.698268154</v>
      </c>
      <c r="Y110" s="25"/>
      <c r="Z110" s="25"/>
    </row>
    <row r="111">
      <c r="A111" s="1" t="s">
        <v>4</v>
      </c>
      <c r="B111" s="1">
        <v>33.0</v>
      </c>
      <c r="C111" s="1">
        <v>11.0</v>
      </c>
      <c r="D111" s="1">
        <v>6.0</v>
      </c>
      <c r="E111">
        <f t="shared" si="2"/>
        <v>7</v>
      </c>
      <c r="F111" t="str">
        <f t="shared" ref="F111:L111" si="224">IF((AND($A111 = "+0",$E111 = F$1)), $C111, "")</f>
        <v/>
      </c>
      <c r="G111" t="str">
        <f t="shared" si="224"/>
        <v/>
      </c>
      <c r="H111" t="str">
        <f t="shared" si="224"/>
        <v/>
      </c>
      <c r="I111" t="str">
        <f t="shared" si="224"/>
        <v/>
      </c>
      <c r="J111" t="str">
        <f t="shared" si="224"/>
        <v/>
      </c>
      <c r="K111" t="str">
        <f t="shared" si="224"/>
        <v/>
      </c>
      <c r="L111" t="str">
        <f t="shared" si="224"/>
        <v/>
      </c>
      <c r="M111" t="str">
        <f t="shared" ref="M111:S111" si="225">IF((AND($A111 = "+0",$E111 = M$1)), 2^$D111-$B111, "")</f>
        <v/>
      </c>
      <c r="N111" t="str">
        <f t="shared" si="225"/>
        <v/>
      </c>
      <c r="O111" t="str">
        <f t="shared" si="225"/>
        <v/>
      </c>
      <c r="P111" t="str">
        <f t="shared" si="225"/>
        <v/>
      </c>
      <c r="Q111" t="str">
        <f t="shared" si="225"/>
        <v/>
      </c>
      <c r="R111" t="str">
        <f t="shared" si="225"/>
        <v/>
      </c>
      <c r="S111" t="str">
        <f t="shared" si="225"/>
        <v/>
      </c>
      <c r="T111">
        <f t="shared" si="5"/>
        <v>363</v>
      </c>
      <c r="U111" s="25">
        <f t="shared" si="6"/>
        <v>3</v>
      </c>
      <c r="V111" s="26">
        <f t="shared" si="7"/>
        <v>0.303030303</v>
      </c>
      <c r="W111" s="25">
        <f t="shared" si="8"/>
        <v>5.724836513</v>
      </c>
      <c r="X111" s="25">
        <f t="shared" si="9"/>
        <v>5.784836513</v>
      </c>
      <c r="Y111" s="25"/>
      <c r="Z111" s="25"/>
    </row>
    <row r="112">
      <c r="A112" s="1" t="s">
        <v>4</v>
      </c>
      <c r="B112" s="1">
        <v>32.0</v>
      </c>
      <c r="C112" s="1">
        <v>11.0</v>
      </c>
      <c r="D112" s="1">
        <v>6.0</v>
      </c>
      <c r="E112">
        <f t="shared" si="2"/>
        <v>7</v>
      </c>
      <c r="F112" t="str">
        <f t="shared" ref="F112:L112" si="226">IF((AND($A112 = "+0",$E112 = F$1)), $C112, "")</f>
        <v/>
      </c>
      <c r="G112" t="str">
        <f t="shared" si="226"/>
        <v/>
      </c>
      <c r="H112" t="str">
        <f t="shared" si="226"/>
        <v/>
      </c>
      <c r="I112" t="str">
        <f t="shared" si="226"/>
        <v/>
      </c>
      <c r="J112" t="str">
        <f t="shared" si="226"/>
        <v/>
      </c>
      <c r="K112" t="str">
        <f t="shared" si="226"/>
        <v/>
      </c>
      <c r="L112" t="str">
        <f t="shared" si="226"/>
        <v/>
      </c>
      <c r="M112" t="str">
        <f t="shared" ref="M112:S112" si="227">IF((AND($A112 = "+0",$E112 = M$1)), 2^$D112-$B112, "")</f>
        <v/>
      </c>
      <c r="N112" t="str">
        <f t="shared" si="227"/>
        <v/>
      </c>
      <c r="O112" t="str">
        <f t="shared" si="227"/>
        <v/>
      </c>
      <c r="P112" t="str">
        <f t="shared" si="227"/>
        <v/>
      </c>
      <c r="Q112" t="str">
        <f t="shared" si="227"/>
        <v/>
      </c>
      <c r="R112" t="str">
        <f t="shared" si="227"/>
        <v/>
      </c>
      <c r="S112" t="str">
        <f t="shared" si="227"/>
        <v/>
      </c>
      <c r="T112">
        <f t="shared" si="5"/>
        <v>352</v>
      </c>
      <c r="U112" s="25">
        <f t="shared" si="6"/>
        <v>2.909090909</v>
      </c>
      <c r="V112" s="26">
        <f t="shared" si="7"/>
        <v>0.3125</v>
      </c>
      <c r="W112" s="25">
        <f t="shared" si="8"/>
        <v>5.694950074</v>
      </c>
      <c r="X112" s="25">
        <f t="shared" si="9"/>
        <v>5.753131892</v>
      </c>
      <c r="Y112" s="25"/>
      <c r="Z112" s="25"/>
    </row>
    <row r="113">
      <c r="A113" s="1" t="s">
        <v>5</v>
      </c>
      <c r="B113" s="1">
        <v>31.0</v>
      </c>
      <c r="C113" s="1">
        <v>11.0</v>
      </c>
      <c r="D113" s="1">
        <v>6.0</v>
      </c>
      <c r="E113">
        <f t="shared" si="2"/>
        <v>6</v>
      </c>
      <c r="F113" t="str">
        <f t="shared" ref="F113:L113" si="228">IF((AND($A113 = "+0",$E113 = F$1)), $C113, "")</f>
        <v/>
      </c>
      <c r="G113" t="str">
        <f t="shared" si="228"/>
        <v/>
      </c>
      <c r="H113" t="str">
        <f t="shared" si="228"/>
        <v/>
      </c>
      <c r="I113" t="str">
        <f t="shared" si="228"/>
        <v/>
      </c>
      <c r="J113" t="str">
        <f t="shared" si="228"/>
        <v/>
      </c>
      <c r="K113">
        <f t="shared" si="228"/>
        <v>11</v>
      </c>
      <c r="L113" t="str">
        <f t="shared" si="228"/>
        <v/>
      </c>
      <c r="M113" t="str">
        <f t="shared" ref="M113:S113" si="229">IF((AND($A113 = "+0",$E113 = M$1)), 2^$D113-$B113, "")</f>
        <v/>
      </c>
      <c r="N113" t="str">
        <f t="shared" si="229"/>
        <v/>
      </c>
      <c r="O113" t="str">
        <f t="shared" si="229"/>
        <v/>
      </c>
      <c r="P113" t="str">
        <f t="shared" si="229"/>
        <v/>
      </c>
      <c r="Q113" t="str">
        <f t="shared" si="229"/>
        <v/>
      </c>
      <c r="R113">
        <f t="shared" si="229"/>
        <v>33</v>
      </c>
      <c r="S113" t="str">
        <f t="shared" si="229"/>
        <v/>
      </c>
      <c r="T113">
        <f t="shared" si="5"/>
        <v>341</v>
      </c>
      <c r="U113" s="25">
        <f t="shared" si="6"/>
        <v>2.818181818</v>
      </c>
      <c r="V113" s="26">
        <f t="shared" si="7"/>
        <v>0.3225806452</v>
      </c>
      <c r="W113" s="25">
        <f t="shared" si="8"/>
        <v>5.664114701</v>
      </c>
      <c r="X113" s="25">
        <f t="shared" si="9"/>
        <v>5.720478337</v>
      </c>
      <c r="Y113" s="25"/>
      <c r="Z113" s="25"/>
    </row>
    <row r="114">
      <c r="A114" s="1" t="s">
        <v>4</v>
      </c>
      <c r="B114" s="1">
        <v>31.0</v>
      </c>
      <c r="C114" s="1">
        <v>12.0</v>
      </c>
      <c r="D114" s="1">
        <v>6.0</v>
      </c>
      <c r="E114">
        <f t="shared" si="2"/>
        <v>7</v>
      </c>
      <c r="F114" t="str">
        <f t="shared" ref="F114:L114" si="230">IF((AND($A114 = "+0",$E114 = F$1)), $C114, "")</f>
        <v/>
      </c>
      <c r="G114" t="str">
        <f t="shared" si="230"/>
        <v/>
      </c>
      <c r="H114" t="str">
        <f t="shared" si="230"/>
        <v/>
      </c>
      <c r="I114" t="str">
        <f t="shared" si="230"/>
        <v/>
      </c>
      <c r="J114" t="str">
        <f t="shared" si="230"/>
        <v/>
      </c>
      <c r="K114" t="str">
        <f t="shared" si="230"/>
        <v/>
      </c>
      <c r="L114" t="str">
        <f t="shared" si="230"/>
        <v/>
      </c>
      <c r="M114" t="str">
        <f t="shared" ref="M114:S114" si="231">IF((AND($A114 = "+0",$E114 = M$1)), 2^$D114-$B114, "")</f>
        <v/>
      </c>
      <c r="N114" t="str">
        <f t="shared" si="231"/>
        <v/>
      </c>
      <c r="O114" t="str">
        <f t="shared" si="231"/>
        <v/>
      </c>
      <c r="P114" t="str">
        <f t="shared" si="231"/>
        <v/>
      </c>
      <c r="Q114" t="str">
        <f t="shared" si="231"/>
        <v/>
      </c>
      <c r="R114" t="str">
        <f t="shared" si="231"/>
        <v/>
      </c>
      <c r="S114" t="str">
        <f t="shared" si="231"/>
        <v/>
      </c>
      <c r="T114">
        <f t="shared" si="5"/>
        <v>372</v>
      </c>
      <c r="U114" s="25">
        <f t="shared" si="6"/>
        <v>2.583333333</v>
      </c>
      <c r="V114" s="26">
        <f t="shared" si="7"/>
        <v>0.3548387097</v>
      </c>
      <c r="W114" s="25">
        <f t="shared" si="8"/>
        <v>5.748622992</v>
      </c>
      <c r="X114" s="25">
        <f t="shared" si="9"/>
        <v>5.800289658</v>
      </c>
      <c r="Y114" s="25"/>
      <c r="Z114" s="25"/>
    </row>
    <row r="115">
      <c r="A115" s="1" t="s">
        <v>4</v>
      </c>
      <c r="B115" s="1">
        <v>30.0</v>
      </c>
      <c r="C115" s="1">
        <v>12.0</v>
      </c>
      <c r="D115" s="1">
        <v>6.0</v>
      </c>
      <c r="E115">
        <f t="shared" si="2"/>
        <v>7</v>
      </c>
      <c r="F115" t="str">
        <f t="shared" ref="F115:L115" si="232">IF((AND($A115 = "+0",$E115 = F$1)), $C115, "")</f>
        <v/>
      </c>
      <c r="G115" t="str">
        <f t="shared" si="232"/>
        <v/>
      </c>
      <c r="H115" t="str">
        <f t="shared" si="232"/>
        <v/>
      </c>
      <c r="I115" t="str">
        <f t="shared" si="232"/>
        <v/>
      </c>
      <c r="J115" t="str">
        <f t="shared" si="232"/>
        <v/>
      </c>
      <c r="K115" t="str">
        <f t="shared" si="232"/>
        <v/>
      </c>
      <c r="L115" t="str">
        <f t="shared" si="232"/>
        <v/>
      </c>
      <c r="M115" t="str">
        <f t="shared" ref="M115:S115" si="233">IF((AND($A115 = "+0",$E115 = M$1)), 2^$D115-$B115, "")</f>
        <v/>
      </c>
      <c r="N115" t="str">
        <f t="shared" si="233"/>
        <v/>
      </c>
      <c r="O115" t="str">
        <f t="shared" si="233"/>
        <v/>
      </c>
      <c r="P115" t="str">
        <f t="shared" si="233"/>
        <v/>
      </c>
      <c r="Q115" t="str">
        <f t="shared" si="233"/>
        <v/>
      </c>
      <c r="R115" t="str">
        <f t="shared" si="233"/>
        <v/>
      </c>
      <c r="S115" t="str">
        <f t="shared" si="233"/>
        <v/>
      </c>
      <c r="T115">
        <f t="shared" si="5"/>
        <v>360</v>
      </c>
      <c r="U115" s="25">
        <f t="shared" si="6"/>
        <v>2.5</v>
      </c>
      <c r="V115" s="26">
        <f t="shared" si="7"/>
        <v>0.3666666667</v>
      </c>
      <c r="W115" s="25">
        <f t="shared" si="8"/>
        <v>5.716776445</v>
      </c>
      <c r="X115" s="25">
        <f t="shared" si="9"/>
        <v>5.766776445</v>
      </c>
      <c r="Y115" s="25"/>
      <c r="Z115" s="25"/>
    </row>
    <row r="116">
      <c r="A116" s="1" t="s">
        <v>5</v>
      </c>
      <c r="B116" s="1">
        <v>29.0</v>
      </c>
      <c r="C116" s="1">
        <v>12.0</v>
      </c>
      <c r="D116" s="1">
        <v>6.0</v>
      </c>
      <c r="E116">
        <f t="shared" si="2"/>
        <v>6</v>
      </c>
      <c r="F116" t="str">
        <f t="shared" ref="F116:L116" si="234">IF((AND($A116 = "+0",$E116 = F$1)), $C116, "")</f>
        <v/>
      </c>
      <c r="G116" t="str">
        <f t="shared" si="234"/>
        <v/>
      </c>
      <c r="H116" t="str">
        <f t="shared" si="234"/>
        <v/>
      </c>
      <c r="I116" t="str">
        <f t="shared" si="234"/>
        <v/>
      </c>
      <c r="J116" t="str">
        <f t="shared" si="234"/>
        <v/>
      </c>
      <c r="K116">
        <f t="shared" si="234"/>
        <v>12</v>
      </c>
      <c r="L116" t="str">
        <f t="shared" si="234"/>
        <v/>
      </c>
      <c r="M116" t="str">
        <f t="shared" ref="M116:S116" si="235">IF((AND($A116 = "+0",$E116 = M$1)), 2^$D116-$B116, "")</f>
        <v/>
      </c>
      <c r="N116" t="str">
        <f t="shared" si="235"/>
        <v/>
      </c>
      <c r="O116" t="str">
        <f t="shared" si="235"/>
        <v/>
      </c>
      <c r="P116" t="str">
        <f t="shared" si="235"/>
        <v/>
      </c>
      <c r="Q116" t="str">
        <f t="shared" si="235"/>
        <v/>
      </c>
      <c r="R116">
        <f t="shared" si="235"/>
        <v>35</v>
      </c>
      <c r="S116" t="str">
        <f t="shared" si="235"/>
        <v/>
      </c>
      <c r="T116">
        <f t="shared" si="5"/>
        <v>348</v>
      </c>
      <c r="U116" s="25">
        <f t="shared" si="6"/>
        <v>2.416666667</v>
      </c>
      <c r="V116" s="26">
        <f t="shared" si="7"/>
        <v>0.3793103448</v>
      </c>
      <c r="W116" s="25">
        <f t="shared" si="8"/>
        <v>5.683850151</v>
      </c>
      <c r="X116" s="25">
        <f t="shared" si="9"/>
        <v>5.732183484</v>
      </c>
      <c r="Y116" s="25"/>
      <c r="Z116" s="25"/>
    </row>
    <row r="117">
      <c r="A117" s="1" t="s">
        <v>4</v>
      </c>
      <c r="B117" s="1">
        <v>29.0</v>
      </c>
      <c r="C117" s="1">
        <v>13.0</v>
      </c>
      <c r="D117" s="1">
        <v>6.0</v>
      </c>
      <c r="E117">
        <f t="shared" si="2"/>
        <v>7</v>
      </c>
      <c r="F117" t="str">
        <f t="shared" ref="F117:L117" si="236">IF((AND($A117 = "+0",$E117 = F$1)), $C117, "")</f>
        <v/>
      </c>
      <c r="G117" t="str">
        <f t="shared" si="236"/>
        <v/>
      </c>
      <c r="H117" t="str">
        <f t="shared" si="236"/>
        <v/>
      </c>
      <c r="I117" t="str">
        <f t="shared" si="236"/>
        <v/>
      </c>
      <c r="J117" t="str">
        <f t="shared" si="236"/>
        <v/>
      </c>
      <c r="K117" t="str">
        <f t="shared" si="236"/>
        <v/>
      </c>
      <c r="L117" t="str">
        <f t="shared" si="236"/>
        <v/>
      </c>
      <c r="M117" t="str">
        <f t="shared" ref="M117:S117" si="237">IF((AND($A117 = "+0",$E117 = M$1)), 2^$D117-$B117, "")</f>
        <v/>
      </c>
      <c r="N117" t="str">
        <f t="shared" si="237"/>
        <v/>
      </c>
      <c r="O117" t="str">
        <f t="shared" si="237"/>
        <v/>
      </c>
      <c r="P117" t="str">
        <f t="shared" si="237"/>
        <v/>
      </c>
      <c r="Q117" t="str">
        <f t="shared" si="237"/>
        <v/>
      </c>
      <c r="R117" t="str">
        <f t="shared" si="237"/>
        <v/>
      </c>
      <c r="S117" t="str">
        <f t="shared" si="237"/>
        <v/>
      </c>
      <c r="T117">
        <f t="shared" si="5"/>
        <v>377</v>
      </c>
      <c r="U117" s="25">
        <f t="shared" si="6"/>
        <v>2.230769231</v>
      </c>
      <c r="V117" s="26">
        <f t="shared" si="7"/>
        <v>0.4137931034</v>
      </c>
      <c r="W117" s="25">
        <f t="shared" si="8"/>
        <v>5.761590242</v>
      </c>
      <c r="X117" s="25">
        <f t="shared" si="9"/>
        <v>5.806205627</v>
      </c>
      <c r="Y117" s="25"/>
      <c r="Z117" s="25"/>
    </row>
    <row r="118">
      <c r="A118" s="1" t="s">
        <v>4</v>
      </c>
      <c r="B118" s="1">
        <v>28.0</v>
      </c>
      <c r="C118" s="1">
        <v>13.0</v>
      </c>
      <c r="D118" s="1">
        <v>6.0</v>
      </c>
      <c r="E118">
        <f t="shared" si="2"/>
        <v>7</v>
      </c>
      <c r="F118" t="str">
        <f t="shared" ref="F118:L118" si="238">IF((AND($A118 = "+0",$E118 = F$1)), $C118, "")</f>
        <v/>
      </c>
      <c r="G118" t="str">
        <f t="shared" si="238"/>
        <v/>
      </c>
      <c r="H118" t="str">
        <f t="shared" si="238"/>
        <v/>
      </c>
      <c r="I118" t="str">
        <f t="shared" si="238"/>
        <v/>
      </c>
      <c r="J118" t="str">
        <f t="shared" si="238"/>
        <v/>
      </c>
      <c r="K118" t="str">
        <f t="shared" si="238"/>
        <v/>
      </c>
      <c r="L118" t="str">
        <f t="shared" si="238"/>
        <v/>
      </c>
      <c r="M118" t="str">
        <f t="shared" ref="M118:S118" si="239">IF((AND($A118 = "+0",$E118 = M$1)), 2^$D118-$B118, "")</f>
        <v/>
      </c>
      <c r="N118" t="str">
        <f t="shared" si="239"/>
        <v/>
      </c>
      <c r="O118" t="str">
        <f t="shared" si="239"/>
        <v/>
      </c>
      <c r="P118" t="str">
        <f t="shared" si="239"/>
        <v/>
      </c>
      <c r="Q118" t="str">
        <f t="shared" si="239"/>
        <v/>
      </c>
      <c r="R118" t="str">
        <f t="shared" si="239"/>
        <v/>
      </c>
      <c r="S118" t="str">
        <f t="shared" si="239"/>
        <v/>
      </c>
      <c r="T118">
        <f t="shared" si="5"/>
        <v>364</v>
      </c>
      <c r="U118" s="25">
        <f t="shared" si="6"/>
        <v>2.153846154</v>
      </c>
      <c r="V118" s="26">
        <f t="shared" si="7"/>
        <v>0.4285714286</v>
      </c>
      <c r="W118" s="25">
        <f t="shared" si="8"/>
        <v>5.727508407</v>
      </c>
      <c r="X118" s="25">
        <f t="shared" si="9"/>
        <v>5.77058533</v>
      </c>
      <c r="Y118" s="25"/>
      <c r="Z118" s="25"/>
    </row>
    <row r="119">
      <c r="A119" s="1" t="s">
        <v>5</v>
      </c>
      <c r="B119" s="1">
        <v>27.0</v>
      </c>
      <c r="C119" s="1">
        <v>13.0</v>
      </c>
      <c r="D119" s="1">
        <v>6.0</v>
      </c>
      <c r="E119">
        <f t="shared" si="2"/>
        <v>6</v>
      </c>
      <c r="F119" t="str">
        <f t="shared" ref="F119:L119" si="240">IF((AND($A119 = "+0",$E119 = F$1)), $C119, "")</f>
        <v/>
      </c>
      <c r="G119" t="str">
        <f t="shared" si="240"/>
        <v/>
      </c>
      <c r="H119" t="str">
        <f t="shared" si="240"/>
        <v/>
      </c>
      <c r="I119" t="str">
        <f t="shared" si="240"/>
        <v/>
      </c>
      <c r="J119" t="str">
        <f t="shared" si="240"/>
        <v/>
      </c>
      <c r="K119">
        <f t="shared" si="240"/>
        <v>13</v>
      </c>
      <c r="L119" t="str">
        <f t="shared" si="240"/>
        <v/>
      </c>
      <c r="M119" t="str">
        <f t="shared" ref="M119:S119" si="241">IF((AND($A119 = "+0",$E119 = M$1)), 2^$D119-$B119, "")</f>
        <v/>
      </c>
      <c r="N119" t="str">
        <f t="shared" si="241"/>
        <v/>
      </c>
      <c r="O119" t="str">
        <f t="shared" si="241"/>
        <v/>
      </c>
      <c r="P119" t="str">
        <f t="shared" si="241"/>
        <v/>
      </c>
      <c r="Q119" t="str">
        <f t="shared" si="241"/>
        <v/>
      </c>
      <c r="R119">
        <f t="shared" si="241"/>
        <v>37</v>
      </c>
      <c r="S119" t="str">
        <f t="shared" si="241"/>
        <v/>
      </c>
      <c r="T119">
        <f t="shared" si="5"/>
        <v>351</v>
      </c>
      <c r="U119" s="25">
        <f t="shared" si="6"/>
        <v>2.076923077</v>
      </c>
      <c r="V119" s="26">
        <f t="shared" si="7"/>
        <v>0.4444444444</v>
      </c>
      <c r="W119" s="25">
        <f t="shared" si="8"/>
        <v>5.692186963</v>
      </c>
      <c r="X119" s="25">
        <f t="shared" si="9"/>
        <v>5.733725425</v>
      </c>
      <c r="Y119" s="25"/>
      <c r="Z119" s="25"/>
    </row>
    <row r="120">
      <c r="A120" s="1" t="s">
        <v>4</v>
      </c>
      <c r="B120" s="1">
        <v>27.0</v>
      </c>
      <c r="C120" s="1">
        <v>14.0</v>
      </c>
      <c r="D120" s="1">
        <v>6.0</v>
      </c>
      <c r="E120">
        <f t="shared" si="2"/>
        <v>7</v>
      </c>
      <c r="F120" t="str">
        <f t="shared" ref="F120:L120" si="242">IF((AND($A120 = "+0",$E120 = F$1)), $C120, "")</f>
        <v/>
      </c>
      <c r="G120" t="str">
        <f t="shared" si="242"/>
        <v/>
      </c>
      <c r="H120" t="str">
        <f t="shared" si="242"/>
        <v/>
      </c>
      <c r="I120" t="str">
        <f t="shared" si="242"/>
        <v/>
      </c>
      <c r="J120" t="str">
        <f t="shared" si="242"/>
        <v/>
      </c>
      <c r="K120" t="str">
        <f t="shared" si="242"/>
        <v/>
      </c>
      <c r="L120" t="str">
        <f t="shared" si="242"/>
        <v/>
      </c>
      <c r="M120" t="str">
        <f t="shared" ref="M120:S120" si="243">IF((AND($A120 = "+0",$E120 = M$1)), 2^$D120-$B120, "")</f>
        <v/>
      </c>
      <c r="N120" t="str">
        <f t="shared" si="243"/>
        <v/>
      </c>
      <c r="O120" t="str">
        <f t="shared" si="243"/>
        <v/>
      </c>
      <c r="P120" t="str">
        <f t="shared" si="243"/>
        <v/>
      </c>
      <c r="Q120" t="str">
        <f t="shared" si="243"/>
        <v/>
      </c>
      <c r="R120" t="str">
        <f t="shared" si="243"/>
        <v/>
      </c>
      <c r="S120" t="str">
        <f t="shared" si="243"/>
        <v/>
      </c>
      <c r="T120">
        <f t="shared" si="5"/>
        <v>378</v>
      </c>
      <c r="U120" s="25">
        <f t="shared" si="6"/>
        <v>1.928571429</v>
      </c>
      <c r="V120" s="26">
        <f t="shared" si="7"/>
        <v>0.4814814815</v>
      </c>
      <c r="W120" s="25">
        <f t="shared" si="8"/>
        <v>5.764163046</v>
      </c>
      <c r="X120" s="25">
        <f t="shared" si="9"/>
        <v>5.802734474</v>
      </c>
      <c r="Y120" s="25"/>
      <c r="Z120" s="25"/>
    </row>
    <row r="121">
      <c r="A121" s="1" t="s">
        <v>4</v>
      </c>
      <c r="B121" s="1">
        <v>26.0</v>
      </c>
      <c r="C121" s="1">
        <v>14.0</v>
      </c>
      <c r="D121" s="1">
        <v>6.0</v>
      </c>
      <c r="E121">
        <f t="shared" si="2"/>
        <v>7</v>
      </c>
      <c r="F121" t="str">
        <f t="shared" ref="F121:L121" si="244">IF((AND($A121 = "+0",$E121 = F$1)), $C121, "")</f>
        <v/>
      </c>
      <c r="G121" t="str">
        <f t="shared" si="244"/>
        <v/>
      </c>
      <c r="H121" t="str">
        <f t="shared" si="244"/>
        <v/>
      </c>
      <c r="I121" t="str">
        <f t="shared" si="244"/>
        <v/>
      </c>
      <c r="J121" t="str">
        <f t="shared" si="244"/>
        <v/>
      </c>
      <c r="K121" t="str">
        <f t="shared" si="244"/>
        <v/>
      </c>
      <c r="L121" t="str">
        <f t="shared" si="244"/>
        <v/>
      </c>
      <c r="M121" t="str">
        <f t="shared" ref="M121:S121" si="245">IF((AND($A121 = "+0",$E121 = M$1)), 2^$D121-$B121, "")</f>
        <v/>
      </c>
      <c r="N121" t="str">
        <f t="shared" si="245"/>
        <v/>
      </c>
      <c r="O121" t="str">
        <f t="shared" si="245"/>
        <v/>
      </c>
      <c r="P121" t="str">
        <f t="shared" si="245"/>
        <v/>
      </c>
      <c r="Q121" t="str">
        <f t="shared" si="245"/>
        <v/>
      </c>
      <c r="R121" t="str">
        <f t="shared" si="245"/>
        <v/>
      </c>
      <c r="S121" t="str">
        <f t="shared" si="245"/>
        <v/>
      </c>
      <c r="T121">
        <f t="shared" si="5"/>
        <v>364</v>
      </c>
      <c r="U121" s="25">
        <f t="shared" si="6"/>
        <v>1.857142857</v>
      </c>
      <c r="V121" s="26">
        <f t="shared" si="7"/>
        <v>0.5</v>
      </c>
      <c r="W121" s="25">
        <f t="shared" si="8"/>
        <v>5.727508407</v>
      </c>
      <c r="X121" s="25">
        <f t="shared" si="9"/>
        <v>5.764651264</v>
      </c>
      <c r="Y121" s="25"/>
      <c r="Z121" s="25"/>
    </row>
    <row r="122">
      <c r="A122" s="1" t="s">
        <v>5</v>
      </c>
      <c r="B122" s="1">
        <v>25.0</v>
      </c>
      <c r="C122" s="1">
        <v>14.0</v>
      </c>
      <c r="D122" s="1">
        <v>6.0</v>
      </c>
      <c r="E122">
        <f t="shared" si="2"/>
        <v>6</v>
      </c>
      <c r="F122" t="str">
        <f t="shared" ref="F122:L122" si="246">IF((AND($A122 = "+0",$E122 = F$1)), $C122, "")</f>
        <v/>
      </c>
      <c r="G122" t="str">
        <f t="shared" si="246"/>
        <v/>
      </c>
      <c r="H122" t="str">
        <f t="shared" si="246"/>
        <v/>
      </c>
      <c r="I122" t="str">
        <f t="shared" si="246"/>
        <v/>
      </c>
      <c r="J122" t="str">
        <f t="shared" si="246"/>
        <v/>
      </c>
      <c r="K122">
        <f t="shared" si="246"/>
        <v>14</v>
      </c>
      <c r="L122" t="str">
        <f t="shared" si="246"/>
        <v/>
      </c>
      <c r="M122" t="str">
        <f t="shared" ref="M122:S122" si="247">IF((AND($A122 = "+0",$E122 = M$1)), 2^$D122-$B122, "")</f>
        <v/>
      </c>
      <c r="N122" t="str">
        <f t="shared" si="247"/>
        <v/>
      </c>
      <c r="O122" t="str">
        <f t="shared" si="247"/>
        <v/>
      </c>
      <c r="P122" t="str">
        <f t="shared" si="247"/>
        <v/>
      </c>
      <c r="Q122" t="str">
        <f t="shared" si="247"/>
        <v/>
      </c>
      <c r="R122">
        <f t="shared" si="247"/>
        <v>39</v>
      </c>
      <c r="S122" t="str">
        <f t="shared" si="247"/>
        <v/>
      </c>
      <c r="T122">
        <f t="shared" si="5"/>
        <v>350</v>
      </c>
      <c r="U122" s="25">
        <f t="shared" si="6"/>
        <v>1.785714286</v>
      </c>
      <c r="V122" s="26">
        <f t="shared" si="7"/>
        <v>0.52</v>
      </c>
      <c r="W122" s="25">
        <f t="shared" si="8"/>
        <v>5.689415969</v>
      </c>
      <c r="X122" s="25">
        <f t="shared" si="9"/>
        <v>5.725130255</v>
      </c>
      <c r="Y122" s="25"/>
      <c r="Z122" s="25"/>
    </row>
    <row r="123">
      <c r="A123" s="1" t="s">
        <v>4</v>
      </c>
      <c r="B123" s="1">
        <v>25.0</v>
      </c>
      <c r="C123" s="1">
        <v>15.0</v>
      </c>
      <c r="D123" s="1">
        <v>6.0</v>
      </c>
      <c r="E123">
        <f t="shared" si="2"/>
        <v>7</v>
      </c>
      <c r="F123" t="str">
        <f t="shared" ref="F123:L123" si="248">IF((AND($A123 = "+0",$E123 = F$1)), $C123, "")</f>
        <v/>
      </c>
      <c r="G123" t="str">
        <f t="shared" si="248"/>
        <v/>
      </c>
      <c r="H123" t="str">
        <f t="shared" si="248"/>
        <v/>
      </c>
      <c r="I123" t="str">
        <f t="shared" si="248"/>
        <v/>
      </c>
      <c r="J123" t="str">
        <f t="shared" si="248"/>
        <v/>
      </c>
      <c r="K123" t="str">
        <f t="shared" si="248"/>
        <v/>
      </c>
      <c r="L123" t="str">
        <f t="shared" si="248"/>
        <v/>
      </c>
      <c r="M123" t="str">
        <f t="shared" ref="M123:S123" si="249">IF((AND($A123 = "+0",$E123 = M$1)), 2^$D123-$B123, "")</f>
        <v/>
      </c>
      <c r="N123" t="str">
        <f t="shared" si="249"/>
        <v/>
      </c>
      <c r="O123" t="str">
        <f t="shared" si="249"/>
        <v/>
      </c>
      <c r="P123" t="str">
        <f t="shared" si="249"/>
        <v/>
      </c>
      <c r="Q123" t="str">
        <f t="shared" si="249"/>
        <v/>
      </c>
      <c r="R123" t="str">
        <f t="shared" si="249"/>
        <v/>
      </c>
      <c r="S123" t="str">
        <f t="shared" si="249"/>
        <v/>
      </c>
      <c r="T123">
        <f t="shared" si="5"/>
        <v>375</v>
      </c>
      <c r="U123" s="25">
        <f t="shared" si="6"/>
        <v>1.666666667</v>
      </c>
      <c r="V123" s="26">
        <f t="shared" si="7"/>
        <v>0.56</v>
      </c>
      <c r="W123" s="25">
        <f t="shared" si="8"/>
        <v>5.756424099</v>
      </c>
      <c r="X123" s="25">
        <f t="shared" si="9"/>
        <v>5.789757432</v>
      </c>
      <c r="Y123" s="25"/>
      <c r="Z123" s="25"/>
    </row>
    <row r="124">
      <c r="A124" s="1" t="s">
        <v>5</v>
      </c>
      <c r="B124" s="1">
        <v>24.0</v>
      </c>
      <c r="C124" s="1">
        <v>15.0</v>
      </c>
      <c r="D124" s="1">
        <v>6.0</v>
      </c>
      <c r="E124">
        <f t="shared" si="2"/>
        <v>6</v>
      </c>
      <c r="F124" t="str">
        <f t="shared" ref="F124:L124" si="250">IF((AND($A124 = "+0",$E124 = F$1)), $C124, "")</f>
        <v/>
      </c>
      <c r="G124" t="str">
        <f t="shared" si="250"/>
        <v/>
      </c>
      <c r="H124" t="str">
        <f t="shared" si="250"/>
        <v/>
      </c>
      <c r="I124" t="str">
        <f t="shared" si="250"/>
        <v/>
      </c>
      <c r="J124" t="str">
        <f t="shared" si="250"/>
        <v/>
      </c>
      <c r="K124">
        <f t="shared" si="250"/>
        <v>15</v>
      </c>
      <c r="L124" t="str">
        <f t="shared" si="250"/>
        <v/>
      </c>
      <c r="M124" t="str">
        <f t="shared" ref="M124:S124" si="251">IF((AND($A124 = "+0",$E124 = M$1)), 2^$D124-$B124, "")</f>
        <v/>
      </c>
      <c r="N124" t="str">
        <f t="shared" si="251"/>
        <v/>
      </c>
      <c r="O124" t="str">
        <f t="shared" si="251"/>
        <v/>
      </c>
      <c r="P124" t="str">
        <f t="shared" si="251"/>
        <v/>
      </c>
      <c r="Q124" t="str">
        <f t="shared" si="251"/>
        <v/>
      </c>
      <c r="R124">
        <f t="shared" si="251"/>
        <v>40</v>
      </c>
      <c r="S124" t="str">
        <f t="shared" si="251"/>
        <v/>
      </c>
      <c r="T124">
        <f t="shared" si="5"/>
        <v>360</v>
      </c>
      <c r="U124" s="25">
        <f t="shared" si="6"/>
        <v>1.6</v>
      </c>
      <c r="V124" s="26">
        <f t="shared" si="7"/>
        <v>0.5833333333</v>
      </c>
      <c r="W124" s="25">
        <f t="shared" si="8"/>
        <v>5.716776445</v>
      </c>
      <c r="X124" s="25">
        <f t="shared" si="9"/>
        <v>5.748776445</v>
      </c>
      <c r="Y124" s="25"/>
      <c r="Z124" s="25"/>
    </row>
    <row r="125">
      <c r="A125" s="1" t="s">
        <v>4</v>
      </c>
      <c r="B125" s="1">
        <v>24.0</v>
      </c>
      <c r="C125" s="1">
        <v>16.0</v>
      </c>
      <c r="D125" s="1">
        <v>6.0</v>
      </c>
      <c r="E125">
        <f t="shared" si="2"/>
        <v>7</v>
      </c>
      <c r="F125" t="str">
        <f t="shared" ref="F125:L125" si="252">IF((AND($A125 = "+0",$E125 = F$1)), $C125, "")</f>
        <v/>
      </c>
      <c r="G125" t="str">
        <f t="shared" si="252"/>
        <v/>
      </c>
      <c r="H125" t="str">
        <f t="shared" si="252"/>
        <v/>
      </c>
      <c r="I125" t="str">
        <f t="shared" si="252"/>
        <v/>
      </c>
      <c r="J125" t="str">
        <f t="shared" si="252"/>
        <v/>
      </c>
      <c r="K125" t="str">
        <f t="shared" si="252"/>
        <v/>
      </c>
      <c r="L125" t="str">
        <f t="shared" si="252"/>
        <v/>
      </c>
      <c r="M125" t="str">
        <f t="shared" ref="M125:S125" si="253">IF((AND($A125 = "+0",$E125 = M$1)), 2^$D125-$B125, "")</f>
        <v/>
      </c>
      <c r="N125" t="str">
        <f t="shared" si="253"/>
        <v/>
      </c>
      <c r="O125" t="str">
        <f t="shared" si="253"/>
        <v/>
      </c>
      <c r="P125" t="str">
        <f t="shared" si="253"/>
        <v/>
      </c>
      <c r="Q125" t="str">
        <f t="shared" si="253"/>
        <v/>
      </c>
      <c r="R125" t="str">
        <f t="shared" si="253"/>
        <v/>
      </c>
      <c r="S125" t="str">
        <f t="shared" si="253"/>
        <v/>
      </c>
      <c r="T125">
        <f t="shared" si="5"/>
        <v>384</v>
      </c>
      <c r="U125" s="25">
        <f t="shared" si="6"/>
        <v>1.5</v>
      </c>
      <c r="V125" s="26">
        <f t="shared" si="7"/>
        <v>0.625</v>
      </c>
      <c r="W125" s="25">
        <f t="shared" si="8"/>
        <v>5.779458364</v>
      </c>
      <c r="X125" s="25">
        <f t="shared" si="9"/>
        <v>5.809458364</v>
      </c>
      <c r="Y125" s="25"/>
      <c r="Z125" s="25"/>
    </row>
    <row r="126">
      <c r="A126" s="1" t="s">
        <v>4</v>
      </c>
      <c r="B126" s="1">
        <v>23.0</v>
      </c>
      <c r="C126" s="1">
        <v>16.0</v>
      </c>
      <c r="D126" s="1">
        <v>6.0</v>
      </c>
      <c r="E126">
        <f t="shared" si="2"/>
        <v>7</v>
      </c>
      <c r="F126" t="str">
        <f t="shared" ref="F126:L126" si="254">IF((AND($A126 = "+0",$E126 = F$1)), $C126, "")</f>
        <v/>
      </c>
      <c r="G126" t="str">
        <f t="shared" si="254"/>
        <v/>
      </c>
      <c r="H126" t="str">
        <f t="shared" si="254"/>
        <v/>
      </c>
      <c r="I126" t="str">
        <f t="shared" si="254"/>
        <v/>
      </c>
      <c r="J126" t="str">
        <f t="shared" si="254"/>
        <v/>
      </c>
      <c r="K126" t="str">
        <f t="shared" si="254"/>
        <v/>
      </c>
      <c r="L126" t="str">
        <f t="shared" si="254"/>
        <v/>
      </c>
      <c r="M126" t="str">
        <f t="shared" ref="M126:S126" si="255">IF((AND($A126 = "+0",$E126 = M$1)), 2^$D126-$B126, "")</f>
        <v/>
      </c>
      <c r="N126" t="str">
        <f t="shared" si="255"/>
        <v/>
      </c>
      <c r="O126" t="str">
        <f t="shared" si="255"/>
        <v/>
      </c>
      <c r="P126" t="str">
        <f t="shared" si="255"/>
        <v/>
      </c>
      <c r="Q126" t="str">
        <f t="shared" si="255"/>
        <v/>
      </c>
      <c r="R126" t="str">
        <f t="shared" si="255"/>
        <v/>
      </c>
      <c r="S126" t="str">
        <f t="shared" si="255"/>
        <v/>
      </c>
      <c r="T126">
        <f t="shared" si="5"/>
        <v>368</v>
      </c>
      <c r="U126" s="25">
        <f t="shared" si="6"/>
        <v>1.4375</v>
      </c>
      <c r="V126" s="26">
        <f t="shared" si="7"/>
        <v>0.652173913</v>
      </c>
      <c r="W126" s="25">
        <f t="shared" si="8"/>
        <v>5.738123077</v>
      </c>
      <c r="X126" s="25">
        <f t="shared" si="9"/>
        <v>5.766873077</v>
      </c>
      <c r="Y126" s="25"/>
      <c r="Z126" s="25"/>
    </row>
    <row r="127">
      <c r="A127" s="1" t="s">
        <v>5</v>
      </c>
      <c r="B127" s="1">
        <v>22.0</v>
      </c>
      <c r="C127" s="1">
        <v>16.0</v>
      </c>
      <c r="D127" s="1">
        <v>6.0</v>
      </c>
      <c r="E127">
        <f t="shared" si="2"/>
        <v>6</v>
      </c>
      <c r="F127" t="str">
        <f t="shared" ref="F127:L127" si="256">IF((AND($A127 = "+0",$E127 = F$1)), $C127, "")</f>
        <v/>
      </c>
      <c r="G127" t="str">
        <f t="shared" si="256"/>
        <v/>
      </c>
      <c r="H127" t="str">
        <f t="shared" si="256"/>
        <v/>
      </c>
      <c r="I127" t="str">
        <f t="shared" si="256"/>
        <v/>
      </c>
      <c r="J127" t="str">
        <f t="shared" si="256"/>
        <v/>
      </c>
      <c r="K127">
        <f t="shared" si="256"/>
        <v>16</v>
      </c>
      <c r="L127" t="str">
        <f t="shared" si="256"/>
        <v/>
      </c>
      <c r="M127" t="str">
        <f t="shared" ref="M127:S127" si="257">IF((AND($A127 = "+0",$E127 = M$1)), 2^$D127-$B127, "")</f>
        <v/>
      </c>
      <c r="N127" t="str">
        <f t="shared" si="257"/>
        <v/>
      </c>
      <c r="O127" t="str">
        <f t="shared" si="257"/>
        <v/>
      </c>
      <c r="P127" t="str">
        <f t="shared" si="257"/>
        <v/>
      </c>
      <c r="Q127" t="str">
        <f t="shared" si="257"/>
        <v/>
      </c>
      <c r="R127">
        <f t="shared" si="257"/>
        <v>42</v>
      </c>
      <c r="S127" t="str">
        <f t="shared" si="257"/>
        <v/>
      </c>
      <c r="T127">
        <f t="shared" si="5"/>
        <v>352</v>
      </c>
      <c r="U127" s="25">
        <f t="shared" si="6"/>
        <v>1.375</v>
      </c>
      <c r="V127" s="26">
        <f t="shared" si="7"/>
        <v>0.6818181818</v>
      </c>
      <c r="W127" s="25">
        <f t="shared" si="8"/>
        <v>5.694950074</v>
      </c>
      <c r="X127" s="25">
        <f t="shared" si="9"/>
        <v>5.722450074</v>
      </c>
      <c r="Y127" s="25"/>
      <c r="Z127" s="25"/>
    </row>
    <row r="128">
      <c r="A128" s="1" t="s">
        <v>4</v>
      </c>
      <c r="B128" s="1">
        <v>22.0</v>
      </c>
      <c r="C128" s="1">
        <v>17.0</v>
      </c>
      <c r="D128" s="1">
        <v>6.0</v>
      </c>
      <c r="E128">
        <f t="shared" si="2"/>
        <v>7</v>
      </c>
      <c r="F128" t="str">
        <f t="shared" ref="F128:L128" si="258">IF((AND($A128 = "+0",$E128 = F$1)), $C128, "")</f>
        <v/>
      </c>
      <c r="G128" t="str">
        <f t="shared" si="258"/>
        <v/>
      </c>
      <c r="H128" t="str">
        <f t="shared" si="258"/>
        <v/>
      </c>
      <c r="I128" t="str">
        <f t="shared" si="258"/>
        <v/>
      </c>
      <c r="J128" t="str">
        <f t="shared" si="258"/>
        <v/>
      </c>
      <c r="K128" t="str">
        <f t="shared" si="258"/>
        <v/>
      </c>
      <c r="L128" t="str">
        <f t="shared" si="258"/>
        <v/>
      </c>
      <c r="M128" t="str">
        <f t="shared" ref="M128:S128" si="259">IF((AND($A128 = "+0",$E128 = M$1)), 2^$D128-$B128, "")</f>
        <v/>
      </c>
      <c r="N128" t="str">
        <f t="shared" si="259"/>
        <v/>
      </c>
      <c r="O128" t="str">
        <f t="shared" si="259"/>
        <v/>
      </c>
      <c r="P128" t="str">
        <f t="shared" si="259"/>
        <v/>
      </c>
      <c r="Q128" t="str">
        <f t="shared" si="259"/>
        <v/>
      </c>
      <c r="R128" t="str">
        <f t="shared" si="259"/>
        <v/>
      </c>
      <c r="S128" t="str">
        <f t="shared" si="259"/>
        <v/>
      </c>
      <c r="T128">
        <f t="shared" si="5"/>
        <v>374</v>
      </c>
      <c r="U128" s="25">
        <f t="shared" si="6"/>
        <v>1.294117647</v>
      </c>
      <c r="V128" s="26">
        <f t="shared" si="7"/>
        <v>0.7272727273</v>
      </c>
      <c r="W128" s="25">
        <f t="shared" si="8"/>
        <v>5.753830686</v>
      </c>
      <c r="X128" s="25">
        <f t="shared" si="9"/>
        <v>5.779713039</v>
      </c>
      <c r="Y128" s="25"/>
      <c r="Z128" s="25"/>
    </row>
    <row r="129">
      <c r="A129" s="1" t="s">
        <v>5</v>
      </c>
      <c r="B129" s="1">
        <v>21.0</v>
      </c>
      <c r="C129" s="1">
        <v>17.0</v>
      </c>
      <c r="D129" s="1">
        <v>6.0</v>
      </c>
      <c r="E129">
        <f t="shared" si="2"/>
        <v>6</v>
      </c>
      <c r="F129" t="str">
        <f t="shared" ref="F129:L129" si="260">IF((AND($A129 = "+0",$E129 = F$1)), $C129, "")</f>
        <v/>
      </c>
      <c r="G129" t="str">
        <f t="shared" si="260"/>
        <v/>
      </c>
      <c r="H129" t="str">
        <f t="shared" si="260"/>
        <v/>
      </c>
      <c r="I129" t="str">
        <f t="shared" si="260"/>
        <v/>
      </c>
      <c r="J129" t="str">
        <f t="shared" si="260"/>
        <v/>
      </c>
      <c r="K129">
        <f t="shared" si="260"/>
        <v>17</v>
      </c>
      <c r="L129" t="str">
        <f t="shared" si="260"/>
        <v/>
      </c>
      <c r="M129" t="str">
        <f t="shared" ref="M129:S129" si="261">IF((AND($A129 = "+0",$E129 = M$1)), 2^$D129-$B129, "")</f>
        <v/>
      </c>
      <c r="N129" t="str">
        <f t="shared" si="261"/>
        <v/>
      </c>
      <c r="O129" t="str">
        <f t="shared" si="261"/>
        <v/>
      </c>
      <c r="P129" t="str">
        <f t="shared" si="261"/>
        <v/>
      </c>
      <c r="Q129" t="str">
        <f t="shared" si="261"/>
        <v/>
      </c>
      <c r="R129">
        <f t="shared" si="261"/>
        <v>43</v>
      </c>
      <c r="S129" t="str">
        <f t="shared" si="261"/>
        <v/>
      </c>
      <c r="T129">
        <f t="shared" si="5"/>
        <v>357</v>
      </c>
      <c r="U129" s="25">
        <f t="shared" si="6"/>
        <v>1.235294118</v>
      </c>
      <c r="V129" s="26">
        <f t="shared" si="7"/>
        <v>0.7619047619</v>
      </c>
      <c r="W129" s="25">
        <f t="shared" si="8"/>
        <v>5.708648928</v>
      </c>
      <c r="X129" s="25">
        <f t="shared" si="9"/>
        <v>5.73335481</v>
      </c>
      <c r="Y129" s="25"/>
      <c r="Z129" s="25"/>
    </row>
    <row r="130">
      <c r="A130" s="1" t="s">
        <v>4</v>
      </c>
      <c r="B130" s="1">
        <v>21.0</v>
      </c>
      <c r="C130" s="1">
        <v>18.0</v>
      </c>
      <c r="D130" s="1">
        <v>6.0</v>
      </c>
      <c r="E130">
        <f t="shared" si="2"/>
        <v>7</v>
      </c>
      <c r="F130" t="str">
        <f t="shared" ref="F130:L130" si="262">IF((AND($A130 = "+0",$E130 = F$1)), $C130, "")</f>
        <v/>
      </c>
      <c r="G130" t="str">
        <f t="shared" si="262"/>
        <v/>
      </c>
      <c r="H130" t="str">
        <f t="shared" si="262"/>
        <v/>
      </c>
      <c r="I130" t="str">
        <f t="shared" si="262"/>
        <v/>
      </c>
      <c r="J130" t="str">
        <f t="shared" si="262"/>
        <v/>
      </c>
      <c r="K130" t="str">
        <f t="shared" si="262"/>
        <v/>
      </c>
      <c r="L130" t="str">
        <f t="shared" si="262"/>
        <v/>
      </c>
      <c r="M130" t="str">
        <f t="shared" ref="M130:S130" si="263">IF((AND($A130 = "+0",$E130 = M$1)), 2^$D130-$B130, "")</f>
        <v/>
      </c>
      <c r="N130" t="str">
        <f t="shared" si="263"/>
        <v/>
      </c>
      <c r="O130" t="str">
        <f t="shared" si="263"/>
        <v/>
      </c>
      <c r="P130" t="str">
        <f t="shared" si="263"/>
        <v/>
      </c>
      <c r="Q130" t="str">
        <f t="shared" si="263"/>
        <v/>
      </c>
      <c r="R130" t="str">
        <f t="shared" si="263"/>
        <v/>
      </c>
      <c r="S130" t="str">
        <f t="shared" si="263"/>
        <v/>
      </c>
      <c r="T130">
        <f t="shared" si="5"/>
        <v>378</v>
      </c>
      <c r="U130" s="25">
        <f t="shared" si="6"/>
        <v>1.166666667</v>
      </c>
      <c r="V130" s="26">
        <f t="shared" si="7"/>
        <v>0.8095238095</v>
      </c>
      <c r="W130" s="25">
        <f t="shared" si="8"/>
        <v>5.764163046</v>
      </c>
      <c r="X130" s="25">
        <f t="shared" si="9"/>
        <v>5.787496379</v>
      </c>
      <c r="Y130" s="25"/>
      <c r="Z130" s="25"/>
    </row>
    <row r="131">
      <c r="A131" s="1" t="s">
        <v>5</v>
      </c>
      <c r="B131" s="1">
        <v>20.0</v>
      </c>
      <c r="C131" s="1">
        <v>18.0</v>
      </c>
      <c r="D131" s="1">
        <v>6.0</v>
      </c>
      <c r="E131">
        <f t="shared" si="2"/>
        <v>6</v>
      </c>
      <c r="F131" t="str">
        <f t="shared" ref="F131:L131" si="264">IF((AND($A131 = "+0",$E131 = F$1)), $C131, "")</f>
        <v/>
      </c>
      <c r="G131" t="str">
        <f t="shared" si="264"/>
        <v/>
      </c>
      <c r="H131" t="str">
        <f t="shared" si="264"/>
        <v/>
      </c>
      <c r="I131" t="str">
        <f t="shared" si="264"/>
        <v/>
      </c>
      <c r="J131" t="str">
        <f t="shared" si="264"/>
        <v/>
      </c>
      <c r="K131">
        <f t="shared" si="264"/>
        <v>18</v>
      </c>
      <c r="L131" t="str">
        <f t="shared" si="264"/>
        <v/>
      </c>
      <c r="M131" t="str">
        <f t="shared" ref="M131:S131" si="265">IF((AND($A131 = "+0",$E131 = M$1)), 2^$D131-$B131, "")</f>
        <v/>
      </c>
      <c r="N131" t="str">
        <f t="shared" si="265"/>
        <v/>
      </c>
      <c r="O131" t="str">
        <f t="shared" si="265"/>
        <v/>
      </c>
      <c r="P131" t="str">
        <f t="shared" si="265"/>
        <v/>
      </c>
      <c r="Q131" t="str">
        <f t="shared" si="265"/>
        <v/>
      </c>
      <c r="R131">
        <f t="shared" si="265"/>
        <v>44</v>
      </c>
      <c r="S131" t="str">
        <f t="shared" si="265"/>
        <v/>
      </c>
      <c r="T131">
        <f t="shared" si="5"/>
        <v>360</v>
      </c>
      <c r="U131" s="25">
        <f t="shared" si="6"/>
        <v>1.111111111</v>
      </c>
      <c r="V131" s="26">
        <f t="shared" si="7"/>
        <v>0.85</v>
      </c>
      <c r="W131" s="25">
        <f t="shared" si="8"/>
        <v>5.716776445</v>
      </c>
      <c r="X131" s="25">
        <f t="shared" si="9"/>
        <v>5.738998667</v>
      </c>
      <c r="Y131" s="25"/>
      <c r="Z131" s="25"/>
    </row>
    <row r="132">
      <c r="A132" s="1" t="s">
        <v>4</v>
      </c>
      <c r="B132" s="1">
        <v>20.0</v>
      </c>
      <c r="C132" s="1">
        <v>19.0</v>
      </c>
      <c r="D132" s="1">
        <v>6.0</v>
      </c>
      <c r="E132">
        <f t="shared" si="2"/>
        <v>7</v>
      </c>
      <c r="F132" t="str">
        <f t="shared" ref="F132:L132" si="266">IF((AND($A132 = "+0",$E132 = F$1)), $C132, "")</f>
        <v/>
      </c>
      <c r="G132" t="str">
        <f t="shared" si="266"/>
        <v/>
      </c>
      <c r="H132" t="str">
        <f t="shared" si="266"/>
        <v/>
      </c>
      <c r="I132" t="str">
        <f t="shared" si="266"/>
        <v/>
      </c>
      <c r="J132" t="str">
        <f t="shared" si="266"/>
        <v/>
      </c>
      <c r="K132" t="str">
        <f t="shared" si="266"/>
        <v/>
      </c>
      <c r="L132" t="str">
        <f t="shared" si="266"/>
        <v/>
      </c>
      <c r="M132" t="str">
        <f t="shared" ref="M132:S132" si="267">IF((AND($A132 = "+0",$E132 = M$1)), 2^$D132-$B132, "")</f>
        <v/>
      </c>
      <c r="N132" t="str">
        <f t="shared" si="267"/>
        <v/>
      </c>
      <c r="O132" t="str">
        <f t="shared" si="267"/>
        <v/>
      </c>
      <c r="P132" t="str">
        <f t="shared" si="267"/>
        <v/>
      </c>
      <c r="Q132" t="str">
        <f t="shared" si="267"/>
        <v/>
      </c>
      <c r="R132" t="str">
        <f t="shared" si="267"/>
        <v/>
      </c>
      <c r="S132" t="str">
        <f t="shared" si="267"/>
        <v/>
      </c>
      <c r="T132">
        <f t="shared" si="5"/>
        <v>380</v>
      </c>
      <c r="U132" s="25">
        <f t="shared" si="6"/>
        <v>1.052631579</v>
      </c>
      <c r="V132" s="26">
        <f t="shared" si="7"/>
        <v>0.9</v>
      </c>
      <c r="W132" s="25">
        <f t="shared" si="8"/>
        <v>5.769288296</v>
      </c>
      <c r="X132" s="25">
        <f t="shared" si="9"/>
        <v>5.790340927</v>
      </c>
      <c r="Y132" s="25"/>
      <c r="Z132" s="25"/>
    </row>
    <row r="133">
      <c r="A133" s="1" t="s">
        <v>5</v>
      </c>
      <c r="B133" s="1">
        <v>19.0</v>
      </c>
      <c r="C133" s="1">
        <v>19.0</v>
      </c>
      <c r="D133" s="1">
        <v>6.0</v>
      </c>
      <c r="E133">
        <f t="shared" si="2"/>
        <v>6</v>
      </c>
      <c r="F133" t="str">
        <f t="shared" ref="F133:L133" si="268">IF((AND($A133 = "+0",$E133 = F$1)), $C133, "")</f>
        <v/>
      </c>
      <c r="G133" t="str">
        <f t="shared" si="268"/>
        <v/>
      </c>
      <c r="H133" t="str">
        <f t="shared" si="268"/>
        <v/>
      </c>
      <c r="I133" t="str">
        <f t="shared" si="268"/>
        <v/>
      </c>
      <c r="J133" t="str">
        <f t="shared" si="268"/>
        <v/>
      </c>
      <c r="K133">
        <f t="shared" si="268"/>
        <v>19</v>
      </c>
      <c r="L133" t="str">
        <f t="shared" si="268"/>
        <v/>
      </c>
      <c r="M133" t="str">
        <f t="shared" ref="M133:S133" si="269">IF((AND($A133 = "+0",$E133 = M$1)), 2^$D133-$B133, "")</f>
        <v/>
      </c>
      <c r="N133" t="str">
        <f t="shared" si="269"/>
        <v/>
      </c>
      <c r="O133" t="str">
        <f t="shared" si="269"/>
        <v/>
      </c>
      <c r="P133" t="str">
        <f t="shared" si="269"/>
        <v/>
      </c>
      <c r="Q133" t="str">
        <f t="shared" si="269"/>
        <v/>
      </c>
      <c r="R133">
        <f t="shared" si="269"/>
        <v>45</v>
      </c>
      <c r="S133" t="str">
        <f t="shared" si="269"/>
        <v/>
      </c>
      <c r="T133">
        <f t="shared" si="5"/>
        <v>361</v>
      </c>
      <c r="U133" s="25">
        <f t="shared" si="6"/>
        <v>1</v>
      </c>
      <c r="V133" s="26">
        <f t="shared" si="7"/>
        <v>0.9473684211</v>
      </c>
      <c r="W133" s="25">
        <f t="shared" si="8"/>
        <v>5.719470573</v>
      </c>
      <c r="X133" s="25">
        <f t="shared" si="9"/>
        <v>5.739470573</v>
      </c>
      <c r="Y133" s="25"/>
      <c r="Z133" s="25"/>
    </row>
    <row r="134">
      <c r="A134" s="1" t="s">
        <v>4</v>
      </c>
      <c r="B134" s="1">
        <v>129.0</v>
      </c>
      <c r="C134" s="1">
        <v>1.0</v>
      </c>
      <c r="D134" s="1">
        <v>7.0</v>
      </c>
      <c r="E134">
        <f t="shared" si="2"/>
        <v>8</v>
      </c>
      <c r="F134" t="str">
        <f t="shared" ref="F134:L134" si="270">IF((AND($A134 = "+0",$E134 = F$1)), $C134, "")</f>
        <v/>
      </c>
      <c r="G134" t="str">
        <f t="shared" si="270"/>
        <v/>
      </c>
      <c r="H134" t="str">
        <f t="shared" si="270"/>
        <v/>
      </c>
      <c r="I134" t="str">
        <f t="shared" si="270"/>
        <v/>
      </c>
      <c r="J134" t="str">
        <f t="shared" si="270"/>
        <v/>
      </c>
      <c r="K134" t="str">
        <f t="shared" si="270"/>
        <v/>
      </c>
      <c r="L134" t="str">
        <f t="shared" si="270"/>
        <v/>
      </c>
      <c r="M134" t="str">
        <f t="shared" ref="M134:S134" si="271">IF((AND($A134 = "+0",$E134 = M$1)), 2^$D134-$B134, "")</f>
        <v/>
      </c>
      <c r="N134" t="str">
        <f t="shared" si="271"/>
        <v/>
      </c>
      <c r="O134" t="str">
        <f t="shared" si="271"/>
        <v/>
      </c>
      <c r="P134" t="str">
        <f t="shared" si="271"/>
        <v/>
      </c>
      <c r="Q134" t="str">
        <f t="shared" si="271"/>
        <v/>
      </c>
      <c r="R134" t="str">
        <f t="shared" si="271"/>
        <v/>
      </c>
      <c r="S134" t="str">
        <f t="shared" si="271"/>
        <v/>
      </c>
      <c r="T134">
        <f t="shared" si="5"/>
        <v>129</v>
      </c>
      <c r="U134" s="25">
        <f t="shared" si="6"/>
        <v>129</v>
      </c>
      <c r="V134" s="26">
        <f t="shared" si="7"/>
        <v>0</v>
      </c>
      <c r="W134" s="25">
        <f t="shared" si="8"/>
        <v>4.720008503</v>
      </c>
      <c r="X134" s="25">
        <f t="shared" si="9"/>
        <v>7.300008503</v>
      </c>
      <c r="Y134" s="25"/>
      <c r="Z134" s="25"/>
    </row>
    <row r="135">
      <c r="A135" s="1" t="s">
        <v>5</v>
      </c>
      <c r="B135" s="1">
        <v>128.0</v>
      </c>
      <c r="C135" s="1">
        <v>1.0</v>
      </c>
      <c r="D135" s="1">
        <v>7.0</v>
      </c>
      <c r="E135">
        <f t="shared" si="2"/>
        <v>7</v>
      </c>
      <c r="F135" t="str">
        <f t="shared" ref="F135:L135" si="272">IF((AND($A135 = "+0",$E135 = F$1)), $C135, "")</f>
        <v/>
      </c>
      <c r="G135" t="str">
        <f t="shared" si="272"/>
        <v/>
      </c>
      <c r="H135" t="str">
        <f t="shared" si="272"/>
        <v/>
      </c>
      <c r="I135" t="str">
        <f t="shared" si="272"/>
        <v/>
      </c>
      <c r="J135" t="str">
        <f t="shared" si="272"/>
        <v/>
      </c>
      <c r="K135" t="str">
        <f t="shared" si="272"/>
        <v/>
      </c>
      <c r="L135">
        <f t="shared" si="272"/>
        <v>1</v>
      </c>
      <c r="M135" t="str">
        <f t="shared" ref="M135:S135" si="273">IF((AND($A135 = "+0",$E135 = M$1)), 2^$D135-$B135, "")</f>
        <v/>
      </c>
      <c r="N135" t="str">
        <f t="shared" si="273"/>
        <v/>
      </c>
      <c r="O135" t="str">
        <f t="shared" si="273"/>
        <v/>
      </c>
      <c r="P135" t="str">
        <f t="shared" si="273"/>
        <v/>
      </c>
      <c r="Q135" t="str">
        <f t="shared" si="273"/>
        <v/>
      </c>
      <c r="R135" t="str">
        <f t="shared" si="273"/>
        <v/>
      </c>
      <c r="S135">
        <f t="shared" si="273"/>
        <v>0</v>
      </c>
      <c r="T135">
        <f t="shared" si="5"/>
        <v>128</v>
      </c>
      <c r="U135" s="25">
        <f t="shared" si="6"/>
        <v>128</v>
      </c>
      <c r="V135" s="26">
        <f t="shared" si="7"/>
        <v>0</v>
      </c>
      <c r="W135" s="25">
        <f t="shared" si="8"/>
        <v>4.712450234</v>
      </c>
      <c r="X135" s="25">
        <f t="shared" si="9"/>
        <v>7.272450234</v>
      </c>
      <c r="Y135" s="25"/>
      <c r="Z135" s="25"/>
    </row>
    <row r="136">
      <c r="A136" s="1" t="s">
        <v>4</v>
      </c>
      <c r="B136" s="1">
        <v>128.0</v>
      </c>
      <c r="C136" s="1">
        <v>2.0</v>
      </c>
      <c r="D136" s="1">
        <v>7.0</v>
      </c>
      <c r="E136">
        <f t="shared" si="2"/>
        <v>8</v>
      </c>
      <c r="F136" t="str">
        <f t="shared" ref="F136:L136" si="274">IF((AND($A136 = "+0",$E136 = F$1)), $C136, "")</f>
        <v/>
      </c>
      <c r="G136" t="str">
        <f t="shared" si="274"/>
        <v/>
      </c>
      <c r="H136" t="str">
        <f t="shared" si="274"/>
        <v/>
      </c>
      <c r="I136" t="str">
        <f t="shared" si="274"/>
        <v/>
      </c>
      <c r="J136" t="str">
        <f t="shared" si="274"/>
        <v/>
      </c>
      <c r="K136" t="str">
        <f t="shared" si="274"/>
        <v/>
      </c>
      <c r="L136" t="str">
        <f t="shared" si="274"/>
        <v/>
      </c>
      <c r="M136" t="str">
        <f t="shared" ref="M136:S136" si="275">IF((AND($A136 = "+0",$E136 = M$1)), 2^$D136-$B136, "")</f>
        <v/>
      </c>
      <c r="N136" t="str">
        <f t="shared" si="275"/>
        <v/>
      </c>
      <c r="O136" t="str">
        <f t="shared" si="275"/>
        <v/>
      </c>
      <c r="P136" t="str">
        <f t="shared" si="275"/>
        <v/>
      </c>
      <c r="Q136" t="str">
        <f t="shared" si="275"/>
        <v/>
      </c>
      <c r="R136" t="str">
        <f t="shared" si="275"/>
        <v/>
      </c>
      <c r="S136" t="str">
        <f t="shared" si="275"/>
        <v/>
      </c>
      <c r="T136">
        <f t="shared" si="5"/>
        <v>256</v>
      </c>
      <c r="U136" s="25">
        <f t="shared" si="6"/>
        <v>64</v>
      </c>
      <c r="V136" s="26">
        <f t="shared" si="7"/>
        <v>0.0078125</v>
      </c>
      <c r="W136" s="25">
        <f t="shared" si="8"/>
        <v>5.385657411</v>
      </c>
      <c r="X136" s="25">
        <f t="shared" si="9"/>
        <v>6.665657411</v>
      </c>
      <c r="Y136" s="25"/>
      <c r="Z136" s="25"/>
    </row>
    <row r="137">
      <c r="A137" s="1" t="s">
        <v>5</v>
      </c>
      <c r="B137" s="1">
        <v>127.0</v>
      </c>
      <c r="C137" s="1">
        <v>2.0</v>
      </c>
      <c r="D137" s="1">
        <v>7.0</v>
      </c>
      <c r="E137">
        <f t="shared" si="2"/>
        <v>7</v>
      </c>
      <c r="F137" t="str">
        <f t="shared" ref="F137:L137" si="276">IF((AND($A137 = "+0",$E137 = F$1)), $C137, "")</f>
        <v/>
      </c>
      <c r="G137" t="str">
        <f t="shared" si="276"/>
        <v/>
      </c>
      <c r="H137" t="str">
        <f t="shared" si="276"/>
        <v/>
      </c>
      <c r="I137" t="str">
        <f t="shared" si="276"/>
        <v/>
      </c>
      <c r="J137" t="str">
        <f t="shared" si="276"/>
        <v/>
      </c>
      <c r="K137" t="str">
        <f t="shared" si="276"/>
        <v/>
      </c>
      <c r="L137">
        <f t="shared" si="276"/>
        <v>2</v>
      </c>
      <c r="M137" t="str">
        <f t="shared" ref="M137:S137" si="277">IF((AND($A137 = "+0",$E137 = M$1)), 2^$D137-$B137, "")</f>
        <v/>
      </c>
      <c r="N137" t="str">
        <f t="shared" si="277"/>
        <v/>
      </c>
      <c r="O137" t="str">
        <f t="shared" si="277"/>
        <v/>
      </c>
      <c r="P137" t="str">
        <f t="shared" si="277"/>
        <v/>
      </c>
      <c r="Q137" t="str">
        <f t="shared" si="277"/>
        <v/>
      </c>
      <c r="R137" t="str">
        <f t="shared" si="277"/>
        <v/>
      </c>
      <c r="S137">
        <f t="shared" si="277"/>
        <v>1</v>
      </c>
      <c r="T137">
        <f t="shared" si="5"/>
        <v>254</v>
      </c>
      <c r="U137" s="25">
        <f t="shared" si="6"/>
        <v>63.5</v>
      </c>
      <c r="V137" s="26">
        <f t="shared" si="7"/>
        <v>0.007874015748</v>
      </c>
      <c r="W137" s="25">
        <f t="shared" si="8"/>
        <v>5.378039861</v>
      </c>
      <c r="X137" s="25">
        <f t="shared" si="9"/>
        <v>6.648039861</v>
      </c>
      <c r="Y137" s="25"/>
      <c r="Z137" s="25"/>
    </row>
    <row r="138">
      <c r="A138" s="1" t="s">
        <v>4</v>
      </c>
      <c r="B138" s="1">
        <v>127.0</v>
      </c>
      <c r="C138" s="1">
        <v>3.0</v>
      </c>
      <c r="D138" s="1">
        <v>7.0</v>
      </c>
      <c r="E138">
        <f t="shared" si="2"/>
        <v>8</v>
      </c>
      <c r="F138" t="str">
        <f t="shared" ref="F138:L138" si="278">IF((AND($A138 = "+0",$E138 = F$1)), $C138, "")</f>
        <v/>
      </c>
      <c r="G138" t="str">
        <f t="shared" si="278"/>
        <v/>
      </c>
      <c r="H138" t="str">
        <f t="shared" si="278"/>
        <v/>
      </c>
      <c r="I138" t="str">
        <f t="shared" si="278"/>
        <v/>
      </c>
      <c r="J138" t="str">
        <f t="shared" si="278"/>
        <v/>
      </c>
      <c r="K138" t="str">
        <f t="shared" si="278"/>
        <v/>
      </c>
      <c r="L138" t="str">
        <f t="shared" si="278"/>
        <v/>
      </c>
      <c r="M138" t="str">
        <f t="shared" ref="M138:S138" si="279">IF((AND($A138 = "+0",$E138 = M$1)), 2^$D138-$B138, "")</f>
        <v/>
      </c>
      <c r="N138" t="str">
        <f t="shared" si="279"/>
        <v/>
      </c>
      <c r="O138" t="str">
        <f t="shared" si="279"/>
        <v/>
      </c>
      <c r="P138" t="str">
        <f t="shared" si="279"/>
        <v/>
      </c>
      <c r="Q138" t="str">
        <f t="shared" si="279"/>
        <v/>
      </c>
      <c r="R138" t="str">
        <f t="shared" si="279"/>
        <v/>
      </c>
      <c r="S138" t="str">
        <f t="shared" si="279"/>
        <v/>
      </c>
      <c r="T138">
        <f t="shared" si="5"/>
        <v>381</v>
      </c>
      <c r="U138" s="25">
        <f t="shared" si="6"/>
        <v>42.33333333</v>
      </c>
      <c r="V138" s="26">
        <f t="shared" si="7"/>
        <v>0.0157480315</v>
      </c>
      <c r="W138" s="25">
        <f t="shared" si="8"/>
        <v>5.771840814</v>
      </c>
      <c r="X138" s="25">
        <f t="shared" si="9"/>
        <v>6.618507481</v>
      </c>
      <c r="Y138" s="25"/>
      <c r="Z138" s="25"/>
    </row>
    <row r="139">
      <c r="A139" s="1" t="s">
        <v>4</v>
      </c>
      <c r="B139" s="1">
        <v>126.0</v>
      </c>
      <c r="C139" s="1">
        <v>3.0</v>
      </c>
      <c r="D139" s="1">
        <v>7.0</v>
      </c>
      <c r="E139">
        <f t="shared" si="2"/>
        <v>8</v>
      </c>
      <c r="F139" t="str">
        <f t="shared" ref="F139:L139" si="280">IF((AND($A139 = "+0",$E139 = F$1)), $C139, "")</f>
        <v/>
      </c>
      <c r="G139" t="str">
        <f t="shared" si="280"/>
        <v/>
      </c>
      <c r="H139" t="str">
        <f t="shared" si="280"/>
        <v/>
      </c>
      <c r="I139" t="str">
        <f t="shared" si="280"/>
        <v/>
      </c>
      <c r="J139" t="str">
        <f t="shared" si="280"/>
        <v/>
      </c>
      <c r="K139" t="str">
        <f t="shared" si="280"/>
        <v/>
      </c>
      <c r="L139" t="str">
        <f t="shared" si="280"/>
        <v/>
      </c>
      <c r="M139" t="str">
        <f t="shared" ref="M139:S139" si="281">IF((AND($A139 = "+0",$E139 = M$1)), 2^$D139-$B139, "")</f>
        <v/>
      </c>
      <c r="N139" t="str">
        <f t="shared" si="281"/>
        <v/>
      </c>
      <c r="O139" t="str">
        <f t="shared" si="281"/>
        <v/>
      </c>
      <c r="P139" t="str">
        <f t="shared" si="281"/>
        <v/>
      </c>
      <c r="Q139" t="str">
        <f t="shared" si="281"/>
        <v/>
      </c>
      <c r="R139" t="str">
        <f t="shared" si="281"/>
        <v/>
      </c>
      <c r="S139" t="str">
        <f t="shared" si="281"/>
        <v/>
      </c>
      <c r="T139">
        <f t="shared" si="5"/>
        <v>378</v>
      </c>
      <c r="U139" s="25">
        <f t="shared" si="6"/>
        <v>42</v>
      </c>
      <c r="V139" s="26">
        <f t="shared" si="7"/>
        <v>0.01587301587</v>
      </c>
      <c r="W139" s="25">
        <f t="shared" si="8"/>
        <v>5.764163046</v>
      </c>
      <c r="X139" s="25">
        <f t="shared" si="9"/>
        <v>6.604163046</v>
      </c>
      <c r="Y139" s="25"/>
      <c r="Z139" s="25"/>
    </row>
    <row r="140">
      <c r="A140" s="1" t="s">
        <v>4</v>
      </c>
      <c r="B140" s="1">
        <v>125.0</v>
      </c>
      <c r="C140" s="1">
        <v>3.0</v>
      </c>
      <c r="D140" s="1">
        <v>7.0</v>
      </c>
      <c r="E140">
        <f t="shared" si="2"/>
        <v>8</v>
      </c>
      <c r="F140" t="str">
        <f t="shared" ref="F140:L140" si="282">IF((AND($A140 = "+0",$E140 = F$1)), $C140, "")</f>
        <v/>
      </c>
      <c r="G140" t="str">
        <f t="shared" si="282"/>
        <v/>
      </c>
      <c r="H140" t="str">
        <f t="shared" si="282"/>
        <v/>
      </c>
      <c r="I140" t="str">
        <f t="shared" si="282"/>
        <v/>
      </c>
      <c r="J140" t="str">
        <f t="shared" si="282"/>
        <v/>
      </c>
      <c r="K140" t="str">
        <f t="shared" si="282"/>
        <v/>
      </c>
      <c r="L140" t="str">
        <f t="shared" si="282"/>
        <v/>
      </c>
      <c r="M140" t="str">
        <f t="shared" ref="M140:S140" si="283">IF((AND($A140 = "+0",$E140 = M$1)), 2^$D140-$B140, "")</f>
        <v/>
      </c>
      <c r="N140" t="str">
        <f t="shared" si="283"/>
        <v/>
      </c>
      <c r="O140" t="str">
        <f t="shared" si="283"/>
        <v/>
      </c>
      <c r="P140" t="str">
        <f t="shared" si="283"/>
        <v/>
      </c>
      <c r="Q140" t="str">
        <f t="shared" si="283"/>
        <v/>
      </c>
      <c r="R140" t="str">
        <f t="shared" si="283"/>
        <v/>
      </c>
      <c r="S140" t="str">
        <f t="shared" si="283"/>
        <v/>
      </c>
      <c r="T140">
        <f t="shared" si="5"/>
        <v>375</v>
      </c>
      <c r="U140" s="25">
        <f t="shared" si="6"/>
        <v>41.66666667</v>
      </c>
      <c r="V140" s="26">
        <f t="shared" si="7"/>
        <v>0.016</v>
      </c>
      <c r="W140" s="25">
        <f t="shared" si="8"/>
        <v>5.756424099</v>
      </c>
      <c r="X140" s="25">
        <f t="shared" si="9"/>
        <v>6.589757432</v>
      </c>
      <c r="Y140" s="25"/>
      <c r="Z140" s="25"/>
    </row>
    <row r="141">
      <c r="A141" s="1" t="s">
        <v>4</v>
      </c>
      <c r="B141" s="1">
        <v>124.0</v>
      </c>
      <c r="C141" s="1">
        <v>3.0</v>
      </c>
      <c r="D141" s="1">
        <v>7.0</v>
      </c>
      <c r="E141">
        <f t="shared" si="2"/>
        <v>8</v>
      </c>
      <c r="F141" t="str">
        <f t="shared" ref="F141:L141" si="284">IF((AND($A141 = "+0",$E141 = F$1)), $C141, "")</f>
        <v/>
      </c>
      <c r="G141" t="str">
        <f t="shared" si="284"/>
        <v/>
      </c>
      <c r="H141" t="str">
        <f t="shared" si="284"/>
        <v/>
      </c>
      <c r="I141" t="str">
        <f t="shared" si="284"/>
        <v/>
      </c>
      <c r="J141" t="str">
        <f t="shared" si="284"/>
        <v/>
      </c>
      <c r="K141" t="str">
        <f t="shared" si="284"/>
        <v/>
      </c>
      <c r="L141" t="str">
        <f t="shared" si="284"/>
        <v/>
      </c>
      <c r="M141" t="str">
        <f t="shared" ref="M141:S141" si="285">IF((AND($A141 = "+0",$E141 = M$1)), 2^$D141-$B141, "")</f>
        <v/>
      </c>
      <c r="N141" t="str">
        <f t="shared" si="285"/>
        <v/>
      </c>
      <c r="O141" t="str">
        <f t="shared" si="285"/>
        <v/>
      </c>
      <c r="P141" t="str">
        <f t="shared" si="285"/>
        <v/>
      </c>
      <c r="Q141" t="str">
        <f t="shared" si="285"/>
        <v/>
      </c>
      <c r="R141" t="str">
        <f t="shared" si="285"/>
        <v/>
      </c>
      <c r="S141" t="str">
        <f t="shared" si="285"/>
        <v/>
      </c>
      <c r="T141">
        <f t="shared" si="5"/>
        <v>372</v>
      </c>
      <c r="U141" s="25">
        <f t="shared" si="6"/>
        <v>41.33333333</v>
      </c>
      <c r="V141" s="26">
        <f t="shared" si="7"/>
        <v>0.01612903226</v>
      </c>
      <c r="W141" s="25">
        <f t="shared" si="8"/>
        <v>5.748622992</v>
      </c>
      <c r="X141" s="25">
        <f t="shared" si="9"/>
        <v>6.575289658</v>
      </c>
      <c r="Y141" s="25"/>
      <c r="Z141" s="25"/>
    </row>
    <row r="142">
      <c r="A142" s="1" t="s">
        <v>4</v>
      </c>
      <c r="B142" s="1">
        <v>123.0</v>
      </c>
      <c r="C142" s="1">
        <v>3.0</v>
      </c>
      <c r="D142" s="1">
        <v>7.0</v>
      </c>
      <c r="E142">
        <f t="shared" si="2"/>
        <v>8</v>
      </c>
      <c r="F142" t="str">
        <f t="shared" ref="F142:L142" si="286">IF((AND($A142 = "+0",$E142 = F$1)), $C142, "")</f>
        <v/>
      </c>
      <c r="G142" t="str">
        <f t="shared" si="286"/>
        <v/>
      </c>
      <c r="H142" t="str">
        <f t="shared" si="286"/>
        <v/>
      </c>
      <c r="I142" t="str">
        <f t="shared" si="286"/>
        <v/>
      </c>
      <c r="J142" t="str">
        <f t="shared" si="286"/>
        <v/>
      </c>
      <c r="K142" t="str">
        <f t="shared" si="286"/>
        <v/>
      </c>
      <c r="L142" t="str">
        <f t="shared" si="286"/>
        <v/>
      </c>
      <c r="M142" t="str">
        <f t="shared" ref="M142:S142" si="287">IF((AND($A142 = "+0",$E142 = M$1)), 2^$D142-$B142, "")</f>
        <v/>
      </c>
      <c r="N142" t="str">
        <f t="shared" si="287"/>
        <v/>
      </c>
      <c r="O142" t="str">
        <f t="shared" si="287"/>
        <v/>
      </c>
      <c r="P142" t="str">
        <f t="shared" si="287"/>
        <v/>
      </c>
      <c r="Q142" t="str">
        <f t="shared" si="287"/>
        <v/>
      </c>
      <c r="R142" t="str">
        <f t="shared" si="287"/>
        <v/>
      </c>
      <c r="S142" t="str">
        <f t="shared" si="287"/>
        <v/>
      </c>
      <c r="T142">
        <f t="shared" si="5"/>
        <v>369</v>
      </c>
      <c r="U142" s="25">
        <f t="shared" si="6"/>
        <v>41</v>
      </c>
      <c r="V142" s="26">
        <f t="shared" si="7"/>
        <v>0.0162601626</v>
      </c>
      <c r="W142" s="25">
        <f t="shared" si="8"/>
        <v>5.740758717</v>
      </c>
      <c r="X142" s="25">
        <f t="shared" si="9"/>
        <v>6.560758717</v>
      </c>
      <c r="Y142" s="25"/>
      <c r="Z142" s="25"/>
    </row>
    <row r="143">
      <c r="A143" s="1" t="s">
        <v>4</v>
      </c>
      <c r="B143" s="1">
        <v>122.0</v>
      </c>
      <c r="C143" s="1">
        <v>3.0</v>
      </c>
      <c r="D143" s="1">
        <v>7.0</v>
      </c>
      <c r="E143">
        <f t="shared" si="2"/>
        <v>8</v>
      </c>
      <c r="F143" t="str">
        <f t="shared" ref="F143:L143" si="288">IF((AND($A143 = "+0",$E143 = F$1)), $C143, "")</f>
        <v/>
      </c>
      <c r="G143" t="str">
        <f t="shared" si="288"/>
        <v/>
      </c>
      <c r="H143" t="str">
        <f t="shared" si="288"/>
        <v/>
      </c>
      <c r="I143" t="str">
        <f t="shared" si="288"/>
        <v/>
      </c>
      <c r="J143" t="str">
        <f t="shared" si="288"/>
        <v/>
      </c>
      <c r="K143" t="str">
        <f t="shared" si="288"/>
        <v/>
      </c>
      <c r="L143" t="str">
        <f t="shared" si="288"/>
        <v/>
      </c>
      <c r="M143" t="str">
        <f t="shared" ref="M143:S143" si="289">IF((AND($A143 = "+0",$E143 = M$1)), 2^$D143-$B143, "")</f>
        <v/>
      </c>
      <c r="N143" t="str">
        <f t="shared" si="289"/>
        <v/>
      </c>
      <c r="O143" t="str">
        <f t="shared" si="289"/>
        <v/>
      </c>
      <c r="P143" t="str">
        <f t="shared" si="289"/>
        <v/>
      </c>
      <c r="Q143" t="str">
        <f t="shared" si="289"/>
        <v/>
      </c>
      <c r="R143" t="str">
        <f t="shared" si="289"/>
        <v/>
      </c>
      <c r="S143" t="str">
        <f t="shared" si="289"/>
        <v/>
      </c>
      <c r="T143">
        <f t="shared" si="5"/>
        <v>366</v>
      </c>
      <c r="U143" s="25">
        <f t="shared" si="6"/>
        <v>40.66666667</v>
      </c>
      <c r="V143" s="26">
        <f t="shared" si="7"/>
        <v>0.01639344262</v>
      </c>
      <c r="W143" s="25">
        <f t="shared" si="8"/>
        <v>5.732830243</v>
      </c>
      <c r="X143" s="25">
        <f t="shared" si="9"/>
        <v>6.546163576</v>
      </c>
      <c r="Y143" s="25"/>
      <c r="Z143" s="25"/>
    </row>
    <row r="144">
      <c r="A144" s="1" t="s">
        <v>5</v>
      </c>
      <c r="B144" s="1">
        <v>121.0</v>
      </c>
      <c r="C144" s="1">
        <v>3.0</v>
      </c>
      <c r="D144" s="1">
        <v>7.0</v>
      </c>
      <c r="E144">
        <f t="shared" si="2"/>
        <v>7</v>
      </c>
      <c r="F144" t="str">
        <f t="shared" ref="F144:L144" si="290">IF((AND($A144 = "+0",$E144 = F$1)), $C144, "")</f>
        <v/>
      </c>
      <c r="G144" t="str">
        <f t="shared" si="290"/>
        <v/>
      </c>
      <c r="H144" t="str">
        <f t="shared" si="290"/>
        <v/>
      </c>
      <c r="I144" t="str">
        <f t="shared" si="290"/>
        <v/>
      </c>
      <c r="J144" t="str">
        <f t="shared" si="290"/>
        <v/>
      </c>
      <c r="K144" t="str">
        <f t="shared" si="290"/>
        <v/>
      </c>
      <c r="L144">
        <f t="shared" si="290"/>
        <v>3</v>
      </c>
      <c r="M144" t="str">
        <f t="shared" ref="M144:S144" si="291">IF((AND($A144 = "+0",$E144 = M$1)), 2^$D144-$B144, "")</f>
        <v/>
      </c>
      <c r="N144" t="str">
        <f t="shared" si="291"/>
        <v/>
      </c>
      <c r="O144" t="str">
        <f t="shared" si="291"/>
        <v/>
      </c>
      <c r="P144" t="str">
        <f t="shared" si="291"/>
        <v/>
      </c>
      <c r="Q144" t="str">
        <f t="shared" si="291"/>
        <v/>
      </c>
      <c r="R144" t="str">
        <f t="shared" si="291"/>
        <v/>
      </c>
      <c r="S144">
        <f t="shared" si="291"/>
        <v>7</v>
      </c>
      <c r="T144">
        <f t="shared" si="5"/>
        <v>363</v>
      </c>
      <c r="U144" s="25">
        <f t="shared" si="6"/>
        <v>40.33333333</v>
      </c>
      <c r="V144" s="26">
        <f t="shared" si="7"/>
        <v>0.01652892562</v>
      </c>
      <c r="W144" s="25">
        <f t="shared" si="8"/>
        <v>5.724836513</v>
      </c>
      <c r="X144" s="25">
        <f t="shared" si="9"/>
        <v>6.53150318</v>
      </c>
      <c r="Y144" s="25"/>
      <c r="Z144" s="25"/>
    </row>
    <row r="145">
      <c r="A145" s="1" t="s">
        <v>4</v>
      </c>
      <c r="B145" s="1">
        <v>121.0</v>
      </c>
      <c r="C145" s="1">
        <v>4.0</v>
      </c>
      <c r="D145" s="1">
        <v>7.0</v>
      </c>
      <c r="E145">
        <f t="shared" si="2"/>
        <v>8</v>
      </c>
      <c r="F145" t="str">
        <f t="shared" ref="F145:L145" si="292">IF((AND($A145 = "+0",$E145 = F$1)), $C145, "")</f>
        <v/>
      </c>
      <c r="G145" t="str">
        <f t="shared" si="292"/>
        <v/>
      </c>
      <c r="H145" t="str">
        <f t="shared" si="292"/>
        <v/>
      </c>
      <c r="I145" t="str">
        <f t="shared" si="292"/>
        <v/>
      </c>
      <c r="J145" t="str">
        <f t="shared" si="292"/>
        <v/>
      </c>
      <c r="K145" t="str">
        <f t="shared" si="292"/>
        <v/>
      </c>
      <c r="L145" t="str">
        <f t="shared" si="292"/>
        <v/>
      </c>
      <c r="M145" t="str">
        <f t="shared" ref="M145:S145" si="293">IF((AND($A145 = "+0",$E145 = M$1)), 2^$D145-$B145, "")</f>
        <v/>
      </c>
      <c r="N145" t="str">
        <f t="shared" si="293"/>
        <v/>
      </c>
      <c r="O145" t="str">
        <f t="shared" si="293"/>
        <v/>
      </c>
      <c r="P145" t="str">
        <f t="shared" si="293"/>
        <v/>
      </c>
      <c r="Q145" t="str">
        <f t="shared" si="293"/>
        <v/>
      </c>
      <c r="R145" t="str">
        <f t="shared" si="293"/>
        <v/>
      </c>
      <c r="S145" t="str">
        <f t="shared" si="293"/>
        <v/>
      </c>
      <c r="T145">
        <f t="shared" si="5"/>
        <v>484</v>
      </c>
      <c r="U145" s="25">
        <f t="shared" si="6"/>
        <v>30.25</v>
      </c>
      <c r="V145" s="26">
        <f t="shared" si="7"/>
        <v>0.02479338843</v>
      </c>
      <c r="W145" s="25">
        <f t="shared" si="8"/>
        <v>6.004242736</v>
      </c>
      <c r="X145" s="25">
        <f t="shared" si="9"/>
        <v>6.609242736</v>
      </c>
      <c r="Y145" s="25"/>
      <c r="Z145" s="25"/>
    </row>
    <row r="146">
      <c r="A146" s="1" t="s">
        <v>4</v>
      </c>
      <c r="B146" s="1">
        <v>120.0</v>
      </c>
      <c r="C146" s="1">
        <v>4.0</v>
      </c>
      <c r="D146" s="1">
        <v>7.0</v>
      </c>
      <c r="E146">
        <f t="shared" si="2"/>
        <v>8</v>
      </c>
      <c r="F146" t="str">
        <f t="shared" ref="F146:L146" si="294">IF((AND($A146 = "+0",$E146 = F$1)), $C146, "")</f>
        <v/>
      </c>
      <c r="G146" t="str">
        <f t="shared" si="294"/>
        <v/>
      </c>
      <c r="H146" t="str">
        <f t="shared" si="294"/>
        <v/>
      </c>
      <c r="I146" t="str">
        <f t="shared" si="294"/>
        <v/>
      </c>
      <c r="J146" t="str">
        <f t="shared" si="294"/>
        <v/>
      </c>
      <c r="K146" t="str">
        <f t="shared" si="294"/>
        <v/>
      </c>
      <c r="L146" t="str">
        <f t="shared" si="294"/>
        <v/>
      </c>
      <c r="M146" t="str">
        <f t="shared" ref="M146:S146" si="295">IF((AND($A146 = "+0",$E146 = M$1)), 2^$D146-$B146, "")</f>
        <v/>
      </c>
      <c r="N146" t="str">
        <f t="shared" si="295"/>
        <v/>
      </c>
      <c r="O146" t="str">
        <f t="shared" si="295"/>
        <v/>
      </c>
      <c r="P146" t="str">
        <f t="shared" si="295"/>
        <v/>
      </c>
      <c r="Q146" t="str">
        <f t="shared" si="295"/>
        <v/>
      </c>
      <c r="R146" t="str">
        <f t="shared" si="295"/>
        <v/>
      </c>
      <c r="S146" t="str">
        <f t="shared" si="295"/>
        <v/>
      </c>
      <c r="T146">
        <f t="shared" si="5"/>
        <v>480</v>
      </c>
      <c r="U146" s="25">
        <f t="shared" si="6"/>
        <v>30</v>
      </c>
      <c r="V146" s="26">
        <f t="shared" si="7"/>
        <v>0.025</v>
      </c>
      <c r="W146" s="25">
        <f t="shared" si="8"/>
        <v>5.996182668</v>
      </c>
      <c r="X146" s="25">
        <f t="shared" si="9"/>
        <v>6.596182668</v>
      </c>
      <c r="Y146" s="25"/>
      <c r="Z146" s="25"/>
    </row>
    <row r="147">
      <c r="A147" s="1" t="s">
        <v>4</v>
      </c>
      <c r="B147" s="1">
        <v>119.0</v>
      </c>
      <c r="C147" s="1">
        <v>4.0</v>
      </c>
      <c r="D147" s="1">
        <v>7.0</v>
      </c>
      <c r="E147">
        <f t="shared" si="2"/>
        <v>8</v>
      </c>
      <c r="F147" t="str">
        <f t="shared" ref="F147:L147" si="296">IF((AND($A147 = "+0",$E147 = F$1)), $C147, "")</f>
        <v/>
      </c>
      <c r="G147" t="str">
        <f t="shared" si="296"/>
        <v/>
      </c>
      <c r="H147" t="str">
        <f t="shared" si="296"/>
        <v/>
      </c>
      <c r="I147" t="str">
        <f t="shared" si="296"/>
        <v/>
      </c>
      <c r="J147" t="str">
        <f t="shared" si="296"/>
        <v/>
      </c>
      <c r="K147" t="str">
        <f t="shared" si="296"/>
        <v/>
      </c>
      <c r="L147" t="str">
        <f t="shared" si="296"/>
        <v/>
      </c>
      <c r="M147" t="str">
        <f t="shared" ref="M147:S147" si="297">IF((AND($A147 = "+0",$E147 = M$1)), 2^$D147-$B147, "")</f>
        <v/>
      </c>
      <c r="N147" t="str">
        <f t="shared" si="297"/>
        <v/>
      </c>
      <c r="O147" t="str">
        <f t="shared" si="297"/>
        <v/>
      </c>
      <c r="P147" t="str">
        <f t="shared" si="297"/>
        <v/>
      </c>
      <c r="Q147" t="str">
        <f t="shared" si="297"/>
        <v/>
      </c>
      <c r="R147" t="str">
        <f t="shared" si="297"/>
        <v/>
      </c>
      <c r="S147" t="str">
        <f t="shared" si="297"/>
        <v/>
      </c>
      <c r="T147">
        <f t="shared" si="5"/>
        <v>476</v>
      </c>
      <c r="U147" s="25">
        <f t="shared" si="6"/>
        <v>29.75</v>
      </c>
      <c r="V147" s="26">
        <f t="shared" si="7"/>
        <v>0.02521008403</v>
      </c>
      <c r="W147" s="25">
        <f t="shared" si="8"/>
        <v>5.988055151</v>
      </c>
      <c r="X147" s="25">
        <f t="shared" si="9"/>
        <v>6.583055151</v>
      </c>
      <c r="Y147" s="25"/>
      <c r="Z147" s="25"/>
    </row>
    <row r="148">
      <c r="A148" s="1" t="s">
        <v>4</v>
      </c>
      <c r="B148" s="1">
        <v>118.0</v>
      </c>
      <c r="C148" s="1">
        <v>4.0</v>
      </c>
      <c r="D148" s="1">
        <v>7.0</v>
      </c>
      <c r="E148">
        <f t="shared" si="2"/>
        <v>8</v>
      </c>
      <c r="F148" t="str">
        <f t="shared" ref="F148:L148" si="298">IF((AND($A148 = "+0",$E148 = F$1)), $C148, "")</f>
        <v/>
      </c>
      <c r="G148" t="str">
        <f t="shared" si="298"/>
        <v/>
      </c>
      <c r="H148" t="str">
        <f t="shared" si="298"/>
        <v/>
      </c>
      <c r="I148" t="str">
        <f t="shared" si="298"/>
        <v/>
      </c>
      <c r="J148" t="str">
        <f t="shared" si="298"/>
        <v/>
      </c>
      <c r="K148" t="str">
        <f t="shared" si="298"/>
        <v/>
      </c>
      <c r="L148" t="str">
        <f t="shared" si="298"/>
        <v/>
      </c>
      <c r="M148" t="str">
        <f t="shared" ref="M148:S148" si="299">IF((AND($A148 = "+0",$E148 = M$1)), 2^$D148-$B148, "")</f>
        <v/>
      </c>
      <c r="N148" t="str">
        <f t="shared" si="299"/>
        <v/>
      </c>
      <c r="O148" t="str">
        <f t="shared" si="299"/>
        <v/>
      </c>
      <c r="P148" t="str">
        <f t="shared" si="299"/>
        <v/>
      </c>
      <c r="Q148" t="str">
        <f t="shared" si="299"/>
        <v/>
      </c>
      <c r="R148" t="str">
        <f t="shared" si="299"/>
        <v/>
      </c>
      <c r="S148" t="str">
        <f t="shared" si="299"/>
        <v/>
      </c>
      <c r="T148">
        <f t="shared" si="5"/>
        <v>472</v>
      </c>
      <c r="U148" s="25">
        <f t="shared" si="6"/>
        <v>29.5</v>
      </c>
      <c r="V148" s="26">
        <f t="shared" si="7"/>
        <v>0.02542372881</v>
      </c>
      <c r="W148" s="25">
        <f t="shared" si="8"/>
        <v>5.979859046</v>
      </c>
      <c r="X148" s="25">
        <f t="shared" si="9"/>
        <v>6.569859046</v>
      </c>
      <c r="Y148" s="25"/>
      <c r="Z148" s="25"/>
    </row>
    <row r="149">
      <c r="A149" s="1" t="s">
        <v>4</v>
      </c>
      <c r="B149" s="1">
        <v>117.0</v>
      </c>
      <c r="C149" s="1">
        <v>4.0</v>
      </c>
      <c r="D149" s="1">
        <v>7.0</v>
      </c>
      <c r="E149">
        <f t="shared" si="2"/>
        <v>8</v>
      </c>
      <c r="F149" t="str">
        <f t="shared" ref="F149:L149" si="300">IF((AND($A149 = "+0",$E149 = F$1)), $C149, "")</f>
        <v/>
      </c>
      <c r="G149" t="str">
        <f t="shared" si="300"/>
        <v/>
      </c>
      <c r="H149" t="str">
        <f t="shared" si="300"/>
        <v/>
      </c>
      <c r="I149" t="str">
        <f t="shared" si="300"/>
        <v/>
      </c>
      <c r="J149" t="str">
        <f t="shared" si="300"/>
        <v/>
      </c>
      <c r="K149" t="str">
        <f t="shared" si="300"/>
        <v/>
      </c>
      <c r="L149" t="str">
        <f t="shared" si="300"/>
        <v/>
      </c>
      <c r="M149" t="str">
        <f t="shared" ref="M149:S149" si="301">IF((AND($A149 = "+0",$E149 = M$1)), 2^$D149-$B149, "")</f>
        <v/>
      </c>
      <c r="N149" t="str">
        <f t="shared" si="301"/>
        <v/>
      </c>
      <c r="O149" t="str">
        <f t="shared" si="301"/>
        <v/>
      </c>
      <c r="P149" t="str">
        <f t="shared" si="301"/>
        <v/>
      </c>
      <c r="Q149" t="str">
        <f t="shared" si="301"/>
        <v/>
      </c>
      <c r="R149" t="str">
        <f t="shared" si="301"/>
        <v/>
      </c>
      <c r="S149" t="str">
        <f t="shared" si="301"/>
        <v/>
      </c>
      <c r="T149">
        <f t="shared" si="5"/>
        <v>468</v>
      </c>
      <c r="U149" s="25">
        <f t="shared" si="6"/>
        <v>29.25</v>
      </c>
      <c r="V149" s="26">
        <f t="shared" si="7"/>
        <v>0.02564102564</v>
      </c>
      <c r="W149" s="25">
        <f t="shared" si="8"/>
        <v>5.971593186</v>
      </c>
      <c r="X149" s="25">
        <f t="shared" si="9"/>
        <v>6.556593186</v>
      </c>
      <c r="Y149" s="25"/>
      <c r="Z149" s="25"/>
    </row>
    <row r="150">
      <c r="A150" s="1" t="s">
        <v>5</v>
      </c>
      <c r="B150" s="1">
        <v>116.0</v>
      </c>
      <c r="C150" s="1">
        <v>4.0</v>
      </c>
      <c r="D150" s="1">
        <v>7.0</v>
      </c>
      <c r="E150">
        <f t="shared" si="2"/>
        <v>7</v>
      </c>
      <c r="F150" t="str">
        <f t="shared" ref="F150:L150" si="302">IF((AND($A150 = "+0",$E150 = F$1)), $C150, "")</f>
        <v/>
      </c>
      <c r="G150" t="str">
        <f t="shared" si="302"/>
        <v/>
      </c>
      <c r="H150" t="str">
        <f t="shared" si="302"/>
        <v/>
      </c>
      <c r="I150" t="str">
        <f t="shared" si="302"/>
        <v/>
      </c>
      <c r="J150" t="str">
        <f t="shared" si="302"/>
        <v/>
      </c>
      <c r="K150" t="str">
        <f t="shared" si="302"/>
        <v/>
      </c>
      <c r="L150">
        <f t="shared" si="302"/>
        <v>4</v>
      </c>
      <c r="M150" t="str">
        <f t="shared" ref="M150:S150" si="303">IF((AND($A150 = "+0",$E150 = M$1)), 2^$D150-$B150, "")</f>
        <v/>
      </c>
      <c r="N150" t="str">
        <f t="shared" si="303"/>
        <v/>
      </c>
      <c r="O150" t="str">
        <f t="shared" si="303"/>
        <v/>
      </c>
      <c r="P150" t="str">
        <f t="shared" si="303"/>
        <v/>
      </c>
      <c r="Q150" t="str">
        <f t="shared" si="303"/>
        <v/>
      </c>
      <c r="R150" t="str">
        <f t="shared" si="303"/>
        <v/>
      </c>
      <c r="S150">
        <f t="shared" si="303"/>
        <v>12</v>
      </c>
      <c r="T150">
        <f t="shared" si="5"/>
        <v>464</v>
      </c>
      <c r="U150" s="25">
        <f t="shared" si="6"/>
        <v>29</v>
      </c>
      <c r="V150" s="26">
        <f t="shared" si="7"/>
        <v>0.02586206897</v>
      </c>
      <c r="W150" s="25">
        <f t="shared" si="8"/>
        <v>5.963256374</v>
      </c>
      <c r="X150" s="25">
        <f t="shared" si="9"/>
        <v>6.543256374</v>
      </c>
      <c r="Y150" s="25"/>
      <c r="Z150" s="25"/>
    </row>
    <row r="151">
      <c r="A151" s="1" t="s">
        <v>4</v>
      </c>
      <c r="B151" s="1">
        <v>116.0</v>
      </c>
      <c r="C151" s="1">
        <v>5.0</v>
      </c>
      <c r="D151" s="1">
        <v>7.0</v>
      </c>
      <c r="E151">
        <f t="shared" si="2"/>
        <v>8</v>
      </c>
      <c r="F151" t="str">
        <f t="shared" ref="F151:L151" si="304">IF((AND($A151 = "+0",$E151 = F$1)), $C151, "")</f>
        <v/>
      </c>
      <c r="G151" t="str">
        <f t="shared" si="304"/>
        <v/>
      </c>
      <c r="H151" t="str">
        <f t="shared" si="304"/>
        <v/>
      </c>
      <c r="I151" t="str">
        <f t="shared" si="304"/>
        <v/>
      </c>
      <c r="J151" t="str">
        <f t="shared" si="304"/>
        <v/>
      </c>
      <c r="K151" t="str">
        <f t="shared" si="304"/>
        <v/>
      </c>
      <c r="L151" t="str">
        <f t="shared" si="304"/>
        <v/>
      </c>
      <c r="M151" t="str">
        <f t="shared" ref="M151:S151" si="305">IF((AND($A151 = "+0",$E151 = M$1)), 2^$D151-$B151, "")</f>
        <v/>
      </c>
      <c r="N151" t="str">
        <f t="shared" si="305"/>
        <v/>
      </c>
      <c r="O151" t="str">
        <f t="shared" si="305"/>
        <v/>
      </c>
      <c r="P151" t="str">
        <f t="shared" si="305"/>
        <v/>
      </c>
      <c r="Q151" t="str">
        <f t="shared" si="305"/>
        <v/>
      </c>
      <c r="R151" t="str">
        <f t="shared" si="305"/>
        <v/>
      </c>
      <c r="S151" t="str">
        <f t="shared" si="305"/>
        <v/>
      </c>
      <c r="T151">
        <f t="shared" si="5"/>
        <v>580</v>
      </c>
      <c r="U151" s="25">
        <f t="shared" si="6"/>
        <v>23.2</v>
      </c>
      <c r="V151" s="26">
        <f t="shared" si="7"/>
        <v>0.03448275862</v>
      </c>
      <c r="W151" s="25">
        <f t="shared" si="8"/>
        <v>6.179980678</v>
      </c>
      <c r="X151" s="25">
        <f t="shared" si="9"/>
        <v>6.643980678</v>
      </c>
      <c r="Y151" s="25"/>
      <c r="Z151" s="25"/>
    </row>
    <row r="152">
      <c r="A152" s="1" t="s">
        <v>4</v>
      </c>
      <c r="B152" s="1">
        <v>115.0</v>
      </c>
      <c r="C152" s="1">
        <v>5.0</v>
      </c>
      <c r="D152" s="1">
        <v>7.0</v>
      </c>
      <c r="E152">
        <f t="shared" si="2"/>
        <v>8</v>
      </c>
      <c r="F152" t="str">
        <f t="shared" ref="F152:L152" si="306">IF((AND($A152 = "+0",$E152 = F$1)), $C152, "")</f>
        <v/>
      </c>
      <c r="G152" t="str">
        <f t="shared" si="306"/>
        <v/>
      </c>
      <c r="H152" t="str">
        <f t="shared" si="306"/>
        <v/>
      </c>
      <c r="I152" t="str">
        <f t="shared" si="306"/>
        <v/>
      </c>
      <c r="J152" t="str">
        <f t="shared" si="306"/>
        <v/>
      </c>
      <c r="K152" t="str">
        <f t="shared" si="306"/>
        <v/>
      </c>
      <c r="L152" t="str">
        <f t="shared" si="306"/>
        <v/>
      </c>
      <c r="M152" t="str">
        <f t="shared" ref="M152:S152" si="307">IF((AND($A152 = "+0",$E152 = M$1)), 2^$D152-$B152, "")</f>
        <v/>
      </c>
      <c r="N152" t="str">
        <f t="shared" si="307"/>
        <v/>
      </c>
      <c r="O152" t="str">
        <f t="shared" si="307"/>
        <v/>
      </c>
      <c r="P152" t="str">
        <f t="shared" si="307"/>
        <v/>
      </c>
      <c r="Q152" t="str">
        <f t="shared" si="307"/>
        <v/>
      </c>
      <c r="R152" t="str">
        <f t="shared" si="307"/>
        <v/>
      </c>
      <c r="S152" t="str">
        <f t="shared" si="307"/>
        <v/>
      </c>
      <c r="T152">
        <f t="shared" si="5"/>
        <v>575</v>
      </c>
      <c r="U152" s="25">
        <f t="shared" si="6"/>
        <v>23</v>
      </c>
      <c r="V152" s="26">
        <f t="shared" si="7"/>
        <v>0.0347826087</v>
      </c>
      <c r="W152" s="25">
        <f t="shared" si="8"/>
        <v>6.171571684</v>
      </c>
      <c r="X152" s="25">
        <f t="shared" si="9"/>
        <v>6.631571684</v>
      </c>
      <c r="Y152" s="25"/>
      <c r="Z152" s="25"/>
    </row>
    <row r="153">
      <c r="A153" s="1" t="s">
        <v>4</v>
      </c>
      <c r="B153" s="1">
        <v>114.0</v>
      </c>
      <c r="C153" s="1">
        <v>5.0</v>
      </c>
      <c r="D153" s="1">
        <v>7.0</v>
      </c>
      <c r="E153">
        <f t="shared" si="2"/>
        <v>8</v>
      </c>
      <c r="F153" t="str">
        <f t="shared" ref="F153:L153" si="308">IF((AND($A153 = "+0",$E153 = F$1)), $C153, "")</f>
        <v/>
      </c>
      <c r="G153" t="str">
        <f t="shared" si="308"/>
        <v/>
      </c>
      <c r="H153" t="str">
        <f t="shared" si="308"/>
        <v/>
      </c>
      <c r="I153" t="str">
        <f t="shared" si="308"/>
        <v/>
      </c>
      <c r="J153" t="str">
        <f t="shared" si="308"/>
        <v/>
      </c>
      <c r="K153" t="str">
        <f t="shared" si="308"/>
        <v/>
      </c>
      <c r="L153" t="str">
        <f t="shared" si="308"/>
        <v/>
      </c>
      <c r="M153" t="str">
        <f t="shared" ref="M153:S153" si="309">IF((AND($A153 = "+0",$E153 = M$1)), 2^$D153-$B153, "")</f>
        <v/>
      </c>
      <c r="N153" t="str">
        <f t="shared" si="309"/>
        <v/>
      </c>
      <c r="O153" t="str">
        <f t="shared" si="309"/>
        <v/>
      </c>
      <c r="P153" t="str">
        <f t="shared" si="309"/>
        <v/>
      </c>
      <c r="Q153" t="str">
        <f t="shared" si="309"/>
        <v/>
      </c>
      <c r="R153" t="str">
        <f t="shared" si="309"/>
        <v/>
      </c>
      <c r="S153" t="str">
        <f t="shared" si="309"/>
        <v/>
      </c>
      <c r="T153">
        <f t="shared" si="5"/>
        <v>570</v>
      </c>
      <c r="U153" s="25">
        <f t="shared" si="6"/>
        <v>22.8</v>
      </c>
      <c r="V153" s="26">
        <f t="shared" si="7"/>
        <v>0.0350877193</v>
      </c>
      <c r="W153" s="25">
        <f t="shared" si="8"/>
        <v>6.163089249</v>
      </c>
      <c r="X153" s="25">
        <f t="shared" si="9"/>
        <v>6.619089249</v>
      </c>
      <c r="Y153" s="25"/>
      <c r="Z153" s="25"/>
    </row>
    <row r="154">
      <c r="A154" s="1" t="s">
        <v>4</v>
      </c>
      <c r="B154" s="1">
        <v>113.0</v>
      </c>
      <c r="C154" s="1">
        <v>5.0</v>
      </c>
      <c r="D154" s="1">
        <v>7.0</v>
      </c>
      <c r="E154">
        <f t="shared" si="2"/>
        <v>8</v>
      </c>
      <c r="F154" t="str">
        <f t="shared" ref="F154:L154" si="310">IF((AND($A154 = "+0",$E154 = F$1)), $C154, "")</f>
        <v/>
      </c>
      <c r="G154" t="str">
        <f t="shared" si="310"/>
        <v/>
      </c>
      <c r="H154" t="str">
        <f t="shared" si="310"/>
        <v/>
      </c>
      <c r="I154" t="str">
        <f t="shared" si="310"/>
        <v/>
      </c>
      <c r="J154" t="str">
        <f t="shared" si="310"/>
        <v/>
      </c>
      <c r="K154" t="str">
        <f t="shared" si="310"/>
        <v/>
      </c>
      <c r="L154" t="str">
        <f t="shared" si="310"/>
        <v/>
      </c>
      <c r="M154" t="str">
        <f t="shared" ref="M154:S154" si="311">IF((AND($A154 = "+0",$E154 = M$1)), 2^$D154-$B154, "")</f>
        <v/>
      </c>
      <c r="N154" t="str">
        <f t="shared" si="311"/>
        <v/>
      </c>
      <c r="O154" t="str">
        <f t="shared" si="311"/>
        <v/>
      </c>
      <c r="P154" t="str">
        <f t="shared" si="311"/>
        <v/>
      </c>
      <c r="Q154" t="str">
        <f t="shared" si="311"/>
        <v/>
      </c>
      <c r="R154" t="str">
        <f t="shared" si="311"/>
        <v/>
      </c>
      <c r="S154" t="str">
        <f t="shared" si="311"/>
        <v/>
      </c>
      <c r="T154">
        <f t="shared" si="5"/>
        <v>565</v>
      </c>
      <c r="U154" s="25">
        <f t="shared" si="6"/>
        <v>22.6</v>
      </c>
      <c r="V154" s="26">
        <f t="shared" si="7"/>
        <v>0.03539823009</v>
      </c>
      <c r="W154" s="25">
        <f t="shared" si="8"/>
        <v>6.154532078</v>
      </c>
      <c r="X154" s="25">
        <f t="shared" si="9"/>
        <v>6.606532078</v>
      </c>
      <c r="Y154" s="25"/>
      <c r="Z154" s="25"/>
    </row>
    <row r="155">
      <c r="A155" s="1" t="s">
        <v>4</v>
      </c>
      <c r="B155" s="1">
        <v>112.0</v>
      </c>
      <c r="C155" s="1">
        <v>5.0</v>
      </c>
      <c r="D155" s="1">
        <v>7.0</v>
      </c>
      <c r="E155">
        <f t="shared" si="2"/>
        <v>8</v>
      </c>
      <c r="F155" t="str">
        <f t="shared" ref="F155:L155" si="312">IF((AND($A155 = "+0",$E155 = F$1)), $C155, "")</f>
        <v/>
      </c>
      <c r="G155" t="str">
        <f t="shared" si="312"/>
        <v/>
      </c>
      <c r="H155" t="str">
        <f t="shared" si="312"/>
        <v/>
      </c>
      <c r="I155" t="str">
        <f t="shared" si="312"/>
        <v/>
      </c>
      <c r="J155" t="str">
        <f t="shared" si="312"/>
        <v/>
      </c>
      <c r="K155" t="str">
        <f t="shared" si="312"/>
        <v/>
      </c>
      <c r="L155" t="str">
        <f t="shared" si="312"/>
        <v/>
      </c>
      <c r="M155" t="str">
        <f t="shared" ref="M155:S155" si="313">IF((AND($A155 = "+0",$E155 = M$1)), 2^$D155-$B155, "")</f>
        <v/>
      </c>
      <c r="N155" t="str">
        <f t="shared" si="313"/>
        <v/>
      </c>
      <c r="O155" t="str">
        <f t="shared" si="313"/>
        <v/>
      </c>
      <c r="P155" t="str">
        <f t="shared" si="313"/>
        <v/>
      </c>
      <c r="Q155" t="str">
        <f t="shared" si="313"/>
        <v/>
      </c>
      <c r="R155" t="str">
        <f t="shared" si="313"/>
        <v/>
      </c>
      <c r="S155" t="str">
        <f t="shared" si="313"/>
        <v/>
      </c>
      <c r="T155">
        <f t="shared" si="5"/>
        <v>560</v>
      </c>
      <c r="U155" s="25">
        <f t="shared" si="6"/>
        <v>22.4</v>
      </c>
      <c r="V155" s="26">
        <f t="shared" si="7"/>
        <v>0.03571428571</v>
      </c>
      <c r="W155" s="25">
        <f t="shared" si="8"/>
        <v>6.145898842</v>
      </c>
      <c r="X155" s="25">
        <f t="shared" si="9"/>
        <v>6.593898842</v>
      </c>
      <c r="Y155" s="25"/>
      <c r="Z155" s="25"/>
    </row>
    <row r="156">
      <c r="A156" s="1" t="s">
        <v>4</v>
      </c>
      <c r="B156" s="1">
        <v>111.0</v>
      </c>
      <c r="C156" s="1">
        <v>5.0</v>
      </c>
      <c r="D156" s="1">
        <v>7.0</v>
      </c>
      <c r="E156">
        <f t="shared" si="2"/>
        <v>8</v>
      </c>
      <c r="F156" t="str">
        <f t="shared" ref="F156:L156" si="314">IF((AND($A156 = "+0",$E156 = F$1)), $C156, "")</f>
        <v/>
      </c>
      <c r="G156" t="str">
        <f t="shared" si="314"/>
        <v/>
      </c>
      <c r="H156" t="str">
        <f t="shared" si="314"/>
        <v/>
      </c>
      <c r="I156" t="str">
        <f t="shared" si="314"/>
        <v/>
      </c>
      <c r="J156" t="str">
        <f t="shared" si="314"/>
        <v/>
      </c>
      <c r="K156" t="str">
        <f t="shared" si="314"/>
        <v/>
      </c>
      <c r="L156" t="str">
        <f t="shared" si="314"/>
        <v/>
      </c>
      <c r="M156" t="str">
        <f t="shared" ref="M156:S156" si="315">IF((AND($A156 = "+0",$E156 = M$1)), 2^$D156-$B156, "")</f>
        <v/>
      </c>
      <c r="N156" t="str">
        <f t="shared" si="315"/>
        <v/>
      </c>
      <c r="O156" t="str">
        <f t="shared" si="315"/>
        <v/>
      </c>
      <c r="P156" t="str">
        <f t="shared" si="315"/>
        <v/>
      </c>
      <c r="Q156" t="str">
        <f t="shared" si="315"/>
        <v/>
      </c>
      <c r="R156" t="str">
        <f t="shared" si="315"/>
        <v/>
      </c>
      <c r="S156" t="str">
        <f t="shared" si="315"/>
        <v/>
      </c>
      <c r="T156">
        <f t="shared" si="5"/>
        <v>555</v>
      </c>
      <c r="U156" s="25">
        <f t="shared" si="6"/>
        <v>22.2</v>
      </c>
      <c r="V156" s="26">
        <f t="shared" si="7"/>
        <v>0.03603603604</v>
      </c>
      <c r="W156" s="25">
        <f t="shared" si="8"/>
        <v>6.137188177</v>
      </c>
      <c r="X156" s="25">
        <f t="shared" si="9"/>
        <v>6.581188177</v>
      </c>
      <c r="Y156" s="25"/>
      <c r="Z156" s="25"/>
    </row>
    <row r="157">
      <c r="A157" s="1" t="s">
        <v>4</v>
      </c>
      <c r="B157" s="1">
        <v>110.0</v>
      </c>
      <c r="C157" s="1">
        <v>5.0</v>
      </c>
      <c r="D157" s="1">
        <v>7.0</v>
      </c>
      <c r="E157">
        <f t="shared" si="2"/>
        <v>8</v>
      </c>
      <c r="F157" t="str">
        <f t="shared" ref="F157:L157" si="316">IF((AND($A157 = "+0",$E157 = F$1)), $C157, "")</f>
        <v/>
      </c>
      <c r="G157" t="str">
        <f t="shared" si="316"/>
        <v/>
      </c>
      <c r="H157" t="str">
        <f t="shared" si="316"/>
        <v/>
      </c>
      <c r="I157" t="str">
        <f t="shared" si="316"/>
        <v/>
      </c>
      <c r="J157" t="str">
        <f t="shared" si="316"/>
        <v/>
      </c>
      <c r="K157" t="str">
        <f t="shared" si="316"/>
        <v/>
      </c>
      <c r="L157" t="str">
        <f t="shared" si="316"/>
        <v/>
      </c>
      <c r="M157" t="str">
        <f t="shared" ref="M157:S157" si="317">IF((AND($A157 = "+0",$E157 = M$1)), 2^$D157-$B157, "")</f>
        <v/>
      </c>
      <c r="N157" t="str">
        <f t="shared" si="317"/>
        <v/>
      </c>
      <c r="O157" t="str">
        <f t="shared" si="317"/>
        <v/>
      </c>
      <c r="P157" t="str">
        <f t="shared" si="317"/>
        <v/>
      </c>
      <c r="Q157" t="str">
        <f t="shared" si="317"/>
        <v/>
      </c>
      <c r="R157" t="str">
        <f t="shared" si="317"/>
        <v/>
      </c>
      <c r="S157" t="str">
        <f t="shared" si="317"/>
        <v/>
      </c>
      <c r="T157">
        <f t="shared" si="5"/>
        <v>550</v>
      </c>
      <c r="U157" s="25">
        <f t="shared" si="6"/>
        <v>22</v>
      </c>
      <c r="V157" s="26">
        <f t="shared" si="7"/>
        <v>0.03636363636</v>
      </c>
      <c r="W157" s="25">
        <f t="shared" si="8"/>
        <v>6.128398681</v>
      </c>
      <c r="X157" s="25">
        <f t="shared" si="9"/>
        <v>6.568398681</v>
      </c>
      <c r="Y157" s="25"/>
      <c r="Z157" s="25"/>
    </row>
    <row r="158">
      <c r="A158" s="1" t="s">
        <v>5</v>
      </c>
      <c r="B158" s="1">
        <v>109.0</v>
      </c>
      <c r="C158" s="1">
        <v>5.0</v>
      </c>
      <c r="D158" s="1">
        <v>7.0</v>
      </c>
      <c r="E158">
        <f t="shared" si="2"/>
        <v>7</v>
      </c>
      <c r="F158" t="str">
        <f t="shared" ref="F158:L158" si="318">IF((AND($A158 = "+0",$E158 = F$1)), $C158, "")</f>
        <v/>
      </c>
      <c r="G158" t="str">
        <f t="shared" si="318"/>
        <v/>
      </c>
      <c r="H158" t="str">
        <f t="shared" si="318"/>
        <v/>
      </c>
      <c r="I158" t="str">
        <f t="shared" si="318"/>
        <v/>
      </c>
      <c r="J158" t="str">
        <f t="shared" si="318"/>
        <v/>
      </c>
      <c r="K158" t="str">
        <f t="shared" si="318"/>
        <v/>
      </c>
      <c r="L158">
        <f t="shared" si="318"/>
        <v>5</v>
      </c>
      <c r="M158" t="str">
        <f t="shared" ref="M158:S158" si="319">IF((AND($A158 = "+0",$E158 = M$1)), 2^$D158-$B158, "")</f>
        <v/>
      </c>
      <c r="N158" t="str">
        <f t="shared" si="319"/>
        <v/>
      </c>
      <c r="O158" t="str">
        <f t="shared" si="319"/>
        <v/>
      </c>
      <c r="P158" t="str">
        <f t="shared" si="319"/>
        <v/>
      </c>
      <c r="Q158" t="str">
        <f t="shared" si="319"/>
        <v/>
      </c>
      <c r="R158" t="str">
        <f t="shared" si="319"/>
        <v/>
      </c>
      <c r="S158">
        <f t="shared" si="319"/>
        <v>19</v>
      </c>
      <c r="T158">
        <f t="shared" si="5"/>
        <v>545</v>
      </c>
      <c r="U158" s="25">
        <f t="shared" si="6"/>
        <v>21.8</v>
      </c>
      <c r="V158" s="26">
        <f t="shared" si="7"/>
        <v>0.03669724771</v>
      </c>
      <c r="W158" s="25">
        <f t="shared" si="8"/>
        <v>6.119528915</v>
      </c>
      <c r="X158" s="25">
        <f t="shared" si="9"/>
        <v>6.555528915</v>
      </c>
      <c r="Y158" s="25"/>
      <c r="Z158" s="25"/>
    </row>
    <row r="159">
      <c r="A159" s="1" t="s">
        <v>4</v>
      </c>
      <c r="B159" s="1">
        <v>109.0</v>
      </c>
      <c r="C159" s="1">
        <v>6.0</v>
      </c>
      <c r="D159" s="1">
        <v>7.0</v>
      </c>
      <c r="E159">
        <f t="shared" si="2"/>
        <v>8</v>
      </c>
      <c r="F159" t="str">
        <f t="shared" ref="F159:L159" si="320">IF((AND($A159 = "+0",$E159 = F$1)), $C159, "")</f>
        <v/>
      </c>
      <c r="G159" t="str">
        <f t="shared" si="320"/>
        <v/>
      </c>
      <c r="H159" t="str">
        <f t="shared" si="320"/>
        <v/>
      </c>
      <c r="I159" t="str">
        <f t="shared" si="320"/>
        <v/>
      </c>
      <c r="J159" t="str">
        <f t="shared" si="320"/>
        <v/>
      </c>
      <c r="K159" t="str">
        <f t="shared" si="320"/>
        <v/>
      </c>
      <c r="L159" t="str">
        <f t="shared" si="320"/>
        <v/>
      </c>
      <c r="M159" t="str">
        <f t="shared" ref="M159:S159" si="321">IF((AND($A159 = "+0",$E159 = M$1)), 2^$D159-$B159, "")</f>
        <v/>
      </c>
      <c r="N159" t="str">
        <f t="shared" si="321"/>
        <v/>
      </c>
      <c r="O159" t="str">
        <f t="shared" si="321"/>
        <v/>
      </c>
      <c r="P159" t="str">
        <f t="shared" si="321"/>
        <v/>
      </c>
      <c r="Q159" t="str">
        <f t="shared" si="321"/>
        <v/>
      </c>
      <c r="R159" t="str">
        <f t="shared" si="321"/>
        <v/>
      </c>
      <c r="S159" t="str">
        <f t="shared" si="321"/>
        <v/>
      </c>
      <c r="T159">
        <f t="shared" si="5"/>
        <v>654</v>
      </c>
      <c r="U159" s="25">
        <f t="shared" si="6"/>
        <v>18.16666667</v>
      </c>
      <c r="V159" s="26">
        <f t="shared" si="7"/>
        <v>0.04587155963</v>
      </c>
      <c r="W159" s="25">
        <f t="shared" si="8"/>
        <v>6.296605564</v>
      </c>
      <c r="X159" s="25">
        <f t="shared" si="9"/>
        <v>6.659938898</v>
      </c>
      <c r="Y159" s="25"/>
      <c r="Z159" s="25"/>
    </row>
    <row r="160">
      <c r="A160" s="1" t="s">
        <v>4</v>
      </c>
      <c r="B160" s="1">
        <v>108.0</v>
      </c>
      <c r="C160" s="1">
        <v>6.0</v>
      </c>
      <c r="D160" s="1">
        <v>7.0</v>
      </c>
      <c r="E160">
        <f t="shared" si="2"/>
        <v>8</v>
      </c>
      <c r="F160" t="str">
        <f t="shared" ref="F160:L160" si="322">IF((AND($A160 = "+0",$E160 = F$1)), $C160, "")</f>
        <v/>
      </c>
      <c r="G160" t="str">
        <f t="shared" si="322"/>
        <v/>
      </c>
      <c r="H160" t="str">
        <f t="shared" si="322"/>
        <v/>
      </c>
      <c r="I160" t="str">
        <f t="shared" si="322"/>
        <v/>
      </c>
      <c r="J160" t="str">
        <f t="shared" si="322"/>
        <v/>
      </c>
      <c r="K160" t="str">
        <f t="shared" si="322"/>
        <v/>
      </c>
      <c r="L160" t="str">
        <f t="shared" si="322"/>
        <v/>
      </c>
      <c r="M160" t="str">
        <f t="shared" ref="M160:S160" si="323">IF((AND($A160 = "+0",$E160 = M$1)), 2^$D160-$B160, "")</f>
        <v/>
      </c>
      <c r="N160" t="str">
        <f t="shared" si="323"/>
        <v/>
      </c>
      <c r="O160" t="str">
        <f t="shared" si="323"/>
        <v/>
      </c>
      <c r="P160" t="str">
        <f t="shared" si="323"/>
        <v/>
      </c>
      <c r="Q160" t="str">
        <f t="shared" si="323"/>
        <v/>
      </c>
      <c r="R160" t="str">
        <f t="shared" si="323"/>
        <v/>
      </c>
      <c r="S160" t="str">
        <f t="shared" si="323"/>
        <v/>
      </c>
      <c r="T160">
        <f t="shared" si="5"/>
        <v>648</v>
      </c>
      <c r="U160" s="25">
        <f t="shared" si="6"/>
        <v>18</v>
      </c>
      <c r="V160" s="26">
        <f t="shared" si="7"/>
        <v>0.0462962963</v>
      </c>
      <c r="W160" s="25">
        <f t="shared" si="8"/>
        <v>6.287654048</v>
      </c>
      <c r="X160" s="25">
        <f t="shared" si="9"/>
        <v>6.647654048</v>
      </c>
      <c r="Y160" s="25"/>
      <c r="Z160" s="25"/>
    </row>
    <row r="161">
      <c r="A161" s="1" t="s">
        <v>4</v>
      </c>
      <c r="B161" s="1">
        <v>107.0</v>
      </c>
      <c r="C161" s="1">
        <v>6.0</v>
      </c>
      <c r="D161" s="1">
        <v>7.0</v>
      </c>
      <c r="E161">
        <f t="shared" si="2"/>
        <v>8</v>
      </c>
      <c r="F161" t="str">
        <f t="shared" ref="F161:L161" si="324">IF((AND($A161 = "+0",$E161 = F$1)), $C161, "")</f>
        <v/>
      </c>
      <c r="G161" t="str">
        <f t="shared" si="324"/>
        <v/>
      </c>
      <c r="H161" t="str">
        <f t="shared" si="324"/>
        <v/>
      </c>
      <c r="I161" t="str">
        <f t="shared" si="324"/>
        <v/>
      </c>
      <c r="J161" t="str">
        <f t="shared" si="324"/>
        <v/>
      </c>
      <c r="K161" t="str">
        <f t="shared" si="324"/>
        <v/>
      </c>
      <c r="L161" t="str">
        <f t="shared" si="324"/>
        <v/>
      </c>
      <c r="M161" t="str">
        <f t="shared" ref="M161:S161" si="325">IF((AND($A161 = "+0",$E161 = M$1)), 2^$D161-$B161, "")</f>
        <v/>
      </c>
      <c r="N161" t="str">
        <f t="shared" si="325"/>
        <v/>
      </c>
      <c r="O161" t="str">
        <f t="shared" si="325"/>
        <v/>
      </c>
      <c r="P161" t="str">
        <f t="shared" si="325"/>
        <v/>
      </c>
      <c r="Q161" t="str">
        <f t="shared" si="325"/>
        <v/>
      </c>
      <c r="R161" t="str">
        <f t="shared" si="325"/>
        <v/>
      </c>
      <c r="S161" t="str">
        <f t="shared" si="325"/>
        <v/>
      </c>
      <c r="T161">
        <f t="shared" si="5"/>
        <v>642</v>
      </c>
      <c r="U161" s="25">
        <f t="shared" si="6"/>
        <v>17.83333333</v>
      </c>
      <c r="V161" s="26">
        <f t="shared" si="7"/>
        <v>0.04672897196</v>
      </c>
      <c r="W161" s="25">
        <f t="shared" si="8"/>
        <v>6.27861926</v>
      </c>
      <c r="X161" s="25">
        <f t="shared" si="9"/>
        <v>6.635285927</v>
      </c>
      <c r="Y161" s="25"/>
      <c r="Z161" s="25"/>
    </row>
    <row r="162">
      <c r="A162" s="1" t="s">
        <v>4</v>
      </c>
      <c r="B162" s="1">
        <v>106.0</v>
      </c>
      <c r="C162" s="1">
        <v>6.0</v>
      </c>
      <c r="D162" s="1">
        <v>7.0</v>
      </c>
      <c r="E162">
        <f t="shared" si="2"/>
        <v>8</v>
      </c>
      <c r="F162" t="str">
        <f t="shared" ref="F162:L162" si="326">IF((AND($A162 = "+0",$E162 = F$1)), $C162, "")</f>
        <v/>
      </c>
      <c r="G162" t="str">
        <f t="shared" si="326"/>
        <v/>
      </c>
      <c r="H162" t="str">
        <f t="shared" si="326"/>
        <v/>
      </c>
      <c r="I162" t="str">
        <f t="shared" si="326"/>
        <v/>
      </c>
      <c r="J162" t="str">
        <f t="shared" si="326"/>
        <v/>
      </c>
      <c r="K162" t="str">
        <f t="shared" si="326"/>
        <v/>
      </c>
      <c r="L162" t="str">
        <f t="shared" si="326"/>
        <v/>
      </c>
      <c r="M162" t="str">
        <f t="shared" ref="M162:S162" si="327">IF((AND($A162 = "+0",$E162 = M$1)), 2^$D162-$B162, "")</f>
        <v/>
      </c>
      <c r="N162" t="str">
        <f t="shared" si="327"/>
        <v/>
      </c>
      <c r="O162" t="str">
        <f t="shared" si="327"/>
        <v/>
      </c>
      <c r="P162" t="str">
        <f t="shared" si="327"/>
        <v/>
      </c>
      <c r="Q162" t="str">
        <f t="shared" si="327"/>
        <v/>
      </c>
      <c r="R162" t="str">
        <f t="shared" si="327"/>
        <v/>
      </c>
      <c r="S162" t="str">
        <f t="shared" si="327"/>
        <v/>
      </c>
      <c r="T162">
        <f t="shared" si="5"/>
        <v>636</v>
      </c>
      <c r="U162" s="25">
        <f t="shared" si="6"/>
        <v>17.66666667</v>
      </c>
      <c r="V162" s="26">
        <f t="shared" si="7"/>
        <v>0.04716981132</v>
      </c>
      <c r="W162" s="25">
        <f t="shared" si="8"/>
        <v>6.269499638</v>
      </c>
      <c r="X162" s="25">
        <f t="shared" si="9"/>
        <v>6.622832971</v>
      </c>
      <c r="Y162" s="25"/>
      <c r="Z162" s="25"/>
    </row>
    <row r="163">
      <c r="A163" s="1" t="s">
        <v>4</v>
      </c>
      <c r="B163" s="1">
        <v>105.0</v>
      </c>
      <c r="C163" s="1">
        <v>6.0</v>
      </c>
      <c r="D163" s="1">
        <v>7.0</v>
      </c>
      <c r="E163">
        <f t="shared" si="2"/>
        <v>8</v>
      </c>
      <c r="F163" t="str">
        <f t="shared" ref="F163:L163" si="328">IF((AND($A163 = "+0",$E163 = F$1)), $C163, "")</f>
        <v/>
      </c>
      <c r="G163" t="str">
        <f t="shared" si="328"/>
        <v/>
      </c>
      <c r="H163" t="str">
        <f t="shared" si="328"/>
        <v/>
      </c>
      <c r="I163" t="str">
        <f t="shared" si="328"/>
        <v/>
      </c>
      <c r="J163" t="str">
        <f t="shared" si="328"/>
        <v/>
      </c>
      <c r="K163" t="str">
        <f t="shared" si="328"/>
        <v/>
      </c>
      <c r="L163" t="str">
        <f t="shared" si="328"/>
        <v/>
      </c>
      <c r="M163" t="str">
        <f t="shared" ref="M163:S163" si="329">IF((AND($A163 = "+0",$E163 = M$1)), 2^$D163-$B163, "")</f>
        <v/>
      </c>
      <c r="N163" t="str">
        <f t="shared" si="329"/>
        <v/>
      </c>
      <c r="O163" t="str">
        <f t="shared" si="329"/>
        <v/>
      </c>
      <c r="P163" t="str">
        <f t="shared" si="329"/>
        <v/>
      </c>
      <c r="Q163" t="str">
        <f t="shared" si="329"/>
        <v/>
      </c>
      <c r="R163" t="str">
        <f t="shared" si="329"/>
        <v/>
      </c>
      <c r="S163" t="str">
        <f t="shared" si="329"/>
        <v/>
      </c>
      <c r="T163">
        <f t="shared" si="5"/>
        <v>630</v>
      </c>
      <c r="U163" s="25">
        <f t="shared" si="6"/>
        <v>17.5</v>
      </c>
      <c r="V163" s="26">
        <f t="shared" si="7"/>
        <v>0.04761904762</v>
      </c>
      <c r="W163" s="25">
        <f t="shared" si="8"/>
        <v>6.260293572</v>
      </c>
      <c r="X163" s="25">
        <f t="shared" si="9"/>
        <v>6.610293572</v>
      </c>
      <c r="Y163" s="25"/>
      <c r="Z163" s="25"/>
    </row>
    <row r="164">
      <c r="A164" s="1" t="s">
        <v>5</v>
      </c>
      <c r="B164" s="1">
        <v>104.0</v>
      </c>
      <c r="C164" s="1">
        <v>6.0</v>
      </c>
      <c r="D164" s="1">
        <v>7.0</v>
      </c>
      <c r="E164">
        <f t="shared" si="2"/>
        <v>7</v>
      </c>
      <c r="F164" t="str">
        <f t="shared" ref="F164:L164" si="330">IF((AND($A164 = "+0",$E164 = F$1)), $C164, "")</f>
        <v/>
      </c>
      <c r="G164" t="str">
        <f t="shared" si="330"/>
        <v/>
      </c>
      <c r="H164" t="str">
        <f t="shared" si="330"/>
        <v/>
      </c>
      <c r="I164" t="str">
        <f t="shared" si="330"/>
        <v/>
      </c>
      <c r="J164" t="str">
        <f t="shared" si="330"/>
        <v/>
      </c>
      <c r="K164" t="str">
        <f t="shared" si="330"/>
        <v/>
      </c>
      <c r="L164">
        <f t="shared" si="330"/>
        <v>6</v>
      </c>
      <c r="M164" t="str">
        <f t="shared" ref="M164:S164" si="331">IF((AND($A164 = "+0",$E164 = M$1)), 2^$D164-$B164, "")</f>
        <v/>
      </c>
      <c r="N164" t="str">
        <f t="shared" si="331"/>
        <v/>
      </c>
      <c r="O164" t="str">
        <f t="shared" si="331"/>
        <v/>
      </c>
      <c r="P164" t="str">
        <f t="shared" si="331"/>
        <v/>
      </c>
      <c r="Q164" t="str">
        <f t="shared" si="331"/>
        <v/>
      </c>
      <c r="R164" t="str">
        <f t="shared" si="331"/>
        <v/>
      </c>
      <c r="S164">
        <f t="shared" si="331"/>
        <v>24</v>
      </c>
      <c r="T164">
        <f t="shared" si="5"/>
        <v>624</v>
      </c>
      <c r="U164" s="25">
        <f t="shared" si="6"/>
        <v>17.33333333</v>
      </c>
      <c r="V164" s="26">
        <f t="shared" si="7"/>
        <v>0.04807692308</v>
      </c>
      <c r="W164" s="25">
        <f t="shared" si="8"/>
        <v>6.250999409</v>
      </c>
      <c r="X164" s="25">
        <f t="shared" si="9"/>
        <v>6.597666076</v>
      </c>
      <c r="Y164" s="25"/>
      <c r="Z164" s="25"/>
    </row>
    <row r="165">
      <c r="A165" s="1" t="s">
        <v>4</v>
      </c>
      <c r="B165" s="1">
        <v>104.0</v>
      </c>
      <c r="C165" s="1">
        <v>7.0</v>
      </c>
      <c r="D165" s="1">
        <v>7.0</v>
      </c>
      <c r="E165">
        <f t="shared" si="2"/>
        <v>8</v>
      </c>
      <c r="F165" t="str">
        <f t="shared" ref="F165:L165" si="332">IF((AND($A165 = "+0",$E165 = F$1)), $C165, "")</f>
        <v/>
      </c>
      <c r="G165" t="str">
        <f t="shared" si="332"/>
        <v/>
      </c>
      <c r="H165" t="str">
        <f t="shared" si="332"/>
        <v/>
      </c>
      <c r="I165" t="str">
        <f t="shared" si="332"/>
        <v/>
      </c>
      <c r="J165" t="str">
        <f t="shared" si="332"/>
        <v/>
      </c>
      <c r="K165" t="str">
        <f t="shared" si="332"/>
        <v/>
      </c>
      <c r="L165" t="str">
        <f t="shared" si="332"/>
        <v/>
      </c>
      <c r="M165" t="str">
        <f t="shared" ref="M165:S165" si="333">IF((AND($A165 = "+0",$E165 = M$1)), 2^$D165-$B165, "")</f>
        <v/>
      </c>
      <c r="N165" t="str">
        <f t="shared" si="333"/>
        <v/>
      </c>
      <c r="O165" t="str">
        <f t="shared" si="333"/>
        <v/>
      </c>
      <c r="P165" t="str">
        <f t="shared" si="333"/>
        <v/>
      </c>
      <c r="Q165" t="str">
        <f t="shared" si="333"/>
        <v/>
      </c>
      <c r="R165" t="str">
        <f t="shared" si="333"/>
        <v/>
      </c>
      <c r="S165" t="str">
        <f t="shared" si="333"/>
        <v/>
      </c>
      <c r="T165">
        <f t="shared" si="5"/>
        <v>728</v>
      </c>
      <c r="U165" s="25">
        <f t="shared" si="6"/>
        <v>14.85714286</v>
      </c>
      <c r="V165" s="26">
        <f t="shared" si="7"/>
        <v>0.05769230769</v>
      </c>
      <c r="W165" s="25">
        <f t="shared" si="8"/>
        <v>6.400715583</v>
      </c>
      <c r="X165" s="25">
        <f t="shared" si="9"/>
        <v>6.69785844</v>
      </c>
      <c r="Y165" s="25"/>
      <c r="Z165" s="25"/>
    </row>
    <row r="166">
      <c r="A166" s="1" t="s">
        <v>4</v>
      </c>
      <c r="B166" s="1">
        <v>103.0</v>
      </c>
      <c r="C166" s="1">
        <v>7.0</v>
      </c>
      <c r="D166" s="1">
        <v>7.0</v>
      </c>
      <c r="E166">
        <f t="shared" si="2"/>
        <v>8</v>
      </c>
      <c r="F166" t="str">
        <f t="shared" ref="F166:L166" si="334">IF((AND($A166 = "+0",$E166 = F$1)), $C166, "")</f>
        <v/>
      </c>
      <c r="G166" t="str">
        <f t="shared" si="334"/>
        <v/>
      </c>
      <c r="H166" t="str">
        <f t="shared" si="334"/>
        <v/>
      </c>
      <c r="I166" t="str">
        <f t="shared" si="334"/>
        <v/>
      </c>
      <c r="J166" t="str">
        <f t="shared" si="334"/>
        <v/>
      </c>
      <c r="K166" t="str">
        <f t="shared" si="334"/>
        <v/>
      </c>
      <c r="L166" t="str">
        <f t="shared" si="334"/>
        <v/>
      </c>
      <c r="M166" t="str">
        <f t="shared" ref="M166:S166" si="335">IF((AND($A166 = "+0",$E166 = M$1)), 2^$D166-$B166, "")</f>
        <v/>
      </c>
      <c r="N166" t="str">
        <f t="shared" si="335"/>
        <v/>
      </c>
      <c r="O166" t="str">
        <f t="shared" si="335"/>
        <v/>
      </c>
      <c r="P166" t="str">
        <f t="shared" si="335"/>
        <v/>
      </c>
      <c r="Q166" t="str">
        <f t="shared" si="335"/>
        <v/>
      </c>
      <c r="R166" t="str">
        <f t="shared" si="335"/>
        <v/>
      </c>
      <c r="S166" t="str">
        <f t="shared" si="335"/>
        <v/>
      </c>
      <c r="T166">
        <f t="shared" si="5"/>
        <v>721</v>
      </c>
      <c r="U166" s="25">
        <f t="shared" si="6"/>
        <v>14.71428571</v>
      </c>
      <c r="V166" s="26">
        <f t="shared" si="7"/>
        <v>0.05825242718</v>
      </c>
      <c r="W166" s="25">
        <f t="shared" si="8"/>
        <v>6.39133162</v>
      </c>
      <c r="X166" s="25">
        <f t="shared" si="9"/>
        <v>6.685617334</v>
      </c>
      <c r="Y166" s="25"/>
      <c r="Z166" s="25"/>
    </row>
    <row r="167">
      <c r="A167" s="1" t="s">
        <v>4</v>
      </c>
      <c r="B167" s="1">
        <v>102.0</v>
      </c>
      <c r="C167" s="1">
        <v>7.0</v>
      </c>
      <c r="D167" s="1">
        <v>7.0</v>
      </c>
      <c r="E167">
        <f t="shared" si="2"/>
        <v>8</v>
      </c>
      <c r="F167" t="str">
        <f t="shared" ref="F167:L167" si="336">IF((AND($A167 = "+0",$E167 = F$1)), $C167, "")</f>
        <v/>
      </c>
      <c r="G167" t="str">
        <f t="shared" si="336"/>
        <v/>
      </c>
      <c r="H167" t="str">
        <f t="shared" si="336"/>
        <v/>
      </c>
      <c r="I167" t="str">
        <f t="shared" si="336"/>
        <v/>
      </c>
      <c r="J167" t="str">
        <f t="shared" si="336"/>
        <v/>
      </c>
      <c r="K167" t="str">
        <f t="shared" si="336"/>
        <v/>
      </c>
      <c r="L167" t="str">
        <f t="shared" si="336"/>
        <v/>
      </c>
      <c r="M167" t="str">
        <f t="shared" ref="M167:S167" si="337">IF((AND($A167 = "+0",$E167 = M$1)), 2^$D167-$B167, "")</f>
        <v/>
      </c>
      <c r="N167" t="str">
        <f t="shared" si="337"/>
        <v/>
      </c>
      <c r="O167" t="str">
        <f t="shared" si="337"/>
        <v/>
      </c>
      <c r="P167" t="str">
        <f t="shared" si="337"/>
        <v/>
      </c>
      <c r="Q167" t="str">
        <f t="shared" si="337"/>
        <v/>
      </c>
      <c r="R167" t="str">
        <f t="shared" si="337"/>
        <v/>
      </c>
      <c r="S167" t="str">
        <f t="shared" si="337"/>
        <v/>
      </c>
      <c r="T167">
        <f t="shared" si="5"/>
        <v>714</v>
      </c>
      <c r="U167" s="25">
        <f t="shared" si="6"/>
        <v>14.57142857</v>
      </c>
      <c r="V167" s="26">
        <f t="shared" si="7"/>
        <v>0.05882352941</v>
      </c>
      <c r="W167" s="25">
        <f t="shared" si="8"/>
        <v>6.381856104</v>
      </c>
      <c r="X167" s="25">
        <f t="shared" si="9"/>
        <v>6.673284675</v>
      </c>
      <c r="Y167" s="25"/>
      <c r="Z167" s="25"/>
    </row>
    <row r="168">
      <c r="A168" s="1" t="s">
        <v>4</v>
      </c>
      <c r="B168" s="1">
        <v>101.0</v>
      </c>
      <c r="C168" s="1">
        <v>7.0</v>
      </c>
      <c r="D168" s="1">
        <v>7.0</v>
      </c>
      <c r="E168">
        <f t="shared" si="2"/>
        <v>8</v>
      </c>
      <c r="F168" t="str">
        <f t="shared" ref="F168:L168" si="338">IF((AND($A168 = "+0",$E168 = F$1)), $C168, "")</f>
        <v/>
      </c>
      <c r="G168" t="str">
        <f t="shared" si="338"/>
        <v/>
      </c>
      <c r="H168" t="str">
        <f t="shared" si="338"/>
        <v/>
      </c>
      <c r="I168" t="str">
        <f t="shared" si="338"/>
        <v/>
      </c>
      <c r="J168" t="str">
        <f t="shared" si="338"/>
        <v/>
      </c>
      <c r="K168" t="str">
        <f t="shared" si="338"/>
        <v/>
      </c>
      <c r="L168" t="str">
        <f t="shared" si="338"/>
        <v/>
      </c>
      <c r="M168" t="str">
        <f t="shared" ref="M168:S168" si="339">IF((AND($A168 = "+0",$E168 = M$1)), 2^$D168-$B168, "")</f>
        <v/>
      </c>
      <c r="N168" t="str">
        <f t="shared" si="339"/>
        <v/>
      </c>
      <c r="O168" t="str">
        <f t="shared" si="339"/>
        <v/>
      </c>
      <c r="P168" t="str">
        <f t="shared" si="339"/>
        <v/>
      </c>
      <c r="Q168" t="str">
        <f t="shared" si="339"/>
        <v/>
      </c>
      <c r="R168" t="str">
        <f t="shared" si="339"/>
        <v/>
      </c>
      <c r="S168" t="str">
        <f t="shared" si="339"/>
        <v/>
      </c>
      <c r="T168">
        <f t="shared" si="5"/>
        <v>707</v>
      </c>
      <c r="U168" s="25">
        <f t="shared" si="6"/>
        <v>14.42857143</v>
      </c>
      <c r="V168" s="26">
        <f t="shared" si="7"/>
        <v>0.05940594059</v>
      </c>
      <c r="W168" s="25">
        <f t="shared" si="8"/>
        <v>6.372287232</v>
      </c>
      <c r="X168" s="25">
        <f t="shared" si="9"/>
        <v>6.660858661</v>
      </c>
      <c r="Y168" s="25"/>
      <c r="Z168" s="25"/>
    </row>
    <row r="169">
      <c r="A169" s="1" t="s">
        <v>4</v>
      </c>
      <c r="B169" s="1">
        <v>100.0</v>
      </c>
      <c r="C169" s="1">
        <v>7.0</v>
      </c>
      <c r="D169" s="1">
        <v>7.0</v>
      </c>
      <c r="E169">
        <f t="shared" si="2"/>
        <v>8</v>
      </c>
      <c r="F169" t="str">
        <f t="shared" ref="F169:L169" si="340">IF((AND($A169 = "+0",$E169 = F$1)), $C169, "")</f>
        <v/>
      </c>
      <c r="G169" t="str">
        <f t="shared" si="340"/>
        <v/>
      </c>
      <c r="H169" t="str">
        <f t="shared" si="340"/>
        <v/>
      </c>
      <c r="I169" t="str">
        <f t="shared" si="340"/>
        <v/>
      </c>
      <c r="J169" t="str">
        <f t="shared" si="340"/>
        <v/>
      </c>
      <c r="K169" t="str">
        <f t="shared" si="340"/>
        <v/>
      </c>
      <c r="L169" t="str">
        <f t="shared" si="340"/>
        <v/>
      </c>
      <c r="M169" t="str">
        <f t="shared" ref="M169:S169" si="341">IF((AND($A169 = "+0",$E169 = M$1)), 2^$D169-$B169, "")</f>
        <v/>
      </c>
      <c r="N169" t="str">
        <f t="shared" si="341"/>
        <v/>
      </c>
      <c r="O169" t="str">
        <f t="shared" si="341"/>
        <v/>
      </c>
      <c r="P169" t="str">
        <f t="shared" si="341"/>
        <v/>
      </c>
      <c r="Q169" t="str">
        <f t="shared" si="341"/>
        <v/>
      </c>
      <c r="R169" t="str">
        <f t="shared" si="341"/>
        <v/>
      </c>
      <c r="S169" t="str">
        <f t="shared" si="341"/>
        <v/>
      </c>
      <c r="T169">
        <f t="shared" si="5"/>
        <v>700</v>
      </c>
      <c r="U169" s="25">
        <f t="shared" si="6"/>
        <v>14.28571429</v>
      </c>
      <c r="V169" s="26">
        <f t="shared" si="7"/>
        <v>0.06</v>
      </c>
      <c r="W169" s="25">
        <f t="shared" si="8"/>
        <v>6.362623146</v>
      </c>
      <c r="X169" s="25">
        <f t="shared" si="9"/>
        <v>6.648337431</v>
      </c>
      <c r="Y169" s="25"/>
      <c r="Z169" s="25"/>
    </row>
    <row r="170">
      <c r="A170" s="1" t="s">
        <v>4</v>
      </c>
      <c r="B170" s="1">
        <v>99.0</v>
      </c>
      <c r="C170" s="1">
        <v>7.0</v>
      </c>
      <c r="D170" s="1">
        <v>7.0</v>
      </c>
      <c r="E170">
        <f t="shared" si="2"/>
        <v>8</v>
      </c>
      <c r="F170" t="str">
        <f t="shared" ref="F170:L170" si="342">IF((AND($A170 = "+0",$E170 = F$1)), $C170, "")</f>
        <v/>
      </c>
      <c r="G170" t="str">
        <f t="shared" si="342"/>
        <v/>
      </c>
      <c r="H170" t="str">
        <f t="shared" si="342"/>
        <v/>
      </c>
      <c r="I170" t="str">
        <f t="shared" si="342"/>
        <v/>
      </c>
      <c r="J170" t="str">
        <f t="shared" si="342"/>
        <v/>
      </c>
      <c r="K170" t="str">
        <f t="shared" si="342"/>
        <v/>
      </c>
      <c r="L170" t="str">
        <f t="shared" si="342"/>
        <v/>
      </c>
      <c r="M170" t="str">
        <f t="shared" ref="M170:S170" si="343">IF((AND($A170 = "+0",$E170 = M$1)), 2^$D170-$B170, "")</f>
        <v/>
      </c>
      <c r="N170" t="str">
        <f t="shared" si="343"/>
        <v/>
      </c>
      <c r="O170" t="str">
        <f t="shared" si="343"/>
        <v/>
      </c>
      <c r="P170" t="str">
        <f t="shared" si="343"/>
        <v/>
      </c>
      <c r="Q170" t="str">
        <f t="shared" si="343"/>
        <v/>
      </c>
      <c r="R170" t="str">
        <f t="shared" si="343"/>
        <v/>
      </c>
      <c r="S170" t="str">
        <f t="shared" si="343"/>
        <v/>
      </c>
      <c r="T170">
        <f t="shared" si="5"/>
        <v>693</v>
      </c>
      <c r="U170" s="25">
        <f t="shared" si="6"/>
        <v>14.14285714</v>
      </c>
      <c r="V170" s="26">
        <f t="shared" si="7"/>
        <v>0.06060606061</v>
      </c>
      <c r="W170" s="25">
        <f t="shared" si="8"/>
        <v>6.352861931</v>
      </c>
      <c r="X170" s="25">
        <f t="shared" si="9"/>
        <v>6.635719074</v>
      </c>
      <c r="Y170" s="25"/>
      <c r="Z170" s="25"/>
    </row>
    <row r="171">
      <c r="A171" s="1" t="s">
        <v>4</v>
      </c>
      <c r="B171" s="1">
        <v>98.0</v>
      </c>
      <c r="C171" s="1">
        <v>7.0</v>
      </c>
      <c r="D171" s="1">
        <v>7.0</v>
      </c>
      <c r="E171">
        <f t="shared" si="2"/>
        <v>8</v>
      </c>
      <c r="F171" t="str">
        <f t="shared" ref="F171:L171" si="344">IF((AND($A171 = "+0",$E171 = F$1)), $C171, "")</f>
        <v/>
      </c>
      <c r="G171" t="str">
        <f t="shared" si="344"/>
        <v/>
      </c>
      <c r="H171" t="str">
        <f t="shared" si="344"/>
        <v/>
      </c>
      <c r="I171" t="str">
        <f t="shared" si="344"/>
        <v/>
      </c>
      <c r="J171" t="str">
        <f t="shared" si="344"/>
        <v/>
      </c>
      <c r="K171" t="str">
        <f t="shared" si="344"/>
        <v/>
      </c>
      <c r="L171" t="str">
        <f t="shared" si="344"/>
        <v/>
      </c>
      <c r="M171" t="str">
        <f t="shared" ref="M171:S171" si="345">IF((AND($A171 = "+0",$E171 = M$1)), 2^$D171-$B171, "")</f>
        <v/>
      </c>
      <c r="N171" t="str">
        <f t="shared" si="345"/>
        <v/>
      </c>
      <c r="O171" t="str">
        <f t="shared" si="345"/>
        <v/>
      </c>
      <c r="P171" t="str">
        <f t="shared" si="345"/>
        <v/>
      </c>
      <c r="Q171" t="str">
        <f t="shared" si="345"/>
        <v/>
      </c>
      <c r="R171" t="str">
        <f t="shared" si="345"/>
        <v/>
      </c>
      <c r="S171" t="str">
        <f t="shared" si="345"/>
        <v/>
      </c>
      <c r="T171">
        <f t="shared" si="5"/>
        <v>686</v>
      </c>
      <c r="U171" s="25">
        <f t="shared" si="6"/>
        <v>14</v>
      </c>
      <c r="V171" s="26">
        <f t="shared" si="7"/>
        <v>0.0612244898</v>
      </c>
      <c r="W171" s="25">
        <f t="shared" si="8"/>
        <v>6.343001617</v>
      </c>
      <c r="X171" s="25">
        <f t="shared" si="9"/>
        <v>6.623001617</v>
      </c>
      <c r="Y171" s="25"/>
      <c r="Z171" s="25"/>
    </row>
    <row r="172">
      <c r="A172" s="1" t="s">
        <v>5</v>
      </c>
      <c r="B172" s="1">
        <v>97.0</v>
      </c>
      <c r="C172" s="1">
        <v>7.0</v>
      </c>
      <c r="D172" s="1">
        <v>7.0</v>
      </c>
      <c r="E172">
        <f t="shared" si="2"/>
        <v>7</v>
      </c>
      <c r="F172" t="str">
        <f t="shared" ref="F172:L172" si="346">IF((AND($A172 = "+0",$E172 = F$1)), $C172, "")</f>
        <v/>
      </c>
      <c r="G172" t="str">
        <f t="shared" si="346"/>
        <v/>
      </c>
      <c r="H172" t="str">
        <f t="shared" si="346"/>
        <v/>
      </c>
      <c r="I172" t="str">
        <f t="shared" si="346"/>
        <v/>
      </c>
      <c r="J172" t="str">
        <f t="shared" si="346"/>
        <v/>
      </c>
      <c r="K172" t="str">
        <f t="shared" si="346"/>
        <v/>
      </c>
      <c r="L172">
        <f t="shared" si="346"/>
        <v>7</v>
      </c>
      <c r="M172" t="str">
        <f t="shared" ref="M172:S172" si="347">IF((AND($A172 = "+0",$E172 = M$1)), 2^$D172-$B172, "")</f>
        <v/>
      </c>
      <c r="N172" t="str">
        <f t="shared" si="347"/>
        <v/>
      </c>
      <c r="O172" t="str">
        <f t="shared" si="347"/>
        <v/>
      </c>
      <c r="P172" t="str">
        <f t="shared" si="347"/>
        <v/>
      </c>
      <c r="Q172" t="str">
        <f t="shared" si="347"/>
        <v/>
      </c>
      <c r="R172" t="str">
        <f t="shared" si="347"/>
        <v/>
      </c>
      <c r="S172">
        <f t="shared" si="347"/>
        <v>31</v>
      </c>
      <c r="T172">
        <f t="shared" si="5"/>
        <v>679</v>
      </c>
      <c r="U172" s="25">
        <f t="shared" si="6"/>
        <v>13.85714286</v>
      </c>
      <c r="V172" s="26">
        <f t="shared" si="7"/>
        <v>0.0618556701</v>
      </c>
      <c r="W172" s="25">
        <f t="shared" si="8"/>
        <v>6.333040169</v>
      </c>
      <c r="X172" s="25">
        <f t="shared" si="9"/>
        <v>6.610183026</v>
      </c>
      <c r="Y172" s="25"/>
      <c r="Z172" s="25"/>
    </row>
    <row r="173">
      <c r="A173" s="1" t="s">
        <v>4</v>
      </c>
      <c r="B173" s="1">
        <v>97.0</v>
      </c>
      <c r="C173" s="1">
        <v>8.0</v>
      </c>
      <c r="D173" s="1">
        <v>7.0</v>
      </c>
      <c r="E173">
        <f t="shared" si="2"/>
        <v>8</v>
      </c>
      <c r="F173" t="str">
        <f t="shared" ref="F173:L173" si="348">IF((AND($A173 = "+0",$E173 = F$1)), $C173, "")</f>
        <v/>
      </c>
      <c r="G173" t="str">
        <f t="shared" si="348"/>
        <v/>
      </c>
      <c r="H173" t="str">
        <f t="shared" si="348"/>
        <v/>
      </c>
      <c r="I173" t="str">
        <f t="shared" si="348"/>
        <v/>
      </c>
      <c r="J173" t="str">
        <f t="shared" si="348"/>
        <v/>
      </c>
      <c r="K173" t="str">
        <f t="shared" si="348"/>
        <v/>
      </c>
      <c r="L173" t="str">
        <f t="shared" si="348"/>
        <v/>
      </c>
      <c r="M173" t="str">
        <f t="shared" ref="M173:S173" si="349">IF((AND($A173 = "+0",$E173 = M$1)), 2^$D173-$B173, "")</f>
        <v/>
      </c>
      <c r="N173" t="str">
        <f t="shared" si="349"/>
        <v/>
      </c>
      <c r="O173" t="str">
        <f t="shared" si="349"/>
        <v/>
      </c>
      <c r="P173" t="str">
        <f t="shared" si="349"/>
        <v/>
      </c>
      <c r="Q173" t="str">
        <f t="shared" si="349"/>
        <v/>
      </c>
      <c r="R173" t="str">
        <f t="shared" si="349"/>
        <v/>
      </c>
      <c r="S173" t="str">
        <f t="shared" si="349"/>
        <v/>
      </c>
      <c r="T173">
        <f t="shared" si="5"/>
        <v>776</v>
      </c>
      <c r="U173" s="25">
        <f t="shared" si="6"/>
        <v>12.125</v>
      </c>
      <c r="V173" s="26">
        <f t="shared" si="7"/>
        <v>0.07216494845</v>
      </c>
      <c r="W173" s="25">
        <f t="shared" si="8"/>
        <v>6.462730218</v>
      </c>
      <c r="X173" s="25">
        <f t="shared" si="9"/>
        <v>6.705230218</v>
      </c>
      <c r="Y173" s="25"/>
      <c r="Z173" s="25"/>
    </row>
    <row r="174">
      <c r="A174" s="1" t="s">
        <v>4</v>
      </c>
      <c r="B174" s="1">
        <v>96.0</v>
      </c>
      <c r="C174" s="1">
        <v>8.0</v>
      </c>
      <c r="D174" s="1">
        <v>7.0</v>
      </c>
      <c r="E174">
        <f t="shared" si="2"/>
        <v>8</v>
      </c>
      <c r="F174" t="str">
        <f t="shared" ref="F174:L174" si="350">IF((AND($A174 = "+0",$E174 = F$1)), $C174, "")</f>
        <v/>
      </c>
      <c r="G174" t="str">
        <f t="shared" si="350"/>
        <v/>
      </c>
      <c r="H174" t="str">
        <f t="shared" si="350"/>
        <v/>
      </c>
      <c r="I174" t="str">
        <f t="shared" si="350"/>
        <v/>
      </c>
      <c r="J174" t="str">
        <f t="shared" si="350"/>
        <v/>
      </c>
      <c r="K174" t="str">
        <f t="shared" si="350"/>
        <v/>
      </c>
      <c r="L174" t="str">
        <f t="shared" si="350"/>
        <v/>
      </c>
      <c r="M174" t="str">
        <f t="shared" ref="M174:S174" si="351">IF((AND($A174 = "+0",$E174 = M$1)), 2^$D174-$B174, "")</f>
        <v/>
      </c>
      <c r="N174" t="str">
        <f t="shared" si="351"/>
        <v/>
      </c>
      <c r="O174" t="str">
        <f t="shared" si="351"/>
        <v/>
      </c>
      <c r="P174" t="str">
        <f t="shared" si="351"/>
        <v/>
      </c>
      <c r="Q174" t="str">
        <f t="shared" si="351"/>
        <v/>
      </c>
      <c r="R174" t="str">
        <f t="shared" si="351"/>
        <v/>
      </c>
      <c r="S174" t="str">
        <f t="shared" si="351"/>
        <v/>
      </c>
      <c r="T174">
        <f t="shared" si="5"/>
        <v>768</v>
      </c>
      <c r="U174" s="25">
        <f t="shared" si="6"/>
        <v>12</v>
      </c>
      <c r="V174" s="26">
        <f t="shared" si="7"/>
        <v>0.07291666667</v>
      </c>
      <c r="W174" s="25">
        <f t="shared" si="8"/>
        <v>6.452665541</v>
      </c>
      <c r="X174" s="25">
        <f t="shared" si="9"/>
        <v>6.692665541</v>
      </c>
      <c r="Y174" s="25"/>
      <c r="Z174" s="25"/>
    </row>
    <row r="175">
      <c r="A175" s="1" t="s">
        <v>4</v>
      </c>
      <c r="B175" s="1">
        <v>95.0</v>
      </c>
      <c r="C175" s="1">
        <v>8.0</v>
      </c>
      <c r="D175" s="1">
        <v>7.0</v>
      </c>
      <c r="E175">
        <f t="shared" si="2"/>
        <v>8</v>
      </c>
      <c r="F175" t="str">
        <f t="shared" ref="F175:L175" si="352">IF((AND($A175 = "+0",$E175 = F$1)), $C175, "")</f>
        <v/>
      </c>
      <c r="G175" t="str">
        <f t="shared" si="352"/>
        <v/>
      </c>
      <c r="H175" t="str">
        <f t="shared" si="352"/>
        <v/>
      </c>
      <c r="I175" t="str">
        <f t="shared" si="352"/>
        <v/>
      </c>
      <c r="J175" t="str">
        <f t="shared" si="352"/>
        <v/>
      </c>
      <c r="K175" t="str">
        <f t="shared" si="352"/>
        <v/>
      </c>
      <c r="L175" t="str">
        <f t="shared" si="352"/>
        <v/>
      </c>
      <c r="M175" t="str">
        <f t="shared" ref="M175:S175" si="353">IF((AND($A175 = "+0",$E175 = M$1)), 2^$D175-$B175, "")</f>
        <v/>
      </c>
      <c r="N175" t="str">
        <f t="shared" si="353"/>
        <v/>
      </c>
      <c r="O175" t="str">
        <f t="shared" si="353"/>
        <v/>
      </c>
      <c r="P175" t="str">
        <f t="shared" si="353"/>
        <v/>
      </c>
      <c r="Q175" t="str">
        <f t="shared" si="353"/>
        <v/>
      </c>
      <c r="R175" t="str">
        <f t="shared" si="353"/>
        <v/>
      </c>
      <c r="S175" t="str">
        <f t="shared" si="353"/>
        <v/>
      </c>
      <c r="T175">
        <f t="shared" si="5"/>
        <v>760</v>
      </c>
      <c r="U175" s="25">
        <f t="shared" si="6"/>
        <v>11.875</v>
      </c>
      <c r="V175" s="26">
        <f t="shared" si="7"/>
        <v>0.07368421053</v>
      </c>
      <c r="W175" s="25">
        <f t="shared" si="8"/>
        <v>6.442495472</v>
      </c>
      <c r="X175" s="25">
        <f t="shared" si="9"/>
        <v>6.679995472</v>
      </c>
      <c r="Y175" s="25"/>
      <c r="Z175" s="25"/>
    </row>
    <row r="176">
      <c r="A176" s="1" t="s">
        <v>4</v>
      </c>
      <c r="B176" s="1">
        <v>94.0</v>
      </c>
      <c r="C176" s="1">
        <v>8.0</v>
      </c>
      <c r="D176" s="1">
        <v>7.0</v>
      </c>
      <c r="E176">
        <f t="shared" si="2"/>
        <v>8</v>
      </c>
      <c r="F176" t="str">
        <f t="shared" ref="F176:L176" si="354">IF((AND($A176 = "+0",$E176 = F$1)), $C176, "")</f>
        <v/>
      </c>
      <c r="G176" t="str">
        <f t="shared" si="354"/>
        <v/>
      </c>
      <c r="H176" t="str">
        <f t="shared" si="354"/>
        <v/>
      </c>
      <c r="I176" t="str">
        <f t="shared" si="354"/>
        <v/>
      </c>
      <c r="J176" t="str">
        <f t="shared" si="354"/>
        <v/>
      </c>
      <c r="K176" t="str">
        <f t="shared" si="354"/>
        <v/>
      </c>
      <c r="L176" t="str">
        <f t="shared" si="354"/>
        <v/>
      </c>
      <c r="M176" t="str">
        <f t="shared" ref="M176:S176" si="355">IF((AND($A176 = "+0",$E176 = M$1)), 2^$D176-$B176, "")</f>
        <v/>
      </c>
      <c r="N176" t="str">
        <f t="shared" si="355"/>
        <v/>
      </c>
      <c r="O176" t="str">
        <f t="shared" si="355"/>
        <v/>
      </c>
      <c r="P176" t="str">
        <f t="shared" si="355"/>
        <v/>
      </c>
      <c r="Q176" t="str">
        <f t="shared" si="355"/>
        <v/>
      </c>
      <c r="R176" t="str">
        <f t="shared" si="355"/>
        <v/>
      </c>
      <c r="S176" t="str">
        <f t="shared" si="355"/>
        <v/>
      </c>
      <c r="T176">
        <f t="shared" si="5"/>
        <v>752</v>
      </c>
      <c r="U176" s="25">
        <f t="shared" si="6"/>
        <v>11.75</v>
      </c>
      <c r="V176" s="26">
        <f t="shared" si="7"/>
        <v>0.07446808511</v>
      </c>
      <c r="W176" s="25">
        <f t="shared" si="8"/>
        <v>6.432217782</v>
      </c>
      <c r="X176" s="25">
        <f t="shared" si="9"/>
        <v>6.667217782</v>
      </c>
      <c r="Y176" s="25"/>
      <c r="Z176" s="25"/>
    </row>
    <row r="177">
      <c r="A177" s="1" t="s">
        <v>4</v>
      </c>
      <c r="B177" s="1">
        <v>93.0</v>
      </c>
      <c r="C177" s="1">
        <v>8.0</v>
      </c>
      <c r="D177" s="1">
        <v>7.0</v>
      </c>
      <c r="E177">
        <f t="shared" si="2"/>
        <v>8</v>
      </c>
      <c r="F177" t="str">
        <f t="shared" ref="F177:L177" si="356">IF((AND($A177 = "+0",$E177 = F$1)), $C177, "")</f>
        <v/>
      </c>
      <c r="G177" t="str">
        <f t="shared" si="356"/>
        <v/>
      </c>
      <c r="H177" t="str">
        <f t="shared" si="356"/>
        <v/>
      </c>
      <c r="I177" t="str">
        <f t="shared" si="356"/>
        <v/>
      </c>
      <c r="J177" t="str">
        <f t="shared" si="356"/>
        <v/>
      </c>
      <c r="K177" t="str">
        <f t="shared" si="356"/>
        <v/>
      </c>
      <c r="L177" t="str">
        <f t="shared" si="356"/>
        <v/>
      </c>
      <c r="M177" t="str">
        <f t="shared" ref="M177:S177" si="357">IF((AND($A177 = "+0",$E177 = M$1)), 2^$D177-$B177, "")</f>
        <v/>
      </c>
      <c r="N177" t="str">
        <f t="shared" si="357"/>
        <v/>
      </c>
      <c r="O177" t="str">
        <f t="shared" si="357"/>
        <v/>
      </c>
      <c r="P177" t="str">
        <f t="shared" si="357"/>
        <v/>
      </c>
      <c r="Q177" t="str">
        <f t="shared" si="357"/>
        <v/>
      </c>
      <c r="R177" t="str">
        <f t="shared" si="357"/>
        <v/>
      </c>
      <c r="S177" t="str">
        <f t="shared" si="357"/>
        <v/>
      </c>
      <c r="T177">
        <f t="shared" si="5"/>
        <v>744</v>
      </c>
      <c r="U177" s="25">
        <f t="shared" si="6"/>
        <v>11.625</v>
      </c>
      <c r="V177" s="26">
        <f t="shared" si="7"/>
        <v>0.0752688172</v>
      </c>
      <c r="W177" s="25">
        <f t="shared" si="8"/>
        <v>6.421830168</v>
      </c>
      <c r="X177" s="25">
        <f t="shared" si="9"/>
        <v>6.654330168</v>
      </c>
      <c r="Y177" s="25"/>
      <c r="Z177" s="25"/>
    </row>
    <row r="178">
      <c r="A178" s="1" t="s">
        <v>4</v>
      </c>
      <c r="B178" s="1">
        <v>92.0</v>
      </c>
      <c r="C178" s="1">
        <v>8.0</v>
      </c>
      <c r="D178" s="1">
        <v>7.0</v>
      </c>
      <c r="E178">
        <f t="shared" si="2"/>
        <v>8</v>
      </c>
      <c r="F178" t="str">
        <f t="shared" ref="F178:L178" si="358">IF((AND($A178 = "+0",$E178 = F$1)), $C178, "")</f>
        <v/>
      </c>
      <c r="G178" t="str">
        <f t="shared" si="358"/>
        <v/>
      </c>
      <c r="H178" t="str">
        <f t="shared" si="358"/>
        <v/>
      </c>
      <c r="I178" t="str">
        <f t="shared" si="358"/>
        <v/>
      </c>
      <c r="J178" t="str">
        <f t="shared" si="358"/>
        <v/>
      </c>
      <c r="K178" t="str">
        <f t="shared" si="358"/>
        <v/>
      </c>
      <c r="L178" t="str">
        <f t="shared" si="358"/>
        <v/>
      </c>
      <c r="M178" t="str">
        <f t="shared" ref="M178:S178" si="359">IF((AND($A178 = "+0",$E178 = M$1)), 2^$D178-$B178, "")</f>
        <v/>
      </c>
      <c r="N178" t="str">
        <f t="shared" si="359"/>
        <v/>
      </c>
      <c r="O178" t="str">
        <f t="shared" si="359"/>
        <v/>
      </c>
      <c r="P178" t="str">
        <f t="shared" si="359"/>
        <v/>
      </c>
      <c r="Q178" t="str">
        <f t="shared" si="359"/>
        <v/>
      </c>
      <c r="R178" t="str">
        <f t="shared" si="359"/>
        <v/>
      </c>
      <c r="S178" t="str">
        <f t="shared" si="359"/>
        <v/>
      </c>
      <c r="T178">
        <f t="shared" si="5"/>
        <v>736</v>
      </c>
      <c r="U178" s="25">
        <f t="shared" si="6"/>
        <v>11.5</v>
      </c>
      <c r="V178" s="26">
        <f t="shared" si="7"/>
        <v>0.07608695652</v>
      </c>
      <c r="W178" s="25">
        <f t="shared" si="8"/>
        <v>6.411330253</v>
      </c>
      <c r="X178" s="25">
        <f t="shared" si="9"/>
        <v>6.641330253</v>
      </c>
      <c r="Y178" s="25"/>
      <c r="Z178" s="25"/>
    </row>
    <row r="179">
      <c r="A179" s="1" t="s">
        <v>5</v>
      </c>
      <c r="B179" s="1">
        <v>91.0</v>
      </c>
      <c r="C179" s="1">
        <v>8.0</v>
      </c>
      <c r="D179" s="1">
        <v>7.0</v>
      </c>
      <c r="E179">
        <f t="shared" si="2"/>
        <v>7</v>
      </c>
      <c r="F179" t="str">
        <f t="shared" ref="F179:L179" si="360">IF((AND($A179 = "+0",$E179 = F$1)), $C179, "")</f>
        <v/>
      </c>
      <c r="G179" t="str">
        <f t="shared" si="360"/>
        <v/>
      </c>
      <c r="H179" t="str">
        <f t="shared" si="360"/>
        <v/>
      </c>
      <c r="I179" t="str">
        <f t="shared" si="360"/>
        <v/>
      </c>
      <c r="J179" t="str">
        <f t="shared" si="360"/>
        <v/>
      </c>
      <c r="K179" t="str">
        <f t="shared" si="360"/>
        <v/>
      </c>
      <c r="L179">
        <f t="shared" si="360"/>
        <v>8</v>
      </c>
      <c r="M179" t="str">
        <f t="shared" ref="M179:S179" si="361">IF((AND($A179 = "+0",$E179 = M$1)), 2^$D179-$B179, "")</f>
        <v/>
      </c>
      <c r="N179" t="str">
        <f t="shared" si="361"/>
        <v/>
      </c>
      <c r="O179" t="str">
        <f t="shared" si="361"/>
        <v/>
      </c>
      <c r="P179" t="str">
        <f t="shared" si="361"/>
        <v/>
      </c>
      <c r="Q179" t="str">
        <f t="shared" si="361"/>
        <v/>
      </c>
      <c r="R179" t="str">
        <f t="shared" si="361"/>
        <v/>
      </c>
      <c r="S179">
        <f t="shared" si="361"/>
        <v>37</v>
      </c>
      <c r="T179">
        <f t="shared" si="5"/>
        <v>728</v>
      </c>
      <c r="U179" s="25">
        <f t="shared" si="6"/>
        <v>11.375</v>
      </c>
      <c r="V179" s="26">
        <f t="shared" si="7"/>
        <v>0.07692307692</v>
      </c>
      <c r="W179" s="25">
        <f t="shared" si="8"/>
        <v>6.400715583</v>
      </c>
      <c r="X179" s="25">
        <f t="shared" si="9"/>
        <v>6.628215583</v>
      </c>
      <c r="Y179" s="25"/>
      <c r="Z179" s="25"/>
    </row>
    <row r="180">
      <c r="A180" s="1" t="s">
        <v>4</v>
      </c>
      <c r="B180" s="1">
        <v>91.0</v>
      </c>
      <c r="C180" s="1">
        <v>9.0</v>
      </c>
      <c r="D180" s="1">
        <v>7.0</v>
      </c>
      <c r="E180">
        <f t="shared" si="2"/>
        <v>8</v>
      </c>
      <c r="F180" t="str">
        <f t="shared" ref="F180:L180" si="362">IF((AND($A180 = "+0",$E180 = F$1)), $C180, "")</f>
        <v/>
      </c>
      <c r="G180" t="str">
        <f t="shared" si="362"/>
        <v/>
      </c>
      <c r="H180" t="str">
        <f t="shared" si="362"/>
        <v/>
      </c>
      <c r="I180" t="str">
        <f t="shared" si="362"/>
        <v/>
      </c>
      <c r="J180" t="str">
        <f t="shared" si="362"/>
        <v/>
      </c>
      <c r="K180" t="str">
        <f t="shared" si="362"/>
        <v/>
      </c>
      <c r="L180" t="str">
        <f t="shared" si="362"/>
        <v/>
      </c>
      <c r="M180" t="str">
        <f t="shared" ref="M180:S180" si="363">IF((AND($A180 = "+0",$E180 = M$1)), 2^$D180-$B180, "")</f>
        <v/>
      </c>
      <c r="N180" t="str">
        <f t="shared" si="363"/>
        <v/>
      </c>
      <c r="O180" t="str">
        <f t="shared" si="363"/>
        <v/>
      </c>
      <c r="P180" t="str">
        <f t="shared" si="363"/>
        <v/>
      </c>
      <c r="Q180" t="str">
        <f t="shared" si="363"/>
        <v/>
      </c>
      <c r="R180" t="str">
        <f t="shared" si="363"/>
        <v/>
      </c>
      <c r="S180" t="str">
        <f t="shared" si="363"/>
        <v/>
      </c>
      <c r="T180">
        <f t="shared" si="5"/>
        <v>819</v>
      </c>
      <c r="U180" s="25">
        <f t="shared" si="6"/>
        <v>10.11111111</v>
      </c>
      <c r="V180" s="26">
        <f t="shared" si="7"/>
        <v>0.08791208791</v>
      </c>
      <c r="W180" s="25">
        <f t="shared" si="8"/>
        <v>6.515110313</v>
      </c>
      <c r="X180" s="25">
        <f t="shared" si="9"/>
        <v>6.717332536</v>
      </c>
      <c r="Y180" s="25"/>
      <c r="Z180" s="25"/>
    </row>
    <row r="181">
      <c r="A181" s="1" t="s">
        <v>4</v>
      </c>
      <c r="B181" s="1">
        <v>90.0</v>
      </c>
      <c r="C181" s="1">
        <v>9.0</v>
      </c>
      <c r="D181" s="1">
        <v>7.0</v>
      </c>
      <c r="E181">
        <f t="shared" si="2"/>
        <v>8</v>
      </c>
      <c r="F181" t="str">
        <f t="shared" ref="F181:L181" si="364">IF((AND($A181 = "+0",$E181 = F$1)), $C181, "")</f>
        <v/>
      </c>
      <c r="G181" t="str">
        <f t="shared" si="364"/>
        <v/>
      </c>
      <c r="H181" t="str">
        <f t="shared" si="364"/>
        <v/>
      </c>
      <c r="I181" t="str">
        <f t="shared" si="364"/>
        <v/>
      </c>
      <c r="J181" t="str">
        <f t="shared" si="364"/>
        <v/>
      </c>
      <c r="K181" t="str">
        <f t="shared" si="364"/>
        <v/>
      </c>
      <c r="L181" t="str">
        <f t="shared" si="364"/>
        <v/>
      </c>
      <c r="M181" t="str">
        <f t="shared" ref="M181:S181" si="365">IF((AND($A181 = "+0",$E181 = M$1)), 2^$D181-$B181, "")</f>
        <v/>
      </c>
      <c r="N181" t="str">
        <f t="shared" si="365"/>
        <v/>
      </c>
      <c r="O181" t="str">
        <f t="shared" si="365"/>
        <v/>
      </c>
      <c r="P181" t="str">
        <f t="shared" si="365"/>
        <v/>
      </c>
      <c r="Q181" t="str">
        <f t="shared" si="365"/>
        <v/>
      </c>
      <c r="R181" t="str">
        <f t="shared" si="365"/>
        <v/>
      </c>
      <c r="S181" t="str">
        <f t="shared" si="365"/>
        <v/>
      </c>
      <c r="T181">
        <f t="shared" si="5"/>
        <v>810</v>
      </c>
      <c r="U181" s="25">
        <f t="shared" si="6"/>
        <v>10</v>
      </c>
      <c r="V181" s="26">
        <f t="shared" si="7"/>
        <v>0.08888888889</v>
      </c>
      <c r="W181" s="25">
        <f t="shared" si="8"/>
        <v>6.504378352</v>
      </c>
      <c r="X181" s="25">
        <f t="shared" si="9"/>
        <v>6.704378352</v>
      </c>
      <c r="Y181" s="25"/>
      <c r="Z181" s="25"/>
    </row>
    <row r="182">
      <c r="A182" s="1" t="s">
        <v>4</v>
      </c>
      <c r="B182" s="1">
        <v>89.0</v>
      </c>
      <c r="C182" s="1">
        <v>9.0</v>
      </c>
      <c r="D182" s="1">
        <v>7.0</v>
      </c>
      <c r="E182">
        <f t="shared" si="2"/>
        <v>8</v>
      </c>
      <c r="F182" t="str">
        <f t="shared" ref="F182:L182" si="366">IF((AND($A182 = "+0",$E182 = F$1)), $C182, "")</f>
        <v/>
      </c>
      <c r="G182" t="str">
        <f t="shared" si="366"/>
        <v/>
      </c>
      <c r="H182" t="str">
        <f t="shared" si="366"/>
        <v/>
      </c>
      <c r="I182" t="str">
        <f t="shared" si="366"/>
        <v/>
      </c>
      <c r="J182" t="str">
        <f t="shared" si="366"/>
        <v/>
      </c>
      <c r="K182" t="str">
        <f t="shared" si="366"/>
        <v/>
      </c>
      <c r="L182" t="str">
        <f t="shared" si="366"/>
        <v/>
      </c>
      <c r="M182" t="str">
        <f t="shared" ref="M182:S182" si="367">IF((AND($A182 = "+0",$E182 = M$1)), 2^$D182-$B182, "")</f>
        <v/>
      </c>
      <c r="N182" t="str">
        <f t="shared" si="367"/>
        <v/>
      </c>
      <c r="O182" t="str">
        <f t="shared" si="367"/>
        <v/>
      </c>
      <c r="P182" t="str">
        <f t="shared" si="367"/>
        <v/>
      </c>
      <c r="Q182" t="str">
        <f t="shared" si="367"/>
        <v/>
      </c>
      <c r="R182" t="str">
        <f t="shared" si="367"/>
        <v/>
      </c>
      <c r="S182" t="str">
        <f t="shared" si="367"/>
        <v/>
      </c>
      <c r="T182">
        <f t="shared" si="5"/>
        <v>801</v>
      </c>
      <c r="U182" s="25">
        <f t="shared" si="6"/>
        <v>9.888888889</v>
      </c>
      <c r="V182" s="26">
        <f t="shared" si="7"/>
        <v>0.08988764045</v>
      </c>
      <c r="W182" s="25">
        <f t="shared" si="8"/>
        <v>6.493526477</v>
      </c>
      <c r="X182" s="25">
        <f t="shared" si="9"/>
        <v>6.691304255</v>
      </c>
      <c r="Y182" s="25"/>
      <c r="Z182" s="25"/>
    </row>
    <row r="183">
      <c r="A183" s="1" t="s">
        <v>4</v>
      </c>
      <c r="B183" s="1">
        <v>88.0</v>
      </c>
      <c r="C183" s="1">
        <v>9.0</v>
      </c>
      <c r="D183" s="1">
        <v>7.0</v>
      </c>
      <c r="E183">
        <f t="shared" si="2"/>
        <v>8</v>
      </c>
      <c r="F183" t="str">
        <f t="shared" ref="F183:L183" si="368">IF((AND($A183 = "+0",$E183 = F$1)), $C183, "")</f>
        <v/>
      </c>
      <c r="G183" t="str">
        <f t="shared" si="368"/>
        <v/>
      </c>
      <c r="H183" t="str">
        <f t="shared" si="368"/>
        <v/>
      </c>
      <c r="I183" t="str">
        <f t="shared" si="368"/>
        <v/>
      </c>
      <c r="J183" t="str">
        <f t="shared" si="368"/>
        <v/>
      </c>
      <c r="K183" t="str">
        <f t="shared" si="368"/>
        <v/>
      </c>
      <c r="L183" t="str">
        <f t="shared" si="368"/>
        <v/>
      </c>
      <c r="M183" t="str">
        <f t="shared" ref="M183:S183" si="369">IF((AND($A183 = "+0",$E183 = M$1)), 2^$D183-$B183, "")</f>
        <v/>
      </c>
      <c r="N183" t="str">
        <f t="shared" si="369"/>
        <v/>
      </c>
      <c r="O183" t="str">
        <f t="shared" si="369"/>
        <v/>
      </c>
      <c r="P183" t="str">
        <f t="shared" si="369"/>
        <v/>
      </c>
      <c r="Q183" t="str">
        <f t="shared" si="369"/>
        <v/>
      </c>
      <c r="R183" t="str">
        <f t="shared" si="369"/>
        <v/>
      </c>
      <c r="S183" t="str">
        <f t="shared" si="369"/>
        <v/>
      </c>
      <c r="T183">
        <f t="shared" si="5"/>
        <v>792</v>
      </c>
      <c r="U183" s="25">
        <f t="shared" si="6"/>
        <v>9.777777778</v>
      </c>
      <c r="V183" s="26">
        <f t="shared" si="7"/>
        <v>0.09090909091</v>
      </c>
      <c r="W183" s="25">
        <f t="shared" si="8"/>
        <v>6.48255198</v>
      </c>
      <c r="X183" s="25">
        <f t="shared" si="9"/>
        <v>6.678107536</v>
      </c>
      <c r="Y183" s="25"/>
      <c r="Z183" s="25"/>
    </row>
    <row r="184">
      <c r="A184" s="1" t="s">
        <v>5</v>
      </c>
      <c r="B184" s="1">
        <v>87.0</v>
      </c>
      <c r="C184" s="1">
        <v>9.0</v>
      </c>
      <c r="D184" s="1">
        <v>7.0</v>
      </c>
      <c r="E184">
        <f t="shared" si="2"/>
        <v>7</v>
      </c>
      <c r="F184" t="str">
        <f t="shared" ref="F184:L184" si="370">IF((AND($A184 = "+0",$E184 = F$1)), $C184, "")</f>
        <v/>
      </c>
      <c r="G184" t="str">
        <f t="shared" si="370"/>
        <v/>
      </c>
      <c r="H184" t="str">
        <f t="shared" si="370"/>
        <v/>
      </c>
      <c r="I184" t="str">
        <f t="shared" si="370"/>
        <v/>
      </c>
      <c r="J184" t="str">
        <f t="shared" si="370"/>
        <v/>
      </c>
      <c r="K184" t="str">
        <f t="shared" si="370"/>
        <v/>
      </c>
      <c r="L184">
        <f t="shared" si="370"/>
        <v>9</v>
      </c>
      <c r="M184" t="str">
        <f t="shared" ref="M184:S184" si="371">IF((AND($A184 = "+0",$E184 = M$1)), 2^$D184-$B184, "")</f>
        <v/>
      </c>
      <c r="N184" t="str">
        <f t="shared" si="371"/>
        <v/>
      </c>
      <c r="O184" t="str">
        <f t="shared" si="371"/>
        <v/>
      </c>
      <c r="P184" t="str">
        <f t="shared" si="371"/>
        <v/>
      </c>
      <c r="Q184" t="str">
        <f t="shared" si="371"/>
        <v/>
      </c>
      <c r="R184" t="str">
        <f t="shared" si="371"/>
        <v/>
      </c>
      <c r="S184">
        <f t="shared" si="371"/>
        <v>41</v>
      </c>
      <c r="T184">
        <f t="shared" si="5"/>
        <v>783</v>
      </c>
      <c r="U184" s="25">
        <f t="shared" si="6"/>
        <v>9.666666667</v>
      </c>
      <c r="V184" s="26">
        <f t="shared" si="7"/>
        <v>0.09195402299</v>
      </c>
      <c r="W184" s="25">
        <f t="shared" si="8"/>
        <v>6.471452058</v>
      </c>
      <c r="X184" s="25">
        <f t="shared" si="9"/>
        <v>6.664785391</v>
      </c>
      <c r="Y184" s="25"/>
      <c r="Z184" s="25"/>
    </row>
    <row r="185">
      <c r="A185" s="1" t="s">
        <v>4</v>
      </c>
      <c r="B185" s="1">
        <v>87.0</v>
      </c>
      <c r="C185" s="1">
        <v>10.0</v>
      </c>
      <c r="D185" s="1">
        <v>7.0</v>
      </c>
      <c r="E185">
        <f t="shared" si="2"/>
        <v>8</v>
      </c>
      <c r="F185" t="str">
        <f t="shared" ref="F185:L185" si="372">IF((AND($A185 = "+0",$E185 = F$1)), $C185, "")</f>
        <v/>
      </c>
      <c r="G185" t="str">
        <f t="shared" si="372"/>
        <v/>
      </c>
      <c r="H185" t="str">
        <f t="shared" si="372"/>
        <v/>
      </c>
      <c r="I185" t="str">
        <f t="shared" si="372"/>
        <v/>
      </c>
      <c r="J185" t="str">
        <f t="shared" si="372"/>
        <v/>
      </c>
      <c r="K185" t="str">
        <f t="shared" si="372"/>
        <v/>
      </c>
      <c r="L185" t="str">
        <f t="shared" si="372"/>
        <v/>
      </c>
      <c r="M185" t="str">
        <f t="shared" ref="M185:S185" si="373">IF((AND($A185 = "+0",$E185 = M$1)), 2^$D185-$B185, "")</f>
        <v/>
      </c>
      <c r="N185" t="str">
        <f t="shared" si="373"/>
        <v/>
      </c>
      <c r="O185" t="str">
        <f t="shared" si="373"/>
        <v/>
      </c>
      <c r="P185" t="str">
        <f t="shared" si="373"/>
        <v/>
      </c>
      <c r="Q185" t="str">
        <f t="shared" si="373"/>
        <v/>
      </c>
      <c r="R185" t="str">
        <f t="shared" si="373"/>
        <v/>
      </c>
      <c r="S185" t="str">
        <f t="shared" si="373"/>
        <v/>
      </c>
      <c r="T185">
        <f t="shared" si="5"/>
        <v>870</v>
      </c>
      <c r="U185" s="25">
        <f t="shared" si="6"/>
        <v>8.7</v>
      </c>
      <c r="V185" s="26">
        <f t="shared" si="7"/>
        <v>0.1034482759</v>
      </c>
      <c r="W185" s="25">
        <f t="shared" si="8"/>
        <v>6.573781631</v>
      </c>
      <c r="X185" s="25">
        <f t="shared" si="9"/>
        <v>6.747781631</v>
      </c>
      <c r="Y185" s="25"/>
      <c r="Z185" s="25"/>
    </row>
    <row r="186">
      <c r="A186" s="1" t="s">
        <v>4</v>
      </c>
      <c r="B186" s="1">
        <v>86.0</v>
      </c>
      <c r="C186" s="1">
        <v>10.0</v>
      </c>
      <c r="D186" s="1">
        <v>7.0</v>
      </c>
      <c r="E186">
        <f t="shared" si="2"/>
        <v>8</v>
      </c>
      <c r="F186" t="str">
        <f t="shared" ref="F186:L186" si="374">IF((AND($A186 = "+0",$E186 = F$1)), $C186, "")</f>
        <v/>
      </c>
      <c r="G186" t="str">
        <f t="shared" si="374"/>
        <v/>
      </c>
      <c r="H186" t="str">
        <f t="shared" si="374"/>
        <v/>
      </c>
      <c r="I186" t="str">
        <f t="shared" si="374"/>
        <v/>
      </c>
      <c r="J186" t="str">
        <f t="shared" si="374"/>
        <v/>
      </c>
      <c r="K186" t="str">
        <f t="shared" si="374"/>
        <v/>
      </c>
      <c r="L186" t="str">
        <f t="shared" si="374"/>
        <v/>
      </c>
      <c r="M186" t="str">
        <f t="shared" ref="M186:S186" si="375">IF((AND($A186 = "+0",$E186 = M$1)), 2^$D186-$B186, "")</f>
        <v/>
      </c>
      <c r="N186" t="str">
        <f t="shared" si="375"/>
        <v/>
      </c>
      <c r="O186" t="str">
        <f t="shared" si="375"/>
        <v/>
      </c>
      <c r="P186" t="str">
        <f t="shared" si="375"/>
        <v/>
      </c>
      <c r="Q186" t="str">
        <f t="shared" si="375"/>
        <v/>
      </c>
      <c r="R186" t="str">
        <f t="shared" si="375"/>
        <v/>
      </c>
      <c r="S186" t="str">
        <f t="shared" si="375"/>
        <v/>
      </c>
      <c r="T186">
        <f t="shared" si="5"/>
        <v>860</v>
      </c>
      <c r="U186" s="25">
        <f t="shared" si="6"/>
        <v>8.6</v>
      </c>
      <c r="V186" s="26">
        <f t="shared" si="7"/>
        <v>0.1046511628</v>
      </c>
      <c r="W186" s="25">
        <f t="shared" si="8"/>
        <v>6.562553383</v>
      </c>
      <c r="X186" s="25">
        <f t="shared" si="9"/>
        <v>6.734553383</v>
      </c>
      <c r="Y186" s="25"/>
      <c r="Z186" s="25"/>
    </row>
    <row r="187">
      <c r="A187" s="1" t="s">
        <v>4</v>
      </c>
      <c r="B187" s="1">
        <v>85.0</v>
      </c>
      <c r="C187" s="1">
        <v>10.0</v>
      </c>
      <c r="D187" s="1">
        <v>7.0</v>
      </c>
      <c r="E187">
        <f t="shared" si="2"/>
        <v>8</v>
      </c>
      <c r="F187" t="str">
        <f t="shared" ref="F187:L187" si="376">IF((AND($A187 = "+0",$E187 = F$1)), $C187, "")</f>
        <v/>
      </c>
      <c r="G187" t="str">
        <f t="shared" si="376"/>
        <v/>
      </c>
      <c r="H187" t="str">
        <f t="shared" si="376"/>
        <v/>
      </c>
      <c r="I187" t="str">
        <f t="shared" si="376"/>
        <v/>
      </c>
      <c r="J187" t="str">
        <f t="shared" si="376"/>
        <v/>
      </c>
      <c r="K187" t="str">
        <f t="shared" si="376"/>
        <v/>
      </c>
      <c r="L187" t="str">
        <f t="shared" si="376"/>
        <v/>
      </c>
      <c r="M187" t="str">
        <f t="shared" ref="M187:S187" si="377">IF((AND($A187 = "+0",$E187 = M$1)), 2^$D187-$B187, "")</f>
        <v/>
      </c>
      <c r="N187" t="str">
        <f t="shared" si="377"/>
        <v/>
      </c>
      <c r="O187" t="str">
        <f t="shared" si="377"/>
        <v/>
      </c>
      <c r="P187" t="str">
        <f t="shared" si="377"/>
        <v/>
      </c>
      <c r="Q187" t="str">
        <f t="shared" si="377"/>
        <v/>
      </c>
      <c r="R187" t="str">
        <f t="shared" si="377"/>
        <v/>
      </c>
      <c r="S187" t="str">
        <f t="shared" si="377"/>
        <v/>
      </c>
      <c r="T187">
        <f t="shared" si="5"/>
        <v>850</v>
      </c>
      <c r="U187" s="25">
        <f t="shared" si="6"/>
        <v>8.5</v>
      </c>
      <c r="V187" s="26">
        <f t="shared" si="7"/>
        <v>0.1058823529</v>
      </c>
      <c r="W187" s="25">
        <f t="shared" si="8"/>
        <v>6.551193807</v>
      </c>
      <c r="X187" s="25">
        <f t="shared" si="9"/>
        <v>6.721193807</v>
      </c>
      <c r="Y187" s="25"/>
      <c r="Z187" s="25"/>
    </row>
    <row r="188">
      <c r="A188" s="1" t="s">
        <v>4</v>
      </c>
      <c r="B188" s="1">
        <v>84.0</v>
      </c>
      <c r="C188" s="1">
        <v>10.0</v>
      </c>
      <c r="D188" s="1">
        <v>7.0</v>
      </c>
      <c r="E188">
        <f t="shared" si="2"/>
        <v>8</v>
      </c>
      <c r="F188" t="str">
        <f t="shared" ref="F188:L188" si="378">IF((AND($A188 = "+0",$E188 = F$1)), $C188, "")</f>
        <v/>
      </c>
      <c r="G188" t="str">
        <f t="shared" si="378"/>
        <v/>
      </c>
      <c r="H188" t="str">
        <f t="shared" si="378"/>
        <v/>
      </c>
      <c r="I188" t="str">
        <f t="shared" si="378"/>
        <v/>
      </c>
      <c r="J188" t="str">
        <f t="shared" si="378"/>
        <v/>
      </c>
      <c r="K188" t="str">
        <f t="shared" si="378"/>
        <v/>
      </c>
      <c r="L188" t="str">
        <f t="shared" si="378"/>
        <v/>
      </c>
      <c r="M188" t="str">
        <f t="shared" ref="M188:S188" si="379">IF((AND($A188 = "+0",$E188 = M$1)), 2^$D188-$B188, "")</f>
        <v/>
      </c>
      <c r="N188" t="str">
        <f t="shared" si="379"/>
        <v/>
      </c>
      <c r="O188" t="str">
        <f t="shared" si="379"/>
        <v/>
      </c>
      <c r="P188" t="str">
        <f t="shared" si="379"/>
        <v/>
      </c>
      <c r="Q188" t="str">
        <f t="shared" si="379"/>
        <v/>
      </c>
      <c r="R188" t="str">
        <f t="shared" si="379"/>
        <v/>
      </c>
      <c r="S188" t="str">
        <f t="shared" si="379"/>
        <v/>
      </c>
      <c r="T188">
        <f t="shared" si="5"/>
        <v>840</v>
      </c>
      <c r="U188" s="25">
        <f t="shared" si="6"/>
        <v>8.4</v>
      </c>
      <c r="V188" s="26">
        <f t="shared" si="7"/>
        <v>0.1071428571</v>
      </c>
      <c r="W188" s="25">
        <f t="shared" si="8"/>
        <v>6.539699795</v>
      </c>
      <c r="X188" s="25">
        <f t="shared" si="9"/>
        <v>6.707699795</v>
      </c>
      <c r="Y188" s="25"/>
      <c r="Z188" s="25"/>
    </row>
    <row r="189">
      <c r="A189" s="1" t="s">
        <v>4</v>
      </c>
      <c r="B189" s="1">
        <v>83.0</v>
      </c>
      <c r="C189" s="1">
        <v>10.0</v>
      </c>
      <c r="D189" s="1">
        <v>7.0</v>
      </c>
      <c r="E189">
        <f t="shared" si="2"/>
        <v>8</v>
      </c>
      <c r="F189" t="str">
        <f t="shared" ref="F189:L189" si="380">IF((AND($A189 = "+0",$E189 = F$1)), $C189, "")</f>
        <v/>
      </c>
      <c r="G189" t="str">
        <f t="shared" si="380"/>
        <v/>
      </c>
      <c r="H189" t="str">
        <f t="shared" si="380"/>
        <v/>
      </c>
      <c r="I189" t="str">
        <f t="shared" si="380"/>
        <v/>
      </c>
      <c r="J189" t="str">
        <f t="shared" si="380"/>
        <v/>
      </c>
      <c r="K189" t="str">
        <f t="shared" si="380"/>
        <v/>
      </c>
      <c r="L189" t="str">
        <f t="shared" si="380"/>
        <v/>
      </c>
      <c r="M189" t="str">
        <f t="shared" ref="M189:S189" si="381">IF((AND($A189 = "+0",$E189 = M$1)), 2^$D189-$B189, "")</f>
        <v/>
      </c>
      <c r="N189" t="str">
        <f t="shared" si="381"/>
        <v/>
      </c>
      <c r="O189" t="str">
        <f t="shared" si="381"/>
        <v/>
      </c>
      <c r="P189" t="str">
        <f t="shared" si="381"/>
        <v/>
      </c>
      <c r="Q189" t="str">
        <f t="shared" si="381"/>
        <v/>
      </c>
      <c r="R189" t="str">
        <f t="shared" si="381"/>
        <v/>
      </c>
      <c r="S189" t="str">
        <f t="shared" si="381"/>
        <v/>
      </c>
      <c r="T189">
        <f t="shared" si="5"/>
        <v>830</v>
      </c>
      <c r="U189" s="25">
        <f t="shared" si="6"/>
        <v>8.3</v>
      </c>
      <c r="V189" s="26">
        <f t="shared" si="7"/>
        <v>0.1084337349</v>
      </c>
      <c r="W189" s="25">
        <f t="shared" si="8"/>
        <v>6.528068128</v>
      </c>
      <c r="X189" s="25">
        <f t="shared" si="9"/>
        <v>6.694068128</v>
      </c>
      <c r="Y189" s="25"/>
      <c r="Z189" s="25"/>
    </row>
    <row r="190">
      <c r="A190" s="1" t="s">
        <v>5</v>
      </c>
      <c r="B190" s="1">
        <v>82.0</v>
      </c>
      <c r="C190" s="1">
        <v>10.0</v>
      </c>
      <c r="D190" s="1">
        <v>7.0</v>
      </c>
      <c r="E190">
        <f t="shared" si="2"/>
        <v>7</v>
      </c>
      <c r="F190" t="str">
        <f t="shared" ref="F190:L190" si="382">IF((AND($A190 = "+0",$E190 = F$1)), $C190, "")</f>
        <v/>
      </c>
      <c r="G190" t="str">
        <f t="shared" si="382"/>
        <v/>
      </c>
      <c r="H190" t="str">
        <f t="shared" si="382"/>
        <v/>
      </c>
      <c r="I190" t="str">
        <f t="shared" si="382"/>
        <v/>
      </c>
      <c r="J190" t="str">
        <f t="shared" si="382"/>
        <v/>
      </c>
      <c r="K190" t="str">
        <f t="shared" si="382"/>
        <v/>
      </c>
      <c r="L190">
        <f t="shared" si="382"/>
        <v>10</v>
      </c>
      <c r="M190" t="str">
        <f t="shared" ref="M190:S190" si="383">IF((AND($A190 = "+0",$E190 = M$1)), 2^$D190-$B190, "")</f>
        <v/>
      </c>
      <c r="N190" t="str">
        <f t="shared" si="383"/>
        <v/>
      </c>
      <c r="O190" t="str">
        <f t="shared" si="383"/>
        <v/>
      </c>
      <c r="P190" t="str">
        <f t="shared" si="383"/>
        <v/>
      </c>
      <c r="Q190" t="str">
        <f t="shared" si="383"/>
        <v/>
      </c>
      <c r="R190" t="str">
        <f t="shared" si="383"/>
        <v/>
      </c>
      <c r="S190">
        <f t="shared" si="383"/>
        <v>46</v>
      </c>
      <c r="T190">
        <f t="shared" si="5"/>
        <v>820</v>
      </c>
      <c r="U190" s="25">
        <f t="shared" si="6"/>
        <v>8.2</v>
      </c>
      <c r="V190" s="26">
        <f t="shared" si="7"/>
        <v>0.1097560976</v>
      </c>
      <c r="W190" s="25">
        <f t="shared" si="8"/>
        <v>6.516295466</v>
      </c>
      <c r="X190" s="25">
        <f t="shared" si="9"/>
        <v>6.680295466</v>
      </c>
      <c r="Y190" s="25"/>
      <c r="Z190" s="25"/>
    </row>
    <row r="191">
      <c r="A191" s="1" t="s">
        <v>4</v>
      </c>
      <c r="B191" s="1">
        <v>82.0</v>
      </c>
      <c r="C191" s="1">
        <v>11.0</v>
      </c>
      <c r="D191" s="1">
        <v>7.0</v>
      </c>
      <c r="E191">
        <f t="shared" si="2"/>
        <v>8</v>
      </c>
      <c r="F191" t="str">
        <f t="shared" ref="F191:L191" si="384">IF((AND($A191 = "+0",$E191 = F$1)), $C191, "")</f>
        <v/>
      </c>
      <c r="G191" t="str">
        <f t="shared" si="384"/>
        <v/>
      </c>
      <c r="H191" t="str">
        <f t="shared" si="384"/>
        <v/>
      </c>
      <c r="I191" t="str">
        <f t="shared" si="384"/>
        <v/>
      </c>
      <c r="J191" t="str">
        <f t="shared" si="384"/>
        <v/>
      </c>
      <c r="K191" t="str">
        <f t="shared" si="384"/>
        <v/>
      </c>
      <c r="L191" t="str">
        <f t="shared" si="384"/>
        <v/>
      </c>
      <c r="M191" t="str">
        <f t="shared" ref="M191:S191" si="385">IF((AND($A191 = "+0",$E191 = M$1)), 2^$D191-$B191, "")</f>
        <v/>
      </c>
      <c r="N191" t="str">
        <f t="shared" si="385"/>
        <v/>
      </c>
      <c r="O191" t="str">
        <f t="shared" si="385"/>
        <v/>
      </c>
      <c r="P191" t="str">
        <f t="shared" si="385"/>
        <v/>
      </c>
      <c r="Q191" t="str">
        <f t="shared" si="385"/>
        <v/>
      </c>
      <c r="R191" t="str">
        <f t="shared" si="385"/>
        <v/>
      </c>
      <c r="S191" t="str">
        <f t="shared" si="385"/>
        <v/>
      </c>
      <c r="T191">
        <f t="shared" si="5"/>
        <v>902</v>
      </c>
      <c r="U191" s="25">
        <f t="shared" si="6"/>
        <v>7.454545455</v>
      </c>
      <c r="V191" s="26">
        <f t="shared" si="7"/>
        <v>0.1219512195</v>
      </c>
      <c r="W191" s="25">
        <f t="shared" si="8"/>
        <v>6.608863825</v>
      </c>
      <c r="X191" s="25">
        <f t="shared" si="9"/>
        <v>6.757954734</v>
      </c>
      <c r="Y191" s="25"/>
      <c r="Z191" s="25"/>
    </row>
    <row r="192">
      <c r="A192" s="1" t="s">
        <v>4</v>
      </c>
      <c r="B192" s="1">
        <v>81.0</v>
      </c>
      <c r="C192" s="1">
        <v>11.0</v>
      </c>
      <c r="D192" s="1">
        <v>7.0</v>
      </c>
      <c r="E192">
        <f t="shared" si="2"/>
        <v>8</v>
      </c>
      <c r="F192" t="str">
        <f t="shared" ref="F192:L192" si="386">IF((AND($A192 = "+0",$E192 = F$1)), $C192, "")</f>
        <v/>
      </c>
      <c r="G192" t="str">
        <f t="shared" si="386"/>
        <v/>
      </c>
      <c r="H192" t="str">
        <f t="shared" si="386"/>
        <v/>
      </c>
      <c r="I192" t="str">
        <f t="shared" si="386"/>
        <v/>
      </c>
      <c r="J192" t="str">
        <f t="shared" si="386"/>
        <v/>
      </c>
      <c r="K192" t="str">
        <f t="shared" si="386"/>
        <v/>
      </c>
      <c r="L192" t="str">
        <f t="shared" si="386"/>
        <v/>
      </c>
      <c r="M192" t="str">
        <f t="shared" ref="M192:S192" si="387">IF((AND($A192 = "+0",$E192 = M$1)), 2^$D192-$B192, "")</f>
        <v/>
      </c>
      <c r="N192" t="str">
        <f t="shared" si="387"/>
        <v/>
      </c>
      <c r="O192" t="str">
        <f t="shared" si="387"/>
        <v/>
      </c>
      <c r="P192" t="str">
        <f t="shared" si="387"/>
        <v/>
      </c>
      <c r="Q192" t="str">
        <f t="shared" si="387"/>
        <v/>
      </c>
      <c r="R192" t="str">
        <f t="shared" si="387"/>
        <v/>
      </c>
      <c r="S192" t="str">
        <f t="shared" si="387"/>
        <v/>
      </c>
      <c r="T192">
        <f t="shared" si="5"/>
        <v>891</v>
      </c>
      <c r="U192" s="25">
        <f t="shared" si="6"/>
        <v>7.363636364</v>
      </c>
      <c r="V192" s="26">
        <f t="shared" si="7"/>
        <v>0.1234567901</v>
      </c>
      <c r="W192" s="25">
        <f t="shared" si="8"/>
        <v>6.596946711</v>
      </c>
      <c r="X192" s="25">
        <f t="shared" si="9"/>
        <v>6.744219438</v>
      </c>
      <c r="Y192" s="25"/>
      <c r="Z192" s="25"/>
    </row>
    <row r="193">
      <c r="A193" s="1" t="s">
        <v>4</v>
      </c>
      <c r="B193" s="1">
        <v>80.0</v>
      </c>
      <c r="C193" s="1">
        <v>11.0</v>
      </c>
      <c r="D193" s="1">
        <v>7.0</v>
      </c>
      <c r="E193">
        <f t="shared" si="2"/>
        <v>8</v>
      </c>
      <c r="F193" t="str">
        <f t="shared" ref="F193:L193" si="388">IF((AND($A193 = "+0",$E193 = F$1)), $C193, "")</f>
        <v/>
      </c>
      <c r="G193" t="str">
        <f t="shared" si="388"/>
        <v/>
      </c>
      <c r="H193" t="str">
        <f t="shared" si="388"/>
        <v/>
      </c>
      <c r="I193" t="str">
        <f t="shared" si="388"/>
        <v/>
      </c>
      <c r="J193" t="str">
        <f t="shared" si="388"/>
        <v/>
      </c>
      <c r="K193" t="str">
        <f t="shared" si="388"/>
        <v/>
      </c>
      <c r="L193" t="str">
        <f t="shared" si="388"/>
        <v/>
      </c>
      <c r="M193" t="str">
        <f t="shared" ref="M193:S193" si="389">IF((AND($A193 = "+0",$E193 = M$1)), 2^$D193-$B193, "")</f>
        <v/>
      </c>
      <c r="N193" t="str">
        <f t="shared" si="389"/>
        <v/>
      </c>
      <c r="O193" t="str">
        <f t="shared" si="389"/>
        <v/>
      </c>
      <c r="P193" t="str">
        <f t="shared" si="389"/>
        <v/>
      </c>
      <c r="Q193" t="str">
        <f t="shared" si="389"/>
        <v/>
      </c>
      <c r="R193" t="str">
        <f t="shared" si="389"/>
        <v/>
      </c>
      <c r="S193" t="str">
        <f t="shared" si="389"/>
        <v/>
      </c>
      <c r="T193">
        <f t="shared" si="5"/>
        <v>880</v>
      </c>
      <c r="U193" s="25">
        <f t="shared" si="6"/>
        <v>7.272727273</v>
      </c>
      <c r="V193" s="26">
        <f t="shared" si="7"/>
        <v>0.125</v>
      </c>
      <c r="W193" s="25">
        <f t="shared" si="8"/>
        <v>6.584881554</v>
      </c>
      <c r="X193" s="25">
        <f t="shared" si="9"/>
        <v>6.730336099</v>
      </c>
      <c r="Y193" s="25"/>
      <c r="Z193" s="25"/>
    </row>
    <row r="194">
      <c r="A194" s="1" t="s">
        <v>4</v>
      </c>
      <c r="B194" s="1">
        <v>79.0</v>
      </c>
      <c r="C194" s="1">
        <v>11.0</v>
      </c>
      <c r="D194" s="1">
        <v>7.0</v>
      </c>
      <c r="E194">
        <f t="shared" si="2"/>
        <v>8</v>
      </c>
      <c r="F194" t="str">
        <f t="shared" ref="F194:L194" si="390">IF((AND($A194 = "+0",$E194 = F$1)), $C194, "")</f>
        <v/>
      </c>
      <c r="G194" t="str">
        <f t="shared" si="390"/>
        <v/>
      </c>
      <c r="H194" t="str">
        <f t="shared" si="390"/>
        <v/>
      </c>
      <c r="I194" t="str">
        <f t="shared" si="390"/>
        <v/>
      </c>
      <c r="J194" t="str">
        <f t="shared" si="390"/>
        <v/>
      </c>
      <c r="K194" t="str">
        <f t="shared" si="390"/>
        <v/>
      </c>
      <c r="L194" t="str">
        <f t="shared" si="390"/>
        <v/>
      </c>
      <c r="M194" t="str">
        <f t="shared" ref="M194:S194" si="391">IF((AND($A194 = "+0",$E194 = M$1)), 2^$D194-$B194, "")</f>
        <v/>
      </c>
      <c r="N194" t="str">
        <f t="shared" si="391"/>
        <v/>
      </c>
      <c r="O194" t="str">
        <f t="shared" si="391"/>
        <v/>
      </c>
      <c r="P194" t="str">
        <f t="shared" si="391"/>
        <v/>
      </c>
      <c r="Q194" t="str">
        <f t="shared" si="391"/>
        <v/>
      </c>
      <c r="R194" t="str">
        <f t="shared" si="391"/>
        <v/>
      </c>
      <c r="S194" t="str">
        <f t="shared" si="391"/>
        <v/>
      </c>
      <c r="T194">
        <f t="shared" si="5"/>
        <v>869</v>
      </c>
      <c r="U194" s="25">
        <f t="shared" si="6"/>
        <v>7.181818182</v>
      </c>
      <c r="V194" s="26">
        <f t="shared" si="7"/>
        <v>0.1265822785</v>
      </c>
      <c r="W194" s="25">
        <f t="shared" si="8"/>
        <v>6.57266463</v>
      </c>
      <c r="X194" s="25">
        <f t="shared" si="9"/>
        <v>6.716300993</v>
      </c>
      <c r="Y194" s="25"/>
      <c r="Z194" s="25"/>
    </row>
    <row r="195">
      <c r="A195" s="1" t="s">
        <v>4</v>
      </c>
      <c r="B195" s="1">
        <v>78.0</v>
      </c>
      <c r="C195" s="1">
        <v>11.0</v>
      </c>
      <c r="D195" s="1">
        <v>7.0</v>
      </c>
      <c r="E195">
        <f t="shared" si="2"/>
        <v>8</v>
      </c>
      <c r="F195" t="str">
        <f t="shared" ref="F195:L195" si="392">IF((AND($A195 = "+0",$E195 = F$1)), $C195, "")</f>
        <v/>
      </c>
      <c r="G195" t="str">
        <f t="shared" si="392"/>
        <v/>
      </c>
      <c r="H195" t="str">
        <f t="shared" si="392"/>
        <v/>
      </c>
      <c r="I195" t="str">
        <f t="shared" si="392"/>
        <v/>
      </c>
      <c r="J195" t="str">
        <f t="shared" si="392"/>
        <v/>
      </c>
      <c r="K195" t="str">
        <f t="shared" si="392"/>
        <v/>
      </c>
      <c r="L195" t="str">
        <f t="shared" si="392"/>
        <v/>
      </c>
      <c r="M195" t="str">
        <f t="shared" ref="M195:S195" si="393">IF((AND($A195 = "+0",$E195 = M$1)), 2^$D195-$B195, "")</f>
        <v/>
      </c>
      <c r="N195" t="str">
        <f t="shared" si="393"/>
        <v/>
      </c>
      <c r="O195" t="str">
        <f t="shared" si="393"/>
        <v/>
      </c>
      <c r="P195" t="str">
        <f t="shared" si="393"/>
        <v/>
      </c>
      <c r="Q195" t="str">
        <f t="shared" si="393"/>
        <v/>
      </c>
      <c r="R195" t="str">
        <f t="shared" si="393"/>
        <v/>
      </c>
      <c r="S195" t="str">
        <f t="shared" si="393"/>
        <v/>
      </c>
      <c r="T195">
        <f t="shared" si="5"/>
        <v>858</v>
      </c>
      <c r="U195" s="25">
        <f t="shared" si="6"/>
        <v>7.090909091</v>
      </c>
      <c r="V195" s="26">
        <f t="shared" si="7"/>
        <v>0.1282051282</v>
      </c>
      <c r="W195" s="25">
        <f t="shared" si="8"/>
        <v>6.560292072</v>
      </c>
      <c r="X195" s="25">
        <f t="shared" si="9"/>
        <v>6.702110254</v>
      </c>
      <c r="Y195" s="25"/>
      <c r="Z195" s="25"/>
    </row>
    <row r="196">
      <c r="A196" s="1" t="s">
        <v>5</v>
      </c>
      <c r="B196" s="1">
        <v>77.0</v>
      </c>
      <c r="C196" s="1">
        <v>11.0</v>
      </c>
      <c r="D196" s="1">
        <v>7.0</v>
      </c>
      <c r="E196">
        <f t="shared" si="2"/>
        <v>7</v>
      </c>
      <c r="F196" t="str">
        <f t="shared" ref="F196:L196" si="394">IF((AND($A196 = "+0",$E196 = F$1)), $C196, "")</f>
        <v/>
      </c>
      <c r="G196" t="str">
        <f t="shared" si="394"/>
        <v/>
      </c>
      <c r="H196" t="str">
        <f t="shared" si="394"/>
        <v/>
      </c>
      <c r="I196" t="str">
        <f t="shared" si="394"/>
        <v/>
      </c>
      <c r="J196" t="str">
        <f t="shared" si="394"/>
        <v/>
      </c>
      <c r="K196" t="str">
        <f t="shared" si="394"/>
        <v/>
      </c>
      <c r="L196">
        <f t="shared" si="394"/>
        <v>11</v>
      </c>
      <c r="M196" t="str">
        <f t="shared" ref="M196:S196" si="395">IF((AND($A196 = "+0",$E196 = M$1)), 2^$D196-$B196, "")</f>
        <v/>
      </c>
      <c r="N196" t="str">
        <f t="shared" si="395"/>
        <v/>
      </c>
      <c r="O196" t="str">
        <f t="shared" si="395"/>
        <v/>
      </c>
      <c r="P196" t="str">
        <f t="shared" si="395"/>
        <v/>
      </c>
      <c r="Q196" t="str">
        <f t="shared" si="395"/>
        <v/>
      </c>
      <c r="R196" t="str">
        <f t="shared" si="395"/>
        <v/>
      </c>
      <c r="S196">
        <f t="shared" si="395"/>
        <v>51</v>
      </c>
      <c r="T196">
        <f t="shared" si="5"/>
        <v>847</v>
      </c>
      <c r="U196" s="25">
        <f t="shared" si="6"/>
        <v>7</v>
      </c>
      <c r="V196" s="26">
        <f t="shared" si="7"/>
        <v>0.1298701299</v>
      </c>
      <c r="W196" s="25">
        <f t="shared" si="8"/>
        <v>6.547759864</v>
      </c>
      <c r="X196" s="25">
        <f t="shared" si="9"/>
        <v>6.687759864</v>
      </c>
      <c r="Y196" s="25"/>
      <c r="Z196" s="25"/>
    </row>
    <row r="197">
      <c r="A197" s="1" t="s">
        <v>4</v>
      </c>
      <c r="B197" s="1">
        <v>77.0</v>
      </c>
      <c r="C197" s="1">
        <v>12.0</v>
      </c>
      <c r="D197" s="1">
        <v>7.0</v>
      </c>
      <c r="E197">
        <f t="shared" si="2"/>
        <v>8</v>
      </c>
      <c r="F197" t="str">
        <f t="shared" ref="F197:L197" si="396">IF((AND($A197 = "+0",$E197 = F$1)), $C197, "")</f>
        <v/>
      </c>
      <c r="G197" t="str">
        <f t="shared" si="396"/>
        <v/>
      </c>
      <c r="H197" t="str">
        <f t="shared" si="396"/>
        <v/>
      </c>
      <c r="I197" t="str">
        <f t="shared" si="396"/>
        <v/>
      </c>
      <c r="J197" t="str">
        <f t="shared" si="396"/>
        <v/>
      </c>
      <c r="K197" t="str">
        <f t="shared" si="396"/>
        <v/>
      </c>
      <c r="L197" t="str">
        <f t="shared" si="396"/>
        <v/>
      </c>
      <c r="M197" t="str">
        <f t="shared" ref="M197:S197" si="397">IF((AND($A197 = "+0",$E197 = M$1)), 2^$D197-$B197, "")</f>
        <v/>
      </c>
      <c r="N197" t="str">
        <f t="shared" si="397"/>
        <v/>
      </c>
      <c r="O197" t="str">
        <f t="shared" si="397"/>
        <v/>
      </c>
      <c r="P197" t="str">
        <f t="shared" si="397"/>
        <v/>
      </c>
      <c r="Q197" t="str">
        <f t="shared" si="397"/>
        <v/>
      </c>
      <c r="R197" t="str">
        <f t="shared" si="397"/>
        <v/>
      </c>
      <c r="S197" t="str">
        <f t="shared" si="397"/>
        <v/>
      </c>
      <c r="T197">
        <f t="shared" si="5"/>
        <v>924</v>
      </c>
      <c r="U197" s="25">
        <f t="shared" si="6"/>
        <v>6.416666667</v>
      </c>
      <c r="V197" s="26">
        <f t="shared" si="7"/>
        <v>0.1428571429</v>
      </c>
      <c r="W197" s="25">
        <f t="shared" si="8"/>
        <v>6.632268154</v>
      </c>
      <c r="X197" s="25">
        <f t="shared" si="9"/>
        <v>6.760601488</v>
      </c>
      <c r="Y197" s="25"/>
      <c r="Z197" s="25"/>
    </row>
    <row r="198">
      <c r="A198" s="1" t="s">
        <v>4</v>
      </c>
      <c r="B198" s="1">
        <v>76.0</v>
      </c>
      <c r="C198" s="1">
        <v>12.0</v>
      </c>
      <c r="D198" s="1">
        <v>7.0</v>
      </c>
      <c r="E198">
        <f t="shared" si="2"/>
        <v>8</v>
      </c>
      <c r="F198" t="str">
        <f t="shared" ref="F198:L198" si="398">IF((AND($A198 = "+0",$E198 = F$1)), $C198, "")</f>
        <v/>
      </c>
      <c r="G198" t="str">
        <f t="shared" si="398"/>
        <v/>
      </c>
      <c r="H198" t="str">
        <f t="shared" si="398"/>
        <v/>
      </c>
      <c r="I198" t="str">
        <f t="shared" si="398"/>
        <v/>
      </c>
      <c r="J198" t="str">
        <f t="shared" si="398"/>
        <v/>
      </c>
      <c r="K198" t="str">
        <f t="shared" si="398"/>
        <v/>
      </c>
      <c r="L198" t="str">
        <f t="shared" si="398"/>
        <v/>
      </c>
      <c r="M198" t="str">
        <f t="shared" ref="M198:S198" si="399">IF((AND($A198 = "+0",$E198 = M$1)), 2^$D198-$B198, "")</f>
        <v/>
      </c>
      <c r="N198" t="str">
        <f t="shared" si="399"/>
        <v/>
      </c>
      <c r="O198" t="str">
        <f t="shared" si="399"/>
        <v/>
      </c>
      <c r="P198" t="str">
        <f t="shared" si="399"/>
        <v/>
      </c>
      <c r="Q198" t="str">
        <f t="shared" si="399"/>
        <v/>
      </c>
      <c r="R198" t="str">
        <f t="shared" si="399"/>
        <v/>
      </c>
      <c r="S198" t="str">
        <f t="shared" si="399"/>
        <v/>
      </c>
      <c r="T198">
        <f t="shared" si="5"/>
        <v>912</v>
      </c>
      <c r="U198" s="25">
        <f t="shared" si="6"/>
        <v>6.333333333</v>
      </c>
      <c r="V198" s="26">
        <f t="shared" si="7"/>
        <v>0.1447368421</v>
      </c>
      <c r="W198" s="25">
        <f t="shared" si="8"/>
        <v>6.619572122</v>
      </c>
      <c r="X198" s="25">
        <f t="shared" si="9"/>
        <v>6.746238789</v>
      </c>
      <c r="Y198" s="25"/>
      <c r="Z198" s="25"/>
    </row>
    <row r="199">
      <c r="A199" s="1" t="s">
        <v>4</v>
      </c>
      <c r="B199" s="1">
        <v>75.0</v>
      </c>
      <c r="C199" s="1">
        <v>12.0</v>
      </c>
      <c r="D199" s="1">
        <v>7.0</v>
      </c>
      <c r="E199">
        <f t="shared" si="2"/>
        <v>8</v>
      </c>
      <c r="F199" t="str">
        <f t="shared" ref="F199:L199" si="400">IF((AND($A199 = "+0",$E199 = F$1)), $C199, "")</f>
        <v/>
      </c>
      <c r="G199" t="str">
        <f t="shared" si="400"/>
        <v/>
      </c>
      <c r="H199" t="str">
        <f t="shared" si="400"/>
        <v/>
      </c>
      <c r="I199" t="str">
        <f t="shared" si="400"/>
        <v/>
      </c>
      <c r="J199" t="str">
        <f t="shared" si="400"/>
        <v/>
      </c>
      <c r="K199" t="str">
        <f t="shared" si="400"/>
        <v/>
      </c>
      <c r="L199" t="str">
        <f t="shared" si="400"/>
        <v/>
      </c>
      <c r="M199" t="str">
        <f t="shared" ref="M199:S199" si="401">IF((AND($A199 = "+0",$E199 = M$1)), 2^$D199-$B199, "")</f>
        <v/>
      </c>
      <c r="N199" t="str">
        <f t="shared" si="401"/>
        <v/>
      </c>
      <c r="O199" t="str">
        <f t="shared" si="401"/>
        <v/>
      </c>
      <c r="P199" t="str">
        <f t="shared" si="401"/>
        <v/>
      </c>
      <c r="Q199" t="str">
        <f t="shared" si="401"/>
        <v/>
      </c>
      <c r="R199" t="str">
        <f t="shared" si="401"/>
        <v/>
      </c>
      <c r="S199" t="str">
        <f t="shared" si="401"/>
        <v/>
      </c>
      <c r="T199">
        <f t="shared" si="5"/>
        <v>900</v>
      </c>
      <c r="U199" s="25">
        <f t="shared" si="6"/>
        <v>6.25</v>
      </c>
      <c r="V199" s="26">
        <f t="shared" si="7"/>
        <v>0.1466666667</v>
      </c>
      <c r="W199" s="25">
        <f t="shared" si="8"/>
        <v>6.606707925</v>
      </c>
      <c r="X199" s="25">
        <f t="shared" si="9"/>
        <v>6.731707925</v>
      </c>
      <c r="Y199" s="25"/>
      <c r="Z199" s="25"/>
    </row>
    <row r="200">
      <c r="A200" s="1" t="s">
        <v>4</v>
      </c>
      <c r="B200" s="1">
        <v>74.0</v>
      </c>
      <c r="C200" s="1">
        <v>12.0</v>
      </c>
      <c r="D200" s="1">
        <v>7.0</v>
      </c>
      <c r="E200">
        <f t="shared" si="2"/>
        <v>8</v>
      </c>
      <c r="F200" t="str">
        <f t="shared" ref="F200:L200" si="402">IF((AND($A200 = "+0",$E200 = F$1)), $C200, "")</f>
        <v/>
      </c>
      <c r="G200" t="str">
        <f t="shared" si="402"/>
        <v/>
      </c>
      <c r="H200" t="str">
        <f t="shared" si="402"/>
        <v/>
      </c>
      <c r="I200" t="str">
        <f t="shared" si="402"/>
        <v/>
      </c>
      <c r="J200" t="str">
        <f t="shared" si="402"/>
        <v/>
      </c>
      <c r="K200" t="str">
        <f t="shared" si="402"/>
        <v/>
      </c>
      <c r="L200" t="str">
        <f t="shared" si="402"/>
        <v/>
      </c>
      <c r="M200" t="str">
        <f t="shared" ref="M200:S200" si="403">IF((AND($A200 = "+0",$E200 = M$1)), 2^$D200-$B200, "")</f>
        <v/>
      </c>
      <c r="N200" t="str">
        <f t="shared" si="403"/>
        <v/>
      </c>
      <c r="O200" t="str">
        <f t="shared" si="403"/>
        <v/>
      </c>
      <c r="P200" t="str">
        <f t="shared" si="403"/>
        <v/>
      </c>
      <c r="Q200" t="str">
        <f t="shared" si="403"/>
        <v/>
      </c>
      <c r="R200" t="str">
        <f t="shared" si="403"/>
        <v/>
      </c>
      <c r="S200" t="str">
        <f t="shared" si="403"/>
        <v/>
      </c>
      <c r="T200">
        <f t="shared" si="5"/>
        <v>888</v>
      </c>
      <c r="U200" s="25">
        <f t="shared" si="6"/>
        <v>6.166666667</v>
      </c>
      <c r="V200" s="26">
        <f t="shared" si="7"/>
        <v>0.1486486486</v>
      </c>
      <c r="W200" s="25">
        <f t="shared" si="8"/>
        <v>6.593671049</v>
      </c>
      <c r="X200" s="25">
        <f t="shared" si="9"/>
        <v>6.717004383</v>
      </c>
      <c r="Y200" s="25"/>
      <c r="Z200" s="25"/>
    </row>
    <row r="201">
      <c r="A201" s="1" t="s">
        <v>5</v>
      </c>
      <c r="B201" s="1">
        <v>73.0</v>
      </c>
      <c r="C201" s="1">
        <v>12.0</v>
      </c>
      <c r="D201" s="1">
        <v>7.0</v>
      </c>
      <c r="E201">
        <f t="shared" si="2"/>
        <v>7</v>
      </c>
      <c r="F201" t="str">
        <f t="shared" ref="F201:L201" si="404">IF((AND($A201 = "+0",$E201 = F$1)), $C201, "")</f>
        <v/>
      </c>
      <c r="G201" t="str">
        <f t="shared" si="404"/>
        <v/>
      </c>
      <c r="H201" t="str">
        <f t="shared" si="404"/>
        <v/>
      </c>
      <c r="I201" t="str">
        <f t="shared" si="404"/>
        <v/>
      </c>
      <c r="J201" t="str">
        <f t="shared" si="404"/>
        <v/>
      </c>
      <c r="K201" t="str">
        <f t="shared" si="404"/>
        <v/>
      </c>
      <c r="L201">
        <f t="shared" si="404"/>
        <v>12</v>
      </c>
      <c r="M201" t="str">
        <f t="shared" ref="M201:S201" si="405">IF((AND($A201 = "+0",$E201 = M$1)), 2^$D201-$B201, "")</f>
        <v/>
      </c>
      <c r="N201" t="str">
        <f t="shared" si="405"/>
        <v/>
      </c>
      <c r="O201" t="str">
        <f t="shared" si="405"/>
        <v/>
      </c>
      <c r="P201" t="str">
        <f t="shared" si="405"/>
        <v/>
      </c>
      <c r="Q201" t="str">
        <f t="shared" si="405"/>
        <v/>
      </c>
      <c r="R201" t="str">
        <f t="shared" si="405"/>
        <v/>
      </c>
      <c r="S201">
        <f t="shared" si="405"/>
        <v>55</v>
      </c>
      <c r="T201">
        <f t="shared" si="5"/>
        <v>876</v>
      </c>
      <c r="U201" s="25">
        <f t="shared" si="6"/>
        <v>6.083333333</v>
      </c>
      <c r="V201" s="26">
        <f t="shared" si="7"/>
        <v>0.1506849315</v>
      </c>
      <c r="W201" s="25">
        <f t="shared" si="8"/>
        <v>6.580456796</v>
      </c>
      <c r="X201" s="25">
        <f t="shared" si="9"/>
        <v>6.702123463</v>
      </c>
      <c r="Y201" s="25"/>
      <c r="Z201" s="25"/>
    </row>
    <row r="202">
      <c r="A202" s="1" t="s">
        <v>4</v>
      </c>
      <c r="B202" s="1">
        <v>73.0</v>
      </c>
      <c r="C202" s="1">
        <v>13.0</v>
      </c>
      <c r="D202" s="1">
        <v>7.0</v>
      </c>
      <c r="E202">
        <f t="shared" si="2"/>
        <v>8</v>
      </c>
      <c r="F202" t="str">
        <f t="shared" ref="F202:L202" si="406">IF((AND($A202 = "+0",$E202 = F$1)), $C202, "")</f>
        <v/>
      </c>
      <c r="G202" t="str">
        <f t="shared" si="406"/>
        <v/>
      </c>
      <c r="H202" t="str">
        <f t="shared" si="406"/>
        <v/>
      </c>
      <c r="I202" t="str">
        <f t="shared" si="406"/>
        <v/>
      </c>
      <c r="J202" t="str">
        <f t="shared" si="406"/>
        <v/>
      </c>
      <c r="K202" t="str">
        <f t="shared" si="406"/>
        <v/>
      </c>
      <c r="L202" t="str">
        <f t="shared" si="406"/>
        <v/>
      </c>
      <c r="M202" t="str">
        <f t="shared" ref="M202:S202" si="407">IF((AND($A202 = "+0",$E202 = M$1)), 2^$D202-$B202, "")</f>
        <v/>
      </c>
      <c r="N202" t="str">
        <f t="shared" si="407"/>
        <v/>
      </c>
      <c r="O202" t="str">
        <f t="shared" si="407"/>
        <v/>
      </c>
      <c r="P202" t="str">
        <f t="shared" si="407"/>
        <v/>
      </c>
      <c r="Q202" t="str">
        <f t="shared" si="407"/>
        <v/>
      </c>
      <c r="R202" t="str">
        <f t="shared" si="407"/>
        <v/>
      </c>
      <c r="S202" t="str">
        <f t="shared" si="407"/>
        <v/>
      </c>
      <c r="T202">
        <f t="shared" si="5"/>
        <v>949</v>
      </c>
      <c r="U202" s="25">
        <f t="shared" si="6"/>
        <v>5.615384615</v>
      </c>
      <c r="V202" s="26">
        <f t="shared" si="7"/>
        <v>0.1643835616</v>
      </c>
      <c r="W202" s="25">
        <f t="shared" si="8"/>
        <v>6.658196887</v>
      </c>
      <c r="X202" s="25">
        <f t="shared" si="9"/>
        <v>6.77050458</v>
      </c>
      <c r="Y202" s="25"/>
      <c r="Z202" s="25"/>
    </row>
    <row r="203">
      <c r="A203" s="1" t="s">
        <v>4</v>
      </c>
      <c r="B203" s="1">
        <v>72.0</v>
      </c>
      <c r="C203" s="1">
        <v>13.0</v>
      </c>
      <c r="D203" s="1">
        <v>7.0</v>
      </c>
      <c r="E203">
        <f t="shared" si="2"/>
        <v>8</v>
      </c>
      <c r="F203" t="str">
        <f t="shared" ref="F203:L203" si="408">IF((AND($A203 = "+0",$E203 = F$1)), $C203, "")</f>
        <v/>
      </c>
      <c r="G203" t="str">
        <f t="shared" si="408"/>
        <v/>
      </c>
      <c r="H203" t="str">
        <f t="shared" si="408"/>
        <v/>
      </c>
      <c r="I203" t="str">
        <f t="shared" si="408"/>
        <v/>
      </c>
      <c r="J203" t="str">
        <f t="shared" si="408"/>
        <v/>
      </c>
      <c r="K203" t="str">
        <f t="shared" si="408"/>
        <v/>
      </c>
      <c r="L203" t="str">
        <f t="shared" si="408"/>
        <v/>
      </c>
      <c r="M203" t="str">
        <f t="shared" ref="M203:S203" si="409">IF((AND($A203 = "+0",$E203 = M$1)), 2^$D203-$B203, "")</f>
        <v/>
      </c>
      <c r="N203" t="str">
        <f t="shared" si="409"/>
        <v/>
      </c>
      <c r="O203" t="str">
        <f t="shared" si="409"/>
        <v/>
      </c>
      <c r="P203" t="str">
        <f t="shared" si="409"/>
        <v/>
      </c>
      <c r="Q203" t="str">
        <f t="shared" si="409"/>
        <v/>
      </c>
      <c r="R203" t="str">
        <f t="shared" si="409"/>
        <v/>
      </c>
      <c r="S203" t="str">
        <f t="shared" si="409"/>
        <v/>
      </c>
      <c r="T203">
        <f t="shared" si="5"/>
        <v>936</v>
      </c>
      <c r="U203" s="25">
        <f t="shared" si="6"/>
        <v>5.538461538</v>
      </c>
      <c r="V203" s="26">
        <f t="shared" si="7"/>
        <v>0.1666666667</v>
      </c>
      <c r="W203" s="25">
        <f t="shared" si="8"/>
        <v>6.644800362</v>
      </c>
      <c r="X203" s="25">
        <f t="shared" si="9"/>
        <v>6.755569593</v>
      </c>
      <c r="Y203" s="25"/>
      <c r="Z203" s="25"/>
    </row>
    <row r="204">
      <c r="A204" s="1" t="s">
        <v>4</v>
      </c>
      <c r="B204" s="1">
        <v>71.0</v>
      </c>
      <c r="C204" s="1">
        <v>13.0</v>
      </c>
      <c r="D204" s="1">
        <v>7.0</v>
      </c>
      <c r="E204">
        <f t="shared" si="2"/>
        <v>8</v>
      </c>
      <c r="F204" t="str">
        <f t="shared" ref="F204:L204" si="410">IF((AND($A204 = "+0",$E204 = F$1)), $C204, "")</f>
        <v/>
      </c>
      <c r="G204" t="str">
        <f t="shared" si="410"/>
        <v/>
      </c>
      <c r="H204" t="str">
        <f t="shared" si="410"/>
        <v/>
      </c>
      <c r="I204" t="str">
        <f t="shared" si="410"/>
        <v/>
      </c>
      <c r="J204" t="str">
        <f t="shared" si="410"/>
        <v/>
      </c>
      <c r="K204" t="str">
        <f t="shared" si="410"/>
        <v/>
      </c>
      <c r="L204" t="str">
        <f t="shared" si="410"/>
        <v/>
      </c>
      <c r="M204" t="str">
        <f t="shared" ref="M204:S204" si="411">IF((AND($A204 = "+0",$E204 = M$1)), 2^$D204-$B204, "")</f>
        <v/>
      </c>
      <c r="N204" t="str">
        <f t="shared" si="411"/>
        <v/>
      </c>
      <c r="O204" t="str">
        <f t="shared" si="411"/>
        <v/>
      </c>
      <c r="P204" t="str">
        <f t="shared" si="411"/>
        <v/>
      </c>
      <c r="Q204" t="str">
        <f t="shared" si="411"/>
        <v/>
      </c>
      <c r="R204" t="str">
        <f t="shared" si="411"/>
        <v/>
      </c>
      <c r="S204" t="str">
        <f t="shared" si="411"/>
        <v/>
      </c>
      <c r="T204">
        <f t="shared" si="5"/>
        <v>923</v>
      </c>
      <c r="U204" s="25">
        <f t="shared" si="6"/>
        <v>5.461538462</v>
      </c>
      <c r="V204" s="26">
        <f t="shared" si="7"/>
        <v>0.1690140845</v>
      </c>
      <c r="W204" s="25">
        <f t="shared" si="8"/>
        <v>6.631216468</v>
      </c>
      <c r="X204" s="25">
        <f t="shared" si="9"/>
        <v>6.740447237</v>
      </c>
      <c r="Y204" s="25"/>
      <c r="Z204" s="25"/>
    </row>
    <row r="205">
      <c r="A205" s="1" t="s">
        <v>4</v>
      </c>
      <c r="B205" s="1">
        <v>70.0</v>
      </c>
      <c r="C205" s="1">
        <v>13.0</v>
      </c>
      <c r="D205" s="1">
        <v>7.0</v>
      </c>
      <c r="E205">
        <f t="shared" si="2"/>
        <v>8</v>
      </c>
      <c r="F205" t="str">
        <f t="shared" ref="F205:L205" si="412">IF((AND($A205 = "+0",$E205 = F$1)), $C205, "")</f>
        <v/>
      </c>
      <c r="G205" t="str">
        <f t="shared" si="412"/>
        <v/>
      </c>
      <c r="H205" t="str">
        <f t="shared" si="412"/>
        <v/>
      </c>
      <c r="I205" t="str">
        <f t="shared" si="412"/>
        <v/>
      </c>
      <c r="J205" t="str">
        <f t="shared" si="412"/>
        <v/>
      </c>
      <c r="K205" t="str">
        <f t="shared" si="412"/>
        <v/>
      </c>
      <c r="L205" t="str">
        <f t="shared" si="412"/>
        <v/>
      </c>
      <c r="M205" t="str">
        <f t="shared" ref="M205:S205" si="413">IF((AND($A205 = "+0",$E205 = M$1)), 2^$D205-$B205, "")</f>
        <v/>
      </c>
      <c r="N205" t="str">
        <f t="shared" si="413"/>
        <v/>
      </c>
      <c r="O205" t="str">
        <f t="shared" si="413"/>
        <v/>
      </c>
      <c r="P205" t="str">
        <f t="shared" si="413"/>
        <v/>
      </c>
      <c r="Q205" t="str">
        <f t="shared" si="413"/>
        <v/>
      </c>
      <c r="R205" t="str">
        <f t="shared" si="413"/>
        <v/>
      </c>
      <c r="S205" t="str">
        <f t="shared" si="413"/>
        <v/>
      </c>
      <c r="T205">
        <f t="shared" si="5"/>
        <v>910</v>
      </c>
      <c r="U205" s="25">
        <f t="shared" si="6"/>
        <v>5.384615385</v>
      </c>
      <c r="V205" s="26">
        <f t="shared" si="7"/>
        <v>0.1714285714</v>
      </c>
      <c r="W205" s="25">
        <f t="shared" si="8"/>
        <v>6.617439887</v>
      </c>
      <c r="X205" s="25">
        <f t="shared" si="9"/>
        <v>6.725132195</v>
      </c>
      <c r="Y205" s="25"/>
      <c r="Z205" s="25"/>
    </row>
    <row r="206">
      <c r="A206" s="1" t="s">
        <v>5</v>
      </c>
      <c r="B206" s="1">
        <v>69.0</v>
      </c>
      <c r="C206" s="1">
        <v>13.0</v>
      </c>
      <c r="D206" s="1">
        <v>7.0</v>
      </c>
      <c r="E206">
        <f t="shared" si="2"/>
        <v>7</v>
      </c>
      <c r="F206" t="str">
        <f t="shared" ref="F206:L206" si="414">IF((AND($A206 = "+0",$E206 = F$1)), $C206, "")</f>
        <v/>
      </c>
      <c r="G206" t="str">
        <f t="shared" si="414"/>
        <v/>
      </c>
      <c r="H206" t="str">
        <f t="shared" si="414"/>
        <v/>
      </c>
      <c r="I206" t="str">
        <f t="shared" si="414"/>
        <v/>
      </c>
      <c r="J206" t="str">
        <f t="shared" si="414"/>
        <v/>
      </c>
      <c r="K206" t="str">
        <f t="shared" si="414"/>
        <v/>
      </c>
      <c r="L206">
        <f t="shared" si="414"/>
        <v>13</v>
      </c>
      <c r="M206" t="str">
        <f t="shared" ref="M206:S206" si="415">IF((AND($A206 = "+0",$E206 = M$1)), 2^$D206-$B206, "")</f>
        <v/>
      </c>
      <c r="N206" t="str">
        <f t="shared" si="415"/>
        <v/>
      </c>
      <c r="O206" t="str">
        <f t="shared" si="415"/>
        <v/>
      </c>
      <c r="P206" t="str">
        <f t="shared" si="415"/>
        <v/>
      </c>
      <c r="Q206" t="str">
        <f t="shared" si="415"/>
        <v/>
      </c>
      <c r="R206" t="str">
        <f t="shared" si="415"/>
        <v/>
      </c>
      <c r="S206">
        <f t="shared" si="415"/>
        <v>59</v>
      </c>
      <c r="T206">
        <f t="shared" si="5"/>
        <v>897</v>
      </c>
      <c r="U206" s="25">
        <f t="shared" si="6"/>
        <v>5.307692308</v>
      </c>
      <c r="V206" s="26">
        <f t="shared" si="7"/>
        <v>0.1739130435</v>
      </c>
      <c r="W206" s="25">
        <f t="shared" si="8"/>
        <v>6.603465075</v>
      </c>
      <c r="X206" s="25">
        <f t="shared" si="9"/>
        <v>6.709618921</v>
      </c>
      <c r="Y206" s="25"/>
      <c r="Z206" s="25"/>
    </row>
    <row r="207">
      <c r="A207" s="1" t="s">
        <v>4</v>
      </c>
      <c r="B207" s="1">
        <v>69.0</v>
      </c>
      <c r="C207" s="1">
        <v>14.0</v>
      </c>
      <c r="D207" s="1">
        <v>7.0</v>
      </c>
      <c r="E207">
        <f t="shared" si="2"/>
        <v>8</v>
      </c>
      <c r="F207" t="str">
        <f t="shared" ref="F207:L207" si="416">IF((AND($A207 = "+0",$E207 = F$1)), $C207, "")</f>
        <v/>
      </c>
      <c r="G207" t="str">
        <f t="shared" si="416"/>
        <v/>
      </c>
      <c r="H207" t="str">
        <f t="shared" si="416"/>
        <v/>
      </c>
      <c r="I207" t="str">
        <f t="shared" si="416"/>
        <v/>
      </c>
      <c r="J207" t="str">
        <f t="shared" si="416"/>
        <v/>
      </c>
      <c r="K207" t="str">
        <f t="shared" si="416"/>
        <v/>
      </c>
      <c r="L207" t="str">
        <f t="shared" si="416"/>
        <v/>
      </c>
      <c r="M207" t="str">
        <f t="shared" ref="M207:S207" si="417">IF((AND($A207 = "+0",$E207 = M$1)), 2^$D207-$B207, "")</f>
        <v/>
      </c>
      <c r="N207" t="str">
        <f t="shared" si="417"/>
        <v/>
      </c>
      <c r="O207" t="str">
        <f t="shared" si="417"/>
        <v/>
      </c>
      <c r="P207" t="str">
        <f t="shared" si="417"/>
        <v/>
      </c>
      <c r="Q207" t="str">
        <f t="shared" si="417"/>
        <v/>
      </c>
      <c r="R207" t="str">
        <f t="shared" si="417"/>
        <v/>
      </c>
      <c r="S207" t="str">
        <f t="shared" si="417"/>
        <v/>
      </c>
      <c r="T207">
        <f t="shared" si="5"/>
        <v>966</v>
      </c>
      <c r="U207" s="25">
        <f t="shared" si="6"/>
        <v>4.928571429</v>
      </c>
      <c r="V207" s="26">
        <f t="shared" si="7"/>
        <v>0.1884057971</v>
      </c>
      <c r="W207" s="25">
        <f t="shared" si="8"/>
        <v>6.675441158</v>
      </c>
      <c r="X207" s="25">
        <f t="shared" si="9"/>
        <v>6.774012586</v>
      </c>
      <c r="Y207" s="25"/>
      <c r="Z207" s="25"/>
    </row>
    <row r="208">
      <c r="A208" s="1" t="s">
        <v>4</v>
      </c>
      <c r="B208" s="1">
        <v>68.0</v>
      </c>
      <c r="C208" s="1">
        <v>14.0</v>
      </c>
      <c r="D208" s="1">
        <v>7.0</v>
      </c>
      <c r="E208">
        <f t="shared" si="2"/>
        <v>8</v>
      </c>
      <c r="F208" t="str">
        <f t="shared" ref="F208:L208" si="418">IF((AND($A208 = "+0",$E208 = F$1)), $C208, "")</f>
        <v/>
      </c>
      <c r="G208" t="str">
        <f t="shared" si="418"/>
        <v/>
      </c>
      <c r="H208" t="str">
        <f t="shared" si="418"/>
        <v/>
      </c>
      <c r="I208" t="str">
        <f t="shared" si="418"/>
        <v/>
      </c>
      <c r="J208" t="str">
        <f t="shared" si="418"/>
        <v/>
      </c>
      <c r="K208" t="str">
        <f t="shared" si="418"/>
        <v/>
      </c>
      <c r="L208" t="str">
        <f t="shared" si="418"/>
        <v/>
      </c>
      <c r="M208" t="str">
        <f t="shared" ref="M208:S208" si="419">IF((AND($A208 = "+0",$E208 = M$1)), 2^$D208-$B208, "")</f>
        <v/>
      </c>
      <c r="N208" t="str">
        <f t="shared" si="419"/>
        <v/>
      </c>
      <c r="O208" t="str">
        <f t="shared" si="419"/>
        <v/>
      </c>
      <c r="P208" t="str">
        <f t="shared" si="419"/>
        <v/>
      </c>
      <c r="Q208" t="str">
        <f t="shared" si="419"/>
        <v/>
      </c>
      <c r="R208" t="str">
        <f t="shared" si="419"/>
        <v/>
      </c>
      <c r="S208" t="str">
        <f t="shared" si="419"/>
        <v/>
      </c>
      <c r="T208">
        <f t="shared" si="5"/>
        <v>952</v>
      </c>
      <c r="U208" s="25">
        <f t="shared" si="6"/>
        <v>4.857142857</v>
      </c>
      <c r="V208" s="26">
        <f t="shared" si="7"/>
        <v>0.1911764706</v>
      </c>
      <c r="W208" s="25">
        <f t="shared" si="8"/>
        <v>6.661262327</v>
      </c>
      <c r="X208" s="25">
        <f t="shared" si="9"/>
        <v>6.758405184</v>
      </c>
      <c r="Y208" s="25"/>
      <c r="Z208" s="25"/>
    </row>
    <row r="209">
      <c r="A209" s="1" t="s">
        <v>4</v>
      </c>
      <c r="B209" s="1">
        <v>67.0</v>
      </c>
      <c r="C209" s="1">
        <v>14.0</v>
      </c>
      <c r="D209" s="1">
        <v>7.0</v>
      </c>
      <c r="E209">
        <f t="shared" si="2"/>
        <v>8</v>
      </c>
      <c r="F209" t="str">
        <f t="shared" ref="F209:L209" si="420">IF((AND($A209 = "+0",$E209 = F$1)), $C209, "")</f>
        <v/>
      </c>
      <c r="G209" t="str">
        <f t="shared" si="420"/>
        <v/>
      </c>
      <c r="H209" t="str">
        <f t="shared" si="420"/>
        <v/>
      </c>
      <c r="I209" t="str">
        <f t="shared" si="420"/>
        <v/>
      </c>
      <c r="J209" t="str">
        <f t="shared" si="420"/>
        <v/>
      </c>
      <c r="K209" t="str">
        <f t="shared" si="420"/>
        <v/>
      </c>
      <c r="L209" t="str">
        <f t="shared" si="420"/>
        <v/>
      </c>
      <c r="M209" t="str">
        <f t="shared" ref="M209:S209" si="421">IF((AND($A209 = "+0",$E209 = M$1)), 2^$D209-$B209, "")</f>
        <v/>
      </c>
      <c r="N209" t="str">
        <f t="shared" si="421"/>
        <v/>
      </c>
      <c r="O209" t="str">
        <f t="shared" si="421"/>
        <v/>
      </c>
      <c r="P209" t="str">
        <f t="shared" si="421"/>
        <v/>
      </c>
      <c r="Q209" t="str">
        <f t="shared" si="421"/>
        <v/>
      </c>
      <c r="R209" t="str">
        <f t="shared" si="421"/>
        <v/>
      </c>
      <c r="S209" t="str">
        <f t="shared" si="421"/>
        <v/>
      </c>
      <c r="T209">
        <f t="shared" si="5"/>
        <v>938</v>
      </c>
      <c r="U209" s="25">
        <f t="shared" si="6"/>
        <v>4.785714286</v>
      </c>
      <c r="V209" s="26">
        <f t="shared" si="7"/>
        <v>0.1940298507</v>
      </c>
      <c r="W209" s="25">
        <f t="shared" si="8"/>
        <v>6.646873432</v>
      </c>
      <c r="X209" s="25">
        <f t="shared" si="9"/>
        <v>6.742587718</v>
      </c>
      <c r="Y209" s="25"/>
      <c r="Z209" s="25"/>
    </row>
    <row r="210">
      <c r="A210" s="1" t="s">
        <v>5</v>
      </c>
      <c r="B210" s="1">
        <v>66.0</v>
      </c>
      <c r="C210" s="1">
        <v>14.0</v>
      </c>
      <c r="D210" s="1">
        <v>7.0</v>
      </c>
      <c r="E210">
        <f t="shared" si="2"/>
        <v>7</v>
      </c>
      <c r="F210" t="str">
        <f t="shared" ref="F210:L210" si="422">IF((AND($A210 = "+0",$E210 = F$1)), $C210, "")</f>
        <v/>
      </c>
      <c r="G210" t="str">
        <f t="shared" si="422"/>
        <v/>
      </c>
      <c r="H210" t="str">
        <f t="shared" si="422"/>
        <v/>
      </c>
      <c r="I210" t="str">
        <f t="shared" si="422"/>
        <v/>
      </c>
      <c r="J210" t="str">
        <f t="shared" si="422"/>
        <v/>
      </c>
      <c r="K210" t="str">
        <f t="shared" si="422"/>
        <v/>
      </c>
      <c r="L210">
        <f t="shared" si="422"/>
        <v>14</v>
      </c>
      <c r="M210" t="str">
        <f t="shared" ref="M210:S210" si="423">IF((AND($A210 = "+0",$E210 = M$1)), 2^$D210-$B210, "")</f>
        <v/>
      </c>
      <c r="N210" t="str">
        <f t="shared" si="423"/>
        <v/>
      </c>
      <c r="O210" t="str">
        <f t="shared" si="423"/>
        <v/>
      </c>
      <c r="P210" t="str">
        <f t="shared" si="423"/>
        <v/>
      </c>
      <c r="Q210" t="str">
        <f t="shared" si="423"/>
        <v/>
      </c>
      <c r="R210" t="str">
        <f t="shared" si="423"/>
        <v/>
      </c>
      <c r="S210">
        <f t="shared" si="423"/>
        <v>62</v>
      </c>
      <c r="T210">
        <f t="shared" si="5"/>
        <v>924</v>
      </c>
      <c r="U210" s="25">
        <f t="shared" si="6"/>
        <v>4.714285714</v>
      </c>
      <c r="V210" s="26">
        <f t="shared" si="7"/>
        <v>0.196969697</v>
      </c>
      <c r="W210" s="25">
        <f t="shared" si="8"/>
        <v>6.632268154</v>
      </c>
      <c r="X210" s="25">
        <f t="shared" si="9"/>
        <v>6.726553869</v>
      </c>
      <c r="Y210" s="25"/>
      <c r="Z210" s="25"/>
    </row>
    <row r="211">
      <c r="A211" s="1" t="s">
        <v>4</v>
      </c>
      <c r="B211" s="1">
        <v>66.0</v>
      </c>
      <c r="C211" s="1">
        <v>15.0</v>
      </c>
      <c r="D211" s="1">
        <v>7.0</v>
      </c>
      <c r="E211">
        <f t="shared" si="2"/>
        <v>8</v>
      </c>
      <c r="F211" t="str">
        <f t="shared" ref="F211:L211" si="424">IF((AND($A211 = "+0",$E211 = F$1)), $C211, "")</f>
        <v/>
      </c>
      <c r="G211" t="str">
        <f t="shared" si="424"/>
        <v/>
      </c>
      <c r="H211" t="str">
        <f t="shared" si="424"/>
        <v/>
      </c>
      <c r="I211" t="str">
        <f t="shared" si="424"/>
        <v/>
      </c>
      <c r="J211" t="str">
        <f t="shared" si="424"/>
        <v/>
      </c>
      <c r="K211" t="str">
        <f t="shared" si="424"/>
        <v/>
      </c>
      <c r="L211" t="str">
        <f t="shared" si="424"/>
        <v/>
      </c>
      <c r="M211" t="str">
        <f t="shared" ref="M211:S211" si="425">IF((AND($A211 = "+0",$E211 = M$1)), 2^$D211-$B211, "")</f>
        <v/>
      </c>
      <c r="N211" t="str">
        <f t="shared" si="425"/>
        <v/>
      </c>
      <c r="O211" t="str">
        <f t="shared" si="425"/>
        <v/>
      </c>
      <c r="P211" t="str">
        <f t="shared" si="425"/>
        <v/>
      </c>
      <c r="Q211" t="str">
        <f t="shared" si="425"/>
        <v/>
      </c>
      <c r="R211" t="str">
        <f t="shared" si="425"/>
        <v/>
      </c>
      <c r="S211" t="str">
        <f t="shared" si="425"/>
        <v/>
      </c>
      <c r="T211">
        <f t="shared" si="5"/>
        <v>990</v>
      </c>
      <c r="U211" s="25">
        <f t="shared" si="6"/>
        <v>4.4</v>
      </c>
      <c r="V211" s="26">
        <f t="shared" si="7"/>
        <v>0.2121212121</v>
      </c>
      <c r="W211" s="25">
        <f t="shared" si="8"/>
        <v>6.699276284</v>
      </c>
      <c r="X211" s="25">
        <f t="shared" si="9"/>
        <v>6.787276284</v>
      </c>
      <c r="Y211" s="25"/>
      <c r="Z211" s="25"/>
    </row>
    <row r="212">
      <c r="A212" s="1" t="s">
        <v>4</v>
      </c>
      <c r="B212" s="1">
        <v>65.0</v>
      </c>
      <c r="C212" s="1">
        <v>15.0</v>
      </c>
      <c r="D212" s="1">
        <v>7.0</v>
      </c>
      <c r="E212">
        <f t="shared" si="2"/>
        <v>8</v>
      </c>
      <c r="F212" t="str">
        <f t="shared" ref="F212:L212" si="426">IF((AND($A212 = "+0",$E212 = F$1)), $C212, "")</f>
        <v/>
      </c>
      <c r="G212" t="str">
        <f t="shared" si="426"/>
        <v/>
      </c>
      <c r="H212" t="str">
        <f t="shared" si="426"/>
        <v/>
      </c>
      <c r="I212" t="str">
        <f t="shared" si="426"/>
        <v/>
      </c>
      <c r="J212" t="str">
        <f t="shared" si="426"/>
        <v/>
      </c>
      <c r="K212" t="str">
        <f t="shared" si="426"/>
        <v/>
      </c>
      <c r="L212" t="str">
        <f t="shared" si="426"/>
        <v/>
      </c>
      <c r="M212" t="str">
        <f t="shared" ref="M212:S212" si="427">IF((AND($A212 = "+0",$E212 = M$1)), 2^$D212-$B212, "")</f>
        <v/>
      </c>
      <c r="N212" t="str">
        <f t="shared" si="427"/>
        <v/>
      </c>
      <c r="O212" t="str">
        <f t="shared" si="427"/>
        <v/>
      </c>
      <c r="P212" t="str">
        <f t="shared" si="427"/>
        <v/>
      </c>
      <c r="Q212" t="str">
        <f t="shared" si="427"/>
        <v/>
      </c>
      <c r="R212" t="str">
        <f t="shared" si="427"/>
        <v/>
      </c>
      <c r="S212" t="str">
        <f t="shared" si="427"/>
        <v/>
      </c>
      <c r="T212">
        <f t="shared" si="5"/>
        <v>975</v>
      </c>
      <c r="U212" s="25">
        <f t="shared" si="6"/>
        <v>4.333333333</v>
      </c>
      <c r="V212" s="26">
        <f t="shared" si="7"/>
        <v>0.2153846154</v>
      </c>
      <c r="W212" s="25">
        <f t="shared" si="8"/>
        <v>6.684448017</v>
      </c>
      <c r="X212" s="25">
        <f t="shared" si="9"/>
        <v>6.771114683</v>
      </c>
      <c r="Y212" s="25"/>
      <c r="Z212" s="25"/>
    </row>
    <row r="213">
      <c r="A213" s="1" t="s">
        <v>4</v>
      </c>
      <c r="B213" s="1">
        <v>64.0</v>
      </c>
      <c r="C213" s="1">
        <v>15.0</v>
      </c>
      <c r="D213" s="1">
        <v>7.0</v>
      </c>
      <c r="E213">
        <f t="shared" si="2"/>
        <v>8</v>
      </c>
      <c r="F213" t="str">
        <f t="shared" ref="F213:L213" si="428">IF((AND($A213 = "+0",$E213 = F$1)), $C213, "")</f>
        <v/>
      </c>
      <c r="G213" t="str">
        <f t="shared" si="428"/>
        <v/>
      </c>
      <c r="H213" t="str">
        <f t="shared" si="428"/>
        <v/>
      </c>
      <c r="I213" t="str">
        <f t="shared" si="428"/>
        <v/>
      </c>
      <c r="J213" t="str">
        <f t="shared" si="428"/>
        <v/>
      </c>
      <c r="K213" t="str">
        <f t="shared" si="428"/>
        <v/>
      </c>
      <c r="L213" t="str">
        <f t="shared" si="428"/>
        <v/>
      </c>
      <c r="M213" t="str">
        <f t="shared" ref="M213:S213" si="429">IF((AND($A213 = "+0",$E213 = M$1)), 2^$D213-$B213, "")</f>
        <v/>
      </c>
      <c r="N213" t="str">
        <f t="shared" si="429"/>
        <v/>
      </c>
      <c r="O213" t="str">
        <f t="shared" si="429"/>
        <v/>
      </c>
      <c r="P213" t="str">
        <f t="shared" si="429"/>
        <v/>
      </c>
      <c r="Q213" t="str">
        <f t="shared" si="429"/>
        <v/>
      </c>
      <c r="R213" t="str">
        <f t="shared" si="429"/>
        <v/>
      </c>
      <c r="S213" t="str">
        <f t="shared" si="429"/>
        <v/>
      </c>
      <c r="T213">
        <f t="shared" si="5"/>
        <v>960</v>
      </c>
      <c r="U213" s="25">
        <f t="shared" si="6"/>
        <v>4.266666667</v>
      </c>
      <c r="V213" s="26">
        <f t="shared" si="7"/>
        <v>0.21875</v>
      </c>
      <c r="W213" s="25">
        <f t="shared" si="8"/>
        <v>6.669389844</v>
      </c>
      <c r="X213" s="25">
        <f t="shared" si="9"/>
        <v>6.754723178</v>
      </c>
      <c r="Y213" s="25"/>
      <c r="Z213" s="25"/>
    </row>
    <row r="214">
      <c r="A214" s="1" t="s">
        <v>5</v>
      </c>
      <c r="B214" s="1">
        <v>63.0</v>
      </c>
      <c r="C214" s="1">
        <v>15.0</v>
      </c>
      <c r="D214" s="1">
        <v>7.0</v>
      </c>
      <c r="E214">
        <f t="shared" si="2"/>
        <v>7</v>
      </c>
      <c r="F214" t="str">
        <f t="shared" ref="F214:L214" si="430">IF((AND($A214 = "+0",$E214 = F$1)), $C214, "")</f>
        <v/>
      </c>
      <c r="G214" t="str">
        <f t="shared" si="430"/>
        <v/>
      </c>
      <c r="H214" t="str">
        <f t="shared" si="430"/>
        <v/>
      </c>
      <c r="I214" t="str">
        <f t="shared" si="430"/>
        <v/>
      </c>
      <c r="J214" t="str">
        <f t="shared" si="430"/>
        <v/>
      </c>
      <c r="K214" t="str">
        <f t="shared" si="430"/>
        <v/>
      </c>
      <c r="L214">
        <f t="shared" si="430"/>
        <v>15</v>
      </c>
      <c r="M214" t="str">
        <f t="shared" ref="M214:S214" si="431">IF((AND($A214 = "+0",$E214 = M$1)), 2^$D214-$B214, "")</f>
        <v/>
      </c>
      <c r="N214" t="str">
        <f t="shared" si="431"/>
        <v/>
      </c>
      <c r="O214" t="str">
        <f t="shared" si="431"/>
        <v/>
      </c>
      <c r="P214" t="str">
        <f t="shared" si="431"/>
        <v/>
      </c>
      <c r="Q214" t="str">
        <f t="shared" si="431"/>
        <v/>
      </c>
      <c r="R214" t="str">
        <f t="shared" si="431"/>
        <v/>
      </c>
      <c r="S214">
        <f t="shared" si="431"/>
        <v>65</v>
      </c>
      <c r="T214">
        <f t="shared" si="5"/>
        <v>945</v>
      </c>
      <c r="U214" s="25">
        <f t="shared" si="6"/>
        <v>4.2</v>
      </c>
      <c r="V214" s="26">
        <f t="shared" si="7"/>
        <v>0.2222222222</v>
      </c>
      <c r="W214" s="25">
        <f t="shared" si="8"/>
        <v>6.654094526</v>
      </c>
      <c r="X214" s="25">
        <f t="shared" si="9"/>
        <v>6.738094526</v>
      </c>
      <c r="Y214" s="25"/>
      <c r="Z214" s="25"/>
    </row>
    <row r="215">
      <c r="A215" s="1" t="s">
        <v>4</v>
      </c>
      <c r="B215" s="1">
        <v>63.0</v>
      </c>
      <c r="C215" s="1">
        <v>16.0</v>
      </c>
      <c r="D215" s="1">
        <v>7.0</v>
      </c>
      <c r="E215">
        <f t="shared" si="2"/>
        <v>8</v>
      </c>
      <c r="F215" t="str">
        <f t="shared" ref="F215:L215" si="432">IF((AND($A215 = "+0",$E215 = F$1)), $C215, "")</f>
        <v/>
      </c>
      <c r="G215" t="str">
        <f t="shared" si="432"/>
        <v/>
      </c>
      <c r="H215" t="str">
        <f t="shared" si="432"/>
        <v/>
      </c>
      <c r="I215" t="str">
        <f t="shared" si="432"/>
        <v/>
      </c>
      <c r="J215" t="str">
        <f t="shared" si="432"/>
        <v/>
      </c>
      <c r="K215" t="str">
        <f t="shared" si="432"/>
        <v/>
      </c>
      <c r="L215" t="str">
        <f t="shared" si="432"/>
        <v/>
      </c>
      <c r="M215" t="str">
        <f t="shared" ref="M215:S215" si="433">IF((AND($A215 = "+0",$E215 = M$1)), 2^$D215-$B215, "")</f>
        <v/>
      </c>
      <c r="N215" t="str">
        <f t="shared" si="433"/>
        <v/>
      </c>
      <c r="O215" t="str">
        <f t="shared" si="433"/>
        <v/>
      </c>
      <c r="P215" t="str">
        <f t="shared" si="433"/>
        <v/>
      </c>
      <c r="Q215" t="str">
        <f t="shared" si="433"/>
        <v/>
      </c>
      <c r="R215" t="str">
        <f t="shared" si="433"/>
        <v/>
      </c>
      <c r="S215" t="str">
        <f t="shared" si="433"/>
        <v/>
      </c>
      <c r="T215">
        <f t="shared" si="5"/>
        <v>1008</v>
      </c>
      <c r="U215" s="25">
        <f t="shared" si="6"/>
        <v>3.9375</v>
      </c>
      <c r="V215" s="26">
        <f t="shared" si="7"/>
        <v>0.2380952381</v>
      </c>
      <c r="W215" s="25">
        <f t="shared" si="8"/>
        <v>6.716776445</v>
      </c>
      <c r="X215" s="25">
        <f t="shared" si="9"/>
        <v>6.795526445</v>
      </c>
      <c r="Y215" s="25"/>
      <c r="Z215" s="25"/>
    </row>
    <row r="216">
      <c r="A216" s="1" t="s">
        <v>4</v>
      </c>
      <c r="B216" s="1">
        <v>62.0</v>
      </c>
      <c r="C216" s="1">
        <v>16.0</v>
      </c>
      <c r="D216" s="1">
        <v>7.0</v>
      </c>
      <c r="E216">
        <f t="shared" si="2"/>
        <v>8</v>
      </c>
      <c r="F216" t="str">
        <f t="shared" ref="F216:L216" si="434">IF((AND($A216 = "+0",$E216 = F$1)), $C216, "")</f>
        <v/>
      </c>
      <c r="G216" t="str">
        <f t="shared" si="434"/>
        <v/>
      </c>
      <c r="H216" t="str">
        <f t="shared" si="434"/>
        <v/>
      </c>
      <c r="I216" t="str">
        <f t="shared" si="434"/>
        <v/>
      </c>
      <c r="J216" t="str">
        <f t="shared" si="434"/>
        <v/>
      </c>
      <c r="K216" t="str">
        <f t="shared" si="434"/>
        <v/>
      </c>
      <c r="L216" t="str">
        <f t="shared" si="434"/>
        <v/>
      </c>
      <c r="M216" t="str">
        <f t="shared" ref="M216:S216" si="435">IF((AND($A216 = "+0",$E216 = M$1)), 2^$D216-$B216, "")</f>
        <v/>
      </c>
      <c r="N216" t="str">
        <f t="shared" si="435"/>
        <v/>
      </c>
      <c r="O216" t="str">
        <f t="shared" si="435"/>
        <v/>
      </c>
      <c r="P216" t="str">
        <f t="shared" si="435"/>
        <v/>
      </c>
      <c r="Q216" t="str">
        <f t="shared" si="435"/>
        <v/>
      </c>
      <c r="R216" t="str">
        <f t="shared" si="435"/>
        <v/>
      </c>
      <c r="S216" t="str">
        <f t="shared" si="435"/>
        <v/>
      </c>
      <c r="T216">
        <f t="shared" si="5"/>
        <v>992</v>
      </c>
      <c r="U216" s="25">
        <f t="shared" si="6"/>
        <v>3.875</v>
      </c>
      <c r="V216" s="26">
        <f t="shared" si="7"/>
        <v>0.2419354839</v>
      </c>
      <c r="W216" s="25">
        <f t="shared" si="8"/>
        <v>6.701236391</v>
      </c>
      <c r="X216" s="25">
        <f t="shared" si="9"/>
        <v>6.778736391</v>
      </c>
      <c r="Y216" s="25"/>
      <c r="Z216" s="25"/>
    </row>
    <row r="217">
      <c r="A217" s="1" t="s">
        <v>4</v>
      </c>
      <c r="B217" s="1">
        <v>61.0</v>
      </c>
      <c r="C217" s="1">
        <v>16.0</v>
      </c>
      <c r="D217" s="1">
        <v>7.0</v>
      </c>
      <c r="E217">
        <f t="shared" si="2"/>
        <v>8</v>
      </c>
      <c r="F217" t="str">
        <f t="shared" ref="F217:L217" si="436">IF((AND($A217 = "+0",$E217 = F$1)), $C217, "")</f>
        <v/>
      </c>
      <c r="G217" t="str">
        <f t="shared" si="436"/>
        <v/>
      </c>
      <c r="H217" t="str">
        <f t="shared" si="436"/>
        <v/>
      </c>
      <c r="I217" t="str">
        <f t="shared" si="436"/>
        <v/>
      </c>
      <c r="J217" t="str">
        <f t="shared" si="436"/>
        <v/>
      </c>
      <c r="K217" t="str">
        <f t="shared" si="436"/>
        <v/>
      </c>
      <c r="L217" t="str">
        <f t="shared" si="436"/>
        <v/>
      </c>
      <c r="M217" t="str">
        <f t="shared" ref="M217:S217" si="437">IF((AND($A217 = "+0",$E217 = M$1)), 2^$D217-$B217, "")</f>
        <v/>
      </c>
      <c r="N217" t="str">
        <f t="shared" si="437"/>
        <v/>
      </c>
      <c r="O217" t="str">
        <f t="shared" si="437"/>
        <v/>
      </c>
      <c r="P217" t="str">
        <f t="shared" si="437"/>
        <v/>
      </c>
      <c r="Q217" t="str">
        <f t="shared" si="437"/>
        <v/>
      </c>
      <c r="R217" t="str">
        <f t="shared" si="437"/>
        <v/>
      </c>
      <c r="S217" t="str">
        <f t="shared" si="437"/>
        <v/>
      </c>
      <c r="T217">
        <f t="shared" si="5"/>
        <v>976</v>
      </c>
      <c r="U217" s="25">
        <f t="shared" si="6"/>
        <v>3.8125</v>
      </c>
      <c r="V217" s="26">
        <f t="shared" si="7"/>
        <v>0.2459016393</v>
      </c>
      <c r="W217" s="25">
        <f t="shared" si="8"/>
        <v>6.685443642</v>
      </c>
      <c r="X217" s="25">
        <f t="shared" si="9"/>
        <v>6.761693642</v>
      </c>
      <c r="Y217" s="25"/>
      <c r="Z217" s="25"/>
    </row>
    <row r="218">
      <c r="A218" s="1" t="s">
        <v>5</v>
      </c>
      <c r="B218" s="1">
        <v>60.0</v>
      </c>
      <c r="C218" s="1">
        <v>16.0</v>
      </c>
      <c r="D218" s="1">
        <v>7.0</v>
      </c>
      <c r="E218">
        <f t="shared" si="2"/>
        <v>7</v>
      </c>
      <c r="F218" t="str">
        <f t="shared" ref="F218:L218" si="438">IF((AND($A218 = "+0",$E218 = F$1)), $C218, "")</f>
        <v/>
      </c>
      <c r="G218" t="str">
        <f t="shared" si="438"/>
        <v/>
      </c>
      <c r="H218" t="str">
        <f t="shared" si="438"/>
        <v/>
      </c>
      <c r="I218" t="str">
        <f t="shared" si="438"/>
        <v/>
      </c>
      <c r="J218" t="str">
        <f t="shared" si="438"/>
        <v/>
      </c>
      <c r="K218" t="str">
        <f t="shared" si="438"/>
        <v/>
      </c>
      <c r="L218">
        <f t="shared" si="438"/>
        <v>16</v>
      </c>
      <c r="M218" t="str">
        <f t="shared" ref="M218:S218" si="439">IF((AND($A218 = "+0",$E218 = M$1)), 2^$D218-$B218, "")</f>
        <v/>
      </c>
      <c r="N218" t="str">
        <f t="shared" si="439"/>
        <v/>
      </c>
      <c r="O218" t="str">
        <f t="shared" si="439"/>
        <v/>
      </c>
      <c r="P218" t="str">
        <f t="shared" si="439"/>
        <v/>
      </c>
      <c r="Q218" t="str">
        <f t="shared" si="439"/>
        <v/>
      </c>
      <c r="R218" t="str">
        <f t="shared" si="439"/>
        <v/>
      </c>
      <c r="S218">
        <f t="shared" si="439"/>
        <v>68</v>
      </c>
      <c r="T218">
        <f t="shared" si="5"/>
        <v>960</v>
      </c>
      <c r="U218" s="25">
        <f t="shared" si="6"/>
        <v>3.75</v>
      </c>
      <c r="V218" s="26">
        <f t="shared" si="7"/>
        <v>0.25</v>
      </c>
      <c r="W218" s="25">
        <f t="shared" si="8"/>
        <v>6.669389844</v>
      </c>
      <c r="X218" s="25">
        <f t="shared" si="9"/>
        <v>6.744389844</v>
      </c>
      <c r="Y218" s="25"/>
      <c r="Z218" s="25"/>
    </row>
    <row r="219">
      <c r="A219" s="1" t="s">
        <v>4</v>
      </c>
      <c r="B219" s="1">
        <v>60.0</v>
      </c>
      <c r="C219" s="1">
        <v>17.0</v>
      </c>
      <c r="D219" s="1">
        <v>7.0</v>
      </c>
      <c r="E219">
        <f t="shared" si="2"/>
        <v>8</v>
      </c>
      <c r="F219" t="str">
        <f t="shared" ref="F219:L219" si="440">IF((AND($A219 = "+0",$E219 = F$1)), $C219, "")</f>
        <v/>
      </c>
      <c r="G219" t="str">
        <f t="shared" si="440"/>
        <v/>
      </c>
      <c r="H219" t="str">
        <f t="shared" si="440"/>
        <v/>
      </c>
      <c r="I219" t="str">
        <f t="shared" si="440"/>
        <v/>
      </c>
      <c r="J219" t="str">
        <f t="shared" si="440"/>
        <v/>
      </c>
      <c r="K219" t="str">
        <f t="shared" si="440"/>
        <v/>
      </c>
      <c r="L219" t="str">
        <f t="shared" si="440"/>
        <v/>
      </c>
      <c r="M219" t="str">
        <f t="shared" ref="M219:S219" si="441">IF((AND($A219 = "+0",$E219 = M$1)), 2^$D219-$B219, "")</f>
        <v/>
      </c>
      <c r="N219" t="str">
        <f t="shared" si="441"/>
        <v/>
      </c>
      <c r="O219" t="str">
        <f t="shared" si="441"/>
        <v/>
      </c>
      <c r="P219" t="str">
        <f t="shared" si="441"/>
        <v/>
      </c>
      <c r="Q219" t="str">
        <f t="shared" si="441"/>
        <v/>
      </c>
      <c r="R219" t="str">
        <f t="shared" si="441"/>
        <v/>
      </c>
      <c r="S219" t="str">
        <f t="shared" si="441"/>
        <v/>
      </c>
      <c r="T219">
        <f t="shared" si="5"/>
        <v>1020</v>
      </c>
      <c r="U219" s="25">
        <f t="shared" si="6"/>
        <v>3.529411765</v>
      </c>
      <c r="V219" s="26">
        <f t="shared" si="7"/>
        <v>0.2666666667</v>
      </c>
      <c r="W219" s="25">
        <f t="shared" si="8"/>
        <v>6.728270457</v>
      </c>
      <c r="X219" s="25">
        <f t="shared" si="9"/>
        <v>6.798858692</v>
      </c>
      <c r="Y219" s="25"/>
      <c r="Z219" s="25"/>
    </row>
    <row r="220">
      <c r="A220" s="1" t="s">
        <v>4</v>
      </c>
      <c r="B220" s="1">
        <v>59.0</v>
      </c>
      <c r="C220" s="1">
        <v>17.0</v>
      </c>
      <c r="D220" s="1">
        <v>7.0</v>
      </c>
      <c r="E220">
        <f t="shared" si="2"/>
        <v>8</v>
      </c>
      <c r="F220" t="str">
        <f t="shared" ref="F220:L220" si="442">IF((AND($A220 = "+0",$E220 = F$1)), $C220, "")</f>
        <v/>
      </c>
      <c r="G220" t="str">
        <f t="shared" si="442"/>
        <v/>
      </c>
      <c r="H220" t="str">
        <f t="shared" si="442"/>
        <v/>
      </c>
      <c r="I220" t="str">
        <f t="shared" si="442"/>
        <v/>
      </c>
      <c r="J220" t="str">
        <f t="shared" si="442"/>
        <v/>
      </c>
      <c r="K220" t="str">
        <f t="shared" si="442"/>
        <v/>
      </c>
      <c r="L220" t="str">
        <f t="shared" si="442"/>
        <v/>
      </c>
      <c r="M220" t="str">
        <f t="shared" ref="M220:S220" si="443">IF((AND($A220 = "+0",$E220 = M$1)), 2^$D220-$B220, "")</f>
        <v/>
      </c>
      <c r="N220" t="str">
        <f t="shared" si="443"/>
        <v/>
      </c>
      <c r="O220" t="str">
        <f t="shared" si="443"/>
        <v/>
      </c>
      <c r="P220" t="str">
        <f t="shared" si="443"/>
        <v/>
      </c>
      <c r="Q220" t="str">
        <f t="shared" si="443"/>
        <v/>
      </c>
      <c r="R220" t="str">
        <f t="shared" si="443"/>
        <v/>
      </c>
      <c r="S220" t="str">
        <f t="shared" si="443"/>
        <v/>
      </c>
      <c r="T220">
        <f t="shared" si="5"/>
        <v>1003</v>
      </c>
      <c r="U220" s="25">
        <f t="shared" si="6"/>
        <v>3.470588235</v>
      </c>
      <c r="V220" s="26">
        <f t="shared" si="7"/>
        <v>0.2711864407</v>
      </c>
      <c r="W220" s="25">
        <f t="shared" si="8"/>
        <v>6.711946835</v>
      </c>
      <c r="X220" s="25">
        <f t="shared" si="9"/>
        <v>6.781358599</v>
      </c>
      <c r="Y220" s="25"/>
      <c r="Z220" s="25"/>
    </row>
    <row r="221">
      <c r="A221" s="1" t="s">
        <v>5</v>
      </c>
      <c r="B221" s="1">
        <v>58.0</v>
      </c>
      <c r="C221" s="1">
        <v>17.0</v>
      </c>
      <c r="D221" s="1">
        <v>7.0</v>
      </c>
      <c r="E221">
        <f t="shared" si="2"/>
        <v>7</v>
      </c>
      <c r="F221" t="str">
        <f t="shared" ref="F221:L221" si="444">IF((AND($A221 = "+0",$E221 = F$1)), $C221, "")</f>
        <v/>
      </c>
      <c r="G221" t="str">
        <f t="shared" si="444"/>
        <v/>
      </c>
      <c r="H221" t="str">
        <f t="shared" si="444"/>
        <v/>
      </c>
      <c r="I221" t="str">
        <f t="shared" si="444"/>
        <v/>
      </c>
      <c r="J221" t="str">
        <f t="shared" si="444"/>
        <v/>
      </c>
      <c r="K221" t="str">
        <f t="shared" si="444"/>
        <v/>
      </c>
      <c r="L221">
        <f t="shared" si="444"/>
        <v>17</v>
      </c>
      <c r="M221" t="str">
        <f t="shared" ref="M221:S221" si="445">IF((AND($A221 = "+0",$E221 = M$1)), 2^$D221-$B221, "")</f>
        <v/>
      </c>
      <c r="N221" t="str">
        <f t="shared" si="445"/>
        <v/>
      </c>
      <c r="O221" t="str">
        <f t="shared" si="445"/>
        <v/>
      </c>
      <c r="P221" t="str">
        <f t="shared" si="445"/>
        <v/>
      </c>
      <c r="Q221" t="str">
        <f t="shared" si="445"/>
        <v/>
      </c>
      <c r="R221" t="str">
        <f t="shared" si="445"/>
        <v/>
      </c>
      <c r="S221">
        <f t="shared" si="445"/>
        <v>70</v>
      </c>
      <c r="T221">
        <f t="shared" si="5"/>
        <v>986</v>
      </c>
      <c r="U221" s="25">
        <f t="shared" si="6"/>
        <v>3.411764706</v>
      </c>
      <c r="V221" s="26">
        <f t="shared" si="7"/>
        <v>0.275862069</v>
      </c>
      <c r="W221" s="25">
        <f t="shared" si="8"/>
        <v>6.695344163</v>
      </c>
      <c r="X221" s="25">
        <f t="shared" si="9"/>
        <v>6.763579457</v>
      </c>
      <c r="Y221" s="25"/>
      <c r="Z221" s="25"/>
    </row>
    <row r="222">
      <c r="A222" s="1" t="s">
        <v>4</v>
      </c>
      <c r="B222" s="1">
        <v>58.0</v>
      </c>
      <c r="C222" s="1">
        <v>18.0</v>
      </c>
      <c r="D222" s="1">
        <v>7.0</v>
      </c>
      <c r="E222">
        <f t="shared" si="2"/>
        <v>8</v>
      </c>
      <c r="F222" t="str">
        <f t="shared" ref="F222:L222" si="446">IF((AND($A222 = "+0",$E222 = F$1)), $C222, "")</f>
        <v/>
      </c>
      <c r="G222" t="str">
        <f t="shared" si="446"/>
        <v/>
      </c>
      <c r="H222" t="str">
        <f t="shared" si="446"/>
        <v/>
      </c>
      <c r="I222" t="str">
        <f t="shared" si="446"/>
        <v/>
      </c>
      <c r="J222" t="str">
        <f t="shared" si="446"/>
        <v/>
      </c>
      <c r="K222" t="str">
        <f t="shared" si="446"/>
        <v/>
      </c>
      <c r="L222" t="str">
        <f t="shared" si="446"/>
        <v/>
      </c>
      <c r="M222" t="str">
        <f t="shared" ref="M222:S222" si="447">IF((AND($A222 = "+0",$E222 = M$1)), 2^$D222-$B222, "")</f>
        <v/>
      </c>
      <c r="N222" t="str">
        <f t="shared" si="447"/>
        <v/>
      </c>
      <c r="O222" t="str">
        <f t="shared" si="447"/>
        <v/>
      </c>
      <c r="P222" t="str">
        <f t="shared" si="447"/>
        <v/>
      </c>
      <c r="Q222" t="str">
        <f t="shared" si="447"/>
        <v/>
      </c>
      <c r="R222" t="str">
        <f t="shared" si="447"/>
        <v/>
      </c>
      <c r="S222" t="str">
        <f t="shared" si="447"/>
        <v/>
      </c>
      <c r="T222">
        <f t="shared" si="5"/>
        <v>1044</v>
      </c>
      <c r="U222" s="25">
        <f t="shared" si="6"/>
        <v>3.222222222</v>
      </c>
      <c r="V222" s="26">
        <f t="shared" si="7"/>
        <v>0.2931034483</v>
      </c>
      <c r="W222" s="25">
        <f t="shared" si="8"/>
        <v>6.750858281</v>
      </c>
      <c r="X222" s="25">
        <f t="shared" si="9"/>
        <v>6.815302725</v>
      </c>
      <c r="Y222" s="25"/>
      <c r="Z222" s="25"/>
    </row>
    <row r="223">
      <c r="A223" s="1" t="s">
        <v>4</v>
      </c>
      <c r="B223" s="1">
        <v>57.0</v>
      </c>
      <c r="C223" s="1">
        <v>18.0</v>
      </c>
      <c r="D223" s="1">
        <v>7.0</v>
      </c>
      <c r="E223">
        <f t="shared" si="2"/>
        <v>8</v>
      </c>
      <c r="F223" t="str">
        <f t="shared" ref="F223:L223" si="448">IF((AND($A223 = "+0",$E223 = F$1)), $C223, "")</f>
        <v/>
      </c>
      <c r="G223" t="str">
        <f t="shared" si="448"/>
        <v/>
      </c>
      <c r="H223" t="str">
        <f t="shared" si="448"/>
        <v/>
      </c>
      <c r="I223" t="str">
        <f t="shared" si="448"/>
        <v/>
      </c>
      <c r="J223" t="str">
        <f t="shared" si="448"/>
        <v/>
      </c>
      <c r="K223" t="str">
        <f t="shared" si="448"/>
        <v/>
      </c>
      <c r="L223" t="str">
        <f t="shared" si="448"/>
        <v/>
      </c>
      <c r="M223" t="str">
        <f t="shared" ref="M223:S223" si="449">IF((AND($A223 = "+0",$E223 = M$1)), 2^$D223-$B223, "")</f>
        <v/>
      </c>
      <c r="N223" t="str">
        <f t="shared" si="449"/>
        <v/>
      </c>
      <c r="O223" t="str">
        <f t="shared" si="449"/>
        <v/>
      </c>
      <c r="P223" t="str">
        <f t="shared" si="449"/>
        <v/>
      </c>
      <c r="Q223" t="str">
        <f t="shared" si="449"/>
        <v/>
      </c>
      <c r="R223" t="str">
        <f t="shared" si="449"/>
        <v/>
      </c>
      <c r="S223" t="str">
        <f t="shared" si="449"/>
        <v/>
      </c>
      <c r="T223">
        <f t="shared" si="5"/>
        <v>1026</v>
      </c>
      <c r="U223" s="25">
        <f t="shared" si="6"/>
        <v>3.166666667</v>
      </c>
      <c r="V223" s="26">
        <f t="shared" si="7"/>
        <v>0.298245614</v>
      </c>
      <c r="W223" s="25">
        <f t="shared" si="8"/>
        <v>6.733966852</v>
      </c>
      <c r="X223" s="25">
        <f t="shared" si="9"/>
        <v>6.797300186</v>
      </c>
      <c r="Y223" s="25"/>
      <c r="Z223" s="25"/>
    </row>
    <row r="224">
      <c r="A224" s="1" t="s">
        <v>4</v>
      </c>
      <c r="B224" s="1">
        <v>56.0</v>
      </c>
      <c r="C224" s="1">
        <v>18.0</v>
      </c>
      <c r="D224" s="1">
        <v>7.0</v>
      </c>
      <c r="E224">
        <f t="shared" si="2"/>
        <v>8</v>
      </c>
      <c r="F224" t="str">
        <f t="shared" ref="F224:L224" si="450">IF((AND($A224 = "+0",$E224 = F$1)), $C224, "")</f>
        <v/>
      </c>
      <c r="G224" t="str">
        <f t="shared" si="450"/>
        <v/>
      </c>
      <c r="H224" t="str">
        <f t="shared" si="450"/>
        <v/>
      </c>
      <c r="I224" t="str">
        <f t="shared" si="450"/>
        <v/>
      </c>
      <c r="J224" t="str">
        <f t="shared" si="450"/>
        <v/>
      </c>
      <c r="K224" t="str">
        <f t="shared" si="450"/>
        <v/>
      </c>
      <c r="L224" t="str">
        <f t="shared" si="450"/>
        <v/>
      </c>
      <c r="M224" t="str">
        <f t="shared" ref="M224:S224" si="451">IF((AND($A224 = "+0",$E224 = M$1)), 2^$D224-$B224, "")</f>
        <v/>
      </c>
      <c r="N224" t="str">
        <f t="shared" si="451"/>
        <v/>
      </c>
      <c r="O224" t="str">
        <f t="shared" si="451"/>
        <v/>
      </c>
      <c r="P224" t="str">
        <f t="shared" si="451"/>
        <v/>
      </c>
      <c r="Q224" t="str">
        <f t="shared" si="451"/>
        <v/>
      </c>
      <c r="R224" t="str">
        <f t="shared" si="451"/>
        <v/>
      </c>
      <c r="S224" t="str">
        <f t="shared" si="451"/>
        <v/>
      </c>
      <c r="T224">
        <f t="shared" si="5"/>
        <v>1008</v>
      </c>
      <c r="U224" s="25">
        <f t="shared" si="6"/>
        <v>3.111111111</v>
      </c>
      <c r="V224" s="26">
        <f t="shared" si="7"/>
        <v>0.3035714286</v>
      </c>
      <c r="W224" s="25">
        <f t="shared" si="8"/>
        <v>6.716776445</v>
      </c>
      <c r="X224" s="25">
        <f t="shared" si="9"/>
        <v>6.778998667</v>
      </c>
      <c r="Y224" s="25"/>
      <c r="Z224" s="25"/>
    </row>
    <row r="225">
      <c r="A225" s="1" t="s">
        <v>5</v>
      </c>
      <c r="B225" s="1">
        <v>55.0</v>
      </c>
      <c r="C225" s="1">
        <v>18.0</v>
      </c>
      <c r="D225" s="1">
        <v>7.0</v>
      </c>
      <c r="E225">
        <f t="shared" si="2"/>
        <v>7</v>
      </c>
      <c r="F225" t="str">
        <f t="shared" ref="F225:L225" si="452">IF((AND($A225 = "+0",$E225 = F$1)), $C225, "")</f>
        <v/>
      </c>
      <c r="G225" t="str">
        <f t="shared" si="452"/>
        <v/>
      </c>
      <c r="H225" t="str">
        <f t="shared" si="452"/>
        <v/>
      </c>
      <c r="I225" t="str">
        <f t="shared" si="452"/>
        <v/>
      </c>
      <c r="J225" t="str">
        <f t="shared" si="452"/>
        <v/>
      </c>
      <c r="K225" t="str">
        <f t="shared" si="452"/>
        <v/>
      </c>
      <c r="L225">
        <f t="shared" si="452"/>
        <v>18</v>
      </c>
      <c r="M225" t="str">
        <f t="shared" ref="M225:S225" si="453">IF((AND($A225 = "+0",$E225 = M$1)), 2^$D225-$B225, "")</f>
        <v/>
      </c>
      <c r="N225" t="str">
        <f t="shared" si="453"/>
        <v/>
      </c>
      <c r="O225" t="str">
        <f t="shared" si="453"/>
        <v/>
      </c>
      <c r="P225" t="str">
        <f t="shared" si="453"/>
        <v/>
      </c>
      <c r="Q225" t="str">
        <f t="shared" si="453"/>
        <v/>
      </c>
      <c r="R225" t="str">
        <f t="shared" si="453"/>
        <v/>
      </c>
      <c r="S225">
        <f t="shared" si="453"/>
        <v>73</v>
      </c>
      <c r="T225">
        <f t="shared" si="5"/>
        <v>990</v>
      </c>
      <c r="U225" s="25">
        <f t="shared" si="6"/>
        <v>3.055555556</v>
      </c>
      <c r="V225" s="26">
        <f t="shared" si="7"/>
        <v>0.3090909091</v>
      </c>
      <c r="W225" s="25">
        <f t="shared" si="8"/>
        <v>6.699276284</v>
      </c>
      <c r="X225" s="25">
        <f t="shared" si="9"/>
        <v>6.760387395</v>
      </c>
      <c r="Y225" s="25"/>
      <c r="Z225" s="25"/>
    </row>
    <row r="226">
      <c r="A226" s="1" t="s">
        <v>4</v>
      </c>
      <c r="B226" s="1">
        <v>55.0</v>
      </c>
      <c r="C226" s="1">
        <v>19.0</v>
      </c>
      <c r="D226" s="1">
        <v>7.0</v>
      </c>
      <c r="E226">
        <f t="shared" si="2"/>
        <v>8</v>
      </c>
      <c r="F226" t="str">
        <f t="shared" ref="F226:L226" si="454">IF((AND($A226 = "+0",$E226 = F$1)), $C226, "")</f>
        <v/>
      </c>
      <c r="G226" t="str">
        <f t="shared" si="454"/>
        <v/>
      </c>
      <c r="H226" t="str">
        <f t="shared" si="454"/>
        <v/>
      </c>
      <c r="I226" t="str">
        <f t="shared" si="454"/>
        <v/>
      </c>
      <c r="J226" t="str">
        <f t="shared" si="454"/>
        <v/>
      </c>
      <c r="K226" t="str">
        <f t="shared" si="454"/>
        <v/>
      </c>
      <c r="L226" t="str">
        <f t="shared" si="454"/>
        <v/>
      </c>
      <c r="M226" t="str">
        <f t="shared" ref="M226:S226" si="455">IF((AND($A226 = "+0",$E226 = M$1)), 2^$D226-$B226, "")</f>
        <v/>
      </c>
      <c r="N226" t="str">
        <f t="shared" si="455"/>
        <v/>
      </c>
      <c r="O226" t="str">
        <f t="shared" si="455"/>
        <v/>
      </c>
      <c r="P226" t="str">
        <f t="shared" si="455"/>
        <v/>
      </c>
      <c r="Q226" t="str">
        <f t="shared" si="455"/>
        <v/>
      </c>
      <c r="R226" t="str">
        <f t="shared" si="455"/>
        <v/>
      </c>
      <c r="S226" t="str">
        <f t="shared" si="455"/>
        <v/>
      </c>
      <c r="T226">
        <f t="shared" si="5"/>
        <v>1045</v>
      </c>
      <c r="U226" s="25">
        <f t="shared" si="6"/>
        <v>2.894736842</v>
      </c>
      <c r="V226" s="26">
        <f t="shared" si="7"/>
        <v>0.3272727273</v>
      </c>
      <c r="W226" s="25">
        <f t="shared" si="8"/>
        <v>6.751788135</v>
      </c>
      <c r="X226" s="25">
        <f t="shared" si="9"/>
        <v>6.809682872</v>
      </c>
      <c r="Y226" s="25"/>
      <c r="Z226" s="25"/>
    </row>
    <row r="227">
      <c r="A227" s="1" t="s">
        <v>4</v>
      </c>
      <c r="B227" s="1">
        <v>54.0</v>
      </c>
      <c r="C227" s="1">
        <v>19.0</v>
      </c>
      <c r="D227" s="1">
        <v>7.0</v>
      </c>
      <c r="E227">
        <f t="shared" si="2"/>
        <v>8</v>
      </c>
      <c r="F227" t="str">
        <f t="shared" ref="F227:L227" si="456">IF((AND($A227 = "+0",$E227 = F$1)), $C227, "")</f>
        <v/>
      </c>
      <c r="G227" t="str">
        <f t="shared" si="456"/>
        <v/>
      </c>
      <c r="H227" t="str">
        <f t="shared" si="456"/>
        <v/>
      </c>
      <c r="I227" t="str">
        <f t="shared" si="456"/>
        <v/>
      </c>
      <c r="J227" t="str">
        <f t="shared" si="456"/>
        <v/>
      </c>
      <c r="K227" t="str">
        <f t="shared" si="456"/>
        <v/>
      </c>
      <c r="L227" t="str">
        <f t="shared" si="456"/>
        <v/>
      </c>
      <c r="M227" t="str">
        <f t="shared" ref="M227:S227" si="457">IF((AND($A227 = "+0",$E227 = M$1)), 2^$D227-$B227, "")</f>
        <v/>
      </c>
      <c r="N227" t="str">
        <f t="shared" si="457"/>
        <v/>
      </c>
      <c r="O227" t="str">
        <f t="shared" si="457"/>
        <v/>
      </c>
      <c r="P227" t="str">
        <f t="shared" si="457"/>
        <v/>
      </c>
      <c r="Q227" t="str">
        <f t="shared" si="457"/>
        <v/>
      </c>
      <c r="R227" t="str">
        <f t="shared" si="457"/>
        <v/>
      </c>
      <c r="S227" t="str">
        <f t="shared" si="457"/>
        <v/>
      </c>
      <c r="T227">
        <f t="shared" si="5"/>
        <v>1026</v>
      </c>
      <c r="U227" s="25">
        <f t="shared" si="6"/>
        <v>2.842105263</v>
      </c>
      <c r="V227" s="26">
        <f t="shared" si="7"/>
        <v>0.3333333333</v>
      </c>
      <c r="W227" s="25">
        <f t="shared" si="8"/>
        <v>6.733966852</v>
      </c>
      <c r="X227" s="25">
        <f t="shared" si="9"/>
        <v>6.790808958</v>
      </c>
      <c r="Y227" s="25"/>
      <c r="Z227" s="25"/>
    </row>
    <row r="228">
      <c r="A228" s="1" t="s">
        <v>5</v>
      </c>
      <c r="B228" s="1">
        <v>53.0</v>
      </c>
      <c r="C228" s="1">
        <v>19.0</v>
      </c>
      <c r="D228" s="1">
        <v>7.0</v>
      </c>
      <c r="E228">
        <f t="shared" si="2"/>
        <v>7</v>
      </c>
      <c r="F228" t="str">
        <f t="shared" ref="F228:L228" si="458">IF((AND($A228 = "+0",$E228 = F$1)), $C228, "")</f>
        <v/>
      </c>
      <c r="G228" t="str">
        <f t="shared" si="458"/>
        <v/>
      </c>
      <c r="H228" t="str">
        <f t="shared" si="458"/>
        <v/>
      </c>
      <c r="I228" t="str">
        <f t="shared" si="458"/>
        <v/>
      </c>
      <c r="J228" t="str">
        <f t="shared" si="458"/>
        <v/>
      </c>
      <c r="K228" t="str">
        <f t="shared" si="458"/>
        <v/>
      </c>
      <c r="L228">
        <f t="shared" si="458"/>
        <v>19</v>
      </c>
      <c r="M228" t="str">
        <f t="shared" ref="M228:S228" si="459">IF((AND($A228 = "+0",$E228 = M$1)), 2^$D228-$B228, "")</f>
        <v/>
      </c>
      <c r="N228" t="str">
        <f t="shared" si="459"/>
        <v/>
      </c>
      <c r="O228" t="str">
        <f t="shared" si="459"/>
        <v/>
      </c>
      <c r="P228" t="str">
        <f t="shared" si="459"/>
        <v/>
      </c>
      <c r="Q228" t="str">
        <f t="shared" si="459"/>
        <v/>
      </c>
      <c r="R228" t="str">
        <f t="shared" si="459"/>
        <v/>
      </c>
      <c r="S228">
        <f t="shared" si="459"/>
        <v>75</v>
      </c>
      <c r="T228">
        <f t="shared" si="5"/>
        <v>1007</v>
      </c>
      <c r="U228" s="25">
        <f t="shared" si="6"/>
        <v>2.789473684</v>
      </c>
      <c r="V228" s="26">
        <f t="shared" si="7"/>
        <v>0.3396226415</v>
      </c>
      <c r="W228" s="25">
        <f t="shared" si="8"/>
        <v>6.715812442</v>
      </c>
      <c r="X228" s="25">
        <f t="shared" si="9"/>
        <v>6.771601916</v>
      </c>
      <c r="Y228" s="25"/>
      <c r="Z228" s="25"/>
    </row>
    <row r="229">
      <c r="A229" s="1" t="s">
        <v>4</v>
      </c>
      <c r="B229" s="1">
        <v>53.0</v>
      </c>
      <c r="C229" s="1">
        <v>20.0</v>
      </c>
      <c r="D229" s="1">
        <v>7.0</v>
      </c>
      <c r="E229">
        <f t="shared" si="2"/>
        <v>8</v>
      </c>
      <c r="F229" t="str">
        <f t="shared" ref="F229:L229" si="460">IF((AND($A229 = "+0",$E229 = F$1)), $C229, "")</f>
        <v/>
      </c>
      <c r="G229" t="str">
        <f t="shared" si="460"/>
        <v/>
      </c>
      <c r="H229" t="str">
        <f t="shared" si="460"/>
        <v/>
      </c>
      <c r="I229" t="str">
        <f t="shared" si="460"/>
        <v/>
      </c>
      <c r="J229" t="str">
        <f t="shared" si="460"/>
        <v/>
      </c>
      <c r="K229" t="str">
        <f t="shared" si="460"/>
        <v/>
      </c>
      <c r="L229" t="str">
        <f t="shared" si="460"/>
        <v/>
      </c>
      <c r="M229" t="str">
        <f t="shared" ref="M229:S229" si="461">IF((AND($A229 = "+0",$E229 = M$1)), 2^$D229-$B229, "")</f>
        <v/>
      </c>
      <c r="N229" t="str">
        <f t="shared" si="461"/>
        <v/>
      </c>
      <c r="O229" t="str">
        <f t="shared" si="461"/>
        <v/>
      </c>
      <c r="P229" t="str">
        <f t="shared" si="461"/>
        <v/>
      </c>
      <c r="Q229" t="str">
        <f t="shared" si="461"/>
        <v/>
      </c>
      <c r="R229" t="str">
        <f t="shared" si="461"/>
        <v/>
      </c>
      <c r="S229" t="str">
        <f t="shared" si="461"/>
        <v/>
      </c>
      <c r="T229">
        <f t="shared" si="5"/>
        <v>1060</v>
      </c>
      <c r="U229" s="25">
        <f t="shared" si="6"/>
        <v>2.65</v>
      </c>
      <c r="V229" s="26">
        <f t="shared" si="7"/>
        <v>0.358490566</v>
      </c>
      <c r="W229" s="25">
        <f t="shared" si="8"/>
        <v>6.765630165</v>
      </c>
      <c r="X229" s="25">
        <f t="shared" si="9"/>
        <v>6.818630165</v>
      </c>
      <c r="Y229" s="25"/>
      <c r="Z229" s="25"/>
    </row>
    <row r="230">
      <c r="A230" s="1" t="s">
        <v>4</v>
      </c>
      <c r="B230" s="1">
        <v>52.0</v>
      </c>
      <c r="C230" s="1">
        <v>20.0</v>
      </c>
      <c r="D230" s="1">
        <v>7.0</v>
      </c>
      <c r="E230">
        <f t="shared" si="2"/>
        <v>8</v>
      </c>
      <c r="F230" t="str">
        <f t="shared" ref="F230:L230" si="462">IF((AND($A230 = "+0",$E230 = F$1)), $C230, "")</f>
        <v/>
      </c>
      <c r="G230" t="str">
        <f t="shared" si="462"/>
        <v/>
      </c>
      <c r="H230" t="str">
        <f t="shared" si="462"/>
        <v/>
      </c>
      <c r="I230" t="str">
        <f t="shared" si="462"/>
        <v/>
      </c>
      <c r="J230" t="str">
        <f t="shared" si="462"/>
        <v/>
      </c>
      <c r="K230" t="str">
        <f t="shared" si="462"/>
        <v/>
      </c>
      <c r="L230" t="str">
        <f t="shared" si="462"/>
        <v/>
      </c>
      <c r="M230" t="str">
        <f t="shared" ref="M230:S230" si="463">IF((AND($A230 = "+0",$E230 = M$1)), 2^$D230-$B230, "")</f>
        <v/>
      </c>
      <c r="N230" t="str">
        <f t="shared" si="463"/>
        <v/>
      </c>
      <c r="O230" t="str">
        <f t="shared" si="463"/>
        <v/>
      </c>
      <c r="P230" t="str">
        <f t="shared" si="463"/>
        <v/>
      </c>
      <c r="Q230" t="str">
        <f t="shared" si="463"/>
        <v/>
      </c>
      <c r="R230" t="str">
        <f t="shared" si="463"/>
        <v/>
      </c>
      <c r="S230" t="str">
        <f t="shared" si="463"/>
        <v/>
      </c>
      <c r="T230">
        <f t="shared" si="5"/>
        <v>1040</v>
      </c>
      <c r="U230" s="25">
        <f t="shared" si="6"/>
        <v>2.6</v>
      </c>
      <c r="V230" s="26">
        <f t="shared" si="7"/>
        <v>0.3653846154</v>
      </c>
      <c r="W230" s="25">
        <f t="shared" si="8"/>
        <v>6.747129936</v>
      </c>
      <c r="X230" s="25">
        <f t="shared" si="9"/>
        <v>6.799129936</v>
      </c>
      <c r="Y230" s="25"/>
      <c r="Z230" s="25"/>
    </row>
    <row r="231">
      <c r="A231" s="1" t="s">
        <v>5</v>
      </c>
      <c r="B231" s="1">
        <v>51.0</v>
      </c>
      <c r="C231" s="1">
        <v>20.0</v>
      </c>
      <c r="D231" s="1">
        <v>7.0</v>
      </c>
      <c r="E231">
        <f t="shared" si="2"/>
        <v>7</v>
      </c>
      <c r="F231" t="str">
        <f t="shared" ref="F231:L231" si="464">IF((AND($A231 = "+0",$E231 = F$1)), $C231, "")</f>
        <v/>
      </c>
      <c r="G231" t="str">
        <f t="shared" si="464"/>
        <v/>
      </c>
      <c r="H231" t="str">
        <f t="shared" si="464"/>
        <v/>
      </c>
      <c r="I231" t="str">
        <f t="shared" si="464"/>
        <v/>
      </c>
      <c r="J231" t="str">
        <f t="shared" si="464"/>
        <v/>
      </c>
      <c r="K231" t="str">
        <f t="shared" si="464"/>
        <v/>
      </c>
      <c r="L231">
        <f t="shared" si="464"/>
        <v>20</v>
      </c>
      <c r="M231" t="str">
        <f t="shared" ref="M231:S231" si="465">IF((AND($A231 = "+0",$E231 = M$1)), 2^$D231-$B231, "")</f>
        <v/>
      </c>
      <c r="N231" t="str">
        <f t="shared" si="465"/>
        <v/>
      </c>
      <c r="O231" t="str">
        <f t="shared" si="465"/>
        <v/>
      </c>
      <c r="P231" t="str">
        <f t="shared" si="465"/>
        <v/>
      </c>
      <c r="Q231" t="str">
        <f t="shared" si="465"/>
        <v/>
      </c>
      <c r="R231" t="str">
        <f t="shared" si="465"/>
        <v/>
      </c>
      <c r="S231">
        <f t="shared" si="465"/>
        <v>77</v>
      </c>
      <c r="T231">
        <f t="shared" si="5"/>
        <v>1020</v>
      </c>
      <c r="U231" s="25">
        <f t="shared" si="6"/>
        <v>2.55</v>
      </c>
      <c r="V231" s="26">
        <f t="shared" si="7"/>
        <v>0.3725490196</v>
      </c>
      <c r="W231" s="25">
        <f t="shared" si="8"/>
        <v>6.728270457</v>
      </c>
      <c r="X231" s="25">
        <f t="shared" si="9"/>
        <v>6.779270457</v>
      </c>
      <c r="Y231" s="25"/>
      <c r="Z231" s="25"/>
    </row>
    <row r="232">
      <c r="A232" s="1" t="s">
        <v>4</v>
      </c>
      <c r="B232" s="1">
        <v>51.0</v>
      </c>
      <c r="C232" s="1">
        <v>21.0</v>
      </c>
      <c r="D232" s="1">
        <v>7.0</v>
      </c>
      <c r="E232">
        <f t="shared" si="2"/>
        <v>8</v>
      </c>
      <c r="F232" t="str">
        <f t="shared" ref="F232:L232" si="466">IF((AND($A232 = "+0",$E232 = F$1)), $C232, "")</f>
        <v/>
      </c>
      <c r="G232" t="str">
        <f t="shared" si="466"/>
        <v/>
      </c>
      <c r="H232" t="str">
        <f t="shared" si="466"/>
        <v/>
      </c>
      <c r="I232" t="str">
        <f t="shared" si="466"/>
        <v/>
      </c>
      <c r="J232" t="str">
        <f t="shared" si="466"/>
        <v/>
      </c>
      <c r="K232" t="str">
        <f t="shared" si="466"/>
        <v/>
      </c>
      <c r="L232" t="str">
        <f t="shared" si="466"/>
        <v/>
      </c>
      <c r="M232" t="str">
        <f t="shared" ref="M232:S232" si="467">IF((AND($A232 = "+0",$E232 = M$1)), 2^$D232-$B232, "")</f>
        <v/>
      </c>
      <c r="N232" t="str">
        <f t="shared" si="467"/>
        <v/>
      </c>
      <c r="O232" t="str">
        <f t="shared" si="467"/>
        <v/>
      </c>
      <c r="P232" t="str">
        <f t="shared" si="467"/>
        <v/>
      </c>
      <c r="Q232" t="str">
        <f t="shared" si="467"/>
        <v/>
      </c>
      <c r="R232" t="str">
        <f t="shared" si="467"/>
        <v/>
      </c>
      <c r="S232" t="str">
        <f t="shared" si="467"/>
        <v/>
      </c>
      <c r="T232">
        <f t="shared" si="5"/>
        <v>1071</v>
      </c>
      <c r="U232" s="25">
        <f t="shared" si="6"/>
        <v>2.428571429</v>
      </c>
      <c r="V232" s="26">
        <f t="shared" si="7"/>
        <v>0.3921568627</v>
      </c>
      <c r="W232" s="25">
        <f t="shared" si="8"/>
        <v>6.775657057</v>
      </c>
      <c r="X232" s="25">
        <f t="shared" si="9"/>
        <v>6.824228486</v>
      </c>
      <c r="Y232" s="25"/>
      <c r="Z232" s="25"/>
    </row>
    <row r="233">
      <c r="A233" s="1" t="s">
        <v>4</v>
      </c>
      <c r="B233" s="1">
        <v>50.0</v>
      </c>
      <c r="C233" s="1">
        <v>21.0</v>
      </c>
      <c r="D233" s="1">
        <v>7.0</v>
      </c>
      <c r="E233">
        <f t="shared" si="2"/>
        <v>8</v>
      </c>
      <c r="F233" t="str">
        <f t="shared" ref="F233:L233" si="468">IF((AND($A233 = "+0",$E233 = F$1)), $C233, "")</f>
        <v/>
      </c>
      <c r="G233" t="str">
        <f t="shared" si="468"/>
        <v/>
      </c>
      <c r="H233" t="str">
        <f t="shared" si="468"/>
        <v/>
      </c>
      <c r="I233" t="str">
        <f t="shared" si="468"/>
        <v/>
      </c>
      <c r="J233" t="str">
        <f t="shared" si="468"/>
        <v/>
      </c>
      <c r="K233" t="str">
        <f t="shared" si="468"/>
        <v/>
      </c>
      <c r="L233" t="str">
        <f t="shared" si="468"/>
        <v/>
      </c>
      <c r="M233" t="str">
        <f t="shared" ref="M233:S233" si="469">IF((AND($A233 = "+0",$E233 = M$1)), 2^$D233-$B233, "")</f>
        <v/>
      </c>
      <c r="N233" t="str">
        <f t="shared" si="469"/>
        <v/>
      </c>
      <c r="O233" t="str">
        <f t="shared" si="469"/>
        <v/>
      </c>
      <c r="P233" t="str">
        <f t="shared" si="469"/>
        <v/>
      </c>
      <c r="Q233" t="str">
        <f t="shared" si="469"/>
        <v/>
      </c>
      <c r="R233" t="str">
        <f t="shared" si="469"/>
        <v/>
      </c>
      <c r="S233" t="str">
        <f t="shared" si="469"/>
        <v/>
      </c>
      <c r="T233">
        <f t="shared" si="5"/>
        <v>1050</v>
      </c>
      <c r="U233" s="25">
        <f t="shared" si="6"/>
        <v>2.380952381</v>
      </c>
      <c r="V233" s="26">
        <f t="shared" si="7"/>
        <v>0.4</v>
      </c>
      <c r="W233" s="25">
        <f t="shared" si="8"/>
        <v>6.756424099</v>
      </c>
      <c r="X233" s="25">
        <f t="shared" si="9"/>
        <v>6.804043147</v>
      </c>
      <c r="Y233" s="25"/>
      <c r="Z233" s="25"/>
    </row>
    <row r="234">
      <c r="A234" s="1" t="s">
        <v>5</v>
      </c>
      <c r="B234" s="1">
        <v>49.0</v>
      </c>
      <c r="C234" s="1">
        <v>21.0</v>
      </c>
      <c r="D234" s="1">
        <v>7.0</v>
      </c>
      <c r="E234">
        <f t="shared" si="2"/>
        <v>7</v>
      </c>
      <c r="F234" t="str">
        <f t="shared" ref="F234:L234" si="470">IF((AND($A234 = "+0",$E234 = F$1)), $C234, "")</f>
        <v/>
      </c>
      <c r="G234" t="str">
        <f t="shared" si="470"/>
        <v/>
      </c>
      <c r="H234" t="str">
        <f t="shared" si="470"/>
        <v/>
      </c>
      <c r="I234" t="str">
        <f t="shared" si="470"/>
        <v/>
      </c>
      <c r="J234" t="str">
        <f t="shared" si="470"/>
        <v/>
      </c>
      <c r="K234" t="str">
        <f t="shared" si="470"/>
        <v/>
      </c>
      <c r="L234">
        <f t="shared" si="470"/>
        <v>21</v>
      </c>
      <c r="M234" t="str">
        <f t="shared" ref="M234:S234" si="471">IF((AND($A234 = "+0",$E234 = M$1)), 2^$D234-$B234, "")</f>
        <v/>
      </c>
      <c r="N234" t="str">
        <f t="shared" si="471"/>
        <v/>
      </c>
      <c r="O234" t="str">
        <f t="shared" si="471"/>
        <v/>
      </c>
      <c r="P234" t="str">
        <f t="shared" si="471"/>
        <v/>
      </c>
      <c r="Q234" t="str">
        <f t="shared" si="471"/>
        <v/>
      </c>
      <c r="R234" t="str">
        <f t="shared" si="471"/>
        <v/>
      </c>
      <c r="S234">
        <f t="shared" si="471"/>
        <v>79</v>
      </c>
      <c r="T234">
        <f t="shared" si="5"/>
        <v>1029</v>
      </c>
      <c r="U234" s="25">
        <f t="shared" si="6"/>
        <v>2.333333333</v>
      </c>
      <c r="V234" s="26">
        <f t="shared" si="7"/>
        <v>0.4081632653</v>
      </c>
      <c r="W234" s="25">
        <f t="shared" si="8"/>
        <v>6.73680257</v>
      </c>
      <c r="X234" s="25">
        <f t="shared" si="9"/>
        <v>6.783469237</v>
      </c>
      <c r="Y234" s="25"/>
      <c r="Z234" s="25"/>
    </row>
    <row r="235">
      <c r="A235" s="1" t="s">
        <v>4</v>
      </c>
      <c r="B235" s="1">
        <v>49.0</v>
      </c>
      <c r="C235" s="1">
        <v>22.0</v>
      </c>
      <c r="D235" s="1">
        <v>7.0</v>
      </c>
      <c r="E235">
        <f t="shared" si="2"/>
        <v>8</v>
      </c>
      <c r="F235" t="str">
        <f t="shared" ref="F235:L235" si="472">IF((AND($A235 = "+0",$E235 = F$1)), $C235, "")</f>
        <v/>
      </c>
      <c r="G235" t="str">
        <f t="shared" si="472"/>
        <v/>
      </c>
      <c r="H235" t="str">
        <f t="shared" si="472"/>
        <v/>
      </c>
      <c r="I235" t="str">
        <f t="shared" si="472"/>
        <v/>
      </c>
      <c r="J235" t="str">
        <f t="shared" si="472"/>
        <v/>
      </c>
      <c r="K235" t="str">
        <f t="shared" si="472"/>
        <v/>
      </c>
      <c r="L235" t="str">
        <f t="shared" si="472"/>
        <v/>
      </c>
      <c r="M235" t="str">
        <f t="shared" ref="M235:S235" si="473">IF((AND($A235 = "+0",$E235 = M$1)), 2^$D235-$B235, "")</f>
        <v/>
      </c>
      <c r="N235" t="str">
        <f t="shared" si="473"/>
        <v/>
      </c>
      <c r="O235" t="str">
        <f t="shared" si="473"/>
        <v/>
      </c>
      <c r="P235" t="str">
        <f t="shared" si="473"/>
        <v/>
      </c>
      <c r="Q235" t="str">
        <f t="shared" si="473"/>
        <v/>
      </c>
      <c r="R235" t="str">
        <f t="shared" si="473"/>
        <v/>
      </c>
      <c r="S235" t="str">
        <f t="shared" si="473"/>
        <v/>
      </c>
      <c r="T235">
        <f t="shared" si="5"/>
        <v>1078</v>
      </c>
      <c r="U235" s="25">
        <f t="shared" si="6"/>
        <v>2.227272727</v>
      </c>
      <c r="V235" s="26">
        <f t="shared" si="7"/>
        <v>0.4285714286</v>
      </c>
      <c r="W235" s="25">
        <f t="shared" si="8"/>
        <v>6.781984328</v>
      </c>
      <c r="X235" s="25">
        <f t="shared" si="9"/>
        <v>6.826529783</v>
      </c>
      <c r="Y235" s="25"/>
      <c r="Z235" s="25"/>
    </row>
    <row r="236">
      <c r="A236" s="1" t="s">
        <v>4</v>
      </c>
      <c r="B236" s="1">
        <v>48.0</v>
      </c>
      <c r="C236" s="1">
        <v>22.0</v>
      </c>
      <c r="D236" s="1">
        <v>7.0</v>
      </c>
      <c r="E236">
        <f t="shared" si="2"/>
        <v>8</v>
      </c>
      <c r="F236" t="str">
        <f t="shared" ref="F236:L236" si="474">IF((AND($A236 = "+0",$E236 = F$1)), $C236, "")</f>
        <v/>
      </c>
      <c r="G236" t="str">
        <f t="shared" si="474"/>
        <v/>
      </c>
      <c r="H236" t="str">
        <f t="shared" si="474"/>
        <v/>
      </c>
      <c r="I236" t="str">
        <f t="shared" si="474"/>
        <v/>
      </c>
      <c r="J236" t="str">
        <f t="shared" si="474"/>
        <v/>
      </c>
      <c r="K236" t="str">
        <f t="shared" si="474"/>
        <v/>
      </c>
      <c r="L236" t="str">
        <f t="shared" si="474"/>
        <v/>
      </c>
      <c r="M236" t="str">
        <f t="shared" ref="M236:S236" si="475">IF((AND($A236 = "+0",$E236 = M$1)), 2^$D236-$B236, "")</f>
        <v/>
      </c>
      <c r="N236" t="str">
        <f t="shared" si="475"/>
        <v/>
      </c>
      <c r="O236" t="str">
        <f t="shared" si="475"/>
        <v/>
      </c>
      <c r="P236" t="str">
        <f t="shared" si="475"/>
        <v/>
      </c>
      <c r="Q236" t="str">
        <f t="shared" si="475"/>
        <v/>
      </c>
      <c r="R236" t="str">
        <f t="shared" si="475"/>
        <v/>
      </c>
      <c r="S236" t="str">
        <f t="shared" si="475"/>
        <v/>
      </c>
      <c r="T236">
        <f t="shared" si="5"/>
        <v>1056</v>
      </c>
      <c r="U236" s="25">
        <f t="shared" si="6"/>
        <v>2.181818182</v>
      </c>
      <c r="V236" s="26">
        <f t="shared" si="7"/>
        <v>0.4375</v>
      </c>
      <c r="W236" s="25">
        <f t="shared" si="8"/>
        <v>6.761958203</v>
      </c>
      <c r="X236" s="25">
        <f t="shared" si="9"/>
        <v>6.805594567</v>
      </c>
      <c r="Y236" s="25"/>
      <c r="Z236" s="25"/>
    </row>
    <row r="237">
      <c r="A237" s="1" t="s">
        <v>5</v>
      </c>
      <c r="B237" s="1">
        <v>47.0</v>
      </c>
      <c r="C237" s="1">
        <v>22.0</v>
      </c>
      <c r="D237" s="1">
        <v>7.0</v>
      </c>
      <c r="E237">
        <f t="shared" si="2"/>
        <v>7</v>
      </c>
      <c r="F237" t="str">
        <f t="shared" ref="F237:L237" si="476">IF((AND($A237 = "+0",$E237 = F$1)), $C237, "")</f>
        <v/>
      </c>
      <c r="G237" t="str">
        <f t="shared" si="476"/>
        <v/>
      </c>
      <c r="H237" t="str">
        <f t="shared" si="476"/>
        <v/>
      </c>
      <c r="I237" t="str">
        <f t="shared" si="476"/>
        <v/>
      </c>
      <c r="J237" t="str">
        <f t="shared" si="476"/>
        <v/>
      </c>
      <c r="K237" t="str">
        <f t="shared" si="476"/>
        <v/>
      </c>
      <c r="L237">
        <f t="shared" si="476"/>
        <v>22</v>
      </c>
      <c r="M237" t="str">
        <f t="shared" ref="M237:S237" si="477">IF((AND($A237 = "+0",$E237 = M$1)), 2^$D237-$B237, "")</f>
        <v/>
      </c>
      <c r="N237" t="str">
        <f t="shared" si="477"/>
        <v/>
      </c>
      <c r="O237" t="str">
        <f t="shared" si="477"/>
        <v/>
      </c>
      <c r="P237" t="str">
        <f t="shared" si="477"/>
        <v/>
      </c>
      <c r="Q237" t="str">
        <f t="shared" si="477"/>
        <v/>
      </c>
      <c r="R237" t="str">
        <f t="shared" si="477"/>
        <v/>
      </c>
      <c r="S237">
        <f t="shared" si="477"/>
        <v>81</v>
      </c>
      <c r="T237">
        <f t="shared" si="5"/>
        <v>1034</v>
      </c>
      <c r="U237" s="25">
        <f t="shared" si="6"/>
        <v>2.136363636</v>
      </c>
      <c r="V237" s="26">
        <f t="shared" si="7"/>
        <v>0.4468085106</v>
      </c>
      <c r="W237" s="25">
        <f t="shared" si="8"/>
        <v>6.741510445</v>
      </c>
      <c r="X237" s="25">
        <f t="shared" si="9"/>
        <v>6.784237718</v>
      </c>
      <c r="Y237" s="25"/>
      <c r="Z237" s="25"/>
    </row>
    <row r="238">
      <c r="A238" s="1" t="s">
        <v>4</v>
      </c>
      <c r="B238" s="1">
        <v>47.0</v>
      </c>
      <c r="C238" s="1">
        <v>23.0</v>
      </c>
      <c r="D238" s="1">
        <v>7.0</v>
      </c>
      <c r="E238">
        <f t="shared" si="2"/>
        <v>8</v>
      </c>
      <c r="F238" t="str">
        <f t="shared" ref="F238:L238" si="478">IF((AND($A238 = "+0",$E238 = F$1)), $C238, "")</f>
        <v/>
      </c>
      <c r="G238" t="str">
        <f t="shared" si="478"/>
        <v/>
      </c>
      <c r="H238" t="str">
        <f t="shared" si="478"/>
        <v/>
      </c>
      <c r="I238" t="str">
        <f t="shared" si="478"/>
        <v/>
      </c>
      <c r="J238" t="str">
        <f t="shared" si="478"/>
        <v/>
      </c>
      <c r="K238" t="str">
        <f t="shared" si="478"/>
        <v/>
      </c>
      <c r="L238" t="str">
        <f t="shared" si="478"/>
        <v/>
      </c>
      <c r="M238" t="str">
        <f t="shared" ref="M238:S238" si="479">IF((AND($A238 = "+0",$E238 = M$1)), 2^$D238-$B238, "")</f>
        <v/>
      </c>
      <c r="N238" t="str">
        <f t="shared" si="479"/>
        <v/>
      </c>
      <c r="O238" t="str">
        <f t="shared" si="479"/>
        <v/>
      </c>
      <c r="P238" t="str">
        <f t="shared" si="479"/>
        <v/>
      </c>
      <c r="Q238" t="str">
        <f t="shared" si="479"/>
        <v/>
      </c>
      <c r="R238" t="str">
        <f t="shared" si="479"/>
        <v/>
      </c>
      <c r="S238" t="str">
        <f t="shared" si="479"/>
        <v/>
      </c>
      <c r="T238">
        <f t="shared" si="5"/>
        <v>1081</v>
      </c>
      <c r="U238" s="25">
        <f t="shared" si="6"/>
        <v>2.043478261</v>
      </c>
      <c r="V238" s="26">
        <f t="shared" si="7"/>
        <v>0.4680851064</v>
      </c>
      <c r="W238" s="25">
        <f t="shared" si="8"/>
        <v>6.784683448</v>
      </c>
      <c r="X238" s="25">
        <f t="shared" si="9"/>
        <v>6.825553013</v>
      </c>
      <c r="Y238" s="25"/>
      <c r="Z238" s="25"/>
    </row>
    <row r="239">
      <c r="A239" s="1" t="s">
        <v>4</v>
      </c>
      <c r="B239" s="1">
        <v>46.0</v>
      </c>
      <c r="C239" s="1">
        <v>23.0</v>
      </c>
      <c r="D239" s="1">
        <v>7.0</v>
      </c>
      <c r="E239">
        <f t="shared" si="2"/>
        <v>8</v>
      </c>
      <c r="F239" t="str">
        <f t="shared" ref="F239:L239" si="480">IF((AND($A239 = "+0",$E239 = F$1)), $C239, "")</f>
        <v/>
      </c>
      <c r="G239" t="str">
        <f t="shared" si="480"/>
        <v/>
      </c>
      <c r="H239" t="str">
        <f t="shared" si="480"/>
        <v/>
      </c>
      <c r="I239" t="str">
        <f t="shared" si="480"/>
        <v/>
      </c>
      <c r="J239" t="str">
        <f t="shared" si="480"/>
        <v/>
      </c>
      <c r="K239" t="str">
        <f t="shared" si="480"/>
        <v/>
      </c>
      <c r="L239" t="str">
        <f t="shared" si="480"/>
        <v/>
      </c>
      <c r="M239" t="str">
        <f t="shared" ref="M239:S239" si="481">IF((AND($A239 = "+0",$E239 = M$1)), 2^$D239-$B239, "")</f>
        <v/>
      </c>
      <c r="N239" t="str">
        <f t="shared" si="481"/>
        <v/>
      </c>
      <c r="O239" t="str">
        <f t="shared" si="481"/>
        <v/>
      </c>
      <c r="P239" t="str">
        <f t="shared" si="481"/>
        <v/>
      </c>
      <c r="Q239" t="str">
        <f t="shared" si="481"/>
        <v/>
      </c>
      <c r="R239" t="str">
        <f t="shared" si="481"/>
        <v/>
      </c>
      <c r="S239" t="str">
        <f t="shared" si="481"/>
        <v/>
      </c>
      <c r="T239">
        <f t="shared" si="5"/>
        <v>1058</v>
      </c>
      <c r="U239" s="25">
        <f t="shared" si="6"/>
        <v>2</v>
      </c>
      <c r="V239" s="26">
        <f t="shared" si="7"/>
        <v>0.4782608696</v>
      </c>
      <c r="W239" s="25">
        <f t="shared" si="8"/>
        <v>6.763795919</v>
      </c>
      <c r="X239" s="25">
        <f t="shared" si="9"/>
        <v>6.803795919</v>
      </c>
      <c r="Y239" s="25"/>
      <c r="Z239" s="25"/>
    </row>
    <row r="240">
      <c r="A240" s="1" t="s">
        <v>5</v>
      </c>
      <c r="B240" s="1">
        <v>45.0</v>
      </c>
      <c r="C240" s="1">
        <v>23.0</v>
      </c>
      <c r="D240" s="1">
        <v>7.0</v>
      </c>
      <c r="E240">
        <f t="shared" si="2"/>
        <v>7</v>
      </c>
      <c r="F240" t="str">
        <f t="shared" ref="F240:L240" si="482">IF((AND($A240 = "+0",$E240 = F$1)), $C240, "")</f>
        <v/>
      </c>
      <c r="G240" t="str">
        <f t="shared" si="482"/>
        <v/>
      </c>
      <c r="H240" t="str">
        <f t="shared" si="482"/>
        <v/>
      </c>
      <c r="I240" t="str">
        <f t="shared" si="482"/>
        <v/>
      </c>
      <c r="J240" t="str">
        <f t="shared" si="482"/>
        <v/>
      </c>
      <c r="K240" t="str">
        <f t="shared" si="482"/>
        <v/>
      </c>
      <c r="L240">
        <f t="shared" si="482"/>
        <v>23</v>
      </c>
      <c r="M240" t="str">
        <f t="shared" ref="M240:S240" si="483">IF((AND($A240 = "+0",$E240 = M$1)), 2^$D240-$B240, "")</f>
        <v/>
      </c>
      <c r="N240" t="str">
        <f t="shared" si="483"/>
        <v/>
      </c>
      <c r="O240" t="str">
        <f t="shared" si="483"/>
        <v/>
      </c>
      <c r="P240" t="str">
        <f t="shared" si="483"/>
        <v/>
      </c>
      <c r="Q240" t="str">
        <f t="shared" si="483"/>
        <v/>
      </c>
      <c r="R240" t="str">
        <f t="shared" si="483"/>
        <v/>
      </c>
      <c r="S240">
        <f t="shared" si="483"/>
        <v>83</v>
      </c>
      <c r="T240">
        <f t="shared" si="5"/>
        <v>1035</v>
      </c>
      <c r="U240" s="25">
        <f t="shared" si="6"/>
        <v>1.956521739</v>
      </c>
      <c r="V240" s="26">
        <f t="shared" si="7"/>
        <v>0.4888888889</v>
      </c>
      <c r="W240" s="25">
        <f t="shared" si="8"/>
        <v>6.742449287</v>
      </c>
      <c r="X240" s="25">
        <f t="shared" si="9"/>
        <v>6.781579722</v>
      </c>
      <c r="Y240" s="25"/>
      <c r="Z240" s="25"/>
    </row>
    <row r="241">
      <c r="A241" s="1" t="s">
        <v>4</v>
      </c>
      <c r="B241" s="1">
        <v>45.0</v>
      </c>
      <c r="C241" s="1">
        <v>24.0</v>
      </c>
      <c r="D241" s="1">
        <v>7.0</v>
      </c>
      <c r="E241">
        <f t="shared" si="2"/>
        <v>8</v>
      </c>
      <c r="F241" t="str">
        <f t="shared" ref="F241:L241" si="484">IF((AND($A241 = "+0",$E241 = F$1)), $C241, "")</f>
        <v/>
      </c>
      <c r="G241" t="str">
        <f t="shared" si="484"/>
        <v/>
      </c>
      <c r="H241" t="str">
        <f t="shared" si="484"/>
        <v/>
      </c>
      <c r="I241" t="str">
        <f t="shared" si="484"/>
        <v/>
      </c>
      <c r="J241" t="str">
        <f t="shared" si="484"/>
        <v/>
      </c>
      <c r="K241" t="str">
        <f t="shared" si="484"/>
        <v/>
      </c>
      <c r="L241" t="str">
        <f t="shared" si="484"/>
        <v/>
      </c>
      <c r="M241" t="str">
        <f t="shared" ref="M241:S241" si="485">IF((AND($A241 = "+0",$E241 = M$1)), 2^$D241-$B241, "")</f>
        <v/>
      </c>
      <c r="N241" t="str">
        <f t="shared" si="485"/>
        <v/>
      </c>
      <c r="O241" t="str">
        <f t="shared" si="485"/>
        <v/>
      </c>
      <c r="P241" t="str">
        <f t="shared" si="485"/>
        <v/>
      </c>
      <c r="Q241" t="str">
        <f t="shared" si="485"/>
        <v/>
      </c>
      <c r="R241" t="str">
        <f t="shared" si="485"/>
        <v/>
      </c>
      <c r="S241" t="str">
        <f t="shared" si="485"/>
        <v/>
      </c>
      <c r="T241">
        <f t="shared" si="5"/>
        <v>1080</v>
      </c>
      <c r="U241" s="25">
        <f t="shared" si="6"/>
        <v>1.875</v>
      </c>
      <c r="V241" s="26">
        <f t="shared" si="7"/>
        <v>0.5111111111</v>
      </c>
      <c r="W241" s="25">
        <f t="shared" si="8"/>
        <v>6.783784575</v>
      </c>
      <c r="X241" s="25">
        <f t="shared" si="9"/>
        <v>6.821284575</v>
      </c>
      <c r="Y241" s="25"/>
      <c r="Z241" s="25"/>
    </row>
    <row r="242">
      <c r="A242" s="1" t="s">
        <v>4</v>
      </c>
      <c r="B242" s="1">
        <v>44.0</v>
      </c>
      <c r="C242" s="1">
        <v>24.0</v>
      </c>
      <c r="D242" s="1">
        <v>7.0</v>
      </c>
      <c r="E242">
        <f t="shared" si="2"/>
        <v>8</v>
      </c>
      <c r="F242" t="str">
        <f t="shared" ref="F242:L242" si="486">IF((AND($A242 = "+0",$E242 = F$1)), $C242, "")</f>
        <v/>
      </c>
      <c r="G242" t="str">
        <f t="shared" si="486"/>
        <v/>
      </c>
      <c r="H242" t="str">
        <f t="shared" si="486"/>
        <v/>
      </c>
      <c r="I242" t="str">
        <f t="shared" si="486"/>
        <v/>
      </c>
      <c r="J242" t="str">
        <f t="shared" si="486"/>
        <v/>
      </c>
      <c r="K242" t="str">
        <f t="shared" si="486"/>
        <v/>
      </c>
      <c r="L242" t="str">
        <f t="shared" si="486"/>
        <v/>
      </c>
      <c r="M242" t="str">
        <f t="shared" ref="M242:S242" si="487">IF((AND($A242 = "+0",$E242 = M$1)), 2^$D242-$B242, "")</f>
        <v/>
      </c>
      <c r="N242" t="str">
        <f t="shared" si="487"/>
        <v/>
      </c>
      <c r="O242" t="str">
        <f t="shared" si="487"/>
        <v/>
      </c>
      <c r="P242" t="str">
        <f t="shared" si="487"/>
        <v/>
      </c>
      <c r="Q242" t="str">
        <f t="shared" si="487"/>
        <v/>
      </c>
      <c r="R242" t="str">
        <f t="shared" si="487"/>
        <v/>
      </c>
      <c r="S242" t="str">
        <f t="shared" si="487"/>
        <v/>
      </c>
      <c r="T242">
        <f t="shared" si="5"/>
        <v>1056</v>
      </c>
      <c r="U242" s="25">
        <f t="shared" si="6"/>
        <v>1.833333333</v>
      </c>
      <c r="V242" s="26">
        <f t="shared" si="7"/>
        <v>0.5227272727</v>
      </c>
      <c r="W242" s="25">
        <f t="shared" si="8"/>
        <v>6.761958203</v>
      </c>
      <c r="X242" s="25">
        <f t="shared" si="9"/>
        <v>6.79862487</v>
      </c>
      <c r="Y242" s="25"/>
      <c r="Z242" s="25"/>
    </row>
    <row r="243">
      <c r="A243" s="1" t="s">
        <v>5</v>
      </c>
      <c r="B243" s="1">
        <v>43.0</v>
      </c>
      <c r="C243" s="1">
        <v>24.0</v>
      </c>
      <c r="D243" s="1">
        <v>7.0</v>
      </c>
      <c r="E243">
        <f t="shared" si="2"/>
        <v>7</v>
      </c>
      <c r="F243" t="str">
        <f t="shared" ref="F243:L243" si="488">IF((AND($A243 = "+0",$E243 = F$1)), $C243, "")</f>
        <v/>
      </c>
      <c r="G243" t="str">
        <f t="shared" si="488"/>
        <v/>
      </c>
      <c r="H243" t="str">
        <f t="shared" si="488"/>
        <v/>
      </c>
      <c r="I243" t="str">
        <f t="shared" si="488"/>
        <v/>
      </c>
      <c r="J243" t="str">
        <f t="shared" si="488"/>
        <v/>
      </c>
      <c r="K243" t="str">
        <f t="shared" si="488"/>
        <v/>
      </c>
      <c r="L243">
        <f t="shared" si="488"/>
        <v>24</v>
      </c>
      <c r="M243" t="str">
        <f t="shared" ref="M243:S243" si="489">IF((AND($A243 = "+0",$E243 = M$1)), 2^$D243-$B243, "")</f>
        <v/>
      </c>
      <c r="N243" t="str">
        <f t="shared" si="489"/>
        <v/>
      </c>
      <c r="O243" t="str">
        <f t="shared" si="489"/>
        <v/>
      </c>
      <c r="P243" t="str">
        <f t="shared" si="489"/>
        <v/>
      </c>
      <c r="Q243" t="str">
        <f t="shared" si="489"/>
        <v/>
      </c>
      <c r="R243" t="str">
        <f t="shared" si="489"/>
        <v/>
      </c>
      <c r="S243">
        <f t="shared" si="489"/>
        <v>85</v>
      </c>
      <c r="T243">
        <f t="shared" si="5"/>
        <v>1032</v>
      </c>
      <c r="U243" s="25">
        <f t="shared" si="6"/>
        <v>1.791666667</v>
      </c>
      <c r="V243" s="26">
        <f t="shared" si="7"/>
        <v>0.5348837209</v>
      </c>
      <c r="W243" s="25">
        <f t="shared" si="8"/>
        <v>6.739630032</v>
      </c>
      <c r="X243" s="25">
        <f t="shared" si="9"/>
        <v>6.775463366</v>
      </c>
      <c r="Y243" s="25"/>
      <c r="Z243" s="25"/>
    </row>
    <row r="244">
      <c r="A244" s="1" t="s">
        <v>4</v>
      </c>
      <c r="B244" s="1">
        <v>43.0</v>
      </c>
      <c r="C244" s="1">
        <v>25.0</v>
      </c>
      <c r="D244" s="1">
        <v>7.0</v>
      </c>
      <c r="E244">
        <f t="shared" si="2"/>
        <v>8</v>
      </c>
      <c r="F244" t="str">
        <f t="shared" ref="F244:L244" si="490">IF((AND($A244 = "+0",$E244 = F$1)), $C244, "")</f>
        <v/>
      </c>
      <c r="G244" t="str">
        <f t="shared" si="490"/>
        <v/>
      </c>
      <c r="H244" t="str">
        <f t="shared" si="490"/>
        <v/>
      </c>
      <c r="I244" t="str">
        <f t="shared" si="490"/>
        <v/>
      </c>
      <c r="J244" t="str">
        <f t="shared" si="490"/>
        <v/>
      </c>
      <c r="K244" t="str">
        <f t="shared" si="490"/>
        <v/>
      </c>
      <c r="L244" t="str">
        <f t="shared" si="490"/>
        <v/>
      </c>
      <c r="M244" t="str">
        <f t="shared" ref="M244:S244" si="491">IF((AND($A244 = "+0",$E244 = M$1)), 2^$D244-$B244, "")</f>
        <v/>
      </c>
      <c r="N244" t="str">
        <f t="shared" si="491"/>
        <v/>
      </c>
      <c r="O244" t="str">
        <f t="shared" si="491"/>
        <v/>
      </c>
      <c r="P244" t="str">
        <f t="shared" si="491"/>
        <v/>
      </c>
      <c r="Q244" t="str">
        <f t="shared" si="491"/>
        <v/>
      </c>
      <c r="R244" t="str">
        <f t="shared" si="491"/>
        <v/>
      </c>
      <c r="S244" t="str">
        <f t="shared" si="491"/>
        <v/>
      </c>
      <c r="T244">
        <f t="shared" si="5"/>
        <v>1075</v>
      </c>
      <c r="U244" s="25">
        <f t="shared" si="6"/>
        <v>1.72</v>
      </c>
      <c r="V244" s="26">
        <f t="shared" si="7"/>
        <v>0.5581395349</v>
      </c>
      <c r="W244" s="25">
        <f t="shared" si="8"/>
        <v>6.779277687</v>
      </c>
      <c r="X244" s="25">
        <f t="shared" si="9"/>
        <v>6.813677687</v>
      </c>
      <c r="Y244" s="25"/>
      <c r="Z244" s="25"/>
    </row>
    <row r="245">
      <c r="A245" s="1" t="s">
        <v>4</v>
      </c>
      <c r="B245" s="1">
        <v>42.0</v>
      </c>
      <c r="C245" s="1">
        <v>25.0</v>
      </c>
      <c r="D245" s="1">
        <v>7.0</v>
      </c>
      <c r="E245">
        <f t="shared" si="2"/>
        <v>8</v>
      </c>
      <c r="F245" t="str">
        <f t="shared" ref="F245:L245" si="492">IF((AND($A245 = "+0",$E245 = F$1)), $C245, "")</f>
        <v/>
      </c>
      <c r="G245" t="str">
        <f t="shared" si="492"/>
        <v/>
      </c>
      <c r="H245" t="str">
        <f t="shared" si="492"/>
        <v/>
      </c>
      <c r="I245" t="str">
        <f t="shared" si="492"/>
        <v/>
      </c>
      <c r="J245" t="str">
        <f t="shared" si="492"/>
        <v/>
      </c>
      <c r="K245" t="str">
        <f t="shared" si="492"/>
        <v/>
      </c>
      <c r="L245" t="str">
        <f t="shared" si="492"/>
        <v/>
      </c>
      <c r="M245" t="str">
        <f t="shared" ref="M245:S245" si="493">IF((AND($A245 = "+0",$E245 = M$1)), 2^$D245-$B245, "")</f>
        <v/>
      </c>
      <c r="N245" t="str">
        <f t="shared" si="493"/>
        <v/>
      </c>
      <c r="O245" t="str">
        <f t="shared" si="493"/>
        <v/>
      </c>
      <c r="P245" t="str">
        <f t="shared" si="493"/>
        <v/>
      </c>
      <c r="Q245" t="str">
        <f t="shared" si="493"/>
        <v/>
      </c>
      <c r="R245" t="str">
        <f t="shared" si="493"/>
        <v/>
      </c>
      <c r="S245" t="str">
        <f t="shared" si="493"/>
        <v/>
      </c>
      <c r="T245">
        <f t="shared" si="5"/>
        <v>1050</v>
      </c>
      <c r="U245" s="25">
        <f t="shared" si="6"/>
        <v>1.68</v>
      </c>
      <c r="V245" s="26">
        <f t="shared" si="7"/>
        <v>0.5714285714</v>
      </c>
      <c r="W245" s="25">
        <f t="shared" si="8"/>
        <v>6.756424099</v>
      </c>
      <c r="X245" s="25">
        <f t="shared" si="9"/>
        <v>6.790024099</v>
      </c>
      <c r="Y245" s="25"/>
      <c r="Z245" s="25"/>
    </row>
    <row r="246">
      <c r="A246" s="1" t="s">
        <v>5</v>
      </c>
      <c r="B246" s="1">
        <v>41.0</v>
      </c>
      <c r="C246" s="1">
        <v>25.0</v>
      </c>
      <c r="D246" s="1">
        <v>7.0</v>
      </c>
      <c r="E246">
        <f t="shared" si="2"/>
        <v>7</v>
      </c>
      <c r="F246" t="str">
        <f t="shared" ref="F246:L246" si="494">IF((AND($A246 = "+0",$E246 = F$1)), $C246, "")</f>
        <v/>
      </c>
      <c r="G246" t="str">
        <f t="shared" si="494"/>
        <v/>
      </c>
      <c r="H246" t="str">
        <f t="shared" si="494"/>
        <v/>
      </c>
      <c r="I246" t="str">
        <f t="shared" si="494"/>
        <v/>
      </c>
      <c r="J246" t="str">
        <f t="shared" si="494"/>
        <v/>
      </c>
      <c r="K246" t="str">
        <f t="shared" si="494"/>
        <v/>
      </c>
      <c r="L246">
        <f t="shared" si="494"/>
        <v>25</v>
      </c>
      <c r="M246" t="str">
        <f t="shared" ref="M246:S246" si="495">IF((AND($A246 = "+0",$E246 = M$1)), 2^$D246-$B246, "")</f>
        <v/>
      </c>
      <c r="N246" t="str">
        <f t="shared" si="495"/>
        <v/>
      </c>
      <c r="O246" t="str">
        <f t="shared" si="495"/>
        <v/>
      </c>
      <c r="P246" t="str">
        <f t="shared" si="495"/>
        <v/>
      </c>
      <c r="Q246" t="str">
        <f t="shared" si="495"/>
        <v/>
      </c>
      <c r="R246" t="str">
        <f t="shared" si="495"/>
        <v/>
      </c>
      <c r="S246">
        <f t="shared" si="495"/>
        <v>87</v>
      </c>
      <c r="T246">
        <f t="shared" si="5"/>
        <v>1025</v>
      </c>
      <c r="U246" s="25">
        <f t="shared" si="6"/>
        <v>1.64</v>
      </c>
      <c r="V246" s="26">
        <f t="shared" si="7"/>
        <v>0.5853658537</v>
      </c>
      <c r="W246" s="25">
        <f t="shared" si="8"/>
        <v>6.73301977</v>
      </c>
      <c r="X246" s="25">
        <f t="shared" si="9"/>
        <v>6.76581977</v>
      </c>
      <c r="Y246" s="25"/>
      <c r="Z246" s="25"/>
    </row>
    <row r="247">
      <c r="A247" s="1" t="s">
        <v>4</v>
      </c>
      <c r="B247" s="1">
        <v>41.0</v>
      </c>
      <c r="C247" s="1">
        <v>26.0</v>
      </c>
      <c r="D247" s="1">
        <v>7.0</v>
      </c>
      <c r="E247">
        <f t="shared" si="2"/>
        <v>8</v>
      </c>
      <c r="F247" t="str">
        <f t="shared" ref="F247:L247" si="496">IF((AND($A247 = "+0",$E247 = F$1)), $C247, "")</f>
        <v/>
      </c>
      <c r="G247" t="str">
        <f t="shared" si="496"/>
        <v/>
      </c>
      <c r="H247" t="str">
        <f t="shared" si="496"/>
        <v/>
      </c>
      <c r="I247" t="str">
        <f t="shared" si="496"/>
        <v/>
      </c>
      <c r="J247" t="str">
        <f t="shared" si="496"/>
        <v/>
      </c>
      <c r="K247" t="str">
        <f t="shared" si="496"/>
        <v/>
      </c>
      <c r="L247" t="str">
        <f t="shared" si="496"/>
        <v/>
      </c>
      <c r="M247" t="str">
        <f t="shared" ref="M247:S247" si="497">IF((AND($A247 = "+0",$E247 = M$1)), 2^$D247-$B247, "")</f>
        <v/>
      </c>
      <c r="N247" t="str">
        <f t="shared" si="497"/>
        <v/>
      </c>
      <c r="O247" t="str">
        <f t="shared" si="497"/>
        <v/>
      </c>
      <c r="P247" t="str">
        <f t="shared" si="497"/>
        <v/>
      </c>
      <c r="Q247" t="str">
        <f t="shared" si="497"/>
        <v/>
      </c>
      <c r="R247" t="str">
        <f t="shared" si="497"/>
        <v/>
      </c>
      <c r="S247" t="str">
        <f t="shared" si="497"/>
        <v/>
      </c>
      <c r="T247">
        <f t="shared" si="5"/>
        <v>1066</v>
      </c>
      <c r="U247" s="25">
        <f t="shared" si="6"/>
        <v>1.576923077</v>
      </c>
      <c r="V247" s="26">
        <f t="shared" si="7"/>
        <v>0.6097560976</v>
      </c>
      <c r="W247" s="25">
        <f t="shared" si="8"/>
        <v>6.771112207</v>
      </c>
      <c r="X247" s="25">
        <f t="shared" si="9"/>
        <v>6.802650669</v>
      </c>
      <c r="Y247" s="25"/>
      <c r="Z247" s="25"/>
    </row>
    <row r="248">
      <c r="A248" s="1" t="s">
        <v>5</v>
      </c>
      <c r="B248" s="1">
        <v>40.0</v>
      </c>
      <c r="C248" s="1">
        <v>26.0</v>
      </c>
      <c r="D248" s="1">
        <v>7.0</v>
      </c>
      <c r="E248">
        <f t="shared" si="2"/>
        <v>7</v>
      </c>
      <c r="F248" t="str">
        <f t="shared" ref="F248:L248" si="498">IF((AND($A248 = "+0",$E248 = F$1)), $C248, "")</f>
        <v/>
      </c>
      <c r="G248" t="str">
        <f t="shared" si="498"/>
        <v/>
      </c>
      <c r="H248" t="str">
        <f t="shared" si="498"/>
        <v/>
      </c>
      <c r="I248" t="str">
        <f t="shared" si="498"/>
        <v/>
      </c>
      <c r="J248" t="str">
        <f t="shared" si="498"/>
        <v/>
      </c>
      <c r="K248" t="str">
        <f t="shared" si="498"/>
        <v/>
      </c>
      <c r="L248">
        <f t="shared" si="498"/>
        <v>26</v>
      </c>
      <c r="M248" t="str">
        <f t="shared" ref="M248:S248" si="499">IF((AND($A248 = "+0",$E248 = M$1)), 2^$D248-$B248, "")</f>
        <v/>
      </c>
      <c r="N248" t="str">
        <f t="shared" si="499"/>
        <v/>
      </c>
      <c r="O248" t="str">
        <f t="shared" si="499"/>
        <v/>
      </c>
      <c r="P248" t="str">
        <f t="shared" si="499"/>
        <v/>
      </c>
      <c r="Q248" t="str">
        <f t="shared" si="499"/>
        <v/>
      </c>
      <c r="R248" t="str">
        <f t="shared" si="499"/>
        <v/>
      </c>
      <c r="S248">
        <f t="shared" si="499"/>
        <v>88</v>
      </c>
      <c r="T248">
        <f t="shared" si="5"/>
        <v>1040</v>
      </c>
      <c r="U248" s="25">
        <f t="shared" si="6"/>
        <v>1.538461538</v>
      </c>
      <c r="V248" s="26">
        <f t="shared" si="7"/>
        <v>0.625</v>
      </c>
      <c r="W248" s="25">
        <f t="shared" si="8"/>
        <v>6.747129936</v>
      </c>
      <c r="X248" s="25">
        <f t="shared" si="9"/>
        <v>6.777899167</v>
      </c>
      <c r="Y248" s="25"/>
      <c r="Z248" s="25"/>
    </row>
    <row r="249">
      <c r="A249" s="1" t="s">
        <v>4</v>
      </c>
      <c r="B249" s="1">
        <v>40.0</v>
      </c>
      <c r="C249" s="1">
        <v>27.0</v>
      </c>
      <c r="D249" s="1">
        <v>7.0</v>
      </c>
      <c r="E249">
        <f t="shared" si="2"/>
        <v>8</v>
      </c>
      <c r="F249" t="str">
        <f t="shared" ref="F249:L249" si="500">IF((AND($A249 = "+0",$E249 = F$1)), $C249, "")</f>
        <v/>
      </c>
      <c r="G249" t="str">
        <f t="shared" si="500"/>
        <v/>
      </c>
      <c r="H249" t="str">
        <f t="shared" si="500"/>
        <v/>
      </c>
      <c r="I249" t="str">
        <f t="shared" si="500"/>
        <v/>
      </c>
      <c r="J249" t="str">
        <f t="shared" si="500"/>
        <v/>
      </c>
      <c r="K249" t="str">
        <f t="shared" si="500"/>
        <v/>
      </c>
      <c r="L249" t="str">
        <f t="shared" si="500"/>
        <v/>
      </c>
      <c r="M249" t="str">
        <f t="shared" ref="M249:S249" si="501">IF((AND($A249 = "+0",$E249 = M$1)), 2^$D249-$B249, "")</f>
        <v/>
      </c>
      <c r="N249" t="str">
        <f t="shared" si="501"/>
        <v/>
      </c>
      <c r="O249" t="str">
        <f t="shared" si="501"/>
        <v/>
      </c>
      <c r="P249" t="str">
        <f t="shared" si="501"/>
        <v/>
      </c>
      <c r="Q249" t="str">
        <f t="shared" si="501"/>
        <v/>
      </c>
      <c r="R249" t="str">
        <f t="shared" si="501"/>
        <v/>
      </c>
      <c r="S249" t="str">
        <f t="shared" si="501"/>
        <v/>
      </c>
      <c r="T249">
        <f t="shared" si="5"/>
        <v>1080</v>
      </c>
      <c r="U249" s="25">
        <f t="shared" si="6"/>
        <v>1.481481481</v>
      </c>
      <c r="V249" s="26">
        <f t="shared" si="7"/>
        <v>0.65</v>
      </c>
      <c r="W249" s="25">
        <f t="shared" si="8"/>
        <v>6.783784575</v>
      </c>
      <c r="X249" s="25">
        <f t="shared" si="9"/>
        <v>6.813414204</v>
      </c>
      <c r="Y249" s="25"/>
      <c r="Z249" s="25"/>
    </row>
    <row r="250">
      <c r="A250" s="1" t="s">
        <v>4</v>
      </c>
      <c r="B250" s="1">
        <v>39.0</v>
      </c>
      <c r="C250" s="1">
        <v>27.0</v>
      </c>
      <c r="D250" s="1">
        <v>7.0</v>
      </c>
      <c r="E250">
        <f t="shared" si="2"/>
        <v>8</v>
      </c>
      <c r="F250" t="str">
        <f t="shared" ref="F250:L250" si="502">IF((AND($A250 = "+0",$E250 = F$1)), $C250, "")</f>
        <v/>
      </c>
      <c r="G250" t="str">
        <f t="shared" si="502"/>
        <v/>
      </c>
      <c r="H250" t="str">
        <f t="shared" si="502"/>
        <v/>
      </c>
      <c r="I250" t="str">
        <f t="shared" si="502"/>
        <v/>
      </c>
      <c r="J250" t="str">
        <f t="shared" si="502"/>
        <v/>
      </c>
      <c r="K250" t="str">
        <f t="shared" si="502"/>
        <v/>
      </c>
      <c r="L250" t="str">
        <f t="shared" si="502"/>
        <v/>
      </c>
      <c r="M250" t="str">
        <f t="shared" ref="M250:S250" si="503">IF((AND($A250 = "+0",$E250 = M$1)), 2^$D250-$B250, "")</f>
        <v/>
      </c>
      <c r="N250" t="str">
        <f t="shared" si="503"/>
        <v/>
      </c>
      <c r="O250" t="str">
        <f t="shared" si="503"/>
        <v/>
      </c>
      <c r="P250" t="str">
        <f t="shared" si="503"/>
        <v/>
      </c>
      <c r="Q250" t="str">
        <f t="shared" si="503"/>
        <v/>
      </c>
      <c r="R250" t="str">
        <f t="shared" si="503"/>
        <v/>
      </c>
      <c r="S250" t="str">
        <f t="shared" si="503"/>
        <v/>
      </c>
      <c r="T250">
        <f t="shared" si="5"/>
        <v>1053</v>
      </c>
      <c r="U250" s="25">
        <f t="shared" si="6"/>
        <v>1.444444444</v>
      </c>
      <c r="V250" s="26">
        <f t="shared" si="7"/>
        <v>0.6666666667</v>
      </c>
      <c r="W250" s="25">
        <f t="shared" si="8"/>
        <v>6.759195093</v>
      </c>
      <c r="X250" s="25">
        <f t="shared" si="9"/>
        <v>6.788083982</v>
      </c>
      <c r="Y250" s="25"/>
      <c r="Z250" s="25"/>
    </row>
    <row r="251">
      <c r="A251" s="1" t="s">
        <v>5</v>
      </c>
      <c r="B251" s="1">
        <v>38.0</v>
      </c>
      <c r="C251" s="1">
        <v>27.0</v>
      </c>
      <c r="D251" s="1">
        <v>7.0</v>
      </c>
      <c r="E251">
        <f t="shared" si="2"/>
        <v>7</v>
      </c>
      <c r="F251" t="str">
        <f t="shared" ref="F251:L251" si="504">IF((AND($A251 = "+0",$E251 = F$1)), $C251, "")</f>
        <v/>
      </c>
      <c r="G251" t="str">
        <f t="shared" si="504"/>
        <v/>
      </c>
      <c r="H251" t="str">
        <f t="shared" si="504"/>
        <v/>
      </c>
      <c r="I251" t="str">
        <f t="shared" si="504"/>
        <v/>
      </c>
      <c r="J251" t="str">
        <f t="shared" si="504"/>
        <v/>
      </c>
      <c r="K251" t="str">
        <f t="shared" si="504"/>
        <v/>
      </c>
      <c r="L251">
        <f t="shared" si="504"/>
        <v>27</v>
      </c>
      <c r="M251" t="str">
        <f t="shared" ref="M251:S251" si="505">IF((AND($A251 = "+0",$E251 = M$1)), 2^$D251-$B251, "")</f>
        <v/>
      </c>
      <c r="N251" t="str">
        <f t="shared" si="505"/>
        <v/>
      </c>
      <c r="O251" t="str">
        <f t="shared" si="505"/>
        <v/>
      </c>
      <c r="P251" t="str">
        <f t="shared" si="505"/>
        <v/>
      </c>
      <c r="Q251" t="str">
        <f t="shared" si="505"/>
        <v/>
      </c>
      <c r="R251" t="str">
        <f t="shared" si="505"/>
        <v/>
      </c>
      <c r="S251">
        <f t="shared" si="505"/>
        <v>90</v>
      </c>
      <c r="T251">
        <f t="shared" si="5"/>
        <v>1026</v>
      </c>
      <c r="U251" s="25">
        <f t="shared" si="6"/>
        <v>1.407407407</v>
      </c>
      <c r="V251" s="26">
        <f t="shared" si="7"/>
        <v>0.6842105263</v>
      </c>
      <c r="W251" s="25">
        <f t="shared" si="8"/>
        <v>6.733966852</v>
      </c>
      <c r="X251" s="25">
        <f t="shared" si="9"/>
        <v>6.762115</v>
      </c>
      <c r="Y251" s="25"/>
      <c r="Z251" s="25"/>
    </row>
    <row r="252">
      <c r="A252" s="1" t="s">
        <v>4</v>
      </c>
      <c r="B252" s="1">
        <v>38.0</v>
      </c>
      <c r="C252" s="1">
        <v>28.0</v>
      </c>
      <c r="D252" s="1">
        <v>7.0</v>
      </c>
      <c r="E252">
        <f t="shared" si="2"/>
        <v>8</v>
      </c>
      <c r="F252" t="str">
        <f t="shared" ref="F252:L252" si="506">IF((AND($A252 = "+0",$E252 = F$1)), $C252, "")</f>
        <v/>
      </c>
      <c r="G252" t="str">
        <f t="shared" si="506"/>
        <v/>
      </c>
      <c r="H252" t="str">
        <f t="shared" si="506"/>
        <v/>
      </c>
      <c r="I252" t="str">
        <f t="shared" si="506"/>
        <v/>
      </c>
      <c r="J252" t="str">
        <f t="shared" si="506"/>
        <v/>
      </c>
      <c r="K252" t="str">
        <f t="shared" si="506"/>
        <v/>
      </c>
      <c r="L252" t="str">
        <f t="shared" si="506"/>
        <v/>
      </c>
      <c r="M252" t="str">
        <f t="shared" ref="M252:S252" si="507">IF((AND($A252 = "+0",$E252 = M$1)), 2^$D252-$B252, "")</f>
        <v/>
      </c>
      <c r="N252" t="str">
        <f t="shared" si="507"/>
        <v/>
      </c>
      <c r="O252" t="str">
        <f t="shared" si="507"/>
        <v/>
      </c>
      <c r="P252" t="str">
        <f t="shared" si="507"/>
        <v/>
      </c>
      <c r="Q252" t="str">
        <f t="shared" si="507"/>
        <v/>
      </c>
      <c r="R252" t="str">
        <f t="shared" si="507"/>
        <v/>
      </c>
      <c r="S252" t="str">
        <f t="shared" si="507"/>
        <v/>
      </c>
      <c r="T252">
        <f t="shared" si="5"/>
        <v>1064</v>
      </c>
      <c r="U252" s="25">
        <f t="shared" si="6"/>
        <v>1.357142857</v>
      </c>
      <c r="V252" s="26">
        <f t="shared" si="7"/>
        <v>0.7105263158</v>
      </c>
      <c r="W252" s="25">
        <f t="shared" si="8"/>
        <v>6.769288296</v>
      </c>
      <c r="X252" s="25">
        <f t="shared" si="9"/>
        <v>6.796431153</v>
      </c>
      <c r="Y252" s="25"/>
      <c r="Z252" s="25"/>
    </row>
    <row r="253">
      <c r="A253" s="1" t="s">
        <v>5</v>
      </c>
      <c r="B253" s="1">
        <v>37.0</v>
      </c>
      <c r="C253" s="1">
        <v>28.0</v>
      </c>
      <c r="D253" s="1">
        <v>7.0</v>
      </c>
      <c r="E253">
        <f t="shared" si="2"/>
        <v>7</v>
      </c>
      <c r="F253" t="str">
        <f t="shared" ref="F253:L253" si="508">IF((AND($A253 = "+0",$E253 = F$1)), $C253, "")</f>
        <v/>
      </c>
      <c r="G253" t="str">
        <f t="shared" si="508"/>
        <v/>
      </c>
      <c r="H253" t="str">
        <f t="shared" si="508"/>
        <v/>
      </c>
      <c r="I253" t="str">
        <f t="shared" si="508"/>
        <v/>
      </c>
      <c r="J253" t="str">
        <f t="shared" si="508"/>
        <v/>
      </c>
      <c r="K253" t="str">
        <f t="shared" si="508"/>
        <v/>
      </c>
      <c r="L253">
        <f t="shared" si="508"/>
        <v>28</v>
      </c>
      <c r="M253" t="str">
        <f t="shared" ref="M253:S253" si="509">IF((AND($A253 = "+0",$E253 = M$1)), 2^$D253-$B253, "")</f>
        <v/>
      </c>
      <c r="N253" t="str">
        <f t="shared" si="509"/>
        <v/>
      </c>
      <c r="O253" t="str">
        <f t="shared" si="509"/>
        <v/>
      </c>
      <c r="P253" t="str">
        <f t="shared" si="509"/>
        <v/>
      </c>
      <c r="Q253" t="str">
        <f t="shared" si="509"/>
        <v/>
      </c>
      <c r="R253" t="str">
        <f t="shared" si="509"/>
        <v/>
      </c>
      <c r="S253">
        <f t="shared" si="509"/>
        <v>91</v>
      </c>
      <c r="T253">
        <f t="shared" si="5"/>
        <v>1036</v>
      </c>
      <c r="U253" s="25">
        <f t="shared" si="6"/>
        <v>1.321428571</v>
      </c>
      <c r="V253" s="26">
        <f t="shared" si="7"/>
        <v>0.7297297297</v>
      </c>
      <c r="W253" s="25">
        <f t="shared" si="8"/>
        <v>6.743387223</v>
      </c>
      <c r="X253" s="25">
        <f t="shared" si="9"/>
        <v>6.769815795</v>
      </c>
      <c r="Y253" s="25"/>
      <c r="Z253" s="25"/>
    </row>
    <row r="254">
      <c r="A254" s="1" t="s">
        <v>4</v>
      </c>
      <c r="B254" s="1">
        <v>37.0</v>
      </c>
      <c r="C254" s="1">
        <v>29.0</v>
      </c>
      <c r="D254" s="1">
        <v>7.0</v>
      </c>
      <c r="E254">
        <f t="shared" si="2"/>
        <v>8</v>
      </c>
      <c r="F254" t="str">
        <f t="shared" ref="F254:L254" si="510">IF((AND($A254 = "+0",$E254 = F$1)), $C254, "")</f>
        <v/>
      </c>
      <c r="G254" t="str">
        <f t="shared" si="510"/>
        <v/>
      </c>
      <c r="H254" t="str">
        <f t="shared" si="510"/>
        <v/>
      </c>
      <c r="I254" t="str">
        <f t="shared" si="510"/>
        <v/>
      </c>
      <c r="J254" t="str">
        <f t="shared" si="510"/>
        <v/>
      </c>
      <c r="K254" t="str">
        <f t="shared" si="510"/>
        <v/>
      </c>
      <c r="L254" t="str">
        <f t="shared" si="510"/>
        <v/>
      </c>
      <c r="M254" t="str">
        <f t="shared" ref="M254:S254" si="511">IF((AND($A254 = "+0",$E254 = M$1)), 2^$D254-$B254, "")</f>
        <v/>
      </c>
      <c r="N254" t="str">
        <f t="shared" si="511"/>
        <v/>
      </c>
      <c r="O254" t="str">
        <f t="shared" si="511"/>
        <v/>
      </c>
      <c r="P254" t="str">
        <f t="shared" si="511"/>
        <v/>
      </c>
      <c r="Q254" t="str">
        <f t="shared" si="511"/>
        <v/>
      </c>
      <c r="R254" t="str">
        <f t="shared" si="511"/>
        <v/>
      </c>
      <c r="S254" t="str">
        <f t="shared" si="511"/>
        <v/>
      </c>
      <c r="T254">
        <f t="shared" si="5"/>
        <v>1073</v>
      </c>
      <c r="U254" s="25">
        <f t="shared" si="6"/>
        <v>1.275862069</v>
      </c>
      <c r="V254" s="26">
        <f t="shared" si="7"/>
        <v>0.7567567568</v>
      </c>
      <c r="W254" s="25">
        <f t="shared" si="8"/>
        <v>6.777469059</v>
      </c>
      <c r="X254" s="25">
        <f t="shared" si="9"/>
        <v>6.802986301</v>
      </c>
      <c r="Y254" s="25"/>
      <c r="Z254" s="25"/>
    </row>
    <row r="255">
      <c r="A255" s="1" t="s">
        <v>5</v>
      </c>
      <c r="B255" s="1">
        <v>36.0</v>
      </c>
      <c r="C255" s="1">
        <v>29.0</v>
      </c>
      <c r="D255" s="1">
        <v>7.0</v>
      </c>
      <c r="E255">
        <f t="shared" si="2"/>
        <v>7</v>
      </c>
      <c r="F255" t="str">
        <f t="shared" ref="F255:L255" si="512">IF((AND($A255 = "+0",$E255 = F$1)), $C255, "")</f>
        <v/>
      </c>
      <c r="G255" t="str">
        <f t="shared" si="512"/>
        <v/>
      </c>
      <c r="H255" t="str">
        <f t="shared" si="512"/>
        <v/>
      </c>
      <c r="I255" t="str">
        <f t="shared" si="512"/>
        <v/>
      </c>
      <c r="J255" t="str">
        <f t="shared" si="512"/>
        <v/>
      </c>
      <c r="K255" t="str">
        <f t="shared" si="512"/>
        <v/>
      </c>
      <c r="L255">
        <f t="shared" si="512"/>
        <v>29</v>
      </c>
      <c r="M255" t="str">
        <f t="shared" ref="M255:S255" si="513">IF((AND($A255 = "+0",$E255 = M$1)), 2^$D255-$B255, "")</f>
        <v/>
      </c>
      <c r="N255" t="str">
        <f t="shared" si="513"/>
        <v/>
      </c>
      <c r="O255" t="str">
        <f t="shared" si="513"/>
        <v/>
      </c>
      <c r="P255" t="str">
        <f t="shared" si="513"/>
        <v/>
      </c>
      <c r="Q255" t="str">
        <f t="shared" si="513"/>
        <v/>
      </c>
      <c r="R255" t="str">
        <f t="shared" si="513"/>
        <v/>
      </c>
      <c r="S255">
        <f t="shared" si="513"/>
        <v>92</v>
      </c>
      <c r="T255">
        <f t="shared" si="5"/>
        <v>1044</v>
      </c>
      <c r="U255" s="25">
        <f t="shared" si="6"/>
        <v>1.24137931</v>
      </c>
      <c r="V255" s="26">
        <f t="shared" si="7"/>
        <v>0.7777777778</v>
      </c>
      <c r="W255" s="25">
        <f t="shared" si="8"/>
        <v>6.750858281</v>
      </c>
      <c r="X255" s="25">
        <f t="shared" si="9"/>
        <v>6.775685867</v>
      </c>
      <c r="Y255" s="25"/>
      <c r="Z255" s="25"/>
    </row>
    <row r="256">
      <c r="A256" s="1" t="s">
        <v>4</v>
      </c>
      <c r="B256" s="1">
        <v>36.0</v>
      </c>
      <c r="C256" s="1">
        <v>30.0</v>
      </c>
      <c r="D256" s="1">
        <v>7.0</v>
      </c>
      <c r="E256">
        <f t="shared" si="2"/>
        <v>8</v>
      </c>
      <c r="F256" t="str">
        <f t="shared" ref="F256:L256" si="514">IF((AND($A256 = "+0",$E256 = F$1)), $C256, "")</f>
        <v/>
      </c>
      <c r="G256" t="str">
        <f t="shared" si="514"/>
        <v/>
      </c>
      <c r="H256" t="str">
        <f t="shared" si="514"/>
        <v/>
      </c>
      <c r="I256" t="str">
        <f t="shared" si="514"/>
        <v/>
      </c>
      <c r="J256" t="str">
        <f t="shared" si="514"/>
        <v/>
      </c>
      <c r="K256" t="str">
        <f t="shared" si="514"/>
        <v/>
      </c>
      <c r="L256" t="str">
        <f t="shared" si="514"/>
        <v/>
      </c>
      <c r="M256" t="str">
        <f t="shared" ref="M256:S256" si="515">IF((AND($A256 = "+0",$E256 = M$1)), 2^$D256-$B256, "")</f>
        <v/>
      </c>
      <c r="N256" t="str">
        <f t="shared" si="515"/>
        <v/>
      </c>
      <c r="O256" t="str">
        <f t="shared" si="515"/>
        <v/>
      </c>
      <c r="P256" t="str">
        <f t="shared" si="515"/>
        <v/>
      </c>
      <c r="Q256" t="str">
        <f t="shared" si="515"/>
        <v/>
      </c>
      <c r="R256" t="str">
        <f t="shared" si="515"/>
        <v/>
      </c>
      <c r="S256" t="str">
        <f t="shared" si="515"/>
        <v/>
      </c>
      <c r="T256">
        <f t="shared" si="5"/>
        <v>1080</v>
      </c>
      <c r="U256" s="25">
        <f t="shared" si="6"/>
        <v>1.2</v>
      </c>
      <c r="V256" s="26">
        <f t="shared" si="7"/>
        <v>0.8055555556</v>
      </c>
      <c r="W256" s="25">
        <f t="shared" si="8"/>
        <v>6.783784575</v>
      </c>
      <c r="X256" s="25">
        <f t="shared" si="9"/>
        <v>6.807784575</v>
      </c>
      <c r="Y256" s="25"/>
      <c r="Z256" s="25"/>
    </row>
    <row r="257">
      <c r="A257" s="1" t="s">
        <v>5</v>
      </c>
      <c r="B257" s="1">
        <v>35.0</v>
      </c>
      <c r="C257" s="1">
        <v>30.0</v>
      </c>
      <c r="D257" s="1">
        <v>7.0</v>
      </c>
      <c r="E257">
        <f t="shared" si="2"/>
        <v>7</v>
      </c>
      <c r="F257" t="str">
        <f t="shared" ref="F257:L257" si="516">IF((AND($A257 = "+0",$E257 = F$1)), $C257, "")</f>
        <v/>
      </c>
      <c r="G257" t="str">
        <f t="shared" si="516"/>
        <v/>
      </c>
      <c r="H257" t="str">
        <f t="shared" si="516"/>
        <v/>
      </c>
      <c r="I257" t="str">
        <f t="shared" si="516"/>
        <v/>
      </c>
      <c r="J257" t="str">
        <f t="shared" si="516"/>
        <v/>
      </c>
      <c r="K257" t="str">
        <f t="shared" si="516"/>
        <v/>
      </c>
      <c r="L257">
        <f t="shared" si="516"/>
        <v>30</v>
      </c>
      <c r="M257" t="str">
        <f t="shared" ref="M257:S257" si="517">IF((AND($A257 = "+0",$E257 = M$1)), 2^$D257-$B257, "")</f>
        <v/>
      </c>
      <c r="N257" t="str">
        <f t="shared" si="517"/>
        <v/>
      </c>
      <c r="O257" t="str">
        <f t="shared" si="517"/>
        <v/>
      </c>
      <c r="P257" t="str">
        <f t="shared" si="517"/>
        <v/>
      </c>
      <c r="Q257" t="str">
        <f t="shared" si="517"/>
        <v/>
      </c>
      <c r="R257" t="str">
        <f t="shared" si="517"/>
        <v/>
      </c>
      <c r="S257">
        <f t="shared" si="517"/>
        <v>93</v>
      </c>
      <c r="T257">
        <f t="shared" si="5"/>
        <v>1050</v>
      </c>
      <c r="U257" s="25">
        <f t="shared" si="6"/>
        <v>1.166666667</v>
      </c>
      <c r="V257" s="26">
        <f t="shared" si="7"/>
        <v>0.8285714286</v>
      </c>
      <c r="W257" s="25">
        <f t="shared" si="8"/>
        <v>6.756424099</v>
      </c>
      <c r="X257" s="25">
        <f t="shared" si="9"/>
        <v>6.779757432</v>
      </c>
      <c r="Y257" s="25"/>
      <c r="Z257" s="25"/>
    </row>
    <row r="258">
      <c r="A258" s="1" t="s">
        <v>4</v>
      </c>
      <c r="B258" s="1">
        <v>35.0</v>
      </c>
      <c r="C258" s="1">
        <v>31.0</v>
      </c>
      <c r="D258" s="1">
        <v>7.0</v>
      </c>
      <c r="E258">
        <f t="shared" si="2"/>
        <v>8</v>
      </c>
      <c r="F258" t="str">
        <f t="shared" ref="F258:L258" si="518">IF((AND($A258 = "+0",$E258 = F$1)), $C258, "")</f>
        <v/>
      </c>
      <c r="G258" t="str">
        <f t="shared" si="518"/>
        <v/>
      </c>
      <c r="H258" t="str">
        <f t="shared" si="518"/>
        <v/>
      </c>
      <c r="I258" t="str">
        <f t="shared" si="518"/>
        <v/>
      </c>
      <c r="J258" t="str">
        <f t="shared" si="518"/>
        <v/>
      </c>
      <c r="K258" t="str">
        <f t="shared" si="518"/>
        <v/>
      </c>
      <c r="L258" t="str">
        <f t="shared" si="518"/>
        <v/>
      </c>
      <c r="M258" t="str">
        <f t="shared" ref="M258:S258" si="519">IF((AND($A258 = "+0",$E258 = M$1)), 2^$D258-$B258, "")</f>
        <v/>
      </c>
      <c r="N258" t="str">
        <f t="shared" si="519"/>
        <v/>
      </c>
      <c r="O258" t="str">
        <f t="shared" si="519"/>
        <v/>
      </c>
      <c r="P258" t="str">
        <f t="shared" si="519"/>
        <v/>
      </c>
      <c r="Q258" t="str">
        <f t="shared" si="519"/>
        <v/>
      </c>
      <c r="R258" t="str">
        <f t="shared" si="519"/>
        <v/>
      </c>
      <c r="S258" t="str">
        <f t="shared" si="519"/>
        <v/>
      </c>
      <c r="T258">
        <f t="shared" si="5"/>
        <v>1085</v>
      </c>
      <c r="U258" s="25">
        <f t="shared" si="6"/>
        <v>1.129032258</v>
      </c>
      <c r="V258" s="26">
        <f t="shared" si="7"/>
        <v>0.8571428571</v>
      </c>
      <c r="W258" s="25">
        <f t="shared" si="8"/>
        <v>6.788270646</v>
      </c>
      <c r="X258" s="25">
        <f t="shared" si="9"/>
        <v>6.810851291</v>
      </c>
      <c r="Y258" s="25"/>
      <c r="Z258" s="25"/>
    </row>
    <row r="259">
      <c r="A259" s="1" t="s">
        <v>5</v>
      </c>
      <c r="B259" s="1">
        <v>34.0</v>
      </c>
      <c r="C259" s="1">
        <v>31.0</v>
      </c>
      <c r="D259" s="1">
        <v>7.0</v>
      </c>
      <c r="E259">
        <f t="shared" si="2"/>
        <v>7</v>
      </c>
      <c r="F259" t="str">
        <f t="shared" ref="F259:L259" si="520">IF((AND($A259 = "+0",$E259 = F$1)), $C259, "")</f>
        <v/>
      </c>
      <c r="G259" t="str">
        <f t="shared" si="520"/>
        <v/>
      </c>
      <c r="H259" t="str">
        <f t="shared" si="520"/>
        <v/>
      </c>
      <c r="I259" t="str">
        <f t="shared" si="520"/>
        <v/>
      </c>
      <c r="J259" t="str">
        <f t="shared" si="520"/>
        <v/>
      </c>
      <c r="K259" t="str">
        <f t="shared" si="520"/>
        <v/>
      </c>
      <c r="L259">
        <f t="shared" si="520"/>
        <v>31</v>
      </c>
      <c r="M259" t="str">
        <f t="shared" ref="M259:S259" si="521">IF((AND($A259 = "+0",$E259 = M$1)), 2^$D259-$B259, "")</f>
        <v/>
      </c>
      <c r="N259" t="str">
        <f t="shared" si="521"/>
        <v/>
      </c>
      <c r="O259" t="str">
        <f t="shared" si="521"/>
        <v/>
      </c>
      <c r="P259" t="str">
        <f t="shared" si="521"/>
        <v/>
      </c>
      <c r="Q259" t="str">
        <f t="shared" si="521"/>
        <v/>
      </c>
      <c r="R259" t="str">
        <f t="shared" si="521"/>
        <v/>
      </c>
      <c r="S259">
        <f t="shared" si="521"/>
        <v>94</v>
      </c>
      <c r="T259">
        <f t="shared" si="5"/>
        <v>1054</v>
      </c>
      <c r="U259" s="25">
        <f t="shared" si="6"/>
        <v>1.096774194</v>
      </c>
      <c r="V259" s="26">
        <f t="shared" si="7"/>
        <v>0.8823529412</v>
      </c>
      <c r="W259" s="25">
        <f t="shared" si="8"/>
        <v>6.760117003</v>
      </c>
      <c r="X259" s="25">
        <f t="shared" si="9"/>
        <v>6.782052487</v>
      </c>
      <c r="Y259" s="25"/>
      <c r="Z259" s="25"/>
    </row>
    <row r="260">
      <c r="A260" s="1" t="s">
        <v>4</v>
      </c>
      <c r="B260" s="1">
        <v>34.0</v>
      </c>
      <c r="C260" s="1">
        <v>32.0</v>
      </c>
      <c r="D260" s="1">
        <v>7.0</v>
      </c>
      <c r="E260">
        <f t="shared" si="2"/>
        <v>8</v>
      </c>
      <c r="F260" t="str">
        <f t="shared" ref="F260:L260" si="522">IF((AND($A260 = "+0",$E260 = F$1)), $C260, "")</f>
        <v/>
      </c>
      <c r="G260" t="str">
        <f t="shared" si="522"/>
        <v/>
      </c>
      <c r="H260" t="str">
        <f t="shared" si="522"/>
        <v/>
      </c>
      <c r="I260" t="str">
        <f t="shared" si="522"/>
        <v/>
      </c>
      <c r="J260" t="str">
        <f t="shared" si="522"/>
        <v/>
      </c>
      <c r="K260" t="str">
        <f t="shared" si="522"/>
        <v/>
      </c>
      <c r="L260" t="str">
        <f t="shared" si="522"/>
        <v/>
      </c>
      <c r="M260" t="str">
        <f t="shared" ref="M260:S260" si="523">IF((AND($A260 = "+0",$E260 = M$1)), 2^$D260-$B260, "")</f>
        <v/>
      </c>
      <c r="N260" t="str">
        <f t="shared" si="523"/>
        <v/>
      </c>
      <c r="O260" t="str">
        <f t="shared" si="523"/>
        <v/>
      </c>
      <c r="P260" t="str">
        <f t="shared" si="523"/>
        <v/>
      </c>
      <c r="Q260" t="str">
        <f t="shared" si="523"/>
        <v/>
      </c>
      <c r="R260" t="str">
        <f t="shared" si="523"/>
        <v/>
      </c>
      <c r="S260" t="str">
        <f t="shared" si="523"/>
        <v/>
      </c>
      <c r="T260">
        <f t="shared" si="5"/>
        <v>1088</v>
      </c>
      <c r="U260" s="25">
        <f t="shared" si="6"/>
        <v>1.0625</v>
      </c>
      <c r="V260" s="26">
        <f t="shared" si="7"/>
        <v>0.9117647059</v>
      </c>
      <c r="W260" s="25">
        <f t="shared" si="8"/>
        <v>6.790952376</v>
      </c>
      <c r="X260" s="25">
        <f t="shared" si="9"/>
        <v>6.812202376</v>
      </c>
      <c r="Y260" s="25"/>
      <c r="Z260" s="25"/>
    </row>
    <row r="261">
      <c r="A261" s="1" t="s">
        <v>5</v>
      </c>
      <c r="B261" s="1">
        <v>33.0</v>
      </c>
      <c r="C261" s="1">
        <v>32.0</v>
      </c>
      <c r="D261" s="1">
        <v>7.0</v>
      </c>
      <c r="E261">
        <f t="shared" si="2"/>
        <v>7</v>
      </c>
      <c r="F261" t="str">
        <f t="shared" ref="F261:L261" si="524">IF((AND($A261 = "+0",$E261 = F$1)), $C261, "")</f>
        <v/>
      </c>
      <c r="G261" t="str">
        <f t="shared" si="524"/>
        <v/>
      </c>
      <c r="H261" t="str">
        <f t="shared" si="524"/>
        <v/>
      </c>
      <c r="I261" t="str">
        <f t="shared" si="524"/>
        <v/>
      </c>
      <c r="J261" t="str">
        <f t="shared" si="524"/>
        <v/>
      </c>
      <c r="K261" t="str">
        <f t="shared" si="524"/>
        <v/>
      </c>
      <c r="L261">
        <f t="shared" si="524"/>
        <v>32</v>
      </c>
      <c r="M261" t="str">
        <f t="shared" ref="M261:S261" si="525">IF((AND($A261 = "+0",$E261 = M$1)), 2^$D261-$B261, "")</f>
        <v/>
      </c>
      <c r="N261" t="str">
        <f t="shared" si="525"/>
        <v/>
      </c>
      <c r="O261" t="str">
        <f t="shared" si="525"/>
        <v/>
      </c>
      <c r="P261" t="str">
        <f t="shared" si="525"/>
        <v/>
      </c>
      <c r="Q261" t="str">
        <f t="shared" si="525"/>
        <v/>
      </c>
      <c r="R261" t="str">
        <f t="shared" si="525"/>
        <v/>
      </c>
      <c r="S261">
        <f t="shared" si="525"/>
        <v>95</v>
      </c>
      <c r="T261">
        <f t="shared" si="5"/>
        <v>1056</v>
      </c>
      <c r="U261" s="25">
        <f t="shared" si="6"/>
        <v>1.03125</v>
      </c>
      <c r="V261" s="26">
        <f t="shared" si="7"/>
        <v>0.9393939394</v>
      </c>
      <c r="W261" s="25">
        <f t="shared" si="8"/>
        <v>6.761958203</v>
      </c>
      <c r="X261" s="25">
        <f t="shared" si="9"/>
        <v>6.782583203</v>
      </c>
      <c r="Y261" s="25"/>
      <c r="Z261" s="25"/>
    </row>
    <row r="262">
      <c r="A262" s="1" t="s">
        <v>4</v>
      </c>
      <c r="B262" s="1">
        <v>33.0</v>
      </c>
      <c r="C262" s="1">
        <v>33.0</v>
      </c>
      <c r="D262" s="1">
        <v>7.0</v>
      </c>
      <c r="E262">
        <f t="shared" si="2"/>
        <v>8</v>
      </c>
      <c r="F262" t="str">
        <f t="shared" ref="F262:L262" si="526">IF((AND($A262 = "+0",$E262 = F$1)), $C262, "")</f>
        <v/>
      </c>
      <c r="G262" t="str">
        <f t="shared" si="526"/>
        <v/>
      </c>
      <c r="H262" t="str">
        <f t="shared" si="526"/>
        <v/>
      </c>
      <c r="I262" t="str">
        <f t="shared" si="526"/>
        <v/>
      </c>
      <c r="J262" t="str">
        <f t="shared" si="526"/>
        <v/>
      </c>
      <c r="K262" t="str">
        <f t="shared" si="526"/>
        <v/>
      </c>
      <c r="L262" t="str">
        <f t="shared" si="526"/>
        <v/>
      </c>
      <c r="M262" t="str">
        <f t="shared" ref="M262:S262" si="527">IF((AND($A262 = "+0",$E262 = M$1)), 2^$D262-$B262, "")</f>
        <v/>
      </c>
      <c r="N262" t="str">
        <f t="shared" si="527"/>
        <v/>
      </c>
      <c r="O262" t="str">
        <f t="shared" si="527"/>
        <v/>
      </c>
      <c r="P262" t="str">
        <f t="shared" si="527"/>
        <v/>
      </c>
      <c r="Q262" t="str">
        <f t="shared" si="527"/>
        <v/>
      </c>
      <c r="R262" t="str">
        <f t="shared" si="527"/>
        <v/>
      </c>
      <c r="S262" t="str">
        <f t="shared" si="527"/>
        <v/>
      </c>
      <c r="T262">
        <f t="shared" si="5"/>
        <v>1089</v>
      </c>
      <c r="U262" s="25">
        <f t="shared" si="6"/>
        <v>1</v>
      </c>
      <c r="V262" s="26">
        <f t="shared" si="7"/>
        <v>0.9696969697</v>
      </c>
      <c r="W262" s="25">
        <f t="shared" si="8"/>
        <v>6.791844643</v>
      </c>
      <c r="X262" s="25">
        <f t="shared" si="9"/>
        <v>6.811844643</v>
      </c>
      <c r="Y262" s="25"/>
      <c r="Z262" s="25"/>
    </row>
    <row r="263">
      <c r="U263" s="25"/>
      <c r="V263" s="25"/>
      <c r="W263" s="25"/>
      <c r="X263" s="25"/>
      <c r="Y263" s="25"/>
      <c r="Z263" s="25"/>
    </row>
    <row r="264">
      <c r="U264" s="25"/>
      <c r="V264" s="25"/>
      <c r="W264" s="25"/>
      <c r="X264" s="25"/>
      <c r="Y264" s="25"/>
      <c r="Z264" s="25"/>
    </row>
    <row r="265">
      <c r="U265" s="25"/>
      <c r="V265" s="25"/>
      <c r="W265" s="25"/>
      <c r="X265" s="25"/>
      <c r="Y265" s="25"/>
      <c r="Z265" s="25"/>
    </row>
    <row r="266">
      <c r="U266" s="25"/>
      <c r="V266" s="25"/>
      <c r="W266" s="25"/>
      <c r="X266" s="25"/>
      <c r="Y266" s="25"/>
      <c r="Z266" s="25"/>
    </row>
    <row r="267">
      <c r="U267" s="25"/>
      <c r="V267" s="25"/>
      <c r="W267" s="25"/>
      <c r="X267" s="25"/>
      <c r="Y267" s="25"/>
      <c r="Z267" s="25"/>
    </row>
    <row r="268">
      <c r="U268" s="25"/>
      <c r="V268" s="25"/>
      <c r="W268" s="25"/>
      <c r="X268" s="25"/>
      <c r="Y268" s="25"/>
      <c r="Z268" s="25"/>
    </row>
    <row r="269">
      <c r="U269" s="25"/>
      <c r="V269" s="25"/>
      <c r="W269" s="25"/>
      <c r="X269" s="25"/>
      <c r="Y269" s="25"/>
      <c r="Z269" s="25"/>
    </row>
    <row r="270">
      <c r="U270" s="25"/>
      <c r="V270" s="25"/>
      <c r="W270" s="25"/>
      <c r="X270" s="25"/>
      <c r="Y270" s="25"/>
      <c r="Z270" s="25"/>
    </row>
    <row r="271">
      <c r="U271" s="25"/>
      <c r="V271" s="25"/>
      <c r="W271" s="25"/>
      <c r="X271" s="25"/>
      <c r="Y271" s="25"/>
      <c r="Z271" s="25"/>
    </row>
    <row r="272">
      <c r="U272" s="25"/>
      <c r="V272" s="25"/>
      <c r="W272" s="25"/>
      <c r="X272" s="25"/>
      <c r="Y272" s="25"/>
      <c r="Z272" s="25"/>
    </row>
    <row r="273">
      <c r="U273" s="25"/>
      <c r="V273" s="25"/>
      <c r="W273" s="25"/>
      <c r="X273" s="25"/>
      <c r="Y273" s="25"/>
      <c r="Z273" s="25"/>
    </row>
    <row r="274">
      <c r="U274" s="25"/>
      <c r="V274" s="25"/>
      <c r="W274" s="25"/>
      <c r="X274" s="25"/>
      <c r="Y274" s="25"/>
      <c r="Z274" s="25"/>
    </row>
    <row r="275">
      <c r="U275" s="25"/>
      <c r="V275" s="25"/>
      <c r="W275" s="25"/>
      <c r="X275" s="25"/>
      <c r="Y275" s="25"/>
      <c r="Z275" s="25"/>
    </row>
    <row r="276">
      <c r="U276" s="25"/>
      <c r="V276" s="25"/>
      <c r="W276" s="25"/>
      <c r="X276" s="25"/>
      <c r="Y276" s="25"/>
      <c r="Z276" s="25"/>
    </row>
    <row r="277">
      <c r="U277" s="25"/>
      <c r="V277" s="25"/>
      <c r="W277" s="25"/>
      <c r="X277" s="25"/>
      <c r="Y277" s="25"/>
      <c r="Z277" s="25"/>
    </row>
    <row r="278">
      <c r="U278" s="25"/>
      <c r="V278" s="25"/>
      <c r="W278" s="25"/>
      <c r="X278" s="25"/>
      <c r="Y278" s="25"/>
      <c r="Z278" s="25"/>
    </row>
    <row r="279">
      <c r="U279" s="25"/>
      <c r="V279" s="25"/>
      <c r="W279" s="25"/>
      <c r="X279" s="25"/>
      <c r="Y279" s="25"/>
      <c r="Z279" s="25"/>
    </row>
    <row r="280">
      <c r="U280" s="25"/>
      <c r="V280" s="25"/>
      <c r="W280" s="25"/>
      <c r="X280" s="25"/>
      <c r="Y280" s="25"/>
      <c r="Z280" s="25"/>
    </row>
    <row r="281">
      <c r="U281" s="25"/>
      <c r="V281" s="25"/>
      <c r="W281" s="25"/>
      <c r="X281" s="25"/>
      <c r="Y281" s="25"/>
      <c r="Z281" s="25"/>
    </row>
    <row r="282">
      <c r="U282" s="25"/>
      <c r="V282" s="25"/>
      <c r="W282" s="25"/>
      <c r="X282" s="25"/>
      <c r="Y282" s="25"/>
      <c r="Z282" s="25"/>
    </row>
    <row r="283">
      <c r="U283" s="25"/>
      <c r="V283" s="25"/>
      <c r="W283" s="25"/>
      <c r="X283" s="25"/>
      <c r="Y283" s="25"/>
      <c r="Z283" s="25"/>
    </row>
    <row r="284">
      <c r="U284" s="25"/>
      <c r="V284" s="25"/>
      <c r="W284" s="25"/>
      <c r="X284" s="25"/>
      <c r="Y284" s="25"/>
      <c r="Z284" s="25"/>
    </row>
    <row r="285">
      <c r="U285" s="25"/>
      <c r="V285" s="25"/>
      <c r="W285" s="25"/>
      <c r="X285" s="25"/>
      <c r="Y285" s="25"/>
      <c r="Z285" s="25"/>
    </row>
    <row r="286">
      <c r="U286" s="25"/>
      <c r="V286" s="25"/>
      <c r="W286" s="25"/>
      <c r="X286" s="25"/>
      <c r="Y286" s="25"/>
      <c r="Z286" s="25"/>
    </row>
    <row r="287">
      <c r="U287" s="25"/>
      <c r="V287" s="25"/>
      <c r="W287" s="25"/>
      <c r="X287" s="25"/>
      <c r="Y287" s="25"/>
      <c r="Z287" s="25"/>
    </row>
    <row r="288">
      <c r="U288" s="25"/>
      <c r="V288" s="25"/>
      <c r="W288" s="25"/>
      <c r="X288" s="25"/>
      <c r="Y288" s="25"/>
      <c r="Z288" s="25"/>
    </row>
    <row r="289">
      <c r="U289" s="25"/>
      <c r="V289" s="25"/>
      <c r="W289" s="25"/>
      <c r="X289" s="25"/>
      <c r="Y289" s="25"/>
      <c r="Z289" s="25"/>
    </row>
    <row r="290">
      <c r="U290" s="25"/>
      <c r="V290" s="25"/>
      <c r="W290" s="25"/>
      <c r="X290" s="25"/>
      <c r="Y290" s="25"/>
      <c r="Z290" s="25"/>
    </row>
    <row r="291">
      <c r="U291" s="25"/>
      <c r="V291" s="25"/>
      <c r="W291" s="25"/>
      <c r="X291" s="25"/>
      <c r="Y291" s="25"/>
      <c r="Z291" s="25"/>
    </row>
    <row r="292">
      <c r="U292" s="25"/>
      <c r="V292" s="25"/>
      <c r="W292" s="25"/>
      <c r="X292" s="25"/>
      <c r="Y292" s="25"/>
      <c r="Z292" s="25"/>
    </row>
    <row r="293">
      <c r="U293" s="25"/>
      <c r="V293" s="25"/>
      <c r="W293" s="25"/>
      <c r="X293" s="25"/>
      <c r="Y293" s="25"/>
      <c r="Z293" s="25"/>
    </row>
    <row r="294">
      <c r="U294" s="25"/>
      <c r="V294" s="25"/>
      <c r="W294" s="25"/>
      <c r="X294" s="25"/>
      <c r="Y294" s="25"/>
      <c r="Z294" s="25"/>
    </row>
    <row r="295">
      <c r="U295" s="25"/>
      <c r="V295" s="25"/>
      <c r="W295" s="25"/>
      <c r="X295" s="25"/>
      <c r="Y295" s="25"/>
      <c r="Z295" s="25"/>
    </row>
    <row r="296">
      <c r="U296" s="25"/>
      <c r="V296" s="25"/>
      <c r="W296" s="25"/>
      <c r="X296" s="25"/>
      <c r="Y296" s="25"/>
      <c r="Z296" s="25"/>
    </row>
    <row r="297">
      <c r="U297" s="25"/>
      <c r="V297" s="25"/>
      <c r="W297" s="25"/>
      <c r="X297" s="25"/>
      <c r="Y297" s="25"/>
      <c r="Z297" s="25"/>
    </row>
    <row r="298">
      <c r="U298" s="25"/>
      <c r="V298" s="25"/>
      <c r="W298" s="25"/>
      <c r="X298" s="25"/>
      <c r="Y298" s="25"/>
      <c r="Z298" s="25"/>
    </row>
    <row r="299">
      <c r="U299" s="25"/>
      <c r="V299" s="25"/>
      <c r="W299" s="25"/>
      <c r="X299" s="25"/>
      <c r="Y299" s="25"/>
      <c r="Z299" s="25"/>
    </row>
    <row r="300">
      <c r="U300" s="25"/>
      <c r="V300" s="25"/>
      <c r="W300" s="25"/>
      <c r="X300" s="25"/>
      <c r="Y300" s="25"/>
      <c r="Z300" s="25"/>
    </row>
    <row r="301">
      <c r="U301" s="25"/>
      <c r="V301" s="25"/>
      <c r="W301" s="25"/>
      <c r="X301" s="25"/>
      <c r="Y301" s="25"/>
      <c r="Z301" s="25"/>
    </row>
    <row r="302">
      <c r="U302" s="25"/>
      <c r="V302" s="25"/>
      <c r="W302" s="25"/>
      <c r="X302" s="25"/>
      <c r="Y302" s="25"/>
      <c r="Z302" s="25"/>
    </row>
    <row r="303">
      <c r="U303" s="25"/>
      <c r="V303" s="25"/>
      <c r="W303" s="25"/>
      <c r="X303" s="25"/>
      <c r="Y303" s="25"/>
      <c r="Z303" s="25"/>
    </row>
    <row r="304">
      <c r="U304" s="25"/>
      <c r="V304" s="25"/>
      <c r="W304" s="25"/>
      <c r="X304" s="25"/>
      <c r="Y304" s="25"/>
      <c r="Z304" s="25"/>
    </row>
    <row r="305">
      <c r="U305" s="25"/>
      <c r="V305" s="25"/>
      <c r="W305" s="25"/>
      <c r="X305" s="25"/>
      <c r="Y305" s="25"/>
      <c r="Z305" s="25"/>
    </row>
    <row r="306">
      <c r="U306" s="25"/>
      <c r="V306" s="25"/>
      <c r="W306" s="25"/>
      <c r="X306" s="25"/>
      <c r="Y306" s="25"/>
      <c r="Z306" s="25"/>
    </row>
    <row r="307">
      <c r="U307" s="25"/>
      <c r="V307" s="25"/>
      <c r="W307" s="25"/>
      <c r="X307" s="25"/>
      <c r="Y307" s="25"/>
      <c r="Z307" s="25"/>
    </row>
    <row r="308">
      <c r="U308" s="25"/>
      <c r="V308" s="25"/>
      <c r="W308" s="25"/>
      <c r="X308" s="25"/>
      <c r="Y308" s="25"/>
      <c r="Z308" s="25"/>
    </row>
    <row r="309">
      <c r="U309" s="25"/>
      <c r="V309" s="25"/>
      <c r="W309" s="25"/>
      <c r="X309" s="25"/>
      <c r="Y309" s="25"/>
      <c r="Z309" s="25"/>
    </row>
    <row r="310">
      <c r="U310" s="25"/>
      <c r="V310" s="25"/>
      <c r="W310" s="25"/>
      <c r="X310" s="25"/>
      <c r="Y310" s="25"/>
      <c r="Z310" s="25"/>
    </row>
    <row r="311">
      <c r="U311" s="25"/>
      <c r="V311" s="25"/>
      <c r="W311" s="25"/>
      <c r="X311" s="25"/>
      <c r="Y311" s="25"/>
      <c r="Z311" s="25"/>
    </row>
    <row r="312">
      <c r="U312" s="25"/>
      <c r="V312" s="25"/>
      <c r="W312" s="25"/>
      <c r="X312" s="25"/>
      <c r="Y312" s="25"/>
      <c r="Z312" s="25"/>
    </row>
    <row r="313">
      <c r="U313" s="25"/>
      <c r="V313" s="25"/>
      <c r="W313" s="25"/>
      <c r="X313" s="25"/>
      <c r="Y313" s="25"/>
      <c r="Z313" s="25"/>
    </row>
    <row r="314">
      <c r="U314" s="25"/>
      <c r="V314" s="25"/>
      <c r="W314" s="25"/>
      <c r="X314" s="25"/>
      <c r="Y314" s="25"/>
      <c r="Z314" s="25"/>
    </row>
    <row r="315">
      <c r="U315" s="25"/>
      <c r="V315" s="25"/>
      <c r="W315" s="25"/>
      <c r="X315" s="25"/>
      <c r="Y315" s="25"/>
      <c r="Z315" s="25"/>
    </row>
    <row r="316">
      <c r="U316" s="25"/>
      <c r="V316" s="25"/>
      <c r="W316" s="25"/>
      <c r="X316" s="25"/>
      <c r="Y316" s="25"/>
      <c r="Z316" s="25"/>
    </row>
    <row r="317">
      <c r="U317" s="25"/>
      <c r="V317" s="25"/>
      <c r="W317" s="25"/>
      <c r="X317" s="25"/>
      <c r="Y317" s="25"/>
      <c r="Z317" s="25"/>
    </row>
    <row r="318">
      <c r="U318" s="25"/>
      <c r="V318" s="25"/>
      <c r="W318" s="25"/>
      <c r="X318" s="25"/>
      <c r="Y318" s="25"/>
      <c r="Z318" s="25"/>
    </row>
    <row r="319">
      <c r="U319" s="25"/>
      <c r="V319" s="25"/>
      <c r="W319" s="25"/>
      <c r="X319" s="25"/>
      <c r="Y319" s="25"/>
      <c r="Z319" s="25"/>
    </row>
    <row r="320">
      <c r="U320" s="25"/>
      <c r="V320" s="25"/>
      <c r="W320" s="25"/>
      <c r="X320" s="25"/>
      <c r="Y320" s="25"/>
      <c r="Z320" s="25"/>
    </row>
    <row r="321">
      <c r="U321" s="25"/>
      <c r="V321" s="25"/>
      <c r="W321" s="25"/>
      <c r="X321" s="25"/>
      <c r="Y321" s="25"/>
      <c r="Z321" s="25"/>
    </row>
    <row r="322">
      <c r="U322" s="25"/>
      <c r="V322" s="25"/>
      <c r="W322" s="25"/>
      <c r="X322" s="25"/>
      <c r="Y322" s="25"/>
      <c r="Z322" s="25"/>
    </row>
    <row r="323">
      <c r="U323" s="25"/>
      <c r="V323" s="25"/>
      <c r="W323" s="25"/>
      <c r="X323" s="25"/>
      <c r="Y323" s="25"/>
      <c r="Z323" s="25"/>
    </row>
    <row r="324">
      <c r="U324" s="25"/>
      <c r="V324" s="25"/>
      <c r="W324" s="25"/>
      <c r="X324" s="25"/>
      <c r="Y324" s="25"/>
      <c r="Z324" s="25"/>
    </row>
    <row r="325">
      <c r="U325" s="25"/>
      <c r="V325" s="25"/>
      <c r="W325" s="25"/>
      <c r="X325" s="25"/>
      <c r="Y325" s="25"/>
      <c r="Z325" s="25"/>
    </row>
    <row r="326">
      <c r="U326" s="25"/>
      <c r="V326" s="25"/>
      <c r="W326" s="25"/>
      <c r="X326" s="25"/>
      <c r="Y326" s="25"/>
      <c r="Z326" s="25"/>
    </row>
    <row r="327">
      <c r="U327" s="25"/>
      <c r="V327" s="25"/>
      <c r="W327" s="25"/>
      <c r="X327" s="25"/>
      <c r="Y327" s="25"/>
      <c r="Z327" s="25"/>
    </row>
    <row r="328">
      <c r="U328" s="25"/>
      <c r="V328" s="25"/>
      <c r="W328" s="25"/>
      <c r="X328" s="25"/>
      <c r="Y328" s="25"/>
      <c r="Z328" s="25"/>
    </row>
    <row r="329">
      <c r="U329" s="25"/>
      <c r="V329" s="25"/>
      <c r="W329" s="25"/>
      <c r="X329" s="25"/>
      <c r="Y329" s="25"/>
      <c r="Z329" s="25"/>
    </row>
    <row r="330">
      <c r="U330" s="25"/>
      <c r="V330" s="25"/>
      <c r="W330" s="25"/>
      <c r="X330" s="25"/>
      <c r="Y330" s="25"/>
      <c r="Z330" s="25"/>
    </row>
    <row r="331">
      <c r="U331" s="25"/>
      <c r="V331" s="25"/>
      <c r="W331" s="25"/>
      <c r="X331" s="25"/>
      <c r="Y331" s="25"/>
      <c r="Z331" s="25"/>
    </row>
    <row r="332">
      <c r="U332" s="25"/>
      <c r="V332" s="25"/>
      <c r="W332" s="25"/>
      <c r="X332" s="25"/>
      <c r="Y332" s="25"/>
      <c r="Z332" s="25"/>
    </row>
    <row r="333">
      <c r="U333" s="25"/>
      <c r="V333" s="25"/>
      <c r="W333" s="25"/>
      <c r="X333" s="25"/>
      <c r="Y333" s="25"/>
      <c r="Z333" s="25"/>
    </row>
    <row r="334">
      <c r="U334" s="25"/>
      <c r="V334" s="25"/>
      <c r="W334" s="25"/>
      <c r="X334" s="25"/>
      <c r="Y334" s="25"/>
      <c r="Z334" s="25"/>
    </row>
    <row r="335">
      <c r="U335" s="25"/>
      <c r="V335" s="25"/>
      <c r="W335" s="25"/>
      <c r="X335" s="25"/>
      <c r="Y335" s="25"/>
      <c r="Z335" s="25"/>
    </row>
    <row r="336">
      <c r="U336" s="25"/>
      <c r="V336" s="25"/>
      <c r="W336" s="25"/>
      <c r="X336" s="25"/>
      <c r="Y336" s="25"/>
      <c r="Z336" s="25"/>
    </row>
    <row r="337">
      <c r="U337" s="25"/>
      <c r="V337" s="25"/>
      <c r="W337" s="25"/>
      <c r="X337" s="25"/>
      <c r="Y337" s="25"/>
      <c r="Z337" s="25"/>
    </row>
    <row r="338">
      <c r="U338" s="25"/>
      <c r="V338" s="25"/>
      <c r="W338" s="25"/>
      <c r="X338" s="25"/>
      <c r="Y338" s="25"/>
      <c r="Z338" s="25"/>
    </row>
    <row r="339">
      <c r="U339" s="25"/>
      <c r="V339" s="25"/>
      <c r="W339" s="25"/>
      <c r="X339" s="25"/>
      <c r="Y339" s="25"/>
      <c r="Z339" s="25"/>
    </row>
    <row r="340">
      <c r="U340" s="25"/>
      <c r="V340" s="25"/>
      <c r="W340" s="25"/>
      <c r="X340" s="25"/>
      <c r="Y340" s="25"/>
      <c r="Z340" s="25"/>
    </row>
    <row r="341">
      <c r="U341" s="25"/>
      <c r="V341" s="25"/>
      <c r="W341" s="25"/>
      <c r="X341" s="25"/>
      <c r="Y341" s="25"/>
      <c r="Z341" s="25"/>
    </row>
    <row r="342">
      <c r="U342" s="25"/>
      <c r="V342" s="25"/>
      <c r="W342" s="25"/>
      <c r="X342" s="25"/>
      <c r="Y342" s="25"/>
      <c r="Z342" s="25"/>
    </row>
    <row r="343">
      <c r="U343" s="25"/>
      <c r="V343" s="25"/>
      <c r="W343" s="25"/>
      <c r="X343" s="25"/>
      <c r="Y343" s="25"/>
      <c r="Z343" s="25"/>
    </row>
    <row r="344">
      <c r="U344" s="25"/>
      <c r="V344" s="25"/>
      <c r="W344" s="25"/>
      <c r="X344" s="25"/>
      <c r="Y344" s="25"/>
      <c r="Z344" s="25"/>
    </row>
    <row r="345">
      <c r="U345" s="25"/>
      <c r="V345" s="25"/>
      <c r="W345" s="25"/>
      <c r="X345" s="25"/>
      <c r="Y345" s="25"/>
      <c r="Z345" s="25"/>
    </row>
    <row r="346">
      <c r="U346" s="25"/>
      <c r="V346" s="25"/>
      <c r="W346" s="25"/>
      <c r="X346" s="25"/>
      <c r="Y346" s="25"/>
      <c r="Z346" s="25"/>
    </row>
    <row r="347">
      <c r="U347" s="25"/>
      <c r="V347" s="25"/>
      <c r="W347" s="25"/>
      <c r="X347" s="25"/>
      <c r="Y347" s="25"/>
      <c r="Z347" s="25"/>
    </row>
    <row r="348">
      <c r="U348" s="25"/>
      <c r="V348" s="25"/>
      <c r="W348" s="25"/>
      <c r="X348" s="25"/>
      <c r="Y348" s="25"/>
      <c r="Z348" s="25"/>
    </row>
    <row r="349">
      <c r="U349" s="25"/>
      <c r="V349" s="25"/>
      <c r="W349" s="25"/>
      <c r="X349" s="25"/>
      <c r="Y349" s="25"/>
      <c r="Z349" s="25"/>
    </row>
    <row r="350">
      <c r="U350" s="25"/>
      <c r="V350" s="25"/>
      <c r="W350" s="25"/>
      <c r="X350" s="25"/>
      <c r="Y350" s="25"/>
      <c r="Z350" s="25"/>
    </row>
    <row r="351">
      <c r="U351" s="25"/>
      <c r="V351" s="25"/>
      <c r="W351" s="25"/>
      <c r="X351" s="25"/>
      <c r="Y351" s="25"/>
      <c r="Z351" s="25"/>
    </row>
    <row r="352">
      <c r="U352" s="25"/>
      <c r="V352" s="25"/>
      <c r="W352" s="25"/>
      <c r="X352" s="25"/>
      <c r="Y352" s="25"/>
      <c r="Z352" s="25"/>
    </row>
    <row r="353">
      <c r="U353" s="25"/>
      <c r="V353" s="25"/>
      <c r="W353" s="25"/>
      <c r="X353" s="25"/>
      <c r="Y353" s="25"/>
      <c r="Z353" s="25"/>
    </row>
    <row r="354">
      <c r="U354" s="25"/>
      <c r="V354" s="25"/>
      <c r="W354" s="25"/>
      <c r="X354" s="25"/>
      <c r="Y354" s="25"/>
      <c r="Z354" s="25"/>
    </row>
    <row r="355">
      <c r="U355" s="25"/>
      <c r="V355" s="25"/>
      <c r="W355" s="25"/>
      <c r="X355" s="25"/>
      <c r="Y355" s="25"/>
      <c r="Z355" s="25"/>
    </row>
    <row r="356">
      <c r="U356" s="25"/>
      <c r="V356" s="25"/>
      <c r="W356" s="25"/>
      <c r="X356" s="25"/>
      <c r="Y356" s="25"/>
      <c r="Z356" s="25"/>
    </row>
    <row r="357">
      <c r="U357" s="25"/>
      <c r="V357" s="25"/>
      <c r="W357" s="25"/>
      <c r="X357" s="25"/>
      <c r="Y357" s="25"/>
      <c r="Z357" s="25"/>
    </row>
    <row r="358">
      <c r="U358" s="25"/>
      <c r="V358" s="25"/>
      <c r="W358" s="25"/>
      <c r="X358" s="25"/>
      <c r="Y358" s="25"/>
      <c r="Z358" s="25"/>
    </row>
    <row r="359">
      <c r="U359" s="25"/>
      <c r="V359" s="25"/>
      <c r="W359" s="25"/>
      <c r="X359" s="25"/>
      <c r="Y359" s="25"/>
      <c r="Z359" s="25"/>
    </row>
    <row r="360">
      <c r="U360" s="25"/>
      <c r="V360" s="25"/>
      <c r="W360" s="25"/>
      <c r="X360" s="25"/>
      <c r="Y360" s="25"/>
      <c r="Z360" s="25"/>
    </row>
    <row r="361">
      <c r="U361" s="25"/>
      <c r="V361" s="25"/>
      <c r="W361" s="25"/>
      <c r="X361" s="25"/>
      <c r="Y361" s="25"/>
      <c r="Z361" s="25"/>
    </row>
    <row r="362">
      <c r="U362" s="25"/>
      <c r="V362" s="25"/>
      <c r="W362" s="25"/>
      <c r="X362" s="25"/>
      <c r="Y362" s="25"/>
      <c r="Z362" s="25"/>
    </row>
    <row r="363">
      <c r="U363" s="25"/>
      <c r="V363" s="25"/>
      <c r="W363" s="25"/>
      <c r="X363" s="25"/>
      <c r="Y363" s="25"/>
      <c r="Z363" s="25"/>
    </row>
    <row r="364">
      <c r="U364" s="25"/>
      <c r="V364" s="25"/>
      <c r="W364" s="25"/>
      <c r="X364" s="25"/>
      <c r="Y364" s="25"/>
      <c r="Z364" s="25"/>
    </row>
    <row r="365">
      <c r="U365" s="25"/>
      <c r="V365" s="25"/>
      <c r="W365" s="25"/>
      <c r="X365" s="25"/>
      <c r="Y365" s="25"/>
      <c r="Z365" s="25"/>
    </row>
    <row r="366">
      <c r="U366" s="25"/>
      <c r="V366" s="25"/>
      <c r="W366" s="25"/>
      <c r="X366" s="25"/>
      <c r="Y366" s="25"/>
      <c r="Z366" s="25"/>
    </row>
    <row r="367">
      <c r="U367" s="25"/>
      <c r="V367" s="25"/>
      <c r="W367" s="25"/>
      <c r="X367" s="25"/>
      <c r="Y367" s="25"/>
      <c r="Z367" s="25"/>
    </row>
    <row r="368">
      <c r="U368" s="25"/>
      <c r="V368" s="25"/>
      <c r="W368" s="25"/>
      <c r="X368" s="25"/>
      <c r="Y368" s="25"/>
      <c r="Z368" s="25"/>
    </row>
    <row r="369">
      <c r="U369" s="25"/>
      <c r="V369" s="25"/>
      <c r="W369" s="25"/>
      <c r="X369" s="25"/>
      <c r="Y369" s="25"/>
      <c r="Z369" s="25"/>
    </row>
    <row r="370">
      <c r="U370" s="25"/>
      <c r="V370" s="25"/>
      <c r="W370" s="25"/>
      <c r="X370" s="25"/>
      <c r="Y370" s="25"/>
      <c r="Z370" s="25"/>
    </row>
    <row r="371">
      <c r="U371" s="25"/>
      <c r="V371" s="25"/>
      <c r="W371" s="25"/>
      <c r="X371" s="25"/>
      <c r="Y371" s="25"/>
      <c r="Z371" s="25"/>
    </row>
    <row r="372">
      <c r="U372" s="25"/>
      <c r="V372" s="25"/>
      <c r="W372" s="25"/>
      <c r="X372" s="25"/>
      <c r="Y372" s="25"/>
      <c r="Z372" s="25"/>
    </row>
    <row r="373">
      <c r="U373" s="25"/>
      <c r="V373" s="25"/>
      <c r="W373" s="25"/>
      <c r="X373" s="25"/>
      <c r="Y373" s="25"/>
      <c r="Z373" s="25"/>
    </row>
    <row r="374">
      <c r="U374" s="25"/>
      <c r="V374" s="25"/>
      <c r="W374" s="25"/>
      <c r="X374" s="25"/>
      <c r="Y374" s="25"/>
      <c r="Z374" s="25"/>
    </row>
    <row r="375">
      <c r="U375" s="25"/>
      <c r="V375" s="25"/>
      <c r="W375" s="25"/>
      <c r="X375" s="25"/>
      <c r="Y375" s="25"/>
      <c r="Z375" s="25"/>
    </row>
    <row r="376">
      <c r="U376" s="25"/>
      <c r="V376" s="25"/>
      <c r="W376" s="25"/>
      <c r="X376" s="25"/>
      <c r="Y376" s="25"/>
      <c r="Z376" s="25"/>
    </row>
    <row r="377">
      <c r="U377" s="25"/>
      <c r="V377" s="25"/>
      <c r="W377" s="25"/>
      <c r="X377" s="25"/>
      <c r="Y377" s="25"/>
      <c r="Z377" s="25"/>
    </row>
    <row r="378">
      <c r="U378" s="25"/>
      <c r="V378" s="25"/>
      <c r="W378" s="25"/>
      <c r="X378" s="25"/>
      <c r="Y378" s="25"/>
      <c r="Z378" s="25"/>
    </row>
    <row r="379">
      <c r="U379" s="25"/>
      <c r="V379" s="25"/>
      <c r="W379" s="25"/>
      <c r="X379" s="25"/>
      <c r="Y379" s="25"/>
      <c r="Z379" s="25"/>
    </row>
    <row r="380">
      <c r="U380" s="25"/>
      <c r="V380" s="25"/>
      <c r="W380" s="25"/>
      <c r="X380" s="25"/>
      <c r="Y380" s="25"/>
      <c r="Z380" s="25"/>
    </row>
    <row r="381">
      <c r="U381" s="25"/>
      <c r="V381" s="25"/>
      <c r="W381" s="25"/>
      <c r="X381" s="25"/>
      <c r="Y381" s="25"/>
      <c r="Z381" s="25"/>
    </row>
    <row r="382">
      <c r="U382" s="25"/>
      <c r="V382" s="25"/>
      <c r="W382" s="25"/>
      <c r="X382" s="25"/>
      <c r="Y382" s="25"/>
      <c r="Z382" s="25"/>
    </row>
    <row r="383">
      <c r="U383" s="25"/>
      <c r="V383" s="25"/>
      <c r="W383" s="25"/>
      <c r="X383" s="25"/>
      <c r="Y383" s="25"/>
      <c r="Z383" s="25"/>
    </row>
    <row r="384">
      <c r="U384" s="25"/>
      <c r="V384" s="25"/>
      <c r="W384" s="25"/>
      <c r="X384" s="25"/>
      <c r="Y384" s="25"/>
      <c r="Z384" s="25"/>
    </row>
    <row r="385">
      <c r="U385" s="25"/>
      <c r="V385" s="25"/>
      <c r="W385" s="25"/>
      <c r="X385" s="25"/>
      <c r="Y385" s="25"/>
      <c r="Z385" s="25"/>
    </row>
    <row r="386">
      <c r="U386" s="25"/>
      <c r="V386" s="25"/>
      <c r="W386" s="25"/>
      <c r="X386" s="25"/>
      <c r="Y386" s="25"/>
      <c r="Z386" s="25"/>
    </row>
    <row r="387">
      <c r="U387" s="25"/>
      <c r="V387" s="25"/>
      <c r="W387" s="25"/>
      <c r="X387" s="25"/>
      <c r="Y387" s="25"/>
      <c r="Z387" s="25"/>
    </row>
    <row r="388">
      <c r="U388" s="25"/>
      <c r="V388" s="25"/>
      <c r="W388" s="25"/>
      <c r="X388" s="25"/>
      <c r="Y388" s="25"/>
      <c r="Z388" s="25"/>
    </row>
    <row r="389">
      <c r="U389" s="25"/>
      <c r="V389" s="25"/>
      <c r="W389" s="25"/>
      <c r="X389" s="25"/>
      <c r="Y389" s="25"/>
      <c r="Z389" s="25"/>
    </row>
    <row r="390">
      <c r="U390" s="25"/>
      <c r="V390" s="25"/>
      <c r="W390" s="25"/>
      <c r="X390" s="25"/>
      <c r="Y390" s="25"/>
      <c r="Z390" s="25"/>
    </row>
    <row r="391">
      <c r="U391" s="25"/>
      <c r="V391" s="25"/>
      <c r="W391" s="25"/>
      <c r="X391" s="25"/>
      <c r="Y391" s="25"/>
      <c r="Z391" s="25"/>
    </row>
    <row r="392">
      <c r="U392" s="25"/>
      <c r="V392" s="25"/>
      <c r="W392" s="25"/>
      <c r="X392" s="25"/>
      <c r="Y392" s="25"/>
      <c r="Z392" s="25"/>
    </row>
    <row r="393">
      <c r="U393" s="25"/>
      <c r="V393" s="25"/>
      <c r="W393" s="25"/>
      <c r="X393" s="25"/>
      <c r="Y393" s="25"/>
      <c r="Z393" s="25"/>
    </row>
    <row r="394">
      <c r="U394" s="25"/>
      <c r="V394" s="25"/>
      <c r="W394" s="25"/>
      <c r="X394" s="25"/>
      <c r="Y394" s="25"/>
      <c r="Z394" s="25"/>
    </row>
    <row r="395">
      <c r="U395" s="25"/>
      <c r="V395" s="25"/>
      <c r="W395" s="25"/>
      <c r="X395" s="25"/>
      <c r="Y395" s="25"/>
      <c r="Z395" s="25"/>
    </row>
    <row r="396">
      <c r="U396" s="25"/>
      <c r="V396" s="25"/>
      <c r="W396" s="25"/>
      <c r="X396" s="25"/>
      <c r="Y396" s="25"/>
      <c r="Z396" s="25"/>
    </row>
    <row r="397">
      <c r="U397" s="25"/>
      <c r="V397" s="25"/>
      <c r="W397" s="25"/>
      <c r="X397" s="25"/>
      <c r="Y397" s="25"/>
      <c r="Z397" s="25"/>
    </row>
    <row r="398">
      <c r="U398" s="25"/>
      <c r="V398" s="25"/>
      <c r="W398" s="25"/>
      <c r="X398" s="25"/>
      <c r="Y398" s="25"/>
      <c r="Z398" s="25"/>
    </row>
    <row r="399">
      <c r="U399" s="25"/>
      <c r="V399" s="25"/>
      <c r="W399" s="25"/>
      <c r="X399" s="25"/>
      <c r="Y399" s="25"/>
      <c r="Z399" s="25"/>
    </row>
    <row r="400">
      <c r="U400" s="25"/>
      <c r="V400" s="25"/>
      <c r="W400" s="25"/>
      <c r="X400" s="25"/>
      <c r="Y400" s="25"/>
      <c r="Z400" s="25"/>
    </row>
    <row r="401">
      <c r="U401" s="25"/>
      <c r="V401" s="25"/>
      <c r="W401" s="25"/>
      <c r="X401" s="25"/>
      <c r="Y401" s="25"/>
      <c r="Z401" s="25"/>
    </row>
    <row r="402">
      <c r="U402" s="25"/>
      <c r="V402" s="25"/>
      <c r="W402" s="25"/>
      <c r="X402" s="25"/>
      <c r="Y402" s="25"/>
      <c r="Z402" s="25"/>
    </row>
    <row r="403">
      <c r="U403" s="25"/>
      <c r="V403" s="25"/>
      <c r="W403" s="25"/>
      <c r="X403" s="25"/>
      <c r="Y403" s="25"/>
      <c r="Z403" s="25"/>
    </row>
    <row r="404">
      <c r="U404" s="25"/>
      <c r="V404" s="25"/>
      <c r="W404" s="25"/>
      <c r="X404" s="25"/>
      <c r="Y404" s="25"/>
      <c r="Z404" s="25"/>
    </row>
    <row r="405">
      <c r="U405" s="25"/>
      <c r="V405" s="25"/>
      <c r="W405" s="25"/>
      <c r="X405" s="25"/>
      <c r="Y405" s="25"/>
      <c r="Z405" s="25"/>
    </row>
    <row r="406">
      <c r="U406" s="25"/>
      <c r="V406" s="25"/>
      <c r="W406" s="25"/>
      <c r="X406" s="25"/>
      <c r="Y406" s="25"/>
      <c r="Z406" s="25"/>
    </row>
    <row r="407">
      <c r="U407" s="25"/>
      <c r="V407" s="25"/>
      <c r="W407" s="25"/>
      <c r="X407" s="25"/>
      <c r="Y407" s="25"/>
      <c r="Z407" s="25"/>
    </row>
    <row r="408">
      <c r="U408" s="25"/>
      <c r="V408" s="25"/>
      <c r="W408" s="25"/>
      <c r="X408" s="25"/>
      <c r="Y408" s="25"/>
      <c r="Z408" s="25"/>
    </row>
    <row r="409">
      <c r="U409" s="25"/>
      <c r="V409" s="25"/>
      <c r="W409" s="25"/>
      <c r="X409" s="25"/>
      <c r="Y409" s="25"/>
      <c r="Z409" s="25"/>
    </row>
    <row r="410">
      <c r="U410" s="25"/>
      <c r="V410" s="25"/>
      <c r="W410" s="25"/>
      <c r="X410" s="25"/>
      <c r="Y410" s="25"/>
      <c r="Z410" s="25"/>
    </row>
    <row r="411">
      <c r="U411" s="25"/>
      <c r="V411" s="25"/>
      <c r="W411" s="25"/>
      <c r="X411" s="25"/>
      <c r="Y411" s="25"/>
      <c r="Z411" s="25"/>
    </row>
    <row r="412">
      <c r="U412" s="25"/>
      <c r="V412" s="25"/>
      <c r="W412" s="25"/>
      <c r="X412" s="25"/>
      <c r="Y412" s="25"/>
      <c r="Z412" s="25"/>
    </row>
    <row r="413">
      <c r="U413" s="25"/>
      <c r="V413" s="25"/>
      <c r="W413" s="25"/>
      <c r="X413" s="25"/>
      <c r="Y413" s="25"/>
      <c r="Z413" s="25"/>
    </row>
    <row r="414">
      <c r="U414" s="25"/>
      <c r="V414" s="25"/>
      <c r="W414" s="25"/>
      <c r="X414" s="25"/>
      <c r="Y414" s="25"/>
      <c r="Z414" s="25"/>
    </row>
    <row r="415">
      <c r="U415" s="25"/>
      <c r="V415" s="25"/>
      <c r="W415" s="25"/>
      <c r="X415" s="25"/>
      <c r="Y415" s="25"/>
      <c r="Z415" s="25"/>
    </row>
    <row r="416">
      <c r="U416" s="25"/>
      <c r="V416" s="25"/>
      <c r="W416" s="25"/>
      <c r="X416" s="25"/>
      <c r="Y416" s="25"/>
      <c r="Z416" s="25"/>
    </row>
    <row r="417">
      <c r="U417" s="25"/>
      <c r="V417" s="25"/>
      <c r="W417" s="25"/>
      <c r="X417" s="25"/>
      <c r="Y417" s="25"/>
      <c r="Z417" s="25"/>
    </row>
    <row r="418">
      <c r="U418" s="25"/>
      <c r="V418" s="25"/>
      <c r="W418" s="25"/>
      <c r="X418" s="25"/>
      <c r="Y418" s="25"/>
      <c r="Z418" s="25"/>
    </row>
    <row r="419">
      <c r="U419" s="25"/>
      <c r="V419" s="25"/>
      <c r="W419" s="25"/>
      <c r="X419" s="25"/>
      <c r="Y419" s="25"/>
      <c r="Z419" s="25"/>
    </row>
    <row r="420">
      <c r="U420" s="25"/>
      <c r="V420" s="25"/>
      <c r="W420" s="25"/>
      <c r="X420" s="25"/>
      <c r="Y420" s="25"/>
      <c r="Z420" s="25"/>
    </row>
    <row r="421">
      <c r="U421" s="25"/>
      <c r="V421" s="25"/>
      <c r="W421" s="25"/>
      <c r="X421" s="25"/>
      <c r="Y421" s="25"/>
      <c r="Z421" s="25"/>
    </row>
    <row r="422">
      <c r="U422" s="25"/>
      <c r="V422" s="25"/>
      <c r="W422" s="25"/>
      <c r="X422" s="25"/>
      <c r="Y422" s="25"/>
      <c r="Z422" s="25"/>
    </row>
    <row r="423">
      <c r="U423" s="25"/>
      <c r="V423" s="25"/>
      <c r="W423" s="25"/>
      <c r="X423" s="25"/>
      <c r="Y423" s="25"/>
      <c r="Z423" s="25"/>
    </row>
    <row r="424">
      <c r="U424" s="25"/>
      <c r="V424" s="25"/>
      <c r="W424" s="25"/>
      <c r="X424" s="25"/>
      <c r="Y424" s="25"/>
      <c r="Z424" s="25"/>
    </row>
    <row r="425">
      <c r="U425" s="25"/>
      <c r="V425" s="25"/>
      <c r="W425" s="25"/>
      <c r="X425" s="25"/>
      <c r="Y425" s="25"/>
      <c r="Z425" s="25"/>
    </row>
    <row r="426">
      <c r="U426" s="25"/>
      <c r="V426" s="25"/>
      <c r="W426" s="25"/>
      <c r="X426" s="25"/>
      <c r="Y426" s="25"/>
      <c r="Z426" s="25"/>
    </row>
    <row r="427">
      <c r="U427" s="25"/>
      <c r="V427" s="25"/>
      <c r="W427" s="25"/>
      <c r="X427" s="25"/>
      <c r="Y427" s="25"/>
      <c r="Z427" s="25"/>
    </row>
    <row r="428">
      <c r="U428" s="25"/>
      <c r="V428" s="25"/>
      <c r="W428" s="25"/>
      <c r="X428" s="25"/>
      <c r="Y428" s="25"/>
      <c r="Z428" s="25"/>
    </row>
    <row r="429">
      <c r="U429" s="25"/>
      <c r="V429" s="25"/>
      <c r="W429" s="25"/>
      <c r="X429" s="25"/>
      <c r="Y429" s="25"/>
      <c r="Z429" s="25"/>
    </row>
    <row r="430">
      <c r="U430" s="25"/>
      <c r="V430" s="25"/>
      <c r="W430" s="25"/>
      <c r="X430" s="25"/>
      <c r="Y430" s="25"/>
      <c r="Z430" s="25"/>
    </row>
    <row r="431">
      <c r="U431" s="25"/>
      <c r="V431" s="25"/>
      <c r="W431" s="25"/>
      <c r="X431" s="25"/>
      <c r="Y431" s="25"/>
      <c r="Z431" s="25"/>
    </row>
    <row r="432">
      <c r="U432" s="25"/>
      <c r="V432" s="25"/>
      <c r="W432" s="25"/>
      <c r="X432" s="25"/>
      <c r="Y432" s="25"/>
      <c r="Z432" s="25"/>
    </row>
    <row r="433">
      <c r="U433" s="25"/>
      <c r="V433" s="25"/>
      <c r="W433" s="25"/>
      <c r="X433" s="25"/>
      <c r="Y433" s="25"/>
      <c r="Z433" s="25"/>
    </row>
    <row r="434">
      <c r="U434" s="25"/>
      <c r="V434" s="25"/>
      <c r="W434" s="25"/>
      <c r="X434" s="25"/>
      <c r="Y434" s="25"/>
      <c r="Z434" s="25"/>
    </row>
    <row r="435">
      <c r="U435" s="25"/>
      <c r="V435" s="25"/>
      <c r="W435" s="25"/>
      <c r="X435" s="25"/>
      <c r="Y435" s="25"/>
      <c r="Z435" s="25"/>
    </row>
    <row r="436">
      <c r="U436" s="25"/>
      <c r="V436" s="25"/>
      <c r="W436" s="25"/>
      <c r="X436" s="25"/>
      <c r="Y436" s="25"/>
      <c r="Z436" s="25"/>
    </row>
    <row r="437">
      <c r="U437" s="25"/>
      <c r="V437" s="25"/>
      <c r="W437" s="25"/>
      <c r="X437" s="25"/>
      <c r="Y437" s="25"/>
      <c r="Z437" s="25"/>
    </row>
    <row r="438">
      <c r="U438" s="25"/>
      <c r="V438" s="25"/>
      <c r="W438" s="25"/>
      <c r="X438" s="25"/>
      <c r="Y438" s="25"/>
      <c r="Z438" s="25"/>
    </row>
    <row r="439">
      <c r="U439" s="25"/>
      <c r="V439" s="25"/>
      <c r="W439" s="25"/>
      <c r="X439" s="25"/>
      <c r="Y439" s="25"/>
      <c r="Z439" s="25"/>
    </row>
    <row r="440">
      <c r="U440" s="25"/>
      <c r="V440" s="25"/>
      <c r="W440" s="25"/>
      <c r="X440" s="25"/>
      <c r="Y440" s="25"/>
      <c r="Z440" s="25"/>
    </row>
    <row r="441">
      <c r="U441" s="25"/>
      <c r="V441" s="25"/>
      <c r="W441" s="25"/>
      <c r="X441" s="25"/>
      <c r="Y441" s="25"/>
      <c r="Z441" s="25"/>
    </row>
    <row r="442">
      <c r="U442" s="25"/>
      <c r="V442" s="25"/>
      <c r="W442" s="25"/>
      <c r="X442" s="25"/>
      <c r="Y442" s="25"/>
      <c r="Z442" s="25"/>
    </row>
    <row r="443">
      <c r="U443" s="25"/>
      <c r="V443" s="25"/>
      <c r="W443" s="25"/>
      <c r="X443" s="25"/>
      <c r="Y443" s="25"/>
      <c r="Z443" s="25"/>
    </row>
    <row r="444">
      <c r="U444" s="25"/>
      <c r="V444" s="25"/>
      <c r="W444" s="25"/>
      <c r="X444" s="25"/>
      <c r="Y444" s="25"/>
      <c r="Z444" s="25"/>
    </row>
    <row r="445">
      <c r="U445" s="25"/>
      <c r="V445" s="25"/>
      <c r="W445" s="25"/>
      <c r="X445" s="25"/>
      <c r="Y445" s="25"/>
      <c r="Z445" s="25"/>
    </row>
    <row r="446">
      <c r="U446" s="25"/>
      <c r="V446" s="25"/>
      <c r="W446" s="25"/>
      <c r="X446" s="25"/>
      <c r="Y446" s="25"/>
      <c r="Z446" s="25"/>
    </row>
    <row r="447">
      <c r="U447" s="25"/>
      <c r="V447" s="25"/>
      <c r="W447" s="25"/>
      <c r="X447" s="25"/>
      <c r="Y447" s="25"/>
      <c r="Z447" s="25"/>
    </row>
    <row r="448">
      <c r="U448" s="25"/>
      <c r="V448" s="25"/>
      <c r="W448" s="25"/>
      <c r="X448" s="25"/>
      <c r="Y448" s="25"/>
      <c r="Z448" s="25"/>
    </row>
    <row r="449">
      <c r="U449" s="25"/>
      <c r="V449" s="25"/>
      <c r="W449" s="25"/>
      <c r="X449" s="25"/>
      <c r="Y449" s="25"/>
      <c r="Z449" s="25"/>
    </row>
    <row r="450">
      <c r="U450" s="25"/>
      <c r="V450" s="25"/>
      <c r="W450" s="25"/>
      <c r="X450" s="25"/>
      <c r="Y450" s="25"/>
      <c r="Z450" s="25"/>
    </row>
    <row r="451">
      <c r="U451" s="25"/>
      <c r="V451" s="25"/>
      <c r="W451" s="25"/>
      <c r="X451" s="25"/>
      <c r="Y451" s="25"/>
      <c r="Z451" s="25"/>
    </row>
    <row r="452">
      <c r="U452" s="25"/>
      <c r="V452" s="25"/>
      <c r="W452" s="25"/>
      <c r="X452" s="25"/>
      <c r="Y452" s="25"/>
      <c r="Z452" s="25"/>
    </row>
    <row r="453">
      <c r="U453" s="25"/>
      <c r="V453" s="25"/>
      <c r="W453" s="25"/>
      <c r="X453" s="25"/>
      <c r="Y453" s="25"/>
      <c r="Z453" s="25"/>
    </row>
    <row r="454">
      <c r="U454" s="25"/>
      <c r="V454" s="25"/>
      <c r="W454" s="25"/>
      <c r="X454" s="25"/>
      <c r="Y454" s="25"/>
      <c r="Z454" s="25"/>
    </row>
    <row r="455">
      <c r="U455" s="25"/>
      <c r="V455" s="25"/>
      <c r="W455" s="25"/>
      <c r="X455" s="25"/>
      <c r="Y455" s="25"/>
      <c r="Z455" s="25"/>
    </row>
    <row r="456">
      <c r="U456" s="25"/>
      <c r="V456" s="25"/>
      <c r="W456" s="25"/>
      <c r="X456" s="25"/>
      <c r="Y456" s="25"/>
      <c r="Z456" s="25"/>
    </row>
    <row r="457">
      <c r="U457" s="25"/>
      <c r="V457" s="25"/>
      <c r="W457" s="25"/>
      <c r="X457" s="25"/>
      <c r="Y457" s="25"/>
      <c r="Z457" s="25"/>
    </row>
    <row r="458">
      <c r="U458" s="25"/>
      <c r="V458" s="25"/>
      <c r="W458" s="25"/>
      <c r="X458" s="25"/>
      <c r="Y458" s="25"/>
      <c r="Z458" s="25"/>
    </row>
    <row r="459">
      <c r="U459" s="25"/>
      <c r="V459" s="25"/>
      <c r="W459" s="25"/>
      <c r="X459" s="25"/>
      <c r="Y459" s="25"/>
      <c r="Z459" s="25"/>
    </row>
    <row r="460">
      <c r="U460" s="25"/>
      <c r="V460" s="25"/>
      <c r="W460" s="25"/>
      <c r="X460" s="25"/>
      <c r="Y460" s="25"/>
      <c r="Z460" s="25"/>
    </row>
    <row r="461">
      <c r="U461" s="25"/>
      <c r="V461" s="25"/>
      <c r="W461" s="25"/>
      <c r="X461" s="25"/>
      <c r="Y461" s="25"/>
      <c r="Z461" s="25"/>
    </row>
    <row r="462">
      <c r="U462" s="25"/>
      <c r="V462" s="25"/>
      <c r="W462" s="25"/>
      <c r="X462" s="25"/>
      <c r="Y462" s="25"/>
      <c r="Z462" s="25"/>
    </row>
    <row r="463">
      <c r="U463" s="25"/>
      <c r="V463" s="25"/>
      <c r="W463" s="25"/>
      <c r="X463" s="25"/>
      <c r="Y463" s="25"/>
      <c r="Z463" s="25"/>
    </row>
    <row r="464">
      <c r="U464" s="25"/>
      <c r="V464" s="25"/>
      <c r="W464" s="25"/>
      <c r="X464" s="25"/>
      <c r="Y464" s="25"/>
      <c r="Z464" s="25"/>
    </row>
    <row r="465">
      <c r="U465" s="25"/>
      <c r="V465" s="25"/>
      <c r="W465" s="25"/>
      <c r="X465" s="25"/>
      <c r="Y465" s="25"/>
      <c r="Z465" s="25"/>
    </row>
    <row r="466">
      <c r="U466" s="25"/>
      <c r="V466" s="25"/>
      <c r="W466" s="25"/>
      <c r="X466" s="25"/>
      <c r="Y466" s="25"/>
      <c r="Z466" s="25"/>
    </row>
    <row r="467">
      <c r="U467" s="25"/>
      <c r="V467" s="25"/>
      <c r="W467" s="25"/>
      <c r="X467" s="25"/>
      <c r="Y467" s="25"/>
      <c r="Z467" s="25"/>
    </row>
    <row r="468">
      <c r="U468" s="25"/>
      <c r="V468" s="25"/>
      <c r="W468" s="25"/>
      <c r="X468" s="25"/>
      <c r="Y468" s="25"/>
      <c r="Z468" s="25"/>
    </row>
    <row r="469">
      <c r="U469" s="25"/>
      <c r="V469" s="25"/>
      <c r="W469" s="25"/>
      <c r="X469" s="25"/>
      <c r="Y469" s="25"/>
      <c r="Z469" s="25"/>
    </row>
    <row r="470">
      <c r="U470" s="25"/>
      <c r="V470" s="25"/>
      <c r="W470" s="25"/>
      <c r="X470" s="25"/>
      <c r="Y470" s="25"/>
      <c r="Z470" s="25"/>
    </row>
    <row r="471">
      <c r="U471" s="25"/>
      <c r="V471" s="25"/>
      <c r="W471" s="25"/>
      <c r="X471" s="25"/>
      <c r="Y471" s="25"/>
      <c r="Z471" s="25"/>
    </row>
    <row r="472">
      <c r="U472" s="25"/>
      <c r="V472" s="25"/>
      <c r="W472" s="25"/>
      <c r="X472" s="25"/>
      <c r="Y472" s="25"/>
      <c r="Z472" s="25"/>
    </row>
    <row r="473">
      <c r="U473" s="25"/>
      <c r="V473" s="25"/>
      <c r="W473" s="25"/>
      <c r="X473" s="25"/>
      <c r="Y473" s="25"/>
      <c r="Z473" s="25"/>
    </row>
    <row r="474">
      <c r="U474" s="25"/>
      <c r="V474" s="25"/>
      <c r="W474" s="25"/>
      <c r="X474" s="25"/>
      <c r="Y474" s="25"/>
      <c r="Z474" s="25"/>
    </row>
    <row r="475">
      <c r="U475" s="25"/>
      <c r="V475" s="25"/>
      <c r="W475" s="25"/>
      <c r="X475" s="25"/>
      <c r="Y475" s="25"/>
      <c r="Z475" s="25"/>
    </row>
    <row r="476">
      <c r="U476" s="25"/>
      <c r="V476" s="25"/>
      <c r="W476" s="25"/>
      <c r="X476" s="25"/>
      <c r="Y476" s="25"/>
      <c r="Z476" s="25"/>
    </row>
    <row r="477">
      <c r="U477" s="25"/>
      <c r="V477" s="25"/>
      <c r="W477" s="25"/>
      <c r="X477" s="25"/>
      <c r="Y477" s="25"/>
      <c r="Z477" s="25"/>
    </row>
    <row r="478">
      <c r="U478" s="25"/>
      <c r="V478" s="25"/>
      <c r="W478" s="25"/>
      <c r="X478" s="25"/>
      <c r="Y478" s="25"/>
      <c r="Z478" s="25"/>
    </row>
    <row r="479">
      <c r="U479" s="25"/>
      <c r="V479" s="25"/>
      <c r="W479" s="25"/>
      <c r="X479" s="25"/>
      <c r="Y479" s="25"/>
      <c r="Z479" s="25"/>
    </row>
    <row r="480">
      <c r="U480" s="25"/>
      <c r="V480" s="25"/>
      <c r="W480" s="25"/>
      <c r="X480" s="25"/>
      <c r="Y480" s="25"/>
      <c r="Z480" s="25"/>
    </row>
    <row r="481">
      <c r="U481" s="25"/>
      <c r="V481" s="25"/>
      <c r="W481" s="25"/>
      <c r="X481" s="25"/>
      <c r="Y481" s="25"/>
      <c r="Z481" s="25"/>
    </row>
    <row r="482">
      <c r="U482" s="25"/>
      <c r="V482" s="25"/>
      <c r="W482" s="25"/>
      <c r="X482" s="25"/>
      <c r="Y482" s="25"/>
      <c r="Z482" s="25"/>
    </row>
    <row r="483">
      <c r="U483" s="25"/>
      <c r="V483" s="25"/>
      <c r="W483" s="25"/>
      <c r="X483" s="25"/>
      <c r="Y483" s="25"/>
      <c r="Z483" s="25"/>
    </row>
    <row r="484">
      <c r="U484" s="25"/>
      <c r="V484" s="25"/>
      <c r="W484" s="25"/>
      <c r="X484" s="25"/>
      <c r="Y484" s="25"/>
      <c r="Z484" s="25"/>
    </row>
    <row r="485">
      <c r="U485" s="25"/>
      <c r="V485" s="25"/>
      <c r="W485" s="25"/>
      <c r="X485" s="25"/>
      <c r="Y485" s="25"/>
      <c r="Z485" s="25"/>
    </row>
    <row r="486">
      <c r="U486" s="25"/>
      <c r="V486" s="25"/>
      <c r="W486" s="25"/>
      <c r="X486" s="25"/>
      <c r="Y486" s="25"/>
      <c r="Z486" s="25"/>
    </row>
    <row r="487">
      <c r="U487" s="25"/>
      <c r="V487" s="25"/>
      <c r="W487" s="25"/>
      <c r="X487" s="25"/>
      <c r="Y487" s="25"/>
      <c r="Z487" s="25"/>
    </row>
    <row r="488">
      <c r="U488" s="25"/>
      <c r="V488" s="25"/>
      <c r="W488" s="25"/>
      <c r="X488" s="25"/>
      <c r="Y488" s="25"/>
      <c r="Z488" s="25"/>
    </row>
    <row r="489">
      <c r="U489" s="25"/>
      <c r="V489" s="25"/>
      <c r="W489" s="25"/>
      <c r="X489" s="25"/>
      <c r="Y489" s="25"/>
      <c r="Z489" s="25"/>
    </row>
    <row r="490">
      <c r="U490" s="25"/>
      <c r="V490" s="25"/>
      <c r="W490" s="25"/>
      <c r="X490" s="25"/>
      <c r="Y490" s="25"/>
      <c r="Z490" s="25"/>
    </row>
    <row r="491">
      <c r="U491" s="25"/>
      <c r="V491" s="25"/>
      <c r="W491" s="25"/>
      <c r="X491" s="25"/>
      <c r="Y491" s="25"/>
      <c r="Z491" s="25"/>
    </row>
    <row r="492">
      <c r="U492" s="25"/>
      <c r="V492" s="25"/>
      <c r="W492" s="25"/>
      <c r="X492" s="25"/>
      <c r="Y492" s="25"/>
      <c r="Z492" s="25"/>
    </row>
    <row r="493">
      <c r="U493" s="25"/>
      <c r="V493" s="25"/>
      <c r="W493" s="25"/>
      <c r="X493" s="25"/>
      <c r="Y493" s="25"/>
      <c r="Z493" s="25"/>
    </row>
    <row r="494">
      <c r="U494" s="25"/>
      <c r="V494" s="25"/>
      <c r="W494" s="25"/>
      <c r="X494" s="25"/>
      <c r="Y494" s="25"/>
      <c r="Z494" s="25"/>
    </row>
    <row r="495">
      <c r="U495" s="25"/>
      <c r="V495" s="25"/>
      <c r="W495" s="25"/>
      <c r="X495" s="25"/>
      <c r="Y495" s="25"/>
      <c r="Z495" s="25"/>
    </row>
    <row r="496">
      <c r="U496" s="25"/>
      <c r="V496" s="25"/>
      <c r="W496" s="25"/>
      <c r="X496" s="25"/>
      <c r="Y496" s="25"/>
      <c r="Z496" s="25"/>
    </row>
    <row r="497">
      <c r="U497" s="25"/>
      <c r="V497" s="25"/>
      <c r="W497" s="25"/>
      <c r="X497" s="25"/>
      <c r="Y497" s="25"/>
      <c r="Z497" s="25"/>
    </row>
    <row r="498">
      <c r="U498" s="25"/>
      <c r="V498" s="25"/>
      <c r="W498" s="25"/>
      <c r="X498" s="25"/>
      <c r="Y498" s="25"/>
      <c r="Z498" s="25"/>
    </row>
    <row r="499">
      <c r="U499" s="25"/>
      <c r="V499" s="25"/>
      <c r="W499" s="25"/>
      <c r="X499" s="25"/>
      <c r="Y499" s="25"/>
      <c r="Z499" s="25"/>
    </row>
    <row r="500">
      <c r="U500" s="25"/>
      <c r="V500" s="25"/>
      <c r="W500" s="25"/>
      <c r="X500" s="25"/>
      <c r="Y500" s="25"/>
      <c r="Z500" s="25"/>
    </row>
    <row r="501">
      <c r="U501" s="25"/>
      <c r="V501" s="25"/>
      <c r="W501" s="25"/>
      <c r="X501" s="25"/>
      <c r="Y501" s="25"/>
      <c r="Z501" s="25"/>
    </row>
    <row r="502">
      <c r="U502" s="25"/>
      <c r="V502" s="25"/>
      <c r="W502" s="25"/>
      <c r="X502" s="25"/>
      <c r="Y502" s="25"/>
      <c r="Z502" s="25"/>
    </row>
    <row r="503">
      <c r="U503" s="25"/>
      <c r="V503" s="25"/>
      <c r="W503" s="25"/>
      <c r="X503" s="25"/>
      <c r="Y503" s="25"/>
      <c r="Z503" s="25"/>
    </row>
    <row r="504">
      <c r="U504" s="25"/>
      <c r="V504" s="25"/>
      <c r="W504" s="25"/>
      <c r="X504" s="25"/>
      <c r="Y504" s="25"/>
      <c r="Z504" s="25"/>
    </row>
    <row r="505">
      <c r="U505" s="25"/>
      <c r="V505" s="25"/>
      <c r="W505" s="25"/>
      <c r="X505" s="25"/>
      <c r="Y505" s="25"/>
      <c r="Z505" s="25"/>
    </row>
    <row r="506">
      <c r="U506" s="25"/>
      <c r="V506" s="25"/>
      <c r="W506" s="25"/>
      <c r="X506" s="25"/>
      <c r="Y506" s="25"/>
      <c r="Z506" s="25"/>
    </row>
    <row r="507">
      <c r="U507" s="25"/>
      <c r="V507" s="25"/>
      <c r="W507" s="25"/>
      <c r="X507" s="25"/>
      <c r="Y507" s="25"/>
      <c r="Z507" s="25"/>
    </row>
    <row r="508">
      <c r="U508" s="25"/>
      <c r="V508" s="25"/>
      <c r="W508" s="25"/>
      <c r="X508" s="25"/>
      <c r="Y508" s="25"/>
      <c r="Z508" s="25"/>
    </row>
    <row r="509">
      <c r="U509" s="25"/>
      <c r="V509" s="25"/>
      <c r="W509" s="25"/>
      <c r="X509" s="25"/>
      <c r="Y509" s="25"/>
      <c r="Z509" s="25"/>
    </row>
    <row r="510">
      <c r="U510" s="25"/>
      <c r="V510" s="25"/>
      <c r="W510" s="25"/>
      <c r="X510" s="25"/>
      <c r="Y510" s="25"/>
      <c r="Z510" s="25"/>
    </row>
    <row r="511">
      <c r="U511" s="25"/>
      <c r="V511" s="25"/>
      <c r="W511" s="25"/>
      <c r="X511" s="25"/>
      <c r="Y511" s="25"/>
      <c r="Z511" s="25"/>
    </row>
    <row r="512">
      <c r="U512" s="25"/>
      <c r="V512" s="25"/>
      <c r="W512" s="25"/>
      <c r="X512" s="25"/>
      <c r="Y512" s="25"/>
      <c r="Z512" s="25"/>
    </row>
    <row r="513">
      <c r="U513" s="25"/>
      <c r="V513" s="25"/>
      <c r="W513" s="25"/>
      <c r="X513" s="25"/>
      <c r="Y513" s="25"/>
      <c r="Z513" s="25"/>
    </row>
    <row r="514">
      <c r="U514" s="25"/>
      <c r="V514" s="25"/>
      <c r="W514" s="25"/>
      <c r="X514" s="25"/>
      <c r="Y514" s="25"/>
      <c r="Z514" s="25"/>
    </row>
    <row r="515">
      <c r="U515" s="25"/>
      <c r="V515" s="25"/>
      <c r="W515" s="25"/>
      <c r="X515" s="25"/>
      <c r="Y515" s="25"/>
      <c r="Z515" s="25"/>
    </row>
    <row r="516">
      <c r="U516" s="25"/>
      <c r="V516" s="25"/>
      <c r="W516" s="25"/>
      <c r="X516" s="25"/>
      <c r="Y516" s="25"/>
      <c r="Z516" s="25"/>
    </row>
    <row r="517">
      <c r="U517" s="25"/>
      <c r="V517" s="25"/>
      <c r="W517" s="25"/>
      <c r="X517" s="25"/>
      <c r="Y517" s="25"/>
      <c r="Z517" s="25"/>
    </row>
    <row r="518">
      <c r="U518" s="25"/>
      <c r="V518" s="25"/>
      <c r="W518" s="25"/>
      <c r="X518" s="25"/>
      <c r="Y518" s="25"/>
      <c r="Z518" s="25"/>
    </row>
    <row r="519">
      <c r="U519" s="25"/>
      <c r="V519" s="25"/>
      <c r="W519" s="25"/>
      <c r="X519" s="25"/>
      <c r="Y519" s="25"/>
      <c r="Z519" s="25"/>
    </row>
    <row r="520">
      <c r="U520" s="25"/>
      <c r="V520" s="25"/>
      <c r="W520" s="25"/>
      <c r="X520" s="25"/>
      <c r="Y520" s="25"/>
      <c r="Z520" s="25"/>
    </row>
    <row r="521">
      <c r="U521" s="25"/>
      <c r="V521" s="25"/>
      <c r="W521" s="25"/>
      <c r="X521" s="25"/>
      <c r="Y521" s="25"/>
      <c r="Z521" s="25"/>
    </row>
    <row r="522">
      <c r="U522" s="25"/>
      <c r="V522" s="25"/>
      <c r="W522" s="25"/>
      <c r="X522" s="25"/>
      <c r="Y522" s="25"/>
      <c r="Z522" s="25"/>
    </row>
    <row r="523">
      <c r="U523" s="25"/>
      <c r="V523" s="25"/>
      <c r="W523" s="25"/>
      <c r="X523" s="25"/>
      <c r="Y523" s="25"/>
      <c r="Z523" s="25"/>
    </row>
    <row r="524">
      <c r="U524" s="25"/>
      <c r="V524" s="25"/>
      <c r="W524" s="25"/>
      <c r="X524" s="25"/>
      <c r="Y524" s="25"/>
      <c r="Z524" s="25"/>
    </row>
    <row r="525">
      <c r="U525" s="25"/>
      <c r="V525" s="25"/>
      <c r="W525" s="25"/>
      <c r="X525" s="25"/>
      <c r="Y525" s="25"/>
      <c r="Z525" s="25"/>
    </row>
    <row r="526">
      <c r="U526" s="25"/>
      <c r="V526" s="25"/>
      <c r="W526" s="25"/>
      <c r="X526" s="25"/>
      <c r="Y526" s="25"/>
      <c r="Z526" s="25"/>
    </row>
    <row r="527">
      <c r="U527" s="25"/>
      <c r="V527" s="25"/>
      <c r="W527" s="25"/>
      <c r="X527" s="25"/>
      <c r="Y527" s="25"/>
      <c r="Z527" s="25"/>
    </row>
    <row r="528">
      <c r="U528" s="25"/>
      <c r="V528" s="25"/>
      <c r="W528" s="25"/>
      <c r="X528" s="25"/>
      <c r="Y528" s="25"/>
      <c r="Z528" s="25"/>
    </row>
    <row r="529">
      <c r="U529" s="25"/>
      <c r="V529" s="25"/>
      <c r="W529" s="25"/>
      <c r="X529" s="25"/>
      <c r="Y529" s="25"/>
      <c r="Z529" s="25"/>
    </row>
    <row r="530">
      <c r="U530" s="25"/>
      <c r="V530" s="25"/>
      <c r="W530" s="25"/>
      <c r="X530" s="25"/>
      <c r="Y530" s="25"/>
      <c r="Z530" s="25"/>
    </row>
    <row r="531">
      <c r="U531" s="25"/>
      <c r="V531" s="25"/>
      <c r="W531" s="25"/>
      <c r="X531" s="25"/>
      <c r="Y531" s="25"/>
      <c r="Z531" s="25"/>
    </row>
    <row r="532">
      <c r="U532" s="25"/>
      <c r="V532" s="25"/>
      <c r="W532" s="25"/>
      <c r="X532" s="25"/>
      <c r="Y532" s="25"/>
      <c r="Z532" s="25"/>
    </row>
    <row r="533">
      <c r="U533" s="25"/>
      <c r="V533" s="25"/>
      <c r="W533" s="25"/>
      <c r="X533" s="25"/>
      <c r="Y533" s="25"/>
      <c r="Z533" s="25"/>
    </row>
    <row r="534">
      <c r="U534" s="25"/>
      <c r="V534" s="25"/>
      <c r="W534" s="25"/>
      <c r="X534" s="25"/>
      <c r="Y534" s="25"/>
      <c r="Z534" s="25"/>
    </row>
    <row r="535">
      <c r="U535" s="25"/>
      <c r="V535" s="25"/>
      <c r="W535" s="25"/>
      <c r="X535" s="25"/>
      <c r="Y535" s="25"/>
      <c r="Z535" s="25"/>
    </row>
    <row r="536">
      <c r="U536" s="25"/>
      <c r="V536" s="25"/>
      <c r="W536" s="25"/>
      <c r="X536" s="25"/>
      <c r="Y536" s="25"/>
      <c r="Z536" s="25"/>
    </row>
    <row r="537">
      <c r="U537" s="25"/>
      <c r="V537" s="25"/>
      <c r="W537" s="25"/>
      <c r="X537" s="25"/>
      <c r="Y537" s="25"/>
      <c r="Z537" s="25"/>
    </row>
    <row r="538">
      <c r="U538" s="25"/>
      <c r="V538" s="25"/>
      <c r="W538" s="25"/>
      <c r="X538" s="25"/>
      <c r="Y538" s="25"/>
      <c r="Z538" s="25"/>
    </row>
    <row r="539">
      <c r="U539" s="25"/>
      <c r="V539" s="25"/>
      <c r="W539" s="25"/>
      <c r="X539" s="25"/>
      <c r="Y539" s="25"/>
      <c r="Z539" s="25"/>
    </row>
    <row r="540">
      <c r="U540" s="25"/>
      <c r="V540" s="25"/>
      <c r="W540" s="25"/>
      <c r="X540" s="25"/>
      <c r="Y540" s="25"/>
      <c r="Z540" s="25"/>
    </row>
    <row r="541">
      <c r="U541" s="25"/>
      <c r="V541" s="25"/>
      <c r="W541" s="25"/>
      <c r="X541" s="25"/>
      <c r="Y541" s="25"/>
      <c r="Z541" s="25"/>
    </row>
    <row r="542">
      <c r="U542" s="25"/>
      <c r="V542" s="25"/>
      <c r="W542" s="25"/>
      <c r="X542" s="25"/>
      <c r="Y542" s="25"/>
      <c r="Z542" s="25"/>
    </row>
    <row r="543">
      <c r="U543" s="25"/>
      <c r="V543" s="25"/>
      <c r="W543" s="25"/>
      <c r="X543" s="25"/>
      <c r="Y543" s="25"/>
      <c r="Z543" s="25"/>
    </row>
    <row r="544">
      <c r="U544" s="25"/>
      <c r="V544" s="25"/>
      <c r="W544" s="25"/>
      <c r="X544" s="25"/>
      <c r="Y544" s="25"/>
      <c r="Z544" s="25"/>
    </row>
    <row r="545">
      <c r="U545" s="25"/>
      <c r="V545" s="25"/>
      <c r="W545" s="25"/>
      <c r="X545" s="25"/>
      <c r="Y545" s="25"/>
      <c r="Z545" s="25"/>
    </row>
    <row r="546">
      <c r="U546" s="25"/>
      <c r="V546" s="25"/>
      <c r="W546" s="25"/>
      <c r="X546" s="25"/>
      <c r="Y546" s="25"/>
      <c r="Z546" s="25"/>
    </row>
    <row r="547">
      <c r="U547" s="25"/>
      <c r="V547" s="25"/>
      <c r="W547" s="25"/>
      <c r="X547" s="25"/>
      <c r="Y547" s="25"/>
      <c r="Z547" s="25"/>
    </row>
    <row r="548">
      <c r="U548" s="25"/>
      <c r="V548" s="25"/>
      <c r="W548" s="25"/>
      <c r="X548" s="25"/>
      <c r="Y548" s="25"/>
      <c r="Z548" s="25"/>
    </row>
    <row r="549">
      <c r="U549" s="25"/>
      <c r="V549" s="25"/>
      <c r="W549" s="25"/>
      <c r="X549" s="25"/>
      <c r="Y549" s="25"/>
      <c r="Z549" s="25"/>
    </row>
    <row r="550">
      <c r="U550" s="25"/>
      <c r="V550" s="25"/>
      <c r="W550" s="25"/>
      <c r="X550" s="25"/>
      <c r="Y550" s="25"/>
      <c r="Z550" s="25"/>
    </row>
    <row r="551">
      <c r="U551" s="25"/>
      <c r="V551" s="25"/>
      <c r="W551" s="25"/>
      <c r="X551" s="25"/>
      <c r="Y551" s="25"/>
      <c r="Z551" s="25"/>
    </row>
    <row r="552">
      <c r="U552" s="25"/>
      <c r="V552" s="25"/>
      <c r="W552" s="25"/>
      <c r="X552" s="25"/>
      <c r="Y552" s="25"/>
      <c r="Z552" s="25"/>
    </row>
    <row r="553">
      <c r="U553" s="25"/>
      <c r="V553" s="25"/>
      <c r="W553" s="25"/>
      <c r="X553" s="25"/>
      <c r="Y553" s="25"/>
      <c r="Z553" s="25"/>
    </row>
    <row r="554">
      <c r="U554" s="25"/>
      <c r="V554" s="25"/>
      <c r="W554" s="25"/>
      <c r="X554" s="25"/>
      <c r="Y554" s="25"/>
      <c r="Z554" s="25"/>
    </row>
    <row r="555">
      <c r="U555" s="25"/>
      <c r="V555" s="25"/>
      <c r="W555" s="25"/>
      <c r="X555" s="25"/>
      <c r="Y555" s="25"/>
      <c r="Z555" s="25"/>
    </row>
    <row r="556">
      <c r="U556" s="25"/>
      <c r="V556" s="25"/>
      <c r="W556" s="25"/>
      <c r="X556" s="25"/>
      <c r="Y556" s="25"/>
      <c r="Z556" s="25"/>
    </row>
    <row r="557">
      <c r="U557" s="25"/>
      <c r="V557" s="25"/>
      <c r="W557" s="25"/>
      <c r="X557" s="25"/>
      <c r="Y557" s="25"/>
      <c r="Z557" s="25"/>
    </row>
    <row r="558">
      <c r="U558" s="25"/>
      <c r="V558" s="25"/>
      <c r="W558" s="25"/>
      <c r="X558" s="25"/>
      <c r="Y558" s="25"/>
      <c r="Z558" s="25"/>
    </row>
    <row r="559">
      <c r="U559" s="25"/>
      <c r="V559" s="25"/>
      <c r="W559" s="25"/>
      <c r="X559" s="25"/>
      <c r="Y559" s="25"/>
      <c r="Z559" s="25"/>
    </row>
    <row r="560">
      <c r="U560" s="25"/>
      <c r="V560" s="25"/>
      <c r="W560" s="25"/>
      <c r="X560" s="25"/>
      <c r="Y560" s="25"/>
      <c r="Z560" s="25"/>
    </row>
    <row r="561">
      <c r="U561" s="25"/>
      <c r="V561" s="25"/>
      <c r="W561" s="25"/>
      <c r="X561" s="25"/>
      <c r="Y561" s="25"/>
      <c r="Z561" s="25"/>
    </row>
    <row r="562">
      <c r="U562" s="25"/>
      <c r="V562" s="25"/>
      <c r="W562" s="25"/>
      <c r="X562" s="25"/>
      <c r="Y562" s="25"/>
      <c r="Z562" s="25"/>
    </row>
    <row r="563">
      <c r="U563" s="25"/>
      <c r="V563" s="25"/>
      <c r="W563" s="25"/>
      <c r="X563" s="25"/>
      <c r="Y563" s="25"/>
      <c r="Z563" s="25"/>
    </row>
    <row r="564">
      <c r="U564" s="25"/>
      <c r="V564" s="25"/>
      <c r="W564" s="25"/>
      <c r="X564" s="25"/>
      <c r="Y564" s="25"/>
      <c r="Z564" s="25"/>
    </row>
    <row r="565">
      <c r="U565" s="25"/>
      <c r="V565" s="25"/>
      <c r="W565" s="25"/>
      <c r="X565" s="25"/>
      <c r="Y565" s="25"/>
      <c r="Z565" s="25"/>
    </row>
    <row r="566">
      <c r="U566" s="25"/>
      <c r="V566" s="25"/>
      <c r="W566" s="25"/>
      <c r="X566" s="25"/>
      <c r="Y566" s="25"/>
      <c r="Z566" s="25"/>
    </row>
    <row r="567">
      <c r="U567" s="25"/>
      <c r="V567" s="25"/>
      <c r="W567" s="25"/>
      <c r="X567" s="25"/>
      <c r="Y567" s="25"/>
      <c r="Z567" s="25"/>
    </row>
    <row r="568">
      <c r="U568" s="25"/>
      <c r="V568" s="25"/>
      <c r="W568" s="25"/>
      <c r="X568" s="25"/>
      <c r="Y568" s="25"/>
      <c r="Z568" s="25"/>
    </row>
    <row r="569">
      <c r="U569" s="25"/>
      <c r="V569" s="25"/>
      <c r="W569" s="25"/>
      <c r="X569" s="25"/>
      <c r="Y569" s="25"/>
      <c r="Z569" s="25"/>
    </row>
    <row r="570">
      <c r="U570" s="25"/>
      <c r="V570" s="25"/>
      <c r="W570" s="25"/>
      <c r="X570" s="25"/>
      <c r="Y570" s="25"/>
      <c r="Z570" s="25"/>
    </row>
    <row r="571">
      <c r="U571" s="25"/>
      <c r="V571" s="25"/>
      <c r="W571" s="25"/>
      <c r="X571" s="25"/>
      <c r="Y571" s="25"/>
      <c r="Z571" s="25"/>
    </row>
    <row r="572">
      <c r="U572" s="25"/>
      <c r="V572" s="25"/>
      <c r="W572" s="25"/>
      <c r="X572" s="25"/>
      <c r="Y572" s="25"/>
      <c r="Z572" s="25"/>
    </row>
    <row r="573">
      <c r="U573" s="25"/>
      <c r="V573" s="25"/>
      <c r="W573" s="25"/>
      <c r="X573" s="25"/>
      <c r="Y573" s="25"/>
      <c r="Z573" s="25"/>
    </row>
    <row r="574">
      <c r="U574" s="25"/>
      <c r="V574" s="25"/>
      <c r="W574" s="25"/>
      <c r="X574" s="25"/>
      <c r="Y574" s="25"/>
      <c r="Z574" s="25"/>
    </row>
    <row r="575">
      <c r="U575" s="25"/>
      <c r="V575" s="25"/>
      <c r="W575" s="25"/>
      <c r="X575" s="25"/>
      <c r="Y575" s="25"/>
      <c r="Z575" s="25"/>
    </row>
    <row r="576">
      <c r="U576" s="25"/>
      <c r="V576" s="25"/>
      <c r="W576" s="25"/>
      <c r="X576" s="25"/>
      <c r="Y576" s="25"/>
      <c r="Z576" s="25"/>
    </row>
    <row r="577">
      <c r="U577" s="25"/>
      <c r="V577" s="25"/>
      <c r="W577" s="25"/>
      <c r="X577" s="25"/>
      <c r="Y577" s="25"/>
      <c r="Z577" s="25"/>
    </row>
    <row r="578">
      <c r="U578" s="25"/>
      <c r="V578" s="25"/>
      <c r="W578" s="25"/>
      <c r="X578" s="25"/>
      <c r="Y578" s="25"/>
      <c r="Z578" s="25"/>
    </row>
    <row r="579">
      <c r="U579" s="25"/>
      <c r="V579" s="25"/>
      <c r="W579" s="25"/>
      <c r="X579" s="25"/>
      <c r="Y579" s="25"/>
      <c r="Z579" s="25"/>
    </row>
    <row r="580">
      <c r="U580" s="25"/>
      <c r="V580" s="25"/>
      <c r="W580" s="25"/>
      <c r="X580" s="25"/>
      <c r="Y580" s="25"/>
      <c r="Z580" s="25"/>
    </row>
    <row r="581">
      <c r="U581" s="25"/>
      <c r="V581" s="25"/>
      <c r="W581" s="25"/>
      <c r="X581" s="25"/>
      <c r="Y581" s="25"/>
      <c r="Z581" s="25"/>
    </row>
    <row r="582">
      <c r="U582" s="25"/>
      <c r="V582" s="25"/>
      <c r="W582" s="25"/>
      <c r="X582" s="25"/>
      <c r="Y582" s="25"/>
      <c r="Z582" s="25"/>
    </row>
    <row r="583">
      <c r="U583" s="25"/>
      <c r="V583" s="25"/>
      <c r="W583" s="25"/>
      <c r="X583" s="25"/>
      <c r="Y583" s="25"/>
      <c r="Z583" s="25"/>
    </row>
    <row r="584">
      <c r="U584" s="25"/>
      <c r="V584" s="25"/>
      <c r="W584" s="25"/>
      <c r="X584" s="25"/>
      <c r="Y584" s="25"/>
      <c r="Z584" s="25"/>
    </row>
    <row r="585">
      <c r="U585" s="25"/>
      <c r="V585" s="25"/>
      <c r="W585" s="25"/>
      <c r="X585" s="25"/>
      <c r="Y585" s="25"/>
      <c r="Z585" s="25"/>
    </row>
    <row r="586">
      <c r="U586" s="25"/>
      <c r="V586" s="25"/>
      <c r="W586" s="25"/>
      <c r="X586" s="25"/>
      <c r="Y586" s="25"/>
      <c r="Z586" s="25"/>
    </row>
    <row r="587">
      <c r="U587" s="25"/>
      <c r="V587" s="25"/>
      <c r="W587" s="25"/>
      <c r="X587" s="25"/>
      <c r="Y587" s="25"/>
      <c r="Z587" s="25"/>
    </row>
    <row r="588">
      <c r="U588" s="25"/>
      <c r="V588" s="25"/>
      <c r="W588" s="25"/>
      <c r="X588" s="25"/>
      <c r="Y588" s="25"/>
      <c r="Z588" s="25"/>
    </row>
    <row r="589">
      <c r="U589" s="25"/>
      <c r="V589" s="25"/>
      <c r="W589" s="25"/>
      <c r="X589" s="25"/>
      <c r="Y589" s="25"/>
      <c r="Z589" s="25"/>
    </row>
    <row r="590">
      <c r="U590" s="25"/>
      <c r="V590" s="25"/>
      <c r="W590" s="25"/>
      <c r="X590" s="25"/>
      <c r="Y590" s="25"/>
      <c r="Z590" s="25"/>
    </row>
    <row r="591">
      <c r="U591" s="25"/>
      <c r="V591" s="25"/>
      <c r="W591" s="25"/>
      <c r="X591" s="25"/>
      <c r="Y591" s="25"/>
      <c r="Z591" s="25"/>
    </row>
    <row r="592">
      <c r="U592" s="25"/>
      <c r="V592" s="25"/>
      <c r="W592" s="25"/>
      <c r="X592" s="25"/>
      <c r="Y592" s="25"/>
      <c r="Z592" s="25"/>
    </row>
    <row r="593">
      <c r="U593" s="25"/>
      <c r="V593" s="25"/>
      <c r="W593" s="25"/>
      <c r="X593" s="25"/>
      <c r="Y593" s="25"/>
      <c r="Z593" s="25"/>
    </row>
    <row r="594">
      <c r="U594" s="25"/>
      <c r="V594" s="25"/>
      <c r="W594" s="25"/>
      <c r="X594" s="25"/>
      <c r="Y594" s="25"/>
      <c r="Z594" s="25"/>
    </row>
    <row r="595">
      <c r="U595" s="25"/>
      <c r="V595" s="25"/>
      <c r="W595" s="25"/>
      <c r="X595" s="25"/>
      <c r="Y595" s="25"/>
      <c r="Z595" s="25"/>
    </row>
    <row r="596">
      <c r="U596" s="25"/>
      <c r="V596" s="25"/>
      <c r="W596" s="25"/>
      <c r="X596" s="25"/>
      <c r="Y596" s="25"/>
      <c r="Z596" s="25"/>
    </row>
    <row r="597">
      <c r="U597" s="25"/>
      <c r="V597" s="25"/>
      <c r="W597" s="25"/>
      <c r="X597" s="25"/>
      <c r="Y597" s="25"/>
      <c r="Z597" s="25"/>
    </row>
    <row r="598">
      <c r="U598" s="25"/>
      <c r="V598" s="25"/>
      <c r="W598" s="25"/>
      <c r="X598" s="25"/>
      <c r="Y598" s="25"/>
      <c r="Z598" s="25"/>
    </row>
    <row r="599">
      <c r="U599" s="25"/>
      <c r="V599" s="25"/>
      <c r="W599" s="25"/>
      <c r="X599" s="25"/>
      <c r="Y599" s="25"/>
      <c r="Z599" s="25"/>
    </row>
    <row r="600">
      <c r="U600" s="25"/>
      <c r="V600" s="25"/>
      <c r="W600" s="25"/>
      <c r="X600" s="25"/>
      <c r="Y600" s="25"/>
      <c r="Z600" s="25"/>
    </row>
    <row r="601">
      <c r="U601" s="25"/>
      <c r="V601" s="25"/>
      <c r="W601" s="25"/>
      <c r="X601" s="25"/>
      <c r="Y601" s="25"/>
      <c r="Z601" s="25"/>
    </row>
    <row r="602">
      <c r="U602" s="25"/>
      <c r="V602" s="25"/>
      <c r="W602" s="25"/>
      <c r="X602" s="25"/>
      <c r="Y602" s="25"/>
      <c r="Z602" s="25"/>
    </row>
    <row r="603">
      <c r="U603" s="25"/>
      <c r="V603" s="25"/>
      <c r="W603" s="25"/>
      <c r="X603" s="25"/>
      <c r="Y603" s="25"/>
      <c r="Z603" s="25"/>
    </row>
    <row r="604">
      <c r="U604" s="25"/>
      <c r="V604" s="25"/>
      <c r="W604" s="25"/>
      <c r="X604" s="25"/>
      <c r="Y604" s="25"/>
      <c r="Z604" s="25"/>
    </row>
    <row r="605">
      <c r="U605" s="25"/>
      <c r="V605" s="25"/>
      <c r="W605" s="25"/>
      <c r="X605" s="25"/>
      <c r="Y605" s="25"/>
      <c r="Z605" s="25"/>
    </row>
    <row r="606">
      <c r="U606" s="25"/>
      <c r="V606" s="25"/>
      <c r="W606" s="25"/>
      <c r="X606" s="25"/>
      <c r="Y606" s="25"/>
      <c r="Z606" s="25"/>
    </row>
    <row r="607">
      <c r="U607" s="25"/>
      <c r="V607" s="25"/>
      <c r="W607" s="25"/>
      <c r="X607" s="25"/>
      <c r="Y607" s="25"/>
      <c r="Z607" s="25"/>
    </row>
    <row r="608">
      <c r="U608" s="25"/>
      <c r="V608" s="25"/>
      <c r="W608" s="25"/>
      <c r="X608" s="25"/>
      <c r="Y608" s="25"/>
      <c r="Z608" s="25"/>
    </row>
    <row r="609">
      <c r="U609" s="25"/>
      <c r="V609" s="25"/>
      <c r="W609" s="25"/>
      <c r="X609" s="25"/>
      <c r="Y609" s="25"/>
      <c r="Z609" s="25"/>
    </row>
    <row r="610">
      <c r="U610" s="25"/>
      <c r="V610" s="25"/>
      <c r="W610" s="25"/>
      <c r="X610" s="25"/>
      <c r="Y610" s="25"/>
      <c r="Z610" s="25"/>
    </row>
    <row r="611">
      <c r="U611" s="25"/>
      <c r="V611" s="25"/>
      <c r="W611" s="25"/>
      <c r="X611" s="25"/>
      <c r="Y611" s="25"/>
      <c r="Z611" s="25"/>
    </row>
    <row r="612">
      <c r="U612" s="25"/>
      <c r="V612" s="25"/>
      <c r="W612" s="25"/>
      <c r="X612" s="25"/>
      <c r="Y612" s="25"/>
      <c r="Z612" s="25"/>
    </row>
    <row r="613">
      <c r="U613" s="25"/>
      <c r="V613" s="25"/>
      <c r="W613" s="25"/>
      <c r="X613" s="25"/>
      <c r="Y613" s="25"/>
      <c r="Z613" s="25"/>
    </row>
    <row r="614">
      <c r="U614" s="25"/>
      <c r="V614" s="25"/>
      <c r="W614" s="25"/>
      <c r="X614" s="25"/>
      <c r="Y614" s="25"/>
      <c r="Z614" s="25"/>
    </row>
    <row r="615">
      <c r="U615" s="25"/>
      <c r="V615" s="25"/>
      <c r="W615" s="25"/>
      <c r="X615" s="25"/>
      <c r="Y615" s="25"/>
      <c r="Z615" s="25"/>
    </row>
    <row r="616">
      <c r="U616" s="25"/>
      <c r="V616" s="25"/>
      <c r="W616" s="25"/>
      <c r="X616" s="25"/>
      <c r="Y616" s="25"/>
      <c r="Z616" s="25"/>
    </row>
    <row r="617">
      <c r="U617" s="25"/>
      <c r="V617" s="25"/>
      <c r="W617" s="25"/>
      <c r="X617" s="25"/>
      <c r="Y617" s="25"/>
      <c r="Z617" s="25"/>
    </row>
    <row r="618">
      <c r="U618" s="25"/>
      <c r="V618" s="25"/>
      <c r="W618" s="25"/>
      <c r="X618" s="25"/>
      <c r="Y618" s="25"/>
      <c r="Z618" s="25"/>
    </row>
    <row r="619">
      <c r="U619" s="25"/>
      <c r="V619" s="25"/>
      <c r="W619" s="25"/>
      <c r="X619" s="25"/>
      <c r="Y619" s="25"/>
      <c r="Z619" s="25"/>
    </row>
    <row r="620">
      <c r="U620" s="25"/>
      <c r="V620" s="25"/>
      <c r="W620" s="25"/>
      <c r="X620" s="25"/>
      <c r="Y620" s="25"/>
      <c r="Z620" s="25"/>
    </row>
    <row r="621">
      <c r="U621" s="25"/>
      <c r="V621" s="25"/>
      <c r="W621" s="25"/>
      <c r="X621" s="25"/>
      <c r="Y621" s="25"/>
      <c r="Z621" s="25"/>
    </row>
    <row r="622">
      <c r="U622" s="25"/>
      <c r="V622" s="25"/>
      <c r="W622" s="25"/>
      <c r="X622" s="25"/>
      <c r="Y622" s="25"/>
      <c r="Z622" s="25"/>
    </row>
    <row r="623">
      <c r="U623" s="25"/>
      <c r="V623" s="25"/>
      <c r="W623" s="25"/>
      <c r="X623" s="25"/>
      <c r="Y623" s="25"/>
      <c r="Z623" s="25"/>
    </row>
    <row r="624">
      <c r="U624" s="25"/>
      <c r="V624" s="25"/>
      <c r="W624" s="25"/>
      <c r="X624" s="25"/>
      <c r="Y624" s="25"/>
      <c r="Z624" s="25"/>
    </row>
    <row r="625">
      <c r="U625" s="25"/>
      <c r="V625" s="25"/>
      <c r="W625" s="25"/>
      <c r="X625" s="25"/>
      <c r="Y625" s="25"/>
      <c r="Z625" s="25"/>
    </row>
    <row r="626">
      <c r="U626" s="25"/>
      <c r="V626" s="25"/>
      <c r="W626" s="25"/>
      <c r="X626" s="25"/>
      <c r="Y626" s="25"/>
      <c r="Z626" s="25"/>
    </row>
    <row r="627">
      <c r="U627" s="25"/>
      <c r="V627" s="25"/>
      <c r="W627" s="25"/>
      <c r="X627" s="25"/>
      <c r="Y627" s="25"/>
      <c r="Z627" s="25"/>
    </row>
    <row r="628">
      <c r="U628" s="25"/>
      <c r="V628" s="25"/>
      <c r="W628" s="25"/>
      <c r="X628" s="25"/>
      <c r="Y628" s="25"/>
      <c r="Z628" s="25"/>
    </row>
    <row r="629">
      <c r="U629" s="25"/>
      <c r="V629" s="25"/>
      <c r="W629" s="25"/>
      <c r="X629" s="25"/>
      <c r="Y629" s="25"/>
      <c r="Z629" s="25"/>
    </row>
    <row r="630">
      <c r="U630" s="25"/>
      <c r="V630" s="25"/>
      <c r="W630" s="25"/>
      <c r="X630" s="25"/>
      <c r="Y630" s="25"/>
      <c r="Z630" s="25"/>
    </row>
    <row r="631">
      <c r="U631" s="25"/>
      <c r="V631" s="25"/>
      <c r="W631" s="25"/>
      <c r="X631" s="25"/>
      <c r="Y631" s="25"/>
      <c r="Z631" s="25"/>
    </row>
    <row r="632">
      <c r="U632" s="25"/>
      <c r="V632" s="25"/>
      <c r="W632" s="25"/>
      <c r="X632" s="25"/>
      <c r="Y632" s="25"/>
      <c r="Z632" s="25"/>
    </row>
    <row r="633">
      <c r="U633" s="25"/>
      <c r="V633" s="25"/>
      <c r="W633" s="25"/>
      <c r="X633" s="25"/>
      <c r="Y633" s="25"/>
      <c r="Z633" s="25"/>
    </row>
    <row r="634">
      <c r="U634" s="25"/>
      <c r="V634" s="25"/>
      <c r="W634" s="25"/>
      <c r="X634" s="25"/>
      <c r="Y634" s="25"/>
      <c r="Z634" s="25"/>
    </row>
    <row r="635">
      <c r="U635" s="25"/>
      <c r="V635" s="25"/>
      <c r="W635" s="25"/>
      <c r="X635" s="25"/>
      <c r="Y635" s="25"/>
      <c r="Z635" s="25"/>
    </row>
    <row r="636">
      <c r="U636" s="25"/>
      <c r="V636" s="25"/>
      <c r="W636" s="25"/>
      <c r="X636" s="25"/>
      <c r="Y636" s="25"/>
      <c r="Z636" s="25"/>
    </row>
    <row r="637">
      <c r="U637" s="25"/>
      <c r="V637" s="25"/>
      <c r="W637" s="25"/>
      <c r="X637" s="25"/>
      <c r="Y637" s="25"/>
      <c r="Z637" s="25"/>
    </row>
    <row r="638">
      <c r="U638" s="25"/>
      <c r="V638" s="25"/>
      <c r="W638" s="25"/>
      <c r="X638" s="25"/>
      <c r="Y638" s="25"/>
      <c r="Z638" s="25"/>
    </row>
    <row r="639">
      <c r="U639" s="25"/>
      <c r="V639" s="25"/>
      <c r="W639" s="25"/>
      <c r="X639" s="25"/>
      <c r="Y639" s="25"/>
      <c r="Z639" s="25"/>
    </row>
    <row r="640">
      <c r="U640" s="25"/>
      <c r="V640" s="25"/>
      <c r="W640" s="25"/>
      <c r="X640" s="25"/>
      <c r="Y640" s="25"/>
      <c r="Z640" s="25"/>
    </row>
    <row r="641">
      <c r="U641" s="25"/>
      <c r="V641" s="25"/>
      <c r="W641" s="25"/>
      <c r="X641" s="25"/>
      <c r="Y641" s="25"/>
      <c r="Z641" s="25"/>
    </row>
    <row r="642">
      <c r="U642" s="25"/>
      <c r="V642" s="25"/>
      <c r="W642" s="25"/>
      <c r="X642" s="25"/>
      <c r="Y642" s="25"/>
      <c r="Z642" s="25"/>
    </row>
    <row r="643">
      <c r="U643" s="25"/>
      <c r="V643" s="25"/>
      <c r="W643" s="25"/>
      <c r="X643" s="25"/>
      <c r="Y643" s="25"/>
      <c r="Z643" s="25"/>
    </row>
    <row r="644">
      <c r="U644" s="25"/>
      <c r="V644" s="25"/>
      <c r="W644" s="25"/>
      <c r="X644" s="25"/>
      <c r="Y644" s="25"/>
      <c r="Z644" s="25"/>
    </row>
    <row r="645">
      <c r="U645" s="25"/>
      <c r="V645" s="25"/>
      <c r="W645" s="25"/>
      <c r="X645" s="25"/>
      <c r="Y645" s="25"/>
      <c r="Z645" s="25"/>
    </row>
    <row r="646">
      <c r="U646" s="25"/>
      <c r="V646" s="25"/>
      <c r="W646" s="25"/>
      <c r="X646" s="25"/>
      <c r="Y646" s="25"/>
      <c r="Z646" s="25"/>
    </row>
    <row r="647">
      <c r="U647" s="25"/>
      <c r="V647" s="25"/>
      <c r="W647" s="25"/>
      <c r="X647" s="25"/>
      <c r="Y647" s="25"/>
      <c r="Z647" s="25"/>
    </row>
    <row r="648">
      <c r="U648" s="25"/>
      <c r="V648" s="25"/>
      <c r="W648" s="25"/>
      <c r="X648" s="25"/>
      <c r="Y648" s="25"/>
      <c r="Z648" s="25"/>
    </row>
    <row r="649">
      <c r="U649" s="25"/>
      <c r="V649" s="25"/>
      <c r="W649" s="25"/>
      <c r="X649" s="25"/>
      <c r="Y649" s="25"/>
      <c r="Z649" s="25"/>
    </row>
    <row r="650">
      <c r="U650" s="25"/>
      <c r="V650" s="25"/>
      <c r="W650" s="25"/>
      <c r="X650" s="25"/>
      <c r="Y650" s="25"/>
      <c r="Z650" s="25"/>
    </row>
    <row r="651">
      <c r="U651" s="25"/>
      <c r="V651" s="25"/>
      <c r="W651" s="25"/>
      <c r="X651" s="25"/>
      <c r="Y651" s="25"/>
      <c r="Z651" s="25"/>
    </row>
    <row r="652">
      <c r="U652" s="25"/>
      <c r="V652" s="25"/>
      <c r="W652" s="25"/>
      <c r="X652" s="25"/>
      <c r="Y652" s="25"/>
      <c r="Z652" s="25"/>
    </row>
    <row r="653">
      <c r="U653" s="25"/>
      <c r="V653" s="25"/>
      <c r="W653" s="25"/>
      <c r="X653" s="25"/>
      <c r="Y653" s="25"/>
      <c r="Z653" s="25"/>
    </row>
    <row r="654">
      <c r="U654" s="25"/>
      <c r="V654" s="25"/>
      <c r="W654" s="25"/>
      <c r="X654" s="25"/>
      <c r="Y654" s="25"/>
      <c r="Z654" s="25"/>
    </row>
    <row r="655">
      <c r="U655" s="25"/>
      <c r="V655" s="25"/>
      <c r="W655" s="25"/>
      <c r="X655" s="25"/>
      <c r="Y655" s="25"/>
      <c r="Z655" s="25"/>
    </row>
    <row r="656">
      <c r="U656" s="25"/>
      <c r="V656" s="25"/>
      <c r="W656" s="25"/>
      <c r="X656" s="25"/>
      <c r="Y656" s="25"/>
      <c r="Z656" s="25"/>
    </row>
    <row r="657">
      <c r="U657" s="25"/>
      <c r="V657" s="25"/>
      <c r="W657" s="25"/>
      <c r="X657" s="25"/>
      <c r="Y657" s="25"/>
      <c r="Z657" s="25"/>
    </row>
    <row r="658">
      <c r="U658" s="25"/>
      <c r="V658" s="25"/>
      <c r="W658" s="25"/>
      <c r="X658" s="25"/>
      <c r="Y658" s="25"/>
      <c r="Z658" s="25"/>
    </row>
    <row r="659">
      <c r="U659" s="25"/>
      <c r="V659" s="25"/>
      <c r="W659" s="25"/>
      <c r="X659" s="25"/>
      <c r="Y659" s="25"/>
      <c r="Z659" s="25"/>
    </row>
    <row r="660">
      <c r="U660" s="25"/>
      <c r="V660" s="25"/>
      <c r="W660" s="25"/>
      <c r="X660" s="25"/>
      <c r="Y660" s="25"/>
      <c r="Z660" s="25"/>
    </row>
    <row r="661">
      <c r="U661" s="25"/>
      <c r="V661" s="25"/>
      <c r="W661" s="25"/>
      <c r="X661" s="25"/>
      <c r="Y661" s="25"/>
      <c r="Z661" s="25"/>
    </row>
    <row r="662">
      <c r="U662" s="25"/>
      <c r="V662" s="25"/>
      <c r="W662" s="25"/>
      <c r="X662" s="25"/>
      <c r="Y662" s="25"/>
      <c r="Z662" s="25"/>
    </row>
    <row r="663">
      <c r="U663" s="25"/>
      <c r="V663" s="25"/>
      <c r="W663" s="25"/>
      <c r="X663" s="25"/>
      <c r="Y663" s="25"/>
      <c r="Z663" s="25"/>
    </row>
    <row r="664">
      <c r="U664" s="25"/>
      <c r="V664" s="25"/>
      <c r="W664" s="25"/>
      <c r="X664" s="25"/>
      <c r="Y664" s="25"/>
      <c r="Z664" s="25"/>
    </row>
    <row r="665">
      <c r="U665" s="25"/>
      <c r="V665" s="25"/>
      <c r="W665" s="25"/>
      <c r="X665" s="25"/>
      <c r="Y665" s="25"/>
      <c r="Z665" s="25"/>
    </row>
    <row r="666">
      <c r="U666" s="25"/>
      <c r="V666" s="25"/>
      <c r="W666" s="25"/>
      <c r="X666" s="25"/>
      <c r="Y666" s="25"/>
      <c r="Z666" s="25"/>
    </row>
    <row r="667">
      <c r="U667" s="25"/>
      <c r="V667" s="25"/>
      <c r="W667" s="25"/>
      <c r="X667" s="25"/>
      <c r="Y667" s="25"/>
      <c r="Z667" s="25"/>
    </row>
    <row r="668">
      <c r="U668" s="25"/>
      <c r="V668" s="25"/>
      <c r="W668" s="25"/>
      <c r="X668" s="25"/>
      <c r="Y668" s="25"/>
      <c r="Z668" s="25"/>
    </row>
    <row r="669">
      <c r="U669" s="25"/>
      <c r="V669" s="25"/>
      <c r="W669" s="25"/>
      <c r="X669" s="25"/>
      <c r="Y669" s="25"/>
      <c r="Z669" s="25"/>
    </row>
    <row r="670">
      <c r="U670" s="25"/>
      <c r="V670" s="25"/>
      <c r="W670" s="25"/>
      <c r="X670" s="25"/>
      <c r="Y670" s="25"/>
      <c r="Z670" s="25"/>
    </row>
    <row r="671">
      <c r="U671" s="25"/>
      <c r="V671" s="25"/>
      <c r="W671" s="25"/>
      <c r="X671" s="25"/>
      <c r="Y671" s="25"/>
      <c r="Z671" s="25"/>
    </row>
    <row r="672">
      <c r="U672" s="25"/>
      <c r="V672" s="25"/>
      <c r="W672" s="25"/>
      <c r="X672" s="25"/>
      <c r="Y672" s="25"/>
      <c r="Z672" s="25"/>
    </row>
    <row r="673">
      <c r="U673" s="25"/>
      <c r="V673" s="25"/>
      <c r="W673" s="25"/>
      <c r="X673" s="25"/>
      <c r="Y673" s="25"/>
      <c r="Z673" s="25"/>
    </row>
    <row r="674">
      <c r="U674" s="25"/>
      <c r="V674" s="25"/>
      <c r="W674" s="25"/>
      <c r="X674" s="25"/>
      <c r="Y674" s="25"/>
      <c r="Z674" s="25"/>
    </row>
    <row r="675">
      <c r="U675" s="25"/>
      <c r="V675" s="25"/>
      <c r="W675" s="25"/>
      <c r="X675" s="25"/>
      <c r="Y675" s="25"/>
      <c r="Z675" s="25"/>
    </row>
    <row r="676">
      <c r="U676" s="25"/>
      <c r="V676" s="25"/>
      <c r="W676" s="25"/>
      <c r="X676" s="25"/>
      <c r="Y676" s="25"/>
      <c r="Z676" s="25"/>
    </row>
    <row r="677">
      <c r="U677" s="25"/>
      <c r="V677" s="25"/>
      <c r="W677" s="25"/>
      <c r="X677" s="25"/>
      <c r="Y677" s="25"/>
      <c r="Z677" s="25"/>
    </row>
    <row r="678">
      <c r="U678" s="25"/>
      <c r="V678" s="25"/>
      <c r="W678" s="25"/>
      <c r="X678" s="25"/>
      <c r="Y678" s="25"/>
      <c r="Z678" s="25"/>
    </row>
    <row r="679">
      <c r="U679" s="25"/>
      <c r="V679" s="25"/>
      <c r="W679" s="25"/>
      <c r="X679" s="25"/>
      <c r="Y679" s="25"/>
      <c r="Z679" s="25"/>
    </row>
    <row r="680">
      <c r="U680" s="25"/>
      <c r="V680" s="25"/>
      <c r="W680" s="25"/>
      <c r="X680" s="25"/>
      <c r="Y680" s="25"/>
      <c r="Z680" s="25"/>
    </row>
    <row r="681">
      <c r="U681" s="25"/>
      <c r="V681" s="25"/>
      <c r="W681" s="25"/>
      <c r="X681" s="25"/>
      <c r="Y681" s="25"/>
      <c r="Z681" s="25"/>
    </row>
    <row r="682">
      <c r="U682" s="25"/>
      <c r="V682" s="25"/>
      <c r="W682" s="25"/>
      <c r="X682" s="25"/>
      <c r="Y682" s="25"/>
      <c r="Z682" s="25"/>
    </row>
    <row r="683">
      <c r="U683" s="25"/>
      <c r="V683" s="25"/>
      <c r="W683" s="25"/>
      <c r="X683" s="25"/>
      <c r="Y683" s="25"/>
      <c r="Z683" s="25"/>
    </row>
    <row r="684">
      <c r="U684" s="25"/>
      <c r="V684" s="25"/>
      <c r="W684" s="25"/>
      <c r="X684" s="25"/>
      <c r="Y684" s="25"/>
      <c r="Z684" s="25"/>
    </row>
    <row r="685">
      <c r="U685" s="25"/>
      <c r="V685" s="25"/>
      <c r="W685" s="25"/>
      <c r="X685" s="25"/>
      <c r="Y685" s="25"/>
      <c r="Z685" s="25"/>
    </row>
    <row r="686">
      <c r="U686" s="25"/>
      <c r="V686" s="25"/>
      <c r="W686" s="25"/>
      <c r="X686" s="25"/>
      <c r="Y686" s="25"/>
      <c r="Z686" s="25"/>
    </row>
    <row r="687">
      <c r="U687" s="25"/>
      <c r="V687" s="25"/>
      <c r="W687" s="25"/>
      <c r="X687" s="25"/>
      <c r="Y687" s="25"/>
      <c r="Z687" s="25"/>
    </row>
    <row r="688">
      <c r="U688" s="25"/>
      <c r="V688" s="25"/>
      <c r="W688" s="25"/>
      <c r="X688" s="25"/>
      <c r="Y688" s="25"/>
      <c r="Z688" s="25"/>
    </row>
    <row r="689">
      <c r="U689" s="25"/>
      <c r="V689" s="25"/>
      <c r="W689" s="25"/>
      <c r="X689" s="25"/>
      <c r="Y689" s="25"/>
      <c r="Z689" s="25"/>
    </row>
    <row r="690">
      <c r="U690" s="25"/>
      <c r="V690" s="25"/>
      <c r="W690" s="25"/>
      <c r="X690" s="25"/>
      <c r="Y690" s="25"/>
      <c r="Z690" s="25"/>
    </row>
    <row r="691">
      <c r="U691" s="25"/>
      <c r="V691" s="25"/>
      <c r="W691" s="25"/>
      <c r="X691" s="25"/>
      <c r="Y691" s="25"/>
      <c r="Z691" s="25"/>
    </row>
    <row r="692">
      <c r="U692" s="25"/>
      <c r="V692" s="25"/>
      <c r="W692" s="25"/>
      <c r="X692" s="25"/>
      <c r="Y692" s="25"/>
      <c r="Z692" s="25"/>
    </row>
    <row r="693">
      <c r="U693" s="25"/>
      <c r="V693" s="25"/>
      <c r="W693" s="25"/>
      <c r="X693" s="25"/>
      <c r="Y693" s="25"/>
      <c r="Z693" s="25"/>
    </row>
    <row r="694">
      <c r="U694" s="25"/>
      <c r="V694" s="25"/>
      <c r="W694" s="25"/>
      <c r="X694" s="25"/>
      <c r="Y694" s="25"/>
      <c r="Z694" s="25"/>
    </row>
    <row r="695">
      <c r="U695" s="25"/>
      <c r="V695" s="25"/>
      <c r="W695" s="25"/>
      <c r="X695" s="25"/>
      <c r="Y695" s="25"/>
      <c r="Z695" s="25"/>
    </row>
    <row r="696">
      <c r="U696" s="25"/>
      <c r="V696" s="25"/>
      <c r="W696" s="25"/>
      <c r="X696" s="25"/>
      <c r="Y696" s="25"/>
      <c r="Z696" s="25"/>
    </row>
    <row r="697">
      <c r="U697" s="25"/>
      <c r="V697" s="25"/>
      <c r="W697" s="25"/>
      <c r="X697" s="25"/>
      <c r="Y697" s="25"/>
      <c r="Z697" s="25"/>
    </row>
    <row r="698">
      <c r="U698" s="25"/>
      <c r="V698" s="25"/>
      <c r="W698" s="25"/>
      <c r="X698" s="25"/>
      <c r="Y698" s="25"/>
      <c r="Z698" s="25"/>
    </row>
    <row r="699">
      <c r="U699" s="25"/>
      <c r="V699" s="25"/>
      <c r="W699" s="25"/>
      <c r="X699" s="25"/>
      <c r="Y699" s="25"/>
      <c r="Z699" s="25"/>
    </row>
    <row r="700">
      <c r="U700" s="25"/>
      <c r="V700" s="25"/>
      <c r="W700" s="25"/>
      <c r="X700" s="25"/>
      <c r="Y700" s="25"/>
      <c r="Z700" s="25"/>
    </row>
    <row r="701">
      <c r="U701" s="25"/>
      <c r="V701" s="25"/>
      <c r="W701" s="25"/>
      <c r="X701" s="25"/>
      <c r="Y701" s="25"/>
      <c r="Z701" s="25"/>
    </row>
    <row r="702">
      <c r="U702" s="25"/>
      <c r="V702" s="25"/>
      <c r="W702" s="25"/>
      <c r="X702" s="25"/>
      <c r="Y702" s="25"/>
      <c r="Z702" s="25"/>
    </row>
    <row r="703">
      <c r="U703" s="25"/>
      <c r="V703" s="25"/>
      <c r="W703" s="25"/>
      <c r="X703" s="25"/>
      <c r="Y703" s="25"/>
      <c r="Z703" s="25"/>
    </row>
    <row r="704">
      <c r="U704" s="25"/>
      <c r="V704" s="25"/>
      <c r="W704" s="25"/>
      <c r="X704" s="25"/>
      <c r="Y704" s="25"/>
      <c r="Z704" s="25"/>
    </row>
    <row r="705">
      <c r="U705" s="25"/>
      <c r="V705" s="25"/>
      <c r="W705" s="25"/>
      <c r="X705" s="25"/>
      <c r="Y705" s="25"/>
      <c r="Z705" s="25"/>
    </row>
    <row r="706">
      <c r="U706" s="25"/>
      <c r="V706" s="25"/>
      <c r="W706" s="25"/>
      <c r="X706" s="25"/>
      <c r="Y706" s="25"/>
      <c r="Z706" s="25"/>
    </row>
    <row r="707">
      <c r="U707" s="25"/>
      <c r="V707" s="25"/>
      <c r="W707" s="25"/>
      <c r="X707" s="25"/>
      <c r="Y707" s="25"/>
      <c r="Z707" s="25"/>
    </row>
    <row r="708">
      <c r="U708" s="25"/>
      <c r="V708" s="25"/>
      <c r="W708" s="25"/>
      <c r="X708" s="25"/>
      <c r="Y708" s="25"/>
      <c r="Z708" s="25"/>
    </row>
    <row r="709">
      <c r="U709" s="25"/>
      <c r="V709" s="25"/>
      <c r="W709" s="25"/>
      <c r="X709" s="25"/>
      <c r="Y709" s="25"/>
      <c r="Z709" s="25"/>
    </row>
    <row r="710">
      <c r="U710" s="25"/>
      <c r="V710" s="25"/>
      <c r="W710" s="25"/>
      <c r="X710" s="25"/>
      <c r="Y710" s="25"/>
      <c r="Z710" s="25"/>
    </row>
    <row r="711">
      <c r="U711" s="25"/>
      <c r="V711" s="25"/>
      <c r="W711" s="25"/>
      <c r="X711" s="25"/>
      <c r="Y711" s="25"/>
      <c r="Z711" s="25"/>
    </row>
    <row r="712">
      <c r="U712" s="25"/>
      <c r="V712" s="25"/>
      <c r="W712" s="25"/>
      <c r="X712" s="25"/>
      <c r="Y712" s="25"/>
      <c r="Z712" s="25"/>
    </row>
    <row r="713">
      <c r="U713" s="25"/>
      <c r="V713" s="25"/>
      <c r="W713" s="25"/>
      <c r="X713" s="25"/>
      <c r="Y713" s="25"/>
      <c r="Z713" s="25"/>
    </row>
    <row r="714">
      <c r="U714" s="25"/>
      <c r="V714" s="25"/>
      <c r="W714" s="25"/>
      <c r="X714" s="25"/>
      <c r="Y714" s="25"/>
      <c r="Z714" s="25"/>
    </row>
    <row r="715">
      <c r="U715" s="25"/>
      <c r="V715" s="25"/>
      <c r="W715" s="25"/>
      <c r="X715" s="25"/>
      <c r="Y715" s="25"/>
      <c r="Z715" s="25"/>
    </row>
    <row r="716">
      <c r="U716" s="25"/>
      <c r="V716" s="25"/>
      <c r="W716" s="25"/>
      <c r="X716" s="25"/>
      <c r="Y716" s="25"/>
      <c r="Z716" s="25"/>
    </row>
    <row r="717">
      <c r="U717" s="25"/>
      <c r="V717" s="25"/>
      <c r="W717" s="25"/>
      <c r="X717" s="25"/>
      <c r="Y717" s="25"/>
      <c r="Z717" s="25"/>
    </row>
    <row r="718">
      <c r="U718" s="25"/>
      <c r="V718" s="25"/>
      <c r="W718" s="25"/>
      <c r="X718" s="25"/>
      <c r="Y718" s="25"/>
      <c r="Z718" s="25"/>
    </row>
    <row r="719">
      <c r="U719" s="25"/>
      <c r="V719" s="25"/>
      <c r="W719" s="25"/>
      <c r="X719" s="25"/>
      <c r="Y719" s="25"/>
      <c r="Z719" s="25"/>
    </row>
    <row r="720">
      <c r="U720" s="25"/>
      <c r="V720" s="25"/>
      <c r="W720" s="25"/>
      <c r="X720" s="25"/>
      <c r="Y720" s="25"/>
      <c r="Z720" s="25"/>
    </row>
    <row r="721">
      <c r="U721" s="25"/>
      <c r="V721" s="25"/>
      <c r="W721" s="25"/>
      <c r="X721" s="25"/>
      <c r="Y721" s="25"/>
      <c r="Z721" s="25"/>
    </row>
    <row r="722">
      <c r="U722" s="25"/>
      <c r="V722" s="25"/>
      <c r="W722" s="25"/>
      <c r="X722" s="25"/>
      <c r="Y722" s="25"/>
      <c r="Z722" s="25"/>
    </row>
    <row r="723">
      <c r="U723" s="25"/>
      <c r="V723" s="25"/>
      <c r="W723" s="25"/>
      <c r="X723" s="25"/>
      <c r="Y723" s="25"/>
      <c r="Z723" s="25"/>
    </row>
    <row r="724">
      <c r="U724" s="25"/>
      <c r="V724" s="25"/>
      <c r="W724" s="25"/>
      <c r="X724" s="25"/>
      <c r="Y724" s="25"/>
      <c r="Z724" s="25"/>
    </row>
    <row r="725">
      <c r="U725" s="25"/>
      <c r="V725" s="25"/>
      <c r="W725" s="25"/>
      <c r="X725" s="25"/>
      <c r="Y725" s="25"/>
      <c r="Z725" s="25"/>
    </row>
    <row r="726">
      <c r="U726" s="25"/>
      <c r="V726" s="25"/>
      <c r="W726" s="25"/>
      <c r="X726" s="25"/>
      <c r="Y726" s="25"/>
      <c r="Z726" s="25"/>
    </row>
    <row r="727">
      <c r="U727" s="25"/>
      <c r="V727" s="25"/>
      <c r="W727" s="25"/>
      <c r="X727" s="25"/>
      <c r="Y727" s="25"/>
      <c r="Z727" s="25"/>
    </row>
    <row r="728">
      <c r="U728" s="25"/>
      <c r="V728" s="25"/>
      <c r="W728" s="25"/>
      <c r="X728" s="25"/>
      <c r="Y728" s="25"/>
      <c r="Z728" s="25"/>
    </row>
    <row r="729">
      <c r="U729" s="25"/>
      <c r="V729" s="25"/>
      <c r="W729" s="25"/>
      <c r="X729" s="25"/>
      <c r="Y729" s="25"/>
      <c r="Z729" s="25"/>
    </row>
    <row r="730">
      <c r="U730" s="25"/>
      <c r="V730" s="25"/>
      <c r="W730" s="25"/>
      <c r="X730" s="25"/>
      <c r="Y730" s="25"/>
      <c r="Z730" s="25"/>
    </row>
    <row r="731">
      <c r="U731" s="25"/>
      <c r="V731" s="25"/>
      <c r="W731" s="25"/>
      <c r="X731" s="25"/>
      <c r="Y731" s="25"/>
      <c r="Z731" s="25"/>
    </row>
    <row r="732">
      <c r="U732" s="25"/>
      <c r="V732" s="25"/>
      <c r="W732" s="25"/>
      <c r="X732" s="25"/>
      <c r="Y732" s="25"/>
      <c r="Z732" s="25"/>
    </row>
    <row r="733">
      <c r="U733" s="25"/>
      <c r="V733" s="25"/>
      <c r="W733" s="25"/>
      <c r="X733" s="25"/>
      <c r="Y733" s="25"/>
      <c r="Z733" s="25"/>
    </row>
    <row r="734">
      <c r="U734" s="25"/>
      <c r="V734" s="25"/>
      <c r="W734" s="25"/>
      <c r="X734" s="25"/>
      <c r="Y734" s="25"/>
      <c r="Z734" s="25"/>
    </row>
    <row r="735">
      <c r="U735" s="25"/>
      <c r="V735" s="25"/>
      <c r="W735" s="25"/>
      <c r="X735" s="25"/>
      <c r="Y735" s="25"/>
      <c r="Z735" s="25"/>
    </row>
    <row r="736">
      <c r="U736" s="25"/>
      <c r="V736" s="25"/>
      <c r="W736" s="25"/>
      <c r="X736" s="25"/>
      <c r="Y736" s="25"/>
      <c r="Z736" s="25"/>
    </row>
    <row r="737">
      <c r="U737" s="25"/>
      <c r="V737" s="25"/>
      <c r="W737" s="25"/>
      <c r="X737" s="25"/>
      <c r="Y737" s="25"/>
      <c r="Z737" s="25"/>
    </row>
    <row r="738">
      <c r="U738" s="25"/>
      <c r="V738" s="25"/>
      <c r="W738" s="25"/>
      <c r="X738" s="25"/>
      <c r="Y738" s="25"/>
      <c r="Z738" s="25"/>
    </row>
    <row r="739">
      <c r="U739" s="25"/>
      <c r="V739" s="25"/>
      <c r="W739" s="25"/>
      <c r="X739" s="25"/>
      <c r="Y739" s="25"/>
      <c r="Z739" s="25"/>
    </row>
    <row r="740">
      <c r="U740" s="25"/>
      <c r="V740" s="25"/>
      <c r="W740" s="25"/>
      <c r="X740" s="25"/>
      <c r="Y740" s="25"/>
      <c r="Z740" s="25"/>
    </row>
    <row r="741">
      <c r="U741" s="25"/>
      <c r="V741" s="25"/>
      <c r="W741" s="25"/>
      <c r="X741" s="25"/>
      <c r="Y741" s="25"/>
      <c r="Z741" s="25"/>
    </row>
    <row r="742">
      <c r="U742" s="25"/>
      <c r="V742" s="25"/>
      <c r="W742" s="25"/>
      <c r="X742" s="25"/>
      <c r="Y742" s="25"/>
      <c r="Z742" s="25"/>
    </row>
    <row r="743">
      <c r="U743" s="25"/>
      <c r="V743" s="25"/>
      <c r="W743" s="25"/>
      <c r="X743" s="25"/>
      <c r="Y743" s="25"/>
      <c r="Z743" s="25"/>
    </row>
    <row r="744">
      <c r="U744" s="25"/>
      <c r="V744" s="25"/>
      <c r="W744" s="25"/>
      <c r="X744" s="25"/>
      <c r="Y744" s="25"/>
      <c r="Z744" s="25"/>
    </row>
    <row r="745">
      <c r="U745" s="25"/>
      <c r="V745" s="25"/>
      <c r="W745" s="25"/>
      <c r="X745" s="25"/>
      <c r="Y745" s="25"/>
      <c r="Z745" s="25"/>
    </row>
    <row r="746">
      <c r="U746" s="25"/>
      <c r="V746" s="25"/>
      <c r="W746" s="25"/>
      <c r="X746" s="25"/>
      <c r="Y746" s="25"/>
      <c r="Z746" s="25"/>
    </row>
    <row r="747">
      <c r="U747" s="25"/>
      <c r="V747" s="25"/>
      <c r="W747" s="25"/>
      <c r="X747" s="25"/>
      <c r="Y747" s="25"/>
      <c r="Z747" s="25"/>
    </row>
    <row r="748">
      <c r="U748" s="25"/>
      <c r="V748" s="25"/>
      <c r="W748" s="25"/>
      <c r="X748" s="25"/>
      <c r="Y748" s="25"/>
      <c r="Z748" s="25"/>
    </row>
    <row r="749">
      <c r="U749" s="25"/>
      <c r="V749" s="25"/>
      <c r="W749" s="25"/>
      <c r="X749" s="25"/>
      <c r="Y749" s="25"/>
      <c r="Z749" s="25"/>
    </row>
    <row r="750">
      <c r="U750" s="25"/>
      <c r="V750" s="25"/>
      <c r="W750" s="25"/>
      <c r="X750" s="25"/>
      <c r="Y750" s="25"/>
      <c r="Z750" s="25"/>
    </row>
    <row r="751">
      <c r="U751" s="25"/>
      <c r="V751" s="25"/>
      <c r="W751" s="25"/>
      <c r="X751" s="25"/>
      <c r="Y751" s="25"/>
      <c r="Z751" s="25"/>
    </row>
    <row r="752">
      <c r="U752" s="25"/>
      <c r="V752" s="25"/>
      <c r="W752" s="25"/>
      <c r="X752" s="25"/>
      <c r="Y752" s="25"/>
      <c r="Z752" s="25"/>
    </row>
    <row r="753">
      <c r="U753" s="25"/>
      <c r="V753" s="25"/>
      <c r="W753" s="25"/>
      <c r="X753" s="25"/>
      <c r="Y753" s="25"/>
      <c r="Z753" s="25"/>
    </row>
    <row r="754">
      <c r="U754" s="25"/>
      <c r="V754" s="25"/>
      <c r="W754" s="25"/>
      <c r="X754" s="25"/>
      <c r="Y754" s="25"/>
      <c r="Z754" s="25"/>
    </row>
    <row r="755">
      <c r="U755" s="25"/>
      <c r="V755" s="25"/>
      <c r="W755" s="25"/>
      <c r="X755" s="25"/>
      <c r="Y755" s="25"/>
      <c r="Z755" s="25"/>
    </row>
    <row r="756">
      <c r="U756" s="25"/>
      <c r="V756" s="25"/>
      <c r="W756" s="25"/>
      <c r="X756" s="25"/>
      <c r="Y756" s="25"/>
      <c r="Z756" s="25"/>
    </row>
    <row r="757">
      <c r="U757" s="25"/>
      <c r="V757" s="25"/>
      <c r="W757" s="25"/>
      <c r="X757" s="25"/>
      <c r="Y757" s="25"/>
      <c r="Z757" s="25"/>
    </row>
    <row r="758">
      <c r="U758" s="25"/>
      <c r="V758" s="25"/>
      <c r="W758" s="25"/>
      <c r="X758" s="25"/>
      <c r="Y758" s="25"/>
      <c r="Z758" s="25"/>
    </row>
    <row r="759">
      <c r="U759" s="25"/>
      <c r="V759" s="25"/>
      <c r="W759" s="25"/>
      <c r="X759" s="25"/>
      <c r="Y759" s="25"/>
      <c r="Z759" s="25"/>
    </row>
    <row r="760">
      <c r="U760" s="25"/>
      <c r="V760" s="25"/>
      <c r="W760" s="25"/>
      <c r="X760" s="25"/>
      <c r="Y760" s="25"/>
      <c r="Z760" s="25"/>
    </row>
    <row r="761">
      <c r="U761" s="25"/>
      <c r="V761" s="25"/>
      <c r="W761" s="25"/>
      <c r="X761" s="25"/>
      <c r="Y761" s="25"/>
      <c r="Z761" s="25"/>
    </row>
    <row r="762">
      <c r="U762" s="25"/>
      <c r="V762" s="25"/>
      <c r="W762" s="25"/>
      <c r="X762" s="25"/>
      <c r="Y762" s="25"/>
      <c r="Z762" s="25"/>
    </row>
    <row r="763">
      <c r="U763" s="25"/>
      <c r="V763" s="25"/>
      <c r="W763" s="25"/>
      <c r="X763" s="25"/>
      <c r="Y763" s="25"/>
      <c r="Z763" s="25"/>
    </row>
    <row r="764">
      <c r="U764" s="25"/>
      <c r="V764" s="25"/>
      <c r="W764" s="25"/>
      <c r="X764" s="25"/>
      <c r="Y764" s="25"/>
      <c r="Z764" s="25"/>
    </row>
    <row r="765">
      <c r="U765" s="25"/>
      <c r="V765" s="25"/>
      <c r="W765" s="25"/>
      <c r="X765" s="25"/>
      <c r="Y765" s="25"/>
      <c r="Z765" s="25"/>
    </row>
    <row r="766">
      <c r="U766" s="25"/>
      <c r="V766" s="25"/>
      <c r="W766" s="25"/>
      <c r="X766" s="25"/>
      <c r="Y766" s="25"/>
      <c r="Z766" s="25"/>
    </row>
    <row r="767">
      <c r="U767" s="25"/>
      <c r="V767" s="25"/>
      <c r="W767" s="25"/>
      <c r="X767" s="25"/>
      <c r="Y767" s="25"/>
      <c r="Z767" s="25"/>
    </row>
    <row r="768">
      <c r="U768" s="25"/>
      <c r="V768" s="25"/>
      <c r="W768" s="25"/>
      <c r="X768" s="25"/>
      <c r="Y768" s="25"/>
      <c r="Z768" s="25"/>
    </row>
    <row r="769">
      <c r="U769" s="25"/>
      <c r="V769" s="25"/>
      <c r="W769" s="25"/>
      <c r="X769" s="25"/>
      <c r="Y769" s="25"/>
      <c r="Z769" s="25"/>
    </row>
    <row r="770">
      <c r="U770" s="25"/>
      <c r="V770" s="25"/>
      <c r="W770" s="25"/>
      <c r="X770" s="25"/>
      <c r="Y770" s="25"/>
      <c r="Z770" s="25"/>
    </row>
    <row r="771">
      <c r="U771" s="25"/>
      <c r="V771" s="25"/>
      <c r="W771" s="25"/>
      <c r="X771" s="25"/>
      <c r="Y771" s="25"/>
      <c r="Z771" s="25"/>
    </row>
    <row r="772">
      <c r="U772" s="25"/>
      <c r="V772" s="25"/>
      <c r="W772" s="25"/>
      <c r="X772" s="25"/>
      <c r="Y772" s="25"/>
      <c r="Z772" s="25"/>
    </row>
    <row r="773">
      <c r="U773" s="25"/>
      <c r="V773" s="25"/>
      <c r="W773" s="25"/>
      <c r="X773" s="25"/>
      <c r="Y773" s="25"/>
      <c r="Z773" s="25"/>
    </row>
    <row r="774">
      <c r="U774" s="25"/>
      <c r="V774" s="25"/>
      <c r="W774" s="25"/>
      <c r="X774" s="25"/>
      <c r="Y774" s="25"/>
      <c r="Z774" s="25"/>
    </row>
    <row r="775">
      <c r="U775" s="25"/>
      <c r="V775" s="25"/>
      <c r="W775" s="25"/>
      <c r="X775" s="25"/>
      <c r="Y775" s="25"/>
      <c r="Z775" s="25"/>
    </row>
    <row r="776">
      <c r="U776" s="25"/>
      <c r="V776" s="25"/>
      <c r="W776" s="25"/>
      <c r="X776" s="25"/>
      <c r="Y776" s="25"/>
      <c r="Z776" s="25"/>
    </row>
    <row r="777">
      <c r="U777" s="25"/>
      <c r="V777" s="25"/>
      <c r="W777" s="25"/>
      <c r="X777" s="25"/>
      <c r="Y777" s="25"/>
      <c r="Z777" s="25"/>
    </row>
    <row r="778">
      <c r="U778" s="25"/>
      <c r="V778" s="25"/>
      <c r="W778" s="25"/>
      <c r="X778" s="25"/>
      <c r="Y778" s="25"/>
      <c r="Z778" s="25"/>
    </row>
    <row r="779">
      <c r="U779" s="25"/>
      <c r="V779" s="25"/>
      <c r="W779" s="25"/>
      <c r="X779" s="25"/>
      <c r="Y779" s="25"/>
      <c r="Z779" s="25"/>
    </row>
    <row r="780">
      <c r="U780" s="25"/>
      <c r="V780" s="25"/>
      <c r="W780" s="25"/>
      <c r="X780" s="25"/>
      <c r="Y780" s="25"/>
      <c r="Z780" s="25"/>
    </row>
    <row r="781">
      <c r="U781" s="25"/>
      <c r="V781" s="25"/>
      <c r="W781" s="25"/>
      <c r="X781" s="25"/>
      <c r="Y781" s="25"/>
      <c r="Z781" s="25"/>
    </row>
    <row r="782">
      <c r="U782" s="25"/>
      <c r="V782" s="25"/>
      <c r="W782" s="25"/>
      <c r="X782" s="25"/>
      <c r="Y782" s="25"/>
      <c r="Z782" s="25"/>
    </row>
    <row r="783">
      <c r="U783" s="25"/>
      <c r="V783" s="25"/>
      <c r="W783" s="25"/>
      <c r="X783" s="25"/>
      <c r="Y783" s="25"/>
      <c r="Z783" s="25"/>
    </row>
    <row r="784">
      <c r="U784" s="25"/>
      <c r="V784" s="25"/>
      <c r="W784" s="25"/>
      <c r="X784" s="25"/>
      <c r="Y784" s="25"/>
      <c r="Z784" s="25"/>
    </row>
    <row r="785">
      <c r="U785" s="25"/>
      <c r="V785" s="25"/>
      <c r="W785" s="25"/>
      <c r="X785" s="25"/>
      <c r="Y785" s="25"/>
      <c r="Z785" s="25"/>
    </row>
    <row r="786">
      <c r="U786" s="25"/>
      <c r="V786" s="25"/>
      <c r="W786" s="25"/>
      <c r="X786" s="25"/>
      <c r="Y786" s="25"/>
      <c r="Z786" s="25"/>
    </row>
    <row r="787">
      <c r="U787" s="25"/>
      <c r="V787" s="25"/>
      <c r="W787" s="25"/>
      <c r="X787" s="25"/>
      <c r="Y787" s="25"/>
      <c r="Z787" s="25"/>
    </row>
    <row r="788">
      <c r="U788" s="25"/>
      <c r="V788" s="25"/>
      <c r="W788" s="25"/>
      <c r="X788" s="25"/>
      <c r="Y788" s="25"/>
      <c r="Z788" s="25"/>
    </row>
    <row r="789">
      <c r="U789" s="25"/>
      <c r="V789" s="25"/>
      <c r="W789" s="25"/>
      <c r="X789" s="25"/>
      <c r="Y789" s="25"/>
      <c r="Z789" s="25"/>
    </row>
    <row r="790">
      <c r="U790" s="25"/>
      <c r="V790" s="25"/>
      <c r="W790" s="25"/>
      <c r="X790" s="25"/>
      <c r="Y790" s="25"/>
      <c r="Z790" s="25"/>
    </row>
    <row r="791">
      <c r="U791" s="25"/>
      <c r="V791" s="25"/>
      <c r="W791" s="25"/>
      <c r="X791" s="25"/>
      <c r="Y791" s="25"/>
      <c r="Z791" s="25"/>
    </row>
    <row r="792">
      <c r="U792" s="25"/>
      <c r="V792" s="25"/>
      <c r="W792" s="25"/>
      <c r="X792" s="25"/>
      <c r="Y792" s="25"/>
      <c r="Z792" s="25"/>
    </row>
    <row r="793">
      <c r="U793" s="25"/>
      <c r="V793" s="25"/>
      <c r="W793" s="25"/>
      <c r="X793" s="25"/>
      <c r="Y793" s="25"/>
      <c r="Z793" s="25"/>
    </row>
    <row r="794">
      <c r="U794" s="25"/>
      <c r="V794" s="25"/>
      <c r="W794" s="25"/>
      <c r="X794" s="25"/>
      <c r="Y794" s="25"/>
      <c r="Z794" s="25"/>
    </row>
    <row r="795">
      <c r="U795" s="25"/>
      <c r="V795" s="25"/>
      <c r="W795" s="25"/>
      <c r="X795" s="25"/>
      <c r="Y795" s="25"/>
      <c r="Z795" s="25"/>
    </row>
    <row r="796">
      <c r="U796" s="25"/>
      <c r="V796" s="25"/>
      <c r="W796" s="25"/>
      <c r="X796" s="25"/>
      <c r="Y796" s="25"/>
      <c r="Z796" s="25"/>
    </row>
    <row r="797">
      <c r="U797" s="25"/>
      <c r="V797" s="25"/>
      <c r="W797" s="25"/>
      <c r="X797" s="25"/>
      <c r="Y797" s="25"/>
      <c r="Z797" s="25"/>
    </row>
    <row r="798">
      <c r="U798" s="25"/>
      <c r="V798" s="25"/>
      <c r="W798" s="25"/>
      <c r="X798" s="25"/>
      <c r="Y798" s="25"/>
      <c r="Z798" s="25"/>
    </row>
    <row r="799">
      <c r="U799" s="25"/>
      <c r="V799" s="25"/>
      <c r="W799" s="25"/>
      <c r="X799" s="25"/>
      <c r="Y799" s="25"/>
      <c r="Z799" s="25"/>
    </row>
    <row r="800">
      <c r="U800" s="25"/>
      <c r="V800" s="25"/>
      <c r="W800" s="25"/>
      <c r="X800" s="25"/>
      <c r="Y800" s="25"/>
      <c r="Z800" s="25"/>
    </row>
    <row r="801">
      <c r="U801" s="25"/>
      <c r="V801" s="25"/>
      <c r="W801" s="25"/>
      <c r="X801" s="25"/>
      <c r="Y801" s="25"/>
      <c r="Z801" s="25"/>
    </row>
    <row r="802">
      <c r="U802" s="25"/>
      <c r="V802" s="25"/>
      <c r="W802" s="25"/>
      <c r="X802" s="25"/>
      <c r="Y802" s="25"/>
      <c r="Z802" s="25"/>
    </row>
    <row r="803">
      <c r="U803" s="25"/>
      <c r="V803" s="25"/>
      <c r="W803" s="25"/>
      <c r="X803" s="25"/>
      <c r="Y803" s="25"/>
      <c r="Z803" s="25"/>
    </row>
    <row r="804">
      <c r="U804" s="25"/>
      <c r="V804" s="25"/>
      <c r="W804" s="25"/>
      <c r="X804" s="25"/>
      <c r="Y804" s="25"/>
      <c r="Z804" s="25"/>
    </row>
    <row r="805">
      <c r="U805" s="25"/>
      <c r="V805" s="25"/>
      <c r="W805" s="25"/>
      <c r="X805" s="25"/>
      <c r="Y805" s="25"/>
      <c r="Z805" s="25"/>
    </row>
    <row r="806">
      <c r="U806" s="25"/>
      <c r="V806" s="25"/>
      <c r="W806" s="25"/>
      <c r="X806" s="25"/>
      <c r="Y806" s="25"/>
      <c r="Z806" s="25"/>
    </row>
    <row r="807">
      <c r="U807" s="25"/>
      <c r="V807" s="25"/>
      <c r="W807" s="25"/>
      <c r="X807" s="25"/>
      <c r="Y807" s="25"/>
      <c r="Z807" s="25"/>
    </row>
    <row r="808">
      <c r="U808" s="25"/>
      <c r="V808" s="25"/>
      <c r="W808" s="25"/>
      <c r="X808" s="25"/>
      <c r="Y808" s="25"/>
      <c r="Z808" s="25"/>
    </row>
    <row r="809">
      <c r="U809" s="25"/>
      <c r="V809" s="25"/>
      <c r="W809" s="25"/>
      <c r="X809" s="25"/>
      <c r="Y809" s="25"/>
      <c r="Z809" s="25"/>
    </row>
    <row r="810">
      <c r="U810" s="25"/>
      <c r="V810" s="25"/>
      <c r="W810" s="25"/>
      <c r="X810" s="25"/>
      <c r="Y810" s="25"/>
      <c r="Z810" s="25"/>
    </row>
    <row r="811">
      <c r="U811" s="25"/>
      <c r="V811" s="25"/>
      <c r="W811" s="25"/>
      <c r="X811" s="25"/>
      <c r="Y811" s="25"/>
      <c r="Z811" s="25"/>
    </row>
    <row r="812">
      <c r="U812" s="25"/>
      <c r="V812" s="25"/>
      <c r="W812" s="25"/>
      <c r="X812" s="25"/>
      <c r="Y812" s="25"/>
      <c r="Z812" s="25"/>
    </row>
    <row r="813">
      <c r="U813" s="25"/>
      <c r="V813" s="25"/>
      <c r="W813" s="25"/>
      <c r="X813" s="25"/>
      <c r="Y813" s="25"/>
      <c r="Z813" s="25"/>
    </row>
    <row r="814">
      <c r="U814" s="25"/>
      <c r="V814" s="25"/>
      <c r="W814" s="25"/>
      <c r="X814" s="25"/>
      <c r="Y814" s="25"/>
      <c r="Z814" s="25"/>
    </row>
    <row r="815">
      <c r="U815" s="25"/>
      <c r="V815" s="25"/>
      <c r="W815" s="25"/>
      <c r="X815" s="25"/>
      <c r="Y815" s="25"/>
      <c r="Z815" s="25"/>
    </row>
    <row r="816">
      <c r="U816" s="25"/>
      <c r="V816" s="25"/>
      <c r="W816" s="25"/>
      <c r="X816" s="25"/>
      <c r="Y816" s="25"/>
      <c r="Z816" s="25"/>
    </row>
    <row r="817">
      <c r="U817" s="25"/>
      <c r="V817" s="25"/>
      <c r="W817" s="25"/>
      <c r="X817" s="25"/>
      <c r="Y817" s="25"/>
      <c r="Z817" s="25"/>
    </row>
    <row r="818">
      <c r="U818" s="25"/>
      <c r="V818" s="25"/>
      <c r="W818" s="25"/>
      <c r="X818" s="25"/>
      <c r="Y818" s="25"/>
      <c r="Z818" s="25"/>
    </row>
    <row r="819">
      <c r="U819" s="25"/>
      <c r="V819" s="25"/>
      <c r="W819" s="25"/>
      <c r="X819" s="25"/>
      <c r="Y819" s="25"/>
      <c r="Z819" s="25"/>
    </row>
    <row r="820">
      <c r="U820" s="25"/>
      <c r="V820" s="25"/>
      <c r="W820" s="25"/>
      <c r="X820" s="25"/>
      <c r="Y820" s="25"/>
      <c r="Z820" s="25"/>
    </row>
    <row r="821">
      <c r="U821" s="25"/>
      <c r="V821" s="25"/>
      <c r="W821" s="25"/>
      <c r="X821" s="25"/>
      <c r="Y821" s="25"/>
      <c r="Z821" s="25"/>
    </row>
    <row r="822">
      <c r="U822" s="25"/>
      <c r="V822" s="25"/>
      <c r="W822" s="25"/>
      <c r="X822" s="25"/>
      <c r="Y822" s="25"/>
      <c r="Z822" s="25"/>
    </row>
    <row r="823">
      <c r="U823" s="25"/>
      <c r="V823" s="25"/>
      <c r="W823" s="25"/>
      <c r="X823" s="25"/>
      <c r="Y823" s="25"/>
      <c r="Z823" s="25"/>
    </row>
    <row r="824">
      <c r="U824" s="25"/>
      <c r="V824" s="25"/>
      <c r="W824" s="25"/>
      <c r="X824" s="25"/>
      <c r="Y824" s="25"/>
      <c r="Z824" s="25"/>
    </row>
    <row r="825">
      <c r="U825" s="25"/>
      <c r="V825" s="25"/>
      <c r="W825" s="25"/>
      <c r="X825" s="25"/>
      <c r="Y825" s="25"/>
      <c r="Z825" s="25"/>
    </row>
    <row r="826">
      <c r="U826" s="25"/>
      <c r="V826" s="25"/>
      <c r="W826" s="25"/>
      <c r="X826" s="25"/>
      <c r="Y826" s="25"/>
      <c r="Z826" s="25"/>
    </row>
    <row r="827">
      <c r="U827" s="25"/>
      <c r="V827" s="25"/>
      <c r="W827" s="25"/>
      <c r="X827" s="25"/>
      <c r="Y827" s="25"/>
      <c r="Z827" s="25"/>
    </row>
    <row r="828">
      <c r="U828" s="25"/>
      <c r="V828" s="25"/>
      <c r="W828" s="25"/>
      <c r="X828" s="25"/>
      <c r="Y828" s="25"/>
      <c r="Z828" s="25"/>
    </row>
    <row r="829">
      <c r="U829" s="25"/>
      <c r="V829" s="25"/>
      <c r="W829" s="25"/>
      <c r="X829" s="25"/>
      <c r="Y829" s="25"/>
      <c r="Z829" s="25"/>
    </row>
    <row r="830">
      <c r="U830" s="25"/>
      <c r="V830" s="25"/>
      <c r="W830" s="25"/>
      <c r="X830" s="25"/>
      <c r="Y830" s="25"/>
      <c r="Z830" s="25"/>
    </row>
    <row r="831">
      <c r="U831" s="25"/>
      <c r="V831" s="25"/>
      <c r="W831" s="25"/>
      <c r="X831" s="25"/>
      <c r="Y831" s="25"/>
      <c r="Z831" s="25"/>
    </row>
    <row r="832">
      <c r="U832" s="25"/>
      <c r="V832" s="25"/>
      <c r="W832" s="25"/>
      <c r="X832" s="25"/>
      <c r="Y832" s="25"/>
      <c r="Z832" s="25"/>
    </row>
    <row r="833">
      <c r="U833" s="25"/>
      <c r="V833" s="25"/>
      <c r="W833" s="25"/>
      <c r="X833" s="25"/>
      <c r="Y833" s="25"/>
      <c r="Z833" s="25"/>
    </row>
    <row r="834">
      <c r="U834" s="25"/>
      <c r="V834" s="25"/>
      <c r="W834" s="25"/>
      <c r="X834" s="25"/>
      <c r="Y834" s="25"/>
      <c r="Z834" s="25"/>
    </row>
    <row r="835">
      <c r="U835" s="25"/>
      <c r="V835" s="25"/>
      <c r="W835" s="25"/>
      <c r="X835" s="25"/>
      <c r="Y835" s="25"/>
      <c r="Z835" s="25"/>
    </row>
    <row r="836">
      <c r="U836" s="25"/>
      <c r="V836" s="25"/>
      <c r="W836" s="25"/>
      <c r="X836" s="25"/>
      <c r="Y836" s="25"/>
      <c r="Z836" s="25"/>
    </row>
    <row r="837">
      <c r="U837" s="25"/>
      <c r="V837" s="25"/>
      <c r="W837" s="25"/>
      <c r="X837" s="25"/>
      <c r="Y837" s="25"/>
      <c r="Z837" s="25"/>
    </row>
    <row r="838">
      <c r="U838" s="25"/>
      <c r="V838" s="25"/>
      <c r="W838" s="25"/>
      <c r="X838" s="25"/>
      <c r="Y838" s="25"/>
      <c r="Z838" s="25"/>
    </row>
    <row r="839">
      <c r="U839" s="25"/>
      <c r="V839" s="25"/>
      <c r="W839" s="25"/>
      <c r="X839" s="25"/>
      <c r="Y839" s="25"/>
      <c r="Z839" s="25"/>
    </row>
    <row r="840">
      <c r="U840" s="25"/>
      <c r="V840" s="25"/>
      <c r="W840" s="25"/>
      <c r="X840" s="25"/>
      <c r="Y840" s="25"/>
      <c r="Z840" s="25"/>
    </row>
    <row r="841">
      <c r="U841" s="25"/>
      <c r="V841" s="25"/>
      <c r="W841" s="25"/>
      <c r="X841" s="25"/>
      <c r="Y841" s="25"/>
      <c r="Z841" s="25"/>
    </row>
    <row r="842">
      <c r="U842" s="25"/>
      <c r="V842" s="25"/>
      <c r="W842" s="25"/>
      <c r="X842" s="25"/>
      <c r="Y842" s="25"/>
      <c r="Z842" s="25"/>
    </row>
    <row r="843">
      <c r="U843" s="25"/>
      <c r="V843" s="25"/>
      <c r="W843" s="25"/>
      <c r="X843" s="25"/>
      <c r="Y843" s="25"/>
      <c r="Z843" s="25"/>
    </row>
    <row r="844">
      <c r="U844" s="25"/>
      <c r="V844" s="25"/>
      <c r="W844" s="25"/>
      <c r="X844" s="25"/>
      <c r="Y844" s="25"/>
      <c r="Z844" s="25"/>
    </row>
    <row r="845">
      <c r="U845" s="25"/>
      <c r="V845" s="25"/>
      <c r="W845" s="25"/>
      <c r="X845" s="25"/>
      <c r="Y845" s="25"/>
      <c r="Z845" s="25"/>
    </row>
    <row r="846">
      <c r="U846" s="25"/>
      <c r="V846" s="25"/>
      <c r="W846" s="25"/>
      <c r="X846" s="25"/>
      <c r="Y846" s="25"/>
      <c r="Z846" s="25"/>
    </row>
    <row r="847">
      <c r="U847" s="25"/>
      <c r="V847" s="25"/>
      <c r="W847" s="25"/>
      <c r="X847" s="25"/>
      <c r="Y847" s="25"/>
      <c r="Z847" s="25"/>
    </row>
    <row r="848">
      <c r="U848" s="25"/>
      <c r="V848" s="25"/>
      <c r="W848" s="25"/>
      <c r="X848" s="25"/>
      <c r="Y848" s="25"/>
      <c r="Z848" s="25"/>
    </row>
    <row r="849">
      <c r="U849" s="25"/>
      <c r="V849" s="25"/>
      <c r="W849" s="25"/>
      <c r="X849" s="25"/>
      <c r="Y849" s="25"/>
      <c r="Z849" s="25"/>
    </row>
    <row r="850">
      <c r="U850" s="25"/>
      <c r="V850" s="25"/>
      <c r="W850" s="25"/>
      <c r="X850" s="25"/>
      <c r="Y850" s="25"/>
      <c r="Z850" s="25"/>
    </row>
    <row r="851">
      <c r="U851" s="25"/>
      <c r="V851" s="25"/>
      <c r="W851" s="25"/>
      <c r="X851" s="25"/>
      <c r="Y851" s="25"/>
      <c r="Z851" s="25"/>
    </row>
    <row r="852">
      <c r="U852" s="25"/>
      <c r="V852" s="25"/>
      <c r="W852" s="25"/>
      <c r="X852" s="25"/>
      <c r="Y852" s="25"/>
      <c r="Z852" s="25"/>
    </row>
    <row r="853">
      <c r="U853" s="25"/>
      <c r="V853" s="25"/>
      <c r="W853" s="25"/>
      <c r="X853" s="25"/>
      <c r="Y853" s="25"/>
      <c r="Z853" s="25"/>
    </row>
    <row r="854">
      <c r="U854" s="25"/>
      <c r="V854" s="25"/>
      <c r="W854" s="25"/>
      <c r="X854" s="25"/>
      <c r="Y854" s="25"/>
      <c r="Z854" s="25"/>
    </row>
    <row r="855">
      <c r="U855" s="25"/>
      <c r="V855" s="25"/>
      <c r="W855" s="25"/>
      <c r="X855" s="25"/>
      <c r="Y855" s="25"/>
      <c r="Z855" s="25"/>
    </row>
    <row r="856">
      <c r="U856" s="25"/>
      <c r="V856" s="25"/>
      <c r="W856" s="25"/>
      <c r="X856" s="25"/>
      <c r="Y856" s="25"/>
      <c r="Z856" s="25"/>
    </row>
    <row r="857">
      <c r="U857" s="25"/>
      <c r="V857" s="25"/>
      <c r="W857" s="25"/>
      <c r="X857" s="25"/>
      <c r="Y857" s="25"/>
      <c r="Z857" s="25"/>
    </row>
    <row r="858">
      <c r="U858" s="25"/>
      <c r="V858" s="25"/>
      <c r="W858" s="25"/>
      <c r="X858" s="25"/>
      <c r="Y858" s="25"/>
      <c r="Z858" s="25"/>
    </row>
    <row r="859">
      <c r="U859" s="25"/>
      <c r="V859" s="25"/>
      <c r="W859" s="25"/>
      <c r="X859" s="25"/>
      <c r="Y859" s="25"/>
      <c r="Z859" s="25"/>
    </row>
    <row r="860">
      <c r="U860" s="25"/>
      <c r="V860" s="25"/>
      <c r="W860" s="25"/>
      <c r="X860" s="25"/>
      <c r="Y860" s="25"/>
      <c r="Z860" s="25"/>
    </row>
    <row r="861">
      <c r="U861" s="25"/>
      <c r="V861" s="25"/>
      <c r="W861" s="25"/>
      <c r="X861" s="25"/>
      <c r="Y861" s="25"/>
      <c r="Z861" s="25"/>
    </row>
    <row r="862">
      <c r="U862" s="25"/>
      <c r="V862" s="25"/>
      <c r="W862" s="25"/>
      <c r="X862" s="25"/>
      <c r="Y862" s="25"/>
      <c r="Z862" s="25"/>
    </row>
    <row r="863">
      <c r="U863" s="25"/>
      <c r="V863" s="25"/>
      <c r="W863" s="25"/>
      <c r="X863" s="25"/>
      <c r="Y863" s="25"/>
      <c r="Z863" s="25"/>
    </row>
    <row r="864">
      <c r="U864" s="25"/>
      <c r="V864" s="25"/>
      <c r="W864" s="25"/>
      <c r="X864" s="25"/>
      <c r="Y864" s="25"/>
      <c r="Z864" s="25"/>
    </row>
    <row r="865">
      <c r="U865" s="25"/>
      <c r="V865" s="25"/>
      <c r="W865" s="25"/>
      <c r="X865" s="25"/>
      <c r="Y865" s="25"/>
      <c r="Z865" s="25"/>
    </row>
    <row r="866">
      <c r="U866" s="25"/>
      <c r="V866" s="25"/>
      <c r="W866" s="25"/>
      <c r="X866" s="25"/>
      <c r="Y866" s="25"/>
      <c r="Z866" s="25"/>
    </row>
    <row r="867">
      <c r="U867" s="25"/>
      <c r="V867" s="25"/>
      <c r="W867" s="25"/>
      <c r="X867" s="25"/>
      <c r="Y867" s="25"/>
      <c r="Z867" s="25"/>
    </row>
    <row r="868">
      <c r="U868" s="25"/>
      <c r="V868" s="25"/>
      <c r="W868" s="25"/>
      <c r="X868" s="25"/>
      <c r="Y868" s="25"/>
      <c r="Z868" s="25"/>
    </row>
    <row r="869">
      <c r="U869" s="25"/>
      <c r="V869" s="25"/>
      <c r="W869" s="25"/>
      <c r="X869" s="25"/>
      <c r="Y869" s="25"/>
      <c r="Z869" s="25"/>
    </row>
    <row r="870">
      <c r="U870" s="25"/>
      <c r="V870" s="25"/>
      <c r="W870" s="25"/>
      <c r="X870" s="25"/>
      <c r="Y870" s="25"/>
      <c r="Z870" s="25"/>
    </row>
    <row r="871">
      <c r="U871" s="25"/>
      <c r="V871" s="25"/>
      <c r="W871" s="25"/>
      <c r="X871" s="25"/>
      <c r="Y871" s="25"/>
      <c r="Z871" s="25"/>
    </row>
    <row r="872">
      <c r="U872" s="25"/>
      <c r="V872" s="25"/>
      <c r="W872" s="25"/>
      <c r="X872" s="25"/>
      <c r="Y872" s="25"/>
      <c r="Z872" s="25"/>
    </row>
    <row r="873">
      <c r="U873" s="25"/>
      <c r="V873" s="25"/>
      <c r="W873" s="25"/>
      <c r="X873" s="25"/>
      <c r="Y873" s="25"/>
      <c r="Z873" s="25"/>
    </row>
    <row r="874">
      <c r="U874" s="25"/>
      <c r="V874" s="25"/>
      <c r="W874" s="25"/>
      <c r="X874" s="25"/>
      <c r="Y874" s="25"/>
      <c r="Z874" s="25"/>
    </row>
    <row r="875">
      <c r="U875" s="25"/>
      <c r="V875" s="25"/>
      <c r="W875" s="25"/>
      <c r="X875" s="25"/>
      <c r="Y875" s="25"/>
      <c r="Z875" s="25"/>
    </row>
    <row r="876">
      <c r="U876" s="25"/>
      <c r="V876" s="25"/>
      <c r="W876" s="25"/>
      <c r="X876" s="25"/>
      <c r="Y876" s="25"/>
      <c r="Z876" s="25"/>
    </row>
    <row r="877">
      <c r="U877" s="25"/>
      <c r="V877" s="25"/>
      <c r="W877" s="25"/>
      <c r="X877" s="25"/>
      <c r="Y877" s="25"/>
      <c r="Z877" s="25"/>
    </row>
    <row r="878">
      <c r="U878" s="25"/>
      <c r="V878" s="25"/>
      <c r="W878" s="25"/>
      <c r="X878" s="25"/>
      <c r="Y878" s="25"/>
      <c r="Z878" s="25"/>
    </row>
    <row r="879">
      <c r="U879" s="25"/>
      <c r="V879" s="25"/>
      <c r="W879" s="25"/>
      <c r="X879" s="25"/>
      <c r="Y879" s="25"/>
      <c r="Z879" s="25"/>
    </row>
    <row r="880">
      <c r="U880" s="25"/>
      <c r="V880" s="25"/>
      <c r="W880" s="25"/>
      <c r="X880" s="25"/>
      <c r="Y880" s="25"/>
      <c r="Z880" s="25"/>
    </row>
    <row r="881">
      <c r="U881" s="25"/>
      <c r="V881" s="25"/>
      <c r="W881" s="25"/>
      <c r="X881" s="25"/>
      <c r="Y881" s="25"/>
      <c r="Z881" s="25"/>
    </row>
    <row r="882">
      <c r="U882" s="25"/>
      <c r="V882" s="25"/>
      <c r="W882" s="25"/>
      <c r="X882" s="25"/>
      <c r="Y882" s="25"/>
      <c r="Z882" s="25"/>
    </row>
    <row r="883">
      <c r="U883" s="25"/>
      <c r="V883" s="25"/>
      <c r="W883" s="25"/>
      <c r="X883" s="25"/>
      <c r="Y883" s="25"/>
      <c r="Z883" s="25"/>
    </row>
    <row r="884">
      <c r="U884" s="25"/>
      <c r="V884" s="25"/>
      <c r="W884" s="25"/>
      <c r="X884" s="25"/>
      <c r="Y884" s="25"/>
      <c r="Z884" s="25"/>
    </row>
    <row r="885">
      <c r="U885" s="25"/>
      <c r="V885" s="25"/>
      <c r="W885" s="25"/>
      <c r="X885" s="25"/>
      <c r="Y885" s="25"/>
      <c r="Z885" s="25"/>
    </row>
    <row r="886">
      <c r="U886" s="25"/>
      <c r="V886" s="25"/>
      <c r="W886" s="25"/>
      <c r="X886" s="25"/>
      <c r="Y886" s="25"/>
      <c r="Z886" s="25"/>
    </row>
    <row r="887">
      <c r="U887" s="25"/>
      <c r="V887" s="25"/>
      <c r="W887" s="25"/>
      <c r="X887" s="25"/>
      <c r="Y887" s="25"/>
      <c r="Z887" s="25"/>
    </row>
    <row r="888">
      <c r="U888" s="25"/>
      <c r="V888" s="25"/>
      <c r="W888" s="25"/>
      <c r="X888" s="25"/>
      <c r="Y888" s="25"/>
      <c r="Z888" s="25"/>
    </row>
    <row r="889">
      <c r="U889" s="25"/>
      <c r="V889" s="25"/>
      <c r="W889" s="25"/>
      <c r="X889" s="25"/>
      <c r="Y889" s="25"/>
      <c r="Z889" s="25"/>
    </row>
    <row r="890">
      <c r="U890" s="25"/>
      <c r="V890" s="25"/>
      <c r="W890" s="25"/>
      <c r="X890" s="25"/>
      <c r="Y890" s="25"/>
      <c r="Z890" s="25"/>
    </row>
    <row r="891">
      <c r="U891" s="25"/>
      <c r="V891" s="25"/>
      <c r="W891" s="25"/>
      <c r="X891" s="25"/>
      <c r="Y891" s="25"/>
      <c r="Z891" s="25"/>
    </row>
    <row r="892">
      <c r="U892" s="25"/>
      <c r="V892" s="25"/>
      <c r="W892" s="25"/>
      <c r="X892" s="25"/>
      <c r="Y892" s="25"/>
      <c r="Z892" s="25"/>
    </row>
    <row r="893">
      <c r="U893" s="25"/>
      <c r="V893" s="25"/>
      <c r="W893" s="25"/>
      <c r="X893" s="25"/>
      <c r="Y893" s="25"/>
      <c r="Z893" s="25"/>
    </row>
    <row r="894">
      <c r="U894" s="25"/>
      <c r="V894" s="25"/>
      <c r="W894" s="25"/>
      <c r="X894" s="25"/>
      <c r="Y894" s="25"/>
      <c r="Z894" s="25"/>
    </row>
    <row r="895">
      <c r="U895" s="25"/>
      <c r="V895" s="25"/>
      <c r="W895" s="25"/>
      <c r="X895" s="25"/>
      <c r="Y895" s="25"/>
      <c r="Z895" s="25"/>
    </row>
    <row r="896">
      <c r="U896" s="25"/>
      <c r="V896" s="25"/>
      <c r="W896" s="25"/>
      <c r="X896" s="25"/>
      <c r="Y896" s="25"/>
      <c r="Z896" s="25"/>
    </row>
    <row r="897">
      <c r="U897" s="25"/>
      <c r="V897" s="25"/>
      <c r="W897" s="25"/>
      <c r="X897" s="25"/>
      <c r="Y897" s="25"/>
      <c r="Z897" s="25"/>
    </row>
    <row r="898">
      <c r="U898" s="25"/>
      <c r="V898" s="25"/>
      <c r="W898" s="25"/>
      <c r="X898" s="25"/>
      <c r="Y898" s="25"/>
      <c r="Z898" s="25"/>
    </row>
    <row r="899">
      <c r="U899" s="25"/>
      <c r="V899" s="25"/>
      <c r="W899" s="25"/>
      <c r="X899" s="25"/>
      <c r="Y899" s="25"/>
      <c r="Z899" s="25"/>
    </row>
    <row r="900">
      <c r="U900" s="25"/>
      <c r="V900" s="25"/>
      <c r="W900" s="25"/>
      <c r="X900" s="25"/>
      <c r="Y900" s="25"/>
      <c r="Z900" s="25"/>
    </row>
    <row r="901">
      <c r="U901" s="25"/>
      <c r="V901" s="25"/>
      <c r="W901" s="25"/>
      <c r="X901" s="25"/>
      <c r="Y901" s="25"/>
      <c r="Z901" s="25"/>
    </row>
    <row r="902">
      <c r="U902" s="25"/>
      <c r="V902" s="25"/>
      <c r="W902" s="25"/>
      <c r="X902" s="25"/>
      <c r="Y902" s="25"/>
      <c r="Z902" s="25"/>
    </row>
    <row r="903">
      <c r="U903" s="25"/>
      <c r="V903" s="25"/>
      <c r="W903" s="25"/>
      <c r="X903" s="25"/>
      <c r="Y903" s="25"/>
      <c r="Z903" s="25"/>
    </row>
    <row r="904">
      <c r="U904" s="25"/>
      <c r="V904" s="25"/>
      <c r="W904" s="25"/>
      <c r="X904" s="25"/>
      <c r="Y904" s="25"/>
      <c r="Z904" s="25"/>
    </row>
    <row r="905">
      <c r="U905" s="25"/>
      <c r="V905" s="25"/>
      <c r="W905" s="25"/>
      <c r="X905" s="25"/>
      <c r="Y905" s="25"/>
      <c r="Z905" s="25"/>
    </row>
    <row r="906">
      <c r="U906" s="25"/>
      <c r="V906" s="25"/>
      <c r="W906" s="25"/>
      <c r="X906" s="25"/>
      <c r="Y906" s="25"/>
      <c r="Z906" s="25"/>
    </row>
    <row r="907">
      <c r="U907" s="25"/>
      <c r="V907" s="25"/>
      <c r="W907" s="25"/>
      <c r="X907" s="25"/>
      <c r="Y907" s="25"/>
      <c r="Z907" s="25"/>
    </row>
    <row r="908">
      <c r="U908" s="25"/>
      <c r="V908" s="25"/>
      <c r="W908" s="25"/>
      <c r="X908" s="25"/>
      <c r="Y908" s="25"/>
      <c r="Z908" s="25"/>
    </row>
    <row r="909">
      <c r="U909" s="25"/>
      <c r="V909" s="25"/>
      <c r="W909" s="25"/>
      <c r="X909" s="25"/>
      <c r="Y909" s="25"/>
      <c r="Z909" s="25"/>
    </row>
    <row r="910">
      <c r="U910" s="25"/>
      <c r="V910" s="25"/>
      <c r="W910" s="25"/>
      <c r="X910" s="25"/>
      <c r="Y910" s="25"/>
      <c r="Z910" s="25"/>
    </row>
    <row r="911">
      <c r="U911" s="25"/>
      <c r="V911" s="25"/>
      <c r="W911" s="25"/>
      <c r="X911" s="25"/>
      <c r="Y911" s="25"/>
      <c r="Z911" s="25"/>
    </row>
    <row r="912">
      <c r="U912" s="25"/>
      <c r="V912" s="25"/>
      <c r="W912" s="25"/>
      <c r="X912" s="25"/>
      <c r="Y912" s="25"/>
      <c r="Z912" s="25"/>
    </row>
    <row r="913">
      <c r="U913" s="25"/>
      <c r="V913" s="25"/>
      <c r="W913" s="25"/>
      <c r="X913" s="25"/>
      <c r="Y913" s="25"/>
      <c r="Z913" s="25"/>
    </row>
    <row r="914">
      <c r="U914" s="25"/>
      <c r="V914" s="25"/>
      <c r="W914" s="25"/>
      <c r="X914" s="25"/>
      <c r="Y914" s="25"/>
      <c r="Z914" s="25"/>
    </row>
    <row r="915">
      <c r="U915" s="25"/>
      <c r="V915" s="25"/>
      <c r="W915" s="25"/>
      <c r="X915" s="25"/>
      <c r="Y915" s="25"/>
      <c r="Z915" s="25"/>
    </row>
    <row r="916">
      <c r="U916" s="25"/>
      <c r="V916" s="25"/>
      <c r="W916" s="25"/>
      <c r="X916" s="25"/>
      <c r="Y916" s="25"/>
      <c r="Z916" s="25"/>
    </row>
    <row r="917">
      <c r="U917" s="25"/>
      <c r="V917" s="25"/>
      <c r="W917" s="25"/>
      <c r="X917" s="25"/>
      <c r="Y917" s="25"/>
      <c r="Z917" s="25"/>
    </row>
    <row r="918">
      <c r="U918" s="25"/>
      <c r="V918" s="25"/>
      <c r="W918" s="25"/>
      <c r="X918" s="25"/>
      <c r="Y918" s="25"/>
      <c r="Z918" s="25"/>
    </row>
    <row r="919">
      <c r="U919" s="25"/>
      <c r="V919" s="25"/>
      <c r="W919" s="25"/>
      <c r="X919" s="25"/>
      <c r="Y919" s="25"/>
      <c r="Z919" s="25"/>
    </row>
    <row r="920">
      <c r="U920" s="25"/>
      <c r="V920" s="25"/>
      <c r="W920" s="25"/>
      <c r="X920" s="25"/>
      <c r="Y920" s="25"/>
      <c r="Z920" s="25"/>
    </row>
    <row r="921">
      <c r="U921" s="25"/>
      <c r="V921" s="25"/>
      <c r="W921" s="25"/>
      <c r="X921" s="25"/>
      <c r="Y921" s="25"/>
      <c r="Z921" s="25"/>
    </row>
    <row r="922">
      <c r="U922" s="25"/>
      <c r="V922" s="25"/>
      <c r="W922" s="25"/>
      <c r="X922" s="25"/>
      <c r="Y922" s="25"/>
      <c r="Z922" s="25"/>
    </row>
    <row r="923">
      <c r="U923" s="25"/>
      <c r="V923" s="25"/>
      <c r="W923" s="25"/>
      <c r="X923" s="25"/>
      <c r="Y923" s="25"/>
      <c r="Z923" s="25"/>
    </row>
    <row r="924">
      <c r="U924" s="25"/>
      <c r="V924" s="25"/>
      <c r="W924" s="25"/>
      <c r="X924" s="25"/>
      <c r="Y924" s="25"/>
      <c r="Z924" s="25"/>
    </row>
    <row r="925">
      <c r="U925" s="25"/>
      <c r="V925" s="25"/>
      <c r="W925" s="25"/>
      <c r="X925" s="25"/>
      <c r="Y925" s="25"/>
      <c r="Z925" s="25"/>
    </row>
    <row r="926">
      <c r="U926" s="25"/>
      <c r="V926" s="25"/>
      <c r="W926" s="25"/>
      <c r="X926" s="25"/>
      <c r="Y926" s="25"/>
      <c r="Z926" s="25"/>
    </row>
    <row r="927">
      <c r="U927" s="25"/>
      <c r="V927" s="25"/>
      <c r="W927" s="25"/>
      <c r="X927" s="25"/>
      <c r="Y927" s="25"/>
      <c r="Z927" s="25"/>
    </row>
    <row r="928">
      <c r="U928" s="25"/>
      <c r="V928" s="25"/>
      <c r="W928" s="25"/>
      <c r="X928" s="25"/>
      <c r="Y928" s="25"/>
      <c r="Z928" s="25"/>
    </row>
    <row r="929">
      <c r="U929" s="25"/>
      <c r="V929" s="25"/>
      <c r="W929" s="25"/>
      <c r="X929" s="25"/>
      <c r="Y929" s="25"/>
      <c r="Z929" s="25"/>
    </row>
    <row r="930">
      <c r="U930" s="25"/>
      <c r="V930" s="25"/>
      <c r="W930" s="25"/>
      <c r="X930" s="25"/>
      <c r="Y930" s="25"/>
      <c r="Z930" s="25"/>
    </row>
    <row r="931">
      <c r="U931" s="25"/>
      <c r="V931" s="25"/>
      <c r="W931" s="25"/>
      <c r="X931" s="25"/>
      <c r="Y931" s="25"/>
      <c r="Z931" s="25"/>
    </row>
    <row r="932">
      <c r="U932" s="25"/>
      <c r="V932" s="25"/>
      <c r="W932" s="25"/>
      <c r="X932" s="25"/>
      <c r="Y932" s="25"/>
      <c r="Z932" s="25"/>
    </row>
    <row r="933">
      <c r="U933" s="25"/>
      <c r="V933" s="25"/>
      <c r="W933" s="25"/>
      <c r="X933" s="25"/>
      <c r="Y933" s="25"/>
      <c r="Z933" s="25"/>
    </row>
    <row r="934">
      <c r="U934" s="25"/>
      <c r="V934" s="25"/>
      <c r="W934" s="25"/>
      <c r="X934" s="25"/>
      <c r="Y934" s="25"/>
      <c r="Z934" s="25"/>
    </row>
    <row r="935">
      <c r="U935" s="25"/>
      <c r="V935" s="25"/>
      <c r="W935" s="25"/>
      <c r="X935" s="25"/>
      <c r="Y935" s="25"/>
      <c r="Z935" s="25"/>
    </row>
    <row r="936">
      <c r="U936" s="25"/>
      <c r="V936" s="25"/>
      <c r="W936" s="25"/>
      <c r="X936" s="25"/>
      <c r="Y936" s="25"/>
      <c r="Z936" s="25"/>
    </row>
    <row r="937">
      <c r="U937" s="25"/>
      <c r="V937" s="25"/>
      <c r="W937" s="25"/>
      <c r="X937" s="25"/>
      <c r="Y937" s="25"/>
      <c r="Z937" s="25"/>
    </row>
    <row r="938">
      <c r="U938" s="25"/>
      <c r="V938" s="25"/>
      <c r="W938" s="25"/>
      <c r="X938" s="25"/>
      <c r="Y938" s="25"/>
      <c r="Z938" s="25"/>
    </row>
    <row r="939">
      <c r="U939" s="25"/>
      <c r="V939" s="25"/>
      <c r="W939" s="25"/>
      <c r="X939" s="25"/>
      <c r="Y939" s="25"/>
      <c r="Z939" s="25"/>
    </row>
    <row r="940">
      <c r="U940" s="25"/>
      <c r="V940" s="25"/>
      <c r="W940" s="25"/>
      <c r="X940" s="25"/>
      <c r="Y940" s="25"/>
      <c r="Z940" s="25"/>
    </row>
    <row r="941">
      <c r="U941" s="25"/>
      <c r="V941" s="25"/>
      <c r="W941" s="25"/>
      <c r="X941" s="25"/>
      <c r="Y941" s="25"/>
      <c r="Z941" s="25"/>
    </row>
    <row r="942">
      <c r="U942" s="25"/>
      <c r="V942" s="25"/>
      <c r="W942" s="25"/>
      <c r="X942" s="25"/>
      <c r="Y942" s="25"/>
      <c r="Z942" s="25"/>
    </row>
    <row r="943">
      <c r="U943" s="25"/>
      <c r="V943" s="25"/>
      <c r="W943" s="25"/>
      <c r="X943" s="25"/>
      <c r="Y943" s="25"/>
      <c r="Z943" s="25"/>
    </row>
    <row r="944">
      <c r="U944" s="25"/>
      <c r="V944" s="25"/>
      <c r="W944" s="25"/>
      <c r="X944" s="25"/>
      <c r="Y944" s="25"/>
      <c r="Z944" s="25"/>
    </row>
    <row r="945">
      <c r="U945" s="25"/>
      <c r="V945" s="25"/>
      <c r="W945" s="25"/>
      <c r="X945" s="25"/>
      <c r="Y945" s="25"/>
      <c r="Z945" s="25"/>
    </row>
    <row r="946">
      <c r="U946" s="25"/>
      <c r="V946" s="25"/>
      <c r="W946" s="25"/>
      <c r="X946" s="25"/>
      <c r="Y946" s="25"/>
      <c r="Z946" s="25"/>
    </row>
    <row r="947">
      <c r="U947" s="25"/>
      <c r="V947" s="25"/>
      <c r="W947" s="25"/>
      <c r="X947" s="25"/>
      <c r="Y947" s="25"/>
      <c r="Z947" s="25"/>
    </row>
    <row r="948">
      <c r="U948" s="25"/>
      <c r="V948" s="25"/>
      <c r="W948" s="25"/>
      <c r="X948" s="25"/>
      <c r="Y948" s="25"/>
      <c r="Z948" s="25"/>
    </row>
    <row r="949">
      <c r="U949" s="25"/>
      <c r="V949" s="25"/>
      <c r="W949" s="25"/>
      <c r="X949" s="25"/>
      <c r="Y949" s="25"/>
      <c r="Z949" s="25"/>
    </row>
    <row r="950">
      <c r="U950" s="25"/>
      <c r="V950" s="25"/>
      <c r="W950" s="25"/>
      <c r="X950" s="25"/>
      <c r="Y950" s="25"/>
      <c r="Z950" s="25"/>
    </row>
    <row r="951">
      <c r="U951" s="25"/>
      <c r="V951" s="25"/>
      <c r="W951" s="25"/>
      <c r="X951" s="25"/>
      <c r="Y951" s="25"/>
      <c r="Z951" s="25"/>
    </row>
    <row r="952">
      <c r="U952" s="25"/>
      <c r="V952" s="25"/>
      <c r="W952" s="25"/>
      <c r="X952" s="25"/>
      <c r="Y952" s="25"/>
      <c r="Z952" s="25"/>
    </row>
    <row r="953">
      <c r="U953" s="25"/>
      <c r="V953" s="25"/>
      <c r="W953" s="25"/>
      <c r="X953" s="25"/>
      <c r="Y953" s="25"/>
      <c r="Z953" s="25"/>
    </row>
    <row r="954">
      <c r="U954" s="25"/>
      <c r="V954" s="25"/>
      <c r="W954" s="25"/>
      <c r="X954" s="25"/>
      <c r="Y954" s="25"/>
      <c r="Z954" s="25"/>
    </row>
    <row r="955">
      <c r="U955" s="25"/>
      <c r="V955" s="25"/>
      <c r="W955" s="25"/>
      <c r="X955" s="25"/>
      <c r="Y955" s="25"/>
      <c r="Z955" s="25"/>
    </row>
    <row r="956">
      <c r="U956" s="25"/>
      <c r="V956" s="25"/>
      <c r="W956" s="25"/>
      <c r="X956" s="25"/>
      <c r="Y956" s="25"/>
      <c r="Z956" s="25"/>
    </row>
    <row r="957">
      <c r="U957" s="25"/>
      <c r="V957" s="25"/>
      <c r="W957" s="25"/>
      <c r="X957" s="25"/>
      <c r="Y957" s="25"/>
      <c r="Z957" s="25"/>
    </row>
    <row r="958">
      <c r="U958" s="25"/>
      <c r="V958" s="25"/>
      <c r="W958" s="25"/>
      <c r="X958" s="25"/>
      <c r="Y958" s="25"/>
      <c r="Z958" s="25"/>
    </row>
    <row r="959">
      <c r="U959" s="25"/>
      <c r="V959" s="25"/>
      <c r="W959" s="25"/>
      <c r="X959" s="25"/>
      <c r="Y959" s="25"/>
      <c r="Z959" s="25"/>
    </row>
    <row r="960">
      <c r="U960" s="25"/>
      <c r="V960" s="25"/>
      <c r="W960" s="25"/>
      <c r="X960" s="25"/>
      <c r="Y960" s="25"/>
      <c r="Z960" s="25"/>
    </row>
    <row r="961">
      <c r="U961" s="25"/>
      <c r="V961" s="25"/>
      <c r="W961" s="25"/>
      <c r="X961" s="25"/>
      <c r="Y961" s="25"/>
      <c r="Z961" s="25"/>
    </row>
    <row r="962">
      <c r="U962" s="25"/>
      <c r="V962" s="25"/>
      <c r="W962" s="25"/>
      <c r="X962" s="25"/>
      <c r="Y962" s="25"/>
      <c r="Z962" s="25"/>
    </row>
    <row r="963">
      <c r="U963" s="25"/>
      <c r="V963" s="25"/>
      <c r="W963" s="25"/>
      <c r="X963" s="25"/>
      <c r="Y963" s="25"/>
      <c r="Z963" s="25"/>
    </row>
    <row r="964">
      <c r="U964" s="25"/>
      <c r="V964" s="25"/>
      <c r="W964" s="25"/>
      <c r="X964" s="25"/>
      <c r="Y964" s="25"/>
      <c r="Z964" s="25"/>
    </row>
    <row r="965">
      <c r="U965" s="25"/>
      <c r="V965" s="25"/>
      <c r="W965" s="25"/>
      <c r="X965" s="25"/>
      <c r="Y965" s="25"/>
      <c r="Z965" s="25"/>
    </row>
    <row r="966">
      <c r="U966" s="25"/>
      <c r="V966" s="25"/>
      <c r="W966" s="25"/>
      <c r="X966" s="25"/>
      <c r="Y966" s="25"/>
      <c r="Z966" s="25"/>
    </row>
    <row r="967">
      <c r="U967" s="25"/>
      <c r="V967" s="25"/>
      <c r="W967" s="25"/>
      <c r="X967" s="25"/>
      <c r="Y967" s="25"/>
      <c r="Z967" s="25"/>
    </row>
    <row r="968">
      <c r="U968" s="25"/>
      <c r="V968" s="25"/>
      <c r="W968" s="25"/>
      <c r="X968" s="25"/>
      <c r="Y968" s="25"/>
      <c r="Z968" s="25"/>
    </row>
    <row r="969">
      <c r="U969" s="25"/>
      <c r="V969" s="25"/>
      <c r="W969" s="25"/>
      <c r="X969" s="25"/>
      <c r="Y969" s="25"/>
      <c r="Z969" s="25"/>
    </row>
    <row r="970">
      <c r="U970" s="25"/>
      <c r="V970" s="25"/>
      <c r="W970" s="25"/>
      <c r="X970" s="25"/>
      <c r="Y970" s="25"/>
      <c r="Z970" s="25"/>
    </row>
    <row r="971">
      <c r="U971" s="25"/>
      <c r="V971" s="25"/>
      <c r="W971" s="25"/>
      <c r="X971" s="25"/>
      <c r="Y971" s="25"/>
      <c r="Z971" s="25"/>
    </row>
    <row r="972">
      <c r="U972" s="25"/>
      <c r="V972" s="25"/>
      <c r="W972" s="25"/>
      <c r="X972" s="25"/>
      <c r="Y972" s="25"/>
      <c r="Z972" s="25"/>
    </row>
    <row r="973">
      <c r="U973" s="25"/>
      <c r="V973" s="25"/>
      <c r="W973" s="25"/>
      <c r="X973" s="25"/>
      <c r="Y973" s="25"/>
      <c r="Z973" s="25"/>
    </row>
    <row r="974">
      <c r="U974" s="25"/>
      <c r="V974" s="25"/>
      <c r="W974" s="25"/>
      <c r="X974" s="25"/>
      <c r="Y974" s="25"/>
      <c r="Z974" s="25"/>
    </row>
    <row r="975">
      <c r="U975" s="25"/>
      <c r="V975" s="25"/>
      <c r="W975" s="25"/>
      <c r="X975" s="25"/>
      <c r="Y975" s="25"/>
      <c r="Z975" s="25"/>
    </row>
    <row r="976">
      <c r="U976" s="25"/>
      <c r="V976" s="25"/>
      <c r="W976" s="25"/>
      <c r="X976" s="25"/>
      <c r="Y976" s="25"/>
      <c r="Z976" s="25"/>
    </row>
    <row r="977">
      <c r="U977" s="25"/>
      <c r="V977" s="25"/>
      <c r="W977" s="25"/>
      <c r="X977" s="25"/>
      <c r="Y977" s="25"/>
      <c r="Z977" s="25"/>
    </row>
    <row r="978">
      <c r="U978" s="25"/>
      <c r="V978" s="25"/>
      <c r="W978" s="25"/>
      <c r="X978" s="25"/>
      <c r="Y978" s="25"/>
      <c r="Z978" s="25"/>
    </row>
    <row r="979">
      <c r="U979" s="25"/>
      <c r="V979" s="25"/>
      <c r="W979" s="25"/>
      <c r="X979" s="25"/>
      <c r="Y979" s="25"/>
      <c r="Z979" s="25"/>
    </row>
    <row r="980">
      <c r="U980" s="25"/>
      <c r="V980" s="25"/>
      <c r="W980" s="25"/>
      <c r="X980" s="25"/>
      <c r="Y980" s="25"/>
      <c r="Z980" s="25"/>
    </row>
    <row r="981">
      <c r="U981" s="25"/>
      <c r="V981" s="25"/>
      <c r="W981" s="25"/>
      <c r="X981" s="25"/>
      <c r="Y981" s="25"/>
      <c r="Z981" s="25"/>
    </row>
    <row r="982">
      <c r="U982" s="25"/>
      <c r="V982" s="25"/>
      <c r="W982" s="25"/>
      <c r="X982" s="25"/>
      <c r="Y982" s="25"/>
      <c r="Z982" s="25"/>
    </row>
    <row r="983">
      <c r="U983" s="25"/>
      <c r="V983" s="25"/>
      <c r="W983" s="25"/>
      <c r="X983" s="25"/>
      <c r="Y983" s="25"/>
      <c r="Z983" s="25"/>
    </row>
    <row r="984">
      <c r="U984" s="25"/>
      <c r="V984" s="25"/>
      <c r="W984" s="25"/>
      <c r="X984" s="25"/>
      <c r="Y984" s="25"/>
      <c r="Z984" s="25"/>
    </row>
    <row r="985">
      <c r="U985" s="25"/>
      <c r="V985" s="25"/>
      <c r="W985" s="25"/>
      <c r="X985" s="25"/>
      <c r="Y985" s="25"/>
      <c r="Z985" s="25"/>
    </row>
    <row r="986">
      <c r="U986" s="25"/>
      <c r="V986" s="25"/>
      <c r="W986" s="25"/>
      <c r="X986" s="25"/>
      <c r="Y986" s="25"/>
      <c r="Z986" s="25"/>
    </row>
    <row r="987">
      <c r="U987" s="25"/>
      <c r="V987" s="25"/>
      <c r="W987" s="25"/>
      <c r="X987" s="25"/>
      <c r="Y987" s="25"/>
      <c r="Z987" s="25"/>
    </row>
    <row r="988">
      <c r="U988" s="25"/>
      <c r="V988" s="25"/>
      <c r="W988" s="25"/>
      <c r="X988" s="25"/>
      <c r="Y988" s="25"/>
      <c r="Z988" s="25"/>
    </row>
    <row r="989">
      <c r="U989" s="25"/>
      <c r="V989" s="25"/>
      <c r="W989" s="25"/>
      <c r="X989" s="25"/>
      <c r="Y989" s="25"/>
      <c r="Z989" s="25"/>
    </row>
    <row r="990">
      <c r="U990" s="25"/>
      <c r="V990" s="25"/>
      <c r="W990" s="25"/>
      <c r="X990" s="25"/>
      <c r="Y990" s="25"/>
      <c r="Z990" s="25"/>
    </row>
    <row r="991">
      <c r="U991" s="25"/>
      <c r="V991" s="25"/>
      <c r="W991" s="25"/>
      <c r="X991" s="25"/>
      <c r="Y991" s="25"/>
      <c r="Z991" s="25"/>
    </row>
    <row r="992">
      <c r="U992" s="25"/>
      <c r="V992" s="25"/>
      <c r="W992" s="25"/>
      <c r="X992" s="25"/>
      <c r="Y992" s="25"/>
      <c r="Z992" s="25"/>
    </row>
    <row r="993">
      <c r="U993" s="25"/>
      <c r="V993" s="25"/>
      <c r="W993" s="25"/>
      <c r="X993" s="25"/>
      <c r="Y993" s="25"/>
      <c r="Z993" s="25"/>
    </row>
    <row r="994">
      <c r="U994" s="25"/>
      <c r="V994" s="25"/>
      <c r="W994" s="25"/>
      <c r="X994" s="25"/>
      <c r="Y994" s="25"/>
      <c r="Z994" s="25"/>
    </row>
    <row r="995">
      <c r="U995" s="25"/>
      <c r="V995" s="25"/>
      <c r="W995" s="25"/>
      <c r="X995" s="25"/>
      <c r="Y995" s="25"/>
      <c r="Z995" s="25"/>
    </row>
    <row r="996">
      <c r="U996" s="25"/>
      <c r="V996" s="25"/>
      <c r="W996" s="25"/>
      <c r="X996" s="25"/>
      <c r="Y996" s="25"/>
      <c r="Z996" s="25"/>
    </row>
    <row r="997">
      <c r="U997" s="25"/>
      <c r="V997" s="25"/>
      <c r="W997" s="25"/>
      <c r="X997" s="25"/>
      <c r="Y997" s="25"/>
      <c r="Z997" s="25"/>
    </row>
    <row r="998">
      <c r="U998" s="25"/>
      <c r="V998" s="25"/>
      <c r="W998" s="25"/>
      <c r="X998" s="25"/>
      <c r="Y998" s="25"/>
      <c r="Z998" s="25"/>
    </row>
    <row r="999">
      <c r="U999" s="25"/>
      <c r="V999" s="25"/>
      <c r="W999" s="25"/>
      <c r="X999" s="25"/>
      <c r="Y999" s="25"/>
      <c r="Z999" s="25"/>
    </row>
    <row r="1000">
      <c r="U1000" s="25"/>
      <c r="V1000" s="25"/>
      <c r="W1000" s="25"/>
      <c r="X1000" s="25"/>
      <c r="Y1000" s="25"/>
      <c r="Z1000" s="25"/>
    </row>
    <row r="1001">
      <c r="U1001" s="25"/>
      <c r="V1001" s="25"/>
      <c r="W1001" s="25"/>
      <c r="X1001" s="25"/>
      <c r="Y1001" s="25"/>
      <c r="Z1001" s="25"/>
    </row>
  </sheetData>
  <conditionalFormatting sqref="A2:A263">
    <cfRule type="expression" dxfId="0" priority="1" operator="containsText">
      <formula>NOT(ISERROR(SEARCH((1),(A2))))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4</v>
      </c>
      <c r="B2" s="1">
        <v>3.0</v>
      </c>
      <c r="C2" s="1">
        <v>1.0</v>
      </c>
      <c r="D2" s="1">
        <v>1.0</v>
      </c>
      <c r="E2">
        <f t="shared" ref="E2:E262" si="1">D2+A2</f>
        <v>2</v>
      </c>
    </row>
    <row r="3">
      <c r="A3" s="1" t="s">
        <v>5</v>
      </c>
      <c r="B3" s="1">
        <v>2.0</v>
      </c>
      <c r="C3" s="1">
        <v>1.0</v>
      </c>
      <c r="D3" s="1">
        <v>1.0</v>
      </c>
      <c r="E3">
        <f t="shared" si="1"/>
        <v>1</v>
      </c>
    </row>
    <row r="4" hidden="1">
      <c r="A4" s="1" t="s">
        <v>4</v>
      </c>
      <c r="B4" s="1">
        <v>2.0</v>
      </c>
      <c r="C4" s="1">
        <v>2.0</v>
      </c>
      <c r="D4" s="1">
        <v>1.0</v>
      </c>
      <c r="E4">
        <f t="shared" si="1"/>
        <v>2</v>
      </c>
    </row>
    <row r="5" hidden="1">
      <c r="A5" s="1" t="s">
        <v>4</v>
      </c>
      <c r="B5" s="1">
        <v>5.0</v>
      </c>
      <c r="C5" s="1">
        <v>1.0</v>
      </c>
      <c r="D5" s="1">
        <v>2.0</v>
      </c>
      <c r="E5">
        <f t="shared" si="1"/>
        <v>3</v>
      </c>
    </row>
    <row r="6">
      <c r="A6" s="1" t="s">
        <v>5</v>
      </c>
      <c r="B6" s="1">
        <v>4.0</v>
      </c>
      <c r="C6" s="1">
        <v>1.0</v>
      </c>
      <c r="D6" s="1">
        <v>2.0</v>
      </c>
      <c r="E6">
        <f t="shared" si="1"/>
        <v>2</v>
      </c>
    </row>
    <row r="7" hidden="1">
      <c r="A7" s="1" t="s">
        <v>4</v>
      </c>
      <c r="B7" s="1">
        <v>4.0</v>
      </c>
      <c r="C7" s="1">
        <v>2.0</v>
      </c>
      <c r="D7" s="1">
        <v>2.0</v>
      </c>
      <c r="E7">
        <f t="shared" si="1"/>
        <v>3</v>
      </c>
    </row>
    <row r="8">
      <c r="A8" s="1" t="s">
        <v>5</v>
      </c>
      <c r="B8" s="1">
        <v>3.0</v>
      </c>
      <c r="C8" s="1">
        <v>2.0</v>
      </c>
      <c r="D8" s="1">
        <v>2.0</v>
      </c>
      <c r="E8">
        <f t="shared" si="1"/>
        <v>2</v>
      </c>
    </row>
    <row r="9" hidden="1">
      <c r="A9" s="1" t="s">
        <v>4</v>
      </c>
      <c r="B9" s="1">
        <v>3.0</v>
      </c>
      <c r="C9" s="1">
        <v>3.0</v>
      </c>
      <c r="D9" s="1">
        <v>2.0</v>
      </c>
      <c r="E9">
        <f t="shared" si="1"/>
        <v>3</v>
      </c>
    </row>
    <row r="10" hidden="1">
      <c r="A10" s="1" t="s">
        <v>4</v>
      </c>
      <c r="B10" s="1">
        <v>9.0</v>
      </c>
      <c r="C10" s="1">
        <v>1.0</v>
      </c>
      <c r="D10" s="1">
        <v>3.0</v>
      </c>
      <c r="E10">
        <f t="shared" si="1"/>
        <v>4</v>
      </c>
    </row>
    <row r="11">
      <c r="A11" s="1" t="s">
        <v>5</v>
      </c>
      <c r="B11" s="1">
        <v>8.0</v>
      </c>
      <c r="C11" s="1">
        <v>1.0</v>
      </c>
      <c r="D11" s="1">
        <v>3.0</v>
      </c>
      <c r="E11">
        <f t="shared" si="1"/>
        <v>3</v>
      </c>
    </row>
    <row r="12" hidden="1">
      <c r="A12" s="1" t="s">
        <v>4</v>
      </c>
      <c r="B12" s="1">
        <v>8.0</v>
      </c>
      <c r="C12" s="1">
        <v>2.0</v>
      </c>
      <c r="D12" s="1">
        <v>3.0</v>
      </c>
      <c r="E12">
        <f t="shared" si="1"/>
        <v>4</v>
      </c>
    </row>
    <row r="13">
      <c r="A13" s="1" t="s">
        <v>5</v>
      </c>
      <c r="B13" s="1">
        <v>7.0</v>
      </c>
      <c r="C13" s="1">
        <v>2.0</v>
      </c>
      <c r="D13" s="1">
        <v>3.0</v>
      </c>
      <c r="E13">
        <f t="shared" si="1"/>
        <v>3</v>
      </c>
    </row>
    <row r="14" hidden="1">
      <c r="A14" s="1" t="s">
        <v>4</v>
      </c>
      <c r="B14" s="1">
        <v>7.0</v>
      </c>
      <c r="C14" s="1">
        <v>3.0</v>
      </c>
      <c r="D14" s="1">
        <v>3.0</v>
      </c>
      <c r="E14">
        <f t="shared" si="1"/>
        <v>4</v>
      </c>
    </row>
    <row r="15" hidden="1">
      <c r="A15" s="1" t="s">
        <v>4</v>
      </c>
      <c r="B15" s="1">
        <v>6.0</v>
      </c>
      <c r="C15" s="1">
        <v>3.0</v>
      </c>
      <c r="D15" s="1">
        <v>3.0</v>
      </c>
      <c r="E15">
        <f t="shared" si="1"/>
        <v>4</v>
      </c>
    </row>
    <row r="16">
      <c r="A16" s="1" t="s">
        <v>5</v>
      </c>
      <c r="B16" s="1">
        <v>5.0</v>
      </c>
      <c r="C16" s="1">
        <v>3.0</v>
      </c>
      <c r="D16" s="1">
        <v>3.0</v>
      </c>
      <c r="E16">
        <f t="shared" si="1"/>
        <v>3</v>
      </c>
    </row>
    <row r="17" hidden="1">
      <c r="A17" s="1" t="s">
        <v>4</v>
      </c>
      <c r="B17" s="1">
        <v>5.0</v>
      </c>
      <c r="C17" s="1">
        <v>4.0</v>
      </c>
      <c r="D17" s="1">
        <v>3.0</v>
      </c>
      <c r="E17">
        <f t="shared" si="1"/>
        <v>4</v>
      </c>
    </row>
    <row r="18">
      <c r="A18" s="1" t="s">
        <v>5</v>
      </c>
      <c r="B18" s="1">
        <v>4.0</v>
      </c>
      <c r="C18" s="1">
        <v>4.0</v>
      </c>
      <c r="D18" s="1">
        <v>3.0</v>
      </c>
      <c r="E18">
        <f t="shared" si="1"/>
        <v>3</v>
      </c>
    </row>
    <row r="19" hidden="1">
      <c r="A19" s="1" t="s">
        <v>4</v>
      </c>
      <c r="B19" s="1">
        <v>17.0</v>
      </c>
      <c r="C19" s="1">
        <v>1.0</v>
      </c>
      <c r="D19" s="1">
        <v>4.0</v>
      </c>
      <c r="E19">
        <f t="shared" si="1"/>
        <v>5</v>
      </c>
    </row>
    <row r="20">
      <c r="A20" s="1" t="s">
        <v>5</v>
      </c>
      <c r="B20" s="1">
        <v>16.0</v>
      </c>
      <c r="C20" s="1">
        <v>1.0</v>
      </c>
      <c r="D20" s="1">
        <v>4.0</v>
      </c>
      <c r="E20">
        <f t="shared" si="1"/>
        <v>4</v>
      </c>
    </row>
    <row r="21" hidden="1">
      <c r="A21" s="1" t="s">
        <v>4</v>
      </c>
      <c r="B21" s="1">
        <v>16.0</v>
      </c>
      <c r="C21" s="1">
        <v>2.0</v>
      </c>
      <c r="D21" s="1">
        <v>4.0</v>
      </c>
      <c r="E21">
        <f t="shared" si="1"/>
        <v>5</v>
      </c>
    </row>
    <row r="22">
      <c r="A22" s="1" t="s">
        <v>5</v>
      </c>
      <c r="B22" s="1">
        <v>15.0</v>
      </c>
      <c r="C22" s="1">
        <v>2.0</v>
      </c>
      <c r="D22" s="1">
        <v>4.0</v>
      </c>
      <c r="E22">
        <f t="shared" si="1"/>
        <v>4</v>
      </c>
    </row>
    <row r="23" hidden="1">
      <c r="A23" s="1" t="s">
        <v>4</v>
      </c>
      <c r="B23" s="1">
        <v>15.0</v>
      </c>
      <c r="C23" s="1">
        <v>3.0</v>
      </c>
      <c r="D23" s="1">
        <v>4.0</v>
      </c>
      <c r="E23">
        <f t="shared" si="1"/>
        <v>5</v>
      </c>
    </row>
    <row r="24" hidden="1">
      <c r="A24" s="1" t="s">
        <v>4</v>
      </c>
      <c r="B24" s="1">
        <v>14.0</v>
      </c>
      <c r="C24" s="1">
        <v>3.0</v>
      </c>
      <c r="D24" s="1">
        <v>4.0</v>
      </c>
      <c r="E24">
        <f t="shared" si="1"/>
        <v>5</v>
      </c>
    </row>
    <row r="25" hidden="1">
      <c r="A25" s="1" t="s">
        <v>4</v>
      </c>
      <c r="B25" s="1">
        <v>13.0</v>
      </c>
      <c r="C25" s="1">
        <v>3.0</v>
      </c>
      <c r="D25" s="1">
        <v>4.0</v>
      </c>
      <c r="E25">
        <f t="shared" si="1"/>
        <v>5</v>
      </c>
    </row>
    <row r="26">
      <c r="A26" s="1" t="s">
        <v>5</v>
      </c>
      <c r="B26" s="1">
        <v>12.0</v>
      </c>
      <c r="C26" s="1">
        <v>3.0</v>
      </c>
      <c r="D26" s="1">
        <v>4.0</v>
      </c>
      <c r="E26">
        <f t="shared" si="1"/>
        <v>4</v>
      </c>
    </row>
    <row r="27" hidden="1">
      <c r="A27" s="1" t="s">
        <v>4</v>
      </c>
      <c r="B27" s="1">
        <v>12.0</v>
      </c>
      <c r="C27" s="1">
        <v>4.0</v>
      </c>
      <c r="D27" s="1">
        <v>4.0</v>
      </c>
      <c r="E27">
        <f t="shared" si="1"/>
        <v>5</v>
      </c>
    </row>
    <row r="28" hidden="1">
      <c r="A28" s="1" t="s">
        <v>4</v>
      </c>
      <c r="B28" s="1">
        <v>11.0</v>
      </c>
      <c r="C28" s="1">
        <v>4.0</v>
      </c>
      <c r="D28" s="1">
        <v>4.0</v>
      </c>
      <c r="E28">
        <f t="shared" si="1"/>
        <v>5</v>
      </c>
    </row>
    <row r="29">
      <c r="A29" s="1" t="s">
        <v>5</v>
      </c>
      <c r="B29" s="1">
        <v>10.0</v>
      </c>
      <c r="C29" s="1">
        <v>4.0</v>
      </c>
      <c r="D29" s="1">
        <v>4.0</v>
      </c>
      <c r="E29">
        <f t="shared" si="1"/>
        <v>4</v>
      </c>
    </row>
    <row r="30" hidden="1">
      <c r="A30" s="1" t="s">
        <v>4</v>
      </c>
      <c r="B30" s="1">
        <v>10.0</v>
      </c>
      <c r="C30" s="1">
        <v>5.0</v>
      </c>
      <c r="D30" s="1">
        <v>4.0</v>
      </c>
      <c r="E30">
        <f t="shared" si="1"/>
        <v>5</v>
      </c>
    </row>
    <row r="31">
      <c r="A31" s="1" t="s">
        <v>5</v>
      </c>
      <c r="B31" s="1">
        <v>9.0</v>
      </c>
      <c r="C31" s="1">
        <v>5.0</v>
      </c>
      <c r="D31" s="1">
        <v>4.0</v>
      </c>
      <c r="E31">
        <f t="shared" si="1"/>
        <v>4</v>
      </c>
    </row>
    <row r="32" hidden="1">
      <c r="A32" s="1" t="s">
        <v>4</v>
      </c>
      <c r="B32" s="1">
        <v>9.0</v>
      </c>
      <c r="C32" s="1">
        <v>6.0</v>
      </c>
      <c r="D32" s="1">
        <v>4.0</v>
      </c>
      <c r="E32">
        <f t="shared" si="1"/>
        <v>5</v>
      </c>
    </row>
    <row r="33" hidden="1">
      <c r="A33" s="1" t="s">
        <v>4</v>
      </c>
      <c r="B33" s="1">
        <v>8.0</v>
      </c>
      <c r="C33" s="1">
        <v>6.0</v>
      </c>
      <c r="D33" s="1">
        <v>4.0</v>
      </c>
      <c r="E33">
        <f t="shared" si="1"/>
        <v>5</v>
      </c>
    </row>
    <row r="34">
      <c r="A34" s="1" t="s">
        <v>5</v>
      </c>
      <c r="B34" s="1">
        <v>7.0</v>
      </c>
      <c r="C34" s="1">
        <v>6.0</v>
      </c>
      <c r="D34" s="1">
        <v>4.0</v>
      </c>
      <c r="E34">
        <f t="shared" si="1"/>
        <v>4</v>
      </c>
    </row>
    <row r="35" hidden="1">
      <c r="A35" s="1" t="s">
        <v>4</v>
      </c>
      <c r="B35" s="1">
        <v>7.0</v>
      </c>
      <c r="C35" s="1">
        <v>7.0</v>
      </c>
      <c r="D35" s="1">
        <v>4.0</v>
      </c>
      <c r="E35">
        <f t="shared" si="1"/>
        <v>5</v>
      </c>
    </row>
    <row r="36" hidden="1">
      <c r="A36" s="1" t="s">
        <v>4</v>
      </c>
      <c r="B36" s="1">
        <v>33.0</v>
      </c>
      <c r="C36" s="1">
        <v>1.0</v>
      </c>
      <c r="D36" s="1">
        <v>5.0</v>
      </c>
      <c r="E36">
        <f t="shared" si="1"/>
        <v>6</v>
      </c>
    </row>
    <row r="37">
      <c r="A37" s="1" t="s">
        <v>5</v>
      </c>
      <c r="B37" s="1">
        <v>32.0</v>
      </c>
      <c r="C37" s="1">
        <v>1.0</v>
      </c>
      <c r="D37" s="1">
        <v>5.0</v>
      </c>
      <c r="E37">
        <f t="shared" si="1"/>
        <v>5</v>
      </c>
    </row>
    <row r="38" hidden="1">
      <c r="A38" s="1" t="s">
        <v>4</v>
      </c>
      <c r="B38" s="1">
        <v>32.0</v>
      </c>
      <c r="C38" s="1">
        <v>2.0</v>
      </c>
      <c r="D38" s="1">
        <v>5.0</v>
      </c>
      <c r="E38">
        <f t="shared" si="1"/>
        <v>6</v>
      </c>
    </row>
    <row r="39">
      <c r="A39" s="1" t="s">
        <v>5</v>
      </c>
      <c r="B39" s="1">
        <v>31.0</v>
      </c>
      <c r="C39" s="1">
        <v>2.0</v>
      </c>
      <c r="D39" s="1">
        <v>5.0</v>
      </c>
      <c r="E39">
        <f t="shared" si="1"/>
        <v>5</v>
      </c>
    </row>
    <row r="40" hidden="1">
      <c r="A40" s="1" t="s">
        <v>4</v>
      </c>
      <c r="B40" s="1">
        <v>31.0</v>
      </c>
      <c r="C40" s="1">
        <v>3.0</v>
      </c>
      <c r="D40" s="1">
        <v>5.0</v>
      </c>
      <c r="E40">
        <f t="shared" si="1"/>
        <v>6</v>
      </c>
    </row>
    <row r="41" hidden="1">
      <c r="A41" s="1" t="s">
        <v>4</v>
      </c>
      <c r="B41" s="1">
        <v>30.0</v>
      </c>
      <c r="C41" s="1">
        <v>3.0</v>
      </c>
      <c r="D41" s="1">
        <v>5.0</v>
      </c>
      <c r="E41">
        <f t="shared" si="1"/>
        <v>6</v>
      </c>
    </row>
    <row r="42" hidden="1">
      <c r="A42" s="1" t="s">
        <v>4</v>
      </c>
      <c r="B42" s="1">
        <v>29.0</v>
      </c>
      <c r="C42" s="1">
        <v>3.0</v>
      </c>
      <c r="D42" s="1">
        <v>5.0</v>
      </c>
      <c r="E42">
        <f t="shared" si="1"/>
        <v>6</v>
      </c>
    </row>
    <row r="43" hidden="1">
      <c r="A43" s="1" t="s">
        <v>4</v>
      </c>
      <c r="B43" s="1">
        <v>28.0</v>
      </c>
      <c r="C43" s="1">
        <v>3.0</v>
      </c>
      <c r="D43" s="1">
        <v>5.0</v>
      </c>
      <c r="E43">
        <f t="shared" si="1"/>
        <v>6</v>
      </c>
    </row>
    <row r="44">
      <c r="A44" s="1" t="s">
        <v>5</v>
      </c>
      <c r="B44" s="1">
        <v>27.0</v>
      </c>
      <c r="C44" s="1">
        <v>3.0</v>
      </c>
      <c r="D44" s="1">
        <v>5.0</v>
      </c>
      <c r="E44">
        <f t="shared" si="1"/>
        <v>5</v>
      </c>
    </row>
    <row r="45" hidden="1">
      <c r="A45" s="1" t="s">
        <v>4</v>
      </c>
      <c r="B45" s="1">
        <v>27.0</v>
      </c>
      <c r="C45" s="1">
        <v>4.0</v>
      </c>
      <c r="D45" s="1">
        <v>5.0</v>
      </c>
      <c r="E45">
        <f t="shared" si="1"/>
        <v>6</v>
      </c>
    </row>
    <row r="46" hidden="1">
      <c r="A46" s="1" t="s">
        <v>4</v>
      </c>
      <c r="B46" s="1">
        <v>26.0</v>
      </c>
      <c r="C46" s="1">
        <v>4.0</v>
      </c>
      <c r="D46" s="1">
        <v>5.0</v>
      </c>
      <c r="E46">
        <f t="shared" si="1"/>
        <v>6</v>
      </c>
    </row>
    <row r="47" hidden="1">
      <c r="A47" s="1" t="s">
        <v>4</v>
      </c>
      <c r="B47" s="1">
        <v>25.0</v>
      </c>
      <c r="C47" s="1">
        <v>4.0</v>
      </c>
      <c r="D47" s="1">
        <v>5.0</v>
      </c>
      <c r="E47">
        <f t="shared" si="1"/>
        <v>6</v>
      </c>
    </row>
    <row r="48">
      <c r="A48" s="1" t="s">
        <v>5</v>
      </c>
      <c r="B48" s="1">
        <v>24.0</v>
      </c>
      <c r="C48" s="1">
        <v>4.0</v>
      </c>
      <c r="D48" s="1">
        <v>5.0</v>
      </c>
      <c r="E48">
        <f t="shared" si="1"/>
        <v>5</v>
      </c>
    </row>
    <row r="49" hidden="1">
      <c r="A49" s="1" t="s">
        <v>4</v>
      </c>
      <c r="B49" s="1">
        <v>24.0</v>
      </c>
      <c r="C49" s="1">
        <v>5.0</v>
      </c>
      <c r="D49" s="1">
        <v>5.0</v>
      </c>
      <c r="E49">
        <f t="shared" si="1"/>
        <v>6</v>
      </c>
    </row>
    <row r="50" hidden="1">
      <c r="A50" s="1" t="s">
        <v>4</v>
      </c>
      <c r="B50" s="1">
        <v>23.0</v>
      </c>
      <c r="C50" s="1">
        <v>5.0</v>
      </c>
      <c r="D50" s="1">
        <v>5.0</v>
      </c>
      <c r="E50">
        <f t="shared" si="1"/>
        <v>6</v>
      </c>
    </row>
    <row r="51">
      <c r="A51" s="1" t="s">
        <v>5</v>
      </c>
      <c r="B51" s="1">
        <v>22.0</v>
      </c>
      <c r="C51" s="1">
        <v>5.0</v>
      </c>
      <c r="D51" s="1">
        <v>5.0</v>
      </c>
      <c r="E51">
        <f t="shared" si="1"/>
        <v>5</v>
      </c>
    </row>
    <row r="52" hidden="1">
      <c r="A52" s="1" t="s">
        <v>4</v>
      </c>
      <c r="B52" s="1">
        <v>22.0</v>
      </c>
      <c r="C52" s="1">
        <v>6.0</v>
      </c>
      <c r="D52" s="1">
        <v>5.0</v>
      </c>
      <c r="E52">
        <f t="shared" si="1"/>
        <v>6</v>
      </c>
    </row>
    <row r="53" hidden="1">
      <c r="A53" s="1" t="s">
        <v>4</v>
      </c>
      <c r="B53" s="1">
        <v>21.0</v>
      </c>
      <c r="C53" s="1">
        <v>6.0</v>
      </c>
      <c r="D53" s="1">
        <v>5.0</v>
      </c>
      <c r="E53">
        <f t="shared" si="1"/>
        <v>6</v>
      </c>
    </row>
    <row r="54" hidden="1">
      <c r="A54" s="1" t="s">
        <v>4</v>
      </c>
      <c r="B54" s="1">
        <v>20.0</v>
      </c>
      <c r="C54" s="1">
        <v>6.0</v>
      </c>
      <c r="D54" s="1">
        <v>5.0</v>
      </c>
      <c r="E54">
        <f t="shared" si="1"/>
        <v>6</v>
      </c>
    </row>
    <row r="55">
      <c r="A55" s="1" t="s">
        <v>5</v>
      </c>
      <c r="B55" s="1">
        <v>19.0</v>
      </c>
      <c r="C55" s="1">
        <v>6.0</v>
      </c>
      <c r="D55" s="1">
        <v>5.0</v>
      </c>
      <c r="E55">
        <f t="shared" si="1"/>
        <v>5</v>
      </c>
    </row>
    <row r="56" hidden="1">
      <c r="A56" s="1" t="s">
        <v>4</v>
      </c>
      <c r="B56" s="1">
        <v>19.0</v>
      </c>
      <c r="C56" s="1">
        <v>7.0</v>
      </c>
      <c r="D56" s="1">
        <v>5.0</v>
      </c>
      <c r="E56">
        <f t="shared" si="1"/>
        <v>6</v>
      </c>
    </row>
    <row r="57" hidden="1">
      <c r="A57" s="1" t="s">
        <v>4</v>
      </c>
      <c r="B57" s="1">
        <v>18.0</v>
      </c>
      <c r="C57" s="1">
        <v>7.0</v>
      </c>
      <c r="D57" s="1">
        <v>5.0</v>
      </c>
      <c r="E57">
        <f t="shared" si="1"/>
        <v>6</v>
      </c>
    </row>
    <row r="58">
      <c r="A58" s="1" t="s">
        <v>5</v>
      </c>
      <c r="B58" s="1">
        <v>17.0</v>
      </c>
      <c r="C58" s="1">
        <v>7.0</v>
      </c>
      <c r="D58" s="1">
        <v>5.0</v>
      </c>
      <c r="E58">
        <f t="shared" si="1"/>
        <v>5</v>
      </c>
    </row>
    <row r="59" hidden="1">
      <c r="A59" s="1" t="s">
        <v>4</v>
      </c>
      <c r="B59" s="1">
        <v>17.0</v>
      </c>
      <c r="C59" s="1">
        <v>8.0</v>
      </c>
      <c r="D59" s="1">
        <v>5.0</v>
      </c>
      <c r="E59">
        <f t="shared" si="1"/>
        <v>6</v>
      </c>
    </row>
    <row r="60" hidden="1">
      <c r="A60" s="1" t="s">
        <v>4</v>
      </c>
      <c r="B60" s="1">
        <v>16.0</v>
      </c>
      <c r="C60" s="1">
        <v>8.0</v>
      </c>
      <c r="D60" s="1">
        <v>5.0</v>
      </c>
      <c r="E60">
        <f t="shared" si="1"/>
        <v>6</v>
      </c>
    </row>
    <row r="61">
      <c r="A61" s="1" t="s">
        <v>5</v>
      </c>
      <c r="B61" s="1">
        <v>15.0</v>
      </c>
      <c r="C61" s="1">
        <v>8.0</v>
      </c>
      <c r="D61" s="1">
        <v>5.0</v>
      </c>
      <c r="E61">
        <f t="shared" si="1"/>
        <v>5</v>
      </c>
    </row>
    <row r="62" hidden="1">
      <c r="A62" s="1" t="s">
        <v>4</v>
      </c>
      <c r="B62" s="1">
        <v>15.0</v>
      </c>
      <c r="C62" s="1">
        <v>9.0</v>
      </c>
      <c r="D62" s="1">
        <v>5.0</v>
      </c>
      <c r="E62">
        <f t="shared" si="1"/>
        <v>6</v>
      </c>
    </row>
    <row r="63">
      <c r="A63" s="1" t="s">
        <v>5</v>
      </c>
      <c r="B63" s="1">
        <v>14.0</v>
      </c>
      <c r="C63" s="1">
        <v>9.0</v>
      </c>
      <c r="D63" s="1">
        <v>5.0</v>
      </c>
      <c r="E63">
        <f t="shared" si="1"/>
        <v>5</v>
      </c>
    </row>
    <row r="64" hidden="1">
      <c r="A64" s="1" t="s">
        <v>4</v>
      </c>
      <c r="B64" s="1">
        <v>14.0</v>
      </c>
      <c r="C64" s="1">
        <v>10.0</v>
      </c>
      <c r="D64" s="1">
        <v>5.0</v>
      </c>
      <c r="E64">
        <f t="shared" si="1"/>
        <v>6</v>
      </c>
    </row>
    <row r="65" hidden="1">
      <c r="A65" s="1" t="s">
        <v>4</v>
      </c>
      <c r="B65" s="1">
        <v>13.0</v>
      </c>
      <c r="C65" s="1">
        <v>10.0</v>
      </c>
      <c r="D65" s="1">
        <v>5.0</v>
      </c>
      <c r="E65">
        <f t="shared" si="1"/>
        <v>6</v>
      </c>
    </row>
    <row r="66">
      <c r="A66" s="1" t="s">
        <v>5</v>
      </c>
      <c r="B66" s="1">
        <v>12.0</v>
      </c>
      <c r="C66" s="1">
        <v>10.0</v>
      </c>
      <c r="D66" s="1">
        <v>5.0</v>
      </c>
      <c r="E66">
        <f t="shared" si="1"/>
        <v>5</v>
      </c>
    </row>
    <row r="67" hidden="1">
      <c r="A67" s="1" t="s">
        <v>4</v>
      </c>
      <c r="B67" s="1">
        <v>12.0</v>
      </c>
      <c r="C67" s="1">
        <v>11.0</v>
      </c>
      <c r="D67" s="1">
        <v>5.0</v>
      </c>
      <c r="E67">
        <f t="shared" si="1"/>
        <v>6</v>
      </c>
    </row>
    <row r="68">
      <c r="A68" s="1" t="s">
        <v>5</v>
      </c>
      <c r="B68" s="1">
        <v>11.0</v>
      </c>
      <c r="C68" s="1">
        <v>11.0</v>
      </c>
      <c r="D68" s="1">
        <v>5.0</v>
      </c>
      <c r="E68">
        <f t="shared" si="1"/>
        <v>5</v>
      </c>
    </row>
    <row r="69" hidden="1">
      <c r="A69" s="1" t="s">
        <v>4</v>
      </c>
      <c r="B69" s="1">
        <v>65.0</v>
      </c>
      <c r="C69" s="1">
        <v>1.0</v>
      </c>
      <c r="D69" s="1">
        <v>6.0</v>
      </c>
      <c r="E69">
        <f t="shared" si="1"/>
        <v>7</v>
      </c>
    </row>
    <row r="70">
      <c r="A70" s="1" t="s">
        <v>5</v>
      </c>
      <c r="B70" s="1">
        <v>64.0</v>
      </c>
      <c r="C70" s="1">
        <v>1.0</v>
      </c>
      <c r="D70" s="1">
        <v>6.0</v>
      </c>
      <c r="E70">
        <f t="shared" si="1"/>
        <v>6</v>
      </c>
    </row>
    <row r="71" hidden="1">
      <c r="A71" s="1" t="s">
        <v>4</v>
      </c>
      <c r="B71" s="1">
        <v>64.0</v>
      </c>
      <c r="C71" s="1">
        <v>2.0</v>
      </c>
      <c r="D71" s="1">
        <v>6.0</v>
      </c>
      <c r="E71">
        <f t="shared" si="1"/>
        <v>7</v>
      </c>
    </row>
    <row r="72">
      <c r="A72" s="1" t="s">
        <v>5</v>
      </c>
      <c r="B72" s="1">
        <v>63.0</v>
      </c>
      <c r="C72" s="1">
        <v>2.0</v>
      </c>
      <c r="D72" s="1">
        <v>6.0</v>
      </c>
      <c r="E72">
        <f t="shared" si="1"/>
        <v>6</v>
      </c>
    </row>
    <row r="73" hidden="1">
      <c r="A73" s="1" t="s">
        <v>4</v>
      </c>
      <c r="B73" s="1">
        <v>63.0</v>
      </c>
      <c r="C73" s="1">
        <v>3.0</v>
      </c>
      <c r="D73" s="1">
        <v>6.0</v>
      </c>
      <c r="E73">
        <f t="shared" si="1"/>
        <v>7</v>
      </c>
    </row>
    <row r="74" hidden="1">
      <c r="A74" s="1" t="s">
        <v>4</v>
      </c>
      <c r="B74" s="1">
        <v>62.0</v>
      </c>
      <c r="C74" s="1">
        <v>3.0</v>
      </c>
      <c r="D74" s="1">
        <v>6.0</v>
      </c>
      <c r="E74">
        <f t="shared" si="1"/>
        <v>7</v>
      </c>
    </row>
    <row r="75" hidden="1">
      <c r="A75" s="1" t="s">
        <v>4</v>
      </c>
      <c r="B75" s="1">
        <v>61.0</v>
      </c>
      <c r="C75" s="1">
        <v>3.0</v>
      </c>
      <c r="D75" s="1">
        <v>6.0</v>
      </c>
      <c r="E75">
        <f t="shared" si="1"/>
        <v>7</v>
      </c>
    </row>
    <row r="76" hidden="1">
      <c r="A76" s="1" t="s">
        <v>4</v>
      </c>
      <c r="B76" s="1">
        <v>60.0</v>
      </c>
      <c r="C76" s="1">
        <v>3.0</v>
      </c>
      <c r="D76" s="1">
        <v>6.0</v>
      </c>
      <c r="E76">
        <f t="shared" si="1"/>
        <v>7</v>
      </c>
    </row>
    <row r="77" hidden="1">
      <c r="A77" s="1" t="s">
        <v>4</v>
      </c>
      <c r="B77" s="1">
        <v>59.0</v>
      </c>
      <c r="C77" s="1">
        <v>3.0</v>
      </c>
      <c r="D77" s="1">
        <v>6.0</v>
      </c>
      <c r="E77">
        <f t="shared" si="1"/>
        <v>7</v>
      </c>
    </row>
    <row r="78">
      <c r="A78" s="1" t="s">
        <v>5</v>
      </c>
      <c r="B78" s="1">
        <v>58.0</v>
      </c>
      <c r="C78" s="1">
        <v>3.0</v>
      </c>
      <c r="D78" s="1">
        <v>6.0</v>
      </c>
      <c r="E78">
        <f t="shared" si="1"/>
        <v>6</v>
      </c>
    </row>
    <row r="79" hidden="1">
      <c r="A79" s="1" t="s">
        <v>4</v>
      </c>
      <c r="B79" s="1">
        <v>58.0</v>
      </c>
      <c r="C79" s="1">
        <v>4.0</v>
      </c>
      <c r="D79" s="1">
        <v>6.0</v>
      </c>
      <c r="E79">
        <f t="shared" si="1"/>
        <v>7</v>
      </c>
    </row>
    <row r="80" hidden="1">
      <c r="A80" s="1" t="s">
        <v>4</v>
      </c>
      <c r="B80" s="1">
        <v>57.0</v>
      </c>
      <c r="C80" s="1">
        <v>4.0</v>
      </c>
      <c r="D80" s="1">
        <v>6.0</v>
      </c>
      <c r="E80">
        <f t="shared" si="1"/>
        <v>7</v>
      </c>
    </row>
    <row r="81" hidden="1">
      <c r="A81" s="1" t="s">
        <v>4</v>
      </c>
      <c r="B81" s="1">
        <v>56.0</v>
      </c>
      <c r="C81" s="1">
        <v>4.0</v>
      </c>
      <c r="D81" s="1">
        <v>6.0</v>
      </c>
      <c r="E81">
        <f t="shared" si="1"/>
        <v>7</v>
      </c>
    </row>
    <row r="82" hidden="1">
      <c r="A82" s="1" t="s">
        <v>4</v>
      </c>
      <c r="B82" s="1">
        <v>55.0</v>
      </c>
      <c r="C82" s="1">
        <v>4.0</v>
      </c>
      <c r="D82" s="1">
        <v>6.0</v>
      </c>
      <c r="E82">
        <f t="shared" si="1"/>
        <v>7</v>
      </c>
    </row>
    <row r="83">
      <c r="A83" s="1" t="s">
        <v>5</v>
      </c>
      <c r="B83" s="1">
        <v>54.0</v>
      </c>
      <c r="C83" s="1">
        <v>4.0</v>
      </c>
      <c r="D83" s="1">
        <v>6.0</v>
      </c>
      <c r="E83">
        <f t="shared" si="1"/>
        <v>6</v>
      </c>
    </row>
    <row r="84" hidden="1">
      <c r="A84" s="1" t="s">
        <v>4</v>
      </c>
      <c r="B84" s="1">
        <v>54.0</v>
      </c>
      <c r="C84" s="1">
        <v>5.0</v>
      </c>
      <c r="D84" s="1">
        <v>6.0</v>
      </c>
      <c r="E84">
        <f t="shared" si="1"/>
        <v>7</v>
      </c>
    </row>
    <row r="85" hidden="1">
      <c r="A85" s="1" t="s">
        <v>4</v>
      </c>
      <c r="B85" s="1">
        <v>53.0</v>
      </c>
      <c r="C85" s="1">
        <v>5.0</v>
      </c>
      <c r="D85" s="1">
        <v>6.0</v>
      </c>
      <c r="E85">
        <f t="shared" si="1"/>
        <v>7</v>
      </c>
    </row>
    <row r="86" hidden="1">
      <c r="A86" s="1" t="s">
        <v>4</v>
      </c>
      <c r="B86" s="1">
        <v>52.0</v>
      </c>
      <c r="C86" s="1">
        <v>5.0</v>
      </c>
      <c r="D86" s="1">
        <v>6.0</v>
      </c>
      <c r="E86">
        <f t="shared" si="1"/>
        <v>7</v>
      </c>
    </row>
    <row r="87" hidden="1">
      <c r="A87" s="1" t="s">
        <v>4</v>
      </c>
      <c r="B87" s="1">
        <v>51.0</v>
      </c>
      <c r="C87" s="1">
        <v>5.0</v>
      </c>
      <c r="D87" s="1">
        <v>6.0</v>
      </c>
      <c r="E87">
        <f t="shared" si="1"/>
        <v>7</v>
      </c>
    </row>
    <row r="88">
      <c r="A88" s="1" t="s">
        <v>5</v>
      </c>
      <c r="B88" s="1">
        <v>50.0</v>
      </c>
      <c r="C88" s="1">
        <v>5.0</v>
      </c>
      <c r="D88" s="1">
        <v>6.0</v>
      </c>
      <c r="E88">
        <f t="shared" si="1"/>
        <v>6</v>
      </c>
    </row>
    <row r="89" hidden="1">
      <c r="A89" s="1" t="s">
        <v>4</v>
      </c>
      <c r="B89" s="1">
        <v>50.0</v>
      </c>
      <c r="C89" s="1">
        <v>6.0</v>
      </c>
      <c r="D89" s="1">
        <v>6.0</v>
      </c>
      <c r="E89">
        <f t="shared" si="1"/>
        <v>7</v>
      </c>
    </row>
    <row r="90" hidden="1">
      <c r="A90" s="1" t="s">
        <v>4</v>
      </c>
      <c r="B90" s="1">
        <v>49.0</v>
      </c>
      <c r="C90" s="1">
        <v>6.0</v>
      </c>
      <c r="D90" s="1">
        <v>6.0</v>
      </c>
      <c r="E90">
        <f t="shared" si="1"/>
        <v>7</v>
      </c>
    </row>
    <row r="91" hidden="1">
      <c r="A91" s="1" t="s">
        <v>4</v>
      </c>
      <c r="B91" s="1">
        <v>48.0</v>
      </c>
      <c r="C91" s="1">
        <v>6.0</v>
      </c>
      <c r="D91" s="1">
        <v>6.0</v>
      </c>
      <c r="E91">
        <f t="shared" si="1"/>
        <v>7</v>
      </c>
    </row>
    <row r="92" hidden="1">
      <c r="A92" s="1" t="s">
        <v>4</v>
      </c>
      <c r="B92" s="1">
        <v>47.0</v>
      </c>
      <c r="C92" s="1">
        <v>6.0</v>
      </c>
      <c r="D92" s="1">
        <v>6.0</v>
      </c>
      <c r="E92">
        <f t="shared" si="1"/>
        <v>7</v>
      </c>
    </row>
    <row r="93">
      <c r="A93" s="1" t="s">
        <v>5</v>
      </c>
      <c r="B93" s="1">
        <v>46.0</v>
      </c>
      <c r="C93" s="1">
        <v>6.0</v>
      </c>
      <c r="D93" s="1">
        <v>6.0</v>
      </c>
      <c r="E93">
        <f t="shared" si="1"/>
        <v>6</v>
      </c>
    </row>
    <row r="94" hidden="1">
      <c r="A94" s="1" t="s">
        <v>4</v>
      </c>
      <c r="B94" s="1">
        <v>46.0</v>
      </c>
      <c r="C94" s="1">
        <v>7.0</v>
      </c>
      <c r="D94" s="1">
        <v>6.0</v>
      </c>
      <c r="E94">
        <f t="shared" si="1"/>
        <v>7</v>
      </c>
    </row>
    <row r="95" hidden="1">
      <c r="A95" s="1" t="s">
        <v>4</v>
      </c>
      <c r="B95" s="1">
        <v>45.0</v>
      </c>
      <c r="C95" s="1">
        <v>7.0</v>
      </c>
      <c r="D95" s="1">
        <v>6.0</v>
      </c>
      <c r="E95">
        <f t="shared" si="1"/>
        <v>7</v>
      </c>
    </row>
    <row r="96" hidden="1">
      <c r="A96" s="1" t="s">
        <v>4</v>
      </c>
      <c r="B96" s="1">
        <v>44.0</v>
      </c>
      <c r="C96" s="1">
        <v>7.0</v>
      </c>
      <c r="D96" s="1">
        <v>6.0</v>
      </c>
      <c r="E96">
        <f t="shared" si="1"/>
        <v>7</v>
      </c>
    </row>
    <row r="97" hidden="1">
      <c r="A97" s="1" t="s">
        <v>4</v>
      </c>
      <c r="B97" s="1">
        <v>43.0</v>
      </c>
      <c r="C97" s="1">
        <v>7.0</v>
      </c>
      <c r="D97" s="1">
        <v>6.0</v>
      </c>
      <c r="E97">
        <f t="shared" si="1"/>
        <v>7</v>
      </c>
    </row>
    <row r="98">
      <c r="A98" s="1" t="s">
        <v>5</v>
      </c>
      <c r="B98" s="1">
        <v>42.0</v>
      </c>
      <c r="C98" s="1">
        <v>7.0</v>
      </c>
      <c r="D98" s="1">
        <v>6.0</v>
      </c>
      <c r="E98">
        <f t="shared" si="1"/>
        <v>6</v>
      </c>
    </row>
    <row r="99" hidden="1">
      <c r="A99" s="1" t="s">
        <v>4</v>
      </c>
      <c r="B99" s="1">
        <v>42.0</v>
      </c>
      <c r="C99" s="1">
        <v>8.0</v>
      </c>
      <c r="D99" s="1">
        <v>6.0</v>
      </c>
      <c r="E99">
        <f t="shared" si="1"/>
        <v>7</v>
      </c>
    </row>
    <row r="100" hidden="1">
      <c r="A100" s="1" t="s">
        <v>4</v>
      </c>
      <c r="B100" s="1">
        <v>41.0</v>
      </c>
      <c r="C100" s="1">
        <v>8.0</v>
      </c>
      <c r="D100" s="1">
        <v>6.0</v>
      </c>
      <c r="E100">
        <f t="shared" si="1"/>
        <v>7</v>
      </c>
    </row>
    <row r="101" hidden="1">
      <c r="A101" s="1" t="s">
        <v>4</v>
      </c>
      <c r="B101" s="1">
        <v>40.0</v>
      </c>
      <c r="C101" s="1">
        <v>8.0</v>
      </c>
      <c r="D101" s="1">
        <v>6.0</v>
      </c>
      <c r="E101">
        <f t="shared" si="1"/>
        <v>7</v>
      </c>
    </row>
    <row r="102" hidden="1">
      <c r="A102" s="1" t="s">
        <v>4</v>
      </c>
      <c r="B102" s="1">
        <v>39.0</v>
      </c>
      <c r="C102" s="1">
        <v>8.0</v>
      </c>
      <c r="D102" s="1">
        <v>6.0</v>
      </c>
      <c r="E102">
        <f t="shared" si="1"/>
        <v>7</v>
      </c>
    </row>
    <row r="103">
      <c r="A103" s="1" t="s">
        <v>5</v>
      </c>
      <c r="B103" s="1">
        <v>38.0</v>
      </c>
      <c r="C103" s="1">
        <v>8.0</v>
      </c>
      <c r="D103" s="1">
        <v>6.0</v>
      </c>
      <c r="E103">
        <f t="shared" si="1"/>
        <v>6</v>
      </c>
    </row>
    <row r="104" hidden="1">
      <c r="A104" s="1" t="s">
        <v>4</v>
      </c>
      <c r="B104" s="1">
        <v>38.0</v>
      </c>
      <c r="C104" s="1">
        <v>9.0</v>
      </c>
      <c r="D104" s="1">
        <v>6.0</v>
      </c>
      <c r="E104">
        <f t="shared" si="1"/>
        <v>7</v>
      </c>
    </row>
    <row r="105" hidden="1">
      <c r="A105" s="1" t="s">
        <v>4</v>
      </c>
      <c r="B105" s="1">
        <v>37.0</v>
      </c>
      <c r="C105" s="1">
        <v>9.0</v>
      </c>
      <c r="D105" s="1">
        <v>6.0</v>
      </c>
      <c r="E105">
        <f t="shared" si="1"/>
        <v>7</v>
      </c>
    </row>
    <row r="106">
      <c r="A106" s="1" t="s">
        <v>5</v>
      </c>
      <c r="B106" s="1">
        <v>36.0</v>
      </c>
      <c r="C106" s="1">
        <v>9.0</v>
      </c>
      <c r="D106" s="1">
        <v>6.0</v>
      </c>
      <c r="E106">
        <f t="shared" si="1"/>
        <v>6</v>
      </c>
    </row>
    <row r="107" hidden="1">
      <c r="A107" s="1" t="s">
        <v>4</v>
      </c>
      <c r="B107" s="1">
        <v>36.0</v>
      </c>
      <c r="C107" s="1">
        <v>10.0</v>
      </c>
      <c r="D107" s="1">
        <v>6.0</v>
      </c>
      <c r="E107">
        <f t="shared" si="1"/>
        <v>7</v>
      </c>
    </row>
    <row r="108" hidden="1">
      <c r="A108" s="1" t="s">
        <v>4</v>
      </c>
      <c r="B108" s="1">
        <v>35.0</v>
      </c>
      <c r="C108" s="1">
        <v>10.0</v>
      </c>
      <c r="D108" s="1">
        <v>6.0</v>
      </c>
      <c r="E108">
        <f t="shared" si="1"/>
        <v>7</v>
      </c>
    </row>
    <row r="109" hidden="1">
      <c r="A109" s="1" t="s">
        <v>4</v>
      </c>
      <c r="B109" s="1">
        <v>34.0</v>
      </c>
      <c r="C109" s="1">
        <v>10.0</v>
      </c>
      <c r="D109" s="1">
        <v>6.0</v>
      </c>
      <c r="E109">
        <f t="shared" si="1"/>
        <v>7</v>
      </c>
    </row>
    <row r="110">
      <c r="A110" s="1" t="s">
        <v>5</v>
      </c>
      <c r="B110" s="1">
        <v>33.0</v>
      </c>
      <c r="C110" s="1">
        <v>10.0</v>
      </c>
      <c r="D110" s="1">
        <v>6.0</v>
      </c>
      <c r="E110">
        <f t="shared" si="1"/>
        <v>6</v>
      </c>
    </row>
    <row r="111" hidden="1">
      <c r="A111" s="1" t="s">
        <v>4</v>
      </c>
      <c r="B111" s="1">
        <v>33.0</v>
      </c>
      <c r="C111" s="1">
        <v>11.0</v>
      </c>
      <c r="D111" s="1">
        <v>6.0</v>
      </c>
      <c r="E111">
        <f t="shared" si="1"/>
        <v>7</v>
      </c>
    </row>
    <row r="112" hidden="1">
      <c r="A112" s="1" t="s">
        <v>4</v>
      </c>
      <c r="B112" s="1">
        <v>32.0</v>
      </c>
      <c r="C112" s="1">
        <v>11.0</v>
      </c>
      <c r="D112" s="1">
        <v>6.0</v>
      </c>
      <c r="E112">
        <f t="shared" si="1"/>
        <v>7</v>
      </c>
    </row>
    <row r="113">
      <c r="A113" s="1" t="s">
        <v>5</v>
      </c>
      <c r="B113" s="1">
        <v>31.0</v>
      </c>
      <c r="C113" s="1">
        <v>11.0</v>
      </c>
      <c r="D113" s="1">
        <v>6.0</v>
      </c>
      <c r="E113">
        <f t="shared" si="1"/>
        <v>6</v>
      </c>
    </row>
    <row r="114" hidden="1">
      <c r="A114" s="1" t="s">
        <v>4</v>
      </c>
      <c r="B114" s="1">
        <v>31.0</v>
      </c>
      <c r="C114" s="1">
        <v>12.0</v>
      </c>
      <c r="D114" s="1">
        <v>6.0</v>
      </c>
      <c r="E114">
        <f t="shared" si="1"/>
        <v>7</v>
      </c>
    </row>
    <row r="115" hidden="1">
      <c r="A115" s="1" t="s">
        <v>4</v>
      </c>
      <c r="B115" s="1">
        <v>30.0</v>
      </c>
      <c r="C115" s="1">
        <v>12.0</v>
      </c>
      <c r="D115" s="1">
        <v>6.0</v>
      </c>
      <c r="E115">
        <f t="shared" si="1"/>
        <v>7</v>
      </c>
    </row>
    <row r="116">
      <c r="A116" s="1" t="s">
        <v>5</v>
      </c>
      <c r="B116" s="1">
        <v>29.0</v>
      </c>
      <c r="C116" s="1">
        <v>12.0</v>
      </c>
      <c r="D116" s="1">
        <v>6.0</v>
      </c>
      <c r="E116">
        <f t="shared" si="1"/>
        <v>6</v>
      </c>
    </row>
    <row r="117" hidden="1">
      <c r="A117" s="1" t="s">
        <v>4</v>
      </c>
      <c r="B117" s="1">
        <v>29.0</v>
      </c>
      <c r="C117" s="1">
        <v>13.0</v>
      </c>
      <c r="D117" s="1">
        <v>6.0</v>
      </c>
      <c r="E117">
        <f t="shared" si="1"/>
        <v>7</v>
      </c>
    </row>
    <row r="118" hidden="1">
      <c r="A118" s="1" t="s">
        <v>4</v>
      </c>
      <c r="B118" s="1">
        <v>28.0</v>
      </c>
      <c r="C118" s="1">
        <v>13.0</v>
      </c>
      <c r="D118" s="1">
        <v>6.0</v>
      </c>
      <c r="E118">
        <f t="shared" si="1"/>
        <v>7</v>
      </c>
    </row>
    <row r="119">
      <c r="A119" s="1" t="s">
        <v>5</v>
      </c>
      <c r="B119" s="1">
        <v>27.0</v>
      </c>
      <c r="C119" s="1">
        <v>13.0</v>
      </c>
      <c r="D119" s="1">
        <v>6.0</v>
      </c>
      <c r="E119">
        <f t="shared" si="1"/>
        <v>6</v>
      </c>
    </row>
    <row r="120" hidden="1">
      <c r="A120" s="1" t="s">
        <v>4</v>
      </c>
      <c r="B120" s="1">
        <v>27.0</v>
      </c>
      <c r="C120" s="1">
        <v>14.0</v>
      </c>
      <c r="D120" s="1">
        <v>6.0</v>
      </c>
      <c r="E120">
        <f t="shared" si="1"/>
        <v>7</v>
      </c>
    </row>
    <row r="121" hidden="1">
      <c r="A121" s="1" t="s">
        <v>4</v>
      </c>
      <c r="B121" s="1">
        <v>26.0</v>
      </c>
      <c r="C121" s="1">
        <v>14.0</v>
      </c>
      <c r="D121" s="1">
        <v>6.0</v>
      </c>
      <c r="E121">
        <f t="shared" si="1"/>
        <v>7</v>
      </c>
    </row>
    <row r="122">
      <c r="A122" s="1" t="s">
        <v>5</v>
      </c>
      <c r="B122" s="1">
        <v>25.0</v>
      </c>
      <c r="C122" s="1">
        <v>14.0</v>
      </c>
      <c r="D122" s="1">
        <v>6.0</v>
      </c>
      <c r="E122">
        <f t="shared" si="1"/>
        <v>6</v>
      </c>
    </row>
    <row r="123" hidden="1">
      <c r="A123" s="1" t="s">
        <v>4</v>
      </c>
      <c r="B123" s="1">
        <v>25.0</v>
      </c>
      <c r="C123" s="1">
        <v>15.0</v>
      </c>
      <c r="D123" s="1">
        <v>6.0</v>
      </c>
      <c r="E123">
        <f t="shared" si="1"/>
        <v>7</v>
      </c>
    </row>
    <row r="124">
      <c r="A124" s="1" t="s">
        <v>5</v>
      </c>
      <c r="B124" s="1">
        <v>24.0</v>
      </c>
      <c r="C124" s="1">
        <v>15.0</v>
      </c>
      <c r="D124" s="1">
        <v>6.0</v>
      </c>
      <c r="E124">
        <f t="shared" si="1"/>
        <v>6</v>
      </c>
    </row>
    <row r="125" hidden="1">
      <c r="A125" s="1" t="s">
        <v>4</v>
      </c>
      <c r="B125" s="1">
        <v>24.0</v>
      </c>
      <c r="C125" s="1">
        <v>16.0</v>
      </c>
      <c r="D125" s="1">
        <v>6.0</v>
      </c>
      <c r="E125">
        <f t="shared" si="1"/>
        <v>7</v>
      </c>
    </row>
    <row r="126" hidden="1">
      <c r="A126" s="1" t="s">
        <v>4</v>
      </c>
      <c r="B126" s="1">
        <v>23.0</v>
      </c>
      <c r="C126" s="1">
        <v>16.0</v>
      </c>
      <c r="D126" s="1">
        <v>6.0</v>
      </c>
      <c r="E126">
        <f t="shared" si="1"/>
        <v>7</v>
      </c>
    </row>
    <row r="127">
      <c r="A127" s="1" t="s">
        <v>5</v>
      </c>
      <c r="B127" s="1">
        <v>22.0</v>
      </c>
      <c r="C127" s="1">
        <v>16.0</v>
      </c>
      <c r="D127" s="1">
        <v>6.0</v>
      </c>
      <c r="E127">
        <f t="shared" si="1"/>
        <v>6</v>
      </c>
    </row>
    <row r="128" hidden="1">
      <c r="A128" s="1" t="s">
        <v>4</v>
      </c>
      <c r="B128" s="1">
        <v>22.0</v>
      </c>
      <c r="C128" s="1">
        <v>17.0</v>
      </c>
      <c r="D128" s="1">
        <v>6.0</v>
      </c>
      <c r="E128">
        <f t="shared" si="1"/>
        <v>7</v>
      </c>
    </row>
    <row r="129">
      <c r="A129" s="1" t="s">
        <v>5</v>
      </c>
      <c r="B129" s="1">
        <v>21.0</v>
      </c>
      <c r="C129" s="1">
        <v>17.0</v>
      </c>
      <c r="D129" s="1">
        <v>6.0</v>
      </c>
      <c r="E129">
        <f t="shared" si="1"/>
        <v>6</v>
      </c>
    </row>
    <row r="130" hidden="1">
      <c r="A130" s="1" t="s">
        <v>4</v>
      </c>
      <c r="B130" s="1">
        <v>21.0</v>
      </c>
      <c r="C130" s="1">
        <v>18.0</v>
      </c>
      <c r="D130" s="1">
        <v>6.0</v>
      </c>
      <c r="E130">
        <f t="shared" si="1"/>
        <v>7</v>
      </c>
    </row>
    <row r="131">
      <c r="A131" s="1" t="s">
        <v>5</v>
      </c>
      <c r="B131" s="1">
        <v>20.0</v>
      </c>
      <c r="C131" s="1">
        <v>18.0</v>
      </c>
      <c r="D131" s="1">
        <v>6.0</v>
      </c>
      <c r="E131">
        <f t="shared" si="1"/>
        <v>6</v>
      </c>
    </row>
    <row r="132" hidden="1">
      <c r="A132" s="1" t="s">
        <v>4</v>
      </c>
      <c r="B132" s="1">
        <v>20.0</v>
      </c>
      <c r="C132" s="1">
        <v>19.0</v>
      </c>
      <c r="D132" s="1">
        <v>6.0</v>
      </c>
      <c r="E132">
        <f t="shared" si="1"/>
        <v>7</v>
      </c>
    </row>
    <row r="133">
      <c r="A133" s="1" t="s">
        <v>5</v>
      </c>
      <c r="B133" s="1">
        <v>19.0</v>
      </c>
      <c r="C133" s="1">
        <v>19.0</v>
      </c>
      <c r="D133" s="1">
        <v>6.0</v>
      </c>
      <c r="E133">
        <f t="shared" si="1"/>
        <v>6</v>
      </c>
    </row>
    <row r="134" hidden="1">
      <c r="A134" s="1" t="s">
        <v>4</v>
      </c>
      <c r="B134" s="1">
        <v>129.0</v>
      </c>
      <c r="C134" s="1">
        <v>1.0</v>
      </c>
      <c r="D134" s="1">
        <v>7.0</v>
      </c>
      <c r="E134">
        <f t="shared" si="1"/>
        <v>8</v>
      </c>
    </row>
    <row r="135">
      <c r="A135" s="1" t="s">
        <v>5</v>
      </c>
      <c r="B135" s="1">
        <v>128.0</v>
      </c>
      <c r="C135" s="1">
        <v>1.0</v>
      </c>
      <c r="D135" s="1">
        <v>7.0</v>
      </c>
      <c r="E135">
        <f t="shared" si="1"/>
        <v>7</v>
      </c>
    </row>
    <row r="136" hidden="1">
      <c r="A136" s="1" t="s">
        <v>4</v>
      </c>
      <c r="B136" s="1">
        <v>128.0</v>
      </c>
      <c r="C136" s="1">
        <v>2.0</v>
      </c>
      <c r="D136" s="1">
        <v>7.0</v>
      </c>
      <c r="E136">
        <f t="shared" si="1"/>
        <v>8</v>
      </c>
    </row>
    <row r="137">
      <c r="A137" s="1" t="s">
        <v>5</v>
      </c>
      <c r="B137" s="1">
        <v>127.0</v>
      </c>
      <c r="C137" s="1">
        <v>2.0</v>
      </c>
      <c r="D137" s="1">
        <v>7.0</v>
      </c>
      <c r="E137">
        <f t="shared" si="1"/>
        <v>7</v>
      </c>
    </row>
    <row r="138" hidden="1">
      <c r="A138" s="1" t="s">
        <v>4</v>
      </c>
      <c r="B138" s="1">
        <v>127.0</v>
      </c>
      <c r="C138" s="1">
        <v>3.0</v>
      </c>
      <c r="D138" s="1">
        <v>7.0</v>
      </c>
      <c r="E138">
        <f t="shared" si="1"/>
        <v>8</v>
      </c>
    </row>
    <row r="139" hidden="1">
      <c r="A139" s="1" t="s">
        <v>4</v>
      </c>
      <c r="B139" s="1">
        <v>126.0</v>
      </c>
      <c r="C139" s="1">
        <v>3.0</v>
      </c>
      <c r="D139" s="1">
        <v>7.0</v>
      </c>
      <c r="E139">
        <f t="shared" si="1"/>
        <v>8</v>
      </c>
    </row>
    <row r="140" hidden="1">
      <c r="A140" s="1" t="s">
        <v>4</v>
      </c>
      <c r="B140" s="1">
        <v>125.0</v>
      </c>
      <c r="C140" s="1">
        <v>3.0</v>
      </c>
      <c r="D140" s="1">
        <v>7.0</v>
      </c>
      <c r="E140">
        <f t="shared" si="1"/>
        <v>8</v>
      </c>
    </row>
    <row r="141" hidden="1">
      <c r="A141" s="1" t="s">
        <v>4</v>
      </c>
      <c r="B141" s="1">
        <v>124.0</v>
      </c>
      <c r="C141" s="1">
        <v>3.0</v>
      </c>
      <c r="D141" s="1">
        <v>7.0</v>
      </c>
      <c r="E141">
        <f t="shared" si="1"/>
        <v>8</v>
      </c>
    </row>
    <row r="142" hidden="1">
      <c r="A142" s="1" t="s">
        <v>4</v>
      </c>
      <c r="B142" s="1">
        <v>123.0</v>
      </c>
      <c r="C142" s="1">
        <v>3.0</v>
      </c>
      <c r="D142" s="1">
        <v>7.0</v>
      </c>
      <c r="E142">
        <f t="shared" si="1"/>
        <v>8</v>
      </c>
    </row>
    <row r="143" hidden="1">
      <c r="A143" s="1" t="s">
        <v>4</v>
      </c>
      <c r="B143" s="1">
        <v>122.0</v>
      </c>
      <c r="C143" s="1">
        <v>3.0</v>
      </c>
      <c r="D143" s="1">
        <v>7.0</v>
      </c>
      <c r="E143">
        <f t="shared" si="1"/>
        <v>8</v>
      </c>
    </row>
    <row r="144">
      <c r="A144" s="1" t="s">
        <v>5</v>
      </c>
      <c r="B144" s="1">
        <v>121.0</v>
      </c>
      <c r="C144" s="1">
        <v>3.0</v>
      </c>
      <c r="D144" s="1">
        <v>7.0</v>
      </c>
      <c r="E144">
        <f t="shared" si="1"/>
        <v>7</v>
      </c>
    </row>
    <row r="145" hidden="1">
      <c r="A145" s="1" t="s">
        <v>4</v>
      </c>
      <c r="B145" s="1">
        <v>121.0</v>
      </c>
      <c r="C145" s="1">
        <v>4.0</v>
      </c>
      <c r="D145" s="1">
        <v>7.0</v>
      </c>
      <c r="E145">
        <f t="shared" si="1"/>
        <v>8</v>
      </c>
    </row>
    <row r="146" hidden="1">
      <c r="A146" s="1" t="s">
        <v>4</v>
      </c>
      <c r="B146" s="1">
        <v>120.0</v>
      </c>
      <c r="C146" s="1">
        <v>4.0</v>
      </c>
      <c r="D146" s="1">
        <v>7.0</v>
      </c>
      <c r="E146">
        <f t="shared" si="1"/>
        <v>8</v>
      </c>
    </row>
    <row r="147" hidden="1">
      <c r="A147" s="1" t="s">
        <v>4</v>
      </c>
      <c r="B147" s="1">
        <v>119.0</v>
      </c>
      <c r="C147" s="1">
        <v>4.0</v>
      </c>
      <c r="D147" s="1">
        <v>7.0</v>
      </c>
      <c r="E147">
        <f t="shared" si="1"/>
        <v>8</v>
      </c>
    </row>
    <row r="148" hidden="1">
      <c r="A148" s="1" t="s">
        <v>4</v>
      </c>
      <c r="B148" s="1">
        <v>118.0</v>
      </c>
      <c r="C148" s="1">
        <v>4.0</v>
      </c>
      <c r="D148" s="1">
        <v>7.0</v>
      </c>
      <c r="E148">
        <f t="shared" si="1"/>
        <v>8</v>
      </c>
    </row>
    <row r="149" hidden="1">
      <c r="A149" s="1" t="s">
        <v>4</v>
      </c>
      <c r="B149" s="1">
        <v>117.0</v>
      </c>
      <c r="C149" s="1">
        <v>4.0</v>
      </c>
      <c r="D149" s="1">
        <v>7.0</v>
      </c>
      <c r="E149">
        <f t="shared" si="1"/>
        <v>8</v>
      </c>
    </row>
    <row r="150">
      <c r="A150" s="1" t="s">
        <v>5</v>
      </c>
      <c r="B150" s="1">
        <v>116.0</v>
      </c>
      <c r="C150" s="1">
        <v>4.0</v>
      </c>
      <c r="D150" s="1">
        <v>7.0</v>
      </c>
      <c r="E150">
        <f t="shared" si="1"/>
        <v>7</v>
      </c>
    </row>
    <row r="151" hidden="1">
      <c r="A151" s="1" t="s">
        <v>4</v>
      </c>
      <c r="B151" s="1">
        <v>116.0</v>
      </c>
      <c r="C151" s="1">
        <v>5.0</v>
      </c>
      <c r="D151" s="1">
        <v>7.0</v>
      </c>
      <c r="E151">
        <f t="shared" si="1"/>
        <v>8</v>
      </c>
    </row>
    <row r="152" hidden="1">
      <c r="A152" s="1" t="s">
        <v>4</v>
      </c>
      <c r="B152" s="1">
        <v>115.0</v>
      </c>
      <c r="C152" s="1">
        <v>5.0</v>
      </c>
      <c r="D152" s="1">
        <v>7.0</v>
      </c>
      <c r="E152">
        <f t="shared" si="1"/>
        <v>8</v>
      </c>
    </row>
    <row r="153" hidden="1">
      <c r="A153" s="1" t="s">
        <v>4</v>
      </c>
      <c r="B153" s="1">
        <v>114.0</v>
      </c>
      <c r="C153" s="1">
        <v>5.0</v>
      </c>
      <c r="D153" s="1">
        <v>7.0</v>
      </c>
      <c r="E153">
        <f t="shared" si="1"/>
        <v>8</v>
      </c>
    </row>
    <row r="154" hidden="1">
      <c r="A154" s="1" t="s">
        <v>4</v>
      </c>
      <c r="B154" s="1">
        <v>113.0</v>
      </c>
      <c r="C154" s="1">
        <v>5.0</v>
      </c>
      <c r="D154" s="1">
        <v>7.0</v>
      </c>
      <c r="E154">
        <f t="shared" si="1"/>
        <v>8</v>
      </c>
    </row>
    <row r="155" hidden="1">
      <c r="A155" s="1" t="s">
        <v>4</v>
      </c>
      <c r="B155" s="1">
        <v>112.0</v>
      </c>
      <c r="C155" s="1">
        <v>5.0</v>
      </c>
      <c r="D155" s="1">
        <v>7.0</v>
      </c>
      <c r="E155">
        <f t="shared" si="1"/>
        <v>8</v>
      </c>
    </row>
    <row r="156" hidden="1">
      <c r="A156" s="1" t="s">
        <v>4</v>
      </c>
      <c r="B156" s="1">
        <v>111.0</v>
      </c>
      <c r="C156" s="1">
        <v>5.0</v>
      </c>
      <c r="D156" s="1">
        <v>7.0</v>
      </c>
      <c r="E156">
        <f t="shared" si="1"/>
        <v>8</v>
      </c>
    </row>
    <row r="157" hidden="1">
      <c r="A157" s="1" t="s">
        <v>4</v>
      </c>
      <c r="B157" s="1">
        <v>110.0</v>
      </c>
      <c r="C157" s="1">
        <v>5.0</v>
      </c>
      <c r="D157" s="1">
        <v>7.0</v>
      </c>
      <c r="E157">
        <f t="shared" si="1"/>
        <v>8</v>
      </c>
    </row>
    <row r="158">
      <c r="A158" s="1" t="s">
        <v>5</v>
      </c>
      <c r="B158" s="1">
        <v>109.0</v>
      </c>
      <c r="C158" s="1">
        <v>5.0</v>
      </c>
      <c r="D158" s="1">
        <v>7.0</v>
      </c>
      <c r="E158">
        <f t="shared" si="1"/>
        <v>7</v>
      </c>
    </row>
    <row r="159" hidden="1">
      <c r="A159" s="1" t="s">
        <v>4</v>
      </c>
      <c r="B159" s="1">
        <v>109.0</v>
      </c>
      <c r="C159" s="1">
        <v>6.0</v>
      </c>
      <c r="D159" s="1">
        <v>7.0</v>
      </c>
      <c r="E159">
        <f t="shared" si="1"/>
        <v>8</v>
      </c>
    </row>
    <row r="160" hidden="1">
      <c r="A160" s="1" t="s">
        <v>4</v>
      </c>
      <c r="B160" s="1">
        <v>108.0</v>
      </c>
      <c r="C160" s="1">
        <v>6.0</v>
      </c>
      <c r="D160" s="1">
        <v>7.0</v>
      </c>
      <c r="E160">
        <f t="shared" si="1"/>
        <v>8</v>
      </c>
    </row>
    <row r="161" hidden="1">
      <c r="A161" s="1" t="s">
        <v>4</v>
      </c>
      <c r="B161" s="1">
        <v>107.0</v>
      </c>
      <c r="C161" s="1">
        <v>6.0</v>
      </c>
      <c r="D161" s="1">
        <v>7.0</v>
      </c>
      <c r="E161">
        <f t="shared" si="1"/>
        <v>8</v>
      </c>
    </row>
    <row r="162" hidden="1">
      <c r="A162" s="1" t="s">
        <v>4</v>
      </c>
      <c r="B162" s="1">
        <v>106.0</v>
      </c>
      <c r="C162" s="1">
        <v>6.0</v>
      </c>
      <c r="D162" s="1">
        <v>7.0</v>
      </c>
      <c r="E162">
        <f t="shared" si="1"/>
        <v>8</v>
      </c>
    </row>
    <row r="163" hidden="1">
      <c r="A163" s="1" t="s">
        <v>4</v>
      </c>
      <c r="B163" s="1">
        <v>105.0</v>
      </c>
      <c r="C163" s="1">
        <v>6.0</v>
      </c>
      <c r="D163" s="1">
        <v>7.0</v>
      </c>
      <c r="E163">
        <f t="shared" si="1"/>
        <v>8</v>
      </c>
    </row>
    <row r="164">
      <c r="A164" s="1" t="s">
        <v>5</v>
      </c>
      <c r="B164" s="1">
        <v>104.0</v>
      </c>
      <c r="C164" s="1">
        <v>6.0</v>
      </c>
      <c r="D164" s="1">
        <v>7.0</v>
      </c>
      <c r="E164">
        <f t="shared" si="1"/>
        <v>7</v>
      </c>
    </row>
    <row r="165" hidden="1">
      <c r="A165" s="1" t="s">
        <v>4</v>
      </c>
      <c r="B165" s="1">
        <v>104.0</v>
      </c>
      <c r="C165" s="1">
        <v>7.0</v>
      </c>
      <c r="D165" s="1">
        <v>7.0</v>
      </c>
      <c r="E165">
        <f t="shared" si="1"/>
        <v>8</v>
      </c>
    </row>
    <row r="166" hidden="1">
      <c r="A166" s="1" t="s">
        <v>4</v>
      </c>
      <c r="B166" s="1">
        <v>103.0</v>
      </c>
      <c r="C166" s="1">
        <v>7.0</v>
      </c>
      <c r="D166" s="1">
        <v>7.0</v>
      </c>
      <c r="E166">
        <f t="shared" si="1"/>
        <v>8</v>
      </c>
    </row>
    <row r="167" hidden="1">
      <c r="A167" s="1" t="s">
        <v>4</v>
      </c>
      <c r="B167" s="1">
        <v>102.0</v>
      </c>
      <c r="C167" s="1">
        <v>7.0</v>
      </c>
      <c r="D167" s="1">
        <v>7.0</v>
      </c>
      <c r="E167">
        <f t="shared" si="1"/>
        <v>8</v>
      </c>
    </row>
    <row r="168" hidden="1">
      <c r="A168" s="1" t="s">
        <v>4</v>
      </c>
      <c r="B168" s="1">
        <v>101.0</v>
      </c>
      <c r="C168" s="1">
        <v>7.0</v>
      </c>
      <c r="D168" s="1">
        <v>7.0</v>
      </c>
      <c r="E168">
        <f t="shared" si="1"/>
        <v>8</v>
      </c>
    </row>
    <row r="169" hidden="1">
      <c r="A169" s="1" t="s">
        <v>4</v>
      </c>
      <c r="B169" s="1">
        <v>100.0</v>
      </c>
      <c r="C169" s="1">
        <v>7.0</v>
      </c>
      <c r="D169" s="1">
        <v>7.0</v>
      </c>
      <c r="E169">
        <f t="shared" si="1"/>
        <v>8</v>
      </c>
    </row>
    <row r="170" hidden="1">
      <c r="A170" s="1" t="s">
        <v>4</v>
      </c>
      <c r="B170" s="1">
        <v>99.0</v>
      </c>
      <c r="C170" s="1">
        <v>7.0</v>
      </c>
      <c r="D170" s="1">
        <v>7.0</v>
      </c>
      <c r="E170">
        <f t="shared" si="1"/>
        <v>8</v>
      </c>
    </row>
    <row r="171" hidden="1">
      <c r="A171" s="1" t="s">
        <v>4</v>
      </c>
      <c r="B171" s="1">
        <v>98.0</v>
      </c>
      <c r="C171" s="1">
        <v>7.0</v>
      </c>
      <c r="D171" s="1">
        <v>7.0</v>
      </c>
      <c r="E171">
        <f t="shared" si="1"/>
        <v>8</v>
      </c>
    </row>
    <row r="172">
      <c r="A172" s="1" t="s">
        <v>5</v>
      </c>
      <c r="B172" s="1">
        <v>97.0</v>
      </c>
      <c r="C172" s="1">
        <v>7.0</v>
      </c>
      <c r="D172" s="1">
        <v>7.0</v>
      </c>
      <c r="E172">
        <f t="shared" si="1"/>
        <v>7</v>
      </c>
    </row>
    <row r="173" hidden="1">
      <c r="A173" s="1" t="s">
        <v>4</v>
      </c>
      <c r="B173" s="1">
        <v>97.0</v>
      </c>
      <c r="C173" s="1">
        <v>8.0</v>
      </c>
      <c r="D173" s="1">
        <v>7.0</v>
      </c>
      <c r="E173">
        <f t="shared" si="1"/>
        <v>8</v>
      </c>
    </row>
    <row r="174" hidden="1">
      <c r="A174" s="1" t="s">
        <v>4</v>
      </c>
      <c r="B174" s="1">
        <v>96.0</v>
      </c>
      <c r="C174" s="1">
        <v>8.0</v>
      </c>
      <c r="D174" s="1">
        <v>7.0</v>
      </c>
      <c r="E174">
        <f t="shared" si="1"/>
        <v>8</v>
      </c>
    </row>
    <row r="175" hidden="1">
      <c r="A175" s="1" t="s">
        <v>4</v>
      </c>
      <c r="B175" s="1">
        <v>95.0</v>
      </c>
      <c r="C175" s="1">
        <v>8.0</v>
      </c>
      <c r="D175" s="1">
        <v>7.0</v>
      </c>
      <c r="E175">
        <f t="shared" si="1"/>
        <v>8</v>
      </c>
    </row>
    <row r="176" hidden="1">
      <c r="A176" s="1" t="s">
        <v>4</v>
      </c>
      <c r="B176" s="1">
        <v>94.0</v>
      </c>
      <c r="C176" s="1">
        <v>8.0</v>
      </c>
      <c r="D176" s="1">
        <v>7.0</v>
      </c>
      <c r="E176">
        <f t="shared" si="1"/>
        <v>8</v>
      </c>
    </row>
    <row r="177" hidden="1">
      <c r="A177" s="1" t="s">
        <v>4</v>
      </c>
      <c r="B177" s="1">
        <v>93.0</v>
      </c>
      <c r="C177" s="1">
        <v>8.0</v>
      </c>
      <c r="D177" s="1">
        <v>7.0</v>
      </c>
      <c r="E177">
        <f t="shared" si="1"/>
        <v>8</v>
      </c>
    </row>
    <row r="178" hidden="1">
      <c r="A178" s="1" t="s">
        <v>4</v>
      </c>
      <c r="B178" s="1">
        <v>92.0</v>
      </c>
      <c r="C178" s="1">
        <v>8.0</v>
      </c>
      <c r="D178" s="1">
        <v>7.0</v>
      </c>
      <c r="E178">
        <f t="shared" si="1"/>
        <v>8</v>
      </c>
    </row>
    <row r="179">
      <c r="A179" s="1" t="s">
        <v>5</v>
      </c>
      <c r="B179" s="1">
        <v>91.0</v>
      </c>
      <c r="C179" s="1">
        <v>8.0</v>
      </c>
      <c r="D179" s="1">
        <v>7.0</v>
      </c>
      <c r="E179">
        <f t="shared" si="1"/>
        <v>7</v>
      </c>
    </row>
    <row r="180" hidden="1">
      <c r="A180" s="1" t="s">
        <v>4</v>
      </c>
      <c r="B180" s="1">
        <v>91.0</v>
      </c>
      <c r="C180" s="1">
        <v>9.0</v>
      </c>
      <c r="D180" s="1">
        <v>7.0</v>
      </c>
      <c r="E180">
        <f t="shared" si="1"/>
        <v>8</v>
      </c>
    </row>
    <row r="181" hidden="1">
      <c r="A181" s="1" t="s">
        <v>4</v>
      </c>
      <c r="B181" s="1">
        <v>90.0</v>
      </c>
      <c r="C181" s="1">
        <v>9.0</v>
      </c>
      <c r="D181" s="1">
        <v>7.0</v>
      </c>
      <c r="E181">
        <f t="shared" si="1"/>
        <v>8</v>
      </c>
    </row>
    <row r="182" hidden="1">
      <c r="A182" s="1" t="s">
        <v>4</v>
      </c>
      <c r="B182" s="1">
        <v>89.0</v>
      </c>
      <c r="C182" s="1">
        <v>9.0</v>
      </c>
      <c r="D182" s="1">
        <v>7.0</v>
      </c>
      <c r="E182">
        <f t="shared" si="1"/>
        <v>8</v>
      </c>
    </row>
    <row r="183" hidden="1">
      <c r="A183" s="1" t="s">
        <v>4</v>
      </c>
      <c r="B183" s="1">
        <v>88.0</v>
      </c>
      <c r="C183" s="1">
        <v>9.0</v>
      </c>
      <c r="D183" s="1">
        <v>7.0</v>
      </c>
      <c r="E183">
        <f t="shared" si="1"/>
        <v>8</v>
      </c>
    </row>
    <row r="184">
      <c r="A184" s="1" t="s">
        <v>5</v>
      </c>
      <c r="B184" s="1">
        <v>87.0</v>
      </c>
      <c r="C184" s="1">
        <v>9.0</v>
      </c>
      <c r="D184" s="1">
        <v>7.0</v>
      </c>
      <c r="E184">
        <f t="shared" si="1"/>
        <v>7</v>
      </c>
    </row>
    <row r="185" hidden="1">
      <c r="A185" s="1" t="s">
        <v>4</v>
      </c>
      <c r="B185" s="1">
        <v>87.0</v>
      </c>
      <c r="C185" s="1">
        <v>10.0</v>
      </c>
      <c r="D185" s="1">
        <v>7.0</v>
      </c>
      <c r="E185">
        <f t="shared" si="1"/>
        <v>8</v>
      </c>
    </row>
    <row r="186" hidden="1">
      <c r="A186" s="1" t="s">
        <v>4</v>
      </c>
      <c r="B186" s="1">
        <v>86.0</v>
      </c>
      <c r="C186" s="1">
        <v>10.0</v>
      </c>
      <c r="D186" s="1">
        <v>7.0</v>
      </c>
      <c r="E186">
        <f t="shared" si="1"/>
        <v>8</v>
      </c>
    </row>
    <row r="187" hidden="1">
      <c r="A187" s="1" t="s">
        <v>4</v>
      </c>
      <c r="B187" s="1">
        <v>85.0</v>
      </c>
      <c r="C187" s="1">
        <v>10.0</v>
      </c>
      <c r="D187" s="1">
        <v>7.0</v>
      </c>
      <c r="E187">
        <f t="shared" si="1"/>
        <v>8</v>
      </c>
    </row>
    <row r="188" hidden="1">
      <c r="A188" s="1" t="s">
        <v>4</v>
      </c>
      <c r="B188" s="1">
        <v>84.0</v>
      </c>
      <c r="C188" s="1">
        <v>10.0</v>
      </c>
      <c r="D188" s="1">
        <v>7.0</v>
      </c>
      <c r="E188">
        <f t="shared" si="1"/>
        <v>8</v>
      </c>
    </row>
    <row r="189" hidden="1">
      <c r="A189" s="1" t="s">
        <v>4</v>
      </c>
      <c r="B189" s="1">
        <v>83.0</v>
      </c>
      <c r="C189" s="1">
        <v>10.0</v>
      </c>
      <c r="D189" s="1">
        <v>7.0</v>
      </c>
      <c r="E189">
        <f t="shared" si="1"/>
        <v>8</v>
      </c>
    </row>
    <row r="190">
      <c r="A190" s="1" t="s">
        <v>5</v>
      </c>
      <c r="B190" s="1">
        <v>82.0</v>
      </c>
      <c r="C190" s="1">
        <v>10.0</v>
      </c>
      <c r="D190" s="1">
        <v>7.0</v>
      </c>
      <c r="E190">
        <f t="shared" si="1"/>
        <v>7</v>
      </c>
    </row>
    <row r="191" hidden="1">
      <c r="A191" s="1" t="s">
        <v>4</v>
      </c>
      <c r="B191" s="1">
        <v>82.0</v>
      </c>
      <c r="C191" s="1">
        <v>11.0</v>
      </c>
      <c r="D191" s="1">
        <v>7.0</v>
      </c>
      <c r="E191">
        <f t="shared" si="1"/>
        <v>8</v>
      </c>
    </row>
    <row r="192" hidden="1">
      <c r="A192" s="1" t="s">
        <v>4</v>
      </c>
      <c r="B192" s="1">
        <v>81.0</v>
      </c>
      <c r="C192" s="1">
        <v>11.0</v>
      </c>
      <c r="D192" s="1">
        <v>7.0</v>
      </c>
      <c r="E192">
        <f t="shared" si="1"/>
        <v>8</v>
      </c>
    </row>
    <row r="193" hidden="1">
      <c r="A193" s="1" t="s">
        <v>4</v>
      </c>
      <c r="B193" s="1">
        <v>80.0</v>
      </c>
      <c r="C193" s="1">
        <v>11.0</v>
      </c>
      <c r="D193" s="1">
        <v>7.0</v>
      </c>
      <c r="E193">
        <f t="shared" si="1"/>
        <v>8</v>
      </c>
    </row>
    <row r="194" hidden="1">
      <c r="A194" s="1" t="s">
        <v>4</v>
      </c>
      <c r="B194" s="1">
        <v>79.0</v>
      </c>
      <c r="C194" s="1">
        <v>11.0</v>
      </c>
      <c r="D194" s="1">
        <v>7.0</v>
      </c>
      <c r="E194">
        <f t="shared" si="1"/>
        <v>8</v>
      </c>
    </row>
    <row r="195" hidden="1">
      <c r="A195" s="1" t="s">
        <v>4</v>
      </c>
      <c r="B195" s="1">
        <v>78.0</v>
      </c>
      <c r="C195" s="1">
        <v>11.0</v>
      </c>
      <c r="D195" s="1">
        <v>7.0</v>
      </c>
      <c r="E195">
        <f t="shared" si="1"/>
        <v>8</v>
      </c>
    </row>
    <row r="196">
      <c r="A196" s="1" t="s">
        <v>5</v>
      </c>
      <c r="B196" s="1">
        <v>77.0</v>
      </c>
      <c r="C196" s="1">
        <v>11.0</v>
      </c>
      <c r="D196" s="1">
        <v>7.0</v>
      </c>
      <c r="E196">
        <f t="shared" si="1"/>
        <v>7</v>
      </c>
    </row>
    <row r="197" hidden="1">
      <c r="A197" s="1" t="s">
        <v>4</v>
      </c>
      <c r="B197" s="1">
        <v>77.0</v>
      </c>
      <c r="C197" s="1">
        <v>12.0</v>
      </c>
      <c r="D197" s="1">
        <v>7.0</v>
      </c>
      <c r="E197">
        <f t="shared" si="1"/>
        <v>8</v>
      </c>
    </row>
    <row r="198" hidden="1">
      <c r="A198" s="1" t="s">
        <v>4</v>
      </c>
      <c r="B198" s="1">
        <v>76.0</v>
      </c>
      <c r="C198" s="1">
        <v>12.0</v>
      </c>
      <c r="D198" s="1">
        <v>7.0</v>
      </c>
      <c r="E198">
        <f t="shared" si="1"/>
        <v>8</v>
      </c>
    </row>
    <row r="199" hidden="1">
      <c r="A199" s="1" t="s">
        <v>4</v>
      </c>
      <c r="B199" s="1">
        <v>75.0</v>
      </c>
      <c r="C199" s="1">
        <v>12.0</v>
      </c>
      <c r="D199" s="1">
        <v>7.0</v>
      </c>
      <c r="E199">
        <f t="shared" si="1"/>
        <v>8</v>
      </c>
    </row>
    <row r="200" hidden="1">
      <c r="A200" s="1" t="s">
        <v>4</v>
      </c>
      <c r="B200" s="1">
        <v>74.0</v>
      </c>
      <c r="C200" s="1">
        <v>12.0</v>
      </c>
      <c r="D200" s="1">
        <v>7.0</v>
      </c>
      <c r="E200">
        <f t="shared" si="1"/>
        <v>8</v>
      </c>
    </row>
    <row r="201">
      <c r="A201" s="1" t="s">
        <v>5</v>
      </c>
      <c r="B201" s="1">
        <v>73.0</v>
      </c>
      <c r="C201" s="1">
        <v>12.0</v>
      </c>
      <c r="D201" s="1">
        <v>7.0</v>
      </c>
      <c r="E201">
        <f t="shared" si="1"/>
        <v>7</v>
      </c>
    </row>
    <row r="202" hidden="1">
      <c r="A202" s="1" t="s">
        <v>4</v>
      </c>
      <c r="B202" s="1">
        <v>73.0</v>
      </c>
      <c r="C202" s="1">
        <v>13.0</v>
      </c>
      <c r="D202" s="1">
        <v>7.0</v>
      </c>
      <c r="E202">
        <f t="shared" si="1"/>
        <v>8</v>
      </c>
    </row>
    <row r="203" hidden="1">
      <c r="A203" s="1" t="s">
        <v>4</v>
      </c>
      <c r="B203" s="1">
        <v>72.0</v>
      </c>
      <c r="C203" s="1">
        <v>13.0</v>
      </c>
      <c r="D203" s="1">
        <v>7.0</v>
      </c>
      <c r="E203">
        <f t="shared" si="1"/>
        <v>8</v>
      </c>
    </row>
    <row r="204" hidden="1">
      <c r="A204" s="1" t="s">
        <v>4</v>
      </c>
      <c r="B204" s="1">
        <v>71.0</v>
      </c>
      <c r="C204" s="1">
        <v>13.0</v>
      </c>
      <c r="D204" s="1">
        <v>7.0</v>
      </c>
      <c r="E204">
        <f t="shared" si="1"/>
        <v>8</v>
      </c>
    </row>
    <row r="205" hidden="1">
      <c r="A205" s="1" t="s">
        <v>4</v>
      </c>
      <c r="B205" s="1">
        <v>70.0</v>
      </c>
      <c r="C205" s="1">
        <v>13.0</v>
      </c>
      <c r="D205" s="1">
        <v>7.0</v>
      </c>
      <c r="E205">
        <f t="shared" si="1"/>
        <v>8</v>
      </c>
    </row>
    <row r="206">
      <c r="A206" s="1" t="s">
        <v>5</v>
      </c>
      <c r="B206" s="1">
        <v>69.0</v>
      </c>
      <c r="C206" s="1">
        <v>13.0</v>
      </c>
      <c r="D206" s="1">
        <v>7.0</v>
      </c>
      <c r="E206">
        <f t="shared" si="1"/>
        <v>7</v>
      </c>
    </row>
    <row r="207" hidden="1">
      <c r="A207" s="1" t="s">
        <v>4</v>
      </c>
      <c r="B207" s="1">
        <v>69.0</v>
      </c>
      <c r="C207" s="1">
        <v>14.0</v>
      </c>
      <c r="D207" s="1">
        <v>7.0</v>
      </c>
      <c r="E207">
        <f t="shared" si="1"/>
        <v>8</v>
      </c>
    </row>
    <row r="208" hidden="1">
      <c r="A208" s="1" t="s">
        <v>4</v>
      </c>
      <c r="B208" s="1">
        <v>68.0</v>
      </c>
      <c r="C208" s="1">
        <v>14.0</v>
      </c>
      <c r="D208" s="1">
        <v>7.0</v>
      </c>
      <c r="E208">
        <f t="shared" si="1"/>
        <v>8</v>
      </c>
    </row>
    <row r="209" hidden="1">
      <c r="A209" s="1" t="s">
        <v>4</v>
      </c>
      <c r="B209" s="1">
        <v>67.0</v>
      </c>
      <c r="C209" s="1">
        <v>14.0</v>
      </c>
      <c r="D209" s="1">
        <v>7.0</v>
      </c>
      <c r="E209">
        <f t="shared" si="1"/>
        <v>8</v>
      </c>
    </row>
    <row r="210">
      <c r="A210" s="1" t="s">
        <v>5</v>
      </c>
      <c r="B210" s="1">
        <v>66.0</v>
      </c>
      <c r="C210" s="1">
        <v>14.0</v>
      </c>
      <c r="D210" s="1">
        <v>7.0</v>
      </c>
      <c r="E210">
        <f t="shared" si="1"/>
        <v>7</v>
      </c>
    </row>
    <row r="211" hidden="1">
      <c r="A211" s="1" t="s">
        <v>4</v>
      </c>
      <c r="B211" s="1">
        <v>66.0</v>
      </c>
      <c r="C211" s="1">
        <v>15.0</v>
      </c>
      <c r="D211" s="1">
        <v>7.0</v>
      </c>
      <c r="E211">
        <f t="shared" si="1"/>
        <v>8</v>
      </c>
    </row>
    <row r="212" hidden="1">
      <c r="A212" s="1" t="s">
        <v>4</v>
      </c>
      <c r="B212" s="1">
        <v>65.0</v>
      </c>
      <c r="C212" s="1">
        <v>15.0</v>
      </c>
      <c r="D212" s="1">
        <v>7.0</v>
      </c>
      <c r="E212">
        <f t="shared" si="1"/>
        <v>8</v>
      </c>
    </row>
    <row r="213" hidden="1">
      <c r="A213" s="1" t="s">
        <v>4</v>
      </c>
      <c r="B213" s="1">
        <v>64.0</v>
      </c>
      <c r="C213" s="1">
        <v>15.0</v>
      </c>
      <c r="D213" s="1">
        <v>7.0</v>
      </c>
      <c r="E213">
        <f t="shared" si="1"/>
        <v>8</v>
      </c>
    </row>
    <row r="214">
      <c r="A214" s="1" t="s">
        <v>5</v>
      </c>
      <c r="B214" s="1">
        <v>63.0</v>
      </c>
      <c r="C214" s="1">
        <v>15.0</v>
      </c>
      <c r="D214" s="1">
        <v>7.0</v>
      </c>
      <c r="E214">
        <f t="shared" si="1"/>
        <v>7</v>
      </c>
    </row>
    <row r="215" hidden="1">
      <c r="A215" s="1" t="s">
        <v>4</v>
      </c>
      <c r="B215" s="1">
        <v>63.0</v>
      </c>
      <c r="C215" s="1">
        <v>16.0</v>
      </c>
      <c r="D215" s="1">
        <v>7.0</v>
      </c>
      <c r="E215">
        <f t="shared" si="1"/>
        <v>8</v>
      </c>
    </row>
    <row r="216" hidden="1">
      <c r="A216" s="1" t="s">
        <v>4</v>
      </c>
      <c r="B216" s="1">
        <v>62.0</v>
      </c>
      <c r="C216" s="1">
        <v>16.0</v>
      </c>
      <c r="D216" s="1">
        <v>7.0</v>
      </c>
      <c r="E216">
        <f t="shared" si="1"/>
        <v>8</v>
      </c>
    </row>
    <row r="217" hidden="1">
      <c r="A217" s="1" t="s">
        <v>4</v>
      </c>
      <c r="B217" s="1">
        <v>61.0</v>
      </c>
      <c r="C217" s="1">
        <v>16.0</v>
      </c>
      <c r="D217" s="1">
        <v>7.0</v>
      </c>
      <c r="E217">
        <f t="shared" si="1"/>
        <v>8</v>
      </c>
    </row>
    <row r="218">
      <c r="A218" s="1" t="s">
        <v>5</v>
      </c>
      <c r="B218" s="1">
        <v>60.0</v>
      </c>
      <c r="C218" s="1">
        <v>16.0</v>
      </c>
      <c r="D218" s="1">
        <v>7.0</v>
      </c>
      <c r="E218">
        <f t="shared" si="1"/>
        <v>7</v>
      </c>
    </row>
    <row r="219" hidden="1">
      <c r="A219" s="1" t="s">
        <v>4</v>
      </c>
      <c r="B219" s="1">
        <v>60.0</v>
      </c>
      <c r="C219" s="1">
        <v>17.0</v>
      </c>
      <c r="D219" s="1">
        <v>7.0</v>
      </c>
      <c r="E219">
        <f t="shared" si="1"/>
        <v>8</v>
      </c>
    </row>
    <row r="220" hidden="1">
      <c r="A220" s="1" t="s">
        <v>4</v>
      </c>
      <c r="B220" s="1">
        <v>59.0</v>
      </c>
      <c r="C220" s="1">
        <v>17.0</v>
      </c>
      <c r="D220" s="1">
        <v>7.0</v>
      </c>
      <c r="E220">
        <f t="shared" si="1"/>
        <v>8</v>
      </c>
    </row>
    <row r="221">
      <c r="A221" s="1" t="s">
        <v>5</v>
      </c>
      <c r="B221" s="1">
        <v>58.0</v>
      </c>
      <c r="C221" s="1">
        <v>17.0</v>
      </c>
      <c r="D221" s="1">
        <v>7.0</v>
      </c>
      <c r="E221">
        <f t="shared" si="1"/>
        <v>7</v>
      </c>
    </row>
    <row r="222" hidden="1">
      <c r="A222" s="1" t="s">
        <v>4</v>
      </c>
      <c r="B222" s="1">
        <v>58.0</v>
      </c>
      <c r="C222" s="1">
        <v>18.0</v>
      </c>
      <c r="D222" s="1">
        <v>7.0</v>
      </c>
      <c r="E222">
        <f t="shared" si="1"/>
        <v>8</v>
      </c>
    </row>
    <row r="223" hidden="1">
      <c r="A223" s="1" t="s">
        <v>4</v>
      </c>
      <c r="B223" s="1">
        <v>57.0</v>
      </c>
      <c r="C223" s="1">
        <v>18.0</v>
      </c>
      <c r="D223" s="1">
        <v>7.0</v>
      </c>
      <c r="E223">
        <f t="shared" si="1"/>
        <v>8</v>
      </c>
    </row>
    <row r="224" hidden="1">
      <c r="A224" s="1" t="s">
        <v>4</v>
      </c>
      <c r="B224" s="1">
        <v>56.0</v>
      </c>
      <c r="C224" s="1">
        <v>18.0</v>
      </c>
      <c r="D224" s="1">
        <v>7.0</v>
      </c>
      <c r="E224">
        <f t="shared" si="1"/>
        <v>8</v>
      </c>
    </row>
    <row r="225">
      <c r="A225" s="1" t="s">
        <v>5</v>
      </c>
      <c r="B225" s="1">
        <v>55.0</v>
      </c>
      <c r="C225" s="1">
        <v>18.0</v>
      </c>
      <c r="D225" s="1">
        <v>7.0</v>
      </c>
      <c r="E225">
        <f t="shared" si="1"/>
        <v>7</v>
      </c>
    </row>
    <row r="226" hidden="1">
      <c r="A226" s="1" t="s">
        <v>4</v>
      </c>
      <c r="B226" s="1">
        <v>55.0</v>
      </c>
      <c r="C226" s="1">
        <v>19.0</v>
      </c>
      <c r="D226" s="1">
        <v>7.0</v>
      </c>
      <c r="E226">
        <f t="shared" si="1"/>
        <v>8</v>
      </c>
    </row>
    <row r="227" hidden="1">
      <c r="A227" s="1" t="s">
        <v>4</v>
      </c>
      <c r="B227" s="1">
        <v>54.0</v>
      </c>
      <c r="C227" s="1">
        <v>19.0</v>
      </c>
      <c r="D227" s="1">
        <v>7.0</v>
      </c>
      <c r="E227">
        <f t="shared" si="1"/>
        <v>8</v>
      </c>
    </row>
    <row r="228">
      <c r="A228" s="1" t="s">
        <v>5</v>
      </c>
      <c r="B228" s="1">
        <v>53.0</v>
      </c>
      <c r="C228" s="1">
        <v>19.0</v>
      </c>
      <c r="D228" s="1">
        <v>7.0</v>
      </c>
      <c r="E228">
        <f t="shared" si="1"/>
        <v>7</v>
      </c>
    </row>
    <row r="229" hidden="1">
      <c r="A229" s="1" t="s">
        <v>4</v>
      </c>
      <c r="B229" s="1">
        <v>53.0</v>
      </c>
      <c r="C229" s="1">
        <v>20.0</v>
      </c>
      <c r="D229" s="1">
        <v>7.0</v>
      </c>
      <c r="E229">
        <f t="shared" si="1"/>
        <v>8</v>
      </c>
    </row>
    <row r="230" hidden="1">
      <c r="A230" s="1" t="s">
        <v>4</v>
      </c>
      <c r="B230" s="1">
        <v>52.0</v>
      </c>
      <c r="C230" s="1">
        <v>20.0</v>
      </c>
      <c r="D230" s="1">
        <v>7.0</v>
      </c>
      <c r="E230">
        <f t="shared" si="1"/>
        <v>8</v>
      </c>
    </row>
    <row r="231">
      <c r="A231" s="1" t="s">
        <v>5</v>
      </c>
      <c r="B231" s="1">
        <v>51.0</v>
      </c>
      <c r="C231" s="1">
        <v>20.0</v>
      </c>
      <c r="D231" s="1">
        <v>7.0</v>
      </c>
      <c r="E231">
        <f t="shared" si="1"/>
        <v>7</v>
      </c>
    </row>
    <row r="232" hidden="1">
      <c r="A232" s="1" t="s">
        <v>4</v>
      </c>
      <c r="B232" s="1">
        <v>51.0</v>
      </c>
      <c r="C232" s="1">
        <v>21.0</v>
      </c>
      <c r="D232" s="1">
        <v>7.0</v>
      </c>
      <c r="E232">
        <f t="shared" si="1"/>
        <v>8</v>
      </c>
    </row>
    <row r="233" hidden="1">
      <c r="A233" s="1" t="s">
        <v>4</v>
      </c>
      <c r="B233" s="1">
        <v>50.0</v>
      </c>
      <c r="C233" s="1">
        <v>21.0</v>
      </c>
      <c r="D233" s="1">
        <v>7.0</v>
      </c>
      <c r="E233">
        <f t="shared" si="1"/>
        <v>8</v>
      </c>
    </row>
    <row r="234">
      <c r="A234" s="1" t="s">
        <v>5</v>
      </c>
      <c r="B234" s="1">
        <v>49.0</v>
      </c>
      <c r="C234" s="1">
        <v>21.0</v>
      </c>
      <c r="D234" s="1">
        <v>7.0</v>
      </c>
      <c r="E234">
        <f t="shared" si="1"/>
        <v>7</v>
      </c>
    </row>
    <row r="235" hidden="1">
      <c r="A235" s="1" t="s">
        <v>4</v>
      </c>
      <c r="B235" s="1">
        <v>49.0</v>
      </c>
      <c r="C235" s="1">
        <v>22.0</v>
      </c>
      <c r="D235" s="1">
        <v>7.0</v>
      </c>
      <c r="E235">
        <f t="shared" si="1"/>
        <v>8</v>
      </c>
    </row>
    <row r="236" hidden="1">
      <c r="A236" s="1" t="s">
        <v>4</v>
      </c>
      <c r="B236" s="1">
        <v>48.0</v>
      </c>
      <c r="C236" s="1">
        <v>22.0</v>
      </c>
      <c r="D236" s="1">
        <v>7.0</v>
      </c>
      <c r="E236">
        <f t="shared" si="1"/>
        <v>8</v>
      </c>
    </row>
    <row r="237">
      <c r="A237" s="1" t="s">
        <v>5</v>
      </c>
      <c r="B237" s="1">
        <v>47.0</v>
      </c>
      <c r="C237" s="1">
        <v>22.0</v>
      </c>
      <c r="D237" s="1">
        <v>7.0</v>
      </c>
      <c r="E237">
        <f t="shared" si="1"/>
        <v>7</v>
      </c>
    </row>
    <row r="238" hidden="1">
      <c r="A238" s="1" t="s">
        <v>4</v>
      </c>
      <c r="B238" s="1">
        <v>47.0</v>
      </c>
      <c r="C238" s="1">
        <v>23.0</v>
      </c>
      <c r="D238" s="1">
        <v>7.0</v>
      </c>
      <c r="E238">
        <f t="shared" si="1"/>
        <v>8</v>
      </c>
    </row>
    <row r="239" hidden="1">
      <c r="A239" s="1" t="s">
        <v>4</v>
      </c>
      <c r="B239" s="1">
        <v>46.0</v>
      </c>
      <c r="C239" s="1">
        <v>23.0</v>
      </c>
      <c r="D239" s="1">
        <v>7.0</v>
      </c>
      <c r="E239">
        <f t="shared" si="1"/>
        <v>8</v>
      </c>
    </row>
    <row r="240">
      <c r="A240" s="1" t="s">
        <v>5</v>
      </c>
      <c r="B240" s="1">
        <v>45.0</v>
      </c>
      <c r="C240" s="1">
        <v>23.0</v>
      </c>
      <c r="D240" s="1">
        <v>7.0</v>
      </c>
      <c r="E240">
        <f t="shared" si="1"/>
        <v>7</v>
      </c>
    </row>
    <row r="241" hidden="1">
      <c r="A241" s="1" t="s">
        <v>4</v>
      </c>
      <c r="B241" s="1">
        <v>45.0</v>
      </c>
      <c r="C241" s="1">
        <v>24.0</v>
      </c>
      <c r="D241" s="1">
        <v>7.0</v>
      </c>
      <c r="E241">
        <f t="shared" si="1"/>
        <v>8</v>
      </c>
    </row>
    <row r="242" hidden="1">
      <c r="A242" s="1" t="s">
        <v>4</v>
      </c>
      <c r="B242" s="1">
        <v>44.0</v>
      </c>
      <c r="C242" s="1">
        <v>24.0</v>
      </c>
      <c r="D242" s="1">
        <v>7.0</v>
      </c>
      <c r="E242">
        <f t="shared" si="1"/>
        <v>8</v>
      </c>
    </row>
    <row r="243">
      <c r="A243" s="1" t="s">
        <v>5</v>
      </c>
      <c r="B243" s="1">
        <v>43.0</v>
      </c>
      <c r="C243" s="1">
        <v>24.0</v>
      </c>
      <c r="D243" s="1">
        <v>7.0</v>
      </c>
      <c r="E243">
        <f t="shared" si="1"/>
        <v>7</v>
      </c>
    </row>
    <row r="244" hidden="1">
      <c r="A244" s="1" t="s">
        <v>4</v>
      </c>
      <c r="B244" s="1">
        <v>43.0</v>
      </c>
      <c r="C244" s="1">
        <v>25.0</v>
      </c>
      <c r="D244" s="1">
        <v>7.0</v>
      </c>
      <c r="E244">
        <f t="shared" si="1"/>
        <v>8</v>
      </c>
    </row>
    <row r="245" hidden="1">
      <c r="A245" s="1" t="s">
        <v>4</v>
      </c>
      <c r="B245" s="1">
        <v>42.0</v>
      </c>
      <c r="C245" s="1">
        <v>25.0</v>
      </c>
      <c r="D245" s="1">
        <v>7.0</v>
      </c>
      <c r="E245">
        <f t="shared" si="1"/>
        <v>8</v>
      </c>
    </row>
    <row r="246">
      <c r="A246" s="1" t="s">
        <v>5</v>
      </c>
      <c r="B246" s="1">
        <v>41.0</v>
      </c>
      <c r="C246" s="1">
        <v>25.0</v>
      </c>
      <c r="D246" s="1">
        <v>7.0</v>
      </c>
      <c r="E246">
        <f t="shared" si="1"/>
        <v>7</v>
      </c>
    </row>
    <row r="247" hidden="1">
      <c r="A247" s="1" t="s">
        <v>4</v>
      </c>
      <c r="B247" s="1">
        <v>41.0</v>
      </c>
      <c r="C247" s="1">
        <v>26.0</v>
      </c>
      <c r="D247" s="1">
        <v>7.0</v>
      </c>
      <c r="E247">
        <f t="shared" si="1"/>
        <v>8</v>
      </c>
    </row>
    <row r="248">
      <c r="A248" s="1" t="s">
        <v>5</v>
      </c>
      <c r="B248" s="1">
        <v>40.0</v>
      </c>
      <c r="C248" s="1">
        <v>26.0</v>
      </c>
      <c r="D248" s="1">
        <v>7.0</v>
      </c>
      <c r="E248">
        <f t="shared" si="1"/>
        <v>7</v>
      </c>
    </row>
    <row r="249" hidden="1">
      <c r="A249" s="1" t="s">
        <v>4</v>
      </c>
      <c r="B249" s="1">
        <v>40.0</v>
      </c>
      <c r="C249" s="1">
        <v>27.0</v>
      </c>
      <c r="D249" s="1">
        <v>7.0</v>
      </c>
      <c r="E249">
        <f t="shared" si="1"/>
        <v>8</v>
      </c>
    </row>
    <row r="250" hidden="1">
      <c r="A250" s="1" t="s">
        <v>4</v>
      </c>
      <c r="B250" s="1">
        <v>39.0</v>
      </c>
      <c r="C250" s="1">
        <v>27.0</v>
      </c>
      <c r="D250" s="1">
        <v>7.0</v>
      </c>
      <c r="E250">
        <f t="shared" si="1"/>
        <v>8</v>
      </c>
    </row>
    <row r="251">
      <c r="A251" s="1" t="s">
        <v>5</v>
      </c>
      <c r="B251" s="1">
        <v>38.0</v>
      </c>
      <c r="C251" s="1">
        <v>27.0</v>
      </c>
      <c r="D251" s="1">
        <v>7.0</v>
      </c>
      <c r="E251">
        <f t="shared" si="1"/>
        <v>7</v>
      </c>
    </row>
    <row r="252" hidden="1">
      <c r="A252" s="1" t="s">
        <v>4</v>
      </c>
      <c r="B252" s="1">
        <v>38.0</v>
      </c>
      <c r="C252" s="1">
        <v>28.0</v>
      </c>
      <c r="D252" s="1">
        <v>7.0</v>
      </c>
      <c r="E252">
        <f t="shared" si="1"/>
        <v>8</v>
      </c>
    </row>
    <row r="253">
      <c r="A253" s="1" t="s">
        <v>5</v>
      </c>
      <c r="B253" s="1">
        <v>37.0</v>
      </c>
      <c r="C253" s="1">
        <v>28.0</v>
      </c>
      <c r="D253" s="1">
        <v>7.0</v>
      </c>
      <c r="E253">
        <f t="shared" si="1"/>
        <v>7</v>
      </c>
    </row>
    <row r="254" hidden="1">
      <c r="A254" s="1" t="s">
        <v>4</v>
      </c>
      <c r="B254" s="1">
        <v>37.0</v>
      </c>
      <c r="C254" s="1">
        <v>29.0</v>
      </c>
      <c r="D254" s="1">
        <v>7.0</v>
      </c>
      <c r="E254">
        <f t="shared" si="1"/>
        <v>8</v>
      </c>
    </row>
    <row r="255">
      <c r="A255" s="1" t="s">
        <v>5</v>
      </c>
      <c r="B255" s="1">
        <v>36.0</v>
      </c>
      <c r="C255" s="1">
        <v>29.0</v>
      </c>
      <c r="D255" s="1">
        <v>7.0</v>
      </c>
      <c r="E255">
        <f t="shared" si="1"/>
        <v>7</v>
      </c>
    </row>
    <row r="256" hidden="1">
      <c r="A256" s="1" t="s">
        <v>4</v>
      </c>
      <c r="B256" s="1">
        <v>36.0</v>
      </c>
      <c r="C256" s="1">
        <v>30.0</v>
      </c>
      <c r="D256" s="1">
        <v>7.0</v>
      </c>
      <c r="E256">
        <f t="shared" si="1"/>
        <v>8</v>
      </c>
    </row>
    <row r="257">
      <c r="A257" s="1" t="s">
        <v>5</v>
      </c>
      <c r="B257" s="1">
        <v>35.0</v>
      </c>
      <c r="C257" s="1">
        <v>30.0</v>
      </c>
      <c r="D257" s="1">
        <v>7.0</v>
      </c>
      <c r="E257">
        <f t="shared" si="1"/>
        <v>7</v>
      </c>
    </row>
    <row r="258" hidden="1">
      <c r="A258" s="1" t="s">
        <v>4</v>
      </c>
      <c r="B258" s="1">
        <v>35.0</v>
      </c>
      <c r="C258" s="1">
        <v>31.0</v>
      </c>
      <c r="D258" s="1">
        <v>7.0</v>
      </c>
      <c r="E258">
        <f t="shared" si="1"/>
        <v>8</v>
      </c>
    </row>
    <row r="259">
      <c r="A259" s="1" t="s">
        <v>5</v>
      </c>
      <c r="B259" s="1">
        <v>34.0</v>
      </c>
      <c r="C259" s="1">
        <v>31.0</v>
      </c>
      <c r="D259" s="1">
        <v>7.0</v>
      </c>
      <c r="E259">
        <f t="shared" si="1"/>
        <v>7</v>
      </c>
    </row>
    <row r="260" hidden="1">
      <c r="A260" s="1" t="s">
        <v>4</v>
      </c>
      <c r="B260" s="1">
        <v>34.0</v>
      </c>
      <c r="C260" s="1">
        <v>32.0</v>
      </c>
      <c r="D260" s="1">
        <v>7.0</v>
      </c>
      <c r="E260">
        <f t="shared" si="1"/>
        <v>8</v>
      </c>
    </row>
    <row r="261">
      <c r="A261" s="1" t="s">
        <v>5</v>
      </c>
      <c r="B261" s="1">
        <v>33.0</v>
      </c>
      <c r="C261" s="1">
        <v>32.0</v>
      </c>
      <c r="D261" s="1">
        <v>7.0</v>
      </c>
      <c r="E261">
        <f t="shared" si="1"/>
        <v>7</v>
      </c>
    </row>
    <row r="262" hidden="1">
      <c r="A262" s="1" t="s">
        <v>4</v>
      </c>
      <c r="B262" s="1">
        <v>33.0</v>
      </c>
      <c r="C262" s="1">
        <v>33.0</v>
      </c>
      <c r="D262" s="1">
        <v>7.0</v>
      </c>
      <c r="E262">
        <f t="shared" si="1"/>
        <v>8</v>
      </c>
    </row>
  </sheetData>
  <autoFilter ref="$A$2:$E$262">
    <filterColumn colId="0">
      <filters>
        <filter val="+0"/>
      </filters>
    </filterColumn>
  </autoFilter>
  <conditionalFormatting sqref="A2:A262">
    <cfRule type="expression" dxfId="0" priority="1" operator="containsText">
      <formula>NOT(ISERROR(SEARCH((1),(A2))))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2" width="4.25"/>
    <col customWidth="1" min="23" max="27" width="3.38"/>
    <col customWidth="1" min="28" max="28" width="4.25"/>
    <col customWidth="1" min="29" max="29" width="4.38"/>
    <col customWidth="1" min="30" max="31" width="4.25"/>
    <col customWidth="1" min="32" max="32" width="7.63"/>
    <col customWidth="1" min="33" max="33" width="10.5"/>
    <col customWidth="1" min="34" max="34" width="4.5"/>
    <col customWidth="1" min="35" max="35" width="5.88"/>
    <col customWidth="1" min="36" max="38" width="4.5"/>
    <col customWidth="1" min="39" max="76" width="3.38"/>
  </cols>
  <sheetData>
    <row r="1">
      <c r="A1" s="1" t="s">
        <v>0</v>
      </c>
      <c r="B1" s="1" t="s">
        <v>1</v>
      </c>
      <c r="C1" s="1" t="s">
        <v>2</v>
      </c>
      <c r="E1" s="2" t="s">
        <v>3</v>
      </c>
      <c r="F1" s="2">
        <v>1.0</v>
      </c>
      <c r="G1" s="2">
        <v>2.0</v>
      </c>
      <c r="H1" s="2">
        <v>3.0</v>
      </c>
      <c r="I1" s="2">
        <v>4.0</v>
      </c>
      <c r="J1" s="2">
        <v>5.0</v>
      </c>
      <c r="K1" s="2">
        <v>6.0</v>
      </c>
      <c r="L1" s="2">
        <v>7.0</v>
      </c>
      <c r="M1" s="2">
        <v>8.0</v>
      </c>
      <c r="X1" s="2" t="s">
        <v>3</v>
      </c>
      <c r="Y1" s="2">
        <v>1.0</v>
      </c>
      <c r="Z1" s="2">
        <v>2.0</v>
      </c>
      <c r="AA1" s="2">
        <v>3.0</v>
      </c>
      <c r="AB1" s="2">
        <v>4.0</v>
      </c>
      <c r="AC1" s="2">
        <v>5.0</v>
      </c>
      <c r="AD1" s="2">
        <v>6.0</v>
      </c>
      <c r="AE1" s="2">
        <v>7.0</v>
      </c>
      <c r="AF1" s="2">
        <v>8.0</v>
      </c>
    </row>
    <row r="2">
      <c r="A2" s="1">
        <v>1.0</v>
      </c>
      <c r="B2" s="1">
        <v>1.0</v>
      </c>
      <c r="C2" s="1">
        <v>2.0</v>
      </c>
      <c r="E2" s="2">
        <v>1.0</v>
      </c>
      <c r="F2" s="4">
        <f>IFERROR(__xludf.DUMMYFUNCTION("ifna(QUERY($A$2:$C$85, ""select C where A="" &amp; F$1 &amp; "" and B="" &amp; $E2), ifna(QUERY($A$2:$C$85, ""select B where A="" &amp; F$1 &amp; "" and C="" &amp; $E2),F3))"),2.0)</f>
        <v>2</v>
      </c>
      <c r="G2" s="4">
        <f>IFERROR(__xludf.DUMMYFUNCTION("ifna(QUERY($A$2:$C$85, ""select C where A="" &amp; G$1 &amp; "" and B="" &amp; $E2), ifna(QUERY($A$2:$C$85, ""select B where A="" &amp; G$1 &amp; "" and C="" &amp; $E2),G3))"),4.0)</f>
        <v>4</v>
      </c>
      <c r="H2" s="4">
        <f>IFERROR(__xludf.DUMMYFUNCTION("ifna(QUERY($A$2:$C$85, ""select C where A="" &amp; H$1 &amp; "" and B="" &amp; $E2), ifna(QUERY($A$2:$C$85, ""select B where A="" &amp; H$1 &amp; "" and C="" &amp; $E2),H3))"),8.0)</f>
        <v>8</v>
      </c>
      <c r="I2" s="4">
        <f>IFERROR(__xludf.DUMMYFUNCTION("ifna(QUERY($A$2:$C$85, ""select C where A="" &amp; I$1 &amp; "" and B="" &amp; $E2), ifna(QUERY($A$2:$C$85, ""select B where A="" &amp; I$1 &amp; "" and C="" &amp; $E2),I3))"),16.0)</f>
        <v>16</v>
      </c>
      <c r="J2" s="4">
        <f>IFERROR(__xludf.DUMMYFUNCTION("ifna(QUERY($A$2:$C$85, ""select C where A="" &amp; J$1 &amp; "" and B="" &amp; $E2), ifna(QUERY($A$2:$C$85, ""select B where A="" &amp; J$1 &amp; "" and C="" &amp; $E2),J3))"),32.0)</f>
        <v>32</v>
      </c>
      <c r="K2" s="4">
        <f>IFERROR(__xludf.DUMMYFUNCTION("ifna(QUERY($A$2:$C$85, ""select C where A="" &amp; K$1 &amp; "" and B="" &amp; $E2), ifna(QUERY($A$2:$C$85, ""select B where A="" &amp; K$1 &amp; "" and C="" &amp; $E2),K3))"),64.0)</f>
        <v>64</v>
      </c>
      <c r="L2" s="4">
        <f>IFERROR(__xludf.DUMMYFUNCTION("ifna(QUERY($A$2:$C$85, ""select C where A="" &amp; L$1 &amp; "" and B="" &amp; $E2), ifna(QUERY($A$2:$C$85, ""select B where A="" &amp; L$1 &amp; "" and C="" &amp; $E2),L3))"),128.0)</f>
        <v>128</v>
      </c>
      <c r="M2" s="4">
        <f>IFERROR(__xludf.DUMMYFUNCTION("ifna(QUERY($A$2:$C$85, ""select C where A="" &amp; M$1 &amp; "" and B="" &amp; $E2), ifna(QUERY($A$2:$C$85, ""select B where A="" &amp; M$1 &amp; "" and C="" &amp; $E2),M3))"),256.0)</f>
        <v>256</v>
      </c>
      <c r="O2" s="5">
        <f t="shared" ref="O2:V2" si="1">F2-F3</f>
        <v>1</v>
      </c>
      <c r="P2">
        <f t="shared" si="1"/>
        <v>1</v>
      </c>
      <c r="Q2">
        <f t="shared" si="1"/>
        <v>1</v>
      </c>
      <c r="R2">
        <f t="shared" si="1"/>
        <v>1</v>
      </c>
      <c r="S2">
        <f t="shared" si="1"/>
        <v>1</v>
      </c>
      <c r="T2">
        <f t="shared" si="1"/>
        <v>1</v>
      </c>
      <c r="U2">
        <f t="shared" si="1"/>
        <v>1</v>
      </c>
      <c r="V2">
        <f t="shared" si="1"/>
        <v>1</v>
      </c>
      <c r="W2" s="2"/>
      <c r="X2" s="2">
        <v>1.0</v>
      </c>
      <c r="Y2" s="4">
        <f t="shared" ref="Y2:AF2" si="2">F$2-F2</f>
        <v>0</v>
      </c>
      <c r="Z2" s="4">
        <f t="shared" si="2"/>
        <v>0</v>
      </c>
      <c r="AA2" s="4">
        <f t="shared" si="2"/>
        <v>0</v>
      </c>
      <c r="AB2" s="4">
        <f t="shared" si="2"/>
        <v>0</v>
      </c>
      <c r="AC2" s="4">
        <f t="shared" si="2"/>
        <v>0</v>
      </c>
      <c r="AD2" s="4">
        <f t="shared" si="2"/>
        <v>0</v>
      </c>
      <c r="AE2" s="4">
        <f t="shared" si="2"/>
        <v>0</v>
      </c>
      <c r="AF2" s="4">
        <f t="shared" si="2"/>
        <v>0</v>
      </c>
      <c r="AG2" s="2"/>
      <c r="AH2" s="2"/>
    </row>
    <row r="3">
      <c r="A3" s="1">
        <v>2.0</v>
      </c>
      <c r="B3" s="1">
        <v>1.0</v>
      </c>
      <c r="C3" s="1">
        <v>4.0</v>
      </c>
      <c r="E3" s="2">
        <v>2.0</v>
      </c>
      <c r="F3" s="6">
        <f>IFERROR(__xludf.DUMMYFUNCTION("ifna(QUERY($A$2:$C$85, ""select C where A="" &amp; F$1 &amp; "" and B="" &amp; $E3), ifna(QUERY($A$2:$C$85, ""select B where A="" &amp; F$1 &amp; "" and C="" &amp; $E3),F4))"),1.0)</f>
        <v>1</v>
      </c>
      <c r="G3" s="4">
        <f>IFERROR(__xludf.DUMMYFUNCTION("ifna(QUERY($A$2:$C$85, ""select C where A="" &amp; G$1 &amp; "" and B="" &amp; $E3), ifna(QUERY($A$2:$C$85, ""select B where A="" &amp; G$1 &amp; "" and C="" &amp; $E3),G4))"),3.0)</f>
        <v>3</v>
      </c>
      <c r="H3" s="4">
        <f>IFERROR(__xludf.DUMMYFUNCTION("ifna(QUERY($A$2:$C$85, ""select C where A="" &amp; H$1 &amp; "" and B="" &amp; $E3), ifna(QUERY($A$2:$C$85, ""select B where A="" &amp; H$1 &amp; "" and C="" &amp; $E3),H4))"),7.0)</f>
        <v>7</v>
      </c>
      <c r="I3" s="4">
        <f>IFERROR(__xludf.DUMMYFUNCTION("ifna(QUERY($A$2:$C$85, ""select C where A="" &amp; I$1 &amp; "" and B="" &amp; $E3), ifna(QUERY($A$2:$C$85, ""select B where A="" &amp; I$1 &amp; "" and C="" &amp; $E3),I4))"),15.0)</f>
        <v>15</v>
      </c>
      <c r="J3" s="4">
        <f>IFERROR(__xludf.DUMMYFUNCTION("ifna(QUERY($A$2:$C$85, ""select C where A="" &amp; J$1 &amp; "" and B="" &amp; $E3), ifna(QUERY($A$2:$C$85, ""select B where A="" &amp; J$1 &amp; "" and C="" &amp; $E3),J4))"),31.0)</f>
        <v>31</v>
      </c>
      <c r="K3" s="4">
        <f>IFERROR(__xludf.DUMMYFUNCTION("ifna(QUERY($A$2:$C$85, ""select C where A="" &amp; K$1 &amp; "" and B="" &amp; $E3), ifna(QUERY($A$2:$C$85, ""select B where A="" &amp; K$1 &amp; "" and C="" &amp; $E3),K4))"),63.0)</f>
        <v>63</v>
      </c>
      <c r="L3" s="4">
        <f>IFERROR(__xludf.DUMMYFUNCTION("ifna(QUERY($A$2:$C$85, ""select C where A="" &amp; L$1 &amp; "" and B="" &amp; $E3), ifna(QUERY($A$2:$C$85, ""select B where A="" &amp; L$1 &amp; "" and C="" &amp; $E3),L4))"),127.0)</f>
        <v>127</v>
      </c>
      <c r="M3" s="4">
        <f>IFERROR(__xludf.DUMMYFUNCTION("ifna(QUERY($A$2:$C$85, ""select C where A="" &amp; M$1 &amp; "" and B="" &amp; $E3), ifna(QUERY($A$2:$C$85, ""select B where A="" &amp; M$1 &amp; "" and C="" &amp; $E3),M4))"),255.0)</f>
        <v>255</v>
      </c>
      <c r="O3">
        <f t="shared" ref="O3:V3" si="3">F3-F4</f>
        <v>1</v>
      </c>
      <c r="P3" s="5">
        <f t="shared" si="3"/>
        <v>1</v>
      </c>
      <c r="Q3">
        <f t="shared" si="3"/>
        <v>2</v>
      </c>
      <c r="R3">
        <f t="shared" si="3"/>
        <v>3</v>
      </c>
      <c r="S3">
        <f t="shared" si="3"/>
        <v>4</v>
      </c>
      <c r="T3">
        <f t="shared" si="3"/>
        <v>5</v>
      </c>
      <c r="U3">
        <f t="shared" si="3"/>
        <v>6</v>
      </c>
      <c r="V3">
        <f t="shared" si="3"/>
        <v>7</v>
      </c>
      <c r="X3" s="2">
        <v>2.0</v>
      </c>
      <c r="Y3" s="6">
        <f t="shared" ref="Y3:AF3" si="4">F$2-F3</f>
        <v>1</v>
      </c>
      <c r="Z3" s="4">
        <f t="shared" si="4"/>
        <v>1</v>
      </c>
      <c r="AA3" s="4">
        <f t="shared" si="4"/>
        <v>1</v>
      </c>
      <c r="AB3" s="4">
        <f t="shared" si="4"/>
        <v>1</v>
      </c>
      <c r="AC3" s="4">
        <f t="shared" si="4"/>
        <v>1</v>
      </c>
      <c r="AD3" s="4">
        <f t="shared" si="4"/>
        <v>1</v>
      </c>
      <c r="AE3" s="4">
        <f t="shared" si="4"/>
        <v>1</v>
      </c>
      <c r="AF3" s="4">
        <f t="shared" si="4"/>
        <v>1</v>
      </c>
    </row>
    <row r="4">
      <c r="A4" s="1">
        <v>2.0</v>
      </c>
      <c r="B4" s="1">
        <v>2.0</v>
      </c>
      <c r="C4" s="1">
        <v>3.0</v>
      </c>
      <c r="E4" s="2">
        <v>3.0</v>
      </c>
      <c r="F4" s="6" t="str">
        <f>IFERROR(__xludf.DUMMYFUNCTION("ifna(QUERY($A$2:$C$85, ""select C where A="" &amp; F$1 &amp; "" and B="" &amp; $E4), ifna(QUERY($A$2:$C$85, ""select B where A="" &amp; F$1 &amp; "" and C="" &amp; $E4),F5))"),"")</f>
        <v/>
      </c>
      <c r="G4" s="6">
        <f>IFERROR(__xludf.DUMMYFUNCTION("ifna(QUERY($A$2:$C$85, ""select C where A="" &amp; G$1 &amp; "" and B="" &amp; $E4), ifna(QUERY($A$2:$C$85, ""select B where A="" &amp; G$1 &amp; "" and C="" &amp; $E4),G5))"),2.0)</f>
        <v>2</v>
      </c>
      <c r="H4" s="4">
        <f>IFERROR(__xludf.DUMMYFUNCTION("ifna(QUERY($A$2:$C$85, ""select C where A="" &amp; H$1 &amp; "" and B="" &amp; $E4), ifna(QUERY($A$2:$C$85, ""select B where A="" &amp; H$1 &amp; "" and C="" &amp; $E4),H5))"),5.0)</f>
        <v>5</v>
      </c>
      <c r="I4" s="4">
        <f>IFERROR(__xludf.DUMMYFUNCTION("ifna(QUERY($A$2:$C$85, ""select C where A="" &amp; I$1 &amp; "" and B="" &amp; $E4), ifna(QUERY($A$2:$C$85, ""select B where A="" &amp; I$1 &amp; "" and C="" &amp; $E4),I5))"),12.0)</f>
        <v>12</v>
      </c>
      <c r="J4" s="4">
        <f>IFERROR(__xludf.DUMMYFUNCTION("ifna(QUERY($A$2:$C$85, ""select C where A="" &amp; J$1 &amp; "" and B="" &amp; $E4), ifna(QUERY($A$2:$C$85, ""select B where A="" &amp; J$1 &amp; "" and C="" &amp; $E4),J5))"),27.0)</f>
        <v>27</v>
      </c>
      <c r="K4" s="4">
        <f>IFERROR(__xludf.DUMMYFUNCTION("ifna(QUERY($A$2:$C$85, ""select C where A="" &amp; K$1 &amp; "" and B="" &amp; $E4), ifna(QUERY($A$2:$C$85, ""select B where A="" &amp; K$1 &amp; "" and C="" &amp; $E4),K5))"),58.0)</f>
        <v>58</v>
      </c>
      <c r="L4" s="4">
        <f>IFERROR(__xludf.DUMMYFUNCTION("ifna(QUERY($A$2:$C$85, ""select C where A="" &amp; L$1 &amp; "" and B="" &amp; $E4), ifna(QUERY($A$2:$C$85, ""select B where A="" &amp; L$1 &amp; "" and C="" &amp; $E4),L5))"),121.0)</f>
        <v>121</v>
      </c>
      <c r="M4" s="4">
        <f>IFERROR(__xludf.DUMMYFUNCTION("ifna(QUERY($A$2:$C$85, ""select C where A="" &amp; M$1 &amp; "" and B="" &amp; $E4), ifna(QUERY($A$2:$C$85, ""select B where A="" &amp; M$1 &amp; "" and C="" &amp; $E4),M5))"),248.0)</f>
        <v>248</v>
      </c>
      <c r="O4">
        <f t="shared" ref="O4:V4" si="5">F4-F5</f>
        <v>0</v>
      </c>
      <c r="P4">
        <f t="shared" si="5"/>
        <v>1</v>
      </c>
      <c r="Q4">
        <f t="shared" si="5"/>
        <v>1</v>
      </c>
      <c r="R4">
        <f t="shared" si="5"/>
        <v>2</v>
      </c>
      <c r="S4">
        <f t="shared" si="5"/>
        <v>3</v>
      </c>
      <c r="T4">
        <f t="shared" si="5"/>
        <v>4</v>
      </c>
      <c r="U4">
        <f t="shared" si="5"/>
        <v>5</v>
      </c>
      <c r="V4">
        <f t="shared" si="5"/>
        <v>6</v>
      </c>
      <c r="X4" s="2">
        <v>3.0</v>
      </c>
      <c r="Y4" s="6">
        <f t="shared" ref="Y4:AF4" si="6">F$2-F4</f>
        <v>2</v>
      </c>
      <c r="Z4" s="6">
        <f t="shared" si="6"/>
        <v>2</v>
      </c>
      <c r="AA4" s="4">
        <f t="shared" si="6"/>
        <v>3</v>
      </c>
      <c r="AB4" s="4">
        <f t="shared" si="6"/>
        <v>4</v>
      </c>
      <c r="AC4" s="4">
        <f t="shared" si="6"/>
        <v>5</v>
      </c>
      <c r="AD4" s="4">
        <f t="shared" si="6"/>
        <v>6</v>
      </c>
      <c r="AE4" s="4">
        <f t="shared" si="6"/>
        <v>7</v>
      </c>
      <c r="AF4" s="4">
        <f t="shared" si="6"/>
        <v>8</v>
      </c>
    </row>
    <row r="5">
      <c r="A5" s="1">
        <v>3.0</v>
      </c>
      <c r="B5" s="1">
        <v>1.0</v>
      </c>
      <c r="C5" s="1">
        <v>8.0</v>
      </c>
      <c r="E5" s="2">
        <v>4.0</v>
      </c>
      <c r="F5" s="6" t="str">
        <f>IFERROR(__xludf.DUMMYFUNCTION("ifna(QUERY($A$2:$C$85, ""select C where A="" &amp; F$1 &amp; "" and B="" &amp; $E5), ifna(QUERY($A$2:$C$85, ""select B where A="" &amp; F$1 &amp; "" and C="" &amp; $E5),F6))"),"")</f>
        <v/>
      </c>
      <c r="G5" s="6">
        <f>IFERROR(__xludf.DUMMYFUNCTION("ifna(QUERY($A$2:$C$85, ""select C where A="" &amp; G$1 &amp; "" and B="" &amp; $E5), ifna(QUERY($A$2:$C$85, ""select B where A="" &amp; G$1 &amp; "" and C="" &amp; $E5),G6))"),1.0)</f>
        <v>1</v>
      </c>
      <c r="H5" s="4">
        <f>IFERROR(__xludf.DUMMYFUNCTION("ifna(QUERY($A$2:$C$85, ""select C where A="" &amp; H$1 &amp; "" and B="" &amp; $E5), ifna(QUERY($A$2:$C$85, ""select B where A="" &amp; H$1 &amp; "" and C="" &amp; $E5),H6))"),4.0)</f>
        <v>4</v>
      </c>
      <c r="I5" s="4">
        <f>IFERROR(__xludf.DUMMYFUNCTION("ifna(QUERY($A$2:$C$85, ""select C where A="" &amp; I$1 &amp; "" and B="" &amp; $E5), ifna(QUERY($A$2:$C$85, ""select B where A="" &amp; I$1 &amp; "" and C="" &amp; $E5),I6))"),10.0)</f>
        <v>10</v>
      </c>
      <c r="J5" s="4">
        <f>IFERROR(__xludf.DUMMYFUNCTION("ifna(QUERY($A$2:$C$85, ""select C where A="" &amp; J$1 &amp; "" and B="" &amp; $E5), ifna(QUERY($A$2:$C$85, ""select B where A="" &amp; J$1 &amp; "" and C="" &amp; $E5),J6))"),24.0)</f>
        <v>24</v>
      </c>
      <c r="K5" s="4">
        <f>IFERROR(__xludf.DUMMYFUNCTION("ifna(QUERY($A$2:$C$85, ""select C where A="" &amp; K$1 &amp; "" and B="" &amp; $E5), ifna(QUERY($A$2:$C$85, ""select B where A="" &amp; K$1 &amp; "" and C="" &amp; $E5),K6))"),54.0)</f>
        <v>54</v>
      </c>
      <c r="L5" s="4">
        <f>IFERROR(__xludf.DUMMYFUNCTION("ifna(QUERY($A$2:$C$85, ""select C where A="" &amp; L$1 &amp; "" and B="" &amp; $E5), ifna(QUERY($A$2:$C$85, ""select B where A="" &amp; L$1 &amp; "" and C="" &amp; $E5),L6))"),116.0)</f>
        <v>116</v>
      </c>
      <c r="M5" s="4">
        <f>IFERROR(__xludf.DUMMYFUNCTION("ifna(QUERY($A$2:$C$85, ""select C where A="" &amp; M$1 &amp; "" and B="" &amp; $E5), ifna(QUERY($A$2:$C$85, ""select B where A="" &amp; M$1 &amp; "" and C="" &amp; $E5),M6))"),242.0)</f>
        <v>242</v>
      </c>
      <c r="O5">
        <f t="shared" ref="O5:V5" si="7">F5-F6</f>
        <v>0</v>
      </c>
      <c r="P5">
        <f t="shared" si="7"/>
        <v>1</v>
      </c>
      <c r="Q5" s="5">
        <f t="shared" si="7"/>
        <v>1</v>
      </c>
      <c r="R5">
        <f t="shared" si="7"/>
        <v>1</v>
      </c>
      <c r="S5">
        <f t="shared" si="7"/>
        <v>2</v>
      </c>
      <c r="T5">
        <f t="shared" si="7"/>
        <v>4</v>
      </c>
      <c r="U5">
        <f t="shared" si="7"/>
        <v>7</v>
      </c>
      <c r="V5">
        <f t="shared" si="7"/>
        <v>11</v>
      </c>
      <c r="X5" s="2">
        <v>4.0</v>
      </c>
      <c r="Y5" s="6">
        <f t="shared" ref="Y5:AF5" si="8">F$2-F5</f>
        <v>2</v>
      </c>
      <c r="Z5" s="6">
        <f t="shared" si="8"/>
        <v>3</v>
      </c>
      <c r="AA5" s="4">
        <f t="shared" si="8"/>
        <v>4</v>
      </c>
      <c r="AB5" s="4">
        <f t="shared" si="8"/>
        <v>6</v>
      </c>
      <c r="AC5" s="4">
        <f t="shared" si="8"/>
        <v>8</v>
      </c>
      <c r="AD5" s="4">
        <f t="shared" si="8"/>
        <v>10</v>
      </c>
      <c r="AE5" s="4">
        <f t="shared" si="8"/>
        <v>12</v>
      </c>
      <c r="AF5" s="4">
        <f t="shared" si="8"/>
        <v>14</v>
      </c>
    </row>
    <row r="6">
      <c r="A6" s="1">
        <v>3.0</v>
      </c>
      <c r="B6" s="1">
        <v>2.0</v>
      </c>
      <c r="C6" s="1">
        <v>7.0</v>
      </c>
      <c r="E6" s="2">
        <v>5.0</v>
      </c>
      <c r="F6" s="6" t="str">
        <f>IFERROR(__xludf.DUMMYFUNCTION("ifna(QUERY($A$2:$C$85, ""select C where A="" &amp; F$1 &amp; "" and B="" &amp; $E6), ifna(QUERY($A$2:$C$85, ""select B where A="" &amp; F$1 &amp; "" and C="" &amp; $E6),F7))"),"")</f>
        <v/>
      </c>
      <c r="G6" s="6" t="str">
        <f>IFERROR(__xludf.DUMMYFUNCTION("ifna(QUERY($A$2:$C$85, ""select C where A="" &amp; G$1 &amp; "" and B="" &amp; $E6), ifna(QUERY($A$2:$C$85, ""select B where A="" &amp; G$1 &amp; "" and C="" &amp; $E6),G7))"),"")</f>
        <v/>
      </c>
      <c r="H6" s="6">
        <f>IFERROR(__xludf.DUMMYFUNCTION("ifna(QUERY($A$2:$C$85, ""select C where A="" &amp; H$1 &amp; "" and B="" &amp; $E6), ifna(QUERY($A$2:$C$85, ""select B where A="" &amp; H$1 &amp; "" and C="" &amp; $E6),H7))"),3.0)</f>
        <v>3</v>
      </c>
      <c r="I6" s="4">
        <f>IFERROR(__xludf.DUMMYFUNCTION("ifna(QUERY($A$2:$C$85, ""select C where A="" &amp; I$1 &amp; "" and B="" &amp; $E6), ifna(QUERY($A$2:$C$85, ""select B where A="" &amp; I$1 &amp; "" and C="" &amp; $E6),I7))"),9.0)</f>
        <v>9</v>
      </c>
      <c r="J6" s="4">
        <f>IFERROR(__xludf.DUMMYFUNCTION("ifna(QUERY($A$2:$C$85, ""select C where A="" &amp; J$1 &amp; "" and B="" &amp; $E6), ifna(QUERY($A$2:$C$85, ""select B where A="" &amp; J$1 &amp; "" and C="" &amp; $E6),J7))"),22.0)</f>
        <v>22</v>
      </c>
      <c r="K6" s="4">
        <f>IFERROR(__xludf.DUMMYFUNCTION("ifna(QUERY($A$2:$C$85, ""select C where A="" &amp; K$1 &amp; "" and B="" &amp; $E6), ifna(QUERY($A$2:$C$85, ""select B where A="" &amp; K$1 &amp; "" and C="" &amp; $E6),K7))"),50.0)</f>
        <v>50</v>
      </c>
      <c r="L6" s="4">
        <f>IFERROR(__xludf.DUMMYFUNCTION("ifna(QUERY($A$2:$C$85, ""select C where A="" &amp; L$1 &amp; "" and B="" &amp; $E6), ifna(QUERY($A$2:$C$85, ""select B where A="" &amp; L$1 &amp; "" and C="" &amp; $E6),L7))"),109.0)</f>
        <v>109</v>
      </c>
      <c r="M6" s="4">
        <f>IFERROR(__xludf.DUMMYFUNCTION("ifna(QUERY($A$2:$C$85, ""select C where A="" &amp; M$1 &amp; "" and B="" &amp; $E6), ifna(QUERY($A$2:$C$85, ""select B where A="" &amp; M$1 &amp; "" and C="" &amp; $E6),M7))"),231.0)</f>
        <v>231</v>
      </c>
      <c r="O6">
        <f t="shared" ref="O6:V6" si="9">F6-F7</f>
        <v>0</v>
      </c>
      <c r="P6">
        <f t="shared" si="9"/>
        <v>0</v>
      </c>
      <c r="Q6">
        <f t="shared" si="9"/>
        <v>1</v>
      </c>
      <c r="R6">
        <f t="shared" si="9"/>
        <v>2</v>
      </c>
      <c r="S6">
        <f t="shared" si="9"/>
        <v>3</v>
      </c>
      <c r="T6">
        <f t="shared" si="9"/>
        <v>4</v>
      </c>
      <c r="U6">
        <f t="shared" si="9"/>
        <v>5</v>
      </c>
      <c r="V6">
        <f t="shared" si="9"/>
        <v>6</v>
      </c>
      <c r="X6" s="2">
        <v>5.0</v>
      </c>
      <c r="Y6" s="6">
        <f t="shared" ref="Y6:AF6" si="10">F$2-F6</f>
        <v>2</v>
      </c>
      <c r="Z6" s="6">
        <f t="shared" si="10"/>
        <v>4</v>
      </c>
      <c r="AA6" s="6">
        <f t="shared" si="10"/>
        <v>5</v>
      </c>
      <c r="AB6" s="19">
        <f t="shared" si="10"/>
        <v>7</v>
      </c>
      <c r="AC6" s="19">
        <f t="shared" si="10"/>
        <v>10</v>
      </c>
      <c r="AD6" s="19">
        <f t="shared" si="10"/>
        <v>14</v>
      </c>
      <c r="AE6" s="19">
        <f t="shared" si="10"/>
        <v>19</v>
      </c>
      <c r="AF6" s="19">
        <f t="shared" si="10"/>
        <v>25</v>
      </c>
      <c r="AH6" s="21">
        <f t="array" ref="AH6:AL6">I$2:M$2-0.5*(I$1:M$1)^2 + 1.5*(I$1:M$1)-5 - I6:M6</f>
        <v>0</v>
      </c>
      <c r="AI6">
        <v>0.0</v>
      </c>
      <c r="AJ6">
        <v>0.0</v>
      </c>
      <c r="AK6">
        <v>0.0</v>
      </c>
      <c r="AL6">
        <v>0.0</v>
      </c>
    </row>
    <row r="7">
      <c r="A7" s="1">
        <v>3.0</v>
      </c>
      <c r="B7" s="1">
        <v>3.0</v>
      </c>
      <c r="C7" s="1">
        <v>5.0</v>
      </c>
      <c r="E7" s="2">
        <v>6.0</v>
      </c>
      <c r="F7" s="6" t="str">
        <f>IFERROR(__xludf.DUMMYFUNCTION("ifna(QUERY($A$2:$C$85, ""select C where A="" &amp; F$1 &amp; "" and B="" &amp; $E7), ifna(QUERY($A$2:$C$85, ""select B where A="" &amp; F$1 &amp; "" and C="" &amp; $E7),F8))"),"")</f>
        <v/>
      </c>
      <c r="G7" s="6" t="str">
        <f>IFERROR(__xludf.DUMMYFUNCTION("ifna(QUERY($A$2:$C$85, ""select C where A="" &amp; G$1 &amp; "" and B="" &amp; $E7), ifna(QUERY($A$2:$C$85, ""select B where A="" &amp; G$1 &amp; "" and C="" &amp; $E7),G8))"),"")</f>
        <v/>
      </c>
      <c r="H7" s="6">
        <f>IFERROR(__xludf.DUMMYFUNCTION("ifna(QUERY($A$2:$C$85, ""select C where A="" &amp; H$1 &amp; "" and B="" &amp; $E7), ifna(QUERY($A$2:$C$85, ""select B where A="" &amp; H$1 &amp; "" and C="" &amp; $E7),H8))"),2.0)</f>
        <v>2</v>
      </c>
      <c r="I7" s="4">
        <f>IFERROR(__xludf.DUMMYFUNCTION("ifna(QUERY($A$2:$C$85, ""select C where A="" &amp; I$1 &amp; "" and B="" &amp; $E7), ifna(QUERY($A$2:$C$85, ""select B where A="" &amp; I$1 &amp; "" and C="" &amp; $E7),I8))"),7.0)</f>
        <v>7</v>
      </c>
      <c r="J7" s="4">
        <f>IFERROR(__xludf.DUMMYFUNCTION("ifna(QUERY($A$2:$C$85, ""select C where A="" &amp; J$1 &amp; "" and B="" &amp; $E7), ifna(QUERY($A$2:$C$85, ""select B where A="" &amp; J$1 &amp; "" and C="" &amp; $E7),J8))"),19.0)</f>
        <v>19</v>
      </c>
      <c r="K7" s="4">
        <f>IFERROR(__xludf.DUMMYFUNCTION("ifna(QUERY($A$2:$C$85, ""select C where A="" &amp; K$1 &amp; "" and B="" &amp; $E7), ifna(QUERY($A$2:$C$85, ""select B where A="" &amp; K$1 &amp; "" and C="" &amp; $E7),K8))"),46.0)</f>
        <v>46</v>
      </c>
      <c r="L7" s="4">
        <f>IFERROR(__xludf.DUMMYFUNCTION("ifna(QUERY($A$2:$C$85, ""select C where A="" &amp; L$1 &amp; "" and B="" &amp; $E7), ifna(QUERY($A$2:$C$85, ""select B where A="" &amp; L$1 &amp; "" and C="" &amp; $E7),L8))"),104.0)</f>
        <v>104</v>
      </c>
      <c r="M7" s="4">
        <f>IFERROR(__xludf.DUMMYFUNCTION("ifna(QUERY($A$2:$C$85, ""select C where A="" &amp; M$1 &amp; "" and B="" &amp; $E7), ifna(QUERY($A$2:$C$85, ""select B where A="" &amp; M$1 &amp; "" and C="" &amp; $E7),M8))"),225.0)</f>
        <v>225</v>
      </c>
      <c r="O7">
        <f t="shared" ref="O7:V7" si="11">F7-F8</f>
        <v>0</v>
      </c>
      <c r="P7">
        <f t="shared" si="11"/>
        <v>0</v>
      </c>
      <c r="Q7">
        <f t="shared" si="11"/>
        <v>0</v>
      </c>
      <c r="R7" s="5">
        <f t="shared" si="11"/>
        <v>1</v>
      </c>
      <c r="S7">
        <f t="shared" si="11"/>
        <v>2</v>
      </c>
      <c r="T7">
        <f t="shared" si="11"/>
        <v>4</v>
      </c>
      <c r="U7">
        <f t="shared" si="11"/>
        <v>7</v>
      </c>
      <c r="V7">
        <f t="shared" si="11"/>
        <v>11</v>
      </c>
      <c r="X7" s="2">
        <v>6.0</v>
      </c>
      <c r="Y7" s="6">
        <f t="shared" ref="Y7:AF7" si="12">F$2-F7</f>
        <v>2</v>
      </c>
      <c r="Z7" s="6">
        <f t="shared" si="12"/>
        <v>4</v>
      </c>
      <c r="AA7" s="6">
        <f t="shared" si="12"/>
        <v>6</v>
      </c>
      <c r="AB7" s="4">
        <f t="shared" si="12"/>
        <v>9</v>
      </c>
      <c r="AC7" s="4">
        <f t="shared" si="12"/>
        <v>13</v>
      </c>
      <c r="AD7" s="4">
        <f t="shared" si="12"/>
        <v>18</v>
      </c>
      <c r="AE7" s="4">
        <f t="shared" si="12"/>
        <v>24</v>
      </c>
      <c r="AF7" s="4">
        <f t="shared" si="12"/>
        <v>31</v>
      </c>
      <c r="AH7" s="21">
        <f t="array" ref="AH7:AL7">I$2:M$2-0.5*(I$1:M$1)^2 +0.5* I$1:M$1-3 - I7:M7</f>
        <v>0</v>
      </c>
      <c r="AI7">
        <v>0.0</v>
      </c>
      <c r="AJ7">
        <v>0.0</v>
      </c>
      <c r="AK7">
        <v>0.0</v>
      </c>
      <c r="AL7">
        <v>0.0</v>
      </c>
    </row>
    <row r="8">
      <c r="A8" s="1">
        <v>3.0</v>
      </c>
      <c r="B8" s="1">
        <v>4.0</v>
      </c>
      <c r="C8" s="1">
        <v>4.0</v>
      </c>
      <c r="E8" s="2">
        <v>7.0</v>
      </c>
      <c r="F8" s="6" t="str">
        <f>IFERROR(__xludf.DUMMYFUNCTION("ifna(QUERY($A$2:$C$85, ""select C where A="" &amp; F$1 &amp; "" and B="" &amp; $E8), ifna(QUERY($A$2:$C$85, ""select B where A="" &amp; F$1 &amp; "" and C="" &amp; $E8),F9))"),"")</f>
        <v/>
      </c>
      <c r="G8" s="6" t="str">
        <f>IFERROR(__xludf.DUMMYFUNCTION("ifna(QUERY($A$2:$C$85, ""select C where A="" &amp; G$1 &amp; "" and B="" &amp; $E8), ifna(QUERY($A$2:$C$85, ""select B where A="" &amp; G$1 &amp; "" and C="" &amp; $E8),G9))"),"")</f>
        <v/>
      </c>
      <c r="H8" s="6">
        <f>IFERROR(__xludf.DUMMYFUNCTION("ifna(QUERY($A$2:$C$85, ""select C where A="" &amp; H$1 &amp; "" and B="" &amp; $E8), ifna(QUERY($A$2:$C$85, ""select B where A="" &amp; H$1 &amp; "" and C="" &amp; $E8),H9))"),2.0)</f>
        <v>2</v>
      </c>
      <c r="I8" s="6">
        <f>IFERROR(__xludf.DUMMYFUNCTION("ifna(QUERY($A$2:$C$85, ""select C where A="" &amp; I$1 &amp; "" and B="" &amp; $E8), ifna(QUERY($A$2:$C$85, ""select B where A="" &amp; I$1 &amp; "" and C="" &amp; $E8),I9))"),6.0)</f>
        <v>6</v>
      </c>
      <c r="J8" s="4">
        <f>IFERROR(__xludf.DUMMYFUNCTION("ifna(QUERY($A$2:$C$85, ""select C where A="" &amp; J$1 &amp; "" and B="" &amp; $E8), ifna(QUERY($A$2:$C$85, ""select B where A="" &amp; J$1 &amp; "" and C="" &amp; $E8),J9))"),17.0)</f>
        <v>17</v>
      </c>
      <c r="K8" s="4">
        <f>IFERROR(__xludf.DUMMYFUNCTION("ifna(QUERY($A$2:$C$85, ""select C where A="" &amp; K$1 &amp; "" and B="" &amp; $E8), ifna(QUERY($A$2:$C$85, ""select B where A="" &amp; K$1 &amp; "" and C="" &amp; $E8),K9))"),42.0)</f>
        <v>42</v>
      </c>
      <c r="L8" s="4">
        <f>IFERROR(__xludf.DUMMYFUNCTION("ifna(QUERY($A$2:$C$85, ""select C where A="" &amp; L$1 &amp; "" and B="" &amp; $E8), ifna(QUERY($A$2:$C$85, ""select B where A="" &amp; L$1 &amp; "" and C="" &amp; $E8),L9))"),97.0)</f>
        <v>97</v>
      </c>
      <c r="M8" s="4">
        <f>IFERROR(__xludf.DUMMYFUNCTION("ifna(QUERY($A$2:$C$85, ""select C where A="" &amp; M$1 &amp; "" and B="" &amp; $E8), ifna(QUERY($A$2:$C$85, ""select B where A="" &amp; M$1 &amp; "" and C="" &amp; $E8),M9))"),214.0)</f>
        <v>214</v>
      </c>
      <c r="O8">
        <f t="shared" ref="O8:V8" si="13">F8-F9</f>
        <v>0</v>
      </c>
      <c r="P8">
        <f t="shared" si="13"/>
        <v>0</v>
      </c>
      <c r="Q8">
        <f t="shared" si="13"/>
        <v>1</v>
      </c>
      <c r="R8">
        <f t="shared" si="13"/>
        <v>1</v>
      </c>
      <c r="S8">
        <f t="shared" si="13"/>
        <v>2</v>
      </c>
      <c r="T8">
        <f t="shared" si="13"/>
        <v>4</v>
      </c>
      <c r="U8">
        <f t="shared" si="13"/>
        <v>6</v>
      </c>
      <c r="V8">
        <f t="shared" si="13"/>
        <v>8</v>
      </c>
      <c r="X8" s="2">
        <v>7.0</v>
      </c>
      <c r="Y8" s="6">
        <f t="shared" ref="Y8:AF8" si="14">F$2-F8</f>
        <v>2</v>
      </c>
      <c r="Z8" s="6">
        <f t="shared" si="14"/>
        <v>4</v>
      </c>
      <c r="AA8" s="6">
        <f t="shared" si="14"/>
        <v>6</v>
      </c>
      <c r="AB8" s="6">
        <f t="shared" si="14"/>
        <v>10</v>
      </c>
      <c r="AC8" s="4">
        <f t="shared" si="14"/>
        <v>15</v>
      </c>
      <c r="AD8" s="4">
        <f t="shared" si="14"/>
        <v>22</v>
      </c>
      <c r="AE8" s="4">
        <f t="shared" si="14"/>
        <v>31</v>
      </c>
      <c r="AF8" s="4">
        <f t="shared" si="14"/>
        <v>42</v>
      </c>
      <c r="AH8" s="21">
        <f t="array" ref="AH8:AL8">I$2:M$2-(I$1:M$1^2) + 4*(I$1:M$1)- 10 - I8:M8</f>
        <v>0</v>
      </c>
      <c r="AI8">
        <v>0.0</v>
      </c>
      <c r="AJ8">
        <v>0.0</v>
      </c>
      <c r="AK8">
        <v>0.0</v>
      </c>
      <c r="AL8">
        <v>0.0</v>
      </c>
    </row>
    <row r="9">
      <c r="A9" s="1">
        <v>4.0</v>
      </c>
      <c r="B9" s="1">
        <v>1.0</v>
      </c>
      <c r="C9" s="1">
        <v>16.0</v>
      </c>
      <c r="E9" s="2">
        <v>8.0</v>
      </c>
      <c r="F9" s="6" t="str">
        <f>IFERROR(__xludf.DUMMYFUNCTION("ifna(QUERY($A$2:$C$85, ""select C where A="" &amp; F$1 &amp; "" and B="" &amp; $E9), ifna(QUERY($A$2:$C$85, ""select B where A="" &amp; F$1 &amp; "" and C="" &amp; $E9),F10))"),"")</f>
        <v/>
      </c>
      <c r="G9" s="6" t="str">
        <f>IFERROR(__xludf.DUMMYFUNCTION("ifna(QUERY($A$2:$C$85, ""select C where A="" &amp; G$1 &amp; "" and B="" &amp; $E9), ifna(QUERY($A$2:$C$85, ""select B where A="" &amp; G$1 &amp; "" and C="" &amp; $E9),G10))"),"")</f>
        <v/>
      </c>
      <c r="H9" s="6">
        <f>IFERROR(__xludf.DUMMYFUNCTION("ifna(QUERY($A$2:$C$85, ""select C where A="" &amp; H$1 &amp; "" and B="" &amp; $E9), ifna(QUERY($A$2:$C$85, ""select B where A="" &amp; H$1 &amp; "" and C="" &amp; $E9),H10))"),1.0)</f>
        <v>1</v>
      </c>
      <c r="I9" s="6">
        <f>IFERROR(__xludf.DUMMYFUNCTION("ifna(QUERY($A$2:$C$85, ""select C where A="" &amp; I$1 &amp; "" and B="" &amp; $E9), ifna(QUERY($A$2:$C$85, ""select B where A="" &amp; I$1 &amp; "" and C="" &amp; $E9),I10))"),5.0)</f>
        <v>5</v>
      </c>
      <c r="J9" s="4">
        <f>IFERROR(__xludf.DUMMYFUNCTION("ifna(QUERY($A$2:$C$85, ""select C where A="" &amp; J$1 &amp; "" and B="" &amp; $E9), ifna(QUERY($A$2:$C$85, ""select B where A="" &amp; J$1 &amp; "" and C="" &amp; $E9),J10))"),15.0)</f>
        <v>15</v>
      </c>
      <c r="K9" s="4">
        <f>IFERROR(__xludf.DUMMYFUNCTION("ifna(QUERY($A$2:$C$85, ""select C where A="" &amp; K$1 &amp; "" and B="" &amp; $E9), ifna(QUERY($A$2:$C$85, ""select B where A="" &amp; K$1 &amp; "" and C="" &amp; $E9),K10))"),38.0)</f>
        <v>38</v>
      </c>
      <c r="L9" s="4">
        <f>IFERROR(__xludf.DUMMYFUNCTION("ifna(QUERY($A$2:$C$85, ""select C where A="" &amp; L$1 &amp; "" and B="" &amp; $E9), ifna(QUERY($A$2:$C$85, ""select B where A="" &amp; L$1 &amp; "" and C="" &amp; $E9),L10))"),91.0)</f>
        <v>91</v>
      </c>
      <c r="M9" s="4">
        <f>IFERROR(__xludf.DUMMYFUNCTION("ifna(QUERY($A$2:$C$85, ""select C where A="" &amp; M$1 &amp; "" and B="" &amp; $E9), ifna(QUERY($A$2:$C$85, ""select B where A="" &amp; M$1 &amp; "" and C="" &amp; $E9),M10))"),206.0)</f>
        <v>206</v>
      </c>
      <c r="O9">
        <f t="shared" ref="O9:V9" si="15">F9-F10</f>
        <v>0</v>
      </c>
      <c r="P9">
        <f t="shared" si="15"/>
        <v>0</v>
      </c>
      <c r="Q9">
        <f t="shared" si="15"/>
        <v>1</v>
      </c>
      <c r="R9">
        <f t="shared" si="15"/>
        <v>0</v>
      </c>
      <c r="S9">
        <f t="shared" si="15"/>
        <v>1</v>
      </c>
      <c r="T9">
        <f t="shared" si="15"/>
        <v>2</v>
      </c>
      <c r="U9">
        <f t="shared" si="15"/>
        <v>4</v>
      </c>
      <c r="V9">
        <f t="shared" si="15"/>
        <v>8</v>
      </c>
      <c r="X9" s="2">
        <v>8.0</v>
      </c>
      <c r="Y9" s="6">
        <f t="shared" ref="Y9:AF9" si="16">F$2-F9</f>
        <v>2</v>
      </c>
      <c r="Z9" s="6">
        <f t="shared" si="16"/>
        <v>4</v>
      </c>
      <c r="AA9" s="6">
        <f t="shared" si="16"/>
        <v>7</v>
      </c>
      <c r="AB9" s="6">
        <f t="shared" si="16"/>
        <v>11</v>
      </c>
      <c r="AC9" s="4">
        <f t="shared" si="16"/>
        <v>17</v>
      </c>
      <c r="AD9" s="4">
        <f t="shared" si="16"/>
        <v>26</v>
      </c>
      <c r="AE9" s="4">
        <f t="shared" si="16"/>
        <v>37</v>
      </c>
      <c r="AF9" s="4">
        <f t="shared" si="16"/>
        <v>50</v>
      </c>
      <c r="AH9" s="21">
        <f t="array" ref="AH9:AL9">I$2:M$2-I$1:M$1^2 + 2*I$1:M$1-2 - I9:M9</f>
        <v>1</v>
      </c>
      <c r="AI9">
        <v>0.0</v>
      </c>
      <c r="AJ9">
        <v>0.0</v>
      </c>
      <c r="AK9">
        <v>0.0</v>
      </c>
      <c r="AL9">
        <v>0.0</v>
      </c>
    </row>
    <row r="10">
      <c r="A10" s="1">
        <v>4.0</v>
      </c>
      <c r="B10" s="1">
        <v>2.0</v>
      </c>
      <c r="C10" s="1">
        <v>15.0</v>
      </c>
      <c r="E10" s="2">
        <v>9.0</v>
      </c>
      <c r="F10" s="6" t="str">
        <f>IFERROR(__xludf.DUMMYFUNCTION("ifna(QUERY($A$2:$C$85, ""select C where A="" &amp; F$1 &amp; "" and B="" &amp; $E10), ifna(QUERY($A$2:$C$85, ""select B where A="" &amp; F$1 &amp; "" and C="" &amp; $E10),F11))"),"")</f>
        <v/>
      </c>
      <c r="G10" s="6" t="str">
        <f>IFERROR(__xludf.DUMMYFUNCTION("ifna(QUERY($A$2:$C$85, ""select C where A="" &amp; G$1 &amp; "" and B="" &amp; $E10), ifna(QUERY($A$2:$C$85, ""select B where A="" &amp; G$1 &amp; "" and C="" &amp; $E10),G11))"),"")</f>
        <v/>
      </c>
      <c r="H10" s="6" t="str">
        <f>IFERROR(__xludf.DUMMYFUNCTION("ifna(QUERY($A$2:$C$85, ""select C where A="" &amp; H$1 &amp; "" and B="" &amp; $E10), ifna(QUERY($A$2:$C$85, ""select B where A="" &amp; H$1 &amp; "" and C="" &amp; $E10),H11))"),"")</f>
        <v/>
      </c>
      <c r="I10" s="6">
        <f>IFERROR(__xludf.DUMMYFUNCTION("ifna(QUERY($A$2:$C$85, ""select C where A="" &amp; I$1 &amp; "" and B="" &amp; $E10), ifna(QUERY($A$2:$C$85, ""select B where A="" &amp; I$1 &amp; "" and C="" &amp; $E10),I11))"),5.0)</f>
        <v>5</v>
      </c>
      <c r="J10" s="4">
        <f>IFERROR(__xludf.DUMMYFUNCTION("ifna(QUERY($A$2:$C$85, ""select C where A="" &amp; J$1 &amp; "" and B="" &amp; $E10), ifna(QUERY($A$2:$C$85, ""select B where A="" &amp; J$1 &amp; "" and C="" &amp; $E10),J11))"),14.0)</f>
        <v>14</v>
      </c>
      <c r="K10" s="4">
        <f>IFERROR(__xludf.DUMMYFUNCTION("ifna(QUERY($A$2:$C$85, ""select C where A="" &amp; K$1 &amp; "" and B="" &amp; $E10), ifna(QUERY($A$2:$C$85, ""select B where A="" &amp; K$1 &amp; "" and C="" &amp; $E10),K11))"),36.0)</f>
        <v>36</v>
      </c>
      <c r="L10" s="4">
        <f>IFERROR(__xludf.DUMMYFUNCTION("ifna(QUERY($A$2:$C$85, ""select C where A="" &amp; L$1 &amp; "" and B="" &amp; $E10), ifna(QUERY($A$2:$C$85, ""select B where A="" &amp; L$1 &amp; "" and C="" &amp; $E10),L11))"),87.0)</f>
        <v>87</v>
      </c>
      <c r="M10" s="4">
        <f>IFERROR(__xludf.DUMMYFUNCTION("ifna(QUERY($A$2:$C$85, ""select C where A="" &amp; M$1 &amp; "" and B="" &amp; $E10), ifna(QUERY($A$2:$C$85, ""select B where A="" &amp; M$1 &amp; "" and C="" &amp; $E10),M11))"),198.0)</f>
        <v>198</v>
      </c>
      <c r="O10">
        <f t="shared" ref="O10:V10" si="17">F10-F11</f>
        <v>0</v>
      </c>
      <c r="P10">
        <f t="shared" si="17"/>
        <v>0</v>
      </c>
      <c r="Q10">
        <f t="shared" si="17"/>
        <v>0</v>
      </c>
      <c r="R10">
        <f t="shared" si="17"/>
        <v>1</v>
      </c>
      <c r="S10">
        <f t="shared" si="17"/>
        <v>2</v>
      </c>
      <c r="T10">
        <f t="shared" si="17"/>
        <v>3</v>
      </c>
      <c r="U10">
        <f t="shared" si="17"/>
        <v>5</v>
      </c>
      <c r="V10">
        <f t="shared" si="17"/>
        <v>198</v>
      </c>
      <c r="X10" s="2">
        <v>9.0</v>
      </c>
      <c r="Y10" s="6">
        <f t="shared" ref="Y10:AF10" si="18">F$2-F10</f>
        <v>2</v>
      </c>
      <c r="Z10" s="6">
        <f t="shared" si="18"/>
        <v>4</v>
      </c>
      <c r="AA10" s="6">
        <f t="shared" si="18"/>
        <v>8</v>
      </c>
      <c r="AB10" s="6">
        <f t="shared" si="18"/>
        <v>11</v>
      </c>
      <c r="AC10" s="4">
        <f t="shared" si="18"/>
        <v>18</v>
      </c>
      <c r="AD10" s="4">
        <f t="shared" si="18"/>
        <v>28</v>
      </c>
      <c r="AE10" s="4">
        <f t="shared" si="18"/>
        <v>41</v>
      </c>
      <c r="AF10" s="4">
        <f t="shared" si="18"/>
        <v>58</v>
      </c>
      <c r="AH10" s="21">
        <f t="array" ref="AH10:AL10">(31/32)*I$2:M$2-I$1:M$1^2 + 2*I$1:M$1 - 2- I10:M10</f>
        <v>0.5</v>
      </c>
      <c r="AI10">
        <v>0.0</v>
      </c>
      <c r="AJ10">
        <v>0.0</v>
      </c>
      <c r="AK10">
        <v>0.0</v>
      </c>
      <c r="AL10">
        <v>0.0</v>
      </c>
    </row>
    <row r="11">
      <c r="A11" s="1">
        <v>4.0</v>
      </c>
      <c r="B11" s="1">
        <v>3.0</v>
      </c>
      <c r="C11" s="1">
        <v>12.0</v>
      </c>
      <c r="E11" s="2">
        <v>10.0</v>
      </c>
      <c r="F11" s="6" t="str">
        <f>IFERROR(__xludf.DUMMYFUNCTION("ifna(QUERY($A$2:$C$85, ""select C where A="" &amp; F$1 &amp; "" and B="" &amp; $E11), ifna(QUERY($A$2:$C$85, ""select B where A="" &amp; F$1 &amp; "" and C="" &amp; $E11),F12))"),"")</f>
        <v/>
      </c>
      <c r="G11" s="6" t="str">
        <f>IFERROR(__xludf.DUMMYFUNCTION("ifna(QUERY($A$2:$C$85, ""select C where A="" &amp; G$1 &amp; "" and B="" &amp; $E11), ifna(QUERY($A$2:$C$85, ""select B where A="" &amp; G$1 &amp; "" and C="" &amp; $E11),G12))"),"")</f>
        <v/>
      </c>
      <c r="H11" s="6" t="str">
        <f>IFERROR(__xludf.DUMMYFUNCTION("ifna(QUERY($A$2:$C$85, ""select C where A="" &amp; H$1 &amp; "" and B="" &amp; $E11), ifna(QUERY($A$2:$C$85, ""select B where A="" &amp; H$1 &amp; "" and C="" &amp; $E11),H12))"),"")</f>
        <v/>
      </c>
      <c r="I11" s="6">
        <f>IFERROR(__xludf.DUMMYFUNCTION("ifna(QUERY($A$2:$C$85, ""select C where A="" &amp; I$1 &amp; "" and B="" &amp; $E11), ifna(QUERY($A$2:$C$85, ""select B where A="" &amp; I$1 &amp; "" and C="" &amp; $E11),I12))"),4.0)</f>
        <v>4</v>
      </c>
      <c r="J11" s="4">
        <f>IFERROR(__xludf.DUMMYFUNCTION("ifna(QUERY($A$2:$C$85, ""select C where A="" &amp; J$1 &amp; "" and B="" &amp; $E11), ifna(QUERY($A$2:$C$85, ""select B where A="" &amp; J$1 &amp; "" and C="" &amp; $E11),J12))"),12.0)</f>
        <v>12</v>
      </c>
      <c r="K11" s="4">
        <f>IFERROR(__xludf.DUMMYFUNCTION("ifna(QUERY($A$2:$C$85, ""select C where A="" &amp; K$1 &amp; "" and B="" &amp; $E11), ifna(QUERY($A$2:$C$85, ""select B where A="" &amp; K$1 &amp; "" and C="" &amp; $E11),K12))"),33.0)</f>
        <v>33</v>
      </c>
      <c r="L11" s="4">
        <f>IFERROR(__xludf.DUMMYFUNCTION("ifna(QUERY($A$2:$C$85, ""select C where A="" &amp; L$1 &amp; "" and B="" &amp; $E11), ifna(QUERY($A$2:$C$85, ""select B where A="" &amp; L$1 &amp; "" and C="" &amp; $E11),L12))"),82.0)</f>
        <v>82</v>
      </c>
      <c r="M11" s="4" t="str">
        <f>IFERROR(__xludf.DUMMYFUNCTION("ifna(QUERY($A$2:$C$85, ""select C where A="" &amp; M$1 &amp; "" and B="" &amp; $E11), ifna(QUERY($A$2:$C$85, ""select B where A="" &amp; M$1 &amp; "" and C="" &amp; $E11),M12))"),"")</f>
        <v/>
      </c>
      <c r="O11">
        <f t="shared" ref="O11:V11" si="19">F11-F12</f>
        <v>0</v>
      </c>
      <c r="P11">
        <f t="shared" si="19"/>
        <v>0</v>
      </c>
      <c r="Q11">
        <f t="shared" si="19"/>
        <v>0</v>
      </c>
      <c r="R11">
        <f t="shared" si="19"/>
        <v>1</v>
      </c>
      <c r="S11">
        <f t="shared" si="19"/>
        <v>1</v>
      </c>
      <c r="T11">
        <f t="shared" si="19"/>
        <v>2</v>
      </c>
      <c r="U11">
        <f t="shared" si="19"/>
        <v>5</v>
      </c>
      <c r="V11">
        <f t="shared" si="19"/>
        <v>0</v>
      </c>
      <c r="X11" s="2">
        <v>10.0</v>
      </c>
      <c r="Y11" s="6">
        <f t="shared" ref="Y11:AE11" si="20">F$2-F11</f>
        <v>2</v>
      </c>
      <c r="Z11" s="6">
        <f t="shared" si="20"/>
        <v>4</v>
      </c>
      <c r="AA11" s="6">
        <f t="shared" si="20"/>
        <v>8</v>
      </c>
      <c r="AB11" s="6">
        <f t="shared" si="20"/>
        <v>12</v>
      </c>
      <c r="AC11" s="4">
        <f t="shared" si="20"/>
        <v>20</v>
      </c>
      <c r="AD11" s="4">
        <f t="shared" si="20"/>
        <v>31</v>
      </c>
      <c r="AE11" s="4">
        <f t="shared" si="20"/>
        <v>46</v>
      </c>
      <c r="AF11" s="4"/>
      <c r="AI11">
        <f t="shared" ref="AI11:AK11" si="21">AJ10-AI10</f>
        <v>0</v>
      </c>
      <c r="AJ11">
        <f t="shared" si="21"/>
        <v>0</v>
      </c>
      <c r="AK11">
        <f t="shared" si="21"/>
        <v>0</v>
      </c>
    </row>
    <row r="12">
      <c r="A12" s="1">
        <v>4.0</v>
      </c>
      <c r="B12" s="1">
        <v>4.0</v>
      </c>
      <c r="C12" s="1">
        <v>10.0</v>
      </c>
      <c r="E12" s="2">
        <v>11.0</v>
      </c>
      <c r="F12" s="6" t="str">
        <f>IFERROR(__xludf.DUMMYFUNCTION("ifna(QUERY($A$2:$C$85, ""select C where A="" &amp; F$1 &amp; "" and B="" &amp; $E12), ifna(QUERY($A$2:$C$85, ""select B where A="" &amp; F$1 &amp; "" and C="" &amp; $E12),F13))"),"")</f>
        <v/>
      </c>
      <c r="G12" s="6" t="str">
        <f>IFERROR(__xludf.DUMMYFUNCTION("ifna(QUERY($A$2:$C$85, ""select C where A="" &amp; G$1 &amp; "" and B="" &amp; $E12), ifna(QUERY($A$2:$C$85, ""select B where A="" &amp; G$1 &amp; "" and C="" &amp; $E12),G13))"),"")</f>
        <v/>
      </c>
      <c r="H12" s="6" t="str">
        <f>IFERROR(__xludf.DUMMYFUNCTION("ifna(QUERY($A$2:$C$85, ""select C where A="" &amp; H$1 &amp; "" and B="" &amp; $E12), ifna(QUERY($A$2:$C$85, ""select B where A="" &amp; H$1 &amp; "" and C="" &amp; $E12),H13))"),"")</f>
        <v/>
      </c>
      <c r="I12" s="6">
        <f>IFERROR(__xludf.DUMMYFUNCTION("ifna(QUERY($A$2:$C$85, ""select C where A="" &amp; I$1 &amp; "" and B="" &amp; $E12), ifna(QUERY($A$2:$C$85, ""select B where A="" &amp; I$1 &amp; "" and C="" &amp; $E12),I13))"),3.0)</f>
        <v>3</v>
      </c>
      <c r="J12" s="4">
        <f>IFERROR(__xludf.DUMMYFUNCTION("ifna(QUERY($A$2:$C$85, ""select C where A="" &amp; J$1 &amp; "" and B="" &amp; $E12), ifna(QUERY($A$2:$C$85, ""select B where A="" &amp; J$1 &amp; "" and C="" &amp; $E12),J13))"),11.0)</f>
        <v>11</v>
      </c>
      <c r="K12" s="4">
        <f>IFERROR(__xludf.DUMMYFUNCTION("ifna(QUERY($A$2:$C$85, ""select C where A="" &amp; K$1 &amp; "" and B="" &amp; $E12), ifna(QUERY($A$2:$C$85, ""select B where A="" &amp; K$1 &amp; "" and C="" &amp; $E12),K13))"),31.0)</f>
        <v>31</v>
      </c>
      <c r="L12" s="4">
        <f>IFERROR(__xludf.DUMMYFUNCTION("ifna(QUERY($A$2:$C$85, ""select C where A="" &amp; L$1 &amp; "" and B="" &amp; $E12), ifna(QUERY($A$2:$C$85, ""select B where A="" &amp; L$1 &amp; "" and C="" &amp; $E12),L13))"),77.0)</f>
        <v>77</v>
      </c>
      <c r="M12" s="4" t="str">
        <f>IFERROR(__xludf.DUMMYFUNCTION("ifna(QUERY($A$2:$C$85, ""select C where A="" &amp; M$1 &amp; "" and B="" &amp; $E12), ifna(QUERY($A$2:$C$85, ""select B where A="" &amp; M$1 &amp; "" and C="" &amp; $E12),M13))"),"")</f>
        <v/>
      </c>
      <c r="O12">
        <f t="shared" ref="O12:V12" si="22">F12-F13</f>
        <v>0</v>
      </c>
      <c r="P12">
        <f t="shared" si="22"/>
        <v>0</v>
      </c>
      <c r="Q12">
        <f t="shared" si="22"/>
        <v>0</v>
      </c>
      <c r="R12">
        <f t="shared" si="22"/>
        <v>0</v>
      </c>
      <c r="S12" s="5">
        <f t="shared" si="22"/>
        <v>1</v>
      </c>
      <c r="T12">
        <f t="shared" si="22"/>
        <v>2</v>
      </c>
      <c r="U12">
        <f t="shared" si="22"/>
        <v>4</v>
      </c>
      <c r="V12">
        <f t="shared" si="22"/>
        <v>0</v>
      </c>
      <c r="X12" s="2">
        <v>11.0</v>
      </c>
      <c r="Y12" s="6">
        <f t="shared" ref="Y12:AE12" si="23">F$2-F12</f>
        <v>2</v>
      </c>
      <c r="Z12" s="6">
        <f t="shared" si="23"/>
        <v>4</v>
      </c>
      <c r="AA12" s="6">
        <f t="shared" si="23"/>
        <v>8</v>
      </c>
      <c r="AB12" s="6">
        <f t="shared" si="23"/>
        <v>13</v>
      </c>
      <c r="AC12" s="4">
        <f t="shared" si="23"/>
        <v>21</v>
      </c>
      <c r="AD12" s="4">
        <f t="shared" si="23"/>
        <v>33</v>
      </c>
      <c r="AE12" s="4">
        <f t="shared" si="23"/>
        <v>51</v>
      </c>
      <c r="AF12" s="4"/>
      <c r="AI12">
        <f t="shared" ref="AI12:AJ12" si="24">AJ11-AI11</f>
        <v>0</v>
      </c>
      <c r="AJ12">
        <f t="shared" si="24"/>
        <v>0</v>
      </c>
    </row>
    <row r="13">
      <c r="A13" s="1">
        <v>4.0</v>
      </c>
      <c r="B13" s="1">
        <v>5.0</v>
      </c>
      <c r="C13" s="1">
        <v>9.0</v>
      </c>
      <c r="E13" s="2">
        <v>12.0</v>
      </c>
      <c r="F13" s="6" t="str">
        <f>IFERROR(__xludf.DUMMYFUNCTION("ifna(QUERY($A$2:$C$85, ""select C where A="" &amp; F$1 &amp; "" and B="" &amp; $E13), ifna(QUERY($A$2:$C$85, ""select B where A="" &amp; F$1 &amp; "" and C="" &amp; $E13),F14))"),"")</f>
        <v/>
      </c>
      <c r="G13" s="6" t="str">
        <f>IFERROR(__xludf.DUMMYFUNCTION("ifna(QUERY($A$2:$C$85, ""select C where A="" &amp; G$1 &amp; "" and B="" &amp; $E13), ifna(QUERY($A$2:$C$85, ""select B where A="" &amp; G$1 &amp; "" and C="" &amp; $E13),G14))"),"")</f>
        <v/>
      </c>
      <c r="H13" s="6" t="str">
        <f>IFERROR(__xludf.DUMMYFUNCTION("ifna(QUERY($A$2:$C$85, ""select C where A="" &amp; H$1 &amp; "" and B="" &amp; $E13), ifna(QUERY($A$2:$C$85, ""select B where A="" &amp; H$1 &amp; "" and C="" &amp; $E13),H14))"),"")</f>
        <v/>
      </c>
      <c r="I13" s="6">
        <f>IFERROR(__xludf.DUMMYFUNCTION("ifna(QUERY($A$2:$C$85, ""select C where A="" &amp; I$1 &amp; "" and B="" &amp; $E13), ifna(QUERY($A$2:$C$85, ""select B where A="" &amp; I$1 &amp; "" and C="" &amp; $E13),I14))"),3.0)</f>
        <v>3</v>
      </c>
      <c r="J13" s="6">
        <f>IFERROR(__xludf.DUMMYFUNCTION("ifna(QUERY($A$2:$C$85, ""select C where A="" &amp; J$1 &amp; "" and B="" &amp; $E13), ifna(QUERY($A$2:$C$85, ""select B where A="" &amp; J$1 &amp; "" and C="" &amp; $E13),J14))"),10.0)</f>
        <v>10</v>
      </c>
      <c r="K13" s="4">
        <f>IFERROR(__xludf.DUMMYFUNCTION("ifna(QUERY($A$2:$C$85, ""select C where A="" &amp; K$1 &amp; "" and B="" &amp; $E13), ifna(QUERY($A$2:$C$85, ""select B where A="" &amp; K$1 &amp; "" and C="" &amp; $E13),K14))"),29.0)</f>
        <v>29</v>
      </c>
      <c r="L13" s="4">
        <f>IFERROR(__xludf.DUMMYFUNCTION("ifna(QUERY($A$2:$C$85, ""select C where A="" &amp; L$1 &amp; "" and B="" &amp; $E13), ifna(QUERY($A$2:$C$85, ""select B where A="" &amp; L$1 &amp; "" and C="" &amp; $E13),L14))"),73.0)</f>
        <v>73</v>
      </c>
      <c r="M13" s="4" t="str">
        <f>IFERROR(__xludf.DUMMYFUNCTION("ifna(QUERY($A$2:$C$85, ""select C where A="" &amp; M$1 &amp; "" and B="" &amp; $E13), ifna(QUERY($A$2:$C$85, ""select B where A="" &amp; M$1 &amp; "" and C="" &amp; $E13),M14))"),"")</f>
        <v/>
      </c>
      <c r="O13">
        <f t="shared" ref="O13:V13" si="25">F13-F14</f>
        <v>0</v>
      </c>
      <c r="P13">
        <f t="shared" si="25"/>
        <v>0</v>
      </c>
      <c r="Q13">
        <f t="shared" si="25"/>
        <v>0</v>
      </c>
      <c r="R13">
        <f t="shared" si="25"/>
        <v>1</v>
      </c>
      <c r="S13">
        <f t="shared" si="25"/>
        <v>1</v>
      </c>
      <c r="T13">
        <f t="shared" si="25"/>
        <v>2</v>
      </c>
      <c r="U13">
        <f t="shared" si="25"/>
        <v>4</v>
      </c>
      <c r="V13">
        <f t="shared" si="25"/>
        <v>0</v>
      </c>
      <c r="X13" s="2">
        <v>12.0</v>
      </c>
      <c r="Y13" s="6">
        <f t="shared" ref="Y13:AE13" si="26">F$2-F13</f>
        <v>2</v>
      </c>
      <c r="Z13" s="6">
        <f t="shared" si="26"/>
        <v>4</v>
      </c>
      <c r="AA13" s="6">
        <f t="shared" si="26"/>
        <v>8</v>
      </c>
      <c r="AB13" s="6">
        <f t="shared" si="26"/>
        <v>13</v>
      </c>
      <c r="AC13" s="6">
        <f t="shared" si="26"/>
        <v>22</v>
      </c>
      <c r="AD13" s="4">
        <f t="shared" si="26"/>
        <v>35</v>
      </c>
      <c r="AE13" s="4">
        <f t="shared" si="26"/>
        <v>55</v>
      </c>
      <c r="AF13" s="4"/>
      <c r="AI13">
        <f>AJ12-AI12</f>
        <v>0</v>
      </c>
    </row>
    <row r="14">
      <c r="A14" s="1">
        <v>4.0</v>
      </c>
      <c r="B14" s="1">
        <v>6.0</v>
      </c>
      <c r="C14" s="1">
        <v>7.0</v>
      </c>
      <c r="E14" s="2">
        <v>13.0</v>
      </c>
      <c r="F14" s="6" t="str">
        <f>IFERROR(__xludf.DUMMYFUNCTION("ifna(QUERY($A$2:$C$85, ""select C where A="" &amp; F$1 &amp; "" and B="" &amp; $E14), ifna(QUERY($A$2:$C$85, ""select B where A="" &amp; F$1 &amp; "" and C="" &amp; $E14),F15))"),"")</f>
        <v/>
      </c>
      <c r="G14" s="6" t="str">
        <f>IFERROR(__xludf.DUMMYFUNCTION("ifna(QUERY($A$2:$C$85, ""select C where A="" &amp; G$1 &amp; "" and B="" &amp; $E14), ifna(QUERY($A$2:$C$85, ""select B where A="" &amp; G$1 &amp; "" and C="" &amp; $E14),G15))"),"")</f>
        <v/>
      </c>
      <c r="H14" s="6" t="str">
        <f>IFERROR(__xludf.DUMMYFUNCTION("ifna(QUERY($A$2:$C$85, ""select C where A="" &amp; H$1 &amp; "" and B="" &amp; $E14), ifna(QUERY($A$2:$C$85, ""select B where A="" &amp; H$1 &amp; "" and C="" &amp; $E14),H15))"),"")</f>
        <v/>
      </c>
      <c r="I14" s="6">
        <f>IFERROR(__xludf.DUMMYFUNCTION("ifna(QUERY($A$2:$C$85, ""select C where A="" &amp; I$1 &amp; "" and B="" &amp; $E14), ifna(QUERY($A$2:$C$85, ""select B where A="" &amp; I$1 &amp; "" and C="" &amp; $E14),I15))"),2.0)</f>
        <v>2</v>
      </c>
      <c r="J14" s="6">
        <f>IFERROR(__xludf.DUMMYFUNCTION("ifna(QUERY($A$2:$C$85, ""select C where A="" &amp; J$1 &amp; "" and B="" &amp; $E14), ifna(QUERY($A$2:$C$85, ""select B where A="" &amp; J$1 &amp; "" and C="" &amp; $E14),J15))"),9.0)</f>
        <v>9</v>
      </c>
      <c r="K14" s="4">
        <f>IFERROR(__xludf.DUMMYFUNCTION("ifna(QUERY($A$2:$C$85, ""select C where A="" &amp; K$1 &amp; "" and B="" &amp; $E14), ifna(QUERY($A$2:$C$85, ""select B where A="" &amp; K$1 &amp; "" and C="" &amp; $E14),K15))"),27.0)</f>
        <v>27</v>
      </c>
      <c r="L14" s="4">
        <f>IFERROR(__xludf.DUMMYFUNCTION("ifna(QUERY($A$2:$C$85, ""select C where A="" &amp; L$1 &amp; "" and B="" &amp; $E14), ifna(QUERY($A$2:$C$85, ""select B where A="" &amp; L$1 &amp; "" and C="" &amp; $E14),L15))"),69.0)</f>
        <v>69</v>
      </c>
      <c r="M14" s="4" t="str">
        <f>IFERROR(__xludf.DUMMYFUNCTION("ifna(QUERY($A$2:$C$85, ""select C where A="" &amp; M$1 &amp; "" and B="" &amp; $E14), ifna(QUERY($A$2:$C$85, ""select B where A="" &amp; M$1 &amp; "" and C="" &amp; $E14),M15))"),"")</f>
        <v/>
      </c>
      <c r="O14">
        <f t="shared" ref="O14:V14" si="27">F14-F15</f>
        <v>0</v>
      </c>
      <c r="P14">
        <f t="shared" si="27"/>
        <v>0</v>
      </c>
      <c r="Q14">
        <f t="shared" si="27"/>
        <v>0</v>
      </c>
      <c r="R14">
        <f t="shared" si="27"/>
        <v>0</v>
      </c>
      <c r="S14">
        <f t="shared" si="27"/>
        <v>0</v>
      </c>
      <c r="T14">
        <f t="shared" si="27"/>
        <v>2</v>
      </c>
      <c r="U14">
        <f t="shared" si="27"/>
        <v>3</v>
      </c>
      <c r="V14">
        <f t="shared" si="27"/>
        <v>0</v>
      </c>
      <c r="X14" s="2">
        <v>13.0</v>
      </c>
      <c r="Y14" s="6">
        <f t="shared" ref="Y14:AE14" si="28">F$2-F14</f>
        <v>2</v>
      </c>
      <c r="Z14" s="6">
        <f t="shared" si="28"/>
        <v>4</v>
      </c>
      <c r="AA14" s="6">
        <f t="shared" si="28"/>
        <v>8</v>
      </c>
      <c r="AB14" s="6">
        <f t="shared" si="28"/>
        <v>14</v>
      </c>
      <c r="AC14" s="6">
        <f t="shared" si="28"/>
        <v>23</v>
      </c>
      <c r="AD14" s="4">
        <f t="shared" si="28"/>
        <v>37</v>
      </c>
      <c r="AE14" s="4">
        <f t="shared" si="28"/>
        <v>59</v>
      </c>
      <c r="AF14" s="4"/>
    </row>
    <row r="15">
      <c r="A15" s="1">
        <v>5.0</v>
      </c>
      <c r="B15" s="1">
        <v>1.0</v>
      </c>
      <c r="C15" s="1">
        <v>32.0</v>
      </c>
      <c r="E15" s="2">
        <v>14.0</v>
      </c>
      <c r="F15" s="6" t="str">
        <f>IFERROR(__xludf.DUMMYFUNCTION("ifna(QUERY($A$2:$C$85, ""select C where A="" &amp; F$1 &amp; "" and B="" &amp; $E15), ifna(QUERY($A$2:$C$85, ""select B where A="" &amp; F$1 &amp; "" and C="" &amp; $E15),F16))"),"")</f>
        <v/>
      </c>
      <c r="G15" s="6" t="str">
        <f>IFERROR(__xludf.DUMMYFUNCTION("ifna(QUERY($A$2:$C$85, ""select C where A="" &amp; G$1 &amp; "" and B="" &amp; $E15), ifna(QUERY($A$2:$C$85, ""select B where A="" &amp; G$1 &amp; "" and C="" &amp; $E15),G16))"),"")</f>
        <v/>
      </c>
      <c r="H15" s="6" t="str">
        <f>IFERROR(__xludf.DUMMYFUNCTION("ifna(QUERY($A$2:$C$85, ""select C where A="" &amp; H$1 &amp; "" and B="" &amp; $E15), ifna(QUERY($A$2:$C$85, ""select B where A="" &amp; H$1 &amp; "" and C="" &amp; $E15),H16))"),"")</f>
        <v/>
      </c>
      <c r="I15" s="6">
        <f>IFERROR(__xludf.DUMMYFUNCTION("ifna(QUERY($A$2:$C$85, ""select C where A="" &amp; I$1 &amp; "" and B="" &amp; $E15), ifna(QUERY($A$2:$C$85, ""select B where A="" &amp; I$1 &amp; "" and C="" &amp; $E15),I16))"),2.0)</f>
        <v>2</v>
      </c>
      <c r="J15" s="6">
        <f>IFERROR(__xludf.DUMMYFUNCTION("ifna(QUERY($A$2:$C$85, ""select C where A="" &amp; J$1 &amp; "" and B="" &amp; $E15), ifna(QUERY($A$2:$C$85, ""select B where A="" &amp; J$1 &amp; "" and C="" &amp; $E15),J16))"),9.0)</f>
        <v>9</v>
      </c>
      <c r="K15" s="4">
        <f>IFERROR(__xludf.DUMMYFUNCTION("ifna(QUERY($A$2:$C$85, ""select C where A="" &amp; K$1 &amp; "" and B="" &amp; $E15), ifna(QUERY($A$2:$C$85, ""select B where A="" &amp; K$1 &amp; "" and C="" &amp; $E15),K16))"),25.0)</f>
        <v>25</v>
      </c>
      <c r="L15" s="4">
        <f>IFERROR(__xludf.DUMMYFUNCTION("ifna(QUERY($A$2:$C$85, ""select C where A="" &amp; L$1 &amp; "" and B="" &amp; $E15), ifna(QUERY($A$2:$C$85, ""select B where A="" &amp; L$1 &amp; "" and C="" &amp; $E15),L16))"),66.0)</f>
        <v>66</v>
      </c>
      <c r="M15" s="4" t="str">
        <f>IFERROR(__xludf.DUMMYFUNCTION("ifna(QUERY($A$2:$C$85, ""select C where A="" &amp; M$1 &amp; "" and B="" &amp; $E15), ifna(QUERY($A$2:$C$85, ""select B where A="" &amp; M$1 &amp; "" and C="" &amp; $E15),M16))"),"")</f>
        <v/>
      </c>
      <c r="O15">
        <f t="shared" ref="O15:V15" si="29">F15-F16</f>
        <v>0</v>
      </c>
      <c r="P15">
        <f t="shared" si="29"/>
        <v>0</v>
      </c>
      <c r="Q15">
        <f t="shared" si="29"/>
        <v>0</v>
      </c>
      <c r="R15">
        <f t="shared" si="29"/>
        <v>0</v>
      </c>
      <c r="S15">
        <f t="shared" si="29"/>
        <v>1</v>
      </c>
      <c r="T15">
        <f t="shared" si="29"/>
        <v>1</v>
      </c>
      <c r="U15">
        <f t="shared" si="29"/>
        <v>3</v>
      </c>
      <c r="V15">
        <f t="shared" si="29"/>
        <v>0</v>
      </c>
      <c r="X15" s="2">
        <v>14.0</v>
      </c>
      <c r="Y15" s="6">
        <f t="shared" ref="Y15:AE15" si="30">F$2-F15</f>
        <v>2</v>
      </c>
      <c r="Z15" s="6">
        <f t="shared" si="30"/>
        <v>4</v>
      </c>
      <c r="AA15" s="6">
        <f t="shared" si="30"/>
        <v>8</v>
      </c>
      <c r="AB15" s="6">
        <f t="shared" si="30"/>
        <v>14</v>
      </c>
      <c r="AC15" s="6">
        <f t="shared" si="30"/>
        <v>23</v>
      </c>
      <c r="AD15" s="4">
        <f t="shared" si="30"/>
        <v>39</v>
      </c>
      <c r="AE15" s="4">
        <f t="shared" si="30"/>
        <v>62</v>
      </c>
      <c r="AF15" s="4"/>
    </row>
    <row r="16">
      <c r="A16" s="1">
        <v>5.0</v>
      </c>
      <c r="B16" s="1">
        <v>2.0</v>
      </c>
      <c r="C16" s="1">
        <v>31.0</v>
      </c>
      <c r="E16" s="2">
        <v>15.0</v>
      </c>
      <c r="F16" s="6" t="str">
        <f>IFERROR(__xludf.DUMMYFUNCTION("ifna(QUERY($A$2:$C$85, ""select C where A="" &amp; F$1 &amp; "" and B="" &amp; $E16), ifna(QUERY($A$2:$C$85, ""select B where A="" &amp; F$1 &amp; "" and C="" &amp; $E16),F17))"),"")</f>
        <v/>
      </c>
      <c r="G16" s="6" t="str">
        <f>IFERROR(__xludf.DUMMYFUNCTION("ifna(QUERY($A$2:$C$85, ""select C where A="" &amp; G$1 &amp; "" and B="" &amp; $E16), ifna(QUERY($A$2:$C$85, ""select B where A="" &amp; G$1 &amp; "" and C="" &amp; $E16),G17))"),"")</f>
        <v/>
      </c>
      <c r="H16" s="6" t="str">
        <f>IFERROR(__xludf.DUMMYFUNCTION("ifna(QUERY($A$2:$C$85, ""select C where A="" &amp; H$1 &amp; "" and B="" &amp; $E16), ifna(QUERY($A$2:$C$85, ""select B where A="" &amp; H$1 &amp; "" and C="" &amp; $E16),H17))"),"")</f>
        <v/>
      </c>
      <c r="I16" s="6">
        <f>IFERROR(__xludf.DUMMYFUNCTION("ifna(QUERY($A$2:$C$85, ""select C where A="" &amp; I$1 &amp; "" and B="" &amp; $E16), ifna(QUERY($A$2:$C$85, ""select B where A="" &amp; I$1 &amp; "" and C="" &amp; $E16),I17))"),2.0)</f>
        <v>2</v>
      </c>
      <c r="J16" s="6">
        <f>IFERROR(__xludf.DUMMYFUNCTION("ifna(QUERY($A$2:$C$85, ""select C where A="" &amp; J$1 &amp; "" and B="" &amp; $E16), ifna(QUERY($A$2:$C$85, ""select B where A="" &amp; J$1 &amp; "" and C="" &amp; $E16),J17))"),8.0)</f>
        <v>8</v>
      </c>
      <c r="K16" s="4">
        <f>IFERROR(__xludf.DUMMYFUNCTION("ifna(QUERY($A$2:$C$85, ""select C where A="" &amp; K$1 &amp; "" and B="" &amp; $E16), ifna(QUERY($A$2:$C$85, ""select B where A="" &amp; K$1 &amp; "" and C="" &amp; $E16),K17))"),24.0)</f>
        <v>24</v>
      </c>
      <c r="L16" s="4">
        <f>IFERROR(__xludf.DUMMYFUNCTION("ifna(QUERY($A$2:$C$85, ""select C where A="" &amp; L$1 &amp; "" and B="" &amp; $E16), ifna(QUERY($A$2:$C$85, ""select B where A="" &amp; L$1 &amp; "" and C="" &amp; $E16),L17))"),63.0)</f>
        <v>63</v>
      </c>
      <c r="M16" s="4" t="str">
        <f>IFERROR(__xludf.DUMMYFUNCTION("ifna(QUERY($A$2:$C$85, ""select C where A="" &amp; M$1 &amp; "" and B="" &amp; $E16), ifna(QUERY($A$2:$C$85, ""select B where A="" &amp; M$1 &amp; "" and C="" &amp; $E16),M17))"),"")</f>
        <v/>
      </c>
      <c r="O16">
        <f t="shared" ref="O16:V16" si="31">F16-F17</f>
        <v>0</v>
      </c>
      <c r="P16">
        <f t="shared" si="31"/>
        <v>0</v>
      </c>
      <c r="Q16">
        <f t="shared" si="31"/>
        <v>0</v>
      </c>
      <c r="R16">
        <f t="shared" si="31"/>
        <v>1</v>
      </c>
      <c r="S16">
        <f t="shared" si="31"/>
        <v>1</v>
      </c>
      <c r="T16">
        <f t="shared" si="31"/>
        <v>2</v>
      </c>
      <c r="U16">
        <f t="shared" si="31"/>
        <v>3</v>
      </c>
      <c r="V16">
        <f t="shared" si="31"/>
        <v>0</v>
      </c>
      <c r="X16" s="2">
        <v>15.0</v>
      </c>
      <c r="Y16" s="6">
        <f t="shared" ref="Y16:AE16" si="32">F$2-F16</f>
        <v>2</v>
      </c>
      <c r="Z16" s="6">
        <f t="shared" si="32"/>
        <v>4</v>
      </c>
      <c r="AA16" s="6">
        <f t="shared" si="32"/>
        <v>8</v>
      </c>
      <c r="AB16" s="6">
        <f t="shared" si="32"/>
        <v>14</v>
      </c>
      <c r="AC16" s="6">
        <f t="shared" si="32"/>
        <v>24</v>
      </c>
      <c r="AD16" s="4">
        <f t="shared" si="32"/>
        <v>40</v>
      </c>
      <c r="AE16" s="4">
        <f t="shared" si="32"/>
        <v>65</v>
      </c>
      <c r="AF16" s="4"/>
    </row>
    <row r="17">
      <c r="A17" s="1">
        <v>5.0</v>
      </c>
      <c r="B17" s="1">
        <v>3.0</v>
      </c>
      <c r="C17" s="1">
        <v>27.0</v>
      </c>
      <c r="E17" s="2">
        <v>16.0</v>
      </c>
      <c r="F17" s="6" t="str">
        <f>IFERROR(__xludf.DUMMYFUNCTION("ifna(QUERY($A$2:$C$85, ""select C where A="" &amp; F$1 &amp; "" and B="" &amp; $E17), ifna(QUERY($A$2:$C$85, ""select B where A="" &amp; F$1 &amp; "" and C="" &amp; $E17),F18))"),"")</f>
        <v/>
      </c>
      <c r="G17" s="6" t="str">
        <f>IFERROR(__xludf.DUMMYFUNCTION("ifna(QUERY($A$2:$C$85, ""select C where A="" &amp; G$1 &amp; "" and B="" &amp; $E17), ifna(QUERY($A$2:$C$85, ""select B where A="" &amp; G$1 &amp; "" and C="" &amp; $E17),G18))"),"")</f>
        <v/>
      </c>
      <c r="H17" s="6" t="str">
        <f>IFERROR(__xludf.DUMMYFUNCTION("ifna(QUERY($A$2:$C$85, ""select C where A="" &amp; H$1 &amp; "" and B="" &amp; $E17), ifna(QUERY($A$2:$C$85, ""select B where A="" &amp; H$1 &amp; "" and C="" &amp; $E17),H18))"),"")</f>
        <v/>
      </c>
      <c r="I17" s="6">
        <f>IFERROR(__xludf.DUMMYFUNCTION("ifna(QUERY($A$2:$C$85, ""select C where A="" &amp; I$1 &amp; "" and B="" &amp; $E17), ifna(QUERY($A$2:$C$85, ""select B where A="" &amp; I$1 &amp; "" and C="" &amp; $E17),I18))"),1.0)</f>
        <v>1</v>
      </c>
      <c r="J17" s="6">
        <f>IFERROR(__xludf.DUMMYFUNCTION("ifna(QUERY($A$2:$C$85, ""select C where A="" &amp; J$1 &amp; "" and B="" &amp; $E17), ifna(QUERY($A$2:$C$85, ""select B where A="" &amp; J$1 &amp; "" and C="" &amp; $E17),J18))"),7.0)</f>
        <v>7</v>
      </c>
      <c r="K17" s="4">
        <f>IFERROR(__xludf.DUMMYFUNCTION("ifna(QUERY($A$2:$C$85, ""select C where A="" &amp; K$1 &amp; "" and B="" &amp; $E17), ifna(QUERY($A$2:$C$85, ""select B where A="" &amp; K$1 &amp; "" and C="" &amp; $E17),K18))"),22.0)</f>
        <v>22</v>
      </c>
      <c r="L17" s="4">
        <f>IFERROR(__xludf.DUMMYFUNCTION("ifna(QUERY($A$2:$C$85, ""select C where A="" &amp; L$1 &amp; "" and B="" &amp; $E17), ifna(QUERY($A$2:$C$85, ""select B where A="" &amp; L$1 &amp; "" and C="" &amp; $E17),L18))"),60.0)</f>
        <v>60</v>
      </c>
      <c r="M17" s="4" t="str">
        <f>IFERROR(__xludf.DUMMYFUNCTION("ifna(QUERY($A$2:$C$85, ""select C where A="" &amp; M$1 &amp; "" and B="" &amp; $E17), ifna(QUERY($A$2:$C$85, ""select B where A="" &amp; M$1 &amp; "" and C="" &amp; $E17),M18))"),"")</f>
        <v/>
      </c>
      <c r="O17">
        <f t="shared" ref="O17:V17" si="33">F17-F18</f>
        <v>0</v>
      </c>
      <c r="P17">
        <f t="shared" si="33"/>
        <v>0</v>
      </c>
      <c r="Q17">
        <f t="shared" si="33"/>
        <v>0</v>
      </c>
      <c r="R17">
        <f t="shared" si="33"/>
        <v>1</v>
      </c>
      <c r="S17">
        <f t="shared" si="33"/>
        <v>0</v>
      </c>
      <c r="T17">
        <f t="shared" si="33"/>
        <v>1</v>
      </c>
      <c r="U17">
        <f t="shared" si="33"/>
        <v>2</v>
      </c>
      <c r="V17">
        <f t="shared" si="33"/>
        <v>0</v>
      </c>
      <c r="X17" s="2">
        <v>16.0</v>
      </c>
      <c r="Y17" s="6">
        <f t="shared" ref="Y17:AE17" si="34">F$2-F17</f>
        <v>2</v>
      </c>
      <c r="Z17" s="6">
        <f t="shared" si="34"/>
        <v>4</v>
      </c>
      <c r="AA17" s="6">
        <f t="shared" si="34"/>
        <v>8</v>
      </c>
      <c r="AB17" s="6">
        <f t="shared" si="34"/>
        <v>15</v>
      </c>
      <c r="AC17" s="6">
        <f t="shared" si="34"/>
        <v>25</v>
      </c>
      <c r="AD17" s="4">
        <f t="shared" si="34"/>
        <v>42</v>
      </c>
      <c r="AE17" s="4">
        <f t="shared" si="34"/>
        <v>68</v>
      </c>
      <c r="AF17" s="4"/>
    </row>
    <row r="18">
      <c r="A18" s="1">
        <v>5.0</v>
      </c>
      <c r="B18" s="1">
        <v>4.0</v>
      </c>
      <c r="C18" s="1">
        <v>24.0</v>
      </c>
      <c r="E18" s="2">
        <v>17.0</v>
      </c>
      <c r="F18" s="6" t="str">
        <f>IFERROR(__xludf.DUMMYFUNCTION("ifna(QUERY($A$2:$C$85, ""select C where A="" &amp; F$1 &amp; "" and B="" &amp; $E18), ifna(QUERY($A$2:$C$85, ""select B where A="" &amp; F$1 &amp; "" and C="" &amp; $E18),F19))"),"")</f>
        <v/>
      </c>
      <c r="G18" s="6" t="str">
        <f>IFERROR(__xludf.DUMMYFUNCTION("ifna(QUERY($A$2:$C$85, ""select C where A="" &amp; G$1 &amp; "" and B="" &amp; $E18), ifna(QUERY($A$2:$C$85, ""select B where A="" &amp; G$1 &amp; "" and C="" &amp; $E18),G19))"),"")</f>
        <v/>
      </c>
      <c r="H18" s="6" t="str">
        <f>IFERROR(__xludf.DUMMYFUNCTION("ifna(QUERY($A$2:$C$85, ""select C where A="" &amp; H$1 &amp; "" and B="" &amp; $E18), ifna(QUERY($A$2:$C$85, ""select B where A="" &amp; H$1 &amp; "" and C="" &amp; $E18),H19))"),"")</f>
        <v/>
      </c>
      <c r="I18" s="6" t="str">
        <f>IFERROR(__xludf.DUMMYFUNCTION("ifna(QUERY($A$2:$C$85, ""select C where A="" &amp; I$1 &amp; "" and B="" &amp; $E18), ifna(QUERY($A$2:$C$85, ""select B where A="" &amp; I$1 &amp; "" and C="" &amp; $E18),I19))"),"")</f>
        <v/>
      </c>
      <c r="J18" s="6">
        <f>IFERROR(__xludf.DUMMYFUNCTION("ifna(QUERY($A$2:$C$85, ""select C where A="" &amp; J$1 &amp; "" and B="" &amp; $E18), ifna(QUERY($A$2:$C$85, ""select B where A="" &amp; J$1 &amp; "" and C="" &amp; $E18),J19))"),7.0)</f>
        <v>7</v>
      </c>
      <c r="K18" s="4">
        <f>IFERROR(__xludf.DUMMYFUNCTION("ifna(QUERY($A$2:$C$85, ""select C where A="" &amp; K$1 &amp; "" and B="" &amp; $E18), ifna(QUERY($A$2:$C$85, ""select B where A="" &amp; K$1 &amp; "" and C="" &amp; $E18),K19))"),21.0)</f>
        <v>21</v>
      </c>
      <c r="L18" s="4">
        <f>IFERROR(__xludf.DUMMYFUNCTION("ifna(QUERY($A$2:$C$85, ""select C where A="" &amp; L$1 &amp; "" and B="" &amp; $E18), ifna(QUERY($A$2:$C$85, ""select B where A="" &amp; L$1 &amp; "" and C="" &amp; $E18),L19))"),58.0)</f>
        <v>58</v>
      </c>
      <c r="M18" s="4" t="str">
        <f>IFERROR(__xludf.DUMMYFUNCTION("ifna(QUERY($A$2:$C$85, ""select C where A="" &amp; M$1 &amp; "" and B="" &amp; $E18), ifna(QUERY($A$2:$C$85, ""select B where A="" &amp; M$1 &amp; "" and C="" &amp; $E18),M19))"),"")</f>
        <v/>
      </c>
      <c r="O18">
        <f t="shared" ref="O18:V18" si="35">F18-F19</f>
        <v>0</v>
      </c>
      <c r="P18">
        <f t="shared" si="35"/>
        <v>0</v>
      </c>
      <c r="Q18">
        <f t="shared" si="35"/>
        <v>0</v>
      </c>
      <c r="R18">
        <f t="shared" si="35"/>
        <v>0</v>
      </c>
      <c r="S18">
        <f t="shared" si="35"/>
        <v>1</v>
      </c>
      <c r="T18">
        <f t="shared" si="35"/>
        <v>1</v>
      </c>
      <c r="U18">
        <f t="shared" si="35"/>
        <v>3</v>
      </c>
      <c r="V18">
        <f t="shared" si="35"/>
        <v>0</v>
      </c>
      <c r="X18" s="2">
        <v>17.0</v>
      </c>
      <c r="Y18" s="6">
        <f t="shared" ref="Y18:AE18" si="36">F$2-F18</f>
        <v>2</v>
      </c>
      <c r="Z18" s="6">
        <f t="shared" si="36"/>
        <v>4</v>
      </c>
      <c r="AA18" s="6">
        <f t="shared" si="36"/>
        <v>8</v>
      </c>
      <c r="AB18" s="6">
        <f t="shared" si="36"/>
        <v>16</v>
      </c>
      <c r="AC18" s="6">
        <f t="shared" si="36"/>
        <v>25</v>
      </c>
      <c r="AD18" s="4">
        <f t="shared" si="36"/>
        <v>43</v>
      </c>
      <c r="AE18" s="4">
        <f t="shared" si="36"/>
        <v>70</v>
      </c>
      <c r="AF18" s="4"/>
    </row>
    <row r="19">
      <c r="A19" s="1">
        <v>5.0</v>
      </c>
      <c r="B19" s="1">
        <v>5.0</v>
      </c>
      <c r="C19" s="1">
        <v>22.0</v>
      </c>
      <c r="E19" s="2">
        <v>18.0</v>
      </c>
      <c r="F19" s="6" t="str">
        <f>IFERROR(__xludf.DUMMYFUNCTION("ifna(QUERY($A$2:$C$76, ""select C where A="" &amp; F$1 &amp; "" and B="" &amp; $E19), ifna(QUERY($A$2:$C$76, ""select B where A="" &amp; F$1 &amp; "" and C="" &amp; $E19),F20))"),"")</f>
        <v/>
      </c>
      <c r="G19" s="6" t="str">
        <f>IFERROR(__xludf.DUMMYFUNCTION("ifna(QUERY($A$2:$C$76, ""select C where A="" &amp; G$1 &amp; "" and B="" &amp; $E19), ifna(QUERY($A$2:$C$76, ""select B where A="" &amp; G$1 &amp; "" and C="" &amp; $E19),G20))"),"")</f>
        <v/>
      </c>
      <c r="H19" s="6" t="str">
        <f>IFERROR(__xludf.DUMMYFUNCTION("ifna(QUERY($A$2:$C$76, ""select C where A="" &amp; H$1 &amp; "" and B="" &amp; $E19), ifna(QUERY($A$2:$C$76, ""select B where A="" &amp; H$1 &amp; "" and C="" &amp; $E19),H20))"),"")</f>
        <v/>
      </c>
      <c r="I19" s="6" t="str">
        <f>IFERROR(__xludf.DUMMYFUNCTION("ifna(QUERY($A$2:$C$76, ""select C where A="" &amp; I$1 &amp; "" and B="" &amp; $E19), ifna(QUERY($A$2:$C$76, ""select B where A="" &amp; I$1 &amp; "" and C="" &amp; $E19),I20))"),"")</f>
        <v/>
      </c>
      <c r="J19" s="6">
        <f>IFERROR(__xludf.DUMMYFUNCTION("ifna(QUERY($A$2:$C$76, ""select C where A="" &amp; J$1 &amp; "" and B="" &amp; $E19), ifna(QUERY($A$2:$C$76, ""select B where A="" &amp; J$1 &amp; "" and C="" &amp; $E19),J20))"),6.0)</f>
        <v>6</v>
      </c>
      <c r="K19" s="4">
        <f>IFERROR(__xludf.DUMMYFUNCTION("ifna(QUERY($A$2:$C$76, ""select C where A="" &amp; K$1 &amp; "" and B="" &amp; $E19), ifna(QUERY($A$2:$C$76, ""select B where A="" &amp; K$1 &amp; "" and C="" &amp; $E19),K20))"),20.0)</f>
        <v>20</v>
      </c>
      <c r="L19" s="4">
        <f>IFERROR(__xludf.DUMMYFUNCTION("ifna(QUERY($A$2:$C$76, ""select C where A="" &amp; L$1 &amp; "" and B="" &amp; $E19), ifna(QUERY($A$2:$C$76, ""select B where A="" &amp; L$1 &amp; "" and C="" &amp; $E19),L20))"),55.0)</f>
        <v>55</v>
      </c>
      <c r="M19" s="5"/>
      <c r="O19">
        <f t="shared" ref="O19:V19" si="37">F19-F20</f>
        <v>0</v>
      </c>
      <c r="P19">
        <f t="shared" si="37"/>
        <v>0</v>
      </c>
      <c r="Q19">
        <f t="shared" si="37"/>
        <v>0</v>
      </c>
      <c r="R19">
        <f t="shared" si="37"/>
        <v>0</v>
      </c>
      <c r="S19">
        <f t="shared" si="37"/>
        <v>0</v>
      </c>
      <c r="T19">
        <f t="shared" si="37"/>
        <v>1</v>
      </c>
      <c r="U19">
        <f t="shared" si="37"/>
        <v>2</v>
      </c>
      <c r="V19">
        <f t="shared" si="37"/>
        <v>0</v>
      </c>
      <c r="X19" s="2">
        <v>18.0</v>
      </c>
      <c r="Y19" s="6">
        <f t="shared" ref="Y19:AE19" si="38">F$2-F19</f>
        <v>2</v>
      </c>
      <c r="Z19" s="6">
        <f t="shared" si="38"/>
        <v>4</v>
      </c>
      <c r="AA19" s="6">
        <f t="shared" si="38"/>
        <v>8</v>
      </c>
      <c r="AB19" s="6">
        <f t="shared" si="38"/>
        <v>16</v>
      </c>
      <c r="AC19" s="6">
        <f t="shared" si="38"/>
        <v>26</v>
      </c>
      <c r="AD19" s="4">
        <f t="shared" si="38"/>
        <v>44</v>
      </c>
      <c r="AE19" s="4">
        <f t="shared" si="38"/>
        <v>73</v>
      </c>
      <c r="AF19" s="5"/>
    </row>
    <row r="20">
      <c r="A20" s="1">
        <v>5.0</v>
      </c>
      <c r="B20" s="1">
        <v>6.0</v>
      </c>
      <c r="C20" s="1">
        <v>19.0</v>
      </c>
      <c r="E20" s="2">
        <v>19.0</v>
      </c>
      <c r="F20" s="6" t="str">
        <f>IFERROR(__xludf.DUMMYFUNCTION("ifna(QUERY($A$2:$C$76, ""select C where A="" &amp; F$1 &amp; "" and B="" &amp; $E20), ifna(QUERY($A$2:$C$76, ""select B where A="" &amp; F$1 &amp; "" and C="" &amp; $E20),F21))"),"")</f>
        <v/>
      </c>
      <c r="G20" s="6" t="str">
        <f>IFERROR(__xludf.DUMMYFUNCTION("ifna(QUERY($A$2:$C$76, ""select C where A="" &amp; G$1 &amp; "" and B="" &amp; $E20), ifna(QUERY($A$2:$C$76, ""select B where A="" &amp; G$1 &amp; "" and C="" &amp; $E20),G21))"),"")</f>
        <v/>
      </c>
      <c r="H20" s="6" t="str">
        <f>IFERROR(__xludf.DUMMYFUNCTION("ifna(QUERY($A$2:$C$76, ""select C where A="" &amp; H$1 &amp; "" and B="" &amp; $E20), ifna(QUERY($A$2:$C$76, ""select B where A="" &amp; H$1 &amp; "" and C="" &amp; $E20),H21))"),"")</f>
        <v/>
      </c>
      <c r="I20" s="6" t="str">
        <f>IFERROR(__xludf.DUMMYFUNCTION("ifna(QUERY($A$2:$C$76, ""select C where A="" &amp; I$1 &amp; "" and B="" &amp; $E20), ifna(QUERY($A$2:$C$76, ""select B where A="" &amp; I$1 &amp; "" and C="" &amp; $E20),I21))"),"")</f>
        <v/>
      </c>
      <c r="J20" s="6">
        <f>IFERROR(__xludf.DUMMYFUNCTION("ifna(QUERY($A$2:$C$76, ""select C where A="" &amp; J$1 &amp; "" and B="" &amp; $E20), ifna(QUERY($A$2:$C$76, ""select B where A="" &amp; J$1 &amp; "" and C="" &amp; $E20),J21))"),6.0)</f>
        <v>6</v>
      </c>
      <c r="K20" s="4">
        <f>IFERROR(__xludf.DUMMYFUNCTION("ifna(QUERY($A$2:$C$76, ""select C where A="" &amp; K$1 &amp; "" and B="" &amp; $E20), ifna(QUERY($A$2:$C$76, ""select B where A="" &amp; K$1 &amp; "" and C="" &amp; $E20),K21))"),19.0)</f>
        <v>19</v>
      </c>
      <c r="L20" s="4">
        <f>IFERROR(__xludf.DUMMYFUNCTION("ifna(QUERY($A$2:$C$76, ""select C where A="" &amp; L$1 &amp; "" and B="" &amp; $E20), ifna(QUERY($A$2:$C$76, ""select B where A="" &amp; L$1 &amp; "" and C="" &amp; $E20),L21))"),53.0)</f>
        <v>53</v>
      </c>
      <c r="M20" s="5"/>
      <c r="O20">
        <f t="shared" ref="O20:V20" si="39">F20-F21</f>
        <v>0</v>
      </c>
      <c r="P20">
        <f t="shared" si="39"/>
        <v>0</v>
      </c>
      <c r="Q20">
        <f t="shared" si="39"/>
        <v>0</v>
      </c>
      <c r="R20">
        <f t="shared" si="39"/>
        <v>0</v>
      </c>
      <c r="S20">
        <f t="shared" si="39"/>
        <v>1</v>
      </c>
      <c r="T20" s="5">
        <f t="shared" si="39"/>
        <v>1</v>
      </c>
      <c r="U20">
        <f t="shared" si="39"/>
        <v>2</v>
      </c>
      <c r="V20">
        <f t="shared" si="39"/>
        <v>0</v>
      </c>
      <c r="X20" s="2">
        <v>19.0</v>
      </c>
      <c r="Y20" s="6">
        <f t="shared" ref="Y20:AE20" si="40">F$2-F20</f>
        <v>2</v>
      </c>
      <c r="Z20" s="6">
        <f t="shared" si="40"/>
        <v>4</v>
      </c>
      <c r="AA20" s="6">
        <f t="shared" si="40"/>
        <v>8</v>
      </c>
      <c r="AB20" s="6">
        <f t="shared" si="40"/>
        <v>16</v>
      </c>
      <c r="AC20" s="6">
        <f t="shared" si="40"/>
        <v>26</v>
      </c>
      <c r="AD20" s="4">
        <f t="shared" si="40"/>
        <v>45</v>
      </c>
      <c r="AE20" s="4">
        <f t="shared" si="40"/>
        <v>75</v>
      </c>
      <c r="AF20" s="5"/>
      <c r="AI20">
        <f>1/6</f>
        <v>0.1666666667</v>
      </c>
    </row>
    <row r="21">
      <c r="A21" s="1">
        <v>5.0</v>
      </c>
      <c r="B21" s="1">
        <v>7.0</v>
      </c>
      <c r="C21" s="1">
        <v>17.0</v>
      </c>
      <c r="E21" s="2">
        <v>20.0</v>
      </c>
      <c r="F21" s="6" t="str">
        <f>IFERROR(__xludf.DUMMYFUNCTION("ifna(QUERY($A$2:$C$76, ""select C where A="" &amp; F$1 &amp; "" and B="" &amp; $E21), ifna(QUERY($A$2:$C$76, ""select B where A="" &amp; F$1 &amp; "" and C="" &amp; $E21),F22))"),"")</f>
        <v/>
      </c>
      <c r="G21" s="6" t="str">
        <f>IFERROR(__xludf.DUMMYFUNCTION("ifna(QUERY($A$2:$C$76, ""select C where A="" &amp; G$1 &amp; "" and B="" &amp; $E21), ifna(QUERY($A$2:$C$76, ""select B where A="" &amp; G$1 &amp; "" and C="" &amp; $E21),G22))"),"")</f>
        <v/>
      </c>
      <c r="H21" s="6" t="str">
        <f>IFERROR(__xludf.DUMMYFUNCTION("ifna(QUERY($A$2:$C$76, ""select C where A="" &amp; H$1 &amp; "" and B="" &amp; $E21), ifna(QUERY($A$2:$C$76, ""select B where A="" &amp; H$1 &amp; "" and C="" &amp; $E21),H22))"),"")</f>
        <v/>
      </c>
      <c r="I21" s="6" t="str">
        <f>IFERROR(__xludf.DUMMYFUNCTION("ifna(QUERY($A$2:$C$76, ""select C where A="" &amp; I$1 &amp; "" and B="" &amp; $E21), ifna(QUERY($A$2:$C$76, ""select B where A="" &amp; I$1 &amp; "" and C="" &amp; $E21),I22))"),"")</f>
        <v/>
      </c>
      <c r="J21" s="6">
        <f>IFERROR(__xludf.DUMMYFUNCTION("ifna(QUERY($A$2:$C$76, ""select C where A="" &amp; J$1 &amp; "" and B="" &amp; $E21), ifna(QUERY($A$2:$C$76, ""select B where A="" &amp; J$1 &amp; "" and C="" &amp; $E21),J22))"),5.0)</f>
        <v>5</v>
      </c>
      <c r="K21" s="6">
        <f>IFERROR(__xludf.DUMMYFUNCTION("ifna(QUERY($A$2:$C$76, ""select C where A="" &amp; K$1 &amp; "" and B="" &amp; $E21), ifna(QUERY($A$2:$C$76, ""select B where A="" &amp; K$1 &amp; "" and C="" &amp; $E21),K22))"),18.0)</f>
        <v>18</v>
      </c>
      <c r="L21" s="6">
        <f>IFERROR(__xludf.DUMMYFUNCTION("ifna(QUERY($A$2:$C$76, ""select C where A="" &amp; L$1 &amp; "" and B="" &amp; $E21), ifna(QUERY($A$2:$C$76, ""select B where A="" &amp; L$1 &amp; "" and C="" &amp; $E21),L22))"),51.0)</f>
        <v>51</v>
      </c>
      <c r="O21">
        <f t="shared" ref="O21:V21" si="41">F21-F22</f>
        <v>0</v>
      </c>
      <c r="P21">
        <f t="shared" si="41"/>
        <v>0</v>
      </c>
      <c r="Q21">
        <f t="shared" si="41"/>
        <v>0</v>
      </c>
      <c r="R21">
        <f t="shared" si="41"/>
        <v>0</v>
      </c>
      <c r="S21">
        <f t="shared" si="41"/>
        <v>0</v>
      </c>
      <c r="T21">
        <f t="shared" si="41"/>
        <v>1</v>
      </c>
      <c r="U21">
        <f t="shared" si="41"/>
        <v>2</v>
      </c>
      <c r="V21">
        <f t="shared" si="41"/>
        <v>0</v>
      </c>
      <c r="X21" s="2">
        <v>20.0</v>
      </c>
      <c r="Y21" s="6">
        <f t="shared" ref="Y21:AE21" si="42">F$2-F21</f>
        <v>2</v>
      </c>
      <c r="Z21" s="6">
        <f t="shared" si="42"/>
        <v>4</v>
      </c>
      <c r="AA21" s="6">
        <f t="shared" si="42"/>
        <v>8</v>
      </c>
      <c r="AB21" s="6">
        <f t="shared" si="42"/>
        <v>16</v>
      </c>
      <c r="AC21" s="6">
        <f t="shared" si="42"/>
        <v>27</v>
      </c>
      <c r="AD21" s="6">
        <f t="shared" si="42"/>
        <v>46</v>
      </c>
      <c r="AE21" s="6">
        <f t="shared" si="42"/>
        <v>77</v>
      </c>
      <c r="AI21">
        <f>-125+225-340</f>
        <v>-240</v>
      </c>
    </row>
    <row r="22">
      <c r="A22" s="1">
        <v>5.0</v>
      </c>
      <c r="B22" s="1">
        <v>8.0</v>
      </c>
      <c r="C22" s="1">
        <v>15.0</v>
      </c>
      <c r="E22" s="2">
        <v>21.0</v>
      </c>
      <c r="F22" s="6" t="str">
        <f>IFERROR(__xludf.DUMMYFUNCTION("ifna(QUERY($A$2:$C$76, ""select C where A="" &amp; F$1 &amp; "" and B="" &amp; $E22), ifna(QUERY($A$2:$C$76, ""select B where A="" &amp; F$1 &amp; "" and C="" &amp; $E22),F23))"),"")</f>
        <v/>
      </c>
      <c r="G22" s="6" t="str">
        <f>IFERROR(__xludf.DUMMYFUNCTION("ifna(QUERY($A$2:$C$76, ""select C where A="" &amp; G$1 &amp; "" and B="" &amp; $E22), ifna(QUERY($A$2:$C$76, ""select B where A="" &amp; G$1 &amp; "" and C="" &amp; $E22),G23))"),"")</f>
        <v/>
      </c>
      <c r="H22" s="6" t="str">
        <f>IFERROR(__xludf.DUMMYFUNCTION("ifna(QUERY($A$2:$C$76, ""select C where A="" &amp; H$1 &amp; "" and B="" &amp; $E22), ifna(QUERY($A$2:$C$76, ""select B where A="" &amp; H$1 &amp; "" and C="" &amp; $E22),H23))"),"")</f>
        <v/>
      </c>
      <c r="I22" s="6" t="str">
        <f>IFERROR(__xludf.DUMMYFUNCTION("ifna(QUERY($A$2:$C$76, ""select C where A="" &amp; I$1 &amp; "" and B="" &amp; $E22), ifna(QUERY($A$2:$C$76, ""select B where A="" &amp; I$1 &amp; "" and C="" &amp; $E22),I23))"),"")</f>
        <v/>
      </c>
      <c r="J22" s="6">
        <f>IFERROR(__xludf.DUMMYFUNCTION("ifna(QUERY($A$2:$C$76, ""select C where A="" &amp; J$1 &amp; "" and B="" &amp; $E22), ifna(QUERY($A$2:$C$76, ""select B where A="" &amp; J$1 &amp; "" and C="" &amp; $E22),J23))"),5.0)</f>
        <v>5</v>
      </c>
      <c r="K22" s="6">
        <f>IFERROR(__xludf.DUMMYFUNCTION("ifna(QUERY($A$2:$C$76, ""select C where A="" &amp; K$1 &amp; "" and B="" &amp; $E22), ifna(QUERY($A$2:$C$76, ""select B where A="" &amp; K$1 &amp; "" and C="" &amp; $E22),K23))"),17.0)</f>
        <v>17</v>
      </c>
      <c r="L22" s="6">
        <f>IFERROR(__xludf.DUMMYFUNCTION("ifna(QUERY($A$2:$C$76, ""select C where A="" &amp; L$1 &amp; "" and B="" &amp; $E22), ifna(QUERY($A$2:$C$76, ""select B where A="" &amp; L$1 &amp; "" and C="" &amp; $E22),L23))"),49.0)</f>
        <v>49</v>
      </c>
      <c r="O22">
        <f t="shared" ref="O22:V22" si="43">F22-F23</f>
        <v>0</v>
      </c>
      <c r="P22">
        <f t="shared" si="43"/>
        <v>0</v>
      </c>
      <c r="Q22">
        <f t="shared" si="43"/>
        <v>0</v>
      </c>
      <c r="R22">
        <f t="shared" si="43"/>
        <v>0</v>
      </c>
      <c r="S22">
        <f t="shared" si="43"/>
        <v>0</v>
      </c>
      <c r="T22">
        <f t="shared" si="43"/>
        <v>1</v>
      </c>
      <c r="U22">
        <f t="shared" si="43"/>
        <v>2</v>
      </c>
      <c r="V22">
        <f t="shared" si="43"/>
        <v>0</v>
      </c>
      <c r="X22" s="2">
        <v>21.0</v>
      </c>
      <c r="Y22" s="6">
        <f t="shared" ref="Y22:AE22" si="44">F$2-F22</f>
        <v>2</v>
      </c>
      <c r="Z22" s="6">
        <f t="shared" si="44"/>
        <v>4</v>
      </c>
      <c r="AA22" s="6">
        <f t="shared" si="44"/>
        <v>8</v>
      </c>
      <c r="AB22" s="6">
        <f t="shared" si="44"/>
        <v>16</v>
      </c>
      <c r="AC22" s="6">
        <f t="shared" si="44"/>
        <v>27</v>
      </c>
      <c r="AD22" s="6">
        <f t="shared" si="44"/>
        <v>47</v>
      </c>
      <c r="AE22" s="6">
        <f t="shared" si="44"/>
        <v>79</v>
      </c>
    </row>
    <row r="23">
      <c r="A23" s="1">
        <v>5.0</v>
      </c>
      <c r="B23" s="1">
        <v>9.0</v>
      </c>
      <c r="C23" s="1">
        <v>14.0</v>
      </c>
      <c r="E23" s="2">
        <v>22.0</v>
      </c>
      <c r="F23" s="6" t="str">
        <f>IFERROR(__xludf.DUMMYFUNCTION("ifna(QUERY($A$2:$C$76, ""select C where A="" &amp; F$1 &amp; "" and B="" &amp; $E23), ifna(QUERY($A$2:$C$76, ""select B where A="" &amp; F$1 &amp; "" and C="" &amp; $E23),F24))"),"")</f>
        <v/>
      </c>
      <c r="G23" s="6" t="str">
        <f>IFERROR(__xludf.DUMMYFUNCTION("ifna(QUERY($A$2:$C$76, ""select C where A="" &amp; G$1 &amp; "" and B="" &amp; $E23), ifna(QUERY($A$2:$C$76, ""select B where A="" &amp; G$1 &amp; "" and C="" &amp; $E23),G24))"),"")</f>
        <v/>
      </c>
      <c r="H23" s="6" t="str">
        <f>IFERROR(__xludf.DUMMYFUNCTION("ifna(QUERY($A$2:$C$76, ""select C where A="" &amp; H$1 &amp; "" and B="" &amp; $E23), ifna(QUERY($A$2:$C$76, ""select B where A="" &amp; H$1 &amp; "" and C="" &amp; $E23),H24))"),"")</f>
        <v/>
      </c>
      <c r="I23" s="6" t="str">
        <f>IFERROR(__xludf.DUMMYFUNCTION("ifna(QUERY($A$2:$C$76, ""select C where A="" &amp; I$1 &amp; "" and B="" &amp; $E23), ifna(QUERY($A$2:$C$76, ""select B where A="" &amp; I$1 &amp; "" and C="" &amp; $E23),I24))"),"")</f>
        <v/>
      </c>
      <c r="J23" s="6">
        <f>IFERROR(__xludf.DUMMYFUNCTION("ifna(QUERY($A$2:$C$76, ""select C where A="" &amp; J$1 &amp; "" and B="" &amp; $E23), ifna(QUERY($A$2:$C$76, ""select B where A="" &amp; J$1 &amp; "" and C="" &amp; $E23),J24))"),5.0)</f>
        <v>5</v>
      </c>
      <c r="K23" s="6">
        <f>IFERROR(__xludf.DUMMYFUNCTION("ifna(QUERY($A$2:$C$76, ""select C where A="" &amp; K$1 &amp; "" and B="" &amp; $E23), ifna(QUERY($A$2:$C$76, ""select B where A="" &amp; K$1 &amp; "" and C="" &amp; $E23),K24))"),16.0)</f>
        <v>16</v>
      </c>
      <c r="L23" s="6">
        <f>IFERROR(__xludf.DUMMYFUNCTION("ifna(QUERY($A$2:$C$76, ""select C where A="" &amp; L$1 &amp; "" and B="" &amp; $E23), ifna(QUERY($A$2:$C$76, ""select B where A="" &amp; L$1 &amp; "" and C="" &amp; $E23),L24))"),47.0)</f>
        <v>47</v>
      </c>
      <c r="O23">
        <f t="shared" ref="O23:V23" si="45">F23-F24</f>
        <v>0</v>
      </c>
      <c r="P23">
        <f t="shared" si="45"/>
        <v>0</v>
      </c>
      <c r="Q23">
        <f t="shared" si="45"/>
        <v>0</v>
      </c>
      <c r="R23">
        <f t="shared" si="45"/>
        <v>0</v>
      </c>
      <c r="S23">
        <f t="shared" si="45"/>
        <v>1</v>
      </c>
      <c r="T23">
        <f t="shared" si="45"/>
        <v>1</v>
      </c>
      <c r="U23">
        <f t="shared" si="45"/>
        <v>2</v>
      </c>
      <c r="V23">
        <f t="shared" si="45"/>
        <v>0</v>
      </c>
    </row>
    <row r="24">
      <c r="A24" s="1">
        <v>5.0</v>
      </c>
      <c r="B24" s="1">
        <v>10.0</v>
      </c>
      <c r="C24" s="1">
        <v>12.0</v>
      </c>
      <c r="E24" s="2">
        <v>23.0</v>
      </c>
      <c r="F24" s="6" t="str">
        <f>IFERROR(__xludf.DUMMYFUNCTION("ifna(QUERY($A$2:$C$76, ""select C where A="" &amp; F$1 &amp; "" and B="" &amp; $E24), ifna(QUERY($A$2:$C$76, ""select B where A="" &amp; F$1 &amp; "" and C="" &amp; $E24),F25))"),"")</f>
        <v/>
      </c>
      <c r="G24" s="6" t="str">
        <f>IFERROR(__xludf.DUMMYFUNCTION("ifna(QUERY($A$2:$C$76, ""select C where A="" &amp; G$1 &amp; "" and B="" &amp; $E24), ifna(QUERY($A$2:$C$76, ""select B where A="" &amp; G$1 &amp; "" and C="" &amp; $E24),G25))"),"")</f>
        <v/>
      </c>
      <c r="H24" s="6" t="str">
        <f>IFERROR(__xludf.DUMMYFUNCTION("ifna(QUERY($A$2:$C$76, ""select C where A="" &amp; H$1 &amp; "" and B="" &amp; $E24), ifna(QUERY($A$2:$C$76, ""select B where A="" &amp; H$1 &amp; "" and C="" &amp; $E24),H25))"),"")</f>
        <v/>
      </c>
      <c r="I24" s="6" t="str">
        <f>IFERROR(__xludf.DUMMYFUNCTION("ifna(QUERY($A$2:$C$76, ""select C where A="" &amp; I$1 &amp; "" and B="" &amp; $E24), ifna(QUERY($A$2:$C$76, ""select B where A="" &amp; I$1 &amp; "" and C="" &amp; $E24),I25))"),"")</f>
        <v/>
      </c>
      <c r="J24" s="6">
        <f>IFERROR(__xludf.DUMMYFUNCTION("ifna(QUERY($A$2:$C$76, ""select C where A="" &amp; J$1 &amp; "" and B="" &amp; $E24), ifna(QUERY($A$2:$C$76, ""select B where A="" &amp; J$1 &amp; "" and C="" &amp; $E24),J25))"),4.0)</f>
        <v>4</v>
      </c>
      <c r="K24" s="6">
        <f>IFERROR(__xludf.DUMMYFUNCTION("ifna(QUERY($A$2:$C$76, ""select C where A="" &amp; K$1 &amp; "" and B="" &amp; $E24), ifna(QUERY($A$2:$C$76, ""select B where A="" &amp; K$1 &amp; "" and C="" &amp; $E24),K25))"),15.0)</f>
        <v>15</v>
      </c>
      <c r="L24" s="6">
        <f>IFERROR(__xludf.DUMMYFUNCTION("ifna(QUERY($A$2:$C$76, ""select C where A="" &amp; L$1 &amp; "" and B="" &amp; $E24), ifna(QUERY($A$2:$C$76, ""select B where A="" &amp; L$1 &amp; "" and C="" &amp; $E24),L25))"),45.0)</f>
        <v>45</v>
      </c>
      <c r="O24">
        <f t="shared" ref="O24:V24" si="46">F24-F25</f>
        <v>0</v>
      </c>
      <c r="P24">
        <f t="shared" si="46"/>
        <v>0</v>
      </c>
      <c r="Q24">
        <f t="shared" si="46"/>
        <v>0</v>
      </c>
      <c r="R24">
        <f t="shared" si="46"/>
        <v>0</v>
      </c>
      <c r="S24">
        <f t="shared" si="46"/>
        <v>0</v>
      </c>
      <c r="T24">
        <f t="shared" si="46"/>
        <v>0</v>
      </c>
      <c r="U24">
        <f t="shared" si="46"/>
        <v>2</v>
      </c>
      <c r="V24">
        <f t="shared" si="46"/>
        <v>0</v>
      </c>
      <c r="AI24">
        <f>1-0.96875</f>
        <v>0.03125</v>
      </c>
      <c r="AJ24">
        <f>1/AI24</f>
        <v>32</v>
      </c>
    </row>
    <row r="25">
      <c r="A25" s="1">
        <v>5.0</v>
      </c>
      <c r="B25" s="1">
        <v>11.0</v>
      </c>
      <c r="C25" s="1">
        <v>11.0</v>
      </c>
      <c r="E25" s="2">
        <v>24.0</v>
      </c>
      <c r="F25" s="6" t="str">
        <f>IFERROR(__xludf.DUMMYFUNCTION("ifna(QUERY($A$2:$C$76, ""select C where A="" &amp; F$1 &amp; "" and B="" &amp; $E25), ifna(QUERY($A$2:$C$76, ""select B where A="" &amp; F$1 &amp; "" and C="" &amp; $E25),F26))"),"")</f>
        <v/>
      </c>
      <c r="G25" s="6" t="str">
        <f>IFERROR(__xludf.DUMMYFUNCTION("ifna(QUERY($A$2:$C$76, ""select C where A="" &amp; G$1 &amp; "" and B="" &amp; $E25), ifna(QUERY($A$2:$C$76, ""select B where A="" &amp; G$1 &amp; "" and C="" &amp; $E25),G26))"),"")</f>
        <v/>
      </c>
      <c r="H25" s="6" t="str">
        <f>IFERROR(__xludf.DUMMYFUNCTION("ifna(QUERY($A$2:$C$76, ""select C where A="" &amp; H$1 &amp; "" and B="" &amp; $E25), ifna(QUERY($A$2:$C$76, ""select B where A="" &amp; H$1 &amp; "" and C="" &amp; $E25),H26))"),"")</f>
        <v/>
      </c>
      <c r="I25" s="6" t="str">
        <f>IFERROR(__xludf.DUMMYFUNCTION("ifna(QUERY($A$2:$C$76, ""select C where A="" &amp; I$1 &amp; "" and B="" &amp; $E25), ifna(QUERY($A$2:$C$76, ""select B where A="" &amp; I$1 &amp; "" and C="" &amp; $E25),I26))"),"")</f>
        <v/>
      </c>
      <c r="J25" s="6">
        <f>IFERROR(__xludf.DUMMYFUNCTION("ifna(QUERY($A$2:$C$76, ""select C where A="" &amp; J$1 &amp; "" and B="" &amp; $E25), ifna(QUERY($A$2:$C$76, ""select B where A="" &amp; J$1 &amp; "" and C="" &amp; $E25),J26))"),4.0)</f>
        <v>4</v>
      </c>
      <c r="K25" s="6">
        <f>IFERROR(__xludf.DUMMYFUNCTION("ifna(QUERY($A$2:$C$76, ""select C where A="" &amp; K$1 &amp; "" and B="" &amp; $E25), ifna(QUERY($A$2:$C$76, ""select B where A="" &amp; K$1 &amp; "" and C="" &amp; $E25),K26))"),15.0)</f>
        <v>15</v>
      </c>
      <c r="L25" s="6">
        <f>IFERROR(__xludf.DUMMYFUNCTION("ifna(QUERY($A$2:$C$76, ""select C where A="" &amp; L$1 &amp; "" and B="" &amp; $E25), ifna(QUERY($A$2:$C$76, ""select B where A="" &amp; L$1 &amp; "" and C="" &amp; $E25),L26))"),43.0)</f>
        <v>43</v>
      </c>
      <c r="O25">
        <f t="shared" ref="O25:V25" si="47">F25-F26</f>
        <v>0</v>
      </c>
      <c r="P25">
        <f t="shared" si="47"/>
        <v>0</v>
      </c>
      <c r="Q25">
        <f t="shared" si="47"/>
        <v>0</v>
      </c>
      <c r="R25">
        <f t="shared" si="47"/>
        <v>0</v>
      </c>
      <c r="S25">
        <f t="shared" si="47"/>
        <v>1</v>
      </c>
      <c r="T25">
        <f t="shared" si="47"/>
        <v>1</v>
      </c>
      <c r="U25">
        <f t="shared" si="47"/>
        <v>2</v>
      </c>
      <c r="V25">
        <f t="shared" si="47"/>
        <v>0</v>
      </c>
    </row>
    <row r="26">
      <c r="A26" s="1">
        <v>6.0</v>
      </c>
      <c r="B26" s="1">
        <v>1.0</v>
      </c>
      <c r="C26" s="1">
        <v>64.0</v>
      </c>
      <c r="E26" s="2">
        <v>25.0</v>
      </c>
      <c r="F26" s="6" t="str">
        <f>IFERROR(__xludf.DUMMYFUNCTION("ifna(QUERY($A$2:$C$76, ""select C where A="" &amp; F$1 &amp; "" and B="" &amp; $E26), ifna(QUERY($A$2:$C$76, ""select B where A="" &amp; F$1 &amp; "" and C="" &amp; $E26),F27))"),"")</f>
        <v/>
      </c>
      <c r="G26" s="6" t="str">
        <f>IFERROR(__xludf.DUMMYFUNCTION("ifna(QUERY($A$2:$C$76, ""select C where A="" &amp; G$1 &amp; "" and B="" &amp; $E26), ifna(QUERY($A$2:$C$76, ""select B where A="" &amp; G$1 &amp; "" and C="" &amp; $E26),G27))"),"")</f>
        <v/>
      </c>
      <c r="H26" s="6" t="str">
        <f>IFERROR(__xludf.DUMMYFUNCTION("ifna(QUERY($A$2:$C$76, ""select C where A="" &amp; H$1 &amp; "" and B="" &amp; $E26), ifna(QUERY($A$2:$C$76, ""select B where A="" &amp; H$1 &amp; "" and C="" &amp; $E26),H27))"),"")</f>
        <v/>
      </c>
      <c r="I26" s="6" t="str">
        <f>IFERROR(__xludf.DUMMYFUNCTION("ifna(QUERY($A$2:$C$76, ""select C where A="" &amp; I$1 &amp; "" and B="" &amp; $E26), ifna(QUERY($A$2:$C$76, ""select B where A="" &amp; I$1 &amp; "" and C="" &amp; $E26),I27))"),"")</f>
        <v/>
      </c>
      <c r="J26" s="6">
        <f>IFERROR(__xludf.DUMMYFUNCTION("ifna(QUERY($A$2:$C$76, ""select C where A="" &amp; J$1 &amp; "" and B="" &amp; $E26), ifna(QUERY($A$2:$C$76, ""select B where A="" &amp; J$1 &amp; "" and C="" &amp; $E26),J27))"),3.0)</f>
        <v>3</v>
      </c>
      <c r="K26" s="6">
        <f>IFERROR(__xludf.DUMMYFUNCTION("ifna(QUERY($A$2:$C$76, ""select C where A="" &amp; K$1 &amp; "" and B="" &amp; $E26), ifna(QUERY($A$2:$C$76, ""select B where A="" &amp; K$1 &amp; "" and C="" &amp; $E26),K27))"),14.0)</f>
        <v>14</v>
      </c>
      <c r="L26" s="6">
        <f>IFERROR(__xludf.DUMMYFUNCTION("ifna(QUERY($A$2:$C$76, ""select C where A="" &amp; L$1 &amp; "" and B="" &amp; $E26), ifna(QUERY($A$2:$C$76, ""select B where A="" &amp; L$1 &amp; "" and C="" &amp; $E26),L27))"),41.0)</f>
        <v>41</v>
      </c>
      <c r="O26">
        <f t="shared" ref="O26:V26" si="48">F26-F27</f>
        <v>0</v>
      </c>
      <c r="P26">
        <f t="shared" si="48"/>
        <v>0</v>
      </c>
      <c r="Q26">
        <f t="shared" si="48"/>
        <v>0</v>
      </c>
      <c r="R26">
        <f t="shared" si="48"/>
        <v>0</v>
      </c>
      <c r="S26">
        <f t="shared" si="48"/>
        <v>0</v>
      </c>
      <c r="T26">
        <f t="shared" si="48"/>
        <v>1</v>
      </c>
      <c r="U26">
        <f t="shared" si="48"/>
        <v>1</v>
      </c>
      <c r="V26">
        <f t="shared" si="48"/>
        <v>0</v>
      </c>
    </row>
    <row r="27">
      <c r="A27" s="1">
        <v>6.0</v>
      </c>
      <c r="B27" s="1">
        <v>2.0</v>
      </c>
      <c r="C27" s="1">
        <v>63.0</v>
      </c>
      <c r="E27" s="2">
        <v>26.0</v>
      </c>
      <c r="F27" s="6" t="str">
        <f>IFERROR(__xludf.DUMMYFUNCTION("ifna(QUERY($A$2:$C$76, ""select C where A="" &amp; F$1 &amp; "" and B="" &amp; $E27), ifna(QUERY($A$2:$C$76, ""select B where A="" &amp; F$1 &amp; "" and C="" &amp; $E27),F28))"),"")</f>
        <v/>
      </c>
      <c r="G27" s="6" t="str">
        <f>IFERROR(__xludf.DUMMYFUNCTION("ifna(QUERY($A$2:$C$76, ""select C where A="" &amp; G$1 &amp; "" and B="" &amp; $E27), ifna(QUERY($A$2:$C$76, ""select B where A="" &amp; G$1 &amp; "" and C="" &amp; $E27),G28))"),"")</f>
        <v/>
      </c>
      <c r="H27" s="6" t="str">
        <f>IFERROR(__xludf.DUMMYFUNCTION("ifna(QUERY($A$2:$C$76, ""select C where A="" &amp; H$1 &amp; "" and B="" &amp; $E27), ifna(QUERY($A$2:$C$76, ""select B where A="" &amp; H$1 &amp; "" and C="" &amp; $E27),H28))"),"")</f>
        <v/>
      </c>
      <c r="I27" s="6" t="str">
        <f>IFERROR(__xludf.DUMMYFUNCTION("ifna(QUERY($A$2:$C$76, ""select C where A="" &amp; I$1 &amp; "" and B="" &amp; $E27), ifna(QUERY($A$2:$C$76, ""select B where A="" &amp; I$1 &amp; "" and C="" &amp; $E27),I28))"),"")</f>
        <v/>
      </c>
      <c r="J27" s="6">
        <f>IFERROR(__xludf.DUMMYFUNCTION("ifna(QUERY($A$2:$C$76, ""select C where A="" &amp; J$1 &amp; "" and B="" &amp; $E27), ifna(QUERY($A$2:$C$76, ""select B where A="" &amp; J$1 &amp; "" and C="" &amp; $E27),J28))"),3.0)</f>
        <v>3</v>
      </c>
      <c r="K27" s="6">
        <f>IFERROR(__xludf.DUMMYFUNCTION("ifna(QUERY($A$2:$C$76, ""select C where A="" &amp; K$1 &amp; "" and B="" &amp; $E27), ifna(QUERY($A$2:$C$76, ""select B where A="" &amp; K$1 &amp; "" and C="" &amp; $E27),K28))"),13.0)</f>
        <v>13</v>
      </c>
      <c r="L27" s="6">
        <f>IFERROR(__xludf.DUMMYFUNCTION("ifna(QUERY($A$2:$C$76, ""select C where A="" &amp; L$1 &amp; "" and B="" &amp; $E27), ifna(QUERY($A$2:$C$76, ""select B where A="" &amp; L$1 &amp; "" and C="" &amp; $E27),L28))"),40.0)</f>
        <v>40</v>
      </c>
      <c r="O27">
        <f t="shared" ref="O27:V27" si="49">F27-F28</f>
        <v>0</v>
      </c>
      <c r="P27">
        <f t="shared" si="49"/>
        <v>0</v>
      </c>
      <c r="Q27">
        <f t="shared" si="49"/>
        <v>0</v>
      </c>
      <c r="R27">
        <f t="shared" si="49"/>
        <v>0</v>
      </c>
      <c r="S27">
        <f t="shared" si="49"/>
        <v>0</v>
      </c>
      <c r="T27">
        <f t="shared" si="49"/>
        <v>0</v>
      </c>
      <c r="U27">
        <f t="shared" si="49"/>
        <v>2</v>
      </c>
      <c r="V27">
        <f t="shared" si="49"/>
        <v>0</v>
      </c>
    </row>
    <row r="28">
      <c r="A28" s="1">
        <v>6.0</v>
      </c>
      <c r="B28" s="1">
        <v>3.0</v>
      </c>
      <c r="C28" s="1">
        <v>58.0</v>
      </c>
      <c r="E28" s="2">
        <v>27.0</v>
      </c>
      <c r="F28" s="6" t="str">
        <f>IFERROR(__xludf.DUMMYFUNCTION("ifna(QUERY($A$2:$C$76, ""select C where A="" &amp; F$1 &amp; "" and B="" &amp; $E28), ifna(QUERY($A$2:$C$76, ""select B where A="" &amp; F$1 &amp; "" and C="" &amp; $E28),F29))"),"")</f>
        <v/>
      </c>
      <c r="G28" s="6" t="str">
        <f>IFERROR(__xludf.DUMMYFUNCTION("ifna(QUERY($A$2:$C$76, ""select C where A="" &amp; G$1 &amp; "" and B="" &amp; $E28), ifna(QUERY($A$2:$C$76, ""select B where A="" &amp; G$1 &amp; "" and C="" &amp; $E28),G29))"),"")</f>
        <v/>
      </c>
      <c r="H28" s="6" t="str">
        <f>IFERROR(__xludf.DUMMYFUNCTION("ifna(QUERY($A$2:$C$76, ""select C where A="" &amp; H$1 &amp; "" and B="" &amp; $E28), ifna(QUERY($A$2:$C$76, ""select B where A="" &amp; H$1 &amp; "" and C="" &amp; $E28),H29))"),"")</f>
        <v/>
      </c>
      <c r="I28" s="6" t="str">
        <f>IFERROR(__xludf.DUMMYFUNCTION("ifna(QUERY($A$2:$C$76, ""select C where A="" &amp; I$1 &amp; "" and B="" &amp; $E28), ifna(QUERY($A$2:$C$76, ""select B where A="" &amp; I$1 &amp; "" and C="" &amp; $E28),I29))"),"")</f>
        <v/>
      </c>
      <c r="J28" s="6">
        <f>IFERROR(__xludf.DUMMYFUNCTION("ifna(QUERY($A$2:$C$76, ""select C where A="" &amp; J$1 &amp; "" and B="" &amp; $E28), ifna(QUERY($A$2:$C$76, ""select B where A="" &amp; J$1 &amp; "" and C="" &amp; $E28),J29))"),3.0)</f>
        <v>3</v>
      </c>
      <c r="K28" s="6">
        <f>IFERROR(__xludf.DUMMYFUNCTION("ifna(QUERY($A$2:$C$76, ""select C where A="" &amp; K$1 &amp; "" and B="" &amp; $E28), ifna(QUERY($A$2:$C$76, ""select B where A="" &amp; K$1 &amp; "" and C="" &amp; $E28),K29))"),13.0)</f>
        <v>13</v>
      </c>
      <c r="L28" s="6">
        <f>IFERROR(__xludf.DUMMYFUNCTION("ifna(QUERY($A$2:$C$76, ""select C where A="" &amp; L$1 &amp; "" and B="" &amp; $E28), ifna(QUERY($A$2:$C$76, ""select B where A="" &amp; L$1 &amp; "" and C="" &amp; $E28),L29))"),38.0)</f>
        <v>38</v>
      </c>
      <c r="O28">
        <f t="shared" ref="O28:V28" si="50">F28-F29</f>
        <v>0</v>
      </c>
      <c r="P28">
        <f t="shared" si="50"/>
        <v>0</v>
      </c>
      <c r="Q28">
        <f t="shared" si="50"/>
        <v>0</v>
      </c>
      <c r="R28">
        <f t="shared" si="50"/>
        <v>0</v>
      </c>
      <c r="S28">
        <f t="shared" si="50"/>
        <v>1</v>
      </c>
      <c r="T28">
        <f t="shared" si="50"/>
        <v>1</v>
      </c>
      <c r="U28">
        <f t="shared" si="50"/>
        <v>1</v>
      </c>
      <c r="V28">
        <f t="shared" si="50"/>
        <v>0</v>
      </c>
    </row>
    <row r="29">
      <c r="A29" s="1">
        <v>6.0</v>
      </c>
      <c r="B29" s="1">
        <v>4.0</v>
      </c>
      <c r="C29" s="1">
        <v>54.0</v>
      </c>
      <c r="E29" s="2">
        <v>28.0</v>
      </c>
      <c r="F29" s="6" t="str">
        <f>IFERROR(__xludf.DUMMYFUNCTION("ifna(QUERY($A$2:$C$76, ""select C where A="" &amp; F$1 &amp; "" and B="" &amp; $E29), ifna(QUERY($A$2:$C$76, ""select B where A="" &amp; F$1 &amp; "" and C="" &amp; $E29),F30))"),"")</f>
        <v/>
      </c>
      <c r="G29" s="6" t="str">
        <f>IFERROR(__xludf.DUMMYFUNCTION("ifna(QUERY($A$2:$C$76, ""select C where A="" &amp; G$1 &amp; "" and B="" &amp; $E29), ifna(QUERY($A$2:$C$76, ""select B where A="" &amp; G$1 &amp; "" and C="" &amp; $E29),G30))"),"")</f>
        <v/>
      </c>
      <c r="H29" s="6" t="str">
        <f>IFERROR(__xludf.DUMMYFUNCTION("ifna(QUERY($A$2:$C$76, ""select C where A="" &amp; H$1 &amp; "" and B="" &amp; $E29), ifna(QUERY($A$2:$C$76, ""select B where A="" &amp; H$1 &amp; "" and C="" &amp; $E29),H30))"),"")</f>
        <v/>
      </c>
      <c r="I29" s="6" t="str">
        <f>IFERROR(__xludf.DUMMYFUNCTION("ifna(QUERY($A$2:$C$76, ""select C where A="" &amp; I$1 &amp; "" and B="" &amp; $E29), ifna(QUERY($A$2:$C$76, ""select B where A="" &amp; I$1 &amp; "" and C="" &amp; $E29),I30))"),"")</f>
        <v/>
      </c>
      <c r="J29" s="6">
        <f>IFERROR(__xludf.DUMMYFUNCTION("ifna(QUERY($A$2:$C$76, ""select C where A="" &amp; J$1 &amp; "" and B="" &amp; $E29), ifna(QUERY($A$2:$C$76, ""select B where A="" &amp; J$1 &amp; "" and C="" &amp; $E29),J30))"),2.0)</f>
        <v>2</v>
      </c>
      <c r="K29" s="6">
        <f>IFERROR(__xludf.DUMMYFUNCTION("ifna(QUERY($A$2:$C$76, ""select C where A="" &amp; K$1 &amp; "" and B="" &amp; $E29), ifna(QUERY($A$2:$C$76, ""select B where A="" &amp; K$1 &amp; "" and C="" &amp; $E29),K30))"),12.0)</f>
        <v>12</v>
      </c>
      <c r="L29" s="6">
        <f>IFERROR(__xludf.DUMMYFUNCTION("ifna(QUERY($A$2:$C$76, ""select C where A="" &amp; L$1 &amp; "" and B="" &amp; $E29), ifna(QUERY($A$2:$C$76, ""select B where A="" &amp; L$1 &amp; "" and C="" &amp; $E29),L30))"),37.0)</f>
        <v>37</v>
      </c>
      <c r="O29">
        <f t="shared" ref="O29:V29" si="51">F29-F30</f>
        <v>0</v>
      </c>
      <c r="P29">
        <f t="shared" si="51"/>
        <v>0</v>
      </c>
      <c r="Q29">
        <f t="shared" si="51"/>
        <v>0</v>
      </c>
      <c r="R29">
        <f t="shared" si="51"/>
        <v>0</v>
      </c>
      <c r="S29">
        <f t="shared" si="51"/>
        <v>0</v>
      </c>
      <c r="T29">
        <f t="shared" si="51"/>
        <v>0</v>
      </c>
      <c r="U29">
        <f t="shared" si="51"/>
        <v>1</v>
      </c>
      <c r="V29">
        <f t="shared" si="51"/>
        <v>0</v>
      </c>
    </row>
    <row r="30">
      <c r="A30" s="1">
        <v>6.0</v>
      </c>
      <c r="B30" s="1">
        <v>5.0</v>
      </c>
      <c r="C30" s="1">
        <v>50.0</v>
      </c>
      <c r="E30" s="2">
        <v>29.0</v>
      </c>
      <c r="F30" s="6" t="str">
        <f>IFERROR(__xludf.DUMMYFUNCTION("ifna(QUERY($A$2:$C$76, ""select C where A="" &amp; F$1 &amp; "" and B="" &amp; $E30), ifna(QUERY($A$2:$C$76, ""select B where A="" &amp; F$1 &amp; "" and C="" &amp; $E30),F31))"),"")</f>
        <v/>
      </c>
      <c r="G30" s="6" t="str">
        <f>IFERROR(__xludf.DUMMYFUNCTION("ifna(QUERY($A$2:$C$76, ""select C where A="" &amp; G$1 &amp; "" and B="" &amp; $E30), ifna(QUERY($A$2:$C$76, ""select B where A="" &amp; G$1 &amp; "" and C="" &amp; $E30),G31))"),"")</f>
        <v/>
      </c>
      <c r="H30" s="6" t="str">
        <f>IFERROR(__xludf.DUMMYFUNCTION("ifna(QUERY($A$2:$C$76, ""select C where A="" &amp; H$1 &amp; "" and B="" &amp; $E30), ifna(QUERY($A$2:$C$76, ""select B where A="" &amp; H$1 &amp; "" and C="" &amp; $E30),H31))"),"")</f>
        <v/>
      </c>
      <c r="I30" s="6" t="str">
        <f>IFERROR(__xludf.DUMMYFUNCTION("ifna(QUERY($A$2:$C$76, ""select C where A="" &amp; I$1 &amp; "" and B="" &amp; $E30), ifna(QUERY($A$2:$C$76, ""select B where A="" &amp; I$1 &amp; "" and C="" &amp; $E30),I31))"),"")</f>
        <v/>
      </c>
      <c r="J30" s="6">
        <f>IFERROR(__xludf.DUMMYFUNCTION("ifna(QUERY($A$2:$C$76, ""select C where A="" &amp; J$1 &amp; "" and B="" &amp; $E30), ifna(QUERY($A$2:$C$76, ""select B where A="" &amp; J$1 &amp; "" and C="" &amp; $E30),J31))"),2.0)</f>
        <v>2</v>
      </c>
      <c r="K30" s="6">
        <f>IFERROR(__xludf.DUMMYFUNCTION("ifna(QUERY($A$2:$C$76, ""select C where A="" &amp; K$1 &amp; "" and B="" &amp; $E30), ifna(QUERY($A$2:$C$76, ""select B where A="" &amp; K$1 &amp; "" and C="" &amp; $E30),K31))"),12.0)</f>
        <v>12</v>
      </c>
      <c r="L30" s="6">
        <f>IFERROR(__xludf.DUMMYFUNCTION("ifna(QUERY($A$2:$C$76, ""select C where A="" &amp; L$1 &amp; "" and B="" &amp; $E30), ifna(QUERY($A$2:$C$76, ""select B where A="" &amp; L$1 &amp; "" and C="" &amp; $E30),L31))"),36.0)</f>
        <v>36</v>
      </c>
      <c r="O30">
        <f t="shared" ref="O30:V30" si="52">F30-F31</f>
        <v>0</v>
      </c>
      <c r="P30">
        <f t="shared" si="52"/>
        <v>0</v>
      </c>
      <c r="Q30">
        <f t="shared" si="52"/>
        <v>0</v>
      </c>
      <c r="R30">
        <f t="shared" si="52"/>
        <v>0</v>
      </c>
      <c r="S30">
        <f t="shared" si="52"/>
        <v>0</v>
      </c>
      <c r="T30">
        <f t="shared" si="52"/>
        <v>1</v>
      </c>
      <c r="U30">
        <f t="shared" si="52"/>
        <v>1</v>
      </c>
      <c r="V30">
        <f t="shared" si="52"/>
        <v>0</v>
      </c>
    </row>
    <row r="31">
      <c r="A31" s="1">
        <v>6.0</v>
      </c>
      <c r="B31" s="1">
        <v>6.0</v>
      </c>
      <c r="C31" s="1">
        <v>46.0</v>
      </c>
      <c r="E31" s="2">
        <v>30.0</v>
      </c>
      <c r="F31" s="6" t="str">
        <f>IFERROR(__xludf.DUMMYFUNCTION("ifna(QUERY($A$2:$C$76, ""select C where A="" &amp; F$1 &amp; "" and B="" &amp; $E31), ifna(QUERY($A$2:$C$76, ""select B where A="" &amp; F$1 &amp; "" and C="" &amp; $E31),F32))"),"")</f>
        <v/>
      </c>
      <c r="G31" s="6" t="str">
        <f>IFERROR(__xludf.DUMMYFUNCTION("ifna(QUERY($A$2:$C$76, ""select C where A="" &amp; G$1 &amp; "" and B="" &amp; $E31), ifna(QUERY($A$2:$C$76, ""select B where A="" &amp; G$1 &amp; "" and C="" &amp; $E31),G32))"),"")</f>
        <v/>
      </c>
      <c r="H31" s="6" t="str">
        <f>IFERROR(__xludf.DUMMYFUNCTION("ifna(QUERY($A$2:$C$76, ""select C where A="" &amp; H$1 &amp; "" and B="" &amp; $E31), ifna(QUERY($A$2:$C$76, ""select B where A="" &amp; H$1 &amp; "" and C="" &amp; $E31),H32))"),"")</f>
        <v/>
      </c>
      <c r="I31" s="6" t="str">
        <f>IFERROR(__xludf.DUMMYFUNCTION("ifna(QUERY($A$2:$C$76, ""select C where A="" &amp; I$1 &amp; "" and B="" &amp; $E31), ifna(QUERY($A$2:$C$76, ""select B where A="" &amp; I$1 &amp; "" and C="" &amp; $E31),I32))"),"")</f>
        <v/>
      </c>
      <c r="J31" s="6">
        <f>IFERROR(__xludf.DUMMYFUNCTION("ifna(QUERY($A$2:$C$76, ""select C where A="" &amp; J$1 &amp; "" and B="" &amp; $E31), ifna(QUERY($A$2:$C$76, ""select B where A="" &amp; J$1 &amp; "" and C="" &amp; $E31),J32))"),2.0)</f>
        <v>2</v>
      </c>
      <c r="K31" s="6">
        <f>IFERROR(__xludf.DUMMYFUNCTION("ifna(QUERY($A$2:$C$76, ""select C where A="" &amp; K$1 &amp; "" and B="" &amp; $E31), ifna(QUERY($A$2:$C$76, ""select B where A="" &amp; K$1 &amp; "" and C="" &amp; $E31),K32))"),11.0)</f>
        <v>11</v>
      </c>
      <c r="L31" s="6">
        <f>IFERROR(__xludf.DUMMYFUNCTION("ifna(QUERY($A$2:$C$76, ""select C where A="" &amp; L$1 &amp; "" and B="" &amp; $E31), ifna(QUERY($A$2:$C$76, ""select B where A="" &amp; L$1 &amp; "" and C="" &amp; $E31),L32))"),35.0)</f>
        <v>35</v>
      </c>
      <c r="O31">
        <f t="shared" ref="O31:V31" si="53">F31-F32</f>
        <v>0</v>
      </c>
      <c r="P31">
        <f t="shared" si="53"/>
        <v>0</v>
      </c>
      <c r="Q31">
        <f t="shared" si="53"/>
        <v>0</v>
      </c>
      <c r="R31">
        <f t="shared" si="53"/>
        <v>0</v>
      </c>
      <c r="S31">
        <f t="shared" si="53"/>
        <v>0</v>
      </c>
      <c r="T31">
        <f t="shared" si="53"/>
        <v>0</v>
      </c>
      <c r="U31">
        <f t="shared" si="53"/>
        <v>1</v>
      </c>
      <c r="V31">
        <f t="shared" si="53"/>
        <v>0</v>
      </c>
    </row>
    <row r="32">
      <c r="A32" s="1">
        <v>6.0</v>
      </c>
      <c r="B32" s="1">
        <v>7.0</v>
      </c>
      <c r="C32" s="1">
        <v>42.0</v>
      </c>
      <c r="E32" s="2">
        <v>31.0</v>
      </c>
      <c r="F32" s="6" t="str">
        <f>IFERROR(__xludf.DUMMYFUNCTION("ifna(QUERY($A$2:$C$76, ""select C where A="" &amp; F$1 &amp; "" and B="" &amp; $E32), ifna(QUERY($A$2:$C$76, ""select B where A="" &amp; F$1 &amp; "" and C="" &amp; $E32),F33))"),"")</f>
        <v/>
      </c>
      <c r="G32" s="6" t="str">
        <f>IFERROR(__xludf.DUMMYFUNCTION("ifna(QUERY($A$2:$C$76, ""select C where A="" &amp; G$1 &amp; "" and B="" &amp; $E32), ifna(QUERY($A$2:$C$76, ""select B where A="" &amp; G$1 &amp; "" and C="" &amp; $E32),G33))"),"")</f>
        <v/>
      </c>
      <c r="H32" s="6" t="str">
        <f>IFERROR(__xludf.DUMMYFUNCTION("ifna(QUERY($A$2:$C$76, ""select C where A="" &amp; H$1 &amp; "" and B="" &amp; $E32), ifna(QUERY($A$2:$C$76, ""select B where A="" &amp; H$1 &amp; "" and C="" &amp; $E32),H33))"),"")</f>
        <v/>
      </c>
      <c r="I32" s="6" t="str">
        <f>IFERROR(__xludf.DUMMYFUNCTION("ifna(QUERY($A$2:$C$76, ""select C where A="" &amp; I$1 &amp; "" and B="" &amp; $E32), ifna(QUERY($A$2:$C$76, ""select B where A="" &amp; I$1 &amp; "" and C="" &amp; $E32),I33))"),"")</f>
        <v/>
      </c>
      <c r="J32" s="6">
        <f>IFERROR(__xludf.DUMMYFUNCTION("ifna(QUERY($A$2:$C$76, ""select C where A="" &amp; J$1 &amp; "" and B="" &amp; $E32), ifna(QUERY($A$2:$C$76, ""select B where A="" &amp; J$1 &amp; "" and C="" &amp; $E32),J33))"),2.0)</f>
        <v>2</v>
      </c>
      <c r="K32" s="6">
        <f>IFERROR(__xludf.DUMMYFUNCTION("ifna(QUERY($A$2:$C$76, ""select C where A="" &amp; K$1 &amp; "" and B="" &amp; $E32), ifna(QUERY($A$2:$C$76, ""select B where A="" &amp; K$1 &amp; "" and C="" &amp; $E32),K33))"),11.0)</f>
        <v>11</v>
      </c>
      <c r="L32" s="6">
        <f>IFERROR(__xludf.DUMMYFUNCTION("ifna(QUERY($A$2:$C$76, ""select C where A="" &amp; L$1 &amp; "" and B="" &amp; $E32), ifna(QUERY($A$2:$C$76, ""select B where A="" &amp; L$1 &amp; "" and C="" &amp; $E32),L33))"),34.0)</f>
        <v>34</v>
      </c>
      <c r="O32">
        <f t="shared" ref="O32:V32" si="54">F32-F33</f>
        <v>0</v>
      </c>
      <c r="P32">
        <f t="shared" si="54"/>
        <v>0</v>
      </c>
      <c r="Q32">
        <f t="shared" si="54"/>
        <v>0</v>
      </c>
      <c r="R32">
        <f t="shared" si="54"/>
        <v>0</v>
      </c>
      <c r="S32">
        <f t="shared" si="54"/>
        <v>1</v>
      </c>
      <c r="T32">
        <f t="shared" si="54"/>
        <v>1</v>
      </c>
      <c r="U32">
        <f t="shared" si="54"/>
        <v>1</v>
      </c>
      <c r="V32">
        <f t="shared" si="54"/>
        <v>0</v>
      </c>
    </row>
    <row r="33">
      <c r="A33" s="1">
        <v>6.0</v>
      </c>
      <c r="B33" s="1">
        <v>8.0</v>
      </c>
      <c r="C33" s="1">
        <v>38.0</v>
      </c>
      <c r="E33" s="2">
        <v>32.0</v>
      </c>
      <c r="F33" s="6" t="str">
        <f>IFERROR(__xludf.DUMMYFUNCTION("ifna(QUERY($A$2:$C$76, ""select C where A="" &amp; F$1 &amp; "" and B="" &amp; $E33), ifna(QUERY($A$2:$C$76, ""select B where A="" &amp; F$1 &amp; "" and C="" &amp; $E33),F34))"),"")</f>
        <v/>
      </c>
      <c r="G33" s="6" t="str">
        <f>IFERROR(__xludf.DUMMYFUNCTION("ifna(QUERY($A$2:$C$76, ""select C where A="" &amp; G$1 &amp; "" and B="" &amp; $E33), ifna(QUERY($A$2:$C$76, ""select B where A="" &amp; G$1 &amp; "" and C="" &amp; $E33),G34))"),"")</f>
        <v/>
      </c>
      <c r="H33" s="6" t="str">
        <f>IFERROR(__xludf.DUMMYFUNCTION("ifna(QUERY($A$2:$C$76, ""select C where A="" &amp; H$1 &amp; "" and B="" &amp; $E33), ifna(QUERY($A$2:$C$76, ""select B where A="" &amp; H$1 &amp; "" and C="" &amp; $E33),H34))"),"")</f>
        <v/>
      </c>
      <c r="I33" s="6" t="str">
        <f>IFERROR(__xludf.DUMMYFUNCTION("ifna(QUERY($A$2:$C$76, ""select C where A="" &amp; I$1 &amp; "" and B="" &amp; $E33), ifna(QUERY($A$2:$C$76, ""select B where A="" &amp; I$1 &amp; "" and C="" &amp; $E33),I34))"),"")</f>
        <v/>
      </c>
      <c r="J33" s="6">
        <f>IFERROR(__xludf.DUMMYFUNCTION("ifna(QUERY($A$2:$C$76, ""select C where A="" &amp; J$1 &amp; "" and B="" &amp; $E33), ifna(QUERY($A$2:$C$76, ""select B where A="" &amp; J$1 &amp; "" and C="" &amp; $E33),J34))"),1.0)</f>
        <v>1</v>
      </c>
      <c r="K33" s="6">
        <f>IFERROR(__xludf.DUMMYFUNCTION("ifna(QUERY($A$2:$C$76, ""select C where A="" &amp; K$1 &amp; "" and B="" &amp; $E33), ifna(QUERY($A$2:$C$76, ""select B where A="" &amp; K$1 &amp; "" and C="" &amp; $E33),K34))"),10.0)</f>
        <v>10</v>
      </c>
      <c r="L33" s="4">
        <f>IFERROR(__xludf.DUMMYFUNCTION("ifna(QUERY($A$2:$C$76, ""select C where A="" &amp; L$1 &amp; "" and B="" &amp; $E33), ifna(QUERY($A$2:$C$76, ""select B where A="" &amp; L$1 &amp; "" and C="" &amp; $E33),L34))"),33.0)</f>
        <v>33</v>
      </c>
      <c r="O33">
        <f t="shared" ref="O33:V33" si="55">F33-F34</f>
        <v>0</v>
      </c>
      <c r="P33">
        <f t="shared" si="55"/>
        <v>0</v>
      </c>
      <c r="Q33">
        <f t="shared" si="55"/>
        <v>0</v>
      </c>
      <c r="R33">
        <f t="shared" si="55"/>
        <v>0</v>
      </c>
      <c r="S33">
        <f t="shared" si="55"/>
        <v>1</v>
      </c>
      <c r="T33">
        <f t="shared" si="55"/>
        <v>0</v>
      </c>
      <c r="U33" s="5">
        <f t="shared" si="55"/>
        <v>1</v>
      </c>
      <c r="V33">
        <f t="shared" si="55"/>
        <v>0</v>
      </c>
    </row>
    <row r="34">
      <c r="A34" s="1">
        <v>6.0</v>
      </c>
      <c r="B34" s="1">
        <v>9.0</v>
      </c>
      <c r="C34" s="1">
        <v>36.0</v>
      </c>
      <c r="E34" s="2">
        <v>33.0</v>
      </c>
      <c r="F34" s="6" t="str">
        <f>IFERROR(__xludf.DUMMYFUNCTION("ifna(QUERY($A$2:$C$76, ""select C where A="" &amp; F$1 &amp; "" and B="" &amp; $E34), ifna(QUERY($A$2:$C$76, ""select B where A="" &amp; F$1 &amp; "" and C="" &amp; $E34),F35))"),"")</f>
        <v/>
      </c>
      <c r="G34" s="6" t="str">
        <f>IFERROR(__xludf.DUMMYFUNCTION("ifna(QUERY($A$2:$C$76, ""select C where A="" &amp; G$1 &amp; "" and B="" &amp; $E34), ifna(QUERY($A$2:$C$76, ""select B where A="" &amp; G$1 &amp; "" and C="" &amp; $E34),G35))"),"")</f>
        <v/>
      </c>
      <c r="H34" s="6" t="str">
        <f>IFERROR(__xludf.DUMMYFUNCTION("ifna(QUERY($A$2:$C$76, ""select C where A="" &amp; H$1 &amp; "" and B="" &amp; $E34), ifna(QUERY($A$2:$C$76, ""select B where A="" &amp; H$1 &amp; "" and C="" &amp; $E34),H35))"),"")</f>
        <v/>
      </c>
      <c r="I34" s="6" t="str">
        <f>IFERROR(__xludf.DUMMYFUNCTION("ifna(QUERY($A$2:$C$76, ""select C where A="" &amp; I$1 &amp; "" and B="" &amp; $E34), ifna(QUERY($A$2:$C$76, ""select B where A="" &amp; I$1 &amp; "" and C="" &amp; $E34),I35))"),"")</f>
        <v/>
      </c>
      <c r="J34" s="6" t="str">
        <f>IFERROR(__xludf.DUMMYFUNCTION("ifna(QUERY($A$2:$C$76, ""select C where A="" &amp; J$1 &amp; "" and B="" &amp; $E34), ifna(QUERY($A$2:$C$76, ""select B where A="" &amp; J$1 &amp; "" and C="" &amp; $E34),J35))"),"")</f>
        <v/>
      </c>
      <c r="K34" s="6">
        <f>IFERROR(__xludf.DUMMYFUNCTION("ifna(QUERY($A$2:$C$76, ""select C where A="" &amp; K$1 &amp; "" and B="" &amp; $E34), ifna(QUERY($A$2:$C$76, ""select B where A="" &amp; K$1 &amp; "" and C="" &amp; $E34),K35))"),10.0)</f>
        <v>10</v>
      </c>
      <c r="L34" s="6">
        <f>IFERROR(__xludf.DUMMYFUNCTION("ifna(QUERY($A$2:$C$76, ""select C where A="" &amp; L$1 &amp; "" and B="" &amp; $E34), ifna(QUERY($A$2:$C$76, ""select B where A="" &amp; L$1 &amp; "" and C="" &amp; $E34),L35))"),32.0)</f>
        <v>32</v>
      </c>
    </row>
    <row r="35">
      <c r="A35" s="1">
        <v>6.0</v>
      </c>
      <c r="B35" s="1">
        <v>10.0</v>
      </c>
      <c r="C35" s="1">
        <v>33.0</v>
      </c>
    </row>
    <row r="36">
      <c r="A36" s="1">
        <v>6.0</v>
      </c>
      <c r="B36" s="1">
        <v>11.0</v>
      </c>
      <c r="C36" s="1">
        <v>31.0</v>
      </c>
    </row>
    <row r="37">
      <c r="A37" s="1">
        <v>6.0</v>
      </c>
      <c r="B37" s="1">
        <v>12.0</v>
      </c>
      <c r="C37" s="1">
        <v>29.0</v>
      </c>
    </row>
    <row r="38">
      <c r="A38" s="1">
        <v>6.0</v>
      </c>
      <c r="B38" s="1">
        <v>13.0</v>
      </c>
      <c r="C38" s="1">
        <v>27.0</v>
      </c>
    </row>
    <row r="39">
      <c r="A39" s="1">
        <v>6.0</v>
      </c>
      <c r="B39" s="1">
        <v>14.0</v>
      </c>
      <c r="C39" s="1">
        <v>25.0</v>
      </c>
    </row>
    <row r="40">
      <c r="A40" s="1">
        <v>6.0</v>
      </c>
      <c r="B40" s="1">
        <v>15.0</v>
      </c>
      <c r="C40" s="1">
        <v>24.0</v>
      </c>
    </row>
    <row r="41">
      <c r="A41" s="1">
        <v>6.0</v>
      </c>
      <c r="B41" s="1">
        <v>16.0</v>
      </c>
      <c r="C41" s="1">
        <v>22.0</v>
      </c>
    </row>
    <row r="42">
      <c r="A42" s="1">
        <v>6.0</v>
      </c>
      <c r="B42" s="1">
        <v>17.0</v>
      </c>
      <c r="C42" s="1">
        <v>21.0</v>
      </c>
    </row>
    <row r="43">
      <c r="A43" s="1">
        <v>6.0</v>
      </c>
      <c r="B43" s="1">
        <v>18.0</v>
      </c>
      <c r="C43" s="1">
        <v>20.0</v>
      </c>
    </row>
    <row r="44">
      <c r="A44" s="1">
        <v>6.0</v>
      </c>
      <c r="B44" s="1">
        <v>19.0</v>
      </c>
      <c r="C44" s="1">
        <v>19.0</v>
      </c>
    </row>
    <row r="45">
      <c r="A45" s="1">
        <v>7.0</v>
      </c>
      <c r="B45" s="1">
        <v>1.0</v>
      </c>
      <c r="C45" s="1">
        <v>128.0</v>
      </c>
    </row>
    <row r="46">
      <c r="A46" s="1">
        <v>7.0</v>
      </c>
      <c r="B46" s="1">
        <v>2.0</v>
      </c>
      <c r="C46" s="1">
        <v>127.0</v>
      </c>
    </row>
    <row r="47">
      <c r="A47" s="1">
        <v>7.0</v>
      </c>
      <c r="B47" s="1">
        <v>3.0</v>
      </c>
      <c r="C47" s="1">
        <v>121.0</v>
      </c>
    </row>
    <row r="48">
      <c r="A48" s="1">
        <v>7.0</v>
      </c>
      <c r="B48" s="1">
        <v>4.0</v>
      </c>
      <c r="C48" s="1">
        <v>116.0</v>
      </c>
    </row>
    <row r="49">
      <c r="A49" s="1">
        <v>7.0</v>
      </c>
      <c r="B49" s="1">
        <v>5.0</v>
      </c>
      <c r="C49" s="1">
        <v>109.0</v>
      </c>
    </row>
    <row r="50">
      <c r="A50" s="1">
        <v>7.0</v>
      </c>
      <c r="B50" s="1">
        <v>6.0</v>
      </c>
      <c r="C50" s="1">
        <v>104.0</v>
      </c>
    </row>
    <row r="51">
      <c r="A51" s="1">
        <v>7.0</v>
      </c>
      <c r="B51" s="1">
        <v>7.0</v>
      </c>
      <c r="C51" s="1">
        <v>97.0</v>
      </c>
    </row>
    <row r="52">
      <c r="A52" s="1">
        <v>7.0</v>
      </c>
      <c r="B52" s="1">
        <v>8.0</v>
      </c>
      <c r="C52" s="1">
        <v>91.0</v>
      </c>
    </row>
    <row r="53">
      <c r="A53" s="1">
        <v>7.0</v>
      </c>
      <c r="B53" s="1">
        <v>9.0</v>
      </c>
      <c r="C53" s="1">
        <v>87.0</v>
      </c>
    </row>
    <row r="54">
      <c r="A54" s="1">
        <v>7.0</v>
      </c>
      <c r="B54" s="1">
        <v>10.0</v>
      </c>
      <c r="C54" s="1">
        <v>82.0</v>
      </c>
    </row>
    <row r="55">
      <c r="A55" s="1">
        <v>7.0</v>
      </c>
      <c r="B55" s="1">
        <v>11.0</v>
      </c>
      <c r="C55" s="1">
        <v>77.0</v>
      </c>
    </row>
    <row r="56">
      <c r="A56" s="1">
        <v>7.0</v>
      </c>
      <c r="B56" s="1">
        <v>12.0</v>
      </c>
      <c r="C56" s="1">
        <v>73.0</v>
      </c>
    </row>
    <row r="57">
      <c r="A57" s="1">
        <v>7.0</v>
      </c>
      <c r="B57" s="1">
        <v>13.0</v>
      </c>
      <c r="C57" s="1">
        <v>69.0</v>
      </c>
    </row>
    <row r="58">
      <c r="A58" s="1">
        <v>7.0</v>
      </c>
      <c r="B58" s="1">
        <v>14.0</v>
      </c>
      <c r="C58" s="1">
        <v>66.0</v>
      </c>
    </row>
    <row r="59">
      <c r="A59" s="1">
        <v>7.0</v>
      </c>
      <c r="B59" s="1">
        <v>15.0</v>
      </c>
      <c r="C59" s="1">
        <v>63.0</v>
      </c>
    </row>
    <row r="60">
      <c r="A60" s="1">
        <v>7.0</v>
      </c>
      <c r="B60" s="1">
        <v>16.0</v>
      </c>
      <c r="C60" s="1">
        <v>60.0</v>
      </c>
    </row>
    <row r="61">
      <c r="A61" s="1">
        <v>7.0</v>
      </c>
      <c r="B61" s="1">
        <v>17.0</v>
      </c>
      <c r="C61" s="1">
        <v>58.0</v>
      </c>
    </row>
    <row r="62">
      <c r="A62" s="1">
        <v>7.0</v>
      </c>
      <c r="B62" s="1">
        <v>18.0</v>
      </c>
      <c r="C62" s="1">
        <v>55.0</v>
      </c>
    </row>
    <row r="63">
      <c r="A63" s="1">
        <v>7.0</v>
      </c>
      <c r="B63" s="1">
        <v>19.0</v>
      </c>
      <c r="C63" s="1">
        <v>53.0</v>
      </c>
    </row>
    <row r="64">
      <c r="A64" s="1">
        <v>7.0</v>
      </c>
      <c r="B64" s="1">
        <v>20.0</v>
      </c>
      <c r="C64" s="1">
        <v>51.0</v>
      </c>
    </row>
    <row r="65">
      <c r="A65" s="1">
        <v>7.0</v>
      </c>
      <c r="B65" s="1">
        <v>21.0</v>
      </c>
      <c r="C65" s="1">
        <v>49.0</v>
      </c>
    </row>
    <row r="66">
      <c r="A66" s="1">
        <v>7.0</v>
      </c>
      <c r="B66" s="1">
        <v>22.0</v>
      </c>
      <c r="C66" s="1">
        <v>47.0</v>
      </c>
    </row>
    <row r="67">
      <c r="A67" s="1">
        <v>7.0</v>
      </c>
      <c r="B67" s="1">
        <v>23.0</v>
      </c>
      <c r="C67" s="1">
        <v>45.0</v>
      </c>
    </row>
    <row r="68">
      <c r="A68" s="1">
        <v>7.0</v>
      </c>
      <c r="B68" s="1">
        <v>24.0</v>
      </c>
      <c r="C68" s="1">
        <v>43.0</v>
      </c>
    </row>
    <row r="69">
      <c r="A69" s="1">
        <v>7.0</v>
      </c>
      <c r="B69" s="1">
        <v>25.0</v>
      </c>
      <c r="C69" s="1">
        <v>41.0</v>
      </c>
    </row>
    <row r="70">
      <c r="A70" s="1">
        <v>7.0</v>
      </c>
      <c r="B70" s="1">
        <v>26.0</v>
      </c>
      <c r="C70" s="1">
        <v>40.0</v>
      </c>
    </row>
    <row r="71">
      <c r="A71" s="1">
        <v>7.0</v>
      </c>
      <c r="B71" s="1">
        <v>27.0</v>
      </c>
      <c r="C71" s="1">
        <v>38.0</v>
      </c>
    </row>
    <row r="72">
      <c r="A72" s="1">
        <v>7.0</v>
      </c>
      <c r="B72" s="1">
        <v>28.0</v>
      </c>
      <c r="C72" s="1">
        <v>37.0</v>
      </c>
    </row>
    <row r="73">
      <c r="A73" s="1">
        <v>7.0</v>
      </c>
      <c r="B73" s="1">
        <v>29.0</v>
      </c>
      <c r="C73" s="1">
        <v>36.0</v>
      </c>
    </row>
    <row r="74">
      <c r="A74" s="1">
        <v>7.0</v>
      </c>
      <c r="B74" s="1">
        <v>30.0</v>
      </c>
      <c r="C74" s="1">
        <v>35.0</v>
      </c>
    </row>
    <row r="75">
      <c r="A75" s="1">
        <v>7.0</v>
      </c>
      <c r="B75" s="1">
        <v>31.0</v>
      </c>
      <c r="C75" s="1">
        <v>34.0</v>
      </c>
    </row>
    <row r="76">
      <c r="A76" s="1">
        <v>7.0</v>
      </c>
      <c r="B76" s="1">
        <v>32.0</v>
      </c>
      <c r="C76" s="1">
        <v>33.0</v>
      </c>
    </row>
    <row r="77">
      <c r="A77" s="1">
        <v>8.0</v>
      </c>
      <c r="B77" s="1">
        <v>1.0</v>
      </c>
      <c r="C77" s="1">
        <v>256.0</v>
      </c>
    </row>
    <row r="78">
      <c r="A78" s="1">
        <v>8.0</v>
      </c>
      <c r="B78" s="1">
        <v>2.0</v>
      </c>
      <c r="C78" s="1">
        <v>255.0</v>
      </c>
    </row>
    <row r="79">
      <c r="A79" s="1">
        <v>8.0</v>
      </c>
      <c r="B79" s="1">
        <v>3.0</v>
      </c>
      <c r="C79" s="1">
        <v>248.0</v>
      </c>
    </row>
    <row r="80">
      <c r="A80" s="1">
        <v>8.0</v>
      </c>
      <c r="B80" s="1">
        <v>4.0</v>
      </c>
      <c r="C80" s="1">
        <v>242.0</v>
      </c>
    </row>
    <row r="81">
      <c r="A81" s="1">
        <v>8.0</v>
      </c>
      <c r="B81" s="1">
        <v>5.0</v>
      </c>
      <c r="C81" s="1">
        <v>231.0</v>
      </c>
    </row>
    <row r="82">
      <c r="A82" s="1">
        <v>8.0</v>
      </c>
      <c r="B82" s="1">
        <v>6.0</v>
      </c>
      <c r="C82" s="1">
        <v>225.0</v>
      </c>
    </row>
    <row r="83">
      <c r="A83" s="1">
        <v>8.0</v>
      </c>
      <c r="B83" s="1">
        <v>7.0</v>
      </c>
      <c r="C83" s="1">
        <v>214.0</v>
      </c>
    </row>
    <row r="84">
      <c r="A84" s="1">
        <v>8.0</v>
      </c>
      <c r="B84" s="1">
        <v>8.0</v>
      </c>
      <c r="C84" s="1">
        <v>206.0</v>
      </c>
    </row>
    <row r="85">
      <c r="A85" s="1">
        <v>8.0</v>
      </c>
      <c r="B85" s="1">
        <v>9.0</v>
      </c>
      <c r="C85" s="1">
        <v>198.0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04" width="3.75"/>
  </cols>
  <sheetData>
    <row r="1" ht="19.5" customHeight="1">
      <c r="A1" s="3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  <c r="V1" s="2">
        <v>21.0</v>
      </c>
      <c r="W1" s="2">
        <v>22.0</v>
      </c>
      <c r="X1" s="2">
        <v>23.0</v>
      </c>
      <c r="Y1" s="2">
        <v>24.0</v>
      </c>
      <c r="Z1" s="2">
        <v>25.0</v>
      </c>
      <c r="AA1" s="2">
        <v>26.0</v>
      </c>
      <c r="AB1" s="2">
        <v>27.0</v>
      </c>
      <c r="AC1" s="2">
        <v>28.0</v>
      </c>
      <c r="AD1" s="2">
        <v>29.0</v>
      </c>
      <c r="AE1" s="2">
        <v>30.0</v>
      </c>
      <c r="AF1" s="2">
        <v>31.0</v>
      </c>
      <c r="AG1" s="2">
        <v>32.0</v>
      </c>
      <c r="AH1" s="2">
        <v>33.0</v>
      </c>
      <c r="AI1" s="2">
        <v>34.0</v>
      </c>
      <c r="AJ1" s="2">
        <v>35.0</v>
      </c>
      <c r="AK1" s="2">
        <v>36.0</v>
      </c>
      <c r="AL1" s="2">
        <v>37.0</v>
      </c>
      <c r="AM1" s="2">
        <v>38.0</v>
      </c>
      <c r="AN1" s="2">
        <v>39.0</v>
      </c>
      <c r="AO1" s="2">
        <v>40.0</v>
      </c>
      <c r="AP1" s="2">
        <v>41.0</v>
      </c>
      <c r="AQ1" s="2">
        <v>42.0</v>
      </c>
      <c r="AR1" s="2">
        <v>43.0</v>
      </c>
      <c r="AS1" s="2">
        <v>44.0</v>
      </c>
      <c r="AT1" s="2">
        <v>45.0</v>
      </c>
      <c r="AU1" s="2">
        <v>46.0</v>
      </c>
      <c r="AV1" s="2">
        <v>47.0</v>
      </c>
      <c r="AW1" s="2">
        <v>48.0</v>
      </c>
      <c r="AX1" s="2">
        <v>49.0</v>
      </c>
      <c r="AY1" s="2">
        <v>50.0</v>
      </c>
      <c r="AZ1" s="2">
        <v>51.0</v>
      </c>
      <c r="BA1" s="2">
        <v>52.0</v>
      </c>
      <c r="BB1" s="2">
        <v>53.0</v>
      </c>
      <c r="BC1" s="2">
        <v>54.0</v>
      </c>
      <c r="BD1" s="2">
        <v>55.0</v>
      </c>
      <c r="BE1" s="2">
        <v>56.0</v>
      </c>
      <c r="BF1" s="2">
        <v>57.0</v>
      </c>
      <c r="BG1" s="2">
        <v>58.0</v>
      </c>
      <c r="BH1" s="2">
        <v>59.0</v>
      </c>
      <c r="BI1" s="2">
        <v>60.0</v>
      </c>
      <c r="BJ1" s="2">
        <v>61.0</v>
      </c>
      <c r="BK1" s="2">
        <v>62.0</v>
      </c>
      <c r="BL1" s="2">
        <v>63.0</v>
      </c>
      <c r="BM1" s="2">
        <v>64.0</v>
      </c>
      <c r="BN1" s="2">
        <v>65.0</v>
      </c>
      <c r="BO1" s="2">
        <v>66.0</v>
      </c>
      <c r="BP1" s="2">
        <v>67.0</v>
      </c>
      <c r="BQ1" s="2">
        <v>68.0</v>
      </c>
      <c r="BR1" s="2">
        <v>69.0</v>
      </c>
      <c r="BS1" s="2">
        <v>70.0</v>
      </c>
      <c r="BT1" s="2">
        <v>71.0</v>
      </c>
      <c r="BU1" s="2">
        <v>72.0</v>
      </c>
      <c r="BV1" s="2">
        <v>73.0</v>
      </c>
      <c r="BW1" s="2">
        <v>74.0</v>
      </c>
      <c r="BX1" s="2">
        <v>75.0</v>
      </c>
      <c r="BY1" s="2">
        <v>76.0</v>
      </c>
      <c r="BZ1" s="2">
        <v>77.0</v>
      </c>
      <c r="CA1" s="2">
        <v>78.0</v>
      </c>
      <c r="CB1" s="2">
        <v>79.0</v>
      </c>
      <c r="CC1" s="2">
        <v>80.0</v>
      </c>
      <c r="CD1" s="2">
        <v>81.0</v>
      </c>
      <c r="CE1" s="2">
        <v>82.0</v>
      </c>
      <c r="CF1" s="2">
        <v>83.0</v>
      </c>
      <c r="CG1" s="2">
        <v>84.0</v>
      </c>
      <c r="CH1" s="2">
        <v>85.0</v>
      </c>
      <c r="CI1" s="2">
        <v>86.0</v>
      </c>
      <c r="CJ1" s="2">
        <v>87.0</v>
      </c>
      <c r="CK1" s="2">
        <v>88.0</v>
      </c>
      <c r="CL1" s="2">
        <v>89.0</v>
      </c>
      <c r="CM1" s="2">
        <v>90.0</v>
      </c>
      <c r="CN1" s="2">
        <v>91.0</v>
      </c>
      <c r="CO1" s="2">
        <v>92.0</v>
      </c>
      <c r="CP1" s="2">
        <v>93.0</v>
      </c>
      <c r="CQ1" s="2">
        <v>94.0</v>
      </c>
      <c r="CR1" s="2">
        <v>95.0</v>
      </c>
      <c r="CS1" s="2">
        <v>96.0</v>
      </c>
      <c r="CT1" s="2">
        <v>97.0</v>
      </c>
      <c r="CU1" s="2">
        <v>98.0</v>
      </c>
      <c r="CV1" s="2">
        <v>99.0</v>
      </c>
      <c r="CW1" s="2">
        <v>100.0</v>
      </c>
      <c r="CX1" s="2">
        <v>101.0</v>
      </c>
      <c r="CY1" s="2">
        <v>102.0</v>
      </c>
      <c r="CZ1" s="2">
        <v>103.0</v>
      </c>
    </row>
    <row r="2" ht="19.5" customHeight="1">
      <c r="A2" s="2">
        <v>1.0</v>
      </c>
      <c r="B2" s="7">
        <f t="array" ref="B2:CZ103">B1:CZ1*A2:A103</f>
        <v>1</v>
      </c>
      <c r="C2" s="8">
        <v>2.0</v>
      </c>
      <c r="D2" s="9">
        <v>3.0</v>
      </c>
      <c r="E2" s="9">
        <v>4.0</v>
      </c>
      <c r="F2" s="10">
        <v>5.0</v>
      </c>
      <c r="G2" s="11">
        <v>6.0</v>
      </c>
      <c r="H2" s="11">
        <v>7.0</v>
      </c>
      <c r="I2" s="11">
        <v>8.0</v>
      </c>
      <c r="J2" s="12">
        <v>9.0</v>
      </c>
      <c r="K2" s="12">
        <v>10.0</v>
      </c>
      <c r="L2" s="12">
        <v>11.0</v>
      </c>
      <c r="M2" s="12">
        <v>12.0</v>
      </c>
      <c r="N2" s="12">
        <v>13.0</v>
      </c>
      <c r="O2" s="12">
        <v>14.0</v>
      </c>
      <c r="P2" s="12">
        <v>15.0</v>
      </c>
      <c r="Q2" s="12">
        <v>16.0</v>
      </c>
      <c r="R2" s="5">
        <v>17.0</v>
      </c>
      <c r="S2" s="5">
        <v>18.0</v>
      </c>
      <c r="T2" s="5">
        <v>19.0</v>
      </c>
      <c r="U2" s="5">
        <v>20.0</v>
      </c>
      <c r="V2" s="5">
        <v>21.0</v>
      </c>
      <c r="W2" s="5">
        <v>22.0</v>
      </c>
      <c r="X2" s="5">
        <v>23.0</v>
      </c>
      <c r="Y2" s="5">
        <v>24.0</v>
      </c>
      <c r="Z2" s="5">
        <v>25.0</v>
      </c>
      <c r="AA2" s="5">
        <v>26.0</v>
      </c>
      <c r="AB2" s="5">
        <v>27.0</v>
      </c>
      <c r="AC2" s="5">
        <v>28.0</v>
      </c>
      <c r="AD2" s="5">
        <v>29.0</v>
      </c>
      <c r="AE2" s="5">
        <v>30.0</v>
      </c>
      <c r="AF2" s="5">
        <v>31.0</v>
      </c>
      <c r="AG2" s="5">
        <v>32.0</v>
      </c>
      <c r="AH2" s="13">
        <v>33.0</v>
      </c>
      <c r="AI2" s="13">
        <v>34.0</v>
      </c>
      <c r="AJ2" s="13">
        <v>35.0</v>
      </c>
      <c r="AK2" s="13">
        <v>36.0</v>
      </c>
      <c r="AL2" s="13">
        <v>37.0</v>
      </c>
      <c r="AM2" s="13">
        <v>38.0</v>
      </c>
      <c r="AN2" s="13">
        <v>39.0</v>
      </c>
      <c r="AO2" s="13">
        <v>40.0</v>
      </c>
      <c r="AP2" s="13">
        <v>41.0</v>
      </c>
      <c r="AQ2" s="13">
        <v>42.0</v>
      </c>
      <c r="AR2" s="13">
        <v>43.0</v>
      </c>
      <c r="AS2" s="13">
        <v>44.0</v>
      </c>
      <c r="AT2" s="13">
        <v>45.0</v>
      </c>
      <c r="AU2" s="13">
        <v>46.0</v>
      </c>
      <c r="AV2" s="13">
        <v>47.0</v>
      </c>
      <c r="AW2" s="13">
        <v>48.0</v>
      </c>
      <c r="AX2" s="13">
        <v>49.0</v>
      </c>
      <c r="AY2" s="13">
        <v>50.0</v>
      </c>
      <c r="AZ2" s="13">
        <v>51.0</v>
      </c>
      <c r="BA2" s="13">
        <v>52.0</v>
      </c>
      <c r="BB2" s="13">
        <v>53.0</v>
      </c>
      <c r="BC2" s="13">
        <v>54.0</v>
      </c>
      <c r="BD2" s="13">
        <v>55.0</v>
      </c>
      <c r="BE2" s="13">
        <v>56.0</v>
      </c>
      <c r="BF2" s="13">
        <v>57.0</v>
      </c>
      <c r="BG2" s="13">
        <v>58.0</v>
      </c>
      <c r="BH2" s="13">
        <v>59.0</v>
      </c>
      <c r="BI2" s="13">
        <v>60.0</v>
      </c>
      <c r="BJ2" s="13">
        <v>61.0</v>
      </c>
      <c r="BK2" s="13">
        <v>62.0</v>
      </c>
      <c r="BL2" s="13">
        <v>63.0</v>
      </c>
      <c r="BM2" s="13">
        <v>64.0</v>
      </c>
      <c r="BN2" s="12">
        <v>65.0</v>
      </c>
      <c r="BO2" s="12">
        <v>66.0</v>
      </c>
      <c r="BP2" s="12">
        <v>67.0</v>
      </c>
      <c r="BQ2" s="12">
        <v>68.0</v>
      </c>
      <c r="BR2" s="12">
        <v>69.0</v>
      </c>
      <c r="BS2" s="12">
        <v>70.0</v>
      </c>
      <c r="BT2" s="12">
        <v>71.0</v>
      </c>
      <c r="BU2" s="12">
        <v>72.0</v>
      </c>
      <c r="BV2" s="12">
        <v>73.0</v>
      </c>
      <c r="BW2" s="12">
        <v>74.0</v>
      </c>
      <c r="BX2" s="12">
        <v>75.0</v>
      </c>
      <c r="BY2" s="12">
        <v>76.0</v>
      </c>
      <c r="BZ2" s="12">
        <v>77.0</v>
      </c>
      <c r="CA2" s="12">
        <v>78.0</v>
      </c>
      <c r="CB2" s="12">
        <v>79.0</v>
      </c>
      <c r="CC2" s="12">
        <v>80.0</v>
      </c>
      <c r="CD2" s="12">
        <v>81.0</v>
      </c>
      <c r="CE2" s="12">
        <v>82.0</v>
      </c>
      <c r="CF2" s="12">
        <v>83.0</v>
      </c>
      <c r="CG2" s="12">
        <v>84.0</v>
      </c>
      <c r="CH2" s="12">
        <v>85.0</v>
      </c>
      <c r="CI2" s="12">
        <v>86.0</v>
      </c>
      <c r="CJ2" s="12">
        <v>87.0</v>
      </c>
      <c r="CK2" s="12">
        <v>88.0</v>
      </c>
      <c r="CL2" s="12">
        <v>89.0</v>
      </c>
      <c r="CM2" s="12">
        <v>90.0</v>
      </c>
      <c r="CN2" s="12">
        <v>91.0</v>
      </c>
      <c r="CO2" s="12">
        <v>92.0</v>
      </c>
      <c r="CP2" s="12">
        <v>93.0</v>
      </c>
      <c r="CQ2" s="12">
        <v>94.0</v>
      </c>
      <c r="CR2" s="12">
        <v>95.0</v>
      </c>
      <c r="CS2" s="12">
        <v>96.0</v>
      </c>
      <c r="CT2" s="12">
        <v>97.0</v>
      </c>
      <c r="CU2" s="12">
        <v>98.0</v>
      </c>
      <c r="CV2" s="12">
        <v>99.0</v>
      </c>
      <c r="CW2" s="12">
        <v>100.0</v>
      </c>
      <c r="CX2" s="12">
        <v>101.0</v>
      </c>
      <c r="CY2" s="12">
        <v>102.0</v>
      </c>
      <c r="CZ2" s="12">
        <v>103.0</v>
      </c>
    </row>
    <row r="3" ht="19.5" customHeight="1">
      <c r="A3" s="2">
        <v>2.0</v>
      </c>
      <c r="B3" s="8">
        <v>2.0</v>
      </c>
      <c r="C3" s="14">
        <v>4.0</v>
      </c>
      <c r="D3" s="9">
        <v>6.0</v>
      </c>
      <c r="E3" s="10">
        <v>8.0</v>
      </c>
      <c r="F3" s="10">
        <v>10.0</v>
      </c>
      <c r="G3" s="10">
        <v>12.0</v>
      </c>
      <c r="H3" s="10">
        <v>14.0</v>
      </c>
      <c r="I3" s="12">
        <v>16.0</v>
      </c>
      <c r="J3" s="12">
        <v>18.0</v>
      </c>
      <c r="K3" s="12">
        <v>20.0</v>
      </c>
      <c r="L3" s="12">
        <v>22.0</v>
      </c>
      <c r="M3" s="12">
        <v>24.0</v>
      </c>
      <c r="N3" s="12">
        <v>26.0</v>
      </c>
      <c r="O3" s="12">
        <v>28.0</v>
      </c>
      <c r="P3" s="12">
        <v>30.0</v>
      </c>
      <c r="Q3" s="5">
        <v>32.0</v>
      </c>
      <c r="R3" s="5">
        <v>34.0</v>
      </c>
      <c r="S3" s="5">
        <v>36.0</v>
      </c>
      <c r="T3" s="5">
        <v>38.0</v>
      </c>
      <c r="U3" s="5">
        <v>40.0</v>
      </c>
      <c r="V3" s="5">
        <v>42.0</v>
      </c>
      <c r="W3" s="5">
        <v>44.0</v>
      </c>
      <c r="X3" s="5">
        <v>46.0</v>
      </c>
      <c r="Y3" s="5">
        <v>48.0</v>
      </c>
      <c r="Z3" s="5">
        <v>50.0</v>
      </c>
      <c r="AA3" s="5">
        <v>52.0</v>
      </c>
      <c r="AB3" s="5">
        <v>54.0</v>
      </c>
      <c r="AC3" s="5">
        <v>56.0</v>
      </c>
      <c r="AD3" s="5">
        <v>58.0</v>
      </c>
      <c r="AE3" s="5">
        <v>60.0</v>
      </c>
      <c r="AF3" s="5">
        <v>62.0</v>
      </c>
      <c r="AG3" s="13">
        <v>64.0</v>
      </c>
      <c r="AH3" s="13">
        <v>66.0</v>
      </c>
      <c r="AI3" s="13">
        <v>68.0</v>
      </c>
      <c r="AJ3" s="13">
        <v>70.0</v>
      </c>
      <c r="AK3" s="13">
        <v>72.0</v>
      </c>
      <c r="AL3" s="13">
        <v>74.0</v>
      </c>
      <c r="AM3" s="13">
        <v>76.0</v>
      </c>
      <c r="AN3" s="13">
        <v>78.0</v>
      </c>
      <c r="AO3" s="13">
        <v>80.0</v>
      </c>
      <c r="AP3" s="13">
        <v>82.0</v>
      </c>
      <c r="AQ3" s="13">
        <v>84.0</v>
      </c>
      <c r="AR3" s="13">
        <v>86.0</v>
      </c>
      <c r="AS3" s="13">
        <v>88.0</v>
      </c>
      <c r="AT3" s="13">
        <v>90.0</v>
      </c>
      <c r="AU3" s="13">
        <v>92.0</v>
      </c>
      <c r="AV3" s="13">
        <v>94.0</v>
      </c>
      <c r="AW3" s="13">
        <v>96.0</v>
      </c>
      <c r="AX3" s="13">
        <v>98.0</v>
      </c>
      <c r="AY3" s="13">
        <v>100.0</v>
      </c>
      <c r="AZ3" s="13">
        <v>102.0</v>
      </c>
      <c r="BA3" s="13">
        <v>104.0</v>
      </c>
      <c r="BB3" s="13">
        <v>106.0</v>
      </c>
      <c r="BC3" s="13">
        <v>108.0</v>
      </c>
      <c r="BD3" s="13">
        <v>110.0</v>
      </c>
      <c r="BE3" s="13">
        <v>112.0</v>
      </c>
      <c r="BF3" s="13">
        <v>114.0</v>
      </c>
      <c r="BG3" s="13">
        <v>116.0</v>
      </c>
      <c r="BH3" s="13">
        <v>118.0</v>
      </c>
      <c r="BI3" s="13">
        <v>120.0</v>
      </c>
      <c r="BJ3" s="13">
        <v>122.0</v>
      </c>
      <c r="BK3" s="13">
        <v>124.0</v>
      </c>
      <c r="BL3" s="13">
        <v>126.0</v>
      </c>
      <c r="BM3" s="12">
        <v>128.0</v>
      </c>
      <c r="BN3" s="12">
        <v>130.0</v>
      </c>
      <c r="BO3" s="12">
        <v>132.0</v>
      </c>
      <c r="BP3" s="12">
        <v>134.0</v>
      </c>
      <c r="BQ3" s="12">
        <v>136.0</v>
      </c>
      <c r="BR3" s="12">
        <v>138.0</v>
      </c>
      <c r="BS3" s="12">
        <v>140.0</v>
      </c>
      <c r="BT3" s="12">
        <v>142.0</v>
      </c>
      <c r="BU3" s="12">
        <v>144.0</v>
      </c>
      <c r="BV3" s="12">
        <v>146.0</v>
      </c>
      <c r="BW3" s="12">
        <v>148.0</v>
      </c>
      <c r="BX3" s="12">
        <v>150.0</v>
      </c>
      <c r="BY3" s="12">
        <v>152.0</v>
      </c>
      <c r="BZ3" s="12">
        <v>154.0</v>
      </c>
      <c r="CA3" s="12">
        <v>156.0</v>
      </c>
      <c r="CB3" s="12">
        <v>158.0</v>
      </c>
      <c r="CC3" s="12">
        <v>160.0</v>
      </c>
      <c r="CD3" s="12">
        <v>162.0</v>
      </c>
      <c r="CE3" s="12">
        <v>164.0</v>
      </c>
      <c r="CF3" s="12">
        <v>166.0</v>
      </c>
      <c r="CG3" s="12">
        <v>168.0</v>
      </c>
      <c r="CH3" s="12">
        <v>170.0</v>
      </c>
      <c r="CI3" s="12">
        <v>172.0</v>
      </c>
      <c r="CJ3" s="12">
        <v>174.0</v>
      </c>
      <c r="CK3" s="12">
        <v>176.0</v>
      </c>
      <c r="CL3" s="12">
        <v>178.0</v>
      </c>
      <c r="CM3" s="12">
        <v>180.0</v>
      </c>
      <c r="CN3" s="12">
        <v>182.0</v>
      </c>
      <c r="CO3" s="12">
        <v>184.0</v>
      </c>
      <c r="CP3" s="12">
        <v>186.0</v>
      </c>
      <c r="CQ3" s="12">
        <v>188.0</v>
      </c>
      <c r="CR3" s="12">
        <v>190.0</v>
      </c>
      <c r="CS3" s="12">
        <v>192.0</v>
      </c>
      <c r="CT3" s="12">
        <v>194.0</v>
      </c>
      <c r="CU3" s="12">
        <v>196.0</v>
      </c>
      <c r="CV3" s="12">
        <v>198.0</v>
      </c>
      <c r="CW3" s="12">
        <v>200.0</v>
      </c>
      <c r="CX3" s="12">
        <v>202.0</v>
      </c>
      <c r="CY3" s="12">
        <v>204.0</v>
      </c>
      <c r="CZ3" s="12">
        <v>206.0</v>
      </c>
    </row>
    <row r="4" ht="19.5" customHeight="1">
      <c r="A4" s="2">
        <v>3.0</v>
      </c>
      <c r="B4" s="15">
        <v>3.0</v>
      </c>
      <c r="C4" s="9">
        <v>6.0</v>
      </c>
      <c r="D4" s="16">
        <v>9.0</v>
      </c>
      <c r="E4" s="10">
        <v>12.0</v>
      </c>
      <c r="F4" s="10">
        <v>15.0</v>
      </c>
      <c r="G4" s="17">
        <v>18.0</v>
      </c>
      <c r="H4" s="17">
        <v>21.0</v>
      </c>
      <c r="I4" s="17">
        <v>24.0</v>
      </c>
      <c r="J4" s="17">
        <v>27.0</v>
      </c>
      <c r="K4" s="17">
        <v>30.0</v>
      </c>
      <c r="L4" s="17">
        <v>33.0</v>
      </c>
      <c r="M4" s="17">
        <v>36.0</v>
      </c>
      <c r="N4" s="5">
        <v>39.0</v>
      </c>
      <c r="O4" s="5">
        <v>42.0</v>
      </c>
      <c r="P4" s="5">
        <v>45.0</v>
      </c>
      <c r="Q4" s="5">
        <v>48.0</v>
      </c>
      <c r="R4" s="5">
        <v>51.0</v>
      </c>
      <c r="S4" s="5">
        <v>54.0</v>
      </c>
      <c r="T4" s="5">
        <v>57.0</v>
      </c>
      <c r="U4" s="5">
        <v>60.0</v>
      </c>
      <c r="V4" s="5">
        <v>63.0</v>
      </c>
      <c r="W4" s="5">
        <v>66.0</v>
      </c>
      <c r="X4" s="5">
        <v>69.0</v>
      </c>
      <c r="Y4" s="5">
        <v>72.0</v>
      </c>
      <c r="Z4" s="5">
        <v>75.0</v>
      </c>
      <c r="AA4" s="5">
        <v>78.0</v>
      </c>
      <c r="AB4" s="5">
        <v>81.0</v>
      </c>
      <c r="AC4" s="13">
        <v>84.0</v>
      </c>
      <c r="AD4" s="13">
        <v>87.0</v>
      </c>
      <c r="AE4" s="13">
        <v>90.0</v>
      </c>
      <c r="AF4" s="13">
        <v>93.0</v>
      </c>
      <c r="AG4" s="13">
        <v>96.0</v>
      </c>
      <c r="AH4" s="13">
        <v>99.0</v>
      </c>
      <c r="AI4" s="13">
        <v>102.0</v>
      </c>
      <c r="AJ4" s="13">
        <v>105.0</v>
      </c>
      <c r="AK4" s="13">
        <v>108.0</v>
      </c>
      <c r="AL4" s="13">
        <v>111.0</v>
      </c>
      <c r="AM4" s="13">
        <v>114.0</v>
      </c>
      <c r="AN4" s="13">
        <v>117.0</v>
      </c>
      <c r="AO4" s="13">
        <v>120.0</v>
      </c>
      <c r="AP4" s="13">
        <v>123.0</v>
      </c>
      <c r="AQ4" s="13">
        <v>126.0</v>
      </c>
      <c r="AR4" s="13">
        <v>129.0</v>
      </c>
      <c r="AS4" s="13">
        <v>132.0</v>
      </c>
      <c r="AT4" s="13">
        <v>135.0</v>
      </c>
      <c r="AU4" s="13">
        <v>138.0</v>
      </c>
      <c r="AV4" s="13">
        <v>141.0</v>
      </c>
      <c r="AW4" s="13">
        <v>144.0</v>
      </c>
      <c r="AX4" s="13">
        <v>147.0</v>
      </c>
      <c r="AY4" s="13">
        <v>150.0</v>
      </c>
      <c r="AZ4" s="13">
        <v>153.0</v>
      </c>
      <c r="BA4" s="13">
        <v>156.0</v>
      </c>
      <c r="BB4" s="13">
        <v>159.0</v>
      </c>
      <c r="BC4" s="13">
        <v>162.0</v>
      </c>
      <c r="BD4" s="13">
        <v>165.0</v>
      </c>
      <c r="BE4" s="13">
        <v>168.0</v>
      </c>
      <c r="BF4" s="13">
        <v>171.0</v>
      </c>
      <c r="BG4" s="13">
        <v>174.0</v>
      </c>
      <c r="BH4" s="12">
        <v>177.0</v>
      </c>
      <c r="BI4" s="12">
        <v>180.0</v>
      </c>
      <c r="BJ4" s="12">
        <v>183.0</v>
      </c>
      <c r="BK4" s="12">
        <v>186.0</v>
      </c>
      <c r="BL4" s="12">
        <v>189.0</v>
      </c>
      <c r="BM4" s="12">
        <v>192.0</v>
      </c>
      <c r="BN4" s="12">
        <v>195.0</v>
      </c>
      <c r="BO4" s="12">
        <v>198.0</v>
      </c>
      <c r="BP4" s="12">
        <v>201.0</v>
      </c>
      <c r="BQ4" s="12">
        <v>204.0</v>
      </c>
      <c r="BR4" s="12">
        <v>207.0</v>
      </c>
      <c r="BS4" s="12">
        <v>210.0</v>
      </c>
      <c r="BT4" s="12">
        <v>213.0</v>
      </c>
      <c r="BU4" s="12">
        <v>216.0</v>
      </c>
      <c r="BV4" s="12">
        <v>219.0</v>
      </c>
      <c r="BW4" s="12">
        <v>222.0</v>
      </c>
      <c r="BX4" s="12">
        <v>225.0</v>
      </c>
      <c r="BY4" s="12">
        <v>228.0</v>
      </c>
      <c r="BZ4" s="12">
        <v>231.0</v>
      </c>
      <c r="CA4" s="12">
        <v>234.0</v>
      </c>
      <c r="CB4" s="12">
        <v>237.0</v>
      </c>
      <c r="CC4" s="12">
        <v>240.0</v>
      </c>
      <c r="CD4" s="12">
        <v>243.0</v>
      </c>
      <c r="CE4" s="12">
        <v>246.0</v>
      </c>
      <c r="CF4" s="12">
        <v>249.0</v>
      </c>
      <c r="CG4" s="12">
        <v>252.0</v>
      </c>
      <c r="CH4" s="12">
        <v>255.0</v>
      </c>
      <c r="CI4" s="12">
        <v>258.0</v>
      </c>
      <c r="CJ4" s="12">
        <v>261.0</v>
      </c>
      <c r="CK4" s="12">
        <v>264.0</v>
      </c>
      <c r="CL4" s="12">
        <v>267.0</v>
      </c>
      <c r="CM4" s="12">
        <v>270.0</v>
      </c>
      <c r="CN4" s="12">
        <v>273.0</v>
      </c>
      <c r="CO4" s="12">
        <v>276.0</v>
      </c>
      <c r="CP4" s="12">
        <v>279.0</v>
      </c>
      <c r="CQ4" s="12">
        <v>282.0</v>
      </c>
      <c r="CR4" s="12">
        <v>285.0</v>
      </c>
      <c r="CS4" s="12">
        <v>288.0</v>
      </c>
      <c r="CT4" s="12">
        <v>291.0</v>
      </c>
      <c r="CU4" s="12">
        <v>294.0</v>
      </c>
      <c r="CV4" s="12">
        <v>297.0</v>
      </c>
      <c r="CW4" s="12">
        <v>300.0</v>
      </c>
      <c r="CX4" s="12">
        <v>303.0</v>
      </c>
      <c r="CY4" s="12">
        <v>306.0</v>
      </c>
      <c r="CZ4" s="12">
        <v>309.0</v>
      </c>
    </row>
    <row r="5" ht="19.5" customHeight="1">
      <c r="A5" s="2">
        <v>4.0</v>
      </c>
      <c r="B5" s="15">
        <v>4.0</v>
      </c>
      <c r="C5" s="10">
        <v>8.0</v>
      </c>
      <c r="D5" s="10">
        <v>12.0</v>
      </c>
      <c r="E5" s="16">
        <v>16.0</v>
      </c>
      <c r="F5" s="17">
        <v>20.0</v>
      </c>
      <c r="G5" s="12">
        <v>24.0</v>
      </c>
      <c r="H5" s="17">
        <v>28.0</v>
      </c>
      <c r="I5" s="12">
        <v>32.0</v>
      </c>
      <c r="J5" s="17">
        <v>36.0</v>
      </c>
      <c r="K5" s="17">
        <v>40.0</v>
      </c>
      <c r="L5" s="5">
        <v>44.0</v>
      </c>
      <c r="M5" s="5">
        <v>48.0</v>
      </c>
      <c r="N5" s="5">
        <v>52.0</v>
      </c>
      <c r="O5" s="5">
        <v>56.0</v>
      </c>
      <c r="P5" s="5">
        <v>60.0</v>
      </c>
      <c r="Q5" s="5">
        <v>64.0</v>
      </c>
      <c r="R5" s="5">
        <v>68.0</v>
      </c>
      <c r="S5" s="5">
        <v>72.0</v>
      </c>
      <c r="T5" s="5">
        <v>76.0</v>
      </c>
      <c r="U5" s="5">
        <v>80.0</v>
      </c>
      <c r="V5" s="5">
        <v>84.0</v>
      </c>
      <c r="W5" s="5">
        <v>88.0</v>
      </c>
      <c r="X5" s="5">
        <v>92.0</v>
      </c>
      <c r="Y5" s="5">
        <v>96.0</v>
      </c>
      <c r="Z5" s="13">
        <v>100.0</v>
      </c>
      <c r="AA5" s="13">
        <v>104.0</v>
      </c>
      <c r="AB5" s="13">
        <v>108.0</v>
      </c>
      <c r="AC5" s="13">
        <v>112.0</v>
      </c>
      <c r="AD5" s="13">
        <v>116.0</v>
      </c>
      <c r="AE5" s="13">
        <v>120.0</v>
      </c>
      <c r="AF5" s="13">
        <v>124.0</v>
      </c>
      <c r="AG5" s="13">
        <v>128.0</v>
      </c>
      <c r="AH5" s="13">
        <v>132.0</v>
      </c>
      <c r="AI5" s="13">
        <v>136.0</v>
      </c>
      <c r="AJ5" s="13">
        <v>140.0</v>
      </c>
      <c r="AK5" s="13">
        <v>144.0</v>
      </c>
      <c r="AL5" s="13">
        <v>148.0</v>
      </c>
      <c r="AM5" s="13">
        <v>152.0</v>
      </c>
      <c r="AN5" s="13">
        <v>156.0</v>
      </c>
      <c r="AO5" s="13">
        <v>160.0</v>
      </c>
      <c r="AP5" s="13">
        <v>164.0</v>
      </c>
      <c r="AQ5" s="13">
        <v>168.0</v>
      </c>
      <c r="AR5" s="13">
        <v>172.0</v>
      </c>
      <c r="AS5" s="13">
        <v>176.0</v>
      </c>
      <c r="AT5" s="13">
        <v>180.0</v>
      </c>
      <c r="AU5" s="13">
        <v>184.0</v>
      </c>
      <c r="AV5" s="13">
        <v>188.0</v>
      </c>
      <c r="AW5" s="13">
        <v>192.0</v>
      </c>
      <c r="AX5" s="13">
        <v>196.0</v>
      </c>
      <c r="AY5" s="13">
        <v>200.0</v>
      </c>
      <c r="AZ5" s="13">
        <v>204.0</v>
      </c>
      <c r="BA5" s="13">
        <v>208.0</v>
      </c>
      <c r="BB5" s="13">
        <v>212.0</v>
      </c>
      <c r="BC5" s="13">
        <v>216.0</v>
      </c>
      <c r="BD5" s="12">
        <v>220.0</v>
      </c>
      <c r="BE5" s="12">
        <v>224.0</v>
      </c>
      <c r="BF5" s="12">
        <v>228.0</v>
      </c>
      <c r="BG5" s="12">
        <v>232.0</v>
      </c>
      <c r="BH5" s="12">
        <v>236.0</v>
      </c>
      <c r="BI5" s="12">
        <v>240.0</v>
      </c>
      <c r="BJ5" s="12">
        <v>244.0</v>
      </c>
      <c r="BK5" s="12">
        <v>248.0</v>
      </c>
      <c r="BL5" s="12">
        <v>252.0</v>
      </c>
      <c r="BM5" s="12">
        <v>256.0</v>
      </c>
      <c r="BN5" s="12">
        <v>260.0</v>
      </c>
      <c r="BO5" s="12">
        <v>264.0</v>
      </c>
      <c r="BP5" s="12">
        <v>268.0</v>
      </c>
      <c r="BQ5" s="12">
        <v>272.0</v>
      </c>
      <c r="BR5" s="12">
        <v>276.0</v>
      </c>
      <c r="BS5" s="12">
        <v>280.0</v>
      </c>
      <c r="BT5" s="12">
        <v>284.0</v>
      </c>
      <c r="BU5" s="12">
        <v>288.0</v>
      </c>
      <c r="BV5" s="12">
        <v>292.0</v>
      </c>
      <c r="BW5" s="12">
        <v>296.0</v>
      </c>
      <c r="BX5" s="12">
        <v>300.0</v>
      </c>
      <c r="BY5" s="12">
        <v>304.0</v>
      </c>
      <c r="BZ5" s="12">
        <v>308.0</v>
      </c>
      <c r="CA5" s="12">
        <v>312.0</v>
      </c>
      <c r="CB5" s="12">
        <v>316.0</v>
      </c>
      <c r="CC5" s="12">
        <v>320.0</v>
      </c>
      <c r="CD5" s="12">
        <v>324.0</v>
      </c>
      <c r="CE5" s="12">
        <v>328.0</v>
      </c>
      <c r="CF5" s="12">
        <v>332.0</v>
      </c>
      <c r="CG5" s="12">
        <v>336.0</v>
      </c>
      <c r="CH5" s="12">
        <v>340.0</v>
      </c>
      <c r="CI5" s="12">
        <v>344.0</v>
      </c>
      <c r="CJ5" s="12">
        <v>348.0</v>
      </c>
      <c r="CK5" s="12">
        <v>352.0</v>
      </c>
      <c r="CL5" s="12">
        <v>356.0</v>
      </c>
      <c r="CM5" s="12">
        <v>360.0</v>
      </c>
      <c r="CN5" s="12">
        <v>364.0</v>
      </c>
      <c r="CO5" s="12">
        <v>368.0</v>
      </c>
      <c r="CP5" s="12">
        <v>372.0</v>
      </c>
      <c r="CQ5" s="12">
        <v>376.0</v>
      </c>
      <c r="CR5" s="12">
        <v>380.0</v>
      </c>
      <c r="CS5" s="12">
        <v>384.0</v>
      </c>
      <c r="CT5" s="12">
        <v>388.0</v>
      </c>
      <c r="CU5" s="12">
        <v>392.0</v>
      </c>
      <c r="CV5" s="12">
        <v>396.0</v>
      </c>
      <c r="CW5" s="12">
        <v>400.0</v>
      </c>
      <c r="CX5" s="12">
        <v>404.0</v>
      </c>
      <c r="CY5" s="12">
        <v>408.0</v>
      </c>
      <c r="CZ5" s="12">
        <v>412.0</v>
      </c>
    </row>
    <row r="6" ht="19.5" customHeight="1">
      <c r="A6" s="2">
        <v>5.0</v>
      </c>
      <c r="B6" s="11">
        <v>5.0</v>
      </c>
      <c r="C6" s="10">
        <v>10.0</v>
      </c>
      <c r="D6" s="10">
        <v>15.0</v>
      </c>
      <c r="E6" s="17">
        <v>20.0</v>
      </c>
      <c r="F6" s="18">
        <v>25.0</v>
      </c>
      <c r="G6" s="17">
        <v>30.0</v>
      </c>
      <c r="H6" s="12">
        <v>35.0</v>
      </c>
      <c r="I6" s="17">
        <v>40.0</v>
      </c>
      <c r="J6" s="17">
        <v>45.0</v>
      </c>
      <c r="K6" s="5">
        <v>50.0</v>
      </c>
      <c r="L6" s="5">
        <v>55.0</v>
      </c>
      <c r="M6" s="5">
        <v>60.0</v>
      </c>
      <c r="N6" s="5">
        <v>65.0</v>
      </c>
      <c r="O6" s="5">
        <v>70.0</v>
      </c>
      <c r="P6" s="5">
        <v>75.0</v>
      </c>
      <c r="Q6" s="5">
        <v>80.0</v>
      </c>
      <c r="R6" s="5">
        <v>85.0</v>
      </c>
      <c r="S6" s="5">
        <v>90.0</v>
      </c>
      <c r="T6" s="5">
        <v>95.0</v>
      </c>
      <c r="U6" s="5">
        <v>100.0</v>
      </c>
      <c r="V6" s="5">
        <v>105.0</v>
      </c>
      <c r="W6" s="5">
        <v>110.0</v>
      </c>
      <c r="X6" s="13">
        <v>115.0</v>
      </c>
      <c r="Y6" s="13">
        <v>120.0</v>
      </c>
      <c r="Z6" s="13">
        <v>125.0</v>
      </c>
      <c r="AA6" s="13">
        <v>130.0</v>
      </c>
      <c r="AB6" s="13">
        <v>135.0</v>
      </c>
      <c r="AC6" s="13">
        <v>140.0</v>
      </c>
      <c r="AD6" s="13">
        <v>145.0</v>
      </c>
      <c r="AE6" s="13">
        <v>150.0</v>
      </c>
      <c r="AF6" s="13">
        <v>155.0</v>
      </c>
      <c r="AG6" s="13">
        <v>160.0</v>
      </c>
      <c r="AH6" s="13">
        <v>165.0</v>
      </c>
      <c r="AI6" s="13">
        <v>170.0</v>
      </c>
      <c r="AJ6" s="13">
        <v>175.0</v>
      </c>
      <c r="AK6" s="13">
        <v>180.0</v>
      </c>
      <c r="AL6" s="13">
        <v>185.0</v>
      </c>
      <c r="AM6" s="13">
        <v>190.0</v>
      </c>
      <c r="AN6" s="13">
        <v>195.0</v>
      </c>
      <c r="AO6" s="13">
        <v>200.0</v>
      </c>
      <c r="AP6" s="13">
        <v>205.0</v>
      </c>
      <c r="AQ6" s="13">
        <v>210.0</v>
      </c>
      <c r="AR6" s="13">
        <v>215.0</v>
      </c>
      <c r="AS6" s="13">
        <v>220.0</v>
      </c>
      <c r="AT6" s="13">
        <v>225.0</v>
      </c>
      <c r="AU6" s="13">
        <v>230.0</v>
      </c>
      <c r="AV6" s="13">
        <v>235.0</v>
      </c>
      <c r="AW6" s="13">
        <v>240.0</v>
      </c>
      <c r="AX6" s="13">
        <v>245.0</v>
      </c>
      <c r="AY6" s="13">
        <v>250.0</v>
      </c>
      <c r="AZ6" s="12">
        <v>255.0</v>
      </c>
      <c r="BA6" s="12">
        <v>260.0</v>
      </c>
      <c r="BB6" s="12">
        <v>265.0</v>
      </c>
      <c r="BC6" s="12">
        <v>270.0</v>
      </c>
      <c r="BD6" s="12">
        <v>275.0</v>
      </c>
      <c r="BE6" s="12">
        <v>280.0</v>
      </c>
      <c r="BF6" s="12">
        <v>285.0</v>
      </c>
      <c r="BG6" s="12">
        <v>290.0</v>
      </c>
      <c r="BH6" s="12">
        <v>295.0</v>
      </c>
      <c r="BI6" s="12">
        <v>300.0</v>
      </c>
      <c r="BJ6" s="12">
        <v>305.0</v>
      </c>
      <c r="BK6" s="12">
        <v>310.0</v>
      </c>
      <c r="BL6" s="12">
        <v>315.0</v>
      </c>
      <c r="BM6" s="12">
        <v>320.0</v>
      </c>
      <c r="BN6" s="12">
        <v>325.0</v>
      </c>
      <c r="BO6" s="12">
        <v>330.0</v>
      </c>
      <c r="BP6" s="12">
        <v>335.0</v>
      </c>
      <c r="BQ6" s="12">
        <v>340.0</v>
      </c>
      <c r="BR6" s="12">
        <v>345.0</v>
      </c>
      <c r="BS6" s="12">
        <v>350.0</v>
      </c>
      <c r="BT6" s="12">
        <v>355.0</v>
      </c>
      <c r="BU6" s="12">
        <v>360.0</v>
      </c>
      <c r="BV6" s="12">
        <v>365.0</v>
      </c>
      <c r="BW6" s="12">
        <v>370.0</v>
      </c>
      <c r="BX6" s="12">
        <v>375.0</v>
      </c>
      <c r="BY6" s="12">
        <v>380.0</v>
      </c>
      <c r="BZ6" s="12">
        <v>385.0</v>
      </c>
      <c r="CA6" s="12">
        <v>390.0</v>
      </c>
      <c r="CB6" s="12">
        <v>395.0</v>
      </c>
      <c r="CC6" s="12">
        <v>400.0</v>
      </c>
      <c r="CD6" s="12">
        <v>405.0</v>
      </c>
      <c r="CE6" s="12">
        <v>410.0</v>
      </c>
      <c r="CF6" s="12">
        <v>415.0</v>
      </c>
      <c r="CG6" s="12">
        <v>420.0</v>
      </c>
      <c r="CH6" s="12">
        <v>425.0</v>
      </c>
      <c r="CI6" s="12">
        <v>430.0</v>
      </c>
      <c r="CJ6" s="12">
        <v>435.0</v>
      </c>
      <c r="CK6" s="12">
        <v>440.0</v>
      </c>
      <c r="CL6" s="12">
        <v>445.0</v>
      </c>
      <c r="CM6" s="12">
        <v>450.0</v>
      </c>
      <c r="CN6" s="12">
        <v>455.0</v>
      </c>
      <c r="CO6" s="12">
        <v>460.0</v>
      </c>
      <c r="CP6" s="12">
        <v>465.0</v>
      </c>
      <c r="CQ6" s="12">
        <v>470.0</v>
      </c>
      <c r="CR6" s="12">
        <v>475.0</v>
      </c>
      <c r="CS6" s="12">
        <v>480.0</v>
      </c>
      <c r="CT6" s="12">
        <v>485.0</v>
      </c>
      <c r="CU6" s="12">
        <v>490.0</v>
      </c>
      <c r="CV6" s="12">
        <v>495.0</v>
      </c>
      <c r="CW6" s="12">
        <v>500.0</v>
      </c>
      <c r="CX6" s="12">
        <v>505.0</v>
      </c>
      <c r="CY6" s="12">
        <v>510.0</v>
      </c>
      <c r="CZ6" s="12">
        <v>515.0</v>
      </c>
    </row>
    <row r="7" ht="19.5" customHeight="1">
      <c r="A7" s="2">
        <v>6.0</v>
      </c>
      <c r="B7" s="11">
        <v>6.0</v>
      </c>
      <c r="C7" s="10">
        <v>12.0</v>
      </c>
      <c r="D7" s="17">
        <v>18.0</v>
      </c>
      <c r="E7" s="12">
        <v>24.0</v>
      </c>
      <c r="F7" s="17">
        <v>30.0</v>
      </c>
      <c r="G7" s="18">
        <v>36.0</v>
      </c>
      <c r="H7" s="17">
        <v>42.0</v>
      </c>
      <c r="I7" s="5">
        <v>48.0</v>
      </c>
      <c r="J7" s="5">
        <v>54.0</v>
      </c>
      <c r="K7" s="5">
        <v>60.0</v>
      </c>
      <c r="L7" s="5">
        <v>66.0</v>
      </c>
      <c r="M7" s="5">
        <v>72.0</v>
      </c>
      <c r="N7" s="5">
        <v>78.0</v>
      </c>
      <c r="O7" s="5">
        <v>84.0</v>
      </c>
      <c r="P7" s="5">
        <v>90.0</v>
      </c>
      <c r="Q7" s="5">
        <v>96.0</v>
      </c>
      <c r="R7" s="5">
        <v>102.0</v>
      </c>
      <c r="S7" s="5">
        <v>108.0</v>
      </c>
      <c r="T7" s="5">
        <v>114.0</v>
      </c>
      <c r="U7" s="13">
        <v>120.0</v>
      </c>
      <c r="V7" s="13">
        <v>126.0</v>
      </c>
      <c r="W7" s="13">
        <v>132.0</v>
      </c>
      <c r="X7" s="13">
        <v>138.0</v>
      </c>
      <c r="Y7" s="13">
        <v>144.0</v>
      </c>
      <c r="Z7" s="13">
        <v>150.0</v>
      </c>
      <c r="AA7" s="13">
        <v>156.0</v>
      </c>
      <c r="AB7" s="13">
        <v>162.0</v>
      </c>
      <c r="AC7" s="13">
        <v>168.0</v>
      </c>
      <c r="AD7" s="13">
        <v>174.0</v>
      </c>
      <c r="AE7" s="13">
        <v>180.0</v>
      </c>
      <c r="AF7" s="13">
        <v>186.0</v>
      </c>
      <c r="AG7" s="13">
        <v>192.0</v>
      </c>
      <c r="AH7" s="13">
        <v>198.0</v>
      </c>
      <c r="AI7" s="13">
        <v>204.0</v>
      </c>
      <c r="AJ7" s="13">
        <v>210.0</v>
      </c>
      <c r="AK7" s="13">
        <v>216.0</v>
      </c>
      <c r="AL7" s="13">
        <v>222.0</v>
      </c>
      <c r="AM7" s="13">
        <v>228.0</v>
      </c>
      <c r="AN7" s="13">
        <v>234.0</v>
      </c>
      <c r="AO7" s="13">
        <v>240.0</v>
      </c>
      <c r="AP7" s="13">
        <v>246.0</v>
      </c>
      <c r="AQ7" s="13">
        <v>252.0</v>
      </c>
      <c r="AR7" s="13">
        <v>258.0</v>
      </c>
      <c r="AS7" s="13">
        <v>264.0</v>
      </c>
      <c r="AT7" s="13">
        <v>270.0</v>
      </c>
      <c r="AU7" s="13">
        <v>276.0</v>
      </c>
      <c r="AV7" s="12">
        <v>282.0</v>
      </c>
      <c r="AW7" s="12">
        <v>288.0</v>
      </c>
      <c r="AX7" s="12">
        <v>294.0</v>
      </c>
      <c r="AY7" s="12">
        <v>300.0</v>
      </c>
      <c r="AZ7" s="12">
        <v>306.0</v>
      </c>
      <c r="BA7" s="12">
        <v>312.0</v>
      </c>
      <c r="BB7" s="12">
        <v>318.0</v>
      </c>
      <c r="BC7" s="12">
        <v>324.0</v>
      </c>
      <c r="BD7" s="12">
        <v>330.0</v>
      </c>
      <c r="BE7" s="12">
        <v>336.0</v>
      </c>
      <c r="BF7" s="12">
        <v>342.0</v>
      </c>
      <c r="BG7" s="12">
        <v>348.0</v>
      </c>
      <c r="BH7" s="12">
        <v>354.0</v>
      </c>
      <c r="BI7" s="12">
        <v>360.0</v>
      </c>
      <c r="BJ7" s="12">
        <v>366.0</v>
      </c>
      <c r="BK7" s="12">
        <v>372.0</v>
      </c>
      <c r="BL7" s="12">
        <v>378.0</v>
      </c>
      <c r="BM7" s="12">
        <v>384.0</v>
      </c>
      <c r="BN7" s="12">
        <v>390.0</v>
      </c>
      <c r="BO7" s="12">
        <v>396.0</v>
      </c>
      <c r="BP7" s="12">
        <v>402.0</v>
      </c>
      <c r="BQ7" s="12">
        <v>408.0</v>
      </c>
      <c r="BR7" s="12">
        <v>414.0</v>
      </c>
      <c r="BS7" s="12">
        <v>420.0</v>
      </c>
      <c r="BT7" s="12">
        <v>426.0</v>
      </c>
      <c r="BU7" s="12">
        <v>432.0</v>
      </c>
      <c r="BV7" s="12">
        <v>438.0</v>
      </c>
      <c r="BW7" s="12">
        <v>444.0</v>
      </c>
      <c r="BX7" s="12">
        <v>450.0</v>
      </c>
      <c r="BY7" s="12">
        <v>456.0</v>
      </c>
      <c r="BZ7" s="12">
        <v>462.0</v>
      </c>
      <c r="CA7" s="12">
        <v>468.0</v>
      </c>
      <c r="CB7" s="12">
        <v>474.0</v>
      </c>
      <c r="CC7" s="12">
        <v>480.0</v>
      </c>
      <c r="CD7" s="12">
        <v>486.0</v>
      </c>
      <c r="CE7" s="12">
        <v>492.0</v>
      </c>
      <c r="CF7" s="12">
        <v>498.0</v>
      </c>
      <c r="CG7" s="12">
        <v>504.0</v>
      </c>
      <c r="CH7" s="12">
        <v>510.0</v>
      </c>
      <c r="CI7" s="12">
        <v>516.0</v>
      </c>
      <c r="CJ7" s="12">
        <v>522.0</v>
      </c>
      <c r="CK7" s="12">
        <v>528.0</v>
      </c>
      <c r="CL7" s="12">
        <v>534.0</v>
      </c>
      <c r="CM7" s="12">
        <v>540.0</v>
      </c>
      <c r="CN7" s="12">
        <v>546.0</v>
      </c>
      <c r="CO7" s="12">
        <v>552.0</v>
      </c>
      <c r="CP7" s="12">
        <v>558.0</v>
      </c>
      <c r="CQ7" s="12">
        <v>564.0</v>
      </c>
      <c r="CR7" s="12">
        <v>570.0</v>
      </c>
      <c r="CS7" s="12">
        <v>576.0</v>
      </c>
      <c r="CT7" s="12">
        <v>582.0</v>
      </c>
      <c r="CU7" s="12">
        <v>588.0</v>
      </c>
      <c r="CV7" s="12">
        <v>594.0</v>
      </c>
      <c r="CW7" s="12">
        <v>600.0</v>
      </c>
      <c r="CX7" s="12">
        <v>606.0</v>
      </c>
      <c r="CY7" s="12">
        <v>612.0</v>
      </c>
      <c r="CZ7" s="12">
        <v>618.0</v>
      </c>
    </row>
    <row r="8" ht="19.5" customHeight="1">
      <c r="A8" s="2">
        <v>7.0</v>
      </c>
      <c r="B8" s="11">
        <v>7.0</v>
      </c>
      <c r="C8" s="10">
        <v>14.0</v>
      </c>
      <c r="D8" s="12">
        <v>21.0</v>
      </c>
      <c r="E8" s="17">
        <v>28.0</v>
      </c>
      <c r="F8" s="12">
        <v>35.0</v>
      </c>
      <c r="G8" s="17">
        <v>42.0</v>
      </c>
      <c r="H8" s="5">
        <v>49.0</v>
      </c>
      <c r="I8" s="5">
        <v>56.0</v>
      </c>
      <c r="J8" s="5">
        <v>63.0</v>
      </c>
      <c r="K8" s="5">
        <v>70.0</v>
      </c>
      <c r="L8" s="5">
        <v>77.0</v>
      </c>
      <c r="M8" s="5">
        <v>84.0</v>
      </c>
      <c r="N8" s="5">
        <v>91.0</v>
      </c>
      <c r="O8" s="5">
        <v>98.0</v>
      </c>
      <c r="P8" s="5">
        <v>105.0</v>
      </c>
      <c r="Q8" s="5">
        <v>112.0</v>
      </c>
      <c r="R8" s="5">
        <v>119.0</v>
      </c>
      <c r="S8" s="13">
        <v>126.0</v>
      </c>
      <c r="T8" s="13">
        <v>133.0</v>
      </c>
      <c r="U8" s="13">
        <v>140.0</v>
      </c>
      <c r="V8" s="13">
        <v>147.0</v>
      </c>
      <c r="W8" s="13">
        <v>154.0</v>
      </c>
      <c r="X8" s="13">
        <v>161.0</v>
      </c>
      <c r="Y8" s="13">
        <v>168.0</v>
      </c>
      <c r="Z8" s="13">
        <v>175.0</v>
      </c>
      <c r="AA8" s="13">
        <v>182.0</v>
      </c>
      <c r="AB8" s="13">
        <v>189.0</v>
      </c>
      <c r="AC8" s="13">
        <v>196.0</v>
      </c>
      <c r="AD8" s="13">
        <v>203.0</v>
      </c>
      <c r="AE8" s="13">
        <v>210.0</v>
      </c>
      <c r="AF8" s="13">
        <v>217.0</v>
      </c>
      <c r="AG8" s="13">
        <v>224.0</v>
      </c>
      <c r="AH8" s="13">
        <v>231.0</v>
      </c>
      <c r="AI8" s="13">
        <v>238.0</v>
      </c>
      <c r="AJ8" s="13">
        <v>245.0</v>
      </c>
      <c r="AK8" s="13">
        <v>252.0</v>
      </c>
      <c r="AL8" s="13">
        <v>259.0</v>
      </c>
      <c r="AM8" s="13">
        <v>266.0</v>
      </c>
      <c r="AN8" s="13">
        <v>273.0</v>
      </c>
      <c r="AO8" s="13">
        <v>280.0</v>
      </c>
      <c r="AP8" s="13">
        <v>287.0</v>
      </c>
      <c r="AQ8" s="13">
        <v>294.0</v>
      </c>
      <c r="AR8" s="12">
        <v>301.0</v>
      </c>
      <c r="AS8" s="12">
        <v>308.0</v>
      </c>
      <c r="AT8" s="12">
        <v>315.0</v>
      </c>
      <c r="AU8" s="12">
        <v>322.0</v>
      </c>
      <c r="AV8" s="12">
        <v>329.0</v>
      </c>
      <c r="AW8" s="12">
        <v>336.0</v>
      </c>
      <c r="AX8" s="12">
        <v>343.0</v>
      </c>
      <c r="AY8" s="12">
        <v>350.0</v>
      </c>
      <c r="AZ8" s="12">
        <v>357.0</v>
      </c>
      <c r="BA8" s="12">
        <v>364.0</v>
      </c>
      <c r="BB8" s="12">
        <v>371.0</v>
      </c>
      <c r="BC8" s="12">
        <v>378.0</v>
      </c>
      <c r="BD8" s="12">
        <v>385.0</v>
      </c>
      <c r="BE8" s="12">
        <v>392.0</v>
      </c>
      <c r="BF8" s="12">
        <v>399.0</v>
      </c>
      <c r="BG8" s="12">
        <v>406.0</v>
      </c>
      <c r="BH8" s="12">
        <v>413.0</v>
      </c>
      <c r="BI8" s="12">
        <v>420.0</v>
      </c>
      <c r="BJ8" s="12">
        <v>427.0</v>
      </c>
      <c r="BK8" s="12">
        <v>434.0</v>
      </c>
      <c r="BL8" s="12">
        <v>441.0</v>
      </c>
      <c r="BM8" s="12">
        <v>448.0</v>
      </c>
      <c r="BN8" s="12">
        <v>455.0</v>
      </c>
      <c r="BO8" s="12">
        <v>462.0</v>
      </c>
      <c r="BP8" s="12">
        <v>469.0</v>
      </c>
      <c r="BQ8" s="12">
        <v>476.0</v>
      </c>
      <c r="BR8" s="12">
        <v>483.0</v>
      </c>
      <c r="BS8" s="12">
        <v>490.0</v>
      </c>
      <c r="BT8" s="12">
        <v>497.0</v>
      </c>
      <c r="BU8" s="12">
        <v>504.0</v>
      </c>
      <c r="BV8" s="12">
        <v>511.0</v>
      </c>
      <c r="BW8" s="12">
        <v>518.0</v>
      </c>
      <c r="BX8" s="12">
        <v>525.0</v>
      </c>
      <c r="BY8" s="12">
        <v>532.0</v>
      </c>
      <c r="BZ8" s="12">
        <v>539.0</v>
      </c>
      <c r="CA8" s="12">
        <v>546.0</v>
      </c>
      <c r="CB8" s="12">
        <v>553.0</v>
      </c>
      <c r="CC8" s="12">
        <v>560.0</v>
      </c>
      <c r="CD8" s="12">
        <v>567.0</v>
      </c>
      <c r="CE8" s="12">
        <v>574.0</v>
      </c>
      <c r="CF8" s="12">
        <v>581.0</v>
      </c>
      <c r="CG8" s="12">
        <v>588.0</v>
      </c>
      <c r="CH8" s="12">
        <v>595.0</v>
      </c>
      <c r="CI8" s="12">
        <v>602.0</v>
      </c>
      <c r="CJ8" s="12">
        <v>609.0</v>
      </c>
      <c r="CK8" s="12">
        <v>616.0</v>
      </c>
      <c r="CL8" s="12">
        <v>623.0</v>
      </c>
      <c r="CM8" s="12">
        <v>630.0</v>
      </c>
      <c r="CN8" s="12">
        <v>637.0</v>
      </c>
      <c r="CO8" s="12">
        <v>644.0</v>
      </c>
      <c r="CP8" s="12">
        <v>651.0</v>
      </c>
      <c r="CQ8" s="12">
        <v>658.0</v>
      </c>
      <c r="CR8" s="12">
        <v>665.0</v>
      </c>
      <c r="CS8" s="12">
        <v>672.0</v>
      </c>
      <c r="CT8" s="12">
        <v>679.0</v>
      </c>
      <c r="CU8">
        <v>686.0</v>
      </c>
      <c r="CV8">
        <v>693.0</v>
      </c>
      <c r="CW8">
        <v>700.0</v>
      </c>
      <c r="CX8">
        <v>707.0</v>
      </c>
      <c r="CY8">
        <v>714.0</v>
      </c>
      <c r="CZ8">
        <v>721.0</v>
      </c>
    </row>
    <row r="9" ht="19.5" customHeight="1">
      <c r="A9" s="2">
        <v>8.0</v>
      </c>
      <c r="B9" s="11">
        <v>8.0</v>
      </c>
      <c r="C9" s="12">
        <v>16.0</v>
      </c>
      <c r="D9" s="17">
        <v>24.0</v>
      </c>
      <c r="E9" s="12">
        <v>32.0</v>
      </c>
      <c r="F9" s="17">
        <v>40.0</v>
      </c>
      <c r="G9" s="5">
        <v>48.0</v>
      </c>
      <c r="H9" s="5">
        <v>56.0</v>
      </c>
      <c r="I9" s="20">
        <v>64.0</v>
      </c>
      <c r="J9" s="5">
        <v>72.0</v>
      </c>
      <c r="K9" s="5">
        <v>80.0</v>
      </c>
      <c r="L9" s="5">
        <v>88.0</v>
      </c>
      <c r="M9" s="5">
        <v>96.0</v>
      </c>
      <c r="N9" s="5">
        <v>104.0</v>
      </c>
      <c r="O9" s="5">
        <v>112.0</v>
      </c>
      <c r="P9" s="5">
        <v>120.0</v>
      </c>
      <c r="Q9" s="13">
        <v>128.0</v>
      </c>
      <c r="R9" s="13">
        <v>136.0</v>
      </c>
      <c r="S9" s="13">
        <v>144.0</v>
      </c>
      <c r="T9" s="13">
        <v>152.0</v>
      </c>
      <c r="U9" s="13">
        <v>160.0</v>
      </c>
      <c r="V9" s="13">
        <v>168.0</v>
      </c>
      <c r="W9" s="13">
        <v>176.0</v>
      </c>
      <c r="X9" s="13">
        <v>184.0</v>
      </c>
      <c r="Y9" s="13">
        <v>192.0</v>
      </c>
      <c r="Z9" s="13">
        <v>200.0</v>
      </c>
      <c r="AA9" s="13">
        <v>208.0</v>
      </c>
      <c r="AB9" s="13">
        <v>216.0</v>
      </c>
      <c r="AC9" s="13">
        <v>224.0</v>
      </c>
      <c r="AD9" s="13">
        <v>232.0</v>
      </c>
      <c r="AE9" s="13">
        <v>240.0</v>
      </c>
      <c r="AF9" s="13">
        <v>248.0</v>
      </c>
      <c r="AG9" s="13">
        <v>256.0</v>
      </c>
      <c r="AH9" s="13">
        <v>264.0</v>
      </c>
      <c r="AI9" s="13">
        <v>272.0</v>
      </c>
      <c r="AJ9" s="13">
        <v>280.0</v>
      </c>
      <c r="AK9" s="13">
        <v>288.0</v>
      </c>
      <c r="AL9" s="13">
        <v>296.0</v>
      </c>
      <c r="AM9" s="13">
        <v>304.0</v>
      </c>
      <c r="AN9" s="12">
        <v>312.0</v>
      </c>
      <c r="AO9" s="12">
        <v>320.0</v>
      </c>
      <c r="AP9" s="12">
        <v>328.0</v>
      </c>
      <c r="AQ9" s="12">
        <v>336.0</v>
      </c>
      <c r="AR9" s="12">
        <v>344.0</v>
      </c>
      <c r="AS9" s="12">
        <v>352.0</v>
      </c>
      <c r="AT9" s="12">
        <v>360.0</v>
      </c>
      <c r="AU9" s="12">
        <v>368.0</v>
      </c>
      <c r="AV9" s="12">
        <v>376.0</v>
      </c>
      <c r="AW9" s="12">
        <v>384.0</v>
      </c>
      <c r="AX9" s="12">
        <v>392.0</v>
      </c>
      <c r="AY9" s="12">
        <v>400.0</v>
      </c>
      <c r="AZ9" s="12">
        <v>408.0</v>
      </c>
      <c r="BA9" s="12">
        <v>416.0</v>
      </c>
      <c r="BB9" s="12">
        <v>424.0</v>
      </c>
      <c r="BC9" s="12">
        <v>432.0</v>
      </c>
      <c r="BD9" s="12">
        <v>440.0</v>
      </c>
      <c r="BE9" s="12">
        <v>448.0</v>
      </c>
      <c r="BF9" s="12">
        <v>456.0</v>
      </c>
      <c r="BG9" s="12">
        <v>464.0</v>
      </c>
      <c r="BH9" s="12">
        <v>472.0</v>
      </c>
      <c r="BI9" s="12">
        <v>480.0</v>
      </c>
      <c r="BJ9" s="12">
        <v>488.0</v>
      </c>
      <c r="BK9" s="12">
        <v>496.0</v>
      </c>
      <c r="BL9" s="12">
        <v>504.0</v>
      </c>
      <c r="BM9" s="12">
        <v>512.0</v>
      </c>
      <c r="BN9" s="12">
        <v>520.0</v>
      </c>
      <c r="BO9" s="12">
        <v>528.0</v>
      </c>
      <c r="BP9" s="12">
        <v>536.0</v>
      </c>
      <c r="BQ9" s="12">
        <v>544.0</v>
      </c>
      <c r="BR9" s="12">
        <v>552.0</v>
      </c>
      <c r="BS9" s="12">
        <v>560.0</v>
      </c>
      <c r="BT9" s="12">
        <v>568.0</v>
      </c>
      <c r="BU9" s="12">
        <v>576.0</v>
      </c>
      <c r="BV9" s="12">
        <v>584.0</v>
      </c>
      <c r="BW9" s="12">
        <v>592.0</v>
      </c>
      <c r="BX9" s="12">
        <v>600.0</v>
      </c>
      <c r="BY9" s="12">
        <v>608.0</v>
      </c>
      <c r="BZ9" s="12">
        <v>616.0</v>
      </c>
      <c r="CA9" s="12">
        <v>624.0</v>
      </c>
      <c r="CB9" s="12">
        <v>632.0</v>
      </c>
      <c r="CC9" s="12">
        <v>640.0</v>
      </c>
      <c r="CD9" s="12">
        <v>648.0</v>
      </c>
      <c r="CE9" s="12">
        <v>656.0</v>
      </c>
      <c r="CF9" s="12">
        <v>664.0</v>
      </c>
      <c r="CG9" s="12">
        <v>672.0</v>
      </c>
      <c r="CH9" s="12">
        <v>680.0</v>
      </c>
      <c r="CI9" s="12">
        <v>688.0</v>
      </c>
      <c r="CJ9" s="12">
        <v>696.0</v>
      </c>
      <c r="CK9" s="12">
        <v>704.0</v>
      </c>
      <c r="CL9" s="12">
        <v>712.0</v>
      </c>
      <c r="CM9" s="12">
        <v>720.0</v>
      </c>
      <c r="CN9" s="12">
        <v>728.0</v>
      </c>
      <c r="CO9">
        <v>736.0</v>
      </c>
      <c r="CP9">
        <v>744.0</v>
      </c>
      <c r="CQ9">
        <v>752.0</v>
      </c>
      <c r="CR9">
        <v>760.0</v>
      </c>
      <c r="CS9">
        <v>768.0</v>
      </c>
      <c r="CT9">
        <v>776.0</v>
      </c>
      <c r="CU9">
        <v>784.0</v>
      </c>
      <c r="CV9">
        <v>792.0</v>
      </c>
      <c r="CW9">
        <v>800.0</v>
      </c>
      <c r="CX9">
        <v>808.0</v>
      </c>
      <c r="CY9">
        <v>816.0</v>
      </c>
      <c r="CZ9">
        <v>824.0</v>
      </c>
    </row>
    <row r="10" ht="19.5" customHeight="1">
      <c r="A10" s="2">
        <v>9.0</v>
      </c>
      <c r="B10" s="12">
        <v>9.0</v>
      </c>
      <c r="C10" s="12">
        <v>18.0</v>
      </c>
      <c r="D10" s="12">
        <v>27.0</v>
      </c>
      <c r="E10" s="12">
        <v>36.0</v>
      </c>
      <c r="F10" s="17">
        <v>45.0</v>
      </c>
      <c r="G10" s="5">
        <v>54.0</v>
      </c>
      <c r="H10" s="5">
        <v>63.0</v>
      </c>
      <c r="I10" s="5">
        <v>72.0</v>
      </c>
      <c r="J10" s="20">
        <v>81.0</v>
      </c>
      <c r="K10" s="5">
        <v>90.0</v>
      </c>
      <c r="L10" s="5">
        <v>99.0</v>
      </c>
      <c r="M10" s="5">
        <v>108.0</v>
      </c>
      <c r="N10" s="5">
        <v>117.0</v>
      </c>
      <c r="O10" s="5">
        <v>126.0</v>
      </c>
      <c r="P10" s="13">
        <v>135.0</v>
      </c>
      <c r="Q10" s="13">
        <v>144.0</v>
      </c>
      <c r="R10" s="13">
        <v>153.0</v>
      </c>
      <c r="S10" s="13">
        <v>162.0</v>
      </c>
      <c r="T10" s="13">
        <v>171.0</v>
      </c>
      <c r="U10" s="13">
        <v>180.0</v>
      </c>
      <c r="V10" s="13">
        <v>189.0</v>
      </c>
      <c r="W10" s="13">
        <v>198.0</v>
      </c>
      <c r="X10" s="13">
        <v>207.0</v>
      </c>
      <c r="Y10" s="13">
        <v>216.0</v>
      </c>
      <c r="Z10" s="13">
        <v>225.0</v>
      </c>
      <c r="AA10" s="13">
        <v>234.0</v>
      </c>
      <c r="AB10" s="13">
        <v>243.0</v>
      </c>
      <c r="AC10" s="13">
        <v>252.0</v>
      </c>
      <c r="AD10" s="13">
        <v>261.0</v>
      </c>
      <c r="AE10" s="13">
        <v>270.0</v>
      </c>
      <c r="AF10" s="13">
        <v>279.0</v>
      </c>
      <c r="AG10" s="13">
        <v>288.0</v>
      </c>
      <c r="AH10" s="13">
        <v>297.0</v>
      </c>
      <c r="AI10" s="13">
        <v>306.0</v>
      </c>
      <c r="AJ10" s="13">
        <v>315.0</v>
      </c>
      <c r="AK10" s="13">
        <v>324.0</v>
      </c>
      <c r="AL10" s="12">
        <v>333.0</v>
      </c>
      <c r="AM10" s="12">
        <v>342.0</v>
      </c>
      <c r="AN10" s="12">
        <v>351.0</v>
      </c>
      <c r="AO10" s="12">
        <v>360.0</v>
      </c>
      <c r="AP10" s="12">
        <v>369.0</v>
      </c>
      <c r="AQ10" s="12">
        <v>378.0</v>
      </c>
      <c r="AR10" s="12">
        <v>387.0</v>
      </c>
      <c r="AS10" s="12">
        <v>396.0</v>
      </c>
      <c r="AT10" s="12">
        <v>405.0</v>
      </c>
      <c r="AU10" s="12">
        <v>414.0</v>
      </c>
      <c r="AV10" s="12">
        <v>423.0</v>
      </c>
      <c r="AW10" s="12">
        <v>432.0</v>
      </c>
      <c r="AX10" s="12">
        <v>441.0</v>
      </c>
      <c r="AY10" s="12">
        <v>450.0</v>
      </c>
      <c r="AZ10" s="12">
        <v>459.0</v>
      </c>
      <c r="BA10" s="12">
        <v>468.0</v>
      </c>
      <c r="BB10" s="12">
        <v>477.0</v>
      </c>
      <c r="BC10" s="12">
        <v>486.0</v>
      </c>
      <c r="BD10" s="12">
        <v>495.0</v>
      </c>
      <c r="BE10" s="12">
        <v>504.0</v>
      </c>
      <c r="BF10" s="12">
        <v>513.0</v>
      </c>
      <c r="BG10" s="12">
        <v>522.0</v>
      </c>
      <c r="BH10" s="12">
        <v>531.0</v>
      </c>
      <c r="BI10" s="12">
        <v>540.0</v>
      </c>
      <c r="BJ10" s="12">
        <v>549.0</v>
      </c>
      <c r="BK10" s="12">
        <v>558.0</v>
      </c>
      <c r="BL10" s="12">
        <v>567.0</v>
      </c>
      <c r="BM10" s="12">
        <v>576.0</v>
      </c>
      <c r="BN10" s="12">
        <v>585.0</v>
      </c>
      <c r="BO10" s="12">
        <v>594.0</v>
      </c>
      <c r="BP10" s="12">
        <v>603.0</v>
      </c>
      <c r="BQ10" s="12">
        <v>612.0</v>
      </c>
      <c r="BR10" s="12">
        <v>621.0</v>
      </c>
      <c r="BS10" s="12">
        <v>630.0</v>
      </c>
      <c r="BT10" s="12">
        <v>639.0</v>
      </c>
      <c r="BU10" s="12">
        <v>648.0</v>
      </c>
      <c r="BV10" s="12">
        <v>657.0</v>
      </c>
      <c r="BW10" s="12">
        <v>666.0</v>
      </c>
      <c r="BX10" s="12">
        <v>675.0</v>
      </c>
      <c r="BY10" s="12">
        <v>684.0</v>
      </c>
      <c r="BZ10" s="12">
        <v>693.0</v>
      </c>
      <c r="CA10" s="12">
        <v>702.0</v>
      </c>
      <c r="CB10" s="12">
        <v>711.0</v>
      </c>
      <c r="CC10" s="12">
        <v>720.0</v>
      </c>
      <c r="CD10" s="12">
        <v>729.0</v>
      </c>
      <c r="CE10" s="12">
        <v>738.0</v>
      </c>
      <c r="CF10" s="12">
        <v>747.0</v>
      </c>
      <c r="CG10" s="12">
        <v>756.0</v>
      </c>
      <c r="CH10" s="12">
        <v>765.0</v>
      </c>
      <c r="CI10" s="12">
        <v>774.0</v>
      </c>
      <c r="CJ10" s="12">
        <v>783.0</v>
      </c>
      <c r="CK10">
        <v>792.0</v>
      </c>
      <c r="CL10">
        <v>801.0</v>
      </c>
      <c r="CM10">
        <v>810.0</v>
      </c>
      <c r="CN10">
        <v>819.0</v>
      </c>
      <c r="CO10">
        <v>828.0</v>
      </c>
      <c r="CP10">
        <v>837.0</v>
      </c>
      <c r="CQ10">
        <v>846.0</v>
      </c>
      <c r="CR10">
        <v>855.0</v>
      </c>
      <c r="CS10">
        <v>864.0</v>
      </c>
      <c r="CT10">
        <v>873.0</v>
      </c>
      <c r="CU10">
        <v>882.0</v>
      </c>
      <c r="CV10">
        <v>891.0</v>
      </c>
      <c r="CW10">
        <v>900.0</v>
      </c>
      <c r="CX10">
        <v>909.0</v>
      </c>
      <c r="CY10">
        <v>918.0</v>
      </c>
      <c r="CZ10">
        <v>927.0</v>
      </c>
    </row>
    <row r="11" ht="19.5" customHeight="1">
      <c r="A11" s="2">
        <v>10.0</v>
      </c>
      <c r="B11" s="12">
        <v>10.0</v>
      </c>
      <c r="C11" s="12">
        <v>20.0</v>
      </c>
      <c r="D11" s="12">
        <v>30.0</v>
      </c>
      <c r="E11" s="17">
        <v>40.0</v>
      </c>
      <c r="F11" s="5">
        <v>50.0</v>
      </c>
      <c r="G11" s="5">
        <v>60.0</v>
      </c>
      <c r="H11" s="5">
        <v>70.0</v>
      </c>
      <c r="I11" s="5">
        <v>80.0</v>
      </c>
      <c r="J11" s="5">
        <v>90.0</v>
      </c>
      <c r="K11" s="20">
        <v>100.0</v>
      </c>
      <c r="L11" s="5">
        <v>110.0</v>
      </c>
      <c r="M11" s="5">
        <v>120.0</v>
      </c>
      <c r="N11" s="13">
        <v>130.0</v>
      </c>
      <c r="O11" s="13">
        <v>140.0</v>
      </c>
      <c r="P11" s="13">
        <v>150.0</v>
      </c>
      <c r="Q11" s="13">
        <v>160.0</v>
      </c>
      <c r="R11" s="13">
        <v>170.0</v>
      </c>
      <c r="S11" s="13">
        <v>180.0</v>
      </c>
      <c r="T11" s="13">
        <v>190.0</v>
      </c>
      <c r="U11" s="13">
        <v>200.0</v>
      </c>
      <c r="V11" s="13">
        <v>210.0</v>
      </c>
      <c r="W11" s="13">
        <v>220.0</v>
      </c>
      <c r="X11" s="13">
        <v>230.0</v>
      </c>
      <c r="Y11" s="13">
        <v>240.0</v>
      </c>
      <c r="Z11" s="13">
        <v>250.0</v>
      </c>
      <c r="AA11" s="13">
        <v>260.0</v>
      </c>
      <c r="AB11" s="13">
        <v>270.0</v>
      </c>
      <c r="AC11" s="13">
        <v>280.0</v>
      </c>
      <c r="AD11" s="13">
        <v>290.0</v>
      </c>
      <c r="AE11" s="13">
        <v>300.0</v>
      </c>
      <c r="AF11" s="13">
        <v>310.0</v>
      </c>
      <c r="AG11" s="13">
        <v>320.0</v>
      </c>
      <c r="AH11" s="13">
        <v>330.0</v>
      </c>
      <c r="AI11" s="12">
        <v>340.0</v>
      </c>
      <c r="AJ11" s="12">
        <v>350.0</v>
      </c>
      <c r="AK11" s="12">
        <v>360.0</v>
      </c>
      <c r="AL11" s="12">
        <v>370.0</v>
      </c>
      <c r="AM11" s="12">
        <v>380.0</v>
      </c>
      <c r="AN11" s="12">
        <v>390.0</v>
      </c>
      <c r="AO11" s="12">
        <v>400.0</v>
      </c>
      <c r="AP11" s="12">
        <v>410.0</v>
      </c>
      <c r="AQ11" s="12">
        <v>420.0</v>
      </c>
      <c r="AR11" s="12">
        <v>430.0</v>
      </c>
      <c r="AS11" s="12">
        <v>440.0</v>
      </c>
      <c r="AT11" s="12">
        <v>450.0</v>
      </c>
      <c r="AU11" s="12">
        <v>460.0</v>
      </c>
      <c r="AV11" s="12">
        <v>470.0</v>
      </c>
      <c r="AW11" s="12">
        <v>480.0</v>
      </c>
      <c r="AX11" s="12">
        <v>490.0</v>
      </c>
      <c r="AY11" s="12">
        <v>500.0</v>
      </c>
      <c r="AZ11" s="12">
        <v>510.0</v>
      </c>
      <c r="BA11" s="12">
        <v>520.0</v>
      </c>
      <c r="BB11" s="12">
        <v>530.0</v>
      </c>
      <c r="BC11" s="12">
        <v>540.0</v>
      </c>
      <c r="BD11" s="12">
        <v>550.0</v>
      </c>
      <c r="BE11" s="12">
        <v>560.0</v>
      </c>
      <c r="BF11" s="12">
        <v>570.0</v>
      </c>
      <c r="BG11" s="12">
        <v>580.0</v>
      </c>
      <c r="BH11" s="12">
        <v>590.0</v>
      </c>
      <c r="BI11" s="12">
        <v>600.0</v>
      </c>
      <c r="BJ11" s="12">
        <v>610.0</v>
      </c>
      <c r="BK11" s="12">
        <v>620.0</v>
      </c>
      <c r="BL11" s="12">
        <v>630.0</v>
      </c>
      <c r="BM11" s="12">
        <v>640.0</v>
      </c>
      <c r="BN11" s="12">
        <v>650.0</v>
      </c>
      <c r="BO11" s="12">
        <v>660.0</v>
      </c>
      <c r="BP11" s="12">
        <v>670.0</v>
      </c>
      <c r="BQ11" s="12">
        <v>680.0</v>
      </c>
      <c r="BR11" s="12">
        <v>690.0</v>
      </c>
      <c r="BS11" s="12">
        <v>700.0</v>
      </c>
      <c r="BT11" s="12">
        <v>710.0</v>
      </c>
      <c r="BU11" s="12">
        <v>720.0</v>
      </c>
      <c r="BV11" s="12">
        <v>730.0</v>
      </c>
      <c r="BW11" s="12">
        <v>740.0</v>
      </c>
      <c r="BX11" s="12">
        <v>750.0</v>
      </c>
      <c r="BY11" s="12">
        <v>760.0</v>
      </c>
      <c r="BZ11" s="12">
        <v>770.0</v>
      </c>
      <c r="CA11" s="12">
        <v>780.0</v>
      </c>
      <c r="CB11" s="12">
        <v>790.0</v>
      </c>
      <c r="CC11" s="12">
        <v>800.0</v>
      </c>
      <c r="CD11" s="12">
        <v>810.0</v>
      </c>
      <c r="CE11" s="12">
        <v>820.0</v>
      </c>
      <c r="CF11">
        <v>830.0</v>
      </c>
      <c r="CG11">
        <v>840.0</v>
      </c>
      <c r="CH11">
        <v>850.0</v>
      </c>
      <c r="CI11">
        <v>860.0</v>
      </c>
      <c r="CJ11">
        <v>870.0</v>
      </c>
      <c r="CK11">
        <v>880.0</v>
      </c>
      <c r="CL11">
        <v>890.0</v>
      </c>
      <c r="CM11">
        <v>900.0</v>
      </c>
      <c r="CN11">
        <v>910.0</v>
      </c>
      <c r="CO11">
        <v>920.0</v>
      </c>
      <c r="CP11">
        <v>930.0</v>
      </c>
      <c r="CQ11">
        <v>940.0</v>
      </c>
      <c r="CR11">
        <v>950.0</v>
      </c>
      <c r="CS11">
        <v>960.0</v>
      </c>
      <c r="CT11">
        <v>970.0</v>
      </c>
      <c r="CU11">
        <v>980.0</v>
      </c>
      <c r="CV11">
        <v>990.0</v>
      </c>
      <c r="CW11">
        <v>1000.0</v>
      </c>
      <c r="CX11">
        <v>1010.0</v>
      </c>
      <c r="CY11">
        <v>1020.0</v>
      </c>
      <c r="CZ11">
        <v>1030.0</v>
      </c>
    </row>
    <row r="12" ht="19.5" customHeight="1">
      <c r="A12" s="2">
        <v>11.0</v>
      </c>
      <c r="B12" s="12">
        <v>11.0</v>
      </c>
      <c r="C12" s="12">
        <v>22.0</v>
      </c>
      <c r="D12" s="12">
        <v>33.0</v>
      </c>
      <c r="E12" s="5">
        <v>44.0</v>
      </c>
      <c r="F12" s="5">
        <v>55.0</v>
      </c>
      <c r="G12" s="5">
        <v>66.0</v>
      </c>
      <c r="H12" s="5">
        <v>77.0</v>
      </c>
      <c r="I12" s="5">
        <v>88.0</v>
      </c>
      <c r="J12" s="5">
        <v>99.0</v>
      </c>
      <c r="K12" s="5">
        <v>110.0</v>
      </c>
      <c r="L12" s="5">
        <v>121.0</v>
      </c>
      <c r="M12" s="13">
        <v>132.0</v>
      </c>
      <c r="N12" s="13">
        <v>143.0</v>
      </c>
      <c r="O12" s="13">
        <v>154.0</v>
      </c>
      <c r="P12" s="13">
        <v>165.0</v>
      </c>
      <c r="Q12" s="13">
        <v>176.0</v>
      </c>
      <c r="R12" s="13">
        <v>187.0</v>
      </c>
      <c r="S12" s="13">
        <v>198.0</v>
      </c>
      <c r="T12" s="13">
        <v>209.0</v>
      </c>
      <c r="U12" s="13">
        <v>220.0</v>
      </c>
      <c r="V12" s="13">
        <v>231.0</v>
      </c>
      <c r="W12" s="13">
        <v>242.0</v>
      </c>
      <c r="X12" s="13">
        <v>253.0</v>
      </c>
      <c r="Y12" s="13">
        <v>264.0</v>
      </c>
      <c r="Z12" s="13">
        <v>275.0</v>
      </c>
      <c r="AA12" s="13">
        <v>286.0</v>
      </c>
      <c r="AB12" s="13">
        <v>297.0</v>
      </c>
      <c r="AC12" s="13">
        <v>308.0</v>
      </c>
      <c r="AD12" s="13">
        <v>319.0</v>
      </c>
      <c r="AE12" s="13">
        <v>330.0</v>
      </c>
      <c r="AF12" s="13">
        <v>341.0</v>
      </c>
      <c r="AG12" s="12">
        <v>352.0</v>
      </c>
      <c r="AH12" s="12">
        <v>363.0</v>
      </c>
      <c r="AI12" s="12">
        <v>374.0</v>
      </c>
      <c r="AJ12" s="12">
        <v>385.0</v>
      </c>
      <c r="AK12" s="12">
        <v>396.0</v>
      </c>
      <c r="AL12" s="12">
        <v>407.0</v>
      </c>
      <c r="AM12" s="12">
        <v>418.0</v>
      </c>
      <c r="AN12" s="12">
        <v>429.0</v>
      </c>
      <c r="AO12" s="12">
        <v>440.0</v>
      </c>
      <c r="AP12" s="12">
        <v>451.0</v>
      </c>
      <c r="AQ12" s="12">
        <v>462.0</v>
      </c>
      <c r="AR12" s="12">
        <v>473.0</v>
      </c>
      <c r="AS12" s="12">
        <v>484.0</v>
      </c>
      <c r="AT12" s="12">
        <v>495.0</v>
      </c>
      <c r="AU12" s="12">
        <v>506.0</v>
      </c>
      <c r="AV12" s="12">
        <v>517.0</v>
      </c>
      <c r="AW12" s="12">
        <v>528.0</v>
      </c>
      <c r="AX12" s="12">
        <v>539.0</v>
      </c>
      <c r="AY12" s="12">
        <v>550.0</v>
      </c>
      <c r="AZ12" s="12">
        <v>561.0</v>
      </c>
      <c r="BA12" s="12">
        <v>572.0</v>
      </c>
      <c r="BB12" s="12">
        <v>583.0</v>
      </c>
      <c r="BC12" s="12">
        <v>594.0</v>
      </c>
      <c r="BD12" s="12">
        <v>605.0</v>
      </c>
      <c r="BE12" s="12">
        <v>616.0</v>
      </c>
      <c r="BF12" s="12">
        <v>627.0</v>
      </c>
      <c r="BG12" s="12">
        <v>638.0</v>
      </c>
      <c r="BH12" s="12">
        <v>649.0</v>
      </c>
      <c r="BI12" s="12">
        <v>660.0</v>
      </c>
      <c r="BJ12" s="12">
        <v>671.0</v>
      </c>
      <c r="BK12" s="12">
        <v>682.0</v>
      </c>
      <c r="BL12" s="12">
        <v>693.0</v>
      </c>
      <c r="BM12" s="12">
        <v>704.0</v>
      </c>
      <c r="BN12" s="12">
        <v>715.0</v>
      </c>
      <c r="BO12" s="12">
        <v>726.0</v>
      </c>
      <c r="BP12" s="12">
        <v>737.0</v>
      </c>
      <c r="BQ12" s="12">
        <v>748.0</v>
      </c>
      <c r="BR12" s="12">
        <v>759.0</v>
      </c>
      <c r="BS12" s="12">
        <v>770.0</v>
      </c>
      <c r="BT12" s="12">
        <v>781.0</v>
      </c>
      <c r="BU12" s="12">
        <v>792.0</v>
      </c>
      <c r="BV12" s="12">
        <v>803.0</v>
      </c>
      <c r="BW12" s="12">
        <v>814.0</v>
      </c>
      <c r="BX12" s="12">
        <v>825.0</v>
      </c>
      <c r="BY12" s="12">
        <v>836.0</v>
      </c>
      <c r="BZ12" s="12">
        <v>847.0</v>
      </c>
      <c r="CA12">
        <v>858.0</v>
      </c>
      <c r="CB12">
        <v>869.0</v>
      </c>
      <c r="CC12">
        <v>880.0</v>
      </c>
      <c r="CD12">
        <v>891.0</v>
      </c>
      <c r="CE12">
        <v>902.0</v>
      </c>
      <c r="CF12">
        <v>913.0</v>
      </c>
      <c r="CG12">
        <v>924.0</v>
      </c>
      <c r="CH12">
        <v>935.0</v>
      </c>
      <c r="CI12">
        <v>946.0</v>
      </c>
      <c r="CJ12">
        <v>957.0</v>
      </c>
      <c r="CK12">
        <v>968.0</v>
      </c>
      <c r="CL12">
        <v>979.0</v>
      </c>
      <c r="CM12">
        <v>990.0</v>
      </c>
      <c r="CN12">
        <v>1001.0</v>
      </c>
      <c r="CO12">
        <v>1012.0</v>
      </c>
      <c r="CP12">
        <v>1023.0</v>
      </c>
      <c r="CQ12">
        <v>1034.0</v>
      </c>
      <c r="CR12">
        <v>1045.0</v>
      </c>
      <c r="CS12">
        <v>1056.0</v>
      </c>
      <c r="CT12">
        <v>1067.0</v>
      </c>
      <c r="CU12">
        <v>1078.0</v>
      </c>
      <c r="CV12">
        <v>1089.0</v>
      </c>
      <c r="CW12">
        <v>1100.0</v>
      </c>
      <c r="CX12">
        <v>1111.0</v>
      </c>
      <c r="CY12">
        <v>1122.0</v>
      </c>
      <c r="CZ12">
        <v>1133.0</v>
      </c>
    </row>
    <row r="13" ht="19.5" customHeight="1">
      <c r="A13" s="2">
        <v>12.0</v>
      </c>
      <c r="B13" s="12">
        <v>12.0</v>
      </c>
      <c r="C13" s="12">
        <v>24.0</v>
      </c>
      <c r="D13" s="17">
        <v>36.0</v>
      </c>
      <c r="E13" s="5">
        <v>48.0</v>
      </c>
      <c r="F13" s="5">
        <v>60.0</v>
      </c>
      <c r="G13" s="5">
        <v>72.0</v>
      </c>
      <c r="H13" s="5">
        <v>84.0</v>
      </c>
      <c r="I13" s="5">
        <v>96.0</v>
      </c>
      <c r="J13" s="5">
        <v>108.0</v>
      </c>
      <c r="K13" s="5">
        <v>120.0</v>
      </c>
      <c r="L13" s="13">
        <v>132.0</v>
      </c>
      <c r="M13" s="22">
        <v>144.0</v>
      </c>
      <c r="N13" s="13">
        <v>156.0</v>
      </c>
      <c r="O13" s="13">
        <v>168.0</v>
      </c>
      <c r="P13" s="13">
        <v>180.0</v>
      </c>
      <c r="Q13" s="13">
        <v>192.0</v>
      </c>
      <c r="R13" s="13">
        <v>204.0</v>
      </c>
      <c r="S13" s="13">
        <v>216.0</v>
      </c>
      <c r="T13" s="13">
        <v>228.0</v>
      </c>
      <c r="U13" s="13">
        <v>240.0</v>
      </c>
      <c r="V13" s="13">
        <v>252.0</v>
      </c>
      <c r="W13" s="13">
        <v>264.0</v>
      </c>
      <c r="X13" s="13">
        <v>276.0</v>
      </c>
      <c r="Y13" s="13">
        <v>288.0</v>
      </c>
      <c r="Z13" s="13">
        <v>300.0</v>
      </c>
      <c r="AA13" s="13">
        <v>312.0</v>
      </c>
      <c r="AB13" s="13">
        <v>324.0</v>
      </c>
      <c r="AC13" s="13">
        <v>336.0</v>
      </c>
      <c r="AD13" s="13">
        <v>348.0</v>
      </c>
      <c r="AE13" s="12">
        <v>360.0</v>
      </c>
      <c r="AF13" s="12">
        <v>372.0</v>
      </c>
      <c r="AG13" s="12">
        <v>384.0</v>
      </c>
      <c r="AH13" s="12">
        <v>396.0</v>
      </c>
      <c r="AI13" s="12">
        <v>408.0</v>
      </c>
      <c r="AJ13" s="12">
        <v>420.0</v>
      </c>
      <c r="AK13" s="12">
        <v>432.0</v>
      </c>
      <c r="AL13" s="12">
        <v>444.0</v>
      </c>
      <c r="AM13" s="12">
        <v>456.0</v>
      </c>
      <c r="AN13" s="12">
        <v>468.0</v>
      </c>
      <c r="AO13" s="12">
        <v>480.0</v>
      </c>
      <c r="AP13" s="12">
        <v>492.0</v>
      </c>
      <c r="AQ13" s="12">
        <v>504.0</v>
      </c>
      <c r="AR13" s="12">
        <v>516.0</v>
      </c>
      <c r="AS13" s="12">
        <v>528.0</v>
      </c>
      <c r="AT13" s="12">
        <v>540.0</v>
      </c>
      <c r="AU13" s="12">
        <v>552.0</v>
      </c>
      <c r="AV13" s="12">
        <v>564.0</v>
      </c>
      <c r="AW13" s="12">
        <v>576.0</v>
      </c>
      <c r="AX13" s="12">
        <v>588.0</v>
      </c>
      <c r="AY13" s="12">
        <v>600.0</v>
      </c>
      <c r="AZ13" s="12">
        <v>612.0</v>
      </c>
      <c r="BA13" s="12">
        <v>624.0</v>
      </c>
      <c r="BB13" s="12">
        <v>636.0</v>
      </c>
      <c r="BC13" s="12">
        <v>648.0</v>
      </c>
      <c r="BD13" s="12">
        <v>660.0</v>
      </c>
      <c r="BE13" s="12">
        <v>672.0</v>
      </c>
      <c r="BF13" s="12">
        <v>684.0</v>
      </c>
      <c r="BG13" s="12">
        <v>696.0</v>
      </c>
      <c r="BH13" s="12">
        <v>708.0</v>
      </c>
      <c r="BI13" s="12">
        <v>720.0</v>
      </c>
      <c r="BJ13" s="12">
        <v>732.0</v>
      </c>
      <c r="BK13" s="12">
        <v>744.0</v>
      </c>
      <c r="BL13" s="12">
        <v>756.0</v>
      </c>
      <c r="BM13" s="12">
        <v>768.0</v>
      </c>
      <c r="BN13" s="12">
        <v>780.0</v>
      </c>
      <c r="BO13" s="12">
        <v>792.0</v>
      </c>
      <c r="BP13" s="12">
        <v>804.0</v>
      </c>
      <c r="BQ13" s="12">
        <v>816.0</v>
      </c>
      <c r="BR13" s="12">
        <v>828.0</v>
      </c>
      <c r="BS13" s="12">
        <v>840.0</v>
      </c>
      <c r="BT13" s="12">
        <v>852.0</v>
      </c>
      <c r="BU13" s="12">
        <v>864.0</v>
      </c>
      <c r="BV13" s="12">
        <v>876.0</v>
      </c>
      <c r="BW13">
        <v>888.0</v>
      </c>
      <c r="BX13">
        <v>900.0</v>
      </c>
      <c r="BY13">
        <v>912.0</v>
      </c>
      <c r="BZ13">
        <v>924.0</v>
      </c>
      <c r="CA13">
        <v>936.0</v>
      </c>
      <c r="CB13">
        <v>948.0</v>
      </c>
      <c r="CC13">
        <v>960.0</v>
      </c>
      <c r="CD13">
        <v>972.0</v>
      </c>
      <c r="CE13">
        <v>984.0</v>
      </c>
      <c r="CF13">
        <v>996.0</v>
      </c>
      <c r="CG13">
        <v>1008.0</v>
      </c>
      <c r="CH13">
        <v>1020.0</v>
      </c>
      <c r="CI13">
        <v>1032.0</v>
      </c>
      <c r="CJ13">
        <v>1044.0</v>
      </c>
      <c r="CK13">
        <v>1056.0</v>
      </c>
      <c r="CL13">
        <v>1068.0</v>
      </c>
      <c r="CM13">
        <v>1080.0</v>
      </c>
      <c r="CN13">
        <v>1092.0</v>
      </c>
      <c r="CO13">
        <v>1104.0</v>
      </c>
      <c r="CP13">
        <v>1116.0</v>
      </c>
      <c r="CQ13">
        <v>1128.0</v>
      </c>
      <c r="CR13">
        <v>1140.0</v>
      </c>
      <c r="CS13">
        <v>1152.0</v>
      </c>
      <c r="CT13">
        <v>1164.0</v>
      </c>
      <c r="CU13">
        <v>1176.0</v>
      </c>
      <c r="CV13">
        <v>1188.0</v>
      </c>
      <c r="CW13">
        <v>1200.0</v>
      </c>
      <c r="CX13">
        <v>1212.0</v>
      </c>
      <c r="CY13">
        <v>1224.0</v>
      </c>
      <c r="CZ13">
        <v>1236.0</v>
      </c>
    </row>
    <row r="14" ht="19.5" customHeight="1">
      <c r="A14" s="2">
        <v>13.0</v>
      </c>
      <c r="B14" s="12">
        <v>13.0</v>
      </c>
      <c r="C14" s="12">
        <v>26.0</v>
      </c>
      <c r="D14" s="5">
        <v>39.0</v>
      </c>
      <c r="E14" s="5">
        <v>52.0</v>
      </c>
      <c r="F14" s="5">
        <v>65.0</v>
      </c>
      <c r="G14" s="5">
        <v>78.0</v>
      </c>
      <c r="H14" s="5">
        <v>91.0</v>
      </c>
      <c r="I14" s="5">
        <v>104.0</v>
      </c>
      <c r="J14" s="5">
        <v>117.0</v>
      </c>
      <c r="K14" s="13">
        <v>130.0</v>
      </c>
      <c r="L14" s="13">
        <v>143.0</v>
      </c>
      <c r="M14" s="13">
        <v>156.0</v>
      </c>
      <c r="N14" s="22">
        <v>169.0</v>
      </c>
      <c r="O14" s="13">
        <v>182.0</v>
      </c>
      <c r="P14" s="13">
        <v>195.0</v>
      </c>
      <c r="Q14" s="13">
        <v>208.0</v>
      </c>
      <c r="R14" s="13">
        <v>221.0</v>
      </c>
      <c r="S14" s="13">
        <v>234.0</v>
      </c>
      <c r="T14" s="13">
        <v>247.0</v>
      </c>
      <c r="U14" s="13">
        <v>260.0</v>
      </c>
      <c r="V14" s="13">
        <v>273.0</v>
      </c>
      <c r="W14" s="13">
        <v>286.0</v>
      </c>
      <c r="X14" s="13">
        <v>299.0</v>
      </c>
      <c r="Y14" s="13">
        <v>312.0</v>
      </c>
      <c r="Z14" s="13">
        <v>325.0</v>
      </c>
      <c r="AA14" s="13">
        <v>338.0</v>
      </c>
      <c r="AB14" s="13">
        <v>351.0</v>
      </c>
      <c r="AC14" s="12">
        <v>364.0</v>
      </c>
      <c r="AD14" s="12">
        <v>377.0</v>
      </c>
      <c r="AE14" s="12">
        <v>390.0</v>
      </c>
      <c r="AF14" s="12">
        <v>403.0</v>
      </c>
      <c r="AG14" s="12">
        <v>416.0</v>
      </c>
      <c r="AH14" s="12">
        <v>429.0</v>
      </c>
      <c r="AI14" s="12">
        <v>442.0</v>
      </c>
      <c r="AJ14" s="12">
        <v>455.0</v>
      </c>
      <c r="AK14" s="12">
        <v>468.0</v>
      </c>
      <c r="AL14" s="12">
        <v>481.0</v>
      </c>
      <c r="AM14" s="12">
        <v>494.0</v>
      </c>
      <c r="AN14" s="12">
        <v>507.0</v>
      </c>
      <c r="AO14" s="12">
        <v>520.0</v>
      </c>
      <c r="AP14" s="12">
        <v>533.0</v>
      </c>
      <c r="AQ14" s="12">
        <v>546.0</v>
      </c>
      <c r="AR14" s="12">
        <v>559.0</v>
      </c>
      <c r="AS14" s="12">
        <v>572.0</v>
      </c>
      <c r="AT14" s="12">
        <v>585.0</v>
      </c>
      <c r="AU14" s="12">
        <v>598.0</v>
      </c>
      <c r="AV14" s="12">
        <v>611.0</v>
      </c>
      <c r="AW14" s="12">
        <v>624.0</v>
      </c>
      <c r="AX14" s="12">
        <v>637.0</v>
      </c>
      <c r="AY14" s="12">
        <v>650.0</v>
      </c>
      <c r="AZ14" s="12">
        <v>663.0</v>
      </c>
      <c r="BA14" s="12">
        <v>676.0</v>
      </c>
      <c r="BB14" s="12">
        <v>689.0</v>
      </c>
      <c r="BC14" s="12">
        <v>702.0</v>
      </c>
      <c r="BD14" s="12">
        <v>715.0</v>
      </c>
      <c r="BE14" s="12">
        <v>728.0</v>
      </c>
      <c r="BF14" s="12">
        <v>741.0</v>
      </c>
      <c r="BG14" s="12">
        <v>754.0</v>
      </c>
      <c r="BH14" s="12">
        <v>767.0</v>
      </c>
      <c r="BI14" s="12">
        <v>780.0</v>
      </c>
      <c r="BJ14" s="12">
        <v>793.0</v>
      </c>
      <c r="BK14" s="12">
        <v>806.0</v>
      </c>
      <c r="BL14" s="12">
        <v>819.0</v>
      </c>
      <c r="BM14" s="12">
        <v>832.0</v>
      </c>
      <c r="BN14" s="12">
        <v>845.0</v>
      </c>
      <c r="BO14" s="12">
        <v>858.0</v>
      </c>
      <c r="BP14" s="12">
        <v>871.0</v>
      </c>
      <c r="BQ14" s="12">
        <v>884.0</v>
      </c>
      <c r="BR14" s="12">
        <v>897.0</v>
      </c>
      <c r="BS14">
        <v>910.0</v>
      </c>
      <c r="BT14">
        <v>923.0</v>
      </c>
      <c r="BU14">
        <v>936.0</v>
      </c>
      <c r="BV14">
        <v>949.0</v>
      </c>
      <c r="BW14">
        <v>962.0</v>
      </c>
      <c r="BX14">
        <v>975.0</v>
      </c>
      <c r="BY14">
        <v>988.0</v>
      </c>
      <c r="BZ14">
        <v>1001.0</v>
      </c>
      <c r="CA14">
        <v>1014.0</v>
      </c>
      <c r="CB14">
        <v>1027.0</v>
      </c>
      <c r="CC14">
        <v>1040.0</v>
      </c>
      <c r="CD14">
        <v>1053.0</v>
      </c>
      <c r="CE14">
        <v>1066.0</v>
      </c>
      <c r="CF14">
        <v>1079.0</v>
      </c>
      <c r="CG14">
        <v>1092.0</v>
      </c>
      <c r="CH14">
        <v>1105.0</v>
      </c>
      <c r="CI14">
        <v>1118.0</v>
      </c>
      <c r="CJ14">
        <v>1131.0</v>
      </c>
      <c r="CK14">
        <v>1144.0</v>
      </c>
      <c r="CL14">
        <v>1157.0</v>
      </c>
      <c r="CM14">
        <v>1170.0</v>
      </c>
      <c r="CN14">
        <v>1183.0</v>
      </c>
      <c r="CO14">
        <v>1196.0</v>
      </c>
      <c r="CP14">
        <v>1209.0</v>
      </c>
      <c r="CQ14">
        <v>1222.0</v>
      </c>
      <c r="CR14">
        <v>1235.0</v>
      </c>
      <c r="CS14">
        <v>1248.0</v>
      </c>
      <c r="CT14">
        <v>1261.0</v>
      </c>
      <c r="CU14">
        <v>1274.0</v>
      </c>
      <c r="CV14">
        <v>1287.0</v>
      </c>
      <c r="CW14">
        <v>1300.0</v>
      </c>
      <c r="CX14">
        <v>1313.0</v>
      </c>
      <c r="CY14">
        <v>1326.0</v>
      </c>
      <c r="CZ14">
        <v>1339.0</v>
      </c>
    </row>
    <row r="15" ht="19.5" customHeight="1">
      <c r="A15" s="2">
        <v>14.0</v>
      </c>
      <c r="B15" s="12">
        <v>14.0</v>
      </c>
      <c r="C15" s="12">
        <v>28.0</v>
      </c>
      <c r="D15" s="5">
        <v>42.0</v>
      </c>
      <c r="E15" s="5">
        <v>56.0</v>
      </c>
      <c r="F15" s="5">
        <v>70.0</v>
      </c>
      <c r="G15" s="5">
        <v>84.0</v>
      </c>
      <c r="H15" s="5">
        <v>98.0</v>
      </c>
      <c r="I15" s="5">
        <v>112.0</v>
      </c>
      <c r="J15" s="5">
        <v>126.0</v>
      </c>
      <c r="K15" s="13">
        <v>140.0</v>
      </c>
      <c r="L15" s="13">
        <v>154.0</v>
      </c>
      <c r="M15" s="13">
        <v>168.0</v>
      </c>
      <c r="N15" s="13">
        <v>182.0</v>
      </c>
      <c r="O15" s="22">
        <v>196.0</v>
      </c>
      <c r="P15" s="13">
        <v>210.0</v>
      </c>
      <c r="Q15" s="13">
        <v>224.0</v>
      </c>
      <c r="R15" s="13">
        <v>238.0</v>
      </c>
      <c r="S15" s="13">
        <v>252.0</v>
      </c>
      <c r="T15" s="13">
        <v>266.0</v>
      </c>
      <c r="U15" s="13">
        <v>280.0</v>
      </c>
      <c r="V15" s="13">
        <v>294.0</v>
      </c>
      <c r="W15" s="13">
        <v>308.0</v>
      </c>
      <c r="X15" s="13">
        <v>322.0</v>
      </c>
      <c r="Y15" s="13">
        <v>336.0</v>
      </c>
      <c r="Z15" s="13">
        <v>350.0</v>
      </c>
      <c r="AA15" s="12">
        <v>364.0</v>
      </c>
      <c r="AB15" s="12">
        <v>378.0</v>
      </c>
      <c r="AC15" s="12">
        <v>392.0</v>
      </c>
      <c r="AD15" s="12">
        <v>406.0</v>
      </c>
      <c r="AE15" s="12">
        <v>420.0</v>
      </c>
      <c r="AF15" s="12">
        <v>434.0</v>
      </c>
      <c r="AG15" s="12">
        <v>448.0</v>
      </c>
      <c r="AH15" s="12">
        <v>462.0</v>
      </c>
      <c r="AI15" s="12">
        <v>476.0</v>
      </c>
      <c r="AJ15" s="12">
        <v>490.0</v>
      </c>
      <c r="AK15" s="12">
        <v>504.0</v>
      </c>
      <c r="AL15" s="12">
        <v>518.0</v>
      </c>
      <c r="AM15" s="12">
        <v>532.0</v>
      </c>
      <c r="AN15" s="12">
        <v>546.0</v>
      </c>
      <c r="AO15" s="12">
        <v>560.0</v>
      </c>
      <c r="AP15" s="12">
        <v>574.0</v>
      </c>
      <c r="AQ15" s="12">
        <v>588.0</v>
      </c>
      <c r="AR15" s="12">
        <v>602.0</v>
      </c>
      <c r="AS15" s="12">
        <v>616.0</v>
      </c>
      <c r="AT15" s="12">
        <v>630.0</v>
      </c>
      <c r="AU15" s="12">
        <v>644.0</v>
      </c>
      <c r="AV15" s="12">
        <v>658.0</v>
      </c>
      <c r="AW15" s="12">
        <v>672.0</v>
      </c>
      <c r="AX15" s="12">
        <v>686.0</v>
      </c>
      <c r="AY15" s="12">
        <v>700.0</v>
      </c>
      <c r="AZ15" s="12">
        <v>714.0</v>
      </c>
      <c r="BA15" s="12">
        <v>728.0</v>
      </c>
      <c r="BB15" s="12">
        <v>742.0</v>
      </c>
      <c r="BC15" s="12">
        <v>756.0</v>
      </c>
      <c r="BD15" s="12">
        <v>770.0</v>
      </c>
      <c r="BE15" s="12">
        <v>784.0</v>
      </c>
      <c r="BF15" s="12">
        <v>798.0</v>
      </c>
      <c r="BG15" s="12">
        <v>812.0</v>
      </c>
      <c r="BH15" s="12">
        <v>826.0</v>
      </c>
      <c r="BI15" s="12">
        <v>840.0</v>
      </c>
      <c r="BJ15" s="12">
        <v>854.0</v>
      </c>
      <c r="BK15" s="12">
        <v>868.0</v>
      </c>
      <c r="BL15" s="12">
        <v>882.0</v>
      </c>
      <c r="BM15" s="12">
        <v>896.0</v>
      </c>
      <c r="BN15" s="12">
        <v>910.0</v>
      </c>
      <c r="BO15" s="12">
        <v>924.0</v>
      </c>
      <c r="BP15">
        <v>938.0</v>
      </c>
      <c r="BQ15">
        <v>952.0</v>
      </c>
      <c r="BR15">
        <v>966.0</v>
      </c>
      <c r="BS15">
        <v>980.0</v>
      </c>
      <c r="BT15">
        <v>994.0</v>
      </c>
      <c r="BU15">
        <v>1008.0</v>
      </c>
      <c r="BV15">
        <v>1022.0</v>
      </c>
      <c r="BW15">
        <v>1036.0</v>
      </c>
      <c r="BX15">
        <v>1050.0</v>
      </c>
      <c r="BY15">
        <v>1064.0</v>
      </c>
      <c r="BZ15">
        <v>1078.0</v>
      </c>
      <c r="CA15">
        <v>1092.0</v>
      </c>
      <c r="CB15">
        <v>1106.0</v>
      </c>
      <c r="CC15">
        <v>1120.0</v>
      </c>
      <c r="CD15">
        <v>1134.0</v>
      </c>
      <c r="CE15">
        <v>1148.0</v>
      </c>
      <c r="CF15">
        <v>1162.0</v>
      </c>
      <c r="CG15">
        <v>1176.0</v>
      </c>
      <c r="CH15">
        <v>1190.0</v>
      </c>
      <c r="CI15">
        <v>1204.0</v>
      </c>
      <c r="CJ15">
        <v>1218.0</v>
      </c>
      <c r="CK15">
        <v>1232.0</v>
      </c>
      <c r="CL15">
        <v>1246.0</v>
      </c>
      <c r="CM15">
        <v>1260.0</v>
      </c>
      <c r="CN15">
        <v>1274.0</v>
      </c>
      <c r="CO15">
        <v>1288.0</v>
      </c>
      <c r="CP15">
        <v>1302.0</v>
      </c>
      <c r="CQ15">
        <v>1316.0</v>
      </c>
      <c r="CR15">
        <v>1330.0</v>
      </c>
      <c r="CS15">
        <v>1344.0</v>
      </c>
      <c r="CT15">
        <v>1358.0</v>
      </c>
      <c r="CU15">
        <v>1372.0</v>
      </c>
      <c r="CV15">
        <v>1386.0</v>
      </c>
      <c r="CW15">
        <v>1400.0</v>
      </c>
      <c r="CX15">
        <v>1414.0</v>
      </c>
      <c r="CY15">
        <v>1428.0</v>
      </c>
      <c r="CZ15">
        <v>1442.0</v>
      </c>
    </row>
    <row r="16" ht="19.5" customHeight="1">
      <c r="A16" s="2">
        <v>15.0</v>
      </c>
      <c r="B16" s="12">
        <v>15.0</v>
      </c>
      <c r="C16" s="12">
        <v>30.0</v>
      </c>
      <c r="D16" s="5">
        <v>45.0</v>
      </c>
      <c r="E16" s="5">
        <v>60.0</v>
      </c>
      <c r="F16" s="5">
        <v>75.0</v>
      </c>
      <c r="G16" s="5">
        <v>90.0</v>
      </c>
      <c r="H16" s="5">
        <v>105.0</v>
      </c>
      <c r="I16" s="5">
        <v>120.0</v>
      </c>
      <c r="J16" s="13">
        <v>135.0</v>
      </c>
      <c r="K16" s="13">
        <v>150.0</v>
      </c>
      <c r="L16" s="13">
        <v>165.0</v>
      </c>
      <c r="M16" s="13">
        <v>180.0</v>
      </c>
      <c r="N16" s="13">
        <v>195.0</v>
      </c>
      <c r="O16" s="13">
        <v>210.0</v>
      </c>
      <c r="P16" s="22">
        <v>225.0</v>
      </c>
      <c r="Q16" s="13">
        <v>240.0</v>
      </c>
      <c r="R16" s="13">
        <v>255.0</v>
      </c>
      <c r="S16" s="13">
        <v>270.0</v>
      </c>
      <c r="T16" s="13">
        <v>285.0</v>
      </c>
      <c r="U16" s="13">
        <v>300.0</v>
      </c>
      <c r="V16" s="13">
        <v>315.0</v>
      </c>
      <c r="W16" s="13">
        <v>330.0</v>
      </c>
      <c r="X16" s="13">
        <v>345.0</v>
      </c>
      <c r="Y16" s="13">
        <v>360.0</v>
      </c>
      <c r="Z16" s="12">
        <v>375.0</v>
      </c>
      <c r="AA16" s="12">
        <v>390.0</v>
      </c>
      <c r="AB16" s="12">
        <v>405.0</v>
      </c>
      <c r="AC16" s="12">
        <v>420.0</v>
      </c>
      <c r="AD16" s="12">
        <v>435.0</v>
      </c>
      <c r="AE16" s="12">
        <v>450.0</v>
      </c>
      <c r="AF16" s="12">
        <v>465.0</v>
      </c>
      <c r="AG16" s="12">
        <v>480.0</v>
      </c>
      <c r="AH16" s="12">
        <v>495.0</v>
      </c>
      <c r="AI16" s="12">
        <v>510.0</v>
      </c>
      <c r="AJ16" s="12">
        <v>525.0</v>
      </c>
      <c r="AK16" s="12">
        <v>540.0</v>
      </c>
      <c r="AL16" s="12">
        <v>555.0</v>
      </c>
      <c r="AM16" s="12">
        <v>570.0</v>
      </c>
      <c r="AN16" s="12">
        <v>585.0</v>
      </c>
      <c r="AO16" s="12">
        <v>600.0</v>
      </c>
      <c r="AP16" s="12">
        <v>615.0</v>
      </c>
      <c r="AQ16" s="12">
        <v>630.0</v>
      </c>
      <c r="AR16" s="12">
        <v>645.0</v>
      </c>
      <c r="AS16" s="12">
        <v>660.0</v>
      </c>
      <c r="AT16" s="12">
        <v>675.0</v>
      </c>
      <c r="AU16" s="12">
        <v>690.0</v>
      </c>
      <c r="AV16" s="12">
        <v>705.0</v>
      </c>
      <c r="AW16" s="12">
        <v>720.0</v>
      </c>
      <c r="AX16" s="12">
        <v>735.0</v>
      </c>
      <c r="AY16" s="12">
        <v>750.0</v>
      </c>
      <c r="AZ16" s="12">
        <v>765.0</v>
      </c>
      <c r="BA16" s="12">
        <v>780.0</v>
      </c>
      <c r="BB16" s="12">
        <v>795.0</v>
      </c>
      <c r="BC16" s="12">
        <v>810.0</v>
      </c>
      <c r="BD16" s="12">
        <v>825.0</v>
      </c>
      <c r="BE16" s="12">
        <v>840.0</v>
      </c>
      <c r="BF16" s="12">
        <v>855.0</v>
      </c>
      <c r="BG16" s="12">
        <v>870.0</v>
      </c>
      <c r="BH16" s="12">
        <v>885.0</v>
      </c>
      <c r="BI16" s="12">
        <v>900.0</v>
      </c>
      <c r="BJ16" s="12">
        <v>915.0</v>
      </c>
      <c r="BK16" s="12">
        <v>930.0</v>
      </c>
      <c r="BL16" s="12">
        <v>945.0</v>
      </c>
      <c r="BM16">
        <v>960.0</v>
      </c>
      <c r="BN16">
        <v>975.0</v>
      </c>
      <c r="BO16">
        <v>990.0</v>
      </c>
      <c r="BP16">
        <v>1005.0</v>
      </c>
      <c r="BQ16">
        <v>1020.0</v>
      </c>
      <c r="BR16">
        <v>1035.0</v>
      </c>
      <c r="BS16">
        <v>1050.0</v>
      </c>
      <c r="BT16">
        <v>1065.0</v>
      </c>
      <c r="BU16">
        <v>1080.0</v>
      </c>
      <c r="BV16">
        <v>1095.0</v>
      </c>
      <c r="BW16">
        <v>1110.0</v>
      </c>
      <c r="BX16">
        <v>1125.0</v>
      </c>
      <c r="BY16">
        <v>1140.0</v>
      </c>
      <c r="BZ16">
        <v>1155.0</v>
      </c>
      <c r="CA16">
        <v>1170.0</v>
      </c>
      <c r="CB16">
        <v>1185.0</v>
      </c>
      <c r="CC16">
        <v>1200.0</v>
      </c>
      <c r="CD16">
        <v>1215.0</v>
      </c>
      <c r="CE16">
        <v>1230.0</v>
      </c>
      <c r="CF16">
        <v>1245.0</v>
      </c>
      <c r="CG16">
        <v>1260.0</v>
      </c>
      <c r="CH16">
        <v>1275.0</v>
      </c>
      <c r="CI16">
        <v>1290.0</v>
      </c>
      <c r="CJ16">
        <v>1305.0</v>
      </c>
      <c r="CK16">
        <v>1320.0</v>
      </c>
      <c r="CL16">
        <v>1335.0</v>
      </c>
      <c r="CM16">
        <v>1350.0</v>
      </c>
      <c r="CN16">
        <v>1365.0</v>
      </c>
      <c r="CO16">
        <v>1380.0</v>
      </c>
      <c r="CP16">
        <v>1395.0</v>
      </c>
      <c r="CQ16">
        <v>1410.0</v>
      </c>
      <c r="CR16">
        <v>1425.0</v>
      </c>
      <c r="CS16">
        <v>1440.0</v>
      </c>
      <c r="CT16">
        <v>1455.0</v>
      </c>
      <c r="CU16">
        <v>1470.0</v>
      </c>
      <c r="CV16">
        <v>1485.0</v>
      </c>
      <c r="CW16">
        <v>1500.0</v>
      </c>
      <c r="CX16">
        <v>1515.0</v>
      </c>
      <c r="CY16">
        <v>1530.0</v>
      </c>
      <c r="CZ16">
        <v>1545.0</v>
      </c>
    </row>
    <row r="17" ht="19.5" customHeight="1">
      <c r="A17" s="2">
        <v>16.0</v>
      </c>
      <c r="B17" s="12">
        <v>16.0</v>
      </c>
      <c r="C17" s="5">
        <v>32.0</v>
      </c>
      <c r="D17" s="5">
        <v>48.0</v>
      </c>
      <c r="E17" s="5">
        <v>64.0</v>
      </c>
      <c r="F17" s="5">
        <v>80.0</v>
      </c>
      <c r="G17" s="5">
        <v>96.0</v>
      </c>
      <c r="H17" s="5">
        <v>112.0</v>
      </c>
      <c r="I17" s="13">
        <v>128.0</v>
      </c>
      <c r="J17" s="13">
        <v>144.0</v>
      </c>
      <c r="K17" s="13">
        <v>160.0</v>
      </c>
      <c r="L17" s="13">
        <v>176.0</v>
      </c>
      <c r="M17" s="13">
        <v>192.0</v>
      </c>
      <c r="N17" s="13">
        <v>208.0</v>
      </c>
      <c r="O17" s="13">
        <v>224.0</v>
      </c>
      <c r="P17" s="13">
        <v>240.0</v>
      </c>
      <c r="Q17" s="22">
        <v>256.0</v>
      </c>
      <c r="R17" s="13">
        <v>272.0</v>
      </c>
      <c r="S17" s="13">
        <v>288.0</v>
      </c>
      <c r="T17" s="13">
        <v>304.0</v>
      </c>
      <c r="U17" s="13">
        <v>320.0</v>
      </c>
      <c r="V17" s="13">
        <v>336.0</v>
      </c>
      <c r="W17" s="13">
        <v>352.0</v>
      </c>
      <c r="X17" s="12">
        <v>368.0</v>
      </c>
      <c r="Y17" s="12">
        <v>384.0</v>
      </c>
      <c r="Z17" s="12">
        <v>400.0</v>
      </c>
      <c r="AA17" s="12">
        <v>416.0</v>
      </c>
      <c r="AB17" s="12">
        <v>432.0</v>
      </c>
      <c r="AC17" s="12">
        <v>448.0</v>
      </c>
      <c r="AD17" s="12">
        <v>464.0</v>
      </c>
      <c r="AE17" s="12">
        <v>480.0</v>
      </c>
      <c r="AF17" s="12">
        <v>496.0</v>
      </c>
      <c r="AG17" s="12">
        <v>512.0</v>
      </c>
      <c r="AH17" s="12">
        <v>528.0</v>
      </c>
      <c r="AI17" s="12">
        <v>544.0</v>
      </c>
      <c r="AJ17" s="12">
        <v>560.0</v>
      </c>
      <c r="AK17" s="12">
        <v>576.0</v>
      </c>
      <c r="AL17" s="12">
        <v>592.0</v>
      </c>
      <c r="AM17" s="12">
        <v>608.0</v>
      </c>
      <c r="AN17" s="12">
        <v>624.0</v>
      </c>
      <c r="AO17" s="12">
        <v>640.0</v>
      </c>
      <c r="AP17" s="12">
        <v>656.0</v>
      </c>
      <c r="AQ17" s="12">
        <v>672.0</v>
      </c>
      <c r="AR17" s="12">
        <v>688.0</v>
      </c>
      <c r="AS17" s="12">
        <v>704.0</v>
      </c>
      <c r="AT17" s="12">
        <v>720.0</v>
      </c>
      <c r="AU17" s="12">
        <v>736.0</v>
      </c>
      <c r="AV17" s="12">
        <v>752.0</v>
      </c>
      <c r="AW17" s="12">
        <v>768.0</v>
      </c>
      <c r="AX17" s="12">
        <v>784.0</v>
      </c>
      <c r="AY17" s="12">
        <v>800.0</v>
      </c>
      <c r="AZ17" s="12">
        <v>816.0</v>
      </c>
      <c r="BA17" s="12">
        <v>832.0</v>
      </c>
      <c r="BB17" s="12">
        <v>848.0</v>
      </c>
      <c r="BC17" s="12">
        <v>864.0</v>
      </c>
      <c r="BD17" s="12">
        <v>880.0</v>
      </c>
      <c r="BE17" s="12">
        <v>896.0</v>
      </c>
      <c r="BF17" s="12">
        <v>912.0</v>
      </c>
      <c r="BG17" s="12">
        <v>928.0</v>
      </c>
      <c r="BH17" s="12">
        <v>944.0</v>
      </c>
      <c r="BI17" s="12">
        <v>960.0</v>
      </c>
      <c r="BJ17">
        <v>976.0</v>
      </c>
      <c r="BK17">
        <v>992.0</v>
      </c>
      <c r="BL17">
        <v>1008.0</v>
      </c>
      <c r="BM17">
        <v>1024.0</v>
      </c>
      <c r="BN17">
        <v>1040.0</v>
      </c>
      <c r="BO17">
        <v>1056.0</v>
      </c>
      <c r="BP17">
        <v>1072.0</v>
      </c>
      <c r="BQ17">
        <v>1088.0</v>
      </c>
      <c r="BR17">
        <v>1104.0</v>
      </c>
      <c r="BS17">
        <v>1120.0</v>
      </c>
      <c r="BT17">
        <v>1136.0</v>
      </c>
      <c r="BU17">
        <v>1152.0</v>
      </c>
      <c r="BV17">
        <v>1168.0</v>
      </c>
      <c r="BW17">
        <v>1184.0</v>
      </c>
      <c r="BX17">
        <v>1200.0</v>
      </c>
      <c r="BY17">
        <v>1216.0</v>
      </c>
      <c r="BZ17">
        <v>1232.0</v>
      </c>
      <c r="CA17">
        <v>1248.0</v>
      </c>
      <c r="CB17">
        <v>1264.0</v>
      </c>
      <c r="CC17">
        <v>1280.0</v>
      </c>
      <c r="CD17">
        <v>1296.0</v>
      </c>
      <c r="CE17">
        <v>1312.0</v>
      </c>
      <c r="CF17">
        <v>1328.0</v>
      </c>
      <c r="CG17">
        <v>1344.0</v>
      </c>
      <c r="CH17">
        <v>1360.0</v>
      </c>
      <c r="CI17">
        <v>1376.0</v>
      </c>
      <c r="CJ17">
        <v>1392.0</v>
      </c>
      <c r="CK17">
        <v>1408.0</v>
      </c>
      <c r="CL17">
        <v>1424.0</v>
      </c>
      <c r="CM17">
        <v>1440.0</v>
      </c>
      <c r="CN17">
        <v>1456.0</v>
      </c>
      <c r="CO17">
        <v>1472.0</v>
      </c>
      <c r="CP17">
        <v>1488.0</v>
      </c>
      <c r="CQ17">
        <v>1504.0</v>
      </c>
      <c r="CR17">
        <v>1520.0</v>
      </c>
      <c r="CS17">
        <v>1536.0</v>
      </c>
      <c r="CT17">
        <v>1552.0</v>
      </c>
      <c r="CU17">
        <v>1568.0</v>
      </c>
      <c r="CV17">
        <v>1584.0</v>
      </c>
      <c r="CW17">
        <v>1600.0</v>
      </c>
      <c r="CX17">
        <v>1616.0</v>
      </c>
      <c r="CY17">
        <v>1632.0</v>
      </c>
      <c r="CZ17">
        <v>1648.0</v>
      </c>
    </row>
    <row r="18" ht="19.5" customHeight="1">
      <c r="A18" s="2">
        <v>17.0</v>
      </c>
      <c r="B18" s="5">
        <v>17.0</v>
      </c>
      <c r="C18" s="5">
        <v>34.0</v>
      </c>
      <c r="D18" s="5">
        <v>51.0</v>
      </c>
      <c r="E18" s="5">
        <v>68.0</v>
      </c>
      <c r="F18" s="5">
        <v>85.0</v>
      </c>
      <c r="G18" s="5">
        <v>102.0</v>
      </c>
      <c r="H18" s="5">
        <v>119.0</v>
      </c>
      <c r="I18" s="13">
        <v>136.0</v>
      </c>
      <c r="J18" s="13">
        <v>153.0</v>
      </c>
      <c r="K18" s="13">
        <v>170.0</v>
      </c>
      <c r="L18" s="13">
        <v>187.0</v>
      </c>
      <c r="M18" s="13">
        <v>204.0</v>
      </c>
      <c r="N18" s="13">
        <v>221.0</v>
      </c>
      <c r="O18" s="13">
        <v>238.0</v>
      </c>
      <c r="P18" s="13">
        <v>255.0</v>
      </c>
      <c r="Q18" s="13">
        <v>272.0</v>
      </c>
      <c r="R18" s="22">
        <v>289.0</v>
      </c>
      <c r="S18" s="13">
        <v>306.0</v>
      </c>
      <c r="T18" s="13">
        <v>323.0</v>
      </c>
      <c r="U18" s="13">
        <v>340.0</v>
      </c>
      <c r="V18" s="13">
        <v>357.0</v>
      </c>
      <c r="W18" s="12">
        <v>374.0</v>
      </c>
      <c r="X18" s="12">
        <v>391.0</v>
      </c>
      <c r="Y18" s="12">
        <v>408.0</v>
      </c>
      <c r="Z18" s="12">
        <v>425.0</v>
      </c>
      <c r="AA18" s="12">
        <v>442.0</v>
      </c>
      <c r="AB18" s="12">
        <v>459.0</v>
      </c>
      <c r="AC18" s="12">
        <v>476.0</v>
      </c>
      <c r="AD18" s="12">
        <v>493.0</v>
      </c>
      <c r="AE18" s="12">
        <v>510.0</v>
      </c>
      <c r="AF18" s="12">
        <v>527.0</v>
      </c>
      <c r="AG18" s="12">
        <v>544.0</v>
      </c>
      <c r="AH18" s="12">
        <v>561.0</v>
      </c>
      <c r="AI18" s="12">
        <v>578.0</v>
      </c>
      <c r="AJ18" s="12">
        <v>595.0</v>
      </c>
      <c r="AK18" s="12">
        <v>612.0</v>
      </c>
      <c r="AL18" s="12">
        <v>629.0</v>
      </c>
      <c r="AM18" s="12">
        <v>646.0</v>
      </c>
      <c r="AN18" s="12">
        <v>663.0</v>
      </c>
      <c r="AO18" s="23">
        <v>680.0</v>
      </c>
      <c r="AP18" s="12">
        <v>697.0</v>
      </c>
      <c r="AQ18" s="12">
        <v>714.0</v>
      </c>
      <c r="AR18" s="12">
        <v>731.0</v>
      </c>
      <c r="AS18" s="12">
        <v>748.0</v>
      </c>
      <c r="AT18" s="12">
        <v>765.0</v>
      </c>
      <c r="AU18" s="12">
        <v>782.0</v>
      </c>
      <c r="AV18" s="12">
        <v>799.0</v>
      </c>
      <c r="AW18" s="12">
        <v>816.0</v>
      </c>
      <c r="AX18" s="12">
        <v>833.0</v>
      </c>
      <c r="AY18" s="12">
        <v>850.0</v>
      </c>
      <c r="AZ18" s="12">
        <v>867.0</v>
      </c>
      <c r="BA18" s="12">
        <v>884.0</v>
      </c>
      <c r="BB18" s="12">
        <v>901.0</v>
      </c>
      <c r="BC18" s="12">
        <v>918.0</v>
      </c>
      <c r="BD18" s="12">
        <v>935.0</v>
      </c>
      <c r="BE18" s="12">
        <v>952.0</v>
      </c>
      <c r="BF18" s="12">
        <v>969.0</v>
      </c>
      <c r="BG18" s="12">
        <v>986.0</v>
      </c>
      <c r="BH18">
        <v>1003.0</v>
      </c>
      <c r="BI18">
        <v>1020.0</v>
      </c>
      <c r="BJ18">
        <v>1037.0</v>
      </c>
      <c r="BK18">
        <v>1054.0</v>
      </c>
      <c r="BL18">
        <v>1071.0</v>
      </c>
      <c r="BM18">
        <v>1088.0</v>
      </c>
      <c r="BN18">
        <v>1105.0</v>
      </c>
      <c r="BO18">
        <v>1122.0</v>
      </c>
      <c r="BP18">
        <v>1139.0</v>
      </c>
      <c r="BQ18">
        <v>1156.0</v>
      </c>
      <c r="BR18">
        <v>1173.0</v>
      </c>
      <c r="BS18">
        <v>1190.0</v>
      </c>
      <c r="BT18">
        <v>1207.0</v>
      </c>
      <c r="BU18">
        <v>1224.0</v>
      </c>
      <c r="BV18">
        <v>1241.0</v>
      </c>
      <c r="BW18">
        <v>1258.0</v>
      </c>
      <c r="BX18">
        <v>1275.0</v>
      </c>
      <c r="BY18">
        <v>1292.0</v>
      </c>
      <c r="BZ18">
        <v>1309.0</v>
      </c>
      <c r="CA18">
        <v>1326.0</v>
      </c>
      <c r="CB18">
        <v>1343.0</v>
      </c>
      <c r="CC18">
        <v>1360.0</v>
      </c>
      <c r="CD18">
        <v>1377.0</v>
      </c>
      <c r="CE18">
        <v>1394.0</v>
      </c>
      <c r="CF18">
        <v>1411.0</v>
      </c>
      <c r="CG18">
        <v>1428.0</v>
      </c>
      <c r="CH18">
        <v>1445.0</v>
      </c>
      <c r="CI18">
        <v>1462.0</v>
      </c>
      <c r="CJ18">
        <v>1479.0</v>
      </c>
      <c r="CK18">
        <v>1496.0</v>
      </c>
      <c r="CL18">
        <v>1513.0</v>
      </c>
      <c r="CM18">
        <v>1530.0</v>
      </c>
      <c r="CN18">
        <v>1547.0</v>
      </c>
      <c r="CO18">
        <v>1564.0</v>
      </c>
      <c r="CP18">
        <v>1581.0</v>
      </c>
      <c r="CQ18">
        <v>1598.0</v>
      </c>
      <c r="CR18">
        <v>1615.0</v>
      </c>
      <c r="CS18">
        <v>1632.0</v>
      </c>
      <c r="CT18">
        <v>1649.0</v>
      </c>
      <c r="CU18">
        <v>1666.0</v>
      </c>
      <c r="CV18">
        <v>1683.0</v>
      </c>
      <c r="CW18">
        <v>1700.0</v>
      </c>
      <c r="CX18">
        <v>1717.0</v>
      </c>
      <c r="CY18">
        <v>1734.0</v>
      </c>
      <c r="CZ18">
        <v>1751.0</v>
      </c>
    </row>
    <row r="19" ht="19.5" customHeight="1">
      <c r="A19" s="2">
        <v>18.0</v>
      </c>
      <c r="B19" s="5">
        <v>18.0</v>
      </c>
      <c r="C19" s="5">
        <v>36.0</v>
      </c>
      <c r="D19" s="5">
        <v>54.0</v>
      </c>
      <c r="E19" s="5">
        <v>72.0</v>
      </c>
      <c r="F19" s="5">
        <v>90.0</v>
      </c>
      <c r="G19" s="5">
        <v>108.0</v>
      </c>
      <c r="H19" s="13">
        <v>126.0</v>
      </c>
      <c r="I19" s="13">
        <v>144.0</v>
      </c>
      <c r="J19" s="13">
        <v>162.0</v>
      </c>
      <c r="K19" s="13">
        <v>180.0</v>
      </c>
      <c r="L19" s="13">
        <v>198.0</v>
      </c>
      <c r="M19" s="13">
        <v>216.0</v>
      </c>
      <c r="N19" s="13">
        <v>234.0</v>
      </c>
      <c r="O19" s="13">
        <v>252.0</v>
      </c>
      <c r="P19" s="13">
        <v>270.0</v>
      </c>
      <c r="Q19" s="13">
        <v>288.0</v>
      </c>
      <c r="R19" s="13">
        <v>306.0</v>
      </c>
      <c r="S19" s="22">
        <v>324.0</v>
      </c>
      <c r="T19" s="13">
        <v>342.0</v>
      </c>
      <c r="U19" s="13">
        <v>360.0</v>
      </c>
      <c r="V19" s="12">
        <v>378.0</v>
      </c>
      <c r="W19" s="12">
        <v>396.0</v>
      </c>
      <c r="X19" s="12">
        <v>414.0</v>
      </c>
      <c r="Y19" s="12">
        <v>432.0</v>
      </c>
      <c r="Z19" s="12">
        <v>450.0</v>
      </c>
      <c r="AA19" s="12">
        <v>468.0</v>
      </c>
      <c r="AB19" s="12">
        <v>486.0</v>
      </c>
      <c r="AC19" s="12">
        <v>504.0</v>
      </c>
      <c r="AD19" s="12">
        <v>522.0</v>
      </c>
      <c r="AE19" s="12">
        <v>540.0</v>
      </c>
      <c r="AF19" s="12">
        <v>558.0</v>
      </c>
      <c r="AG19" s="12">
        <v>576.0</v>
      </c>
      <c r="AH19" s="12">
        <v>594.0</v>
      </c>
      <c r="AI19" s="12">
        <v>612.0</v>
      </c>
      <c r="AJ19" s="12">
        <v>630.0</v>
      </c>
      <c r="AK19" s="12">
        <v>648.0</v>
      </c>
      <c r="AL19" s="12">
        <v>666.0</v>
      </c>
      <c r="AM19" s="12">
        <v>684.0</v>
      </c>
      <c r="AN19" s="12">
        <v>702.0</v>
      </c>
      <c r="AO19" s="12">
        <v>720.0</v>
      </c>
      <c r="AP19" s="5">
        <v>738.0</v>
      </c>
      <c r="AQ19" s="12">
        <v>756.0</v>
      </c>
      <c r="AR19" s="12">
        <v>774.0</v>
      </c>
      <c r="AS19" s="12">
        <v>792.0</v>
      </c>
      <c r="AT19" s="12">
        <v>810.0</v>
      </c>
      <c r="AU19" s="12">
        <v>828.0</v>
      </c>
      <c r="AV19" s="12">
        <v>846.0</v>
      </c>
      <c r="AW19" s="12">
        <v>864.0</v>
      </c>
      <c r="AX19" s="12">
        <v>882.0</v>
      </c>
      <c r="AY19" s="12">
        <v>900.0</v>
      </c>
      <c r="AZ19" s="12">
        <v>918.0</v>
      </c>
      <c r="BA19" s="12">
        <v>936.0</v>
      </c>
      <c r="BB19" s="12">
        <v>954.0</v>
      </c>
      <c r="BC19" s="12">
        <v>972.0</v>
      </c>
      <c r="BD19" s="12">
        <v>990.0</v>
      </c>
      <c r="BE19">
        <v>1008.0</v>
      </c>
      <c r="BF19">
        <v>1026.0</v>
      </c>
      <c r="BG19">
        <v>1044.0</v>
      </c>
      <c r="BH19">
        <v>1062.0</v>
      </c>
      <c r="BI19">
        <v>1080.0</v>
      </c>
      <c r="BJ19">
        <v>1098.0</v>
      </c>
      <c r="BK19">
        <v>1116.0</v>
      </c>
      <c r="BL19">
        <v>1134.0</v>
      </c>
      <c r="BM19">
        <v>1152.0</v>
      </c>
      <c r="BN19">
        <v>1170.0</v>
      </c>
      <c r="BO19">
        <v>1188.0</v>
      </c>
      <c r="BP19">
        <v>1206.0</v>
      </c>
      <c r="BQ19">
        <v>1224.0</v>
      </c>
      <c r="BR19">
        <v>1242.0</v>
      </c>
      <c r="BS19">
        <v>1260.0</v>
      </c>
      <c r="BT19">
        <v>1278.0</v>
      </c>
      <c r="BU19">
        <v>1296.0</v>
      </c>
      <c r="BV19">
        <v>1314.0</v>
      </c>
      <c r="BW19">
        <v>1332.0</v>
      </c>
      <c r="BX19">
        <v>1350.0</v>
      </c>
      <c r="BY19">
        <v>1368.0</v>
      </c>
      <c r="BZ19">
        <v>1386.0</v>
      </c>
      <c r="CA19">
        <v>1404.0</v>
      </c>
      <c r="CB19">
        <v>1422.0</v>
      </c>
      <c r="CC19">
        <v>1440.0</v>
      </c>
      <c r="CD19">
        <v>1458.0</v>
      </c>
      <c r="CE19">
        <v>1476.0</v>
      </c>
      <c r="CF19">
        <v>1494.0</v>
      </c>
      <c r="CG19">
        <v>1512.0</v>
      </c>
      <c r="CH19">
        <v>1530.0</v>
      </c>
      <c r="CI19">
        <v>1548.0</v>
      </c>
      <c r="CJ19">
        <v>1566.0</v>
      </c>
      <c r="CK19">
        <v>1584.0</v>
      </c>
      <c r="CL19">
        <v>1602.0</v>
      </c>
      <c r="CM19">
        <v>1620.0</v>
      </c>
      <c r="CN19">
        <v>1638.0</v>
      </c>
      <c r="CO19">
        <v>1656.0</v>
      </c>
      <c r="CP19">
        <v>1674.0</v>
      </c>
      <c r="CQ19">
        <v>1692.0</v>
      </c>
      <c r="CR19">
        <v>1710.0</v>
      </c>
      <c r="CS19">
        <v>1728.0</v>
      </c>
      <c r="CT19">
        <v>1746.0</v>
      </c>
      <c r="CU19">
        <v>1764.0</v>
      </c>
      <c r="CV19">
        <v>1782.0</v>
      </c>
      <c r="CW19">
        <v>1800.0</v>
      </c>
      <c r="CX19">
        <v>1818.0</v>
      </c>
      <c r="CY19">
        <v>1836.0</v>
      </c>
      <c r="CZ19">
        <v>1854.0</v>
      </c>
    </row>
    <row r="20" ht="19.5" customHeight="1">
      <c r="A20" s="2">
        <v>19.0</v>
      </c>
      <c r="B20" s="5">
        <v>19.0</v>
      </c>
      <c r="C20" s="5">
        <v>38.0</v>
      </c>
      <c r="D20" s="5">
        <v>57.0</v>
      </c>
      <c r="E20" s="5">
        <v>76.0</v>
      </c>
      <c r="F20" s="5">
        <v>95.0</v>
      </c>
      <c r="G20" s="5">
        <v>114.0</v>
      </c>
      <c r="H20" s="13">
        <v>133.0</v>
      </c>
      <c r="I20" s="13">
        <v>152.0</v>
      </c>
      <c r="J20" s="13">
        <v>171.0</v>
      </c>
      <c r="K20" s="13">
        <v>190.0</v>
      </c>
      <c r="L20" s="13">
        <v>209.0</v>
      </c>
      <c r="M20" s="13">
        <v>228.0</v>
      </c>
      <c r="N20" s="13">
        <v>247.0</v>
      </c>
      <c r="O20" s="13">
        <v>266.0</v>
      </c>
      <c r="P20" s="13">
        <v>285.0</v>
      </c>
      <c r="Q20" s="13">
        <v>304.0</v>
      </c>
      <c r="R20" s="13">
        <v>323.0</v>
      </c>
      <c r="S20" s="13">
        <v>342.0</v>
      </c>
      <c r="T20" s="22">
        <v>361.0</v>
      </c>
      <c r="U20" s="12">
        <v>380.0</v>
      </c>
      <c r="V20" s="12">
        <v>399.0</v>
      </c>
      <c r="W20" s="12">
        <v>418.0</v>
      </c>
      <c r="X20" s="12">
        <v>437.0</v>
      </c>
      <c r="Y20" s="12">
        <v>456.0</v>
      </c>
      <c r="Z20" s="12">
        <v>475.0</v>
      </c>
      <c r="AA20" s="12">
        <v>494.0</v>
      </c>
      <c r="AB20" s="12">
        <v>513.0</v>
      </c>
      <c r="AC20" s="12">
        <v>532.0</v>
      </c>
      <c r="AD20" s="12">
        <v>551.0</v>
      </c>
      <c r="AE20" s="12">
        <v>570.0</v>
      </c>
      <c r="AF20" s="12">
        <v>589.0</v>
      </c>
      <c r="AG20" s="12">
        <v>608.0</v>
      </c>
      <c r="AH20" s="12">
        <v>627.0</v>
      </c>
      <c r="AI20" s="12">
        <v>646.0</v>
      </c>
      <c r="AJ20" s="12">
        <v>665.0</v>
      </c>
      <c r="AK20" s="12">
        <v>684.0</v>
      </c>
      <c r="AL20" s="12">
        <v>703.0</v>
      </c>
      <c r="AM20" s="12">
        <v>722.0</v>
      </c>
      <c r="AN20" s="12">
        <v>741.0</v>
      </c>
      <c r="AO20" s="12">
        <v>760.0</v>
      </c>
      <c r="AP20" s="12">
        <v>779.0</v>
      </c>
      <c r="AQ20" s="12">
        <v>798.0</v>
      </c>
      <c r="AR20" s="24">
        <v>817.0</v>
      </c>
      <c r="AS20" s="12">
        <v>836.0</v>
      </c>
      <c r="AT20" s="12">
        <v>855.0</v>
      </c>
      <c r="AU20" s="12">
        <v>874.0</v>
      </c>
      <c r="AV20" s="12">
        <v>893.0</v>
      </c>
      <c r="AW20" s="12">
        <v>912.0</v>
      </c>
      <c r="AX20" s="12">
        <v>931.0</v>
      </c>
      <c r="AY20" s="12">
        <v>950.0</v>
      </c>
      <c r="AZ20" s="12">
        <v>969.0</v>
      </c>
      <c r="BA20" s="12">
        <v>988.0</v>
      </c>
      <c r="BB20" s="12">
        <v>1007.0</v>
      </c>
      <c r="BC20">
        <v>1026.0</v>
      </c>
      <c r="BD20">
        <v>1045.0</v>
      </c>
      <c r="BE20">
        <v>1064.0</v>
      </c>
      <c r="BF20">
        <v>1083.0</v>
      </c>
      <c r="BG20">
        <v>1102.0</v>
      </c>
      <c r="BH20">
        <v>1121.0</v>
      </c>
      <c r="BI20">
        <v>1140.0</v>
      </c>
      <c r="BJ20">
        <v>1159.0</v>
      </c>
      <c r="BK20">
        <v>1178.0</v>
      </c>
      <c r="BL20">
        <v>1197.0</v>
      </c>
      <c r="BM20">
        <v>1216.0</v>
      </c>
      <c r="BN20">
        <v>1235.0</v>
      </c>
      <c r="BO20">
        <v>1254.0</v>
      </c>
      <c r="BP20">
        <v>1273.0</v>
      </c>
      <c r="BQ20">
        <v>1292.0</v>
      </c>
      <c r="BR20">
        <v>1311.0</v>
      </c>
      <c r="BS20">
        <v>1330.0</v>
      </c>
      <c r="BT20">
        <v>1349.0</v>
      </c>
      <c r="BU20">
        <v>1368.0</v>
      </c>
      <c r="BV20">
        <v>1387.0</v>
      </c>
      <c r="BW20">
        <v>1406.0</v>
      </c>
      <c r="BX20">
        <v>1425.0</v>
      </c>
      <c r="BY20">
        <v>1444.0</v>
      </c>
      <c r="BZ20">
        <v>1463.0</v>
      </c>
      <c r="CA20">
        <v>1482.0</v>
      </c>
      <c r="CB20">
        <v>1501.0</v>
      </c>
      <c r="CC20">
        <v>1520.0</v>
      </c>
      <c r="CD20">
        <v>1539.0</v>
      </c>
      <c r="CE20">
        <v>1558.0</v>
      </c>
      <c r="CF20">
        <v>1577.0</v>
      </c>
      <c r="CG20">
        <v>1596.0</v>
      </c>
      <c r="CH20">
        <v>1615.0</v>
      </c>
      <c r="CI20">
        <v>1634.0</v>
      </c>
      <c r="CJ20">
        <v>1653.0</v>
      </c>
      <c r="CK20">
        <v>1672.0</v>
      </c>
      <c r="CL20">
        <v>1691.0</v>
      </c>
      <c r="CM20">
        <v>1710.0</v>
      </c>
      <c r="CN20">
        <v>1729.0</v>
      </c>
      <c r="CO20">
        <v>1748.0</v>
      </c>
      <c r="CP20">
        <v>1767.0</v>
      </c>
      <c r="CQ20">
        <v>1786.0</v>
      </c>
      <c r="CR20">
        <v>1805.0</v>
      </c>
      <c r="CS20">
        <v>1824.0</v>
      </c>
      <c r="CT20">
        <v>1843.0</v>
      </c>
      <c r="CU20">
        <v>1862.0</v>
      </c>
      <c r="CV20">
        <v>1881.0</v>
      </c>
      <c r="CW20">
        <v>1900.0</v>
      </c>
      <c r="CX20">
        <v>1919.0</v>
      </c>
      <c r="CY20">
        <v>1938.0</v>
      </c>
      <c r="CZ20">
        <v>1957.0</v>
      </c>
    </row>
    <row r="21" ht="19.5" customHeight="1">
      <c r="A21" s="2">
        <v>20.0</v>
      </c>
      <c r="B21" s="5">
        <v>20.0</v>
      </c>
      <c r="C21" s="5">
        <v>40.0</v>
      </c>
      <c r="D21" s="5">
        <v>60.0</v>
      </c>
      <c r="E21" s="5">
        <v>80.0</v>
      </c>
      <c r="F21" s="5">
        <v>100.0</v>
      </c>
      <c r="G21" s="13">
        <v>120.0</v>
      </c>
      <c r="H21" s="13">
        <v>140.0</v>
      </c>
      <c r="I21" s="13">
        <v>160.0</v>
      </c>
      <c r="J21" s="13">
        <v>180.0</v>
      </c>
      <c r="K21" s="13">
        <v>200.0</v>
      </c>
      <c r="L21" s="13">
        <v>220.0</v>
      </c>
      <c r="M21" s="13">
        <v>240.0</v>
      </c>
      <c r="N21" s="13">
        <v>260.0</v>
      </c>
      <c r="O21" s="13">
        <v>280.0</v>
      </c>
      <c r="P21" s="13">
        <v>300.0</v>
      </c>
      <c r="Q21" s="13">
        <v>320.0</v>
      </c>
      <c r="R21" s="13">
        <v>340.0</v>
      </c>
      <c r="S21" s="13">
        <v>360.0</v>
      </c>
      <c r="T21" s="12">
        <v>380.0</v>
      </c>
      <c r="U21" s="18">
        <v>400.0</v>
      </c>
      <c r="V21" s="12">
        <v>420.0</v>
      </c>
      <c r="W21" s="12">
        <v>440.0</v>
      </c>
      <c r="X21" s="12">
        <v>460.0</v>
      </c>
      <c r="Y21" s="12">
        <v>480.0</v>
      </c>
      <c r="Z21" s="12">
        <v>500.0</v>
      </c>
      <c r="AA21" s="12">
        <v>520.0</v>
      </c>
      <c r="AB21" s="12">
        <v>540.0</v>
      </c>
      <c r="AC21" s="12">
        <v>560.0</v>
      </c>
      <c r="AD21" s="12">
        <v>580.0</v>
      </c>
      <c r="AE21" s="12">
        <v>600.0</v>
      </c>
      <c r="AF21" s="12">
        <v>620.0</v>
      </c>
      <c r="AG21" s="12">
        <v>640.0</v>
      </c>
      <c r="AH21" s="12">
        <v>660.0</v>
      </c>
      <c r="AI21" s="12">
        <v>680.0</v>
      </c>
      <c r="AJ21" s="12">
        <v>700.0</v>
      </c>
      <c r="AK21" s="12">
        <v>720.0</v>
      </c>
      <c r="AL21" s="12">
        <v>740.0</v>
      </c>
      <c r="AM21" s="12">
        <v>760.0</v>
      </c>
      <c r="AN21" s="12">
        <v>780.0</v>
      </c>
      <c r="AO21" s="12">
        <v>800.0</v>
      </c>
      <c r="AP21" s="12">
        <v>820.0</v>
      </c>
      <c r="AQ21" s="12">
        <v>840.0</v>
      </c>
      <c r="AR21" s="12">
        <v>860.0</v>
      </c>
      <c r="AS21" s="12">
        <v>880.0</v>
      </c>
      <c r="AT21" s="12">
        <v>900.0</v>
      </c>
      <c r="AU21" s="12">
        <v>920.0</v>
      </c>
      <c r="AV21" s="12">
        <v>940.0</v>
      </c>
      <c r="AW21" s="12">
        <v>960.0</v>
      </c>
      <c r="AX21" s="12">
        <v>980.0</v>
      </c>
      <c r="AY21" s="12">
        <v>1000.0</v>
      </c>
      <c r="AZ21" s="12">
        <v>1020.0</v>
      </c>
      <c r="BA21">
        <v>1040.0</v>
      </c>
      <c r="BB21">
        <v>1060.0</v>
      </c>
      <c r="BC21">
        <v>1080.0</v>
      </c>
      <c r="BD21">
        <v>1100.0</v>
      </c>
      <c r="BE21">
        <v>1120.0</v>
      </c>
      <c r="BF21">
        <v>1140.0</v>
      </c>
      <c r="BG21">
        <v>1160.0</v>
      </c>
      <c r="BH21">
        <v>1180.0</v>
      </c>
      <c r="BI21">
        <v>1200.0</v>
      </c>
      <c r="BJ21">
        <v>1220.0</v>
      </c>
      <c r="BK21">
        <v>1240.0</v>
      </c>
      <c r="BL21">
        <v>1260.0</v>
      </c>
      <c r="BM21">
        <v>1280.0</v>
      </c>
      <c r="BN21">
        <v>1300.0</v>
      </c>
      <c r="BO21">
        <v>1320.0</v>
      </c>
      <c r="BP21">
        <v>1340.0</v>
      </c>
      <c r="BQ21">
        <v>1360.0</v>
      </c>
      <c r="BR21">
        <v>1380.0</v>
      </c>
      <c r="BS21">
        <v>1400.0</v>
      </c>
      <c r="BT21">
        <v>1420.0</v>
      </c>
      <c r="BU21">
        <v>1440.0</v>
      </c>
      <c r="BV21">
        <v>1460.0</v>
      </c>
      <c r="BW21">
        <v>1480.0</v>
      </c>
      <c r="BX21">
        <v>1500.0</v>
      </c>
      <c r="BY21">
        <v>1520.0</v>
      </c>
      <c r="BZ21">
        <v>1540.0</v>
      </c>
      <c r="CA21">
        <v>1560.0</v>
      </c>
      <c r="CB21">
        <v>1580.0</v>
      </c>
      <c r="CC21">
        <v>1600.0</v>
      </c>
      <c r="CD21">
        <v>1620.0</v>
      </c>
      <c r="CE21">
        <v>1640.0</v>
      </c>
      <c r="CF21">
        <v>1660.0</v>
      </c>
      <c r="CG21">
        <v>1680.0</v>
      </c>
      <c r="CH21">
        <v>1700.0</v>
      </c>
      <c r="CI21">
        <v>1720.0</v>
      </c>
      <c r="CJ21">
        <v>1740.0</v>
      </c>
      <c r="CK21">
        <v>1760.0</v>
      </c>
      <c r="CL21">
        <v>1780.0</v>
      </c>
      <c r="CM21">
        <v>1800.0</v>
      </c>
      <c r="CN21">
        <v>1820.0</v>
      </c>
      <c r="CO21">
        <v>1840.0</v>
      </c>
      <c r="CP21">
        <v>1860.0</v>
      </c>
      <c r="CQ21">
        <v>1880.0</v>
      </c>
      <c r="CR21">
        <v>1900.0</v>
      </c>
      <c r="CS21">
        <v>1920.0</v>
      </c>
      <c r="CT21">
        <v>1940.0</v>
      </c>
      <c r="CU21">
        <v>1960.0</v>
      </c>
      <c r="CV21">
        <v>1980.0</v>
      </c>
      <c r="CW21">
        <v>2000.0</v>
      </c>
      <c r="CX21">
        <v>2020.0</v>
      </c>
      <c r="CY21">
        <v>2040.0</v>
      </c>
      <c r="CZ21">
        <v>2060.0</v>
      </c>
    </row>
    <row r="22" ht="19.5" customHeight="1">
      <c r="A22" s="2">
        <v>21.0</v>
      </c>
      <c r="B22" s="5">
        <v>21.0</v>
      </c>
      <c r="C22" s="5">
        <v>42.0</v>
      </c>
      <c r="D22" s="5">
        <v>63.0</v>
      </c>
      <c r="E22" s="5">
        <v>84.0</v>
      </c>
      <c r="F22" s="5">
        <v>105.0</v>
      </c>
      <c r="G22" s="13">
        <v>126.0</v>
      </c>
      <c r="H22" s="13">
        <v>147.0</v>
      </c>
      <c r="I22" s="13">
        <v>168.0</v>
      </c>
      <c r="J22" s="13">
        <v>189.0</v>
      </c>
      <c r="K22" s="13">
        <v>210.0</v>
      </c>
      <c r="L22" s="13">
        <v>231.0</v>
      </c>
      <c r="M22" s="13">
        <v>252.0</v>
      </c>
      <c r="N22" s="13">
        <v>273.0</v>
      </c>
      <c r="O22" s="13">
        <v>294.0</v>
      </c>
      <c r="P22" s="13">
        <v>315.0</v>
      </c>
      <c r="Q22" s="13">
        <v>336.0</v>
      </c>
      <c r="R22" s="13">
        <v>357.0</v>
      </c>
      <c r="S22" s="12">
        <v>378.0</v>
      </c>
      <c r="T22" s="12">
        <v>399.0</v>
      </c>
      <c r="U22" s="12">
        <v>420.0</v>
      </c>
      <c r="V22" s="12">
        <v>441.0</v>
      </c>
      <c r="W22" s="12">
        <v>462.0</v>
      </c>
      <c r="X22" s="12">
        <v>483.0</v>
      </c>
      <c r="Y22" s="12">
        <v>504.0</v>
      </c>
      <c r="Z22" s="12">
        <v>525.0</v>
      </c>
      <c r="AA22" s="12">
        <v>546.0</v>
      </c>
      <c r="AB22" s="12">
        <v>567.0</v>
      </c>
      <c r="AC22" s="12">
        <v>588.0</v>
      </c>
      <c r="AD22" s="12">
        <v>609.0</v>
      </c>
      <c r="AE22" s="12">
        <v>630.0</v>
      </c>
      <c r="AF22" s="12">
        <v>651.0</v>
      </c>
      <c r="AG22" s="12">
        <v>672.0</v>
      </c>
      <c r="AH22" s="12">
        <v>693.0</v>
      </c>
      <c r="AI22" s="12">
        <v>714.0</v>
      </c>
      <c r="AJ22" s="12">
        <v>735.0</v>
      </c>
      <c r="AK22" s="12">
        <v>756.0</v>
      </c>
      <c r="AL22" s="12">
        <v>777.0</v>
      </c>
      <c r="AM22" s="12">
        <v>798.0</v>
      </c>
      <c r="AN22" s="12">
        <v>819.0</v>
      </c>
      <c r="AO22" s="12">
        <v>840.0</v>
      </c>
      <c r="AP22" s="12">
        <v>861.0</v>
      </c>
      <c r="AQ22" s="12">
        <v>882.0</v>
      </c>
      <c r="AR22" s="12">
        <v>903.0</v>
      </c>
      <c r="AS22" s="12">
        <v>924.0</v>
      </c>
      <c r="AT22" s="12">
        <v>945.0</v>
      </c>
      <c r="AU22" s="12">
        <v>966.0</v>
      </c>
      <c r="AV22" s="12">
        <v>987.0</v>
      </c>
      <c r="AW22" s="12">
        <v>1008.0</v>
      </c>
      <c r="AX22" s="12">
        <v>1029.0</v>
      </c>
      <c r="AY22">
        <v>1050.0</v>
      </c>
      <c r="AZ22">
        <v>1071.0</v>
      </c>
      <c r="BA22">
        <v>1092.0</v>
      </c>
      <c r="BB22">
        <v>1113.0</v>
      </c>
      <c r="BC22">
        <v>1134.0</v>
      </c>
      <c r="BD22">
        <v>1155.0</v>
      </c>
      <c r="BE22">
        <v>1176.0</v>
      </c>
      <c r="BF22">
        <v>1197.0</v>
      </c>
      <c r="BG22">
        <v>1218.0</v>
      </c>
      <c r="BH22">
        <v>1239.0</v>
      </c>
      <c r="BI22">
        <v>1260.0</v>
      </c>
      <c r="BJ22">
        <v>1281.0</v>
      </c>
      <c r="BK22">
        <v>1302.0</v>
      </c>
      <c r="BL22">
        <v>1323.0</v>
      </c>
      <c r="BM22">
        <v>1344.0</v>
      </c>
      <c r="BN22">
        <v>1365.0</v>
      </c>
      <c r="BO22">
        <v>1386.0</v>
      </c>
      <c r="BP22">
        <v>1407.0</v>
      </c>
      <c r="BQ22">
        <v>1428.0</v>
      </c>
      <c r="BR22">
        <v>1449.0</v>
      </c>
      <c r="BS22">
        <v>1470.0</v>
      </c>
      <c r="BT22">
        <v>1491.0</v>
      </c>
      <c r="BU22">
        <v>1512.0</v>
      </c>
      <c r="BV22">
        <v>1533.0</v>
      </c>
      <c r="BW22">
        <v>1554.0</v>
      </c>
      <c r="BX22">
        <v>1575.0</v>
      </c>
      <c r="BY22">
        <v>1596.0</v>
      </c>
      <c r="BZ22">
        <v>1617.0</v>
      </c>
      <c r="CA22">
        <v>1638.0</v>
      </c>
      <c r="CB22">
        <v>1659.0</v>
      </c>
      <c r="CC22">
        <v>1680.0</v>
      </c>
      <c r="CD22">
        <v>1701.0</v>
      </c>
      <c r="CE22">
        <v>1722.0</v>
      </c>
      <c r="CF22">
        <v>1743.0</v>
      </c>
      <c r="CG22">
        <v>1764.0</v>
      </c>
      <c r="CH22">
        <v>1785.0</v>
      </c>
      <c r="CI22">
        <v>1806.0</v>
      </c>
      <c r="CJ22">
        <v>1827.0</v>
      </c>
      <c r="CK22">
        <v>1848.0</v>
      </c>
      <c r="CL22">
        <v>1869.0</v>
      </c>
      <c r="CM22">
        <v>1890.0</v>
      </c>
      <c r="CN22">
        <v>1911.0</v>
      </c>
      <c r="CO22">
        <v>1932.0</v>
      </c>
      <c r="CP22">
        <v>1953.0</v>
      </c>
      <c r="CQ22">
        <v>1974.0</v>
      </c>
      <c r="CR22">
        <v>1995.0</v>
      </c>
      <c r="CS22">
        <v>2016.0</v>
      </c>
      <c r="CT22">
        <v>2037.0</v>
      </c>
      <c r="CU22">
        <v>2058.0</v>
      </c>
      <c r="CV22">
        <v>2079.0</v>
      </c>
      <c r="CW22">
        <v>2100.0</v>
      </c>
      <c r="CX22">
        <v>2121.0</v>
      </c>
      <c r="CY22">
        <v>2142.0</v>
      </c>
      <c r="CZ22">
        <v>2163.0</v>
      </c>
    </row>
    <row r="23" ht="19.5" customHeight="1">
      <c r="A23" s="2">
        <v>22.0</v>
      </c>
      <c r="B23" s="5">
        <v>22.0</v>
      </c>
      <c r="C23" s="5">
        <v>44.0</v>
      </c>
      <c r="D23" s="5">
        <v>66.0</v>
      </c>
      <c r="E23" s="5">
        <v>88.0</v>
      </c>
      <c r="F23" s="5">
        <v>110.0</v>
      </c>
      <c r="G23" s="13">
        <v>132.0</v>
      </c>
      <c r="H23" s="13">
        <v>154.0</v>
      </c>
      <c r="I23" s="13">
        <v>176.0</v>
      </c>
      <c r="J23" s="13">
        <v>198.0</v>
      </c>
      <c r="K23" s="13">
        <v>220.0</v>
      </c>
      <c r="L23" s="13">
        <v>242.0</v>
      </c>
      <c r="M23" s="13">
        <v>264.0</v>
      </c>
      <c r="N23" s="13">
        <v>286.0</v>
      </c>
      <c r="O23" s="13">
        <v>308.0</v>
      </c>
      <c r="P23" s="13">
        <v>330.0</v>
      </c>
      <c r="Q23" s="13">
        <v>352.0</v>
      </c>
      <c r="R23" s="12">
        <v>374.0</v>
      </c>
      <c r="S23" s="12">
        <v>396.0</v>
      </c>
      <c r="T23" s="12">
        <v>418.0</v>
      </c>
      <c r="U23" s="12">
        <v>440.0</v>
      </c>
      <c r="V23" s="12">
        <v>462.0</v>
      </c>
      <c r="W23" s="18">
        <v>484.0</v>
      </c>
      <c r="X23" s="12">
        <v>506.0</v>
      </c>
      <c r="Y23" s="12">
        <v>528.0</v>
      </c>
      <c r="Z23" s="12">
        <v>550.0</v>
      </c>
      <c r="AA23" s="12">
        <v>572.0</v>
      </c>
      <c r="AB23" s="12">
        <v>594.0</v>
      </c>
      <c r="AC23" s="12">
        <v>616.0</v>
      </c>
      <c r="AD23" s="12">
        <v>638.0</v>
      </c>
      <c r="AE23" s="12">
        <v>660.0</v>
      </c>
      <c r="AF23" s="12">
        <v>682.0</v>
      </c>
      <c r="AG23" s="12">
        <v>704.0</v>
      </c>
      <c r="AH23" s="12">
        <v>726.0</v>
      </c>
      <c r="AI23" s="12">
        <v>748.0</v>
      </c>
      <c r="AJ23" s="12">
        <v>770.0</v>
      </c>
      <c r="AK23" s="12">
        <v>792.0</v>
      </c>
      <c r="AL23" s="12">
        <v>814.0</v>
      </c>
      <c r="AM23" s="12">
        <v>836.0</v>
      </c>
      <c r="AN23" s="12">
        <v>858.0</v>
      </c>
      <c r="AO23" s="12">
        <v>880.0</v>
      </c>
      <c r="AP23" s="12">
        <v>902.0</v>
      </c>
      <c r="AQ23" s="12">
        <v>924.0</v>
      </c>
      <c r="AR23" s="12">
        <v>946.0</v>
      </c>
      <c r="AS23" s="12">
        <v>968.0</v>
      </c>
      <c r="AT23" s="12">
        <v>990.0</v>
      </c>
      <c r="AU23" s="12">
        <v>1012.0</v>
      </c>
      <c r="AV23" s="12">
        <v>1034.0</v>
      </c>
      <c r="AW23">
        <v>1056.0</v>
      </c>
      <c r="AX23">
        <v>1078.0</v>
      </c>
      <c r="AY23">
        <v>1100.0</v>
      </c>
      <c r="AZ23">
        <v>1122.0</v>
      </c>
      <c r="BA23">
        <v>1144.0</v>
      </c>
      <c r="BB23">
        <v>1166.0</v>
      </c>
      <c r="BC23">
        <v>1188.0</v>
      </c>
      <c r="BD23">
        <v>1210.0</v>
      </c>
      <c r="BE23">
        <v>1232.0</v>
      </c>
      <c r="BF23">
        <v>1254.0</v>
      </c>
      <c r="BG23">
        <v>1276.0</v>
      </c>
      <c r="BH23">
        <v>1298.0</v>
      </c>
      <c r="BI23">
        <v>1320.0</v>
      </c>
      <c r="BJ23">
        <v>1342.0</v>
      </c>
      <c r="BK23">
        <v>1364.0</v>
      </c>
      <c r="BL23">
        <v>1386.0</v>
      </c>
      <c r="BM23">
        <v>1408.0</v>
      </c>
      <c r="BN23">
        <v>1430.0</v>
      </c>
      <c r="BO23">
        <v>1452.0</v>
      </c>
      <c r="BP23">
        <v>1474.0</v>
      </c>
      <c r="BQ23">
        <v>1496.0</v>
      </c>
      <c r="BR23">
        <v>1518.0</v>
      </c>
      <c r="BS23">
        <v>1540.0</v>
      </c>
      <c r="BT23">
        <v>1562.0</v>
      </c>
      <c r="BU23">
        <v>1584.0</v>
      </c>
      <c r="BV23">
        <v>1606.0</v>
      </c>
      <c r="BW23">
        <v>1628.0</v>
      </c>
      <c r="BX23">
        <v>1650.0</v>
      </c>
      <c r="BY23">
        <v>1672.0</v>
      </c>
      <c r="BZ23">
        <v>1694.0</v>
      </c>
      <c r="CA23">
        <v>1716.0</v>
      </c>
      <c r="CB23">
        <v>1738.0</v>
      </c>
      <c r="CC23">
        <v>1760.0</v>
      </c>
      <c r="CD23">
        <v>1782.0</v>
      </c>
      <c r="CE23">
        <v>1804.0</v>
      </c>
      <c r="CF23">
        <v>1826.0</v>
      </c>
      <c r="CG23">
        <v>1848.0</v>
      </c>
      <c r="CH23">
        <v>1870.0</v>
      </c>
      <c r="CI23">
        <v>1892.0</v>
      </c>
      <c r="CJ23">
        <v>1914.0</v>
      </c>
      <c r="CK23">
        <v>1936.0</v>
      </c>
      <c r="CL23">
        <v>1958.0</v>
      </c>
      <c r="CM23">
        <v>1980.0</v>
      </c>
      <c r="CN23">
        <v>2002.0</v>
      </c>
      <c r="CO23">
        <v>2024.0</v>
      </c>
      <c r="CP23">
        <v>2046.0</v>
      </c>
      <c r="CQ23">
        <v>2068.0</v>
      </c>
      <c r="CR23">
        <v>2090.0</v>
      </c>
      <c r="CS23">
        <v>2112.0</v>
      </c>
      <c r="CT23">
        <v>2134.0</v>
      </c>
      <c r="CU23">
        <v>2156.0</v>
      </c>
      <c r="CV23">
        <v>2178.0</v>
      </c>
      <c r="CW23">
        <v>2200.0</v>
      </c>
      <c r="CX23">
        <v>2222.0</v>
      </c>
      <c r="CY23">
        <v>2244.0</v>
      </c>
      <c r="CZ23">
        <v>2266.0</v>
      </c>
    </row>
    <row r="24" ht="19.5" customHeight="1">
      <c r="A24" s="2">
        <v>23.0</v>
      </c>
      <c r="B24" s="5">
        <v>23.0</v>
      </c>
      <c r="C24" s="5">
        <v>46.0</v>
      </c>
      <c r="D24" s="5">
        <v>69.0</v>
      </c>
      <c r="E24" s="5">
        <v>92.0</v>
      </c>
      <c r="F24" s="13">
        <v>115.0</v>
      </c>
      <c r="G24" s="13">
        <v>138.0</v>
      </c>
      <c r="H24" s="13">
        <v>161.0</v>
      </c>
      <c r="I24" s="13">
        <v>184.0</v>
      </c>
      <c r="J24" s="13">
        <v>207.0</v>
      </c>
      <c r="K24" s="13">
        <v>230.0</v>
      </c>
      <c r="L24" s="13">
        <v>253.0</v>
      </c>
      <c r="M24" s="13">
        <v>276.0</v>
      </c>
      <c r="N24" s="13">
        <v>299.0</v>
      </c>
      <c r="O24" s="13">
        <v>322.0</v>
      </c>
      <c r="P24" s="13">
        <v>345.0</v>
      </c>
      <c r="Q24" s="12">
        <v>368.0</v>
      </c>
      <c r="R24" s="12">
        <v>391.0</v>
      </c>
      <c r="S24" s="12">
        <v>414.0</v>
      </c>
      <c r="T24" s="12">
        <v>437.0</v>
      </c>
      <c r="U24" s="12">
        <v>460.0</v>
      </c>
      <c r="V24" s="12">
        <v>483.0</v>
      </c>
      <c r="W24" s="12">
        <v>506.0</v>
      </c>
      <c r="X24" s="18">
        <v>529.0</v>
      </c>
      <c r="Y24" s="12">
        <v>552.0</v>
      </c>
      <c r="Z24" s="12">
        <v>575.0</v>
      </c>
      <c r="AA24" s="12">
        <v>598.0</v>
      </c>
      <c r="AB24" s="12">
        <v>621.0</v>
      </c>
      <c r="AC24" s="12">
        <v>644.0</v>
      </c>
      <c r="AD24" s="12">
        <v>667.0</v>
      </c>
      <c r="AE24" s="12">
        <v>690.0</v>
      </c>
      <c r="AF24" s="12">
        <v>713.0</v>
      </c>
      <c r="AG24" s="12">
        <v>736.0</v>
      </c>
      <c r="AH24" s="12">
        <v>759.0</v>
      </c>
      <c r="AI24" s="12">
        <v>782.0</v>
      </c>
      <c r="AJ24" s="12">
        <v>805.0</v>
      </c>
      <c r="AK24" s="12">
        <v>828.0</v>
      </c>
      <c r="AL24" s="12">
        <v>851.0</v>
      </c>
      <c r="AM24" s="12">
        <v>874.0</v>
      </c>
      <c r="AN24" s="12">
        <v>897.0</v>
      </c>
      <c r="AO24" s="12">
        <v>920.0</v>
      </c>
      <c r="AP24" s="12">
        <v>943.0</v>
      </c>
      <c r="AQ24" s="12">
        <v>966.0</v>
      </c>
      <c r="AR24" s="12">
        <v>989.0</v>
      </c>
      <c r="AS24" s="12">
        <v>1012.0</v>
      </c>
      <c r="AT24" s="12">
        <v>1035.0</v>
      </c>
      <c r="AU24">
        <v>1058.0</v>
      </c>
      <c r="AV24">
        <v>1081.0</v>
      </c>
      <c r="AW24">
        <v>1104.0</v>
      </c>
      <c r="AX24">
        <v>1127.0</v>
      </c>
      <c r="AY24">
        <v>1150.0</v>
      </c>
      <c r="AZ24">
        <v>1173.0</v>
      </c>
      <c r="BA24">
        <v>1196.0</v>
      </c>
      <c r="BB24">
        <v>1219.0</v>
      </c>
      <c r="BC24">
        <v>1242.0</v>
      </c>
      <c r="BD24">
        <v>1265.0</v>
      </c>
      <c r="BE24">
        <v>1288.0</v>
      </c>
      <c r="BF24">
        <v>1311.0</v>
      </c>
      <c r="BG24">
        <v>1334.0</v>
      </c>
      <c r="BH24">
        <v>1357.0</v>
      </c>
      <c r="BI24">
        <v>1380.0</v>
      </c>
      <c r="BJ24">
        <v>1403.0</v>
      </c>
      <c r="BK24">
        <v>1426.0</v>
      </c>
      <c r="BL24">
        <v>1449.0</v>
      </c>
      <c r="BM24">
        <v>1472.0</v>
      </c>
      <c r="BN24">
        <v>1495.0</v>
      </c>
      <c r="BO24">
        <v>1518.0</v>
      </c>
      <c r="BP24">
        <v>1541.0</v>
      </c>
      <c r="BQ24">
        <v>1564.0</v>
      </c>
      <c r="BR24">
        <v>1587.0</v>
      </c>
      <c r="BS24">
        <v>1610.0</v>
      </c>
      <c r="BT24">
        <v>1633.0</v>
      </c>
      <c r="BU24">
        <v>1656.0</v>
      </c>
      <c r="BV24">
        <v>1679.0</v>
      </c>
      <c r="BW24">
        <v>1702.0</v>
      </c>
      <c r="BX24">
        <v>1725.0</v>
      </c>
      <c r="BY24">
        <v>1748.0</v>
      </c>
      <c r="BZ24">
        <v>1771.0</v>
      </c>
      <c r="CA24">
        <v>1794.0</v>
      </c>
      <c r="CB24">
        <v>1817.0</v>
      </c>
      <c r="CC24">
        <v>1840.0</v>
      </c>
      <c r="CD24">
        <v>1863.0</v>
      </c>
      <c r="CE24">
        <v>1886.0</v>
      </c>
      <c r="CF24">
        <v>1909.0</v>
      </c>
      <c r="CG24">
        <v>1932.0</v>
      </c>
      <c r="CH24">
        <v>1955.0</v>
      </c>
      <c r="CI24">
        <v>1978.0</v>
      </c>
      <c r="CJ24">
        <v>2001.0</v>
      </c>
      <c r="CK24">
        <v>2024.0</v>
      </c>
      <c r="CL24">
        <v>2047.0</v>
      </c>
      <c r="CM24">
        <v>2070.0</v>
      </c>
      <c r="CN24">
        <v>2093.0</v>
      </c>
      <c r="CO24">
        <v>2116.0</v>
      </c>
      <c r="CP24">
        <v>2139.0</v>
      </c>
      <c r="CQ24">
        <v>2162.0</v>
      </c>
      <c r="CR24">
        <v>2185.0</v>
      </c>
      <c r="CS24">
        <v>2208.0</v>
      </c>
      <c r="CT24">
        <v>2231.0</v>
      </c>
      <c r="CU24">
        <v>2254.0</v>
      </c>
      <c r="CV24">
        <v>2277.0</v>
      </c>
      <c r="CW24">
        <v>2300.0</v>
      </c>
      <c r="CX24">
        <v>2323.0</v>
      </c>
      <c r="CY24">
        <v>2346.0</v>
      </c>
      <c r="CZ24">
        <v>2369.0</v>
      </c>
    </row>
    <row r="25" ht="19.5" customHeight="1">
      <c r="A25" s="2">
        <v>24.0</v>
      </c>
      <c r="B25" s="5">
        <v>24.0</v>
      </c>
      <c r="C25" s="5">
        <v>48.0</v>
      </c>
      <c r="D25" s="5">
        <v>72.0</v>
      </c>
      <c r="E25" s="5">
        <v>96.0</v>
      </c>
      <c r="F25" s="13">
        <v>120.0</v>
      </c>
      <c r="G25" s="13">
        <v>144.0</v>
      </c>
      <c r="H25" s="13">
        <v>168.0</v>
      </c>
      <c r="I25" s="13">
        <v>192.0</v>
      </c>
      <c r="J25" s="13">
        <v>216.0</v>
      </c>
      <c r="K25" s="13">
        <v>240.0</v>
      </c>
      <c r="L25" s="13">
        <v>264.0</v>
      </c>
      <c r="M25" s="13">
        <v>288.0</v>
      </c>
      <c r="N25" s="13">
        <v>312.0</v>
      </c>
      <c r="O25" s="13">
        <v>336.0</v>
      </c>
      <c r="P25" s="13">
        <v>360.0</v>
      </c>
      <c r="Q25" s="12">
        <v>384.0</v>
      </c>
      <c r="R25" s="12">
        <v>408.0</v>
      </c>
      <c r="S25" s="12">
        <v>432.0</v>
      </c>
      <c r="T25" s="12">
        <v>456.0</v>
      </c>
      <c r="U25" s="12">
        <v>480.0</v>
      </c>
      <c r="V25" s="12">
        <v>504.0</v>
      </c>
      <c r="W25" s="12">
        <v>528.0</v>
      </c>
      <c r="X25" s="12">
        <v>552.0</v>
      </c>
      <c r="Y25" s="18">
        <v>576.0</v>
      </c>
      <c r="Z25" s="12">
        <v>600.0</v>
      </c>
      <c r="AA25" s="12">
        <v>624.0</v>
      </c>
      <c r="AB25" s="12">
        <v>648.0</v>
      </c>
      <c r="AC25" s="24">
        <v>672.0</v>
      </c>
      <c r="AD25" s="12">
        <v>696.0</v>
      </c>
      <c r="AE25" s="12">
        <v>720.0</v>
      </c>
      <c r="AF25" s="12">
        <v>744.0</v>
      </c>
      <c r="AG25" s="12">
        <v>768.0</v>
      </c>
      <c r="AH25" s="12">
        <v>792.0</v>
      </c>
      <c r="AI25" s="12">
        <v>816.0</v>
      </c>
      <c r="AJ25" s="12">
        <v>840.0</v>
      </c>
      <c r="AK25" s="12">
        <v>864.0</v>
      </c>
      <c r="AL25" s="12">
        <v>888.0</v>
      </c>
      <c r="AM25" s="12">
        <v>912.0</v>
      </c>
      <c r="AN25" s="12">
        <v>936.0</v>
      </c>
      <c r="AO25" s="12">
        <v>960.0</v>
      </c>
      <c r="AP25" s="12">
        <v>984.0</v>
      </c>
      <c r="AQ25" s="12">
        <v>1008.0</v>
      </c>
      <c r="AR25" s="12">
        <v>1032.0</v>
      </c>
      <c r="AS25">
        <v>1056.0</v>
      </c>
      <c r="AT25">
        <v>1080.0</v>
      </c>
      <c r="AU25">
        <v>1104.0</v>
      </c>
      <c r="AV25">
        <v>1128.0</v>
      </c>
      <c r="AW25">
        <v>1152.0</v>
      </c>
      <c r="AX25">
        <v>1176.0</v>
      </c>
      <c r="AY25">
        <v>1200.0</v>
      </c>
      <c r="AZ25">
        <v>1224.0</v>
      </c>
      <c r="BA25">
        <v>1248.0</v>
      </c>
      <c r="BB25">
        <v>1272.0</v>
      </c>
      <c r="BC25">
        <v>1296.0</v>
      </c>
      <c r="BD25">
        <v>1320.0</v>
      </c>
      <c r="BE25">
        <v>1344.0</v>
      </c>
      <c r="BF25">
        <v>1368.0</v>
      </c>
      <c r="BG25">
        <v>1392.0</v>
      </c>
      <c r="BH25">
        <v>1416.0</v>
      </c>
      <c r="BI25">
        <v>1440.0</v>
      </c>
      <c r="BJ25">
        <v>1464.0</v>
      </c>
      <c r="BK25">
        <v>1488.0</v>
      </c>
      <c r="BL25">
        <v>1512.0</v>
      </c>
      <c r="BM25">
        <v>1536.0</v>
      </c>
      <c r="BN25">
        <v>1560.0</v>
      </c>
      <c r="BO25">
        <v>1584.0</v>
      </c>
      <c r="BP25">
        <v>1608.0</v>
      </c>
      <c r="BQ25">
        <v>1632.0</v>
      </c>
      <c r="BR25">
        <v>1656.0</v>
      </c>
      <c r="BS25">
        <v>1680.0</v>
      </c>
      <c r="BT25">
        <v>1704.0</v>
      </c>
      <c r="BU25">
        <v>1728.0</v>
      </c>
      <c r="BV25">
        <v>1752.0</v>
      </c>
      <c r="BW25">
        <v>1776.0</v>
      </c>
      <c r="BX25">
        <v>1800.0</v>
      </c>
      <c r="BY25">
        <v>1824.0</v>
      </c>
      <c r="BZ25">
        <v>1848.0</v>
      </c>
      <c r="CA25">
        <v>1872.0</v>
      </c>
      <c r="CB25">
        <v>1896.0</v>
      </c>
      <c r="CC25">
        <v>1920.0</v>
      </c>
      <c r="CD25">
        <v>1944.0</v>
      </c>
      <c r="CE25">
        <v>1968.0</v>
      </c>
      <c r="CF25">
        <v>1992.0</v>
      </c>
      <c r="CG25">
        <v>2016.0</v>
      </c>
      <c r="CH25">
        <v>2040.0</v>
      </c>
      <c r="CI25">
        <v>2064.0</v>
      </c>
      <c r="CJ25">
        <v>2088.0</v>
      </c>
      <c r="CK25">
        <v>2112.0</v>
      </c>
      <c r="CL25">
        <v>2136.0</v>
      </c>
      <c r="CM25">
        <v>2160.0</v>
      </c>
      <c r="CN25">
        <v>2184.0</v>
      </c>
      <c r="CO25">
        <v>2208.0</v>
      </c>
      <c r="CP25">
        <v>2232.0</v>
      </c>
      <c r="CQ25">
        <v>2256.0</v>
      </c>
      <c r="CR25">
        <v>2280.0</v>
      </c>
      <c r="CS25">
        <v>2304.0</v>
      </c>
      <c r="CT25">
        <v>2328.0</v>
      </c>
      <c r="CU25">
        <v>2352.0</v>
      </c>
      <c r="CV25">
        <v>2376.0</v>
      </c>
      <c r="CW25">
        <v>2400.0</v>
      </c>
      <c r="CX25">
        <v>2424.0</v>
      </c>
      <c r="CY25">
        <v>2448.0</v>
      </c>
      <c r="CZ25">
        <v>2472.0</v>
      </c>
    </row>
    <row r="26" ht="19.5" customHeight="1">
      <c r="A26" s="2">
        <v>25.0</v>
      </c>
      <c r="B26" s="5">
        <v>25.0</v>
      </c>
      <c r="C26" s="5">
        <v>50.0</v>
      </c>
      <c r="D26" s="5">
        <v>75.0</v>
      </c>
      <c r="E26" s="13">
        <v>100.0</v>
      </c>
      <c r="F26" s="13">
        <v>125.0</v>
      </c>
      <c r="G26" s="13">
        <v>150.0</v>
      </c>
      <c r="H26" s="13">
        <v>175.0</v>
      </c>
      <c r="I26" s="13">
        <v>200.0</v>
      </c>
      <c r="J26" s="13">
        <v>225.0</v>
      </c>
      <c r="K26" s="13">
        <v>250.0</v>
      </c>
      <c r="L26" s="13">
        <v>275.0</v>
      </c>
      <c r="M26" s="13">
        <v>300.0</v>
      </c>
      <c r="N26" s="13">
        <v>325.0</v>
      </c>
      <c r="O26" s="13">
        <v>350.0</v>
      </c>
      <c r="P26" s="12">
        <v>375.0</v>
      </c>
      <c r="Q26" s="12">
        <v>400.0</v>
      </c>
      <c r="R26" s="12">
        <v>425.0</v>
      </c>
      <c r="S26" s="12">
        <v>450.0</v>
      </c>
      <c r="T26" s="12">
        <v>475.0</v>
      </c>
      <c r="U26" s="12">
        <v>500.0</v>
      </c>
      <c r="V26" s="12">
        <v>525.0</v>
      </c>
      <c r="W26" s="12">
        <v>550.0</v>
      </c>
      <c r="X26" s="12">
        <v>575.0</v>
      </c>
      <c r="Y26" s="12">
        <v>600.0</v>
      </c>
      <c r="Z26" s="18">
        <v>625.0</v>
      </c>
      <c r="AA26" s="12">
        <v>650.0</v>
      </c>
      <c r="AB26" s="12">
        <v>675.0</v>
      </c>
      <c r="AC26" s="12">
        <v>700.0</v>
      </c>
      <c r="AD26" s="12">
        <v>725.0</v>
      </c>
      <c r="AE26" s="5">
        <v>750.0</v>
      </c>
      <c r="AF26" s="12">
        <v>775.0</v>
      </c>
      <c r="AG26" s="12">
        <v>800.0</v>
      </c>
      <c r="AH26" s="12">
        <v>825.0</v>
      </c>
      <c r="AI26" s="12">
        <v>850.0</v>
      </c>
      <c r="AJ26" s="12">
        <v>875.0</v>
      </c>
      <c r="AK26" s="12">
        <v>900.0</v>
      </c>
      <c r="AL26" s="12">
        <v>925.0</v>
      </c>
      <c r="AM26" s="12">
        <v>950.0</v>
      </c>
      <c r="AN26" s="12">
        <v>975.0</v>
      </c>
      <c r="AO26" s="12">
        <v>1000.0</v>
      </c>
      <c r="AP26" s="12">
        <v>1025.0</v>
      </c>
      <c r="AQ26">
        <v>1050.0</v>
      </c>
      <c r="AR26">
        <v>1075.0</v>
      </c>
      <c r="AS26">
        <v>1100.0</v>
      </c>
      <c r="AT26">
        <v>1125.0</v>
      </c>
      <c r="AU26">
        <v>1150.0</v>
      </c>
      <c r="AV26">
        <v>1175.0</v>
      </c>
      <c r="AW26">
        <v>1200.0</v>
      </c>
      <c r="AX26">
        <v>1225.0</v>
      </c>
      <c r="AY26">
        <v>1250.0</v>
      </c>
      <c r="AZ26">
        <v>1275.0</v>
      </c>
      <c r="BA26">
        <v>1300.0</v>
      </c>
      <c r="BB26">
        <v>1325.0</v>
      </c>
      <c r="BC26">
        <v>1350.0</v>
      </c>
      <c r="BD26">
        <v>1375.0</v>
      </c>
      <c r="BE26">
        <v>1400.0</v>
      </c>
      <c r="BF26">
        <v>1425.0</v>
      </c>
      <c r="BG26">
        <v>1450.0</v>
      </c>
      <c r="BH26">
        <v>1475.0</v>
      </c>
      <c r="BI26">
        <v>1500.0</v>
      </c>
      <c r="BJ26">
        <v>1525.0</v>
      </c>
      <c r="BK26">
        <v>1550.0</v>
      </c>
      <c r="BL26">
        <v>1575.0</v>
      </c>
      <c r="BM26">
        <v>1600.0</v>
      </c>
      <c r="BN26">
        <v>1625.0</v>
      </c>
      <c r="BO26">
        <v>1650.0</v>
      </c>
      <c r="BP26">
        <v>1675.0</v>
      </c>
      <c r="BQ26">
        <v>1700.0</v>
      </c>
      <c r="BR26">
        <v>1725.0</v>
      </c>
      <c r="BS26">
        <v>1750.0</v>
      </c>
      <c r="BT26">
        <v>1775.0</v>
      </c>
      <c r="BU26">
        <v>1800.0</v>
      </c>
      <c r="BV26">
        <v>1825.0</v>
      </c>
      <c r="BW26">
        <v>1850.0</v>
      </c>
      <c r="BX26">
        <v>1875.0</v>
      </c>
      <c r="BY26">
        <v>1900.0</v>
      </c>
      <c r="BZ26">
        <v>1925.0</v>
      </c>
      <c r="CA26">
        <v>1950.0</v>
      </c>
      <c r="CB26">
        <v>1975.0</v>
      </c>
      <c r="CC26">
        <v>2000.0</v>
      </c>
      <c r="CD26">
        <v>2025.0</v>
      </c>
      <c r="CE26">
        <v>2050.0</v>
      </c>
      <c r="CF26">
        <v>2075.0</v>
      </c>
      <c r="CG26">
        <v>2100.0</v>
      </c>
      <c r="CH26">
        <v>2125.0</v>
      </c>
      <c r="CI26">
        <v>2150.0</v>
      </c>
      <c r="CJ26">
        <v>2175.0</v>
      </c>
      <c r="CK26">
        <v>2200.0</v>
      </c>
      <c r="CL26">
        <v>2225.0</v>
      </c>
      <c r="CM26">
        <v>2250.0</v>
      </c>
      <c r="CN26">
        <v>2275.0</v>
      </c>
      <c r="CO26">
        <v>2300.0</v>
      </c>
      <c r="CP26">
        <v>2325.0</v>
      </c>
      <c r="CQ26">
        <v>2350.0</v>
      </c>
      <c r="CR26">
        <v>2375.0</v>
      </c>
      <c r="CS26">
        <v>2400.0</v>
      </c>
      <c r="CT26">
        <v>2425.0</v>
      </c>
      <c r="CU26">
        <v>2450.0</v>
      </c>
      <c r="CV26">
        <v>2475.0</v>
      </c>
      <c r="CW26">
        <v>2500.0</v>
      </c>
      <c r="CX26">
        <v>2525.0</v>
      </c>
      <c r="CY26">
        <v>2550.0</v>
      </c>
      <c r="CZ26">
        <v>2575.0</v>
      </c>
    </row>
    <row r="27" ht="19.5" customHeight="1">
      <c r="A27" s="2">
        <v>26.0</v>
      </c>
      <c r="B27" s="5">
        <v>26.0</v>
      </c>
      <c r="C27" s="5">
        <v>52.0</v>
      </c>
      <c r="D27" s="5">
        <v>78.0</v>
      </c>
      <c r="E27" s="13">
        <v>104.0</v>
      </c>
      <c r="F27" s="13">
        <v>130.0</v>
      </c>
      <c r="G27" s="13">
        <v>156.0</v>
      </c>
      <c r="H27" s="13">
        <v>182.0</v>
      </c>
      <c r="I27" s="13">
        <v>208.0</v>
      </c>
      <c r="J27" s="13">
        <v>234.0</v>
      </c>
      <c r="K27" s="13">
        <v>260.0</v>
      </c>
      <c r="L27" s="13">
        <v>286.0</v>
      </c>
      <c r="M27" s="13">
        <v>312.0</v>
      </c>
      <c r="N27" s="13">
        <v>338.0</v>
      </c>
      <c r="O27" s="12">
        <v>364.0</v>
      </c>
      <c r="P27" s="12">
        <v>390.0</v>
      </c>
      <c r="Q27" s="12">
        <v>416.0</v>
      </c>
      <c r="R27" s="12">
        <v>442.0</v>
      </c>
      <c r="S27" s="12">
        <v>468.0</v>
      </c>
      <c r="T27" s="12">
        <v>494.0</v>
      </c>
      <c r="U27" s="12">
        <v>520.0</v>
      </c>
      <c r="V27" s="12">
        <v>546.0</v>
      </c>
      <c r="W27" s="12">
        <v>572.0</v>
      </c>
      <c r="X27" s="12">
        <v>598.0</v>
      </c>
      <c r="Y27" s="12">
        <v>624.0</v>
      </c>
      <c r="Z27" s="12">
        <v>650.0</v>
      </c>
      <c r="AA27" s="18">
        <v>676.0</v>
      </c>
      <c r="AB27" s="12">
        <v>702.0</v>
      </c>
      <c r="AC27" s="12">
        <v>728.0</v>
      </c>
      <c r="AD27" s="12">
        <v>754.0</v>
      </c>
      <c r="AE27" s="12">
        <v>780.0</v>
      </c>
      <c r="AF27" s="23">
        <v>806.0</v>
      </c>
      <c r="AG27" s="12">
        <v>832.0</v>
      </c>
      <c r="AH27" s="12">
        <v>858.0</v>
      </c>
      <c r="AI27" s="12">
        <v>884.0</v>
      </c>
      <c r="AJ27" s="12">
        <v>910.0</v>
      </c>
      <c r="AK27" s="12">
        <v>936.0</v>
      </c>
      <c r="AL27" s="12">
        <v>962.0</v>
      </c>
      <c r="AM27" s="12">
        <v>988.0</v>
      </c>
      <c r="AN27" s="12">
        <v>1014.0</v>
      </c>
      <c r="AO27" s="12">
        <v>1040.0</v>
      </c>
      <c r="AP27">
        <v>1066.0</v>
      </c>
      <c r="AQ27">
        <v>1092.0</v>
      </c>
      <c r="AR27">
        <v>1118.0</v>
      </c>
      <c r="AS27">
        <v>1144.0</v>
      </c>
      <c r="AT27">
        <v>1170.0</v>
      </c>
      <c r="AU27">
        <v>1196.0</v>
      </c>
      <c r="AV27">
        <v>1222.0</v>
      </c>
      <c r="AW27">
        <v>1248.0</v>
      </c>
      <c r="AX27">
        <v>1274.0</v>
      </c>
      <c r="AY27">
        <v>1300.0</v>
      </c>
      <c r="AZ27">
        <v>1326.0</v>
      </c>
      <c r="BA27">
        <v>1352.0</v>
      </c>
      <c r="BB27">
        <v>1378.0</v>
      </c>
      <c r="BC27">
        <v>1404.0</v>
      </c>
      <c r="BD27">
        <v>1430.0</v>
      </c>
      <c r="BE27">
        <v>1456.0</v>
      </c>
      <c r="BF27">
        <v>1482.0</v>
      </c>
      <c r="BG27">
        <v>1508.0</v>
      </c>
      <c r="BH27">
        <v>1534.0</v>
      </c>
      <c r="BI27">
        <v>1560.0</v>
      </c>
      <c r="BJ27">
        <v>1586.0</v>
      </c>
      <c r="BK27">
        <v>1612.0</v>
      </c>
      <c r="BL27">
        <v>1638.0</v>
      </c>
      <c r="BM27">
        <v>1664.0</v>
      </c>
      <c r="BN27">
        <v>1690.0</v>
      </c>
      <c r="BO27">
        <v>1716.0</v>
      </c>
      <c r="BP27">
        <v>1742.0</v>
      </c>
      <c r="BQ27">
        <v>1768.0</v>
      </c>
      <c r="BR27">
        <v>1794.0</v>
      </c>
      <c r="BS27">
        <v>1820.0</v>
      </c>
      <c r="BT27">
        <v>1846.0</v>
      </c>
      <c r="BU27">
        <v>1872.0</v>
      </c>
      <c r="BV27">
        <v>1898.0</v>
      </c>
      <c r="BW27">
        <v>1924.0</v>
      </c>
      <c r="BX27">
        <v>1950.0</v>
      </c>
      <c r="BY27">
        <v>1976.0</v>
      </c>
      <c r="BZ27">
        <v>2002.0</v>
      </c>
      <c r="CA27">
        <v>2028.0</v>
      </c>
      <c r="CB27">
        <v>2054.0</v>
      </c>
      <c r="CC27">
        <v>2080.0</v>
      </c>
      <c r="CD27">
        <v>2106.0</v>
      </c>
      <c r="CE27">
        <v>2132.0</v>
      </c>
      <c r="CF27">
        <v>2158.0</v>
      </c>
      <c r="CG27">
        <v>2184.0</v>
      </c>
      <c r="CH27">
        <v>2210.0</v>
      </c>
      <c r="CI27">
        <v>2236.0</v>
      </c>
      <c r="CJ27">
        <v>2262.0</v>
      </c>
      <c r="CK27">
        <v>2288.0</v>
      </c>
      <c r="CL27">
        <v>2314.0</v>
      </c>
      <c r="CM27">
        <v>2340.0</v>
      </c>
      <c r="CN27">
        <v>2366.0</v>
      </c>
      <c r="CO27">
        <v>2392.0</v>
      </c>
      <c r="CP27">
        <v>2418.0</v>
      </c>
      <c r="CQ27">
        <v>2444.0</v>
      </c>
      <c r="CR27">
        <v>2470.0</v>
      </c>
      <c r="CS27">
        <v>2496.0</v>
      </c>
      <c r="CT27">
        <v>2522.0</v>
      </c>
      <c r="CU27">
        <v>2548.0</v>
      </c>
      <c r="CV27">
        <v>2574.0</v>
      </c>
      <c r="CW27">
        <v>2600.0</v>
      </c>
      <c r="CX27">
        <v>2626.0</v>
      </c>
      <c r="CY27">
        <v>2652.0</v>
      </c>
      <c r="CZ27">
        <v>2678.0</v>
      </c>
    </row>
    <row r="28" ht="19.5" customHeight="1">
      <c r="A28" s="2">
        <v>27.0</v>
      </c>
      <c r="B28" s="5">
        <v>27.0</v>
      </c>
      <c r="C28" s="5">
        <v>54.0</v>
      </c>
      <c r="D28" s="5">
        <v>81.0</v>
      </c>
      <c r="E28" s="13">
        <v>108.0</v>
      </c>
      <c r="F28" s="13">
        <v>135.0</v>
      </c>
      <c r="G28" s="13">
        <v>162.0</v>
      </c>
      <c r="H28" s="13">
        <v>189.0</v>
      </c>
      <c r="I28" s="13">
        <v>216.0</v>
      </c>
      <c r="J28" s="13">
        <v>243.0</v>
      </c>
      <c r="K28" s="13">
        <v>270.0</v>
      </c>
      <c r="L28" s="13">
        <v>297.0</v>
      </c>
      <c r="M28" s="13">
        <v>324.0</v>
      </c>
      <c r="N28" s="13">
        <v>351.0</v>
      </c>
      <c r="O28" s="12">
        <v>378.0</v>
      </c>
      <c r="P28" s="12">
        <v>405.0</v>
      </c>
      <c r="Q28" s="12">
        <v>432.0</v>
      </c>
      <c r="R28" s="12">
        <v>459.0</v>
      </c>
      <c r="S28" s="12">
        <v>486.0</v>
      </c>
      <c r="T28" s="12">
        <v>513.0</v>
      </c>
      <c r="U28" s="12">
        <v>540.0</v>
      </c>
      <c r="V28" s="12">
        <v>567.0</v>
      </c>
      <c r="W28" s="12">
        <v>594.0</v>
      </c>
      <c r="X28" s="12">
        <v>621.0</v>
      </c>
      <c r="Y28" s="12">
        <v>648.0</v>
      </c>
      <c r="Z28" s="12">
        <v>675.0</v>
      </c>
      <c r="AA28" s="12">
        <v>702.0</v>
      </c>
      <c r="AB28" s="18">
        <v>729.0</v>
      </c>
      <c r="AC28" s="12">
        <v>756.0</v>
      </c>
      <c r="AD28" s="12">
        <v>783.0</v>
      </c>
      <c r="AE28" s="12">
        <v>810.0</v>
      </c>
      <c r="AF28" s="12">
        <v>837.0</v>
      </c>
      <c r="AG28" s="12">
        <v>864.0</v>
      </c>
      <c r="AH28" s="12">
        <v>891.0</v>
      </c>
      <c r="AI28" s="12">
        <v>918.0</v>
      </c>
      <c r="AJ28" s="12">
        <v>945.0</v>
      </c>
      <c r="AK28" s="12">
        <v>972.0</v>
      </c>
      <c r="AL28" s="12">
        <v>999.0</v>
      </c>
      <c r="AM28" s="12">
        <v>1026.0</v>
      </c>
      <c r="AN28">
        <v>1053.0</v>
      </c>
      <c r="AO28">
        <v>1080.0</v>
      </c>
      <c r="AP28">
        <v>1107.0</v>
      </c>
      <c r="AQ28">
        <v>1134.0</v>
      </c>
      <c r="AR28">
        <v>1161.0</v>
      </c>
      <c r="AS28">
        <v>1188.0</v>
      </c>
      <c r="AT28">
        <v>1215.0</v>
      </c>
      <c r="AU28">
        <v>1242.0</v>
      </c>
      <c r="AV28">
        <v>1269.0</v>
      </c>
      <c r="AW28">
        <v>1296.0</v>
      </c>
      <c r="AX28">
        <v>1323.0</v>
      </c>
      <c r="AY28">
        <v>1350.0</v>
      </c>
      <c r="AZ28">
        <v>1377.0</v>
      </c>
      <c r="BA28">
        <v>1404.0</v>
      </c>
      <c r="BB28">
        <v>1431.0</v>
      </c>
      <c r="BC28">
        <v>1458.0</v>
      </c>
      <c r="BD28">
        <v>1485.0</v>
      </c>
      <c r="BE28">
        <v>1512.0</v>
      </c>
      <c r="BF28">
        <v>1539.0</v>
      </c>
      <c r="BG28">
        <v>1566.0</v>
      </c>
      <c r="BH28">
        <v>1593.0</v>
      </c>
      <c r="BI28">
        <v>1620.0</v>
      </c>
      <c r="BJ28">
        <v>1647.0</v>
      </c>
      <c r="BK28">
        <v>1674.0</v>
      </c>
      <c r="BL28">
        <v>1701.0</v>
      </c>
      <c r="BM28">
        <v>1728.0</v>
      </c>
      <c r="BN28">
        <v>1755.0</v>
      </c>
      <c r="BO28">
        <v>1782.0</v>
      </c>
      <c r="BP28">
        <v>1809.0</v>
      </c>
      <c r="BQ28">
        <v>1836.0</v>
      </c>
      <c r="BR28">
        <v>1863.0</v>
      </c>
      <c r="BS28">
        <v>1890.0</v>
      </c>
      <c r="BT28">
        <v>1917.0</v>
      </c>
      <c r="BU28">
        <v>1944.0</v>
      </c>
      <c r="BV28">
        <v>1971.0</v>
      </c>
      <c r="BW28">
        <v>1998.0</v>
      </c>
      <c r="BX28">
        <v>2025.0</v>
      </c>
      <c r="BY28">
        <v>2052.0</v>
      </c>
      <c r="BZ28">
        <v>2079.0</v>
      </c>
      <c r="CA28">
        <v>2106.0</v>
      </c>
      <c r="CB28">
        <v>2133.0</v>
      </c>
      <c r="CC28">
        <v>2160.0</v>
      </c>
      <c r="CD28">
        <v>2187.0</v>
      </c>
      <c r="CE28">
        <v>2214.0</v>
      </c>
      <c r="CF28">
        <v>2241.0</v>
      </c>
      <c r="CG28">
        <v>2268.0</v>
      </c>
      <c r="CH28">
        <v>2295.0</v>
      </c>
      <c r="CI28">
        <v>2322.0</v>
      </c>
      <c r="CJ28">
        <v>2349.0</v>
      </c>
      <c r="CK28">
        <v>2376.0</v>
      </c>
      <c r="CL28">
        <v>2403.0</v>
      </c>
      <c r="CM28">
        <v>2430.0</v>
      </c>
      <c r="CN28">
        <v>2457.0</v>
      </c>
      <c r="CO28">
        <v>2484.0</v>
      </c>
      <c r="CP28">
        <v>2511.0</v>
      </c>
      <c r="CQ28">
        <v>2538.0</v>
      </c>
      <c r="CR28">
        <v>2565.0</v>
      </c>
      <c r="CS28">
        <v>2592.0</v>
      </c>
      <c r="CT28">
        <v>2619.0</v>
      </c>
      <c r="CU28">
        <v>2646.0</v>
      </c>
      <c r="CV28">
        <v>2673.0</v>
      </c>
      <c r="CW28">
        <v>2700.0</v>
      </c>
      <c r="CX28">
        <v>2727.0</v>
      </c>
      <c r="CY28">
        <v>2754.0</v>
      </c>
      <c r="CZ28">
        <v>2781.0</v>
      </c>
    </row>
    <row r="29" ht="19.5" customHeight="1">
      <c r="A29" s="2">
        <v>28.0</v>
      </c>
      <c r="B29" s="5">
        <v>28.0</v>
      </c>
      <c r="C29" s="5">
        <v>56.0</v>
      </c>
      <c r="D29" s="13">
        <v>84.0</v>
      </c>
      <c r="E29" s="13">
        <v>112.0</v>
      </c>
      <c r="F29" s="13">
        <v>140.0</v>
      </c>
      <c r="G29" s="13">
        <v>168.0</v>
      </c>
      <c r="H29" s="13">
        <v>196.0</v>
      </c>
      <c r="I29" s="13">
        <v>224.0</v>
      </c>
      <c r="J29" s="13">
        <v>252.0</v>
      </c>
      <c r="K29" s="13">
        <v>280.0</v>
      </c>
      <c r="L29" s="13">
        <v>308.0</v>
      </c>
      <c r="M29" s="13">
        <v>336.0</v>
      </c>
      <c r="N29" s="12">
        <v>364.0</v>
      </c>
      <c r="O29" s="12">
        <v>392.0</v>
      </c>
      <c r="P29" s="12">
        <v>420.0</v>
      </c>
      <c r="Q29" s="12">
        <v>448.0</v>
      </c>
      <c r="R29" s="12">
        <v>476.0</v>
      </c>
      <c r="S29" s="12">
        <v>504.0</v>
      </c>
      <c r="T29" s="12">
        <v>532.0</v>
      </c>
      <c r="U29" s="12">
        <v>560.0</v>
      </c>
      <c r="V29" s="12">
        <v>588.0</v>
      </c>
      <c r="W29" s="12">
        <v>616.0</v>
      </c>
      <c r="X29" s="12">
        <v>644.0</v>
      </c>
      <c r="Y29" s="12">
        <v>672.0</v>
      </c>
      <c r="Z29" s="12">
        <v>700.0</v>
      </c>
      <c r="AA29" s="12">
        <v>728.0</v>
      </c>
      <c r="AB29" s="12">
        <v>756.0</v>
      </c>
      <c r="AC29" s="18">
        <v>784.0</v>
      </c>
      <c r="AD29" s="12">
        <v>812.0</v>
      </c>
      <c r="AE29" s="12">
        <v>840.0</v>
      </c>
      <c r="AF29" s="12">
        <v>868.0</v>
      </c>
      <c r="AG29" s="12">
        <v>896.0</v>
      </c>
      <c r="AH29" s="12">
        <v>924.0</v>
      </c>
      <c r="AI29" s="12">
        <v>952.0</v>
      </c>
      <c r="AJ29" s="12">
        <v>980.0</v>
      </c>
      <c r="AK29" s="12">
        <v>1008.0</v>
      </c>
      <c r="AL29" s="12">
        <v>1036.0</v>
      </c>
      <c r="AM29">
        <v>1064.0</v>
      </c>
      <c r="AN29">
        <v>1092.0</v>
      </c>
      <c r="AO29">
        <v>1120.0</v>
      </c>
      <c r="AP29">
        <v>1148.0</v>
      </c>
      <c r="AQ29">
        <v>1176.0</v>
      </c>
      <c r="AR29">
        <v>1204.0</v>
      </c>
      <c r="AS29">
        <v>1232.0</v>
      </c>
      <c r="AT29">
        <v>1260.0</v>
      </c>
      <c r="AU29">
        <v>1288.0</v>
      </c>
      <c r="AV29">
        <v>1316.0</v>
      </c>
      <c r="AW29">
        <v>1344.0</v>
      </c>
      <c r="AX29">
        <v>1372.0</v>
      </c>
      <c r="AY29">
        <v>1400.0</v>
      </c>
      <c r="AZ29">
        <v>1428.0</v>
      </c>
      <c r="BA29">
        <v>1456.0</v>
      </c>
      <c r="BB29">
        <v>1484.0</v>
      </c>
      <c r="BC29">
        <v>1512.0</v>
      </c>
      <c r="BD29">
        <v>1540.0</v>
      </c>
      <c r="BE29">
        <v>1568.0</v>
      </c>
      <c r="BF29">
        <v>1596.0</v>
      </c>
      <c r="BG29">
        <v>1624.0</v>
      </c>
      <c r="BH29">
        <v>1652.0</v>
      </c>
      <c r="BI29">
        <v>1680.0</v>
      </c>
      <c r="BJ29">
        <v>1708.0</v>
      </c>
      <c r="BK29">
        <v>1736.0</v>
      </c>
      <c r="BL29">
        <v>1764.0</v>
      </c>
      <c r="BM29">
        <v>1792.0</v>
      </c>
      <c r="BN29">
        <v>1820.0</v>
      </c>
      <c r="BO29">
        <v>1848.0</v>
      </c>
      <c r="BP29">
        <v>1876.0</v>
      </c>
      <c r="BQ29">
        <v>1904.0</v>
      </c>
      <c r="BR29">
        <v>1932.0</v>
      </c>
      <c r="BS29">
        <v>1960.0</v>
      </c>
      <c r="BT29">
        <v>1988.0</v>
      </c>
      <c r="BU29">
        <v>2016.0</v>
      </c>
      <c r="BV29">
        <v>2044.0</v>
      </c>
      <c r="BW29">
        <v>2072.0</v>
      </c>
      <c r="BX29">
        <v>2100.0</v>
      </c>
      <c r="BY29">
        <v>2128.0</v>
      </c>
      <c r="BZ29">
        <v>2156.0</v>
      </c>
      <c r="CA29">
        <v>2184.0</v>
      </c>
      <c r="CB29">
        <v>2212.0</v>
      </c>
      <c r="CC29">
        <v>2240.0</v>
      </c>
      <c r="CD29">
        <v>2268.0</v>
      </c>
      <c r="CE29">
        <v>2296.0</v>
      </c>
      <c r="CF29">
        <v>2324.0</v>
      </c>
      <c r="CG29">
        <v>2352.0</v>
      </c>
      <c r="CH29">
        <v>2380.0</v>
      </c>
      <c r="CI29">
        <v>2408.0</v>
      </c>
      <c r="CJ29">
        <v>2436.0</v>
      </c>
      <c r="CK29">
        <v>2464.0</v>
      </c>
      <c r="CL29">
        <v>2492.0</v>
      </c>
      <c r="CM29">
        <v>2520.0</v>
      </c>
      <c r="CN29">
        <v>2548.0</v>
      </c>
      <c r="CO29">
        <v>2576.0</v>
      </c>
      <c r="CP29">
        <v>2604.0</v>
      </c>
      <c r="CQ29">
        <v>2632.0</v>
      </c>
      <c r="CR29">
        <v>2660.0</v>
      </c>
      <c r="CS29">
        <v>2688.0</v>
      </c>
      <c r="CT29">
        <v>2716.0</v>
      </c>
      <c r="CU29">
        <v>2744.0</v>
      </c>
      <c r="CV29">
        <v>2772.0</v>
      </c>
      <c r="CW29">
        <v>2800.0</v>
      </c>
      <c r="CX29">
        <v>2828.0</v>
      </c>
      <c r="CY29">
        <v>2856.0</v>
      </c>
      <c r="CZ29">
        <v>2884.0</v>
      </c>
    </row>
    <row r="30" ht="19.5" customHeight="1">
      <c r="A30" s="2">
        <v>29.0</v>
      </c>
      <c r="B30" s="5">
        <v>29.0</v>
      </c>
      <c r="C30" s="5">
        <v>58.0</v>
      </c>
      <c r="D30" s="13">
        <v>87.0</v>
      </c>
      <c r="E30" s="13">
        <v>116.0</v>
      </c>
      <c r="F30" s="13">
        <v>145.0</v>
      </c>
      <c r="G30" s="13">
        <v>174.0</v>
      </c>
      <c r="H30" s="13">
        <v>203.0</v>
      </c>
      <c r="I30" s="13">
        <v>232.0</v>
      </c>
      <c r="J30" s="13">
        <v>261.0</v>
      </c>
      <c r="K30" s="13">
        <v>290.0</v>
      </c>
      <c r="L30" s="13">
        <v>319.0</v>
      </c>
      <c r="M30" s="13">
        <v>348.0</v>
      </c>
      <c r="N30" s="12">
        <v>377.0</v>
      </c>
      <c r="O30" s="12">
        <v>406.0</v>
      </c>
      <c r="P30" s="12">
        <v>435.0</v>
      </c>
      <c r="Q30" s="12">
        <v>464.0</v>
      </c>
      <c r="R30" s="12">
        <v>493.0</v>
      </c>
      <c r="S30" s="12">
        <v>522.0</v>
      </c>
      <c r="T30" s="12">
        <v>551.0</v>
      </c>
      <c r="U30" s="12">
        <v>580.0</v>
      </c>
      <c r="V30" s="12">
        <v>609.0</v>
      </c>
      <c r="W30" s="12">
        <v>638.0</v>
      </c>
      <c r="X30" s="12">
        <v>667.0</v>
      </c>
      <c r="Y30" s="12">
        <v>696.0</v>
      </c>
      <c r="Z30" s="12">
        <v>725.0</v>
      </c>
      <c r="AA30" s="12">
        <v>754.0</v>
      </c>
      <c r="AB30" s="12">
        <v>783.0</v>
      </c>
      <c r="AC30" s="12">
        <v>812.0</v>
      </c>
      <c r="AD30" s="18">
        <v>841.0</v>
      </c>
      <c r="AE30" s="12">
        <v>870.0</v>
      </c>
      <c r="AF30" s="12">
        <v>899.0</v>
      </c>
      <c r="AG30" s="12">
        <v>928.0</v>
      </c>
      <c r="AH30" s="12">
        <v>957.0</v>
      </c>
      <c r="AI30" s="12">
        <v>986.0</v>
      </c>
      <c r="AJ30" s="12">
        <v>1015.0</v>
      </c>
      <c r="AK30" s="12">
        <v>1044.0</v>
      </c>
      <c r="AL30">
        <v>1073.0</v>
      </c>
      <c r="AM30">
        <v>1102.0</v>
      </c>
      <c r="AN30">
        <v>1131.0</v>
      </c>
      <c r="AO30">
        <v>1160.0</v>
      </c>
      <c r="AP30">
        <v>1189.0</v>
      </c>
      <c r="AQ30">
        <v>1218.0</v>
      </c>
      <c r="AR30">
        <v>1247.0</v>
      </c>
      <c r="AS30">
        <v>1276.0</v>
      </c>
      <c r="AT30">
        <v>1305.0</v>
      </c>
      <c r="AU30">
        <v>1334.0</v>
      </c>
      <c r="AV30">
        <v>1363.0</v>
      </c>
      <c r="AW30">
        <v>1392.0</v>
      </c>
      <c r="AX30">
        <v>1421.0</v>
      </c>
      <c r="AY30">
        <v>1450.0</v>
      </c>
      <c r="AZ30">
        <v>1479.0</v>
      </c>
      <c r="BA30">
        <v>1508.0</v>
      </c>
      <c r="BB30">
        <v>1537.0</v>
      </c>
      <c r="BC30">
        <v>1566.0</v>
      </c>
      <c r="BD30">
        <v>1595.0</v>
      </c>
      <c r="BE30">
        <v>1624.0</v>
      </c>
      <c r="BF30">
        <v>1653.0</v>
      </c>
      <c r="BG30">
        <v>1682.0</v>
      </c>
      <c r="BH30">
        <v>1711.0</v>
      </c>
      <c r="BI30">
        <v>1740.0</v>
      </c>
      <c r="BJ30">
        <v>1769.0</v>
      </c>
      <c r="BK30">
        <v>1798.0</v>
      </c>
      <c r="BL30">
        <v>1827.0</v>
      </c>
      <c r="BM30">
        <v>1856.0</v>
      </c>
      <c r="BN30">
        <v>1885.0</v>
      </c>
      <c r="BO30">
        <v>1914.0</v>
      </c>
      <c r="BP30">
        <v>1943.0</v>
      </c>
      <c r="BQ30">
        <v>1972.0</v>
      </c>
      <c r="BR30">
        <v>2001.0</v>
      </c>
      <c r="BS30">
        <v>2030.0</v>
      </c>
      <c r="BT30">
        <v>2059.0</v>
      </c>
      <c r="BU30">
        <v>2088.0</v>
      </c>
      <c r="BV30">
        <v>2117.0</v>
      </c>
      <c r="BW30">
        <v>2146.0</v>
      </c>
      <c r="BX30">
        <v>2175.0</v>
      </c>
      <c r="BY30">
        <v>2204.0</v>
      </c>
      <c r="BZ30">
        <v>2233.0</v>
      </c>
      <c r="CA30">
        <v>2262.0</v>
      </c>
      <c r="CB30">
        <v>2291.0</v>
      </c>
      <c r="CC30">
        <v>2320.0</v>
      </c>
      <c r="CD30">
        <v>2349.0</v>
      </c>
      <c r="CE30">
        <v>2378.0</v>
      </c>
      <c r="CF30">
        <v>2407.0</v>
      </c>
      <c r="CG30">
        <v>2436.0</v>
      </c>
      <c r="CH30">
        <v>2465.0</v>
      </c>
      <c r="CI30">
        <v>2494.0</v>
      </c>
      <c r="CJ30">
        <v>2523.0</v>
      </c>
      <c r="CK30">
        <v>2552.0</v>
      </c>
      <c r="CL30">
        <v>2581.0</v>
      </c>
      <c r="CM30">
        <v>2610.0</v>
      </c>
      <c r="CN30">
        <v>2639.0</v>
      </c>
      <c r="CO30">
        <v>2668.0</v>
      </c>
      <c r="CP30">
        <v>2697.0</v>
      </c>
      <c r="CQ30">
        <v>2726.0</v>
      </c>
      <c r="CR30">
        <v>2755.0</v>
      </c>
      <c r="CS30">
        <v>2784.0</v>
      </c>
      <c r="CT30">
        <v>2813.0</v>
      </c>
      <c r="CU30">
        <v>2842.0</v>
      </c>
      <c r="CV30">
        <v>2871.0</v>
      </c>
      <c r="CW30">
        <v>2900.0</v>
      </c>
      <c r="CX30">
        <v>2929.0</v>
      </c>
      <c r="CY30">
        <v>2958.0</v>
      </c>
      <c r="CZ30">
        <v>2987.0</v>
      </c>
    </row>
    <row r="31" ht="19.5" customHeight="1">
      <c r="A31" s="2">
        <v>30.0</v>
      </c>
      <c r="B31" s="5">
        <v>30.0</v>
      </c>
      <c r="C31" s="5">
        <v>60.0</v>
      </c>
      <c r="D31" s="13">
        <v>90.0</v>
      </c>
      <c r="E31" s="13">
        <v>120.0</v>
      </c>
      <c r="F31" s="13">
        <v>150.0</v>
      </c>
      <c r="G31" s="13">
        <v>180.0</v>
      </c>
      <c r="H31" s="13">
        <v>210.0</v>
      </c>
      <c r="I31" s="13">
        <v>240.0</v>
      </c>
      <c r="J31" s="13">
        <v>270.0</v>
      </c>
      <c r="K31" s="13">
        <v>300.0</v>
      </c>
      <c r="L31" s="13">
        <v>330.0</v>
      </c>
      <c r="M31" s="12">
        <v>360.0</v>
      </c>
      <c r="N31" s="12">
        <v>390.0</v>
      </c>
      <c r="O31" s="12">
        <v>420.0</v>
      </c>
      <c r="P31" s="12">
        <v>450.0</v>
      </c>
      <c r="Q31" s="12">
        <v>480.0</v>
      </c>
      <c r="R31" s="12">
        <v>510.0</v>
      </c>
      <c r="S31" s="12">
        <v>540.0</v>
      </c>
      <c r="T31" s="12">
        <v>570.0</v>
      </c>
      <c r="U31" s="12">
        <v>600.0</v>
      </c>
      <c r="V31" s="12">
        <v>630.0</v>
      </c>
      <c r="W31" s="12">
        <v>660.0</v>
      </c>
      <c r="X31" s="12">
        <v>690.0</v>
      </c>
      <c r="Y31" s="12">
        <v>720.0</v>
      </c>
      <c r="Z31" s="12">
        <v>750.0</v>
      </c>
      <c r="AA31" s="12">
        <v>780.0</v>
      </c>
      <c r="AB31" s="12">
        <v>810.0</v>
      </c>
      <c r="AC31" s="12">
        <v>840.0</v>
      </c>
      <c r="AD31" s="12">
        <v>870.0</v>
      </c>
      <c r="AE31" s="18">
        <v>900.0</v>
      </c>
      <c r="AF31" s="12">
        <v>930.0</v>
      </c>
      <c r="AG31" s="12">
        <v>960.0</v>
      </c>
      <c r="AH31" s="12">
        <v>990.0</v>
      </c>
      <c r="AI31" s="12">
        <v>1020.0</v>
      </c>
      <c r="AJ31" s="12">
        <v>1050.0</v>
      </c>
      <c r="AK31">
        <v>1080.0</v>
      </c>
      <c r="AL31">
        <v>1110.0</v>
      </c>
      <c r="AM31">
        <v>1140.0</v>
      </c>
      <c r="AN31">
        <v>1170.0</v>
      </c>
      <c r="AO31">
        <v>1200.0</v>
      </c>
      <c r="AP31">
        <v>1230.0</v>
      </c>
      <c r="AQ31">
        <v>1260.0</v>
      </c>
      <c r="AR31">
        <v>1290.0</v>
      </c>
      <c r="AS31">
        <v>1320.0</v>
      </c>
      <c r="AT31">
        <v>1350.0</v>
      </c>
      <c r="AU31">
        <v>1380.0</v>
      </c>
      <c r="AV31">
        <v>1410.0</v>
      </c>
      <c r="AW31">
        <v>1440.0</v>
      </c>
      <c r="AX31">
        <v>1470.0</v>
      </c>
      <c r="AY31">
        <v>1500.0</v>
      </c>
      <c r="AZ31">
        <v>1530.0</v>
      </c>
      <c r="BA31">
        <v>1560.0</v>
      </c>
      <c r="BB31">
        <v>1590.0</v>
      </c>
      <c r="BC31">
        <v>1620.0</v>
      </c>
      <c r="BD31">
        <v>1650.0</v>
      </c>
      <c r="BE31">
        <v>1680.0</v>
      </c>
      <c r="BF31">
        <v>1710.0</v>
      </c>
      <c r="BG31">
        <v>1740.0</v>
      </c>
      <c r="BH31">
        <v>1770.0</v>
      </c>
      <c r="BI31">
        <v>1800.0</v>
      </c>
      <c r="BJ31">
        <v>1830.0</v>
      </c>
      <c r="BK31">
        <v>1860.0</v>
      </c>
      <c r="BL31">
        <v>1890.0</v>
      </c>
      <c r="BM31">
        <v>1920.0</v>
      </c>
      <c r="BN31">
        <v>1950.0</v>
      </c>
      <c r="BO31">
        <v>1980.0</v>
      </c>
      <c r="BP31">
        <v>2010.0</v>
      </c>
      <c r="BQ31">
        <v>2040.0</v>
      </c>
      <c r="BR31">
        <v>2070.0</v>
      </c>
      <c r="BS31">
        <v>2100.0</v>
      </c>
      <c r="BT31">
        <v>2130.0</v>
      </c>
      <c r="BU31">
        <v>2160.0</v>
      </c>
      <c r="BV31">
        <v>2190.0</v>
      </c>
      <c r="BW31">
        <v>2220.0</v>
      </c>
      <c r="BX31">
        <v>2250.0</v>
      </c>
      <c r="BY31">
        <v>2280.0</v>
      </c>
      <c r="BZ31">
        <v>2310.0</v>
      </c>
      <c r="CA31">
        <v>2340.0</v>
      </c>
      <c r="CB31">
        <v>2370.0</v>
      </c>
      <c r="CC31">
        <v>2400.0</v>
      </c>
      <c r="CD31">
        <v>2430.0</v>
      </c>
      <c r="CE31">
        <v>2460.0</v>
      </c>
      <c r="CF31">
        <v>2490.0</v>
      </c>
      <c r="CG31">
        <v>2520.0</v>
      </c>
      <c r="CH31">
        <v>2550.0</v>
      </c>
      <c r="CI31">
        <v>2580.0</v>
      </c>
      <c r="CJ31">
        <v>2610.0</v>
      </c>
      <c r="CK31">
        <v>2640.0</v>
      </c>
      <c r="CL31">
        <v>2670.0</v>
      </c>
      <c r="CM31">
        <v>2700.0</v>
      </c>
      <c r="CN31">
        <v>2730.0</v>
      </c>
      <c r="CO31">
        <v>2760.0</v>
      </c>
      <c r="CP31">
        <v>2790.0</v>
      </c>
      <c r="CQ31">
        <v>2820.0</v>
      </c>
      <c r="CR31">
        <v>2850.0</v>
      </c>
      <c r="CS31">
        <v>2880.0</v>
      </c>
      <c r="CT31">
        <v>2910.0</v>
      </c>
      <c r="CU31">
        <v>2940.0</v>
      </c>
      <c r="CV31">
        <v>2970.0</v>
      </c>
      <c r="CW31">
        <v>3000.0</v>
      </c>
      <c r="CX31">
        <v>3030.0</v>
      </c>
      <c r="CY31">
        <v>3060.0</v>
      </c>
      <c r="CZ31">
        <v>3090.0</v>
      </c>
    </row>
    <row r="32" ht="19.5" customHeight="1">
      <c r="A32" s="2">
        <v>31.0</v>
      </c>
      <c r="B32" s="5">
        <v>31.0</v>
      </c>
      <c r="C32" s="5">
        <v>62.0</v>
      </c>
      <c r="D32" s="13">
        <v>93.0</v>
      </c>
      <c r="E32" s="13">
        <v>124.0</v>
      </c>
      <c r="F32" s="13">
        <v>155.0</v>
      </c>
      <c r="G32" s="13">
        <v>186.0</v>
      </c>
      <c r="H32" s="13">
        <v>217.0</v>
      </c>
      <c r="I32" s="13">
        <v>248.0</v>
      </c>
      <c r="J32" s="13">
        <v>279.0</v>
      </c>
      <c r="K32" s="13">
        <v>310.0</v>
      </c>
      <c r="L32" s="13">
        <v>341.0</v>
      </c>
      <c r="M32" s="12">
        <v>372.0</v>
      </c>
      <c r="N32" s="12">
        <v>403.0</v>
      </c>
      <c r="O32" s="12">
        <v>434.0</v>
      </c>
      <c r="P32" s="12">
        <v>465.0</v>
      </c>
      <c r="Q32" s="12">
        <v>496.0</v>
      </c>
      <c r="R32" s="12">
        <v>527.0</v>
      </c>
      <c r="S32" s="12">
        <v>558.0</v>
      </c>
      <c r="T32" s="12">
        <v>589.0</v>
      </c>
      <c r="U32" s="12">
        <v>620.0</v>
      </c>
      <c r="V32" s="12">
        <v>651.0</v>
      </c>
      <c r="W32" s="12">
        <v>682.0</v>
      </c>
      <c r="X32" s="12">
        <v>713.0</v>
      </c>
      <c r="Y32" s="12">
        <v>744.0</v>
      </c>
      <c r="Z32" s="12">
        <v>775.0</v>
      </c>
      <c r="AA32" s="12">
        <v>806.0</v>
      </c>
      <c r="AB32" s="12">
        <v>837.0</v>
      </c>
      <c r="AC32" s="12">
        <v>868.0</v>
      </c>
      <c r="AD32" s="12">
        <v>899.0</v>
      </c>
      <c r="AE32" s="12">
        <v>930.0</v>
      </c>
      <c r="AF32" s="18">
        <v>961.0</v>
      </c>
      <c r="AG32" s="12">
        <v>992.0</v>
      </c>
      <c r="AH32" s="12">
        <v>1023.0</v>
      </c>
      <c r="AI32" s="12">
        <v>1054.0</v>
      </c>
      <c r="AJ32">
        <v>1085.0</v>
      </c>
      <c r="AK32">
        <v>1116.0</v>
      </c>
      <c r="AL32">
        <v>1147.0</v>
      </c>
      <c r="AM32">
        <v>1178.0</v>
      </c>
      <c r="AN32">
        <v>1209.0</v>
      </c>
      <c r="AO32">
        <v>1240.0</v>
      </c>
      <c r="AP32">
        <v>1271.0</v>
      </c>
      <c r="AQ32">
        <v>1302.0</v>
      </c>
      <c r="AR32">
        <v>1333.0</v>
      </c>
      <c r="AS32">
        <v>1364.0</v>
      </c>
      <c r="AT32">
        <v>1395.0</v>
      </c>
      <c r="AU32">
        <v>1426.0</v>
      </c>
      <c r="AV32">
        <v>1457.0</v>
      </c>
      <c r="AW32">
        <v>1488.0</v>
      </c>
      <c r="AX32">
        <v>1519.0</v>
      </c>
      <c r="AY32">
        <v>1550.0</v>
      </c>
      <c r="AZ32">
        <v>1581.0</v>
      </c>
      <c r="BA32">
        <v>1612.0</v>
      </c>
      <c r="BB32">
        <v>1643.0</v>
      </c>
      <c r="BC32">
        <v>1674.0</v>
      </c>
      <c r="BD32">
        <v>1705.0</v>
      </c>
      <c r="BE32">
        <v>1736.0</v>
      </c>
      <c r="BF32">
        <v>1767.0</v>
      </c>
      <c r="BG32">
        <v>1798.0</v>
      </c>
      <c r="BH32">
        <v>1829.0</v>
      </c>
      <c r="BI32">
        <v>1860.0</v>
      </c>
      <c r="BJ32">
        <v>1891.0</v>
      </c>
      <c r="BK32">
        <v>1922.0</v>
      </c>
      <c r="BL32">
        <v>1953.0</v>
      </c>
      <c r="BM32">
        <v>1984.0</v>
      </c>
      <c r="BN32">
        <v>2015.0</v>
      </c>
      <c r="BO32">
        <v>2046.0</v>
      </c>
      <c r="BP32">
        <v>2077.0</v>
      </c>
      <c r="BQ32">
        <v>2108.0</v>
      </c>
      <c r="BR32">
        <v>2139.0</v>
      </c>
      <c r="BS32">
        <v>2170.0</v>
      </c>
      <c r="BT32">
        <v>2201.0</v>
      </c>
      <c r="BU32">
        <v>2232.0</v>
      </c>
      <c r="BV32">
        <v>2263.0</v>
      </c>
      <c r="BW32">
        <v>2294.0</v>
      </c>
      <c r="BX32">
        <v>2325.0</v>
      </c>
      <c r="BY32">
        <v>2356.0</v>
      </c>
      <c r="BZ32">
        <v>2387.0</v>
      </c>
      <c r="CA32">
        <v>2418.0</v>
      </c>
      <c r="CB32">
        <v>2449.0</v>
      </c>
      <c r="CC32">
        <v>2480.0</v>
      </c>
      <c r="CD32">
        <v>2511.0</v>
      </c>
      <c r="CE32">
        <v>2542.0</v>
      </c>
      <c r="CF32">
        <v>2573.0</v>
      </c>
      <c r="CG32">
        <v>2604.0</v>
      </c>
      <c r="CH32">
        <v>2635.0</v>
      </c>
      <c r="CI32">
        <v>2666.0</v>
      </c>
      <c r="CJ32">
        <v>2697.0</v>
      </c>
      <c r="CK32">
        <v>2728.0</v>
      </c>
      <c r="CL32">
        <v>2759.0</v>
      </c>
      <c r="CM32">
        <v>2790.0</v>
      </c>
      <c r="CN32">
        <v>2821.0</v>
      </c>
      <c r="CO32">
        <v>2852.0</v>
      </c>
      <c r="CP32">
        <v>2883.0</v>
      </c>
      <c r="CQ32">
        <v>2914.0</v>
      </c>
      <c r="CR32">
        <v>2945.0</v>
      </c>
      <c r="CS32">
        <v>2976.0</v>
      </c>
      <c r="CT32">
        <v>3007.0</v>
      </c>
      <c r="CU32">
        <v>3038.0</v>
      </c>
      <c r="CV32">
        <v>3069.0</v>
      </c>
      <c r="CW32">
        <v>3100.0</v>
      </c>
      <c r="CX32">
        <v>3131.0</v>
      </c>
      <c r="CY32">
        <v>3162.0</v>
      </c>
      <c r="CZ32">
        <v>3193.0</v>
      </c>
    </row>
    <row r="33" ht="19.5" customHeight="1">
      <c r="A33" s="2">
        <v>32.0</v>
      </c>
      <c r="B33" s="5">
        <v>32.0</v>
      </c>
      <c r="C33" s="13">
        <v>64.0</v>
      </c>
      <c r="D33" s="13">
        <v>96.0</v>
      </c>
      <c r="E33" s="13">
        <v>128.0</v>
      </c>
      <c r="F33" s="13">
        <v>160.0</v>
      </c>
      <c r="G33" s="13">
        <v>192.0</v>
      </c>
      <c r="H33" s="13">
        <v>224.0</v>
      </c>
      <c r="I33" s="13">
        <v>256.0</v>
      </c>
      <c r="J33" s="13">
        <v>288.0</v>
      </c>
      <c r="K33" s="13">
        <v>320.0</v>
      </c>
      <c r="L33" s="12">
        <v>352.0</v>
      </c>
      <c r="M33" s="12">
        <v>384.0</v>
      </c>
      <c r="N33" s="12">
        <v>416.0</v>
      </c>
      <c r="O33" s="12">
        <v>448.0</v>
      </c>
      <c r="P33" s="12">
        <v>480.0</v>
      </c>
      <c r="Q33" s="12">
        <v>512.0</v>
      </c>
      <c r="R33" s="12">
        <v>544.0</v>
      </c>
      <c r="S33" s="12">
        <v>576.0</v>
      </c>
      <c r="T33" s="12">
        <v>608.0</v>
      </c>
      <c r="U33" s="12">
        <v>640.0</v>
      </c>
      <c r="V33" s="12">
        <v>672.0</v>
      </c>
      <c r="W33" s="12">
        <v>704.0</v>
      </c>
      <c r="X33" s="12">
        <v>736.0</v>
      </c>
      <c r="Y33" s="12">
        <v>768.0</v>
      </c>
      <c r="Z33" s="12">
        <v>800.0</v>
      </c>
      <c r="AA33" s="12">
        <v>832.0</v>
      </c>
      <c r="AB33" s="12">
        <v>864.0</v>
      </c>
      <c r="AC33" s="12">
        <v>896.0</v>
      </c>
      <c r="AD33" s="12">
        <v>928.0</v>
      </c>
      <c r="AE33" s="12">
        <v>960.0</v>
      </c>
      <c r="AF33" s="12">
        <v>992.0</v>
      </c>
      <c r="AG33" s="18">
        <v>1024.0</v>
      </c>
      <c r="AH33" s="12">
        <v>1056.0</v>
      </c>
      <c r="AI33">
        <v>1088.0</v>
      </c>
      <c r="AJ33">
        <v>1120.0</v>
      </c>
      <c r="AK33">
        <v>1152.0</v>
      </c>
      <c r="AL33">
        <v>1184.0</v>
      </c>
      <c r="AM33">
        <v>1216.0</v>
      </c>
      <c r="AN33">
        <v>1248.0</v>
      </c>
      <c r="AO33">
        <v>1280.0</v>
      </c>
      <c r="AP33">
        <v>1312.0</v>
      </c>
      <c r="AQ33">
        <v>1344.0</v>
      </c>
      <c r="AR33">
        <v>1376.0</v>
      </c>
      <c r="AS33">
        <v>1408.0</v>
      </c>
      <c r="AT33">
        <v>1440.0</v>
      </c>
      <c r="AU33">
        <v>1472.0</v>
      </c>
      <c r="AV33">
        <v>1504.0</v>
      </c>
      <c r="AW33">
        <v>1536.0</v>
      </c>
      <c r="AX33">
        <v>1568.0</v>
      </c>
      <c r="AY33">
        <v>1600.0</v>
      </c>
      <c r="AZ33">
        <v>1632.0</v>
      </c>
      <c r="BA33">
        <v>1664.0</v>
      </c>
      <c r="BB33">
        <v>1696.0</v>
      </c>
      <c r="BC33">
        <v>1728.0</v>
      </c>
      <c r="BD33">
        <v>1760.0</v>
      </c>
      <c r="BE33">
        <v>1792.0</v>
      </c>
      <c r="BF33">
        <v>1824.0</v>
      </c>
      <c r="BG33">
        <v>1856.0</v>
      </c>
      <c r="BH33">
        <v>1888.0</v>
      </c>
      <c r="BI33">
        <v>1920.0</v>
      </c>
      <c r="BJ33">
        <v>1952.0</v>
      </c>
      <c r="BK33">
        <v>1984.0</v>
      </c>
      <c r="BL33">
        <v>2016.0</v>
      </c>
      <c r="BM33">
        <v>2048.0</v>
      </c>
      <c r="BN33">
        <v>2080.0</v>
      </c>
      <c r="BO33">
        <v>2112.0</v>
      </c>
      <c r="BP33">
        <v>2144.0</v>
      </c>
      <c r="BQ33">
        <v>2176.0</v>
      </c>
      <c r="BR33">
        <v>2208.0</v>
      </c>
      <c r="BS33">
        <v>2240.0</v>
      </c>
      <c r="BT33">
        <v>2272.0</v>
      </c>
      <c r="BU33">
        <v>2304.0</v>
      </c>
      <c r="BV33">
        <v>2336.0</v>
      </c>
      <c r="BW33">
        <v>2368.0</v>
      </c>
      <c r="BX33">
        <v>2400.0</v>
      </c>
      <c r="BY33">
        <v>2432.0</v>
      </c>
      <c r="BZ33">
        <v>2464.0</v>
      </c>
      <c r="CA33">
        <v>2496.0</v>
      </c>
      <c r="CB33">
        <v>2528.0</v>
      </c>
      <c r="CC33">
        <v>2560.0</v>
      </c>
      <c r="CD33">
        <v>2592.0</v>
      </c>
      <c r="CE33">
        <v>2624.0</v>
      </c>
      <c r="CF33">
        <v>2656.0</v>
      </c>
      <c r="CG33">
        <v>2688.0</v>
      </c>
      <c r="CH33">
        <v>2720.0</v>
      </c>
      <c r="CI33">
        <v>2752.0</v>
      </c>
      <c r="CJ33">
        <v>2784.0</v>
      </c>
      <c r="CK33">
        <v>2816.0</v>
      </c>
      <c r="CL33">
        <v>2848.0</v>
      </c>
      <c r="CM33">
        <v>2880.0</v>
      </c>
      <c r="CN33">
        <v>2912.0</v>
      </c>
      <c r="CO33">
        <v>2944.0</v>
      </c>
      <c r="CP33">
        <v>2976.0</v>
      </c>
      <c r="CQ33">
        <v>3008.0</v>
      </c>
      <c r="CR33">
        <v>3040.0</v>
      </c>
      <c r="CS33">
        <v>3072.0</v>
      </c>
      <c r="CT33">
        <v>3104.0</v>
      </c>
      <c r="CU33">
        <v>3136.0</v>
      </c>
      <c r="CV33">
        <v>3168.0</v>
      </c>
      <c r="CW33">
        <v>3200.0</v>
      </c>
      <c r="CX33">
        <v>3232.0</v>
      </c>
      <c r="CY33">
        <v>3264.0</v>
      </c>
      <c r="CZ33">
        <v>3296.0</v>
      </c>
    </row>
    <row r="34" ht="19.5" customHeight="1">
      <c r="A34" s="2">
        <v>33.0</v>
      </c>
      <c r="B34" s="13">
        <v>33.0</v>
      </c>
      <c r="C34" s="13">
        <v>66.0</v>
      </c>
      <c r="D34" s="13">
        <v>99.0</v>
      </c>
      <c r="E34" s="13">
        <v>132.0</v>
      </c>
      <c r="F34" s="13">
        <v>165.0</v>
      </c>
      <c r="G34" s="13">
        <v>198.0</v>
      </c>
      <c r="H34" s="13">
        <v>231.0</v>
      </c>
      <c r="I34" s="13">
        <v>264.0</v>
      </c>
      <c r="J34" s="13">
        <v>297.0</v>
      </c>
      <c r="K34" s="13">
        <v>330.0</v>
      </c>
      <c r="L34" s="12">
        <v>363.0</v>
      </c>
      <c r="M34" s="12">
        <v>396.0</v>
      </c>
      <c r="N34" s="12">
        <v>429.0</v>
      </c>
      <c r="O34" s="12">
        <v>462.0</v>
      </c>
      <c r="P34" s="12">
        <v>495.0</v>
      </c>
      <c r="Q34" s="12">
        <v>528.0</v>
      </c>
      <c r="R34" s="12">
        <v>561.0</v>
      </c>
      <c r="S34" s="12">
        <v>594.0</v>
      </c>
      <c r="T34" s="12">
        <v>627.0</v>
      </c>
      <c r="U34" s="12">
        <v>660.0</v>
      </c>
      <c r="V34" s="12">
        <v>693.0</v>
      </c>
      <c r="W34" s="12">
        <v>726.0</v>
      </c>
      <c r="X34" s="12">
        <v>759.0</v>
      </c>
      <c r="Y34" s="12">
        <v>792.0</v>
      </c>
      <c r="Z34" s="12">
        <v>825.0</v>
      </c>
      <c r="AA34" s="12">
        <v>858.0</v>
      </c>
      <c r="AB34" s="12">
        <v>891.0</v>
      </c>
      <c r="AC34" s="12">
        <v>924.0</v>
      </c>
      <c r="AD34" s="12">
        <v>957.0</v>
      </c>
      <c r="AE34" s="12">
        <v>990.0</v>
      </c>
      <c r="AF34" s="12">
        <v>1023.0</v>
      </c>
      <c r="AG34" s="12">
        <v>1056.0</v>
      </c>
      <c r="AH34" s="3">
        <v>1089.0</v>
      </c>
      <c r="AI34">
        <v>1122.0</v>
      </c>
      <c r="AJ34">
        <v>1155.0</v>
      </c>
      <c r="AK34">
        <v>1188.0</v>
      </c>
      <c r="AL34">
        <v>1221.0</v>
      </c>
      <c r="AM34">
        <v>1254.0</v>
      </c>
      <c r="AN34">
        <v>1287.0</v>
      </c>
      <c r="AO34">
        <v>1320.0</v>
      </c>
      <c r="AP34">
        <v>1353.0</v>
      </c>
      <c r="AQ34">
        <v>1386.0</v>
      </c>
      <c r="AR34">
        <v>1419.0</v>
      </c>
      <c r="AS34">
        <v>1452.0</v>
      </c>
      <c r="AT34">
        <v>1485.0</v>
      </c>
      <c r="AU34">
        <v>1518.0</v>
      </c>
      <c r="AV34">
        <v>1551.0</v>
      </c>
      <c r="AW34">
        <v>1584.0</v>
      </c>
      <c r="AX34">
        <v>1617.0</v>
      </c>
      <c r="AY34">
        <v>1650.0</v>
      </c>
      <c r="AZ34">
        <v>1683.0</v>
      </c>
      <c r="BA34">
        <v>1716.0</v>
      </c>
      <c r="BB34">
        <v>1749.0</v>
      </c>
      <c r="BC34">
        <v>1782.0</v>
      </c>
      <c r="BD34">
        <v>1815.0</v>
      </c>
      <c r="BE34">
        <v>1848.0</v>
      </c>
      <c r="BF34">
        <v>1881.0</v>
      </c>
      <c r="BG34">
        <v>1914.0</v>
      </c>
      <c r="BH34">
        <v>1947.0</v>
      </c>
      <c r="BI34">
        <v>1980.0</v>
      </c>
      <c r="BJ34">
        <v>2013.0</v>
      </c>
      <c r="BK34">
        <v>2046.0</v>
      </c>
      <c r="BL34">
        <v>2079.0</v>
      </c>
      <c r="BM34">
        <v>2112.0</v>
      </c>
      <c r="BN34">
        <v>2145.0</v>
      </c>
      <c r="BO34">
        <v>2178.0</v>
      </c>
      <c r="BP34">
        <v>2211.0</v>
      </c>
      <c r="BQ34">
        <v>2244.0</v>
      </c>
      <c r="BR34">
        <v>2277.0</v>
      </c>
      <c r="BS34">
        <v>2310.0</v>
      </c>
      <c r="BT34">
        <v>2343.0</v>
      </c>
      <c r="BU34">
        <v>2376.0</v>
      </c>
      <c r="BV34">
        <v>2409.0</v>
      </c>
      <c r="BW34">
        <v>2442.0</v>
      </c>
      <c r="BX34">
        <v>2475.0</v>
      </c>
      <c r="BY34">
        <v>2508.0</v>
      </c>
      <c r="BZ34">
        <v>2541.0</v>
      </c>
      <c r="CA34">
        <v>2574.0</v>
      </c>
      <c r="CB34">
        <v>2607.0</v>
      </c>
      <c r="CC34">
        <v>2640.0</v>
      </c>
      <c r="CD34">
        <v>2673.0</v>
      </c>
      <c r="CE34">
        <v>2706.0</v>
      </c>
      <c r="CF34">
        <v>2739.0</v>
      </c>
      <c r="CG34">
        <v>2772.0</v>
      </c>
      <c r="CH34">
        <v>2805.0</v>
      </c>
      <c r="CI34">
        <v>2838.0</v>
      </c>
      <c r="CJ34">
        <v>2871.0</v>
      </c>
      <c r="CK34">
        <v>2904.0</v>
      </c>
      <c r="CL34">
        <v>2937.0</v>
      </c>
      <c r="CM34">
        <v>2970.0</v>
      </c>
      <c r="CN34">
        <v>3003.0</v>
      </c>
      <c r="CO34">
        <v>3036.0</v>
      </c>
      <c r="CP34">
        <v>3069.0</v>
      </c>
      <c r="CQ34">
        <v>3102.0</v>
      </c>
      <c r="CR34">
        <v>3135.0</v>
      </c>
      <c r="CS34">
        <v>3168.0</v>
      </c>
      <c r="CT34">
        <v>3201.0</v>
      </c>
      <c r="CU34">
        <v>3234.0</v>
      </c>
      <c r="CV34">
        <v>3267.0</v>
      </c>
      <c r="CW34">
        <v>3300.0</v>
      </c>
      <c r="CX34">
        <v>3333.0</v>
      </c>
      <c r="CY34">
        <v>3366.0</v>
      </c>
      <c r="CZ34">
        <v>3399.0</v>
      </c>
    </row>
    <row r="35" ht="19.5" customHeight="1">
      <c r="A35" s="2">
        <v>34.0</v>
      </c>
      <c r="B35" s="13">
        <v>34.0</v>
      </c>
      <c r="C35" s="13">
        <v>68.0</v>
      </c>
      <c r="D35" s="13">
        <v>102.0</v>
      </c>
      <c r="E35" s="13">
        <v>136.0</v>
      </c>
      <c r="F35" s="13">
        <v>170.0</v>
      </c>
      <c r="G35" s="13">
        <v>204.0</v>
      </c>
      <c r="H35" s="13">
        <v>238.0</v>
      </c>
      <c r="I35" s="13">
        <v>272.0</v>
      </c>
      <c r="J35" s="13">
        <v>306.0</v>
      </c>
      <c r="K35" s="12">
        <v>340.0</v>
      </c>
      <c r="L35" s="12">
        <v>374.0</v>
      </c>
      <c r="M35" s="12">
        <v>408.0</v>
      </c>
      <c r="N35" s="12">
        <v>442.0</v>
      </c>
      <c r="O35" s="12">
        <v>476.0</v>
      </c>
      <c r="P35" s="12">
        <v>510.0</v>
      </c>
      <c r="Q35" s="12">
        <v>544.0</v>
      </c>
      <c r="R35" s="12">
        <v>578.0</v>
      </c>
      <c r="S35" s="12">
        <v>612.0</v>
      </c>
      <c r="T35" s="12">
        <v>646.0</v>
      </c>
      <c r="U35" s="12">
        <v>680.0</v>
      </c>
      <c r="V35" s="12">
        <v>714.0</v>
      </c>
      <c r="W35" s="12">
        <v>748.0</v>
      </c>
      <c r="X35" s="12">
        <v>782.0</v>
      </c>
      <c r="Y35" s="12">
        <v>816.0</v>
      </c>
      <c r="Z35" s="12">
        <v>850.0</v>
      </c>
      <c r="AA35" s="12">
        <v>884.0</v>
      </c>
      <c r="AB35" s="12">
        <v>918.0</v>
      </c>
      <c r="AC35" s="12">
        <v>952.0</v>
      </c>
      <c r="AD35" s="12">
        <v>986.0</v>
      </c>
      <c r="AE35" s="12">
        <v>1020.0</v>
      </c>
      <c r="AF35" s="12">
        <v>1054.0</v>
      </c>
      <c r="AG35">
        <v>1088.0</v>
      </c>
      <c r="AH35">
        <v>1122.0</v>
      </c>
      <c r="AI35" s="3">
        <v>1156.0</v>
      </c>
      <c r="AJ35">
        <v>1190.0</v>
      </c>
      <c r="AK35">
        <v>1224.0</v>
      </c>
      <c r="AL35">
        <v>1258.0</v>
      </c>
      <c r="AM35">
        <v>1292.0</v>
      </c>
      <c r="AN35">
        <v>1326.0</v>
      </c>
      <c r="AO35">
        <v>1360.0</v>
      </c>
      <c r="AP35">
        <v>1394.0</v>
      </c>
      <c r="AQ35">
        <v>1428.0</v>
      </c>
      <c r="AR35">
        <v>1462.0</v>
      </c>
      <c r="AS35">
        <v>1496.0</v>
      </c>
      <c r="AT35">
        <v>1530.0</v>
      </c>
      <c r="AU35">
        <v>1564.0</v>
      </c>
      <c r="AV35">
        <v>1598.0</v>
      </c>
      <c r="AW35">
        <v>1632.0</v>
      </c>
      <c r="AX35">
        <v>1666.0</v>
      </c>
      <c r="AY35">
        <v>1700.0</v>
      </c>
      <c r="AZ35">
        <v>1734.0</v>
      </c>
      <c r="BA35">
        <v>1768.0</v>
      </c>
      <c r="BB35">
        <v>1802.0</v>
      </c>
      <c r="BC35">
        <v>1836.0</v>
      </c>
      <c r="BD35">
        <v>1870.0</v>
      </c>
      <c r="BE35">
        <v>1904.0</v>
      </c>
      <c r="BF35">
        <v>1938.0</v>
      </c>
      <c r="BG35">
        <v>1972.0</v>
      </c>
      <c r="BH35">
        <v>2006.0</v>
      </c>
      <c r="BI35">
        <v>2040.0</v>
      </c>
      <c r="BJ35">
        <v>2074.0</v>
      </c>
      <c r="BK35">
        <v>2108.0</v>
      </c>
      <c r="BL35">
        <v>2142.0</v>
      </c>
      <c r="BM35">
        <v>2176.0</v>
      </c>
      <c r="BN35">
        <v>2210.0</v>
      </c>
      <c r="BO35">
        <v>2244.0</v>
      </c>
      <c r="BP35">
        <v>2278.0</v>
      </c>
      <c r="BQ35">
        <v>2312.0</v>
      </c>
      <c r="BR35">
        <v>2346.0</v>
      </c>
      <c r="BS35">
        <v>2380.0</v>
      </c>
      <c r="BT35">
        <v>2414.0</v>
      </c>
      <c r="BU35">
        <v>2448.0</v>
      </c>
      <c r="BV35">
        <v>2482.0</v>
      </c>
      <c r="BW35">
        <v>2516.0</v>
      </c>
      <c r="BX35">
        <v>2550.0</v>
      </c>
      <c r="BY35">
        <v>2584.0</v>
      </c>
      <c r="BZ35">
        <v>2618.0</v>
      </c>
      <c r="CA35">
        <v>2652.0</v>
      </c>
      <c r="CB35">
        <v>2686.0</v>
      </c>
      <c r="CC35">
        <v>2720.0</v>
      </c>
      <c r="CD35">
        <v>2754.0</v>
      </c>
      <c r="CE35">
        <v>2788.0</v>
      </c>
      <c r="CF35">
        <v>2822.0</v>
      </c>
      <c r="CG35">
        <v>2856.0</v>
      </c>
      <c r="CH35">
        <v>2890.0</v>
      </c>
      <c r="CI35">
        <v>2924.0</v>
      </c>
      <c r="CJ35">
        <v>2958.0</v>
      </c>
      <c r="CK35">
        <v>2992.0</v>
      </c>
      <c r="CL35">
        <v>3026.0</v>
      </c>
      <c r="CM35">
        <v>3060.0</v>
      </c>
      <c r="CN35">
        <v>3094.0</v>
      </c>
      <c r="CO35">
        <v>3128.0</v>
      </c>
      <c r="CP35">
        <v>3162.0</v>
      </c>
      <c r="CQ35">
        <v>3196.0</v>
      </c>
      <c r="CR35">
        <v>3230.0</v>
      </c>
      <c r="CS35">
        <v>3264.0</v>
      </c>
      <c r="CT35">
        <v>3298.0</v>
      </c>
      <c r="CU35">
        <v>3332.0</v>
      </c>
      <c r="CV35">
        <v>3366.0</v>
      </c>
      <c r="CW35">
        <v>3400.0</v>
      </c>
      <c r="CX35">
        <v>3434.0</v>
      </c>
      <c r="CY35">
        <v>3468.0</v>
      </c>
      <c r="CZ35">
        <v>3502.0</v>
      </c>
    </row>
    <row r="36" ht="19.5" customHeight="1">
      <c r="A36" s="2">
        <v>35.0</v>
      </c>
      <c r="B36" s="13">
        <v>35.0</v>
      </c>
      <c r="C36" s="13">
        <v>70.0</v>
      </c>
      <c r="D36" s="13">
        <v>105.0</v>
      </c>
      <c r="E36" s="13">
        <v>140.0</v>
      </c>
      <c r="F36" s="13">
        <v>175.0</v>
      </c>
      <c r="G36" s="13">
        <v>210.0</v>
      </c>
      <c r="H36" s="13">
        <v>245.0</v>
      </c>
      <c r="I36" s="13">
        <v>280.0</v>
      </c>
      <c r="J36" s="13">
        <v>315.0</v>
      </c>
      <c r="K36" s="12">
        <v>350.0</v>
      </c>
      <c r="L36" s="12">
        <v>385.0</v>
      </c>
      <c r="M36" s="12">
        <v>420.0</v>
      </c>
      <c r="N36" s="12">
        <v>455.0</v>
      </c>
      <c r="O36" s="12">
        <v>490.0</v>
      </c>
      <c r="P36" s="12">
        <v>525.0</v>
      </c>
      <c r="Q36" s="12">
        <v>560.0</v>
      </c>
      <c r="R36" s="12">
        <v>595.0</v>
      </c>
      <c r="S36" s="12">
        <v>630.0</v>
      </c>
      <c r="T36" s="12">
        <v>665.0</v>
      </c>
      <c r="U36" s="12">
        <v>700.0</v>
      </c>
      <c r="V36" s="12">
        <v>735.0</v>
      </c>
      <c r="W36" s="12">
        <v>770.0</v>
      </c>
      <c r="X36" s="12">
        <v>805.0</v>
      </c>
      <c r="Y36" s="12">
        <v>840.0</v>
      </c>
      <c r="Z36" s="12">
        <v>875.0</v>
      </c>
      <c r="AA36" s="12">
        <v>910.0</v>
      </c>
      <c r="AB36" s="12">
        <v>945.0</v>
      </c>
      <c r="AC36" s="12">
        <v>980.0</v>
      </c>
      <c r="AD36" s="12">
        <v>1015.0</v>
      </c>
      <c r="AE36" s="12">
        <v>1050.0</v>
      </c>
      <c r="AF36">
        <v>1085.0</v>
      </c>
      <c r="AG36">
        <v>1120.0</v>
      </c>
      <c r="AH36">
        <v>1155.0</v>
      </c>
      <c r="AI36">
        <v>1190.0</v>
      </c>
      <c r="AJ36">
        <v>1225.0</v>
      </c>
      <c r="AK36">
        <v>1260.0</v>
      </c>
      <c r="AL36">
        <v>1295.0</v>
      </c>
      <c r="AM36">
        <v>1330.0</v>
      </c>
      <c r="AN36">
        <v>1365.0</v>
      </c>
      <c r="AO36">
        <v>1400.0</v>
      </c>
      <c r="AP36">
        <v>1435.0</v>
      </c>
      <c r="AQ36">
        <v>1470.0</v>
      </c>
      <c r="AR36">
        <v>1505.0</v>
      </c>
      <c r="AS36">
        <v>1540.0</v>
      </c>
      <c r="AT36">
        <v>1575.0</v>
      </c>
      <c r="AU36">
        <v>1610.0</v>
      </c>
      <c r="AV36">
        <v>1645.0</v>
      </c>
      <c r="AW36">
        <v>1680.0</v>
      </c>
      <c r="AX36">
        <v>1715.0</v>
      </c>
      <c r="AY36">
        <v>1750.0</v>
      </c>
      <c r="AZ36">
        <v>1785.0</v>
      </c>
      <c r="BA36">
        <v>1820.0</v>
      </c>
      <c r="BB36">
        <v>1855.0</v>
      </c>
      <c r="BC36">
        <v>1890.0</v>
      </c>
      <c r="BD36">
        <v>1925.0</v>
      </c>
      <c r="BE36">
        <v>1960.0</v>
      </c>
      <c r="BF36">
        <v>1995.0</v>
      </c>
      <c r="BG36">
        <v>2030.0</v>
      </c>
      <c r="BH36">
        <v>2065.0</v>
      </c>
      <c r="BI36">
        <v>2100.0</v>
      </c>
      <c r="BJ36">
        <v>2135.0</v>
      </c>
      <c r="BK36">
        <v>2170.0</v>
      </c>
      <c r="BL36">
        <v>2205.0</v>
      </c>
      <c r="BM36">
        <v>2240.0</v>
      </c>
      <c r="BN36">
        <v>2275.0</v>
      </c>
      <c r="BO36">
        <v>2310.0</v>
      </c>
      <c r="BP36">
        <v>2345.0</v>
      </c>
      <c r="BQ36">
        <v>2380.0</v>
      </c>
      <c r="BR36">
        <v>2415.0</v>
      </c>
      <c r="BS36">
        <v>2450.0</v>
      </c>
      <c r="BT36">
        <v>2485.0</v>
      </c>
      <c r="BU36">
        <v>2520.0</v>
      </c>
      <c r="BV36">
        <v>2555.0</v>
      </c>
      <c r="BW36">
        <v>2590.0</v>
      </c>
      <c r="BX36">
        <v>2625.0</v>
      </c>
      <c r="BY36">
        <v>2660.0</v>
      </c>
      <c r="BZ36">
        <v>2695.0</v>
      </c>
      <c r="CA36">
        <v>2730.0</v>
      </c>
      <c r="CB36">
        <v>2765.0</v>
      </c>
      <c r="CC36">
        <v>2800.0</v>
      </c>
      <c r="CD36">
        <v>2835.0</v>
      </c>
      <c r="CE36">
        <v>2870.0</v>
      </c>
      <c r="CF36">
        <v>2905.0</v>
      </c>
      <c r="CG36">
        <v>2940.0</v>
      </c>
      <c r="CH36">
        <v>2975.0</v>
      </c>
      <c r="CI36">
        <v>3010.0</v>
      </c>
      <c r="CJ36">
        <v>3045.0</v>
      </c>
      <c r="CK36">
        <v>3080.0</v>
      </c>
      <c r="CL36">
        <v>3115.0</v>
      </c>
      <c r="CM36">
        <v>3150.0</v>
      </c>
      <c r="CN36">
        <v>3185.0</v>
      </c>
      <c r="CO36">
        <v>3220.0</v>
      </c>
      <c r="CP36">
        <v>3255.0</v>
      </c>
      <c r="CQ36">
        <v>3290.0</v>
      </c>
      <c r="CR36">
        <v>3325.0</v>
      </c>
      <c r="CS36">
        <v>3360.0</v>
      </c>
      <c r="CT36">
        <v>3395.0</v>
      </c>
      <c r="CU36">
        <v>3430.0</v>
      </c>
      <c r="CV36">
        <v>3465.0</v>
      </c>
      <c r="CW36">
        <v>3500.0</v>
      </c>
      <c r="CX36">
        <v>3535.0</v>
      </c>
      <c r="CY36">
        <v>3570.0</v>
      </c>
      <c r="CZ36">
        <v>3605.0</v>
      </c>
    </row>
    <row r="37" ht="19.5" customHeight="1">
      <c r="A37" s="2">
        <v>36.0</v>
      </c>
      <c r="B37" s="13">
        <v>36.0</v>
      </c>
      <c r="C37" s="13">
        <v>72.0</v>
      </c>
      <c r="D37" s="13">
        <v>108.0</v>
      </c>
      <c r="E37" s="13">
        <v>144.0</v>
      </c>
      <c r="F37" s="13">
        <v>180.0</v>
      </c>
      <c r="G37" s="13">
        <v>216.0</v>
      </c>
      <c r="H37" s="13">
        <v>252.0</v>
      </c>
      <c r="I37" s="13">
        <v>288.0</v>
      </c>
      <c r="J37" s="13">
        <v>324.0</v>
      </c>
      <c r="K37" s="12">
        <v>360.0</v>
      </c>
      <c r="L37" s="12">
        <v>396.0</v>
      </c>
      <c r="M37" s="12">
        <v>432.0</v>
      </c>
      <c r="N37" s="12">
        <v>468.0</v>
      </c>
      <c r="O37" s="12">
        <v>504.0</v>
      </c>
      <c r="P37" s="12">
        <v>540.0</v>
      </c>
      <c r="Q37" s="12">
        <v>576.0</v>
      </c>
      <c r="R37" s="12">
        <v>612.0</v>
      </c>
      <c r="S37" s="12">
        <v>648.0</v>
      </c>
      <c r="T37" s="12">
        <v>684.0</v>
      </c>
      <c r="U37" s="12">
        <v>720.0</v>
      </c>
      <c r="V37" s="12">
        <v>756.0</v>
      </c>
      <c r="W37" s="12">
        <v>792.0</v>
      </c>
      <c r="X37" s="12">
        <v>828.0</v>
      </c>
      <c r="Y37" s="12">
        <v>864.0</v>
      </c>
      <c r="Z37" s="12">
        <v>900.0</v>
      </c>
      <c r="AA37" s="12">
        <v>936.0</v>
      </c>
      <c r="AB37" s="12">
        <v>972.0</v>
      </c>
      <c r="AC37" s="12">
        <v>1008.0</v>
      </c>
      <c r="AD37" s="12">
        <v>1044.0</v>
      </c>
      <c r="AE37">
        <v>1080.0</v>
      </c>
      <c r="AF37">
        <v>1116.0</v>
      </c>
      <c r="AG37">
        <v>1152.0</v>
      </c>
      <c r="AH37">
        <v>1188.0</v>
      </c>
      <c r="AI37">
        <v>1224.0</v>
      </c>
      <c r="AJ37">
        <v>1260.0</v>
      </c>
      <c r="AK37">
        <v>1296.0</v>
      </c>
      <c r="AL37">
        <v>1332.0</v>
      </c>
      <c r="AM37">
        <v>1368.0</v>
      </c>
      <c r="AN37">
        <v>1404.0</v>
      </c>
      <c r="AO37">
        <v>1440.0</v>
      </c>
      <c r="AP37">
        <v>1476.0</v>
      </c>
      <c r="AQ37">
        <v>1512.0</v>
      </c>
      <c r="AR37">
        <v>1548.0</v>
      </c>
      <c r="AS37">
        <v>1584.0</v>
      </c>
      <c r="AT37">
        <v>1620.0</v>
      </c>
      <c r="AU37">
        <v>1656.0</v>
      </c>
      <c r="AV37">
        <v>1692.0</v>
      </c>
      <c r="AW37">
        <v>1728.0</v>
      </c>
      <c r="AX37">
        <v>1764.0</v>
      </c>
      <c r="AY37">
        <v>1800.0</v>
      </c>
      <c r="AZ37">
        <v>1836.0</v>
      </c>
      <c r="BA37">
        <v>1872.0</v>
      </c>
      <c r="BB37">
        <v>1908.0</v>
      </c>
      <c r="BC37">
        <v>1944.0</v>
      </c>
      <c r="BD37">
        <v>1980.0</v>
      </c>
      <c r="BE37">
        <v>2016.0</v>
      </c>
      <c r="BF37">
        <v>2052.0</v>
      </c>
      <c r="BG37">
        <v>2088.0</v>
      </c>
      <c r="BH37">
        <v>2124.0</v>
      </c>
      <c r="BI37">
        <v>2160.0</v>
      </c>
      <c r="BJ37">
        <v>2196.0</v>
      </c>
      <c r="BK37">
        <v>2232.0</v>
      </c>
      <c r="BL37">
        <v>2268.0</v>
      </c>
      <c r="BM37">
        <v>2304.0</v>
      </c>
      <c r="BN37">
        <v>2340.0</v>
      </c>
      <c r="BO37">
        <v>2376.0</v>
      </c>
      <c r="BP37">
        <v>2412.0</v>
      </c>
      <c r="BQ37">
        <v>2448.0</v>
      </c>
      <c r="BR37">
        <v>2484.0</v>
      </c>
      <c r="BS37">
        <v>2520.0</v>
      </c>
      <c r="BT37">
        <v>2556.0</v>
      </c>
      <c r="BU37">
        <v>2592.0</v>
      </c>
      <c r="BV37">
        <v>2628.0</v>
      </c>
      <c r="BW37">
        <v>2664.0</v>
      </c>
      <c r="BX37">
        <v>2700.0</v>
      </c>
      <c r="BY37">
        <v>2736.0</v>
      </c>
      <c r="BZ37">
        <v>2772.0</v>
      </c>
      <c r="CA37">
        <v>2808.0</v>
      </c>
      <c r="CB37">
        <v>2844.0</v>
      </c>
      <c r="CC37">
        <v>2880.0</v>
      </c>
      <c r="CD37">
        <v>2916.0</v>
      </c>
      <c r="CE37">
        <v>2952.0</v>
      </c>
      <c r="CF37">
        <v>2988.0</v>
      </c>
      <c r="CG37">
        <v>3024.0</v>
      </c>
      <c r="CH37">
        <v>3060.0</v>
      </c>
      <c r="CI37">
        <v>3096.0</v>
      </c>
      <c r="CJ37">
        <v>3132.0</v>
      </c>
      <c r="CK37">
        <v>3168.0</v>
      </c>
      <c r="CL37">
        <v>3204.0</v>
      </c>
      <c r="CM37">
        <v>3240.0</v>
      </c>
      <c r="CN37">
        <v>3276.0</v>
      </c>
      <c r="CO37">
        <v>3312.0</v>
      </c>
      <c r="CP37">
        <v>3348.0</v>
      </c>
      <c r="CQ37">
        <v>3384.0</v>
      </c>
      <c r="CR37">
        <v>3420.0</v>
      </c>
      <c r="CS37">
        <v>3456.0</v>
      </c>
      <c r="CT37">
        <v>3492.0</v>
      </c>
      <c r="CU37">
        <v>3528.0</v>
      </c>
      <c r="CV37">
        <v>3564.0</v>
      </c>
      <c r="CW37">
        <v>3600.0</v>
      </c>
      <c r="CX37">
        <v>3636.0</v>
      </c>
      <c r="CY37">
        <v>3672.0</v>
      </c>
      <c r="CZ37">
        <v>3708.0</v>
      </c>
    </row>
    <row r="38" ht="19.5" customHeight="1">
      <c r="A38" s="2">
        <v>37.0</v>
      </c>
      <c r="B38" s="13">
        <v>37.0</v>
      </c>
      <c r="C38" s="13">
        <v>74.0</v>
      </c>
      <c r="D38" s="13">
        <v>111.0</v>
      </c>
      <c r="E38" s="13">
        <v>148.0</v>
      </c>
      <c r="F38" s="13">
        <v>185.0</v>
      </c>
      <c r="G38" s="13">
        <v>222.0</v>
      </c>
      <c r="H38" s="13">
        <v>259.0</v>
      </c>
      <c r="I38" s="13">
        <v>296.0</v>
      </c>
      <c r="J38" s="12">
        <v>333.0</v>
      </c>
      <c r="K38" s="12">
        <v>370.0</v>
      </c>
      <c r="L38" s="12">
        <v>407.0</v>
      </c>
      <c r="M38" s="12">
        <v>444.0</v>
      </c>
      <c r="N38" s="12">
        <v>481.0</v>
      </c>
      <c r="O38" s="12">
        <v>518.0</v>
      </c>
      <c r="P38" s="12">
        <v>555.0</v>
      </c>
      <c r="Q38" s="12">
        <v>592.0</v>
      </c>
      <c r="R38" s="12">
        <v>629.0</v>
      </c>
      <c r="S38" s="12">
        <v>666.0</v>
      </c>
      <c r="T38" s="12">
        <v>703.0</v>
      </c>
      <c r="U38" s="12">
        <v>740.0</v>
      </c>
      <c r="V38" s="12">
        <v>777.0</v>
      </c>
      <c r="W38" s="12">
        <v>814.0</v>
      </c>
      <c r="X38" s="12">
        <v>851.0</v>
      </c>
      <c r="Y38" s="12">
        <v>888.0</v>
      </c>
      <c r="Z38" s="12">
        <v>925.0</v>
      </c>
      <c r="AA38" s="12">
        <v>962.0</v>
      </c>
      <c r="AB38" s="12">
        <v>999.0</v>
      </c>
      <c r="AC38" s="12">
        <v>1036.0</v>
      </c>
      <c r="AD38">
        <v>1073.0</v>
      </c>
      <c r="AE38">
        <v>1110.0</v>
      </c>
      <c r="AF38">
        <v>1147.0</v>
      </c>
      <c r="AG38">
        <v>1184.0</v>
      </c>
      <c r="AH38">
        <v>1221.0</v>
      </c>
      <c r="AI38">
        <v>1258.0</v>
      </c>
      <c r="AJ38">
        <v>1295.0</v>
      </c>
      <c r="AK38">
        <v>1332.0</v>
      </c>
      <c r="AL38">
        <v>1369.0</v>
      </c>
      <c r="AM38">
        <v>1406.0</v>
      </c>
      <c r="AN38">
        <v>1443.0</v>
      </c>
      <c r="AO38">
        <v>1480.0</v>
      </c>
      <c r="AP38">
        <v>1517.0</v>
      </c>
      <c r="AQ38">
        <v>1554.0</v>
      </c>
      <c r="AR38">
        <v>1591.0</v>
      </c>
      <c r="AS38">
        <v>1628.0</v>
      </c>
      <c r="AT38">
        <v>1665.0</v>
      </c>
      <c r="AU38">
        <v>1702.0</v>
      </c>
      <c r="AV38">
        <v>1739.0</v>
      </c>
      <c r="AW38">
        <v>1776.0</v>
      </c>
      <c r="AX38">
        <v>1813.0</v>
      </c>
      <c r="AY38">
        <v>1850.0</v>
      </c>
      <c r="AZ38">
        <v>1887.0</v>
      </c>
      <c r="BA38">
        <v>1924.0</v>
      </c>
      <c r="BB38">
        <v>1961.0</v>
      </c>
      <c r="BC38">
        <v>1998.0</v>
      </c>
      <c r="BD38">
        <v>2035.0</v>
      </c>
      <c r="BE38">
        <v>2072.0</v>
      </c>
      <c r="BF38">
        <v>2109.0</v>
      </c>
      <c r="BG38">
        <v>2146.0</v>
      </c>
      <c r="BH38">
        <v>2183.0</v>
      </c>
      <c r="BI38">
        <v>2220.0</v>
      </c>
      <c r="BJ38">
        <v>2257.0</v>
      </c>
      <c r="BK38">
        <v>2294.0</v>
      </c>
      <c r="BL38">
        <v>2331.0</v>
      </c>
      <c r="BM38">
        <v>2368.0</v>
      </c>
      <c r="BN38">
        <v>2405.0</v>
      </c>
      <c r="BO38">
        <v>2442.0</v>
      </c>
      <c r="BP38">
        <v>2479.0</v>
      </c>
      <c r="BQ38">
        <v>2516.0</v>
      </c>
      <c r="BR38">
        <v>2553.0</v>
      </c>
      <c r="BS38">
        <v>2590.0</v>
      </c>
      <c r="BT38">
        <v>2627.0</v>
      </c>
      <c r="BU38">
        <v>2664.0</v>
      </c>
      <c r="BV38">
        <v>2701.0</v>
      </c>
      <c r="BW38">
        <v>2738.0</v>
      </c>
      <c r="BX38">
        <v>2775.0</v>
      </c>
      <c r="BY38">
        <v>2812.0</v>
      </c>
      <c r="BZ38">
        <v>2849.0</v>
      </c>
      <c r="CA38">
        <v>2886.0</v>
      </c>
      <c r="CB38">
        <v>2923.0</v>
      </c>
      <c r="CC38">
        <v>2960.0</v>
      </c>
      <c r="CD38">
        <v>2997.0</v>
      </c>
      <c r="CE38">
        <v>3034.0</v>
      </c>
      <c r="CF38">
        <v>3071.0</v>
      </c>
      <c r="CG38">
        <v>3108.0</v>
      </c>
      <c r="CH38">
        <v>3145.0</v>
      </c>
      <c r="CI38">
        <v>3182.0</v>
      </c>
      <c r="CJ38">
        <v>3219.0</v>
      </c>
      <c r="CK38">
        <v>3256.0</v>
      </c>
      <c r="CL38">
        <v>3293.0</v>
      </c>
      <c r="CM38">
        <v>3330.0</v>
      </c>
      <c r="CN38">
        <v>3367.0</v>
      </c>
      <c r="CO38">
        <v>3404.0</v>
      </c>
      <c r="CP38">
        <v>3441.0</v>
      </c>
      <c r="CQ38">
        <v>3478.0</v>
      </c>
      <c r="CR38">
        <v>3515.0</v>
      </c>
      <c r="CS38">
        <v>3552.0</v>
      </c>
      <c r="CT38">
        <v>3589.0</v>
      </c>
      <c r="CU38">
        <v>3626.0</v>
      </c>
      <c r="CV38">
        <v>3663.0</v>
      </c>
      <c r="CW38">
        <v>3700.0</v>
      </c>
      <c r="CX38">
        <v>3737.0</v>
      </c>
      <c r="CY38">
        <v>3774.0</v>
      </c>
      <c r="CZ38">
        <v>3811.0</v>
      </c>
    </row>
    <row r="39" ht="19.5" customHeight="1">
      <c r="A39" s="2">
        <v>38.0</v>
      </c>
      <c r="B39" s="13">
        <v>38.0</v>
      </c>
      <c r="C39" s="13">
        <v>76.0</v>
      </c>
      <c r="D39" s="13">
        <v>114.0</v>
      </c>
      <c r="E39" s="13">
        <v>152.0</v>
      </c>
      <c r="F39" s="13">
        <v>190.0</v>
      </c>
      <c r="G39" s="13">
        <v>228.0</v>
      </c>
      <c r="H39" s="13">
        <v>266.0</v>
      </c>
      <c r="I39" s="13">
        <v>304.0</v>
      </c>
      <c r="J39" s="12">
        <v>342.0</v>
      </c>
      <c r="K39" s="12">
        <v>380.0</v>
      </c>
      <c r="L39" s="12">
        <v>418.0</v>
      </c>
      <c r="M39" s="12">
        <v>456.0</v>
      </c>
      <c r="N39" s="12">
        <v>494.0</v>
      </c>
      <c r="O39" s="12">
        <v>532.0</v>
      </c>
      <c r="P39" s="12">
        <v>570.0</v>
      </c>
      <c r="Q39" s="12">
        <v>608.0</v>
      </c>
      <c r="R39" s="12">
        <v>646.0</v>
      </c>
      <c r="S39" s="12">
        <v>684.0</v>
      </c>
      <c r="T39" s="12">
        <v>722.0</v>
      </c>
      <c r="U39" s="12">
        <v>760.0</v>
      </c>
      <c r="V39" s="12">
        <v>798.0</v>
      </c>
      <c r="W39" s="12">
        <v>836.0</v>
      </c>
      <c r="X39" s="12">
        <v>874.0</v>
      </c>
      <c r="Y39" s="12">
        <v>912.0</v>
      </c>
      <c r="Z39" s="12">
        <v>950.0</v>
      </c>
      <c r="AA39" s="12">
        <v>988.0</v>
      </c>
      <c r="AB39" s="12">
        <v>1026.0</v>
      </c>
      <c r="AC39">
        <v>1064.0</v>
      </c>
      <c r="AD39">
        <v>1102.0</v>
      </c>
      <c r="AE39">
        <v>1140.0</v>
      </c>
      <c r="AF39">
        <v>1178.0</v>
      </c>
      <c r="AG39">
        <v>1216.0</v>
      </c>
      <c r="AH39">
        <v>1254.0</v>
      </c>
      <c r="AI39">
        <v>1292.0</v>
      </c>
      <c r="AJ39">
        <v>1330.0</v>
      </c>
      <c r="AK39">
        <v>1368.0</v>
      </c>
      <c r="AL39">
        <v>1406.0</v>
      </c>
      <c r="AM39">
        <v>1444.0</v>
      </c>
      <c r="AN39">
        <v>1482.0</v>
      </c>
      <c r="AO39">
        <v>1520.0</v>
      </c>
      <c r="AP39">
        <v>1558.0</v>
      </c>
      <c r="AQ39">
        <v>1596.0</v>
      </c>
      <c r="AR39">
        <v>1634.0</v>
      </c>
      <c r="AS39">
        <v>1672.0</v>
      </c>
      <c r="AT39">
        <v>1710.0</v>
      </c>
      <c r="AU39">
        <v>1748.0</v>
      </c>
      <c r="AV39">
        <v>1786.0</v>
      </c>
      <c r="AW39">
        <v>1824.0</v>
      </c>
      <c r="AX39">
        <v>1862.0</v>
      </c>
      <c r="AY39">
        <v>1900.0</v>
      </c>
      <c r="AZ39">
        <v>1938.0</v>
      </c>
      <c r="BA39">
        <v>1976.0</v>
      </c>
      <c r="BB39">
        <v>2014.0</v>
      </c>
      <c r="BC39">
        <v>2052.0</v>
      </c>
      <c r="BD39">
        <v>2090.0</v>
      </c>
      <c r="BE39">
        <v>2128.0</v>
      </c>
      <c r="BF39">
        <v>2166.0</v>
      </c>
      <c r="BG39">
        <v>2204.0</v>
      </c>
      <c r="BH39">
        <v>2242.0</v>
      </c>
      <c r="BI39">
        <v>2280.0</v>
      </c>
      <c r="BJ39">
        <v>2318.0</v>
      </c>
      <c r="BK39">
        <v>2356.0</v>
      </c>
      <c r="BL39">
        <v>2394.0</v>
      </c>
      <c r="BM39">
        <v>2432.0</v>
      </c>
      <c r="BN39">
        <v>2470.0</v>
      </c>
      <c r="BO39">
        <v>2508.0</v>
      </c>
      <c r="BP39">
        <v>2546.0</v>
      </c>
      <c r="BQ39">
        <v>2584.0</v>
      </c>
      <c r="BR39">
        <v>2622.0</v>
      </c>
      <c r="BS39">
        <v>2660.0</v>
      </c>
      <c r="BT39">
        <v>2698.0</v>
      </c>
      <c r="BU39">
        <v>2736.0</v>
      </c>
      <c r="BV39">
        <v>2774.0</v>
      </c>
      <c r="BW39">
        <v>2812.0</v>
      </c>
      <c r="BX39">
        <v>2850.0</v>
      </c>
      <c r="BY39">
        <v>2888.0</v>
      </c>
      <c r="BZ39">
        <v>2926.0</v>
      </c>
      <c r="CA39">
        <v>2964.0</v>
      </c>
      <c r="CB39">
        <v>3002.0</v>
      </c>
      <c r="CC39">
        <v>3040.0</v>
      </c>
      <c r="CD39">
        <v>3078.0</v>
      </c>
      <c r="CE39">
        <v>3116.0</v>
      </c>
      <c r="CF39">
        <v>3154.0</v>
      </c>
      <c r="CG39">
        <v>3192.0</v>
      </c>
      <c r="CH39">
        <v>3230.0</v>
      </c>
      <c r="CI39">
        <v>3268.0</v>
      </c>
      <c r="CJ39">
        <v>3306.0</v>
      </c>
      <c r="CK39">
        <v>3344.0</v>
      </c>
      <c r="CL39">
        <v>3382.0</v>
      </c>
      <c r="CM39">
        <v>3420.0</v>
      </c>
      <c r="CN39">
        <v>3458.0</v>
      </c>
      <c r="CO39">
        <v>3496.0</v>
      </c>
      <c r="CP39">
        <v>3534.0</v>
      </c>
      <c r="CQ39">
        <v>3572.0</v>
      </c>
      <c r="CR39">
        <v>3610.0</v>
      </c>
      <c r="CS39">
        <v>3648.0</v>
      </c>
      <c r="CT39">
        <v>3686.0</v>
      </c>
      <c r="CU39">
        <v>3724.0</v>
      </c>
      <c r="CV39">
        <v>3762.0</v>
      </c>
      <c r="CW39">
        <v>3800.0</v>
      </c>
      <c r="CX39">
        <v>3838.0</v>
      </c>
      <c r="CY39">
        <v>3876.0</v>
      </c>
      <c r="CZ39">
        <v>3914.0</v>
      </c>
    </row>
    <row r="40" ht="19.5" customHeight="1">
      <c r="A40" s="2">
        <v>39.0</v>
      </c>
      <c r="B40" s="13">
        <v>39.0</v>
      </c>
      <c r="C40" s="13">
        <v>78.0</v>
      </c>
      <c r="D40" s="13">
        <v>117.0</v>
      </c>
      <c r="E40" s="13">
        <v>156.0</v>
      </c>
      <c r="F40" s="13">
        <v>195.0</v>
      </c>
      <c r="G40" s="13">
        <v>234.0</v>
      </c>
      <c r="H40" s="13">
        <v>273.0</v>
      </c>
      <c r="I40" s="12">
        <v>312.0</v>
      </c>
      <c r="J40" s="12">
        <v>351.0</v>
      </c>
      <c r="K40" s="12">
        <v>390.0</v>
      </c>
      <c r="L40" s="12">
        <v>429.0</v>
      </c>
      <c r="M40" s="12">
        <v>468.0</v>
      </c>
      <c r="N40" s="12">
        <v>507.0</v>
      </c>
      <c r="O40" s="12">
        <v>546.0</v>
      </c>
      <c r="P40" s="12">
        <v>585.0</v>
      </c>
      <c r="Q40" s="12">
        <v>624.0</v>
      </c>
      <c r="R40" s="12">
        <v>663.0</v>
      </c>
      <c r="S40" s="12">
        <v>702.0</v>
      </c>
      <c r="T40" s="12">
        <v>741.0</v>
      </c>
      <c r="U40" s="12">
        <v>780.0</v>
      </c>
      <c r="V40" s="12">
        <v>819.0</v>
      </c>
      <c r="W40" s="12">
        <v>858.0</v>
      </c>
      <c r="X40" s="12">
        <v>897.0</v>
      </c>
      <c r="Y40" s="12">
        <v>936.0</v>
      </c>
      <c r="Z40" s="12">
        <v>975.0</v>
      </c>
      <c r="AA40" s="12">
        <v>1014.0</v>
      </c>
      <c r="AB40">
        <v>1053.0</v>
      </c>
      <c r="AC40">
        <v>1092.0</v>
      </c>
      <c r="AD40">
        <v>1131.0</v>
      </c>
      <c r="AE40">
        <v>1170.0</v>
      </c>
      <c r="AF40">
        <v>1209.0</v>
      </c>
      <c r="AG40">
        <v>1248.0</v>
      </c>
      <c r="AH40">
        <v>1287.0</v>
      </c>
      <c r="AI40">
        <v>1326.0</v>
      </c>
      <c r="AJ40">
        <v>1365.0</v>
      </c>
      <c r="AK40">
        <v>1404.0</v>
      </c>
      <c r="AL40">
        <v>1443.0</v>
      </c>
      <c r="AM40">
        <v>1482.0</v>
      </c>
      <c r="AN40">
        <v>1521.0</v>
      </c>
      <c r="AO40">
        <v>1560.0</v>
      </c>
      <c r="AP40">
        <v>1599.0</v>
      </c>
      <c r="AQ40">
        <v>1638.0</v>
      </c>
      <c r="AR40">
        <v>1677.0</v>
      </c>
      <c r="AS40">
        <v>1716.0</v>
      </c>
      <c r="AT40">
        <v>1755.0</v>
      </c>
      <c r="AU40">
        <v>1794.0</v>
      </c>
      <c r="AV40">
        <v>1833.0</v>
      </c>
      <c r="AW40">
        <v>1872.0</v>
      </c>
      <c r="AX40">
        <v>1911.0</v>
      </c>
      <c r="AY40">
        <v>1950.0</v>
      </c>
      <c r="AZ40">
        <v>1989.0</v>
      </c>
      <c r="BA40">
        <v>2028.0</v>
      </c>
      <c r="BB40">
        <v>2067.0</v>
      </c>
      <c r="BC40">
        <v>2106.0</v>
      </c>
      <c r="BD40">
        <v>2145.0</v>
      </c>
      <c r="BE40">
        <v>2184.0</v>
      </c>
      <c r="BF40">
        <v>2223.0</v>
      </c>
      <c r="BG40">
        <v>2262.0</v>
      </c>
      <c r="BH40">
        <v>2301.0</v>
      </c>
      <c r="BI40">
        <v>2340.0</v>
      </c>
      <c r="BJ40">
        <v>2379.0</v>
      </c>
      <c r="BK40">
        <v>2418.0</v>
      </c>
      <c r="BL40">
        <v>2457.0</v>
      </c>
      <c r="BM40">
        <v>2496.0</v>
      </c>
      <c r="BN40">
        <v>2535.0</v>
      </c>
      <c r="BO40">
        <v>2574.0</v>
      </c>
      <c r="BP40">
        <v>2613.0</v>
      </c>
      <c r="BQ40">
        <v>2652.0</v>
      </c>
      <c r="BR40">
        <v>2691.0</v>
      </c>
      <c r="BS40">
        <v>2730.0</v>
      </c>
      <c r="BT40">
        <v>2769.0</v>
      </c>
      <c r="BU40">
        <v>2808.0</v>
      </c>
      <c r="BV40">
        <v>2847.0</v>
      </c>
      <c r="BW40">
        <v>2886.0</v>
      </c>
      <c r="BX40">
        <v>2925.0</v>
      </c>
      <c r="BY40">
        <v>2964.0</v>
      </c>
      <c r="BZ40">
        <v>3003.0</v>
      </c>
      <c r="CA40">
        <v>3042.0</v>
      </c>
      <c r="CB40">
        <v>3081.0</v>
      </c>
      <c r="CC40">
        <v>3120.0</v>
      </c>
      <c r="CD40">
        <v>3159.0</v>
      </c>
      <c r="CE40">
        <v>3198.0</v>
      </c>
      <c r="CF40">
        <v>3237.0</v>
      </c>
      <c r="CG40">
        <v>3276.0</v>
      </c>
      <c r="CH40">
        <v>3315.0</v>
      </c>
      <c r="CI40">
        <v>3354.0</v>
      </c>
      <c r="CJ40">
        <v>3393.0</v>
      </c>
      <c r="CK40">
        <v>3432.0</v>
      </c>
      <c r="CL40">
        <v>3471.0</v>
      </c>
      <c r="CM40">
        <v>3510.0</v>
      </c>
      <c r="CN40">
        <v>3549.0</v>
      </c>
      <c r="CO40">
        <v>3588.0</v>
      </c>
      <c r="CP40">
        <v>3627.0</v>
      </c>
      <c r="CQ40">
        <v>3666.0</v>
      </c>
      <c r="CR40">
        <v>3705.0</v>
      </c>
      <c r="CS40">
        <v>3744.0</v>
      </c>
      <c r="CT40">
        <v>3783.0</v>
      </c>
      <c r="CU40">
        <v>3822.0</v>
      </c>
      <c r="CV40">
        <v>3861.0</v>
      </c>
      <c r="CW40">
        <v>3900.0</v>
      </c>
      <c r="CX40">
        <v>3939.0</v>
      </c>
      <c r="CY40">
        <v>3978.0</v>
      </c>
      <c r="CZ40">
        <v>4017.0</v>
      </c>
    </row>
    <row r="41" ht="19.5" customHeight="1">
      <c r="A41" s="2">
        <v>40.0</v>
      </c>
      <c r="B41" s="13">
        <v>40.0</v>
      </c>
      <c r="C41" s="13">
        <v>80.0</v>
      </c>
      <c r="D41" s="13">
        <v>120.0</v>
      </c>
      <c r="E41" s="13">
        <v>160.0</v>
      </c>
      <c r="F41" s="13">
        <v>200.0</v>
      </c>
      <c r="G41" s="13">
        <v>240.0</v>
      </c>
      <c r="H41" s="13">
        <v>280.0</v>
      </c>
      <c r="I41" s="12">
        <v>320.0</v>
      </c>
      <c r="J41" s="12">
        <v>360.0</v>
      </c>
      <c r="K41" s="12">
        <v>400.0</v>
      </c>
      <c r="L41" s="12">
        <v>440.0</v>
      </c>
      <c r="M41" s="12">
        <v>480.0</v>
      </c>
      <c r="N41" s="12">
        <v>520.0</v>
      </c>
      <c r="O41" s="12">
        <v>560.0</v>
      </c>
      <c r="P41" s="12">
        <v>600.0</v>
      </c>
      <c r="Q41" s="12">
        <v>640.0</v>
      </c>
      <c r="R41" s="12">
        <v>680.0</v>
      </c>
      <c r="S41" s="12">
        <v>720.0</v>
      </c>
      <c r="T41" s="12">
        <v>760.0</v>
      </c>
      <c r="U41" s="12">
        <v>800.0</v>
      </c>
      <c r="V41" s="12">
        <v>840.0</v>
      </c>
      <c r="W41" s="12">
        <v>880.0</v>
      </c>
      <c r="X41" s="12">
        <v>920.0</v>
      </c>
      <c r="Y41" s="12">
        <v>960.0</v>
      </c>
      <c r="Z41" s="12">
        <v>1000.0</v>
      </c>
      <c r="AA41" s="12">
        <v>1040.0</v>
      </c>
      <c r="AB41">
        <v>1080.0</v>
      </c>
      <c r="AC41">
        <v>1120.0</v>
      </c>
      <c r="AD41">
        <v>1160.0</v>
      </c>
      <c r="AE41">
        <v>1200.0</v>
      </c>
      <c r="AF41">
        <v>1240.0</v>
      </c>
      <c r="AG41">
        <v>1280.0</v>
      </c>
      <c r="AH41">
        <v>1320.0</v>
      </c>
      <c r="AI41">
        <v>1360.0</v>
      </c>
      <c r="AJ41">
        <v>1400.0</v>
      </c>
      <c r="AK41">
        <v>1440.0</v>
      </c>
      <c r="AL41">
        <v>1480.0</v>
      </c>
      <c r="AM41">
        <v>1520.0</v>
      </c>
      <c r="AN41">
        <v>1560.0</v>
      </c>
      <c r="AO41">
        <v>1600.0</v>
      </c>
      <c r="AP41">
        <v>1640.0</v>
      </c>
      <c r="AQ41">
        <v>1680.0</v>
      </c>
      <c r="AR41">
        <v>1720.0</v>
      </c>
      <c r="AS41">
        <v>1760.0</v>
      </c>
      <c r="AT41">
        <v>1800.0</v>
      </c>
      <c r="AU41">
        <v>1840.0</v>
      </c>
      <c r="AV41">
        <v>1880.0</v>
      </c>
      <c r="AW41">
        <v>1920.0</v>
      </c>
      <c r="AX41">
        <v>1960.0</v>
      </c>
      <c r="AY41">
        <v>2000.0</v>
      </c>
      <c r="AZ41">
        <v>2040.0</v>
      </c>
      <c r="BA41">
        <v>2080.0</v>
      </c>
      <c r="BB41">
        <v>2120.0</v>
      </c>
      <c r="BC41">
        <v>2160.0</v>
      </c>
      <c r="BD41">
        <v>2200.0</v>
      </c>
      <c r="BE41">
        <v>2240.0</v>
      </c>
      <c r="BF41">
        <v>2280.0</v>
      </c>
      <c r="BG41">
        <v>2320.0</v>
      </c>
      <c r="BH41">
        <v>2360.0</v>
      </c>
      <c r="BI41">
        <v>2400.0</v>
      </c>
      <c r="BJ41">
        <v>2440.0</v>
      </c>
      <c r="BK41">
        <v>2480.0</v>
      </c>
      <c r="BL41">
        <v>2520.0</v>
      </c>
      <c r="BM41">
        <v>2560.0</v>
      </c>
      <c r="BN41">
        <v>2600.0</v>
      </c>
      <c r="BO41">
        <v>2640.0</v>
      </c>
      <c r="BP41">
        <v>2680.0</v>
      </c>
      <c r="BQ41">
        <v>2720.0</v>
      </c>
      <c r="BR41">
        <v>2760.0</v>
      </c>
      <c r="BS41">
        <v>2800.0</v>
      </c>
      <c r="BT41">
        <v>2840.0</v>
      </c>
      <c r="BU41">
        <v>2880.0</v>
      </c>
      <c r="BV41">
        <v>2920.0</v>
      </c>
      <c r="BW41">
        <v>2960.0</v>
      </c>
      <c r="BX41">
        <v>3000.0</v>
      </c>
      <c r="BY41">
        <v>3040.0</v>
      </c>
      <c r="BZ41">
        <v>3080.0</v>
      </c>
      <c r="CA41">
        <v>3120.0</v>
      </c>
      <c r="CB41">
        <v>3160.0</v>
      </c>
      <c r="CC41">
        <v>3200.0</v>
      </c>
      <c r="CD41">
        <v>3240.0</v>
      </c>
      <c r="CE41">
        <v>3280.0</v>
      </c>
      <c r="CF41">
        <v>3320.0</v>
      </c>
      <c r="CG41">
        <v>3360.0</v>
      </c>
      <c r="CH41">
        <v>3400.0</v>
      </c>
      <c r="CI41">
        <v>3440.0</v>
      </c>
      <c r="CJ41">
        <v>3480.0</v>
      </c>
      <c r="CK41">
        <v>3520.0</v>
      </c>
      <c r="CL41">
        <v>3560.0</v>
      </c>
      <c r="CM41">
        <v>3600.0</v>
      </c>
      <c r="CN41">
        <v>3640.0</v>
      </c>
      <c r="CO41">
        <v>3680.0</v>
      </c>
      <c r="CP41">
        <v>3720.0</v>
      </c>
      <c r="CQ41">
        <v>3760.0</v>
      </c>
      <c r="CR41">
        <v>3800.0</v>
      </c>
      <c r="CS41">
        <v>3840.0</v>
      </c>
      <c r="CT41">
        <v>3880.0</v>
      </c>
      <c r="CU41">
        <v>3920.0</v>
      </c>
      <c r="CV41">
        <v>3960.0</v>
      </c>
      <c r="CW41">
        <v>4000.0</v>
      </c>
      <c r="CX41">
        <v>4040.0</v>
      </c>
      <c r="CY41">
        <v>4080.0</v>
      </c>
      <c r="CZ41">
        <v>4120.0</v>
      </c>
    </row>
    <row r="42" ht="19.5" customHeight="1">
      <c r="A42" s="2">
        <v>41.0</v>
      </c>
      <c r="B42" s="13">
        <v>41.0</v>
      </c>
      <c r="C42" s="13">
        <v>82.0</v>
      </c>
      <c r="D42" s="13">
        <v>123.0</v>
      </c>
      <c r="E42" s="13">
        <v>164.0</v>
      </c>
      <c r="F42" s="13">
        <v>205.0</v>
      </c>
      <c r="G42" s="13">
        <v>246.0</v>
      </c>
      <c r="H42" s="13">
        <v>287.0</v>
      </c>
      <c r="I42" s="12">
        <v>328.0</v>
      </c>
      <c r="J42" s="12">
        <v>369.0</v>
      </c>
      <c r="K42" s="12">
        <v>410.0</v>
      </c>
      <c r="L42" s="12">
        <v>451.0</v>
      </c>
      <c r="M42" s="12">
        <v>492.0</v>
      </c>
      <c r="N42" s="12">
        <v>533.0</v>
      </c>
      <c r="O42" s="12">
        <v>574.0</v>
      </c>
      <c r="P42" s="12">
        <v>615.0</v>
      </c>
      <c r="Q42" s="12">
        <v>656.0</v>
      </c>
      <c r="R42" s="12">
        <v>697.0</v>
      </c>
      <c r="S42" s="12">
        <v>738.0</v>
      </c>
      <c r="T42" s="12">
        <v>779.0</v>
      </c>
      <c r="U42" s="12">
        <v>820.0</v>
      </c>
      <c r="V42" s="12">
        <v>861.0</v>
      </c>
      <c r="W42" s="12">
        <v>902.0</v>
      </c>
      <c r="X42" s="12">
        <v>943.0</v>
      </c>
      <c r="Y42" s="12">
        <v>984.0</v>
      </c>
      <c r="Z42" s="12">
        <v>1025.0</v>
      </c>
      <c r="AA42">
        <v>1066.0</v>
      </c>
      <c r="AB42">
        <v>1107.0</v>
      </c>
      <c r="AC42">
        <v>1148.0</v>
      </c>
      <c r="AD42">
        <v>1189.0</v>
      </c>
      <c r="AE42">
        <v>1230.0</v>
      </c>
      <c r="AF42">
        <v>1271.0</v>
      </c>
      <c r="AG42">
        <v>1312.0</v>
      </c>
      <c r="AH42">
        <v>1353.0</v>
      </c>
      <c r="AI42">
        <v>1394.0</v>
      </c>
      <c r="AJ42">
        <v>1435.0</v>
      </c>
      <c r="AK42">
        <v>1476.0</v>
      </c>
      <c r="AL42">
        <v>1517.0</v>
      </c>
      <c r="AM42">
        <v>1558.0</v>
      </c>
      <c r="AN42">
        <v>1599.0</v>
      </c>
      <c r="AO42">
        <v>1640.0</v>
      </c>
      <c r="AP42">
        <v>1681.0</v>
      </c>
      <c r="AQ42">
        <v>1722.0</v>
      </c>
      <c r="AR42">
        <v>1763.0</v>
      </c>
      <c r="AS42">
        <v>1804.0</v>
      </c>
      <c r="AT42">
        <v>1845.0</v>
      </c>
      <c r="AU42">
        <v>1886.0</v>
      </c>
      <c r="AV42">
        <v>1927.0</v>
      </c>
      <c r="AW42">
        <v>1968.0</v>
      </c>
      <c r="AX42">
        <v>2009.0</v>
      </c>
      <c r="AY42">
        <v>2050.0</v>
      </c>
      <c r="AZ42">
        <v>2091.0</v>
      </c>
      <c r="BA42">
        <v>2132.0</v>
      </c>
      <c r="BB42">
        <v>2173.0</v>
      </c>
      <c r="BC42">
        <v>2214.0</v>
      </c>
      <c r="BD42">
        <v>2255.0</v>
      </c>
      <c r="BE42">
        <v>2296.0</v>
      </c>
      <c r="BF42">
        <v>2337.0</v>
      </c>
      <c r="BG42">
        <v>2378.0</v>
      </c>
      <c r="BH42">
        <v>2419.0</v>
      </c>
      <c r="BI42">
        <v>2460.0</v>
      </c>
      <c r="BJ42">
        <v>2501.0</v>
      </c>
      <c r="BK42">
        <v>2542.0</v>
      </c>
      <c r="BL42">
        <v>2583.0</v>
      </c>
      <c r="BM42">
        <v>2624.0</v>
      </c>
      <c r="BN42">
        <v>2665.0</v>
      </c>
      <c r="BO42">
        <v>2706.0</v>
      </c>
      <c r="BP42">
        <v>2747.0</v>
      </c>
      <c r="BQ42">
        <v>2788.0</v>
      </c>
      <c r="BR42">
        <v>2829.0</v>
      </c>
      <c r="BS42">
        <v>2870.0</v>
      </c>
      <c r="BT42">
        <v>2911.0</v>
      </c>
      <c r="BU42">
        <v>2952.0</v>
      </c>
      <c r="BV42">
        <v>2993.0</v>
      </c>
      <c r="BW42">
        <v>3034.0</v>
      </c>
      <c r="BX42">
        <v>3075.0</v>
      </c>
      <c r="BY42">
        <v>3116.0</v>
      </c>
      <c r="BZ42">
        <v>3157.0</v>
      </c>
      <c r="CA42">
        <v>3198.0</v>
      </c>
      <c r="CB42">
        <v>3239.0</v>
      </c>
      <c r="CC42">
        <v>3280.0</v>
      </c>
      <c r="CD42">
        <v>3321.0</v>
      </c>
      <c r="CE42">
        <v>3362.0</v>
      </c>
      <c r="CF42">
        <v>3403.0</v>
      </c>
      <c r="CG42">
        <v>3444.0</v>
      </c>
      <c r="CH42">
        <v>3485.0</v>
      </c>
      <c r="CI42">
        <v>3526.0</v>
      </c>
      <c r="CJ42">
        <v>3567.0</v>
      </c>
      <c r="CK42">
        <v>3608.0</v>
      </c>
      <c r="CL42">
        <v>3649.0</v>
      </c>
      <c r="CM42">
        <v>3690.0</v>
      </c>
      <c r="CN42">
        <v>3731.0</v>
      </c>
      <c r="CO42">
        <v>3772.0</v>
      </c>
      <c r="CP42">
        <v>3813.0</v>
      </c>
      <c r="CQ42">
        <v>3854.0</v>
      </c>
      <c r="CR42">
        <v>3895.0</v>
      </c>
      <c r="CS42">
        <v>3936.0</v>
      </c>
      <c r="CT42">
        <v>3977.0</v>
      </c>
      <c r="CU42">
        <v>4018.0</v>
      </c>
      <c r="CV42">
        <v>4059.0</v>
      </c>
      <c r="CW42">
        <v>4100.0</v>
      </c>
      <c r="CX42">
        <v>4141.0</v>
      </c>
      <c r="CY42">
        <v>4182.0</v>
      </c>
      <c r="CZ42">
        <v>4223.0</v>
      </c>
    </row>
    <row r="43" ht="19.5" customHeight="1">
      <c r="A43" s="2">
        <v>42.0</v>
      </c>
      <c r="B43" s="13">
        <v>42.0</v>
      </c>
      <c r="C43" s="13">
        <v>84.0</v>
      </c>
      <c r="D43" s="13">
        <v>126.0</v>
      </c>
      <c r="E43" s="13">
        <v>168.0</v>
      </c>
      <c r="F43" s="13">
        <v>210.0</v>
      </c>
      <c r="G43" s="13">
        <v>252.0</v>
      </c>
      <c r="H43" s="13">
        <v>294.0</v>
      </c>
      <c r="I43" s="12">
        <v>336.0</v>
      </c>
      <c r="J43" s="12">
        <v>378.0</v>
      </c>
      <c r="K43" s="12">
        <v>420.0</v>
      </c>
      <c r="L43" s="12">
        <v>462.0</v>
      </c>
      <c r="M43" s="12">
        <v>504.0</v>
      </c>
      <c r="N43" s="12">
        <v>546.0</v>
      </c>
      <c r="O43" s="12">
        <v>588.0</v>
      </c>
      <c r="P43" s="12">
        <v>630.0</v>
      </c>
      <c r="Q43" s="12">
        <v>672.0</v>
      </c>
      <c r="R43" s="12">
        <v>714.0</v>
      </c>
      <c r="S43" s="12">
        <v>756.0</v>
      </c>
      <c r="T43" s="12">
        <v>798.0</v>
      </c>
      <c r="U43" s="12">
        <v>840.0</v>
      </c>
      <c r="V43" s="12">
        <v>882.0</v>
      </c>
      <c r="W43" s="12">
        <v>924.0</v>
      </c>
      <c r="X43" s="12">
        <v>966.0</v>
      </c>
      <c r="Y43" s="12">
        <v>1008.0</v>
      </c>
      <c r="Z43">
        <v>1050.0</v>
      </c>
      <c r="AA43">
        <v>1092.0</v>
      </c>
      <c r="AB43">
        <v>1134.0</v>
      </c>
      <c r="AC43">
        <v>1176.0</v>
      </c>
      <c r="AD43">
        <v>1218.0</v>
      </c>
      <c r="AE43">
        <v>1260.0</v>
      </c>
      <c r="AF43">
        <v>1302.0</v>
      </c>
      <c r="AG43">
        <v>1344.0</v>
      </c>
      <c r="AH43">
        <v>1386.0</v>
      </c>
      <c r="AI43">
        <v>1428.0</v>
      </c>
      <c r="AJ43">
        <v>1470.0</v>
      </c>
      <c r="AK43">
        <v>1512.0</v>
      </c>
      <c r="AL43">
        <v>1554.0</v>
      </c>
      <c r="AM43">
        <v>1596.0</v>
      </c>
      <c r="AN43">
        <v>1638.0</v>
      </c>
      <c r="AO43">
        <v>1680.0</v>
      </c>
      <c r="AP43">
        <v>1722.0</v>
      </c>
      <c r="AQ43">
        <v>1764.0</v>
      </c>
      <c r="AR43">
        <v>1806.0</v>
      </c>
      <c r="AS43">
        <v>1848.0</v>
      </c>
      <c r="AT43">
        <v>1890.0</v>
      </c>
      <c r="AU43">
        <v>1932.0</v>
      </c>
      <c r="AV43">
        <v>1974.0</v>
      </c>
      <c r="AW43">
        <v>2016.0</v>
      </c>
      <c r="AX43">
        <v>2058.0</v>
      </c>
      <c r="AY43">
        <v>2100.0</v>
      </c>
      <c r="AZ43">
        <v>2142.0</v>
      </c>
      <c r="BA43">
        <v>2184.0</v>
      </c>
      <c r="BB43">
        <v>2226.0</v>
      </c>
      <c r="BC43">
        <v>2268.0</v>
      </c>
      <c r="BD43">
        <v>2310.0</v>
      </c>
      <c r="BE43">
        <v>2352.0</v>
      </c>
      <c r="BF43">
        <v>2394.0</v>
      </c>
      <c r="BG43">
        <v>2436.0</v>
      </c>
      <c r="BH43">
        <v>2478.0</v>
      </c>
      <c r="BI43">
        <v>2520.0</v>
      </c>
      <c r="BJ43">
        <v>2562.0</v>
      </c>
      <c r="BK43">
        <v>2604.0</v>
      </c>
      <c r="BL43">
        <v>2646.0</v>
      </c>
      <c r="BM43">
        <v>2688.0</v>
      </c>
      <c r="BN43">
        <v>2730.0</v>
      </c>
      <c r="BO43">
        <v>2772.0</v>
      </c>
      <c r="BP43">
        <v>2814.0</v>
      </c>
      <c r="BQ43">
        <v>2856.0</v>
      </c>
      <c r="BR43">
        <v>2898.0</v>
      </c>
      <c r="BS43">
        <v>2940.0</v>
      </c>
      <c r="BT43">
        <v>2982.0</v>
      </c>
      <c r="BU43">
        <v>3024.0</v>
      </c>
      <c r="BV43">
        <v>3066.0</v>
      </c>
      <c r="BW43">
        <v>3108.0</v>
      </c>
      <c r="BX43">
        <v>3150.0</v>
      </c>
      <c r="BY43">
        <v>3192.0</v>
      </c>
      <c r="BZ43">
        <v>3234.0</v>
      </c>
      <c r="CA43">
        <v>3276.0</v>
      </c>
      <c r="CB43">
        <v>3318.0</v>
      </c>
      <c r="CC43">
        <v>3360.0</v>
      </c>
      <c r="CD43">
        <v>3402.0</v>
      </c>
      <c r="CE43">
        <v>3444.0</v>
      </c>
      <c r="CF43">
        <v>3486.0</v>
      </c>
      <c r="CG43">
        <v>3528.0</v>
      </c>
      <c r="CH43">
        <v>3570.0</v>
      </c>
      <c r="CI43">
        <v>3612.0</v>
      </c>
      <c r="CJ43">
        <v>3654.0</v>
      </c>
      <c r="CK43">
        <v>3696.0</v>
      </c>
      <c r="CL43">
        <v>3738.0</v>
      </c>
      <c r="CM43">
        <v>3780.0</v>
      </c>
      <c r="CN43">
        <v>3822.0</v>
      </c>
      <c r="CO43">
        <v>3864.0</v>
      </c>
      <c r="CP43">
        <v>3906.0</v>
      </c>
      <c r="CQ43">
        <v>3948.0</v>
      </c>
      <c r="CR43">
        <v>3990.0</v>
      </c>
      <c r="CS43">
        <v>4032.0</v>
      </c>
      <c r="CT43">
        <v>4074.0</v>
      </c>
      <c r="CU43">
        <v>4116.0</v>
      </c>
      <c r="CV43">
        <v>4158.0</v>
      </c>
      <c r="CW43">
        <v>4200.0</v>
      </c>
      <c r="CX43">
        <v>4242.0</v>
      </c>
      <c r="CY43">
        <v>4284.0</v>
      </c>
      <c r="CZ43">
        <v>4326.0</v>
      </c>
    </row>
    <row r="44" ht="19.5" customHeight="1">
      <c r="A44" s="2">
        <v>43.0</v>
      </c>
      <c r="B44" s="13">
        <v>43.0</v>
      </c>
      <c r="C44" s="13">
        <v>86.0</v>
      </c>
      <c r="D44" s="13">
        <v>129.0</v>
      </c>
      <c r="E44" s="13">
        <v>172.0</v>
      </c>
      <c r="F44" s="13">
        <v>215.0</v>
      </c>
      <c r="G44" s="13">
        <v>258.0</v>
      </c>
      <c r="H44" s="12">
        <v>301.0</v>
      </c>
      <c r="I44" s="12">
        <v>344.0</v>
      </c>
      <c r="J44" s="12">
        <v>387.0</v>
      </c>
      <c r="K44" s="12">
        <v>430.0</v>
      </c>
      <c r="L44" s="12">
        <v>473.0</v>
      </c>
      <c r="M44" s="12">
        <v>516.0</v>
      </c>
      <c r="N44" s="12">
        <v>559.0</v>
      </c>
      <c r="O44" s="12">
        <v>602.0</v>
      </c>
      <c r="P44" s="12">
        <v>645.0</v>
      </c>
      <c r="Q44" s="12">
        <v>688.0</v>
      </c>
      <c r="R44" s="12">
        <v>731.0</v>
      </c>
      <c r="S44" s="12">
        <v>774.0</v>
      </c>
      <c r="T44" s="12">
        <v>817.0</v>
      </c>
      <c r="U44" s="12">
        <v>860.0</v>
      </c>
      <c r="V44" s="12">
        <v>903.0</v>
      </c>
      <c r="W44" s="12">
        <v>946.0</v>
      </c>
      <c r="X44" s="12">
        <v>989.0</v>
      </c>
      <c r="Y44" s="12">
        <v>1032.0</v>
      </c>
      <c r="Z44">
        <v>1075.0</v>
      </c>
      <c r="AA44">
        <v>1118.0</v>
      </c>
      <c r="AB44">
        <v>1161.0</v>
      </c>
      <c r="AC44">
        <v>1204.0</v>
      </c>
      <c r="AD44">
        <v>1247.0</v>
      </c>
      <c r="AE44">
        <v>1290.0</v>
      </c>
      <c r="AF44">
        <v>1333.0</v>
      </c>
      <c r="AG44">
        <v>1376.0</v>
      </c>
      <c r="AH44">
        <v>1419.0</v>
      </c>
      <c r="AI44">
        <v>1462.0</v>
      </c>
      <c r="AJ44">
        <v>1505.0</v>
      </c>
      <c r="AK44">
        <v>1548.0</v>
      </c>
      <c r="AL44">
        <v>1591.0</v>
      </c>
      <c r="AM44">
        <v>1634.0</v>
      </c>
      <c r="AN44">
        <v>1677.0</v>
      </c>
      <c r="AO44">
        <v>1720.0</v>
      </c>
      <c r="AP44">
        <v>1763.0</v>
      </c>
      <c r="AQ44">
        <v>1806.0</v>
      </c>
      <c r="AR44">
        <v>1849.0</v>
      </c>
      <c r="AS44">
        <v>1892.0</v>
      </c>
      <c r="AT44">
        <v>1935.0</v>
      </c>
      <c r="AU44">
        <v>1978.0</v>
      </c>
      <c r="AV44">
        <v>2021.0</v>
      </c>
      <c r="AW44">
        <v>2064.0</v>
      </c>
      <c r="AX44">
        <v>2107.0</v>
      </c>
      <c r="AY44">
        <v>2150.0</v>
      </c>
      <c r="AZ44">
        <v>2193.0</v>
      </c>
      <c r="BA44">
        <v>2236.0</v>
      </c>
      <c r="BB44">
        <v>2279.0</v>
      </c>
      <c r="BC44">
        <v>2322.0</v>
      </c>
      <c r="BD44">
        <v>2365.0</v>
      </c>
      <c r="BE44">
        <v>2408.0</v>
      </c>
      <c r="BF44">
        <v>2451.0</v>
      </c>
      <c r="BG44">
        <v>2494.0</v>
      </c>
      <c r="BH44">
        <v>2537.0</v>
      </c>
      <c r="BI44">
        <v>2580.0</v>
      </c>
      <c r="BJ44">
        <v>2623.0</v>
      </c>
      <c r="BK44">
        <v>2666.0</v>
      </c>
      <c r="BL44">
        <v>2709.0</v>
      </c>
      <c r="BM44">
        <v>2752.0</v>
      </c>
      <c r="BN44">
        <v>2795.0</v>
      </c>
      <c r="BO44">
        <v>2838.0</v>
      </c>
      <c r="BP44">
        <v>2881.0</v>
      </c>
      <c r="BQ44">
        <v>2924.0</v>
      </c>
      <c r="BR44">
        <v>2967.0</v>
      </c>
      <c r="BS44">
        <v>3010.0</v>
      </c>
      <c r="BT44">
        <v>3053.0</v>
      </c>
      <c r="BU44">
        <v>3096.0</v>
      </c>
      <c r="BV44">
        <v>3139.0</v>
      </c>
      <c r="BW44">
        <v>3182.0</v>
      </c>
      <c r="BX44">
        <v>3225.0</v>
      </c>
      <c r="BY44">
        <v>3268.0</v>
      </c>
      <c r="BZ44">
        <v>3311.0</v>
      </c>
      <c r="CA44">
        <v>3354.0</v>
      </c>
      <c r="CB44">
        <v>3397.0</v>
      </c>
      <c r="CC44">
        <v>3440.0</v>
      </c>
      <c r="CD44">
        <v>3483.0</v>
      </c>
      <c r="CE44">
        <v>3526.0</v>
      </c>
      <c r="CF44">
        <v>3569.0</v>
      </c>
      <c r="CG44">
        <v>3612.0</v>
      </c>
      <c r="CH44">
        <v>3655.0</v>
      </c>
      <c r="CI44">
        <v>3698.0</v>
      </c>
      <c r="CJ44">
        <v>3741.0</v>
      </c>
      <c r="CK44">
        <v>3784.0</v>
      </c>
      <c r="CL44">
        <v>3827.0</v>
      </c>
      <c r="CM44">
        <v>3870.0</v>
      </c>
      <c r="CN44">
        <v>3913.0</v>
      </c>
      <c r="CO44">
        <v>3956.0</v>
      </c>
      <c r="CP44">
        <v>3999.0</v>
      </c>
      <c r="CQ44">
        <v>4042.0</v>
      </c>
      <c r="CR44">
        <v>4085.0</v>
      </c>
      <c r="CS44">
        <v>4128.0</v>
      </c>
      <c r="CT44">
        <v>4171.0</v>
      </c>
      <c r="CU44">
        <v>4214.0</v>
      </c>
      <c r="CV44">
        <v>4257.0</v>
      </c>
      <c r="CW44">
        <v>4300.0</v>
      </c>
      <c r="CX44">
        <v>4343.0</v>
      </c>
      <c r="CY44">
        <v>4386.0</v>
      </c>
      <c r="CZ44">
        <v>4429.0</v>
      </c>
    </row>
    <row r="45" ht="19.5" customHeight="1">
      <c r="A45" s="2">
        <v>44.0</v>
      </c>
      <c r="B45" s="13">
        <v>44.0</v>
      </c>
      <c r="C45" s="13">
        <v>88.0</v>
      </c>
      <c r="D45" s="13">
        <v>132.0</v>
      </c>
      <c r="E45" s="13">
        <v>176.0</v>
      </c>
      <c r="F45" s="13">
        <v>220.0</v>
      </c>
      <c r="G45" s="13">
        <v>264.0</v>
      </c>
      <c r="H45" s="12">
        <v>308.0</v>
      </c>
      <c r="I45" s="12">
        <v>352.0</v>
      </c>
      <c r="J45" s="12">
        <v>396.0</v>
      </c>
      <c r="K45" s="12">
        <v>440.0</v>
      </c>
      <c r="L45" s="12">
        <v>484.0</v>
      </c>
      <c r="M45" s="12">
        <v>528.0</v>
      </c>
      <c r="N45" s="12">
        <v>572.0</v>
      </c>
      <c r="O45" s="12">
        <v>616.0</v>
      </c>
      <c r="P45" s="12">
        <v>660.0</v>
      </c>
      <c r="Q45" s="12">
        <v>704.0</v>
      </c>
      <c r="R45" s="12">
        <v>748.0</v>
      </c>
      <c r="S45" s="12">
        <v>792.0</v>
      </c>
      <c r="T45" s="12">
        <v>836.0</v>
      </c>
      <c r="U45" s="12">
        <v>880.0</v>
      </c>
      <c r="V45" s="12">
        <v>924.0</v>
      </c>
      <c r="W45" s="12">
        <v>968.0</v>
      </c>
      <c r="X45" s="12">
        <v>1012.0</v>
      </c>
      <c r="Y45">
        <v>1056.0</v>
      </c>
      <c r="Z45">
        <v>1100.0</v>
      </c>
      <c r="AA45">
        <v>1144.0</v>
      </c>
      <c r="AB45">
        <v>1188.0</v>
      </c>
      <c r="AC45">
        <v>1232.0</v>
      </c>
      <c r="AD45">
        <v>1276.0</v>
      </c>
      <c r="AE45">
        <v>1320.0</v>
      </c>
      <c r="AF45">
        <v>1364.0</v>
      </c>
      <c r="AG45">
        <v>1408.0</v>
      </c>
      <c r="AH45">
        <v>1452.0</v>
      </c>
      <c r="AI45">
        <v>1496.0</v>
      </c>
      <c r="AJ45">
        <v>1540.0</v>
      </c>
      <c r="AK45">
        <v>1584.0</v>
      </c>
      <c r="AL45">
        <v>1628.0</v>
      </c>
      <c r="AM45">
        <v>1672.0</v>
      </c>
      <c r="AN45">
        <v>1716.0</v>
      </c>
      <c r="AO45">
        <v>1760.0</v>
      </c>
      <c r="AP45">
        <v>1804.0</v>
      </c>
      <c r="AQ45">
        <v>1848.0</v>
      </c>
      <c r="AR45">
        <v>1892.0</v>
      </c>
      <c r="AS45">
        <v>1936.0</v>
      </c>
      <c r="AT45">
        <v>1980.0</v>
      </c>
      <c r="AU45">
        <v>2024.0</v>
      </c>
      <c r="AV45">
        <v>2068.0</v>
      </c>
      <c r="AW45">
        <v>2112.0</v>
      </c>
      <c r="AX45">
        <v>2156.0</v>
      </c>
      <c r="AY45">
        <v>2200.0</v>
      </c>
      <c r="AZ45">
        <v>2244.0</v>
      </c>
      <c r="BA45">
        <v>2288.0</v>
      </c>
      <c r="BB45">
        <v>2332.0</v>
      </c>
      <c r="BC45">
        <v>2376.0</v>
      </c>
      <c r="BD45">
        <v>2420.0</v>
      </c>
      <c r="BE45">
        <v>2464.0</v>
      </c>
      <c r="BF45">
        <v>2508.0</v>
      </c>
      <c r="BG45">
        <v>2552.0</v>
      </c>
      <c r="BH45">
        <v>2596.0</v>
      </c>
      <c r="BI45">
        <v>2640.0</v>
      </c>
      <c r="BJ45">
        <v>2684.0</v>
      </c>
      <c r="BK45">
        <v>2728.0</v>
      </c>
      <c r="BL45">
        <v>2772.0</v>
      </c>
      <c r="BM45">
        <v>2816.0</v>
      </c>
      <c r="BN45">
        <v>2860.0</v>
      </c>
      <c r="BO45">
        <v>2904.0</v>
      </c>
      <c r="BP45">
        <v>2948.0</v>
      </c>
      <c r="BQ45">
        <v>2992.0</v>
      </c>
      <c r="BR45">
        <v>3036.0</v>
      </c>
      <c r="BS45">
        <v>3080.0</v>
      </c>
      <c r="BT45">
        <v>3124.0</v>
      </c>
      <c r="BU45">
        <v>3168.0</v>
      </c>
      <c r="BV45">
        <v>3212.0</v>
      </c>
      <c r="BW45">
        <v>3256.0</v>
      </c>
      <c r="BX45">
        <v>3300.0</v>
      </c>
      <c r="BY45">
        <v>3344.0</v>
      </c>
      <c r="BZ45">
        <v>3388.0</v>
      </c>
      <c r="CA45">
        <v>3432.0</v>
      </c>
      <c r="CB45">
        <v>3476.0</v>
      </c>
      <c r="CC45">
        <v>3520.0</v>
      </c>
      <c r="CD45">
        <v>3564.0</v>
      </c>
      <c r="CE45">
        <v>3608.0</v>
      </c>
      <c r="CF45">
        <v>3652.0</v>
      </c>
      <c r="CG45">
        <v>3696.0</v>
      </c>
      <c r="CH45">
        <v>3740.0</v>
      </c>
      <c r="CI45">
        <v>3784.0</v>
      </c>
      <c r="CJ45">
        <v>3828.0</v>
      </c>
      <c r="CK45">
        <v>3872.0</v>
      </c>
      <c r="CL45">
        <v>3916.0</v>
      </c>
      <c r="CM45">
        <v>3960.0</v>
      </c>
      <c r="CN45">
        <v>4004.0</v>
      </c>
      <c r="CO45">
        <v>4048.0</v>
      </c>
      <c r="CP45">
        <v>4092.0</v>
      </c>
      <c r="CQ45">
        <v>4136.0</v>
      </c>
      <c r="CR45">
        <v>4180.0</v>
      </c>
      <c r="CS45">
        <v>4224.0</v>
      </c>
      <c r="CT45">
        <v>4268.0</v>
      </c>
      <c r="CU45">
        <v>4312.0</v>
      </c>
      <c r="CV45">
        <v>4356.0</v>
      </c>
      <c r="CW45">
        <v>4400.0</v>
      </c>
      <c r="CX45">
        <v>4444.0</v>
      </c>
      <c r="CY45">
        <v>4488.0</v>
      </c>
      <c r="CZ45">
        <v>4532.0</v>
      </c>
    </row>
    <row r="46" ht="19.5" customHeight="1">
      <c r="A46" s="2">
        <v>45.0</v>
      </c>
      <c r="B46" s="13">
        <v>45.0</v>
      </c>
      <c r="C46" s="13">
        <v>90.0</v>
      </c>
      <c r="D46" s="13">
        <v>135.0</v>
      </c>
      <c r="E46" s="13">
        <v>180.0</v>
      </c>
      <c r="F46" s="13">
        <v>225.0</v>
      </c>
      <c r="G46" s="13">
        <v>270.0</v>
      </c>
      <c r="H46" s="12">
        <v>315.0</v>
      </c>
      <c r="I46" s="12">
        <v>360.0</v>
      </c>
      <c r="J46" s="12">
        <v>405.0</v>
      </c>
      <c r="K46" s="12">
        <v>450.0</v>
      </c>
      <c r="L46" s="12">
        <v>495.0</v>
      </c>
      <c r="M46" s="12">
        <v>540.0</v>
      </c>
      <c r="N46" s="12">
        <v>585.0</v>
      </c>
      <c r="O46" s="12">
        <v>630.0</v>
      </c>
      <c r="P46" s="12">
        <v>675.0</v>
      </c>
      <c r="Q46" s="12">
        <v>720.0</v>
      </c>
      <c r="R46" s="12">
        <v>765.0</v>
      </c>
      <c r="S46" s="12">
        <v>810.0</v>
      </c>
      <c r="T46" s="12">
        <v>855.0</v>
      </c>
      <c r="U46" s="12">
        <v>900.0</v>
      </c>
      <c r="V46" s="12">
        <v>945.0</v>
      </c>
      <c r="W46" s="12">
        <v>990.0</v>
      </c>
      <c r="X46" s="12">
        <v>1035.0</v>
      </c>
      <c r="Y46">
        <v>1080.0</v>
      </c>
      <c r="Z46">
        <v>1125.0</v>
      </c>
      <c r="AA46">
        <v>1170.0</v>
      </c>
      <c r="AB46">
        <v>1215.0</v>
      </c>
      <c r="AC46">
        <v>1260.0</v>
      </c>
      <c r="AD46">
        <v>1305.0</v>
      </c>
      <c r="AE46">
        <v>1350.0</v>
      </c>
      <c r="AF46">
        <v>1395.0</v>
      </c>
      <c r="AG46">
        <v>1440.0</v>
      </c>
      <c r="AH46">
        <v>1485.0</v>
      </c>
      <c r="AI46">
        <v>1530.0</v>
      </c>
      <c r="AJ46">
        <v>1575.0</v>
      </c>
      <c r="AK46">
        <v>1620.0</v>
      </c>
      <c r="AL46">
        <v>1665.0</v>
      </c>
      <c r="AM46">
        <v>1710.0</v>
      </c>
      <c r="AN46">
        <v>1755.0</v>
      </c>
      <c r="AO46">
        <v>1800.0</v>
      </c>
      <c r="AP46">
        <v>1845.0</v>
      </c>
      <c r="AQ46">
        <v>1890.0</v>
      </c>
      <c r="AR46">
        <v>1935.0</v>
      </c>
      <c r="AS46">
        <v>1980.0</v>
      </c>
      <c r="AT46">
        <v>2025.0</v>
      </c>
      <c r="AU46">
        <v>2070.0</v>
      </c>
      <c r="AV46">
        <v>2115.0</v>
      </c>
      <c r="AW46">
        <v>2160.0</v>
      </c>
      <c r="AX46">
        <v>2205.0</v>
      </c>
      <c r="AY46">
        <v>2250.0</v>
      </c>
      <c r="AZ46">
        <v>2295.0</v>
      </c>
      <c r="BA46">
        <v>2340.0</v>
      </c>
      <c r="BB46">
        <v>2385.0</v>
      </c>
      <c r="BC46">
        <v>2430.0</v>
      </c>
      <c r="BD46">
        <v>2475.0</v>
      </c>
      <c r="BE46">
        <v>2520.0</v>
      </c>
      <c r="BF46">
        <v>2565.0</v>
      </c>
      <c r="BG46">
        <v>2610.0</v>
      </c>
      <c r="BH46">
        <v>2655.0</v>
      </c>
      <c r="BI46">
        <v>2700.0</v>
      </c>
      <c r="BJ46">
        <v>2745.0</v>
      </c>
      <c r="BK46">
        <v>2790.0</v>
      </c>
      <c r="BL46">
        <v>2835.0</v>
      </c>
      <c r="BM46">
        <v>2880.0</v>
      </c>
      <c r="BN46">
        <v>2925.0</v>
      </c>
      <c r="BO46">
        <v>2970.0</v>
      </c>
      <c r="BP46">
        <v>3015.0</v>
      </c>
      <c r="BQ46">
        <v>3060.0</v>
      </c>
      <c r="BR46">
        <v>3105.0</v>
      </c>
      <c r="BS46">
        <v>3150.0</v>
      </c>
      <c r="BT46">
        <v>3195.0</v>
      </c>
      <c r="BU46">
        <v>3240.0</v>
      </c>
      <c r="BV46">
        <v>3285.0</v>
      </c>
      <c r="BW46">
        <v>3330.0</v>
      </c>
      <c r="BX46">
        <v>3375.0</v>
      </c>
      <c r="BY46">
        <v>3420.0</v>
      </c>
      <c r="BZ46">
        <v>3465.0</v>
      </c>
      <c r="CA46">
        <v>3510.0</v>
      </c>
      <c r="CB46">
        <v>3555.0</v>
      </c>
      <c r="CC46">
        <v>3600.0</v>
      </c>
      <c r="CD46">
        <v>3645.0</v>
      </c>
      <c r="CE46">
        <v>3690.0</v>
      </c>
      <c r="CF46">
        <v>3735.0</v>
      </c>
      <c r="CG46">
        <v>3780.0</v>
      </c>
      <c r="CH46">
        <v>3825.0</v>
      </c>
      <c r="CI46">
        <v>3870.0</v>
      </c>
      <c r="CJ46">
        <v>3915.0</v>
      </c>
      <c r="CK46">
        <v>3960.0</v>
      </c>
      <c r="CL46">
        <v>4005.0</v>
      </c>
      <c r="CM46">
        <v>4050.0</v>
      </c>
      <c r="CN46">
        <v>4095.0</v>
      </c>
      <c r="CO46">
        <v>4140.0</v>
      </c>
      <c r="CP46">
        <v>4185.0</v>
      </c>
      <c r="CQ46">
        <v>4230.0</v>
      </c>
      <c r="CR46">
        <v>4275.0</v>
      </c>
      <c r="CS46">
        <v>4320.0</v>
      </c>
      <c r="CT46">
        <v>4365.0</v>
      </c>
      <c r="CU46">
        <v>4410.0</v>
      </c>
      <c r="CV46">
        <v>4455.0</v>
      </c>
      <c r="CW46">
        <v>4500.0</v>
      </c>
      <c r="CX46">
        <v>4545.0</v>
      </c>
      <c r="CY46">
        <v>4590.0</v>
      </c>
      <c r="CZ46">
        <v>4635.0</v>
      </c>
    </row>
    <row r="47" ht="19.5" customHeight="1">
      <c r="A47" s="2">
        <v>46.0</v>
      </c>
      <c r="B47" s="13">
        <v>46.0</v>
      </c>
      <c r="C47" s="13">
        <v>92.0</v>
      </c>
      <c r="D47" s="13">
        <v>138.0</v>
      </c>
      <c r="E47" s="13">
        <v>184.0</v>
      </c>
      <c r="F47" s="13">
        <v>230.0</v>
      </c>
      <c r="G47" s="13">
        <v>276.0</v>
      </c>
      <c r="H47" s="12">
        <v>322.0</v>
      </c>
      <c r="I47" s="12">
        <v>368.0</v>
      </c>
      <c r="J47" s="12">
        <v>414.0</v>
      </c>
      <c r="K47" s="12">
        <v>460.0</v>
      </c>
      <c r="L47" s="12">
        <v>506.0</v>
      </c>
      <c r="M47" s="12">
        <v>552.0</v>
      </c>
      <c r="N47" s="12">
        <v>598.0</v>
      </c>
      <c r="O47" s="12">
        <v>644.0</v>
      </c>
      <c r="P47" s="12">
        <v>690.0</v>
      </c>
      <c r="Q47" s="12">
        <v>736.0</v>
      </c>
      <c r="R47" s="12">
        <v>782.0</v>
      </c>
      <c r="S47" s="12">
        <v>828.0</v>
      </c>
      <c r="T47" s="12">
        <v>874.0</v>
      </c>
      <c r="U47" s="12">
        <v>920.0</v>
      </c>
      <c r="V47" s="12">
        <v>966.0</v>
      </c>
      <c r="W47" s="12">
        <v>1012.0</v>
      </c>
      <c r="X47">
        <v>1058.0</v>
      </c>
      <c r="Y47">
        <v>1104.0</v>
      </c>
      <c r="Z47">
        <v>1150.0</v>
      </c>
      <c r="AA47">
        <v>1196.0</v>
      </c>
      <c r="AB47">
        <v>1242.0</v>
      </c>
      <c r="AC47">
        <v>1288.0</v>
      </c>
      <c r="AD47">
        <v>1334.0</v>
      </c>
      <c r="AE47">
        <v>1380.0</v>
      </c>
      <c r="AF47">
        <v>1426.0</v>
      </c>
      <c r="AG47">
        <v>1472.0</v>
      </c>
      <c r="AH47">
        <v>1518.0</v>
      </c>
      <c r="AI47">
        <v>1564.0</v>
      </c>
      <c r="AJ47">
        <v>1610.0</v>
      </c>
      <c r="AK47">
        <v>1656.0</v>
      </c>
      <c r="AL47">
        <v>1702.0</v>
      </c>
      <c r="AM47">
        <v>1748.0</v>
      </c>
      <c r="AN47">
        <v>1794.0</v>
      </c>
      <c r="AO47">
        <v>1840.0</v>
      </c>
      <c r="AP47">
        <v>1886.0</v>
      </c>
      <c r="AQ47">
        <v>1932.0</v>
      </c>
      <c r="AR47">
        <v>1978.0</v>
      </c>
      <c r="AS47">
        <v>2024.0</v>
      </c>
      <c r="AT47">
        <v>2070.0</v>
      </c>
      <c r="AU47">
        <v>2116.0</v>
      </c>
      <c r="AV47">
        <v>2162.0</v>
      </c>
      <c r="AW47">
        <v>2208.0</v>
      </c>
      <c r="AX47">
        <v>2254.0</v>
      </c>
      <c r="AY47">
        <v>2300.0</v>
      </c>
      <c r="AZ47">
        <v>2346.0</v>
      </c>
      <c r="BA47">
        <v>2392.0</v>
      </c>
      <c r="BB47">
        <v>2438.0</v>
      </c>
      <c r="BC47">
        <v>2484.0</v>
      </c>
      <c r="BD47">
        <v>2530.0</v>
      </c>
      <c r="BE47">
        <v>2576.0</v>
      </c>
      <c r="BF47">
        <v>2622.0</v>
      </c>
      <c r="BG47">
        <v>2668.0</v>
      </c>
      <c r="BH47">
        <v>2714.0</v>
      </c>
      <c r="BI47">
        <v>2760.0</v>
      </c>
      <c r="BJ47">
        <v>2806.0</v>
      </c>
      <c r="BK47">
        <v>2852.0</v>
      </c>
      <c r="BL47">
        <v>2898.0</v>
      </c>
      <c r="BM47">
        <v>2944.0</v>
      </c>
      <c r="BN47">
        <v>2990.0</v>
      </c>
      <c r="BO47">
        <v>3036.0</v>
      </c>
      <c r="BP47">
        <v>3082.0</v>
      </c>
      <c r="BQ47">
        <v>3128.0</v>
      </c>
      <c r="BR47">
        <v>3174.0</v>
      </c>
      <c r="BS47">
        <v>3220.0</v>
      </c>
      <c r="BT47">
        <v>3266.0</v>
      </c>
      <c r="BU47">
        <v>3312.0</v>
      </c>
      <c r="BV47">
        <v>3358.0</v>
      </c>
      <c r="BW47">
        <v>3404.0</v>
      </c>
      <c r="BX47">
        <v>3450.0</v>
      </c>
      <c r="BY47">
        <v>3496.0</v>
      </c>
      <c r="BZ47">
        <v>3542.0</v>
      </c>
      <c r="CA47">
        <v>3588.0</v>
      </c>
      <c r="CB47">
        <v>3634.0</v>
      </c>
      <c r="CC47">
        <v>3680.0</v>
      </c>
      <c r="CD47">
        <v>3726.0</v>
      </c>
      <c r="CE47">
        <v>3772.0</v>
      </c>
      <c r="CF47">
        <v>3818.0</v>
      </c>
      <c r="CG47">
        <v>3864.0</v>
      </c>
      <c r="CH47">
        <v>3910.0</v>
      </c>
      <c r="CI47">
        <v>3956.0</v>
      </c>
      <c r="CJ47">
        <v>4002.0</v>
      </c>
      <c r="CK47">
        <v>4048.0</v>
      </c>
      <c r="CL47">
        <v>4094.0</v>
      </c>
      <c r="CM47">
        <v>4140.0</v>
      </c>
      <c r="CN47">
        <v>4186.0</v>
      </c>
      <c r="CO47">
        <v>4232.0</v>
      </c>
      <c r="CP47">
        <v>4278.0</v>
      </c>
      <c r="CQ47">
        <v>4324.0</v>
      </c>
      <c r="CR47">
        <v>4370.0</v>
      </c>
      <c r="CS47">
        <v>4416.0</v>
      </c>
      <c r="CT47">
        <v>4462.0</v>
      </c>
      <c r="CU47">
        <v>4508.0</v>
      </c>
      <c r="CV47">
        <v>4554.0</v>
      </c>
      <c r="CW47">
        <v>4600.0</v>
      </c>
      <c r="CX47">
        <v>4646.0</v>
      </c>
      <c r="CY47">
        <v>4692.0</v>
      </c>
      <c r="CZ47">
        <v>4738.0</v>
      </c>
    </row>
    <row r="48" ht="19.5" customHeight="1">
      <c r="A48" s="2">
        <v>47.0</v>
      </c>
      <c r="B48" s="13">
        <v>47.0</v>
      </c>
      <c r="C48" s="13">
        <v>94.0</v>
      </c>
      <c r="D48" s="13">
        <v>141.0</v>
      </c>
      <c r="E48" s="13">
        <v>188.0</v>
      </c>
      <c r="F48" s="13">
        <v>235.0</v>
      </c>
      <c r="G48" s="12">
        <v>282.0</v>
      </c>
      <c r="H48" s="12">
        <v>329.0</v>
      </c>
      <c r="I48" s="12">
        <v>376.0</v>
      </c>
      <c r="J48" s="12">
        <v>423.0</v>
      </c>
      <c r="K48" s="12">
        <v>470.0</v>
      </c>
      <c r="L48" s="12">
        <v>517.0</v>
      </c>
      <c r="M48" s="12">
        <v>564.0</v>
      </c>
      <c r="N48" s="12">
        <v>611.0</v>
      </c>
      <c r="O48" s="12">
        <v>658.0</v>
      </c>
      <c r="P48" s="12">
        <v>705.0</v>
      </c>
      <c r="Q48" s="12">
        <v>752.0</v>
      </c>
      <c r="R48" s="12">
        <v>799.0</v>
      </c>
      <c r="S48" s="12">
        <v>846.0</v>
      </c>
      <c r="T48" s="12">
        <v>893.0</v>
      </c>
      <c r="U48" s="12">
        <v>940.0</v>
      </c>
      <c r="V48" s="12">
        <v>987.0</v>
      </c>
      <c r="W48" s="12">
        <v>1034.0</v>
      </c>
      <c r="X48">
        <v>1081.0</v>
      </c>
      <c r="Y48">
        <v>1128.0</v>
      </c>
      <c r="Z48">
        <v>1175.0</v>
      </c>
      <c r="AA48">
        <v>1222.0</v>
      </c>
      <c r="AB48">
        <v>1269.0</v>
      </c>
      <c r="AC48">
        <v>1316.0</v>
      </c>
      <c r="AD48">
        <v>1363.0</v>
      </c>
      <c r="AE48">
        <v>1410.0</v>
      </c>
      <c r="AF48">
        <v>1457.0</v>
      </c>
      <c r="AG48">
        <v>1504.0</v>
      </c>
      <c r="AH48">
        <v>1551.0</v>
      </c>
      <c r="AI48">
        <v>1598.0</v>
      </c>
      <c r="AJ48">
        <v>1645.0</v>
      </c>
      <c r="AK48">
        <v>1692.0</v>
      </c>
      <c r="AL48">
        <v>1739.0</v>
      </c>
      <c r="AM48">
        <v>1786.0</v>
      </c>
      <c r="AN48">
        <v>1833.0</v>
      </c>
      <c r="AO48">
        <v>1880.0</v>
      </c>
      <c r="AP48">
        <v>1927.0</v>
      </c>
      <c r="AQ48">
        <v>1974.0</v>
      </c>
      <c r="AR48">
        <v>2021.0</v>
      </c>
      <c r="AS48">
        <v>2068.0</v>
      </c>
      <c r="AT48">
        <v>2115.0</v>
      </c>
      <c r="AU48">
        <v>2162.0</v>
      </c>
      <c r="AV48">
        <v>2209.0</v>
      </c>
      <c r="AW48">
        <v>2256.0</v>
      </c>
      <c r="AX48">
        <v>2303.0</v>
      </c>
      <c r="AY48">
        <v>2350.0</v>
      </c>
      <c r="AZ48">
        <v>2397.0</v>
      </c>
      <c r="BA48">
        <v>2444.0</v>
      </c>
      <c r="BB48">
        <v>2491.0</v>
      </c>
      <c r="BC48">
        <v>2538.0</v>
      </c>
      <c r="BD48">
        <v>2585.0</v>
      </c>
      <c r="BE48">
        <v>2632.0</v>
      </c>
      <c r="BF48">
        <v>2679.0</v>
      </c>
      <c r="BG48">
        <v>2726.0</v>
      </c>
      <c r="BH48">
        <v>2773.0</v>
      </c>
      <c r="BI48">
        <v>2820.0</v>
      </c>
      <c r="BJ48">
        <v>2867.0</v>
      </c>
      <c r="BK48">
        <v>2914.0</v>
      </c>
      <c r="BL48">
        <v>2961.0</v>
      </c>
      <c r="BM48">
        <v>3008.0</v>
      </c>
      <c r="BN48">
        <v>3055.0</v>
      </c>
      <c r="BO48">
        <v>3102.0</v>
      </c>
      <c r="BP48">
        <v>3149.0</v>
      </c>
      <c r="BQ48">
        <v>3196.0</v>
      </c>
      <c r="BR48">
        <v>3243.0</v>
      </c>
      <c r="BS48">
        <v>3290.0</v>
      </c>
      <c r="BT48">
        <v>3337.0</v>
      </c>
      <c r="BU48">
        <v>3384.0</v>
      </c>
      <c r="BV48">
        <v>3431.0</v>
      </c>
      <c r="BW48">
        <v>3478.0</v>
      </c>
      <c r="BX48">
        <v>3525.0</v>
      </c>
      <c r="BY48">
        <v>3572.0</v>
      </c>
      <c r="BZ48">
        <v>3619.0</v>
      </c>
      <c r="CA48">
        <v>3666.0</v>
      </c>
      <c r="CB48">
        <v>3713.0</v>
      </c>
      <c r="CC48">
        <v>3760.0</v>
      </c>
      <c r="CD48">
        <v>3807.0</v>
      </c>
      <c r="CE48">
        <v>3854.0</v>
      </c>
      <c r="CF48">
        <v>3901.0</v>
      </c>
      <c r="CG48">
        <v>3948.0</v>
      </c>
      <c r="CH48">
        <v>3995.0</v>
      </c>
      <c r="CI48">
        <v>4042.0</v>
      </c>
      <c r="CJ48">
        <v>4089.0</v>
      </c>
      <c r="CK48">
        <v>4136.0</v>
      </c>
      <c r="CL48">
        <v>4183.0</v>
      </c>
      <c r="CM48">
        <v>4230.0</v>
      </c>
      <c r="CN48">
        <v>4277.0</v>
      </c>
      <c r="CO48">
        <v>4324.0</v>
      </c>
      <c r="CP48">
        <v>4371.0</v>
      </c>
      <c r="CQ48">
        <v>4418.0</v>
      </c>
      <c r="CR48">
        <v>4465.0</v>
      </c>
      <c r="CS48">
        <v>4512.0</v>
      </c>
      <c r="CT48">
        <v>4559.0</v>
      </c>
      <c r="CU48">
        <v>4606.0</v>
      </c>
      <c r="CV48">
        <v>4653.0</v>
      </c>
      <c r="CW48">
        <v>4700.0</v>
      </c>
      <c r="CX48">
        <v>4747.0</v>
      </c>
      <c r="CY48">
        <v>4794.0</v>
      </c>
      <c r="CZ48">
        <v>4841.0</v>
      </c>
    </row>
    <row r="49" ht="19.5" customHeight="1">
      <c r="A49" s="2">
        <v>48.0</v>
      </c>
      <c r="B49" s="13">
        <v>48.0</v>
      </c>
      <c r="C49" s="13">
        <v>96.0</v>
      </c>
      <c r="D49" s="13">
        <v>144.0</v>
      </c>
      <c r="E49" s="13">
        <v>192.0</v>
      </c>
      <c r="F49" s="13">
        <v>240.0</v>
      </c>
      <c r="G49" s="12">
        <v>288.0</v>
      </c>
      <c r="H49" s="12">
        <v>336.0</v>
      </c>
      <c r="I49" s="12">
        <v>384.0</v>
      </c>
      <c r="J49" s="12">
        <v>432.0</v>
      </c>
      <c r="K49" s="12">
        <v>480.0</v>
      </c>
      <c r="L49" s="12">
        <v>528.0</v>
      </c>
      <c r="M49" s="12">
        <v>576.0</v>
      </c>
      <c r="N49" s="12">
        <v>624.0</v>
      </c>
      <c r="O49" s="12">
        <v>672.0</v>
      </c>
      <c r="P49" s="12">
        <v>720.0</v>
      </c>
      <c r="Q49" s="12">
        <v>768.0</v>
      </c>
      <c r="R49" s="12">
        <v>816.0</v>
      </c>
      <c r="S49" s="12">
        <v>864.0</v>
      </c>
      <c r="T49" s="12">
        <v>912.0</v>
      </c>
      <c r="U49" s="12">
        <v>960.0</v>
      </c>
      <c r="V49" s="12">
        <v>1008.0</v>
      </c>
      <c r="W49">
        <v>1056.0</v>
      </c>
      <c r="X49">
        <v>1104.0</v>
      </c>
      <c r="Y49">
        <v>1152.0</v>
      </c>
      <c r="Z49">
        <v>1200.0</v>
      </c>
      <c r="AA49">
        <v>1248.0</v>
      </c>
      <c r="AB49">
        <v>1296.0</v>
      </c>
      <c r="AC49">
        <v>1344.0</v>
      </c>
      <c r="AD49">
        <v>1392.0</v>
      </c>
      <c r="AE49">
        <v>1440.0</v>
      </c>
      <c r="AF49">
        <v>1488.0</v>
      </c>
      <c r="AG49">
        <v>1536.0</v>
      </c>
      <c r="AH49">
        <v>1584.0</v>
      </c>
      <c r="AI49">
        <v>1632.0</v>
      </c>
      <c r="AJ49">
        <v>1680.0</v>
      </c>
      <c r="AK49">
        <v>1728.0</v>
      </c>
      <c r="AL49">
        <v>1776.0</v>
      </c>
      <c r="AM49">
        <v>1824.0</v>
      </c>
      <c r="AN49">
        <v>1872.0</v>
      </c>
      <c r="AO49">
        <v>1920.0</v>
      </c>
      <c r="AP49">
        <v>1968.0</v>
      </c>
      <c r="AQ49">
        <v>2016.0</v>
      </c>
      <c r="AR49">
        <v>2064.0</v>
      </c>
      <c r="AS49">
        <v>2112.0</v>
      </c>
      <c r="AT49">
        <v>2160.0</v>
      </c>
      <c r="AU49">
        <v>2208.0</v>
      </c>
      <c r="AV49">
        <v>2256.0</v>
      </c>
      <c r="AW49">
        <v>2304.0</v>
      </c>
      <c r="AX49">
        <v>2352.0</v>
      </c>
      <c r="AY49">
        <v>2400.0</v>
      </c>
      <c r="AZ49">
        <v>2448.0</v>
      </c>
      <c r="BA49">
        <v>2496.0</v>
      </c>
      <c r="BB49">
        <v>2544.0</v>
      </c>
      <c r="BC49">
        <v>2592.0</v>
      </c>
      <c r="BD49">
        <v>2640.0</v>
      </c>
      <c r="BE49">
        <v>2688.0</v>
      </c>
      <c r="BF49">
        <v>2736.0</v>
      </c>
      <c r="BG49">
        <v>2784.0</v>
      </c>
      <c r="BH49">
        <v>2832.0</v>
      </c>
      <c r="BI49">
        <v>2880.0</v>
      </c>
      <c r="BJ49">
        <v>2928.0</v>
      </c>
      <c r="BK49">
        <v>2976.0</v>
      </c>
      <c r="BL49">
        <v>3024.0</v>
      </c>
      <c r="BM49">
        <v>3072.0</v>
      </c>
      <c r="BN49">
        <v>3120.0</v>
      </c>
      <c r="BO49">
        <v>3168.0</v>
      </c>
      <c r="BP49">
        <v>3216.0</v>
      </c>
      <c r="BQ49">
        <v>3264.0</v>
      </c>
      <c r="BR49">
        <v>3312.0</v>
      </c>
      <c r="BS49">
        <v>3360.0</v>
      </c>
      <c r="BT49">
        <v>3408.0</v>
      </c>
      <c r="BU49">
        <v>3456.0</v>
      </c>
      <c r="BV49">
        <v>3504.0</v>
      </c>
      <c r="BW49">
        <v>3552.0</v>
      </c>
      <c r="BX49">
        <v>3600.0</v>
      </c>
      <c r="BY49">
        <v>3648.0</v>
      </c>
      <c r="BZ49">
        <v>3696.0</v>
      </c>
      <c r="CA49">
        <v>3744.0</v>
      </c>
      <c r="CB49">
        <v>3792.0</v>
      </c>
      <c r="CC49">
        <v>3840.0</v>
      </c>
      <c r="CD49">
        <v>3888.0</v>
      </c>
      <c r="CE49">
        <v>3936.0</v>
      </c>
      <c r="CF49">
        <v>3984.0</v>
      </c>
      <c r="CG49">
        <v>4032.0</v>
      </c>
      <c r="CH49">
        <v>4080.0</v>
      </c>
      <c r="CI49">
        <v>4128.0</v>
      </c>
      <c r="CJ49">
        <v>4176.0</v>
      </c>
      <c r="CK49">
        <v>4224.0</v>
      </c>
      <c r="CL49">
        <v>4272.0</v>
      </c>
      <c r="CM49">
        <v>4320.0</v>
      </c>
      <c r="CN49">
        <v>4368.0</v>
      </c>
      <c r="CO49">
        <v>4416.0</v>
      </c>
      <c r="CP49">
        <v>4464.0</v>
      </c>
      <c r="CQ49">
        <v>4512.0</v>
      </c>
      <c r="CR49">
        <v>4560.0</v>
      </c>
      <c r="CS49">
        <v>4608.0</v>
      </c>
      <c r="CT49">
        <v>4656.0</v>
      </c>
      <c r="CU49">
        <v>4704.0</v>
      </c>
      <c r="CV49">
        <v>4752.0</v>
      </c>
      <c r="CW49">
        <v>4800.0</v>
      </c>
      <c r="CX49">
        <v>4848.0</v>
      </c>
      <c r="CY49">
        <v>4896.0</v>
      </c>
      <c r="CZ49">
        <v>4944.0</v>
      </c>
    </row>
    <row r="50" ht="19.5" customHeight="1">
      <c r="A50" s="2">
        <v>49.0</v>
      </c>
      <c r="B50" s="13">
        <v>49.0</v>
      </c>
      <c r="C50" s="13">
        <v>98.0</v>
      </c>
      <c r="D50" s="13">
        <v>147.0</v>
      </c>
      <c r="E50" s="13">
        <v>196.0</v>
      </c>
      <c r="F50" s="13">
        <v>245.0</v>
      </c>
      <c r="G50" s="12">
        <v>294.0</v>
      </c>
      <c r="H50" s="12">
        <v>343.0</v>
      </c>
      <c r="I50" s="12">
        <v>392.0</v>
      </c>
      <c r="J50" s="12">
        <v>441.0</v>
      </c>
      <c r="K50" s="12">
        <v>490.0</v>
      </c>
      <c r="L50" s="12">
        <v>539.0</v>
      </c>
      <c r="M50" s="12">
        <v>588.0</v>
      </c>
      <c r="N50" s="12">
        <v>637.0</v>
      </c>
      <c r="O50" s="12">
        <v>686.0</v>
      </c>
      <c r="P50" s="12">
        <v>735.0</v>
      </c>
      <c r="Q50" s="12">
        <v>784.0</v>
      </c>
      <c r="R50" s="12">
        <v>833.0</v>
      </c>
      <c r="S50" s="12">
        <v>882.0</v>
      </c>
      <c r="T50" s="12">
        <v>931.0</v>
      </c>
      <c r="U50" s="12">
        <v>980.0</v>
      </c>
      <c r="V50" s="12">
        <v>1029.0</v>
      </c>
      <c r="W50">
        <v>1078.0</v>
      </c>
      <c r="X50">
        <v>1127.0</v>
      </c>
      <c r="Y50">
        <v>1176.0</v>
      </c>
      <c r="Z50">
        <v>1225.0</v>
      </c>
      <c r="AA50">
        <v>1274.0</v>
      </c>
      <c r="AB50">
        <v>1323.0</v>
      </c>
      <c r="AC50">
        <v>1372.0</v>
      </c>
      <c r="AD50">
        <v>1421.0</v>
      </c>
      <c r="AE50">
        <v>1470.0</v>
      </c>
      <c r="AF50">
        <v>1519.0</v>
      </c>
      <c r="AG50">
        <v>1568.0</v>
      </c>
      <c r="AH50">
        <v>1617.0</v>
      </c>
      <c r="AI50">
        <v>1666.0</v>
      </c>
      <c r="AJ50">
        <v>1715.0</v>
      </c>
      <c r="AK50">
        <v>1764.0</v>
      </c>
      <c r="AL50">
        <v>1813.0</v>
      </c>
      <c r="AM50">
        <v>1862.0</v>
      </c>
      <c r="AN50">
        <v>1911.0</v>
      </c>
      <c r="AO50">
        <v>1960.0</v>
      </c>
      <c r="AP50">
        <v>2009.0</v>
      </c>
      <c r="AQ50">
        <v>2058.0</v>
      </c>
      <c r="AR50">
        <v>2107.0</v>
      </c>
      <c r="AS50">
        <v>2156.0</v>
      </c>
      <c r="AT50">
        <v>2205.0</v>
      </c>
      <c r="AU50">
        <v>2254.0</v>
      </c>
      <c r="AV50">
        <v>2303.0</v>
      </c>
      <c r="AW50">
        <v>2352.0</v>
      </c>
      <c r="AX50">
        <v>2401.0</v>
      </c>
      <c r="AY50">
        <v>2450.0</v>
      </c>
      <c r="AZ50">
        <v>2499.0</v>
      </c>
      <c r="BA50">
        <v>2548.0</v>
      </c>
      <c r="BB50">
        <v>2597.0</v>
      </c>
      <c r="BC50">
        <v>2646.0</v>
      </c>
      <c r="BD50">
        <v>2695.0</v>
      </c>
      <c r="BE50">
        <v>2744.0</v>
      </c>
      <c r="BF50">
        <v>2793.0</v>
      </c>
      <c r="BG50">
        <v>2842.0</v>
      </c>
      <c r="BH50">
        <v>2891.0</v>
      </c>
      <c r="BI50">
        <v>2940.0</v>
      </c>
      <c r="BJ50">
        <v>2989.0</v>
      </c>
      <c r="BK50">
        <v>3038.0</v>
      </c>
      <c r="BL50">
        <v>3087.0</v>
      </c>
      <c r="BM50">
        <v>3136.0</v>
      </c>
      <c r="BN50">
        <v>3185.0</v>
      </c>
      <c r="BO50">
        <v>3234.0</v>
      </c>
      <c r="BP50">
        <v>3283.0</v>
      </c>
      <c r="BQ50">
        <v>3332.0</v>
      </c>
      <c r="BR50">
        <v>3381.0</v>
      </c>
      <c r="BS50">
        <v>3430.0</v>
      </c>
      <c r="BT50">
        <v>3479.0</v>
      </c>
      <c r="BU50">
        <v>3528.0</v>
      </c>
      <c r="BV50">
        <v>3577.0</v>
      </c>
      <c r="BW50">
        <v>3626.0</v>
      </c>
      <c r="BX50">
        <v>3675.0</v>
      </c>
      <c r="BY50">
        <v>3724.0</v>
      </c>
      <c r="BZ50">
        <v>3773.0</v>
      </c>
      <c r="CA50">
        <v>3822.0</v>
      </c>
      <c r="CB50">
        <v>3871.0</v>
      </c>
      <c r="CC50">
        <v>3920.0</v>
      </c>
      <c r="CD50">
        <v>3969.0</v>
      </c>
      <c r="CE50">
        <v>4018.0</v>
      </c>
      <c r="CF50">
        <v>4067.0</v>
      </c>
      <c r="CG50">
        <v>4116.0</v>
      </c>
      <c r="CH50">
        <v>4165.0</v>
      </c>
      <c r="CI50">
        <v>4214.0</v>
      </c>
      <c r="CJ50">
        <v>4263.0</v>
      </c>
      <c r="CK50">
        <v>4312.0</v>
      </c>
      <c r="CL50">
        <v>4361.0</v>
      </c>
      <c r="CM50">
        <v>4410.0</v>
      </c>
      <c r="CN50">
        <v>4459.0</v>
      </c>
      <c r="CO50">
        <v>4508.0</v>
      </c>
      <c r="CP50">
        <v>4557.0</v>
      </c>
      <c r="CQ50">
        <v>4606.0</v>
      </c>
      <c r="CR50">
        <v>4655.0</v>
      </c>
      <c r="CS50">
        <v>4704.0</v>
      </c>
      <c r="CT50">
        <v>4753.0</v>
      </c>
      <c r="CU50">
        <v>4802.0</v>
      </c>
      <c r="CV50">
        <v>4851.0</v>
      </c>
      <c r="CW50">
        <v>4900.0</v>
      </c>
      <c r="CX50">
        <v>4949.0</v>
      </c>
      <c r="CY50">
        <v>4998.0</v>
      </c>
      <c r="CZ50">
        <v>5047.0</v>
      </c>
    </row>
    <row r="51" ht="19.5" customHeight="1">
      <c r="A51" s="2">
        <v>50.0</v>
      </c>
      <c r="B51" s="13">
        <v>50.0</v>
      </c>
      <c r="C51" s="13">
        <v>100.0</v>
      </c>
      <c r="D51" s="13">
        <v>150.0</v>
      </c>
      <c r="E51" s="13">
        <v>200.0</v>
      </c>
      <c r="F51" s="13">
        <v>250.0</v>
      </c>
      <c r="G51" s="12">
        <v>300.0</v>
      </c>
      <c r="H51" s="12">
        <v>350.0</v>
      </c>
      <c r="I51" s="12">
        <v>400.0</v>
      </c>
      <c r="J51" s="12">
        <v>450.0</v>
      </c>
      <c r="K51" s="12">
        <v>500.0</v>
      </c>
      <c r="L51" s="12">
        <v>550.0</v>
      </c>
      <c r="M51" s="12">
        <v>600.0</v>
      </c>
      <c r="N51" s="12">
        <v>650.0</v>
      </c>
      <c r="O51" s="12">
        <v>700.0</v>
      </c>
      <c r="P51" s="12">
        <v>750.0</v>
      </c>
      <c r="Q51" s="12">
        <v>800.0</v>
      </c>
      <c r="R51" s="12">
        <v>850.0</v>
      </c>
      <c r="S51" s="12">
        <v>900.0</v>
      </c>
      <c r="T51" s="12">
        <v>950.0</v>
      </c>
      <c r="U51" s="12">
        <v>1000.0</v>
      </c>
      <c r="V51">
        <v>1050.0</v>
      </c>
      <c r="W51">
        <v>1100.0</v>
      </c>
      <c r="X51">
        <v>1150.0</v>
      </c>
      <c r="Y51">
        <v>1200.0</v>
      </c>
      <c r="Z51">
        <v>1250.0</v>
      </c>
      <c r="AA51">
        <v>1300.0</v>
      </c>
      <c r="AB51">
        <v>1350.0</v>
      </c>
      <c r="AC51">
        <v>1400.0</v>
      </c>
      <c r="AD51">
        <v>1450.0</v>
      </c>
      <c r="AE51">
        <v>1500.0</v>
      </c>
      <c r="AF51">
        <v>1550.0</v>
      </c>
      <c r="AG51">
        <v>1600.0</v>
      </c>
      <c r="AH51">
        <v>1650.0</v>
      </c>
      <c r="AI51">
        <v>1700.0</v>
      </c>
      <c r="AJ51">
        <v>1750.0</v>
      </c>
      <c r="AK51">
        <v>1800.0</v>
      </c>
      <c r="AL51">
        <v>1850.0</v>
      </c>
      <c r="AM51">
        <v>1900.0</v>
      </c>
      <c r="AN51">
        <v>1950.0</v>
      </c>
      <c r="AO51">
        <v>2000.0</v>
      </c>
      <c r="AP51">
        <v>2050.0</v>
      </c>
      <c r="AQ51">
        <v>2100.0</v>
      </c>
      <c r="AR51">
        <v>2150.0</v>
      </c>
      <c r="AS51">
        <v>2200.0</v>
      </c>
      <c r="AT51">
        <v>2250.0</v>
      </c>
      <c r="AU51">
        <v>2300.0</v>
      </c>
      <c r="AV51">
        <v>2350.0</v>
      </c>
      <c r="AW51">
        <v>2400.0</v>
      </c>
      <c r="AX51">
        <v>2450.0</v>
      </c>
      <c r="AY51">
        <v>2500.0</v>
      </c>
      <c r="AZ51">
        <v>2550.0</v>
      </c>
      <c r="BA51">
        <v>2600.0</v>
      </c>
      <c r="BB51">
        <v>2650.0</v>
      </c>
      <c r="BC51">
        <v>2700.0</v>
      </c>
      <c r="BD51">
        <v>2750.0</v>
      </c>
      <c r="BE51">
        <v>2800.0</v>
      </c>
      <c r="BF51">
        <v>2850.0</v>
      </c>
      <c r="BG51">
        <v>2900.0</v>
      </c>
      <c r="BH51">
        <v>2950.0</v>
      </c>
      <c r="BI51">
        <v>3000.0</v>
      </c>
      <c r="BJ51">
        <v>3050.0</v>
      </c>
      <c r="BK51">
        <v>3100.0</v>
      </c>
      <c r="BL51">
        <v>3150.0</v>
      </c>
      <c r="BM51">
        <v>3200.0</v>
      </c>
      <c r="BN51">
        <v>3250.0</v>
      </c>
      <c r="BO51">
        <v>3300.0</v>
      </c>
      <c r="BP51">
        <v>3350.0</v>
      </c>
      <c r="BQ51">
        <v>3400.0</v>
      </c>
      <c r="BR51">
        <v>3450.0</v>
      </c>
      <c r="BS51">
        <v>3500.0</v>
      </c>
      <c r="BT51">
        <v>3550.0</v>
      </c>
      <c r="BU51">
        <v>3600.0</v>
      </c>
      <c r="BV51">
        <v>3650.0</v>
      </c>
      <c r="BW51">
        <v>3700.0</v>
      </c>
      <c r="BX51">
        <v>3750.0</v>
      </c>
      <c r="BY51">
        <v>3800.0</v>
      </c>
      <c r="BZ51">
        <v>3850.0</v>
      </c>
      <c r="CA51">
        <v>3900.0</v>
      </c>
      <c r="CB51">
        <v>3950.0</v>
      </c>
      <c r="CC51">
        <v>4000.0</v>
      </c>
      <c r="CD51">
        <v>4050.0</v>
      </c>
      <c r="CE51">
        <v>4100.0</v>
      </c>
      <c r="CF51">
        <v>4150.0</v>
      </c>
      <c r="CG51">
        <v>4200.0</v>
      </c>
      <c r="CH51">
        <v>4250.0</v>
      </c>
      <c r="CI51">
        <v>4300.0</v>
      </c>
      <c r="CJ51">
        <v>4350.0</v>
      </c>
      <c r="CK51">
        <v>4400.0</v>
      </c>
      <c r="CL51">
        <v>4450.0</v>
      </c>
      <c r="CM51">
        <v>4500.0</v>
      </c>
      <c r="CN51">
        <v>4550.0</v>
      </c>
      <c r="CO51">
        <v>4600.0</v>
      </c>
      <c r="CP51">
        <v>4650.0</v>
      </c>
      <c r="CQ51">
        <v>4700.0</v>
      </c>
      <c r="CR51">
        <v>4750.0</v>
      </c>
      <c r="CS51">
        <v>4800.0</v>
      </c>
      <c r="CT51">
        <v>4850.0</v>
      </c>
      <c r="CU51">
        <v>4900.0</v>
      </c>
      <c r="CV51">
        <v>4950.0</v>
      </c>
      <c r="CW51">
        <v>5000.0</v>
      </c>
      <c r="CX51">
        <v>5050.0</v>
      </c>
      <c r="CY51">
        <v>5100.0</v>
      </c>
      <c r="CZ51">
        <v>5150.0</v>
      </c>
    </row>
    <row r="52" ht="19.5" customHeight="1">
      <c r="A52" s="2">
        <v>51.0</v>
      </c>
      <c r="B52" s="13">
        <v>51.0</v>
      </c>
      <c r="C52" s="13">
        <v>102.0</v>
      </c>
      <c r="D52" s="13">
        <v>153.0</v>
      </c>
      <c r="E52" s="13">
        <v>204.0</v>
      </c>
      <c r="F52" s="12">
        <v>255.0</v>
      </c>
      <c r="G52" s="12">
        <v>306.0</v>
      </c>
      <c r="H52" s="12">
        <v>357.0</v>
      </c>
      <c r="I52" s="12">
        <v>408.0</v>
      </c>
      <c r="J52" s="12">
        <v>459.0</v>
      </c>
      <c r="K52" s="12">
        <v>510.0</v>
      </c>
      <c r="L52" s="12">
        <v>561.0</v>
      </c>
      <c r="M52" s="12">
        <v>612.0</v>
      </c>
      <c r="N52" s="12">
        <v>663.0</v>
      </c>
      <c r="O52" s="12">
        <v>714.0</v>
      </c>
      <c r="P52" s="12">
        <v>765.0</v>
      </c>
      <c r="Q52" s="12">
        <v>816.0</v>
      </c>
      <c r="R52" s="12">
        <v>867.0</v>
      </c>
      <c r="S52" s="12">
        <v>918.0</v>
      </c>
      <c r="T52" s="12">
        <v>969.0</v>
      </c>
      <c r="U52" s="12">
        <v>1020.0</v>
      </c>
      <c r="V52">
        <v>1071.0</v>
      </c>
      <c r="W52">
        <v>1122.0</v>
      </c>
      <c r="X52">
        <v>1173.0</v>
      </c>
      <c r="Y52">
        <v>1224.0</v>
      </c>
      <c r="Z52">
        <v>1275.0</v>
      </c>
      <c r="AA52">
        <v>1326.0</v>
      </c>
      <c r="AB52">
        <v>1377.0</v>
      </c>
      <c r="AC52">
        <v>1428.0</v>
      </c>
      <c r="AD52">
        <v>1479.0</v>
      </c>
      <c r="AE52">
        <v>1530.0</v>
      </c>
      <c r="AF52">
        <v>1581.0</v>
      </c>
      <c r="AG52">
        <v>1632.0</v>
      </c>
      <c r="AH52">
        <v>1683.0</v>
      </c>
      <c r="AI52">
        <v>1734.0</v>
      </c>
      <c r="AJ52">
        <v>1785.0</v>
      </c>
      <c r="AK52">
        <v>1836.0</v>
      </c>
      <c r="AL52">
        <v>1887.0</v>
      </c>
      <c r="AM52">
        <v>1938.0</v>
      </c>
      <c r="AN52">
        <v>1989.0</v>
      </c>
      <c r="AO52">
        <v>2040.0</v>
      </c>
      <c r="AP52">
        <v>2091.0</v>
      </c>
      <c r="AQ52">
        <v>2142.0</v>
      </c>
      <c r="AR52">
        <v>2193.0</v>
      </c>
      <c r="AS52">
        <v>2244.0</v>
      </c>
      <c r="AT52">
        <v>2295.0</v>
      </c>
      <c r="AU52">
        <v>2346.0</v>
      </c>
      <c r="AV52">
        <v>2397.0</v>
      </c>
      <c r="AW52">
        <v>2448.0</v>
      </c>
      <c r="AX52">
        <v>2499.0</v>
      </c>
      <c r="AY52">
        <v>2550.0</v>
      </c>
      <c r="AZ52">
        <v>2601.0</v>
      </c>
      <c r="BA52">
        <v>2652.0</v>
      </c>
      <c r="BB52">
        <v>2703.0</v>
      </c>
      <c r="BC52">
        <v>2754.0</v>
      </c>
      <c r="BD52">
        <v>2805.0</v>
      </c>
      <c r="BE52">
        <v>2856.0</v>
      </c>
      <c r="BF52">
        <v>2907.0</v>
      </c>
      <c r="BG52">
        <v>2958.0</v>
      </c>
      <c r="BH52">
        <v>3009.0</v>
      </c>
      <c r="BI52">
        <v>3060.0</v>
      </c>
      <c r="BJ52">
        <v>3111.0</v>
      </c>
      <c r="BK52">
        <v>3162.0</v>
      </c>
      <c r="BL52">
        <v>3213.0</v>
      </c>
      <c r="BM52">
        <v>3264.0</v>
      </c>
      <c r="BN52">
        <v>3315.0</v>
      </c>
      <c r="BO52">
        <v>3366.0</v>
      </c>
      <c r="BP52">
        <v>3417.0</v>
      </c>
      <c r="BQ52">
        <v>3468.0</v>
      </c>
      <c r="BR52">
        <v>3519.0</v>
      </c>
      <c r="BS52">
        <v>3570.0</v>
      </c>
      <c r="BT52">
        <v>3621.0</v>
      </c>
      <c r="BU52">
        <v>3672.0</v>
      </c>
      <c r="BV52">
        <v>3723.0</v>
      </c>
      <c r="BW52">
        <v>3774.0</v>
      </c>
      <c r="BX52">
        <v>3825.0</v>
      </c>
      <c r="BY52">
        <v>3876.0</v>
      </c>
      <c r="BZ52">
        <v>3927.0</v>
      </c>
      <c r="CA52">
        <v>3978.0</v>
      </c>
      <c r="CB52">
        <v>4029.0</v>
      </c>
      <c r="CC52">
        <v>4080.0</v>
      </c>
      <c r="CD52">
        <v>4131.0</v>
      </c>
      <c r="CE52">
        <v>4182.0</v>
      </c>
      <c r="CF52">
        <v>4233.0</v>
      </c>
      <c r="CG52">
        <v>4284.0</v>
      </c>
      <c r="CH52">
        <v>4335.0</v>
      </c>
      <c r="CI52">
        <v>4386.0</v>
      </c>
      <c r="CJ52">
        <v>4437.0</v>
      </c>
      <c r="CK52">
        <v>4488.0</v>
      </c>
      <c r="CL52">
        <v>4539.0</v>
      </c>
      <c r="CM52">
        <v>4590.0</v>
      </c>
      <c r="CN52">
        <v>4641.0</v>
      </c>
      <c r="CO52">
        <v>4692.0</v>
      </c>
      <c r="CP52">
        <v>4743.0</v>
      </c>
      <c r="CQ52">
        <v>4794.0</v>
      </c>
      <c r="CR52">
        <v>4845.0</v>
      </c>
      <c r="CS52">
        <v>4896.0</v>
      </c>
      <c r="CT52">
        <v>4947.0</v>
      </c>
      <c r="CU52">
        <v>4998.0</v>
      </c>
      <c r="CV52">
        <v>5049.0</v>
      </c>
      <c r="CW52">
        <v>5100.0</v>
      </c>
      <c r="CX52">
        <v>5151.0</v>
      </c>
      <c r="CY52">
        <v>5202.0</v>
      </c>
      <c r="CZ52">
        <v>5253.0</v>
      </c>
    </row>
    <row r="53" ht="19.5" customHeight="1">
      <c r="A53" s="2">
        <v>52.0</v>
      </c>
      <c r="B53" s="13">
        <v>52.0</v>
      </c>
      <c r="C53" s="13">
        <v>104.0</v>
      </c>
      <c r="D53" s="13">
        <v>156.0</v>
      </c>
      <c r="E53" s="13">
        <v>208.0</v>
      </c>
      <c r="F53" s="12">
        <v>260.0</v>
      </c>
      <c r="G53" s="12">
        <v>312.0</v>
      </c>
      <c r="H53" s="12">
        <v>364.0</v>
      </c>
      <c r="I53" s="12">
        <v>416.0</v>
      </c>
      <c r="J53" s="12">
        <v>468.0</v>
      </c>
      <c r="K53" s="12">
        <v>520.0</v>
      </c>
      <c r="L53" s="12">
        <v>572.0</v>
      </c>
      <c r="M53" s="12">
        <v>624.0</v>
      </c>
      <c r="N53" s="12">
        <v>676.0</v>
      </c>
      <c r="O53" s="12">
        <v>728.0</v>
      </c>
      <c r="P53" s="12">
        <v>780.0</v>
      </c>
      <c r="Q53" s="12">
        <v>832.0</v>
      </c>
      <c r="R53" s="12">
        <v>884.0</v>
      </c>
      <c r="S53" s="12">
        <v>936.0</v>
      </c>
      <c r="T53" s="12">
        <v>988.0</v>
      </c>
      <c r="U53">
        <v>1040.0</v>
      </c>
      <c r="V53">
        <v>1092.0</v>
      </c>
      <c r="W53">
        <v>1144.0</v>
      </c>
      <c r="X53">
        <v>1196.0</v>
      </c>
      <c r="Y53">
        <v>1248.0</v>
      </c>
      <c r="Z53">
        <v>1300.0</v>
      </c>
      <c r="AA53">
        <v>1352.0</v>
      </c>
      <c r="AB53">
        <v>1404.0</v>
      </c>
      <c r="AC53">
        <v>1456.0</v>
      </c>
      <c r="AD53">
        <v>1508.0</v>
      </c>
      <c r="AE53">
        <v>1560.0</v>
      </c>
      <c r="AF53">
        <v>1612.0</v>
      </c>
      <c r="AG53">
        <v>1664.0</v>
      </c>
      <c r="AH53">
        <v>1716.0</v>
      </c>
      <c r="AI53">
        <v>1768.0</v>
      </c>
      <c r="AJ53">
        <v>1820.0</v>
      </c>
      <c r="AK53">
        <v>1872.0</v>
      </c>
      <c r="AL53">
        <v>1924.0</v>
      </c>
      <c r="AM53">
        <v>1976.0</v>
      </c>
      <c r="AN53">
        <v>2028.0</v>
      </c>
      <c r="AO53">
        <v>2080.0</v>
      </c>
      <c r="AP53">
        <v>2132.0</v>
      </c>
      <c r="AQ53">
        <v>2184.0</v>
      </c>
      <c r="AR53">
        <v>2236.0</v>
      </c>
      <c r="AS53">
        <v>2288.0</v>
      </c>
      <c r="AT53">
        <v>2340.0</v>
      </c>
      <c r="AU53">
        <v>2392.0</v>
      </c>
      <c r="AV53">
        <v>2444.0</v>
      </c>
      <c r="AW53">
        <v>2496.0</v>
      </c>
      <c r="AX53">
        <v>2548.0</v>
      </c>
      <c r="AY53">
        <v>2600.0</v>
      </c>
      <c r="AZ53">
        <v>2652.0</v>
      </c>
      <c r="BA53">
        <v>2704.0</v>
      </c>
      <c r="BB53">
        <v>2756.0</v>
      </c>
      <c r="BC53">
        <v>2808.0</v>
      </c>
      <c r="BD53">
        <v>2860.0</v>
      </c>
      <c r="BE53">
        <v>2912.0</v>
      </c>
      <c r="BF53">
        <v>2964.0</v>
      </c>
      <c r="BG53">
        <v>3016.0</v>
      </c>
      <c r="BH53">
        <v>3068.0</v>
      </c>
      <c r="BI53">
        <v>3120.0</v>
      </c>
      <c r="BJ53">
        <v>3172.0</v>
      </c>
      <c r="BK53">
        <v>3224.0</v>
      </c>
      <c r="BL53">
        <v>3276.0</v>
      </c>
      <c r="BM53">
        <v>3328.0</v>
      </c>
      <c r="BN53">
        <v>3380.0</v>
      </c>
      <c r="BO53">
        <v>3432.0</v>
      </c>
      <c r="BP53">
        <v>3484.0</v>
      </c>
      <c r="BQ53">
        <v>3536.0</v>
      </c>
      <c r="BR53">
        <v>3588.0</v>
      </c>
      <c r="BS53">
        <v>3640.0</v>
      </c>
      <c r="BT53">
        <v>3692.0</v>
      </c>
      <c r="BU53">
        <v>3744.0</v>
      </c>
      <c r="BV53">
        <v>3796.0</v>
      </c>
      <c r="BW53">
        <v>3848.0</v>
      </c>
      <c r="BX53">
        <v>3900.0</v>
      </c>
      <c r="BY53">
        <v>3952.0</v>
      </c>
      <c r="BZ53">
        <v>4004.0</v>
      </c>
      <c r="CA53">
        <v>4056.0</v>
      </c>
      <c r="CB53">
        <v>4108.0</v>
      </c>
      <c r="CC53">
        <v>4160.0</v>
      </c>
      <c r="CD53">
        <v>4212.0</v>
      </c>
      <c r="CE53">
        <v>4264.0</v>
      </c>
      <c r="CF53">
        <v>4316.0</v>
      </c>
      <c r="CG53">
        <v>4368.0</v>
      </c>
      <c r="CH53">
        <v>4420.0</v>
      </c>
      <c r="CI53">
        <v>4472.0</v>
      </c>
      <c r="CJ53">
        <v>4524.0</v>
      </c>
      <c r="CK53">
        <v>4576.0</v>
      </c>
      <c r="CL53">
        <v>4628.0</v>
      </c>
      <c r="CM53">
        <v>4680.0</v>
      </c>
      <c r="CN53">
        <v>4732.0</v>
      </c>
      <c r="CO53">
        <v>4784.0</v>
      </c>
      <c r="CP53">
        <v>4836.0</v>
      </c>
      <c r="CQ53">
        <v>4888.0</v>
      </c>
      <c r="CR53">
        <v>4940.0</v>
      </c>
      <c r="CS53">
        <v>4992.0</v>
      </c>
      <c r="CT53">
        <v>5044.0</v>
      </c>
      <c r="CU53">
        <v>5096.0</v>
      </c>
      <c r="CV53">
        <v>5148.0</v>
      </c>
      <c r="CW53">
        <v>5200.0</v>
      </c>
      <c r="CX53">
        <v>5252.0</v>
      </c>
      <c r="CY53">
        <v>5304.0</v>
      </c>
      <c r="CZ53">
        <v>5356.0</v>
      </c>
    </row>
    <row r="54" ht="19.5" customHeight="1">
      <c r="A54" s="2">
        <v>53.0</v>
      </c>
      <c r="B54" s="13">
        <v>53.0</v>
      </c>
      <c r="C54" s="13">
        <v>106.0</v>
      </c>
      <c r="D54" s="13">
        <v>159.0</v>
      </c>
      <c r="E54" s="13">
        <v>212.0</v>
      </c>
      <c r="F54" s="12">
        <v>265.0</v>
      </c>
      <c r="G54" s="12">
        <v>318.0</v>
      </c>
      <c r="H54" s="12">
        <v>371.0</v>
      </c>
      <c r="I54" s="12">
        <v>424.0</v>
      </c>
      <c r="J54" s="12">
        <v>477.0</v>
      </c>
      <c r="K54" s="12">
        <v>530.0</v>
      </c>
      <c r="L54" s="12">
        <v>583.0</v>
      </c>
      <c r="M54" s="12">
        <v>636.0</v>
      </c>
      <c r="N54" s="12">
        <v>689.0</v>
      </c>
      <c r="O54" s="12">
        <v>742.0</v>
      </c>
      <c r="P54" s="12">
        <v>795.0</v>
      </c>
      <c r="Q54" s="12">
        <v>848.0</v>
      </c>
      <c r="R54" s="12">
        <v>901.0</v>
      </c>
      <c r="S54" s="12">
        <v>954.0</v>
      </c>
      <c r="T54" s="12">
        <v>1007.0</v>
      </c>
      <c r="U54">
        <v>1060.0</v>
      </c>
      <c r="V54">
        <v>1113.0</v>
      </c>
      <c r="W54">
        <v>1166.0</v>
      </c>
      <c r="X54">
        <v>1219.0</v>
      </c>
      <c r="Y54">
        <v>1272.0</v>
      </c>
      <c r="Z54">
        <v>1325.0</v>
      </c>
      <c r="AA54">
        <v>1378.0</v>
      </c>
      <c r="AB54">
        <v>1431.0</v>
      </c>
      <c r="AC54">
        <v>1484.0</v>
      </c>
      <c r="AD54">
        <v>1537.0</v>
      </c>
      <c r="AE54">
        <v>1590.0</v>
      </c>
      <c r="AF54">
        <v>1643.0</v>
      </c>
      <c r="AG54">
        <v>1696.0</v>
      </c>
      <c r="AH54">
        <v>1749.0</v>
      </c>
      <c r="AI54">
        <v>1802.0</v>
      </c>
      <c r="AJ54">
        <v>1855.0</v>
      </c>
      <c r="AK54">
        <v>1908.0</v>
      </c>
      <c r="AL54">
        <v>1961.0</v>
      </c>
      <c r="AM54">
        <v>2014.0</v>
      </c>
      <c r="AN54">
        <v>2067.0</v>
      </c>
      <c r="AO54">
        <v>2120.0</v>
      </c>
      <c r="AP54">
        <v>2173.0</v>
      </c>
      <c r="AQ54">
        <v>2226.0</v>
      </c>
      <c r="AR54">
        <v>2279.0</v>
      </c>
      <c r="AS54">
        <v>2332.0</v>
      </c>
      <c r="AT54">
        <v>2385.0</v>
      </c>
      <c r="AU54">
        <v>2438.0</v>
      </c>
      <c r="AV54">
        <v>2491.0</v>
      </c>
      <c r="AW54">
        <v>2544.0</v>
      </c>
      <c r="AX54">
        <v>2597.0</v>
      </c>
      <c r="AY54">
        <v>2650.0</v>
      </c>
      <c r="AZ54">
        <v>2703.0</v>
      </c>
      <c r="BA54">
        <v>2756.0</v>
      </c>
      <c r="BB54">
        <v>2809.0</v>
      </c>
      <c r="BC54">
        <v>2862.0</v>
      </c>
      <c r="BD54">
        <v>2915.0</v>
      </c>
      <c r="BE54">
        <v>2968.0</v>
      </c>
      <c r="BF54">
        <v>3021.0</v>
      </c>
      <c r="BG54">
        <v>3074.0</v>
      </c>
      <c r="BH54">
        <v>3127.0</v>
      </c>
      <c r="BI54">
        <v>3180.0</v>
      </c>
      <c r="BJ54">
        <v>3233.0</v>
      </c>
      <c r="BK54">
        <v>3286.0</v>
      </c>
      <c r="BL54">
        <v>3339.0</v>
      </c>
      <c r="BM54">
        <v>3392.0</v>
      </c>
      <c r="BN54">
        <v>3445.0</v>
      </c>
      <c r="BO54">
        <v>3498.0</v>
      </c>
      <c r="BP54">
        <v>3551.0</v>
      </c>
      <c r="BQ54">
        <v>3604.0</v>
      </c>
      <c r="BR54">
        <v>3657.0</v>
      </c>
      <c r="BS54">
        <v>3710.0</v>
      </c>
      <c r="BT54">
        <v>3763.0</v>
      </c>
      <c r="BU54">
        <v>3816.0</v>
      </c>
      <c r="BV54">
        <v>3869.0</v>
      </c>
      <c r="BW54">
        <v>3922.0</v>
      </c>
      <c r="BX54">
        <v>3975.0</v>
      </c>
      <c r="BY54">
        <v>4028.0</v>
      </c>
      <c r="BZ54">
        <v>4081.0</v>
      </c>
      <c r="CA54">
        <v>4134.0</v>
      </c>
      <c r="CB54">
        <v>4187.0</v>
      </c>
      <c r="CC54">
        <v>4240.0</v>
      </c>
      <c r="CD54">
        <v>4293.0</v>
      </c>
      <c r="CE54">
        <v>4346.0</v>
      </c>
      <c r="CF54">
        <v>4399.0</v>
      </c>
      <c r="CG54">
        <v>4452.0</v>
      </c>
      <c r="CH54">
        <v>4505.0</v>
      </c>
      <c r="CI54">
        <v>4558.0</v>
      </c>
      <c r="CJ54">
        <v>4611.0</v>
      </c>
      <c r="CK54">
        <v>4664.0</v>
      </c>
      <c r="CL54">
        <v>4717.0</v>
      </c>
      <c r="CM54">
        <v>4770.0</v>
      </c>
      <c r="CN54">
        <v>4823.0</v>
      </c>
      <c r="CO54">
        <v>4876.0</v>
      </c>
      <c r="CP54">
        <v>4929.0</v>
      </c>
      <c r="CQ54">
        <v>4982.0</v>
      </c>
      <c r="CR54">
        <v>5035.0</v>
      </c>
      <c r="CS54">
        <v>5088.0</v>
      </c>
      <c r="CT54">
        <v>5141.0</v>
      </c>
      <c r="CU54">
        <v>5194.0</v>
      </c>
      <c r="CV54">
        <v>5247.0</v>
      </c>
      <c r="CW54">
        <v>5300.0</v>
      </c>
      <c r="CX54">
        <v>5353.0</v>
      </c>
      <c r="CY54">
        <v>5406.0</v>
      </c>
      <c r="CZ54">
        <v>5459.0</v>
      </c>
    </row>
    <row r="55" ht="19.5" customHeight="1">
      <c r="A55" s="2">
        <v>54.0</v>
      </c>
      <c r="B55" s="13">
        <v>54.0</v>
      </c>
      <c r="C55" s="13">
        <v>108.0</v>
      </c>
      <c r="D55" s="13">
        <v>162.0</v>
      </c>
      <c r="E55" s="13">
        <v>216.0</v>
      </c>
      <c r="F55" s="12">
        <v>270.0</v>
      </c>
      <c r="G55" s="12">
        <v>324.0</v>
      </c>
      <c r="H55" s="12">
        <v>378.0</v>
      </c>
      <c r="I55" s="12">
        <v>432.0</v>
      </c>
      <c r="J55" s="12">
        <v>486.0</v>
      </c>
      <c r="K55" s="12">
        <v>540.0</v>
      </c>
      <c r="L55" s="12">
        <v>594.0</v>
      </c>
      <c r="M55" s="12">
        <v>648.0</v>
      </c>
      <c r="N55" s="12">
        <v>702.0</v>
      </c>
      <c r="O55" s="12">
        <v>756.0</v>
      </c>
      <c r="P55" s="12">
        <v>810.0</v>
      </c>
      <c r="Q55" s="12">
        <v>864.0</v>
      </c>
      <c r="R55" s="12">
        <v>918.0</v>
      </c>
      <c r="S55" s="12">
        <v>972.0</v>
      </c>
      <c r="T55">
        <v>1026.0</v>
      </c>
      <c r="U55">
        <v>1080.0</v>
      </c>
      <c r="V55">
        <v>1134.0</v>
      </c>
      <c r="W55">
        <v>1188.0</v>
      </c>
      <c r="X55">
        <v>1242.0</v>
      </c>
      <c r="Y55">
        <v>1296.0</v>
      </c>
      <c r="Z55">
        <v>1350.0</v>
      </c>
      <c r="AA55">
        <v>1404.0</v>
      </c>
      <c r="AB55">
        <v>1458.0</v>
      </c>
      <c r="AC55">
        <v>1512.0</v>
      </c>
      <c r="AD55">
        <v>1566.0</v>
      </c>
      <c r="AE55">
        <v>1620.0</v>
      </c>
      <c r="AF55">
        <v>1674.0</v>
      </c>
      <c r="AG55">
        <v>1728.0</v>
      </c>
      <c r="AH55">
        <v>1782.0</v>
      </c>
      <c r="AI55">
        <v>1836.0</v>
      </c>
      <c r="AJ55">
        <v>1890.0</v>
      </c>
      <c r="AK55">
        <v>1944.0</v>
      </c>
      <c r="AL55">
        <v>1998.0</v>
      </c>
      <c r="AM55">
        <v>2052.0</v>
      </c>
      <c r="AN55">
        <v>2106.0</v>
      </c>
      <c r="AO55">
        <v>2160.0</v>
      </c>
      <c r="AP55">
        <v>2214.0</v>
      </c>
      <c r="AQ55">
        <v>2268.0</v>
      </c>
      <c r="AR55">
        <v>2322.0</v>
      </c>
      <c r="AS55">
        <v>2376.0</v>
      </c>
      <c r="AT55">
        <v>2430.0</v>
      </c>
      <c r="AU55">
        <v>2484.0</v>
      </c>
      <c r="AV55">
        <v>2538.0</v>
      </c>
      <c r="AW55">
        <v>2592.0</v>
      </c>
      <c r="AX55">
        <v>2646.0</v>
      </c>
      <c r="AY55">
        <v>2700.0</v>
      </c>
      <c r="AZ55">
        <v>2754.0</v>
      </c>
      <c r="BA55">
        <v>2808.0</v>
      </c>
      <c r="BB55">
        <v>2862.0</v>
      </c>
      <c r="BC55">
        <v>2916.0</v>
      </c>
      <c r="BD55">
        <v>2970.0</v>
      </c>
      <c r="BE55">
        <v>3024.0</v>
      </c>
      <c r="BF55">
        <v>3078.0</v>
      </c>
      <c r="BG55">
        <v>3132.0</v>
      </c>
      <c r="BH55">
        <v>3186.0</v>
      </c>
      <c r="BI55">
        <v>3240.0</v>
      </c>
      <c r="BJ55">
        <v>3294.0</v>
      </c>
      <c r="BK55">
        <v>3348.0</v>
      </c>
      <c r="BL55">
        <v>3402.0</v>
      </c>
      <c r="BM55">
        <v>3456.0</v>
      </c>
      <c r="BN55">
        <v>3510.0</v>
      </c>
      <c r="BO55">
        <v>3564.0</v>
      </c>
      <c r="BP55">
        <v>3618.0</v>
      </c>
      <c r="BQ55">
        <v>3672.0</v>
      </c>
      <c r="BR55">
        <v>3726.0</v>
      </c>
      <c r="BS55">
        <v>3780.0</v>
      </c>
      <c r="BT55">
        <v>3834.0</v>
      </c>
      <c r="BU55">
        <v>3888.0</v>
      </c>
      <c r="BV55">
        <v>3942.0</v>
      </c>
      <c r="BW55">
        <v>3996.0</v>
      </c>
      <c r="BX55">
        <v>4050.0</v>
      </c>
      <c r="BY55">
        <v>4104.0</v>
      </c>
      <c r="BZ55">
        <v>4158.0</v>
      </c>
      <c r="CA55">
        <v>4212.0</v>
      </c>
      <c r="CB55">
        <v>4266.0</v>
      </c>
      <c r="CC55">
        <v>4320.0</v>
      </c>
      <c r="CD55">
        <v>4374.0</v>
      </c>
      <c r="CE55">
        <v>4428.0</v>
      </c>
      <c r="CF55">
        <v>4482.0</v>
      </c>
      <c r="CG55">
        <v>4536.0</v>
      </c>
      <c r="CH55">
        <v>4590.0</v>
      </c>
      <c r="CI55">
        <v>4644.0</v>
      </c>
      <c r="CJ55">
        <v>4698.0</v>
      </c>
      <c r="CK55">
        <v>4752.0</v>
      </c>
      <c r="CL55">
        <v>4806.0</v>
      </c>
      <c r="CM55">
        <v>4860.0</v>
      </c>
      <c r="CN55">
        <v>4914.0</v>
      </c>
      <c r="CO55">
        <v>4968.0</v>
      </c>
      <c r="CP55">
        <v>5022.0</v>
      </c>
      <c r="CQ55">
        <v>5076.0</v>
      </c>
      <c r="CR55">
        <v>5130.0</v>
      </c>
      <c r="CS55">
        <v>5184.0</v>
      </c>
      <c r="CT55">
        <v>5238.0</v>
      </c>
      <c r="CU55">
        <v>5292.0</v>
      </c>
      <c r="CV55">
        <v>5346.0</v>
      </c>
      <c r="CW55">
        <v>5400.0</v>
      </c>
      <c r="CX55">
        <v>5454.0</v>
      </c>
      <c r="CY55">
        <v>5508.0</v>
      </c>
      <c r="CZ55">
        <v>5562.0</v>
      </c>
    </row>
    <row r="56" ht="19.5" customHeight="1">
      <c r="A56" s="2">
        <v>55.0</v>
      </c>
      <c r="B56" s="13">
        <v>55.0</v>
      </c>
      <c r="C56" s="13">
        <v>110.0</v>
      </c>
      <c r="D56" s="13">
        <v>165.0</v>
      </c>
      <c r="E56" s="12">
        <v>220.0</v>
      </c>
      <c r="F56" s="12">
        <v>275.0</v>
      </c>
      <c r="G56" s="12">
        <v>330.0</v>
      </c>
      <c r="H56" s="12">
        <v>385.0</v>
      </c>
      <c r="I56" s="12">
        <v>440.0</v>
      </c>
      <c r="J56" s="12">
        <v>495.0</v>
      </c>
      <c r="K56" s="12">
        <v>550.0</v>
      </c>
      <c r="L56" s="12">
        <v>605.0</v>
      </c>
      <c r="M56" s="12">
        <v>660.0</v>
      </c>
      <c r="N56" s="12">
        <v>715.0</v>
      </c>
      <c r="O56" s="12">
        <v>770.0</v>
      </c>
      <c r="P56" s="12">
        <v>825.0</v>
      </c>
      <c r="Q56" s="12">
        <v>880.0</v>
      </c>
      <c r="R56" s="12">
        <v>935.0</v>
      </c>
      <c r="S56" s="12">
        <v>990.0</v>
      </c>
      <c r="T56">
        <v>1045.0</v>
      </c>
      <c r="U56">
        <v>1100.0</v>
      </c>
      <c r="V56">
        <v>1155.0</v>
      </c>
      <c r="W56">
        <v>1210.0</v>
      </c>
      <c r="X56">
        <v>1265.0</v>
      </c>
      <c r="Y56">
        <v>1320.0</v>
      </c>
      <c r="Z56">
        <v>1375.0</v>
      </c>
      <c r="AA56">
        <v>1430.0</v>
      </c>
      <c r="AB56">
        <v>1485.0</v>
      </c>
      <c r="AC56">
        <v>1540.0</v>
      </c>
      <c r="AD56">
        <v>1595.0</v>
      </c>
      <c r="AE56">
        <v>1650.0</v>
      </c>
      <c r="AF56">
        <v>1705.0</v>
      </c>
      <c r="AG56">
        <v>1760.0</v>
      </c>
      <c r="AH56">
        <v>1815.0</v>
      </c>
      <c r="AI56">
        <v>1870.0</v>
      </c>
      <c r="AJ56">
        <v>1925.0</v>
      </c>
      <c r="AK56">
        <v>1980.0</v>
      </c>
      <c r="AL56">
        <v>2035.0</v>
      </c>
      <c r="AM56">
        <v>2090.0</v>
      </c>
      <c r="AN56">
        <v>2145.0</v>
      </c>
      <c r="AO56">
        <v>2200.0</v>
      </c>
      <c r="AP56">
        <v>2255.0</v>
      </c>
      <c r="AQ56">
        <v>2310.0</v>
      </c>
      <c r="AR56">
        <v>2365.0</v>
      </c>
      <c r="AS56">
        <v>2420.0</v>
      </c>
      <c r="AT56">
        <v>2475.0</v>
      </c>
      <c r="AU56">
        <v>2530.0</v>
      </c>
      <c r="AV56">
        <v>2585.0</v>
      </c>
      <c r="AW56">
        <v>2640.0</v>
      </c>
      <c r="AX56">
        <v>2695.0</v>
      </c>
      <c r="AY56">
        <v>2750.0</v>
      </c>
      <c r="AZ56">
        <v>2805.0</v>
      </c>
      <c r="BA56">
        <v>2860.0</v>
      </c>
      <c r="BB56">
        <v>2915.0</v>
      </c>
      <c r="BC56">
        <v>2970.0</v>
      </c>
      <c r="BD56">
        <v>3025.0</v>
      </c>
      <c r="BE56">
        <v>3080.0</v>
      </c>
      <c r="BF56">
        <v>3135.0</v>
      </c>
      <c r="BG56">
        <v>3190.0</v>
      </c>
      <c r="BH56">
        <v>3245.0</v>
      </c>
      <c r="BI56">
        <v>3300.0</v>
      </c>
      <c r="BJ56">
        <v>3355.0</v>
      </c>
      <c r="BK56">
        <v>3410.0</v>
      </c>
      <c r="BL56">
        <v>3465.0</v>
      </c>
      <c r="BM56">
        <v>3520.0</v>
      </c>
      <c r="BN56">
        <v>3575.0</v>
      </c>
      <c r="BO56">
        <v>3630.0</v>
      </c>
      <c r="BP56">
        <v>3685.0</v>
      </c>
      <c r="BQ56">
        <v>3740.0</v>
      </c>
      <c r="BR56">
        <v>3795.0</v>
      </c>
      <c r="BS56">
        <v>3850.0</v>
      </c>
      <c r="BT56">
        <v>3905.0</v>
      </c>
      <c r="BU56">
        <v>3960.0</v>
      </c>
      <c r="BV56">
        <v>4015.0</v>
      </c>
      <c r="BW56">
        <v>4070.0</v>
      </c>
      <c r="BX56">
        <v>4125.0</v>
      </c>
      <c r="BY56">
        <v>4180.0</v>
      </c>
      <c r="BZ56">
        <v>4235.0</v>
      </c>
      <c r="CA56">
        <v>4290.0</v>
      </c>
      <c r="CB56">
        <v>4345.0</v>
      </c>
      <c r="CC56">
        <v>4400.0</v>
      </c>
      <c r="CD56">
        <v>4455.0</v>
      </c>
      <c r="CE56">
        <v>4510.0</v>
      </c>
      <c r="CF56">
        <v>4565.0</v>
      </c>
      <c r="CG56">
        <v>4620.0</v>
      </c>
      <c r="CH56">
        <v>4675.0</v>
      </c>
      <c r="CI56">
        <v>4730.0</v>
      </c>
      <c r="CJ56">
        <v>4785.0</v>
      </c>
      <c r="CK56">
        <v>4840.0</v>
      </c>
      <c r="CL56">
        <v>4895.0</v>
      </c>
      <c r="CM56">
        <v>4950.0</v>
      </c>
      <c r="CN56">
        <v>5005.0</v>
      </c>
      <c r="CO56">
        <v>5060.0</v>
      </c>
      <c r="CP56">
        <v>5115.0</v>
      </c>
      <c r="CQ56">
        <v>5170.0</v>
      </c>
      <c r="CR56">
        <v>5225.0</v>
      </c>
      <c r="CS56">
        <v>5280.0</v>
      </c>
      <c r="CT56">
        <v>5335.0</v>
      </c>
      <c r="CU56">
        <v>5390.0</v>
      </c>
      <c r="CV56">
        <v>5445.0</v>
      </c>
      <c r="CW56">
        <v>5500.0</v>
      </c>
      <c r="CX56">
        <v>5555.0</v>
      </c>
      <c r="CY56">
        <v>5610.0</v>
      </c>
      <c r="CZ56">
        <v>5665.0</v>
      </c>
    </row>
    <row r="57" ht="19.5" customHeight="1">
      <c r="A57" s="2">
        <v>56.0</v>
      </c>
      <c r="B57" s="13">
        <v>56.0</v>
      </c>
      <c r="C57" s="13">
        <v>112.0</v>
      </c>
      <c r="D57" s="13">
        <v>168.0</v>
      </c>
      <c r="E57" s="12">
        <v>224.0</v>
      </c>
      <c r="F57" s="12">
        <v>280.0</v>
      </c>
      <c r="G57" s="12">
        <v>336.0</v>
      </c>
      <c r="H57" s="12">
        <v>392.0</v>
      </c>
      <c r="I57" s="12">
        <v>448.0</v>
      </c>
      <c r="J57" s="12">
        <v>504.0</v>
      </c>
      <c r="K57" s="12">
        <v>560.0</v>
      </c>
      <c r="L57" s="12">
        <v>616.0</v>
      </c>
      <c r="M57" s="12">
        <v>672.0</v>
      </c>
      <c r="N57" s="12">
        <v>728.0</v>
      </c>
      <c r="O57" s="12">
        <v>784.0</v>
      </c>
      <c r="P57" s="12">
        <v>840.0</v>
      </c>
      <c r="Q57" s="12">
        <v>896.0</v>
      </c>
      <c r="R57" s="12">
        <v>952.0</v>
      </c>
      <c r="S57">
        <v>1008.0</v>
      </c>
      <c r="T57">
        <v>1064.0</v>
      </c>
      <c r="U57">
        <v>1120.0</v>
      </c>
      <c r="V57">
        <v>1176.0</v>
      </c>
      <c r="W57">
        <v>1232.0</v>
      </c>
      <c r="X57">
        <v>1288.0</v>
      </c>
      <c r="Y57">
        <v>1344.0</v>
      </c>
      <c r="Z57">
        <v>1400.0</v>
      </c>
      <c r="AA57">
        <v>1456.0</v>
      </c>
      <c r="AB57">
        <v>1512.0</v>
      </c>
      <c r="AC57">
        <v>1568.0</v>
      </c>
      <c r="AD57">
        <v>1624.0</v>
      </c>
      <c r="AE57">
        <v>1680.0</v>
      </c>
      <c r="AF57">
        <v>1736.0</v>
      </c>
      <c r="AG57">
        <v>1792.0</v>
      </c>
      <c r="AH57">
        <v>1848.0</v>
      </c>
      <c r="AI57">
        <v>1904.0</v>
      </c>
      <c r="AJ57">
        <v>1960.0</v>
      </c>
      <c r="AK57">
        <v>2016.0</v>
      </c>
      <c r="AL57">
        <v>2072.0</v>
      </c>
      <c r="AM57">
        <v>2128.0</v>
      </c>
      <c r="AN57">
        <v>2184.0</v>
      </c>
      <c r="AO57">
        <v>2240.0</v>
      </c>
      <c r="AP57">
        <v>2296.0</v>
      </c>
      <c r="AQ57">
        <v>2352.0</v>
      </c>
      <c r="AR57">
        <v>2408.0</v>
      </c>
      <c r="AS57">
        <v>2464.0</v>
      </c>
      <c r="AT57">
        <v>2520.0</v>
      </c>
      <c r="AU57">
        <v>2576.0</v>
      </c>
      <c r="AV57">
        <v>2632.0</v>
      </c>
      <c r="AW57">
        <v>2688.0</v>
      </c>
      <c r="AX57">
        <v>2744.0</v>
      </c>
      <c r="AY57">
        <v>2800.0</v>
      </c>
      <c r="AZ57">
        <v>2856.0</v>
      </c>
      <c r="BA57">
        <v>2912.0</v>
      </c>
      <c r="BB57">
        <v>2968.0</v>
      </c>
      <c r="BC57">
        <v>3024.0</v>
      </c>
      <c r="BD57">
        <v>3080.0</v>
      </c>
      <c r="BE57">
        <v>3136.0</v>
      </c>
      <c r="BF57">
        <v>3192.0</v>
      </c>
      <c r="BG57">
        <v>3248.0</v>
      </c>
      <c r="BH57">
        <v>3304.0</v>
      </c>
      <c r="BI57">
        <v>3360.0</v>
      </c>
      <c r="BJ57">
        <v>3416.0</v>
      </c>
      <c r="BK57">
        <v>3472.0</v>
      </c>
      <c r="BL57">
        <v>3528.0</v>
      </c>
      <c r="BM57">
        <v>3584.0</v>
      </c>
      <c r="BN57">
        <v>3640.0</v>
      </c>
      <c r="BO57">
        <v>3696.0</v>
      </c>
      <c r="BP57">
        <v>3752.0</v>
      </c>
      <c r="BQ57">
        <v>3808.0</v>
      </c>
      <c r="BR57">
        <v>3864.0</v>
      </c>
      <c r="BS57">
        <v>3920.0</v>
      </c>
      <c r="BT57">
        <v>3976.0</v>
      </c>
      <c r="BU57">
        <v>4032.0</v>
      </c>
      <c r="BV57">
        <v>4088.0</v>
      </c>
      <c r="BW57">
        <v>4144.0</v>
      </c>
      <c r="BX57">
        <v>4200.0</v>
      </c>
      <c r="BY57">
        <v>4256.0</v>
      </c>
      <c r="BZ57">
        <v>4312.0</v>
      </c>
      <c r="CA57">
        <v>4368.0</v>
      </c>
      <c r="CB57">
        <v>4424.0</v>
      </c>
      <c r="CC57">
        <v>4480.0</v>
      </c>
      <c r="CD57">
        <v>4536.0</v>
      </c>
      <c r="CE57">
        <v>4592.0</v>
      </c>
      <c r="CF57">
        <v>4648.0</v>
      </c>
      <c r="CG57">
        <v>4704.0</v>
      </c>
      <c r="CH57">
        <v>4760.0</v>
      </c>
      <c r="CI57">
        <v>4816.0</v>
      </c>
      <c r="CJ57">
        <v>4872.0</v>
      </c>
      <c r="CK57">
        <v>4928.0</v>
      </c>
      <c r="CL57">
        <v>4984.0</v>
      </c>
      <c r="CM57">
        <v>5040.0</v>
      </c>
      <c r="CN57">
        <v>5096.0</v>
      </c>
      <c r="CO57">
        <v>5152.0</v>
      </c>
      <c r="CP57">
        <v>5208.0</v>
      </c>
      <c r="CQ57">
        <v>5264.0</v>
      </c>
      <c r="CR57">
        <v>5320.0</v>
      </c>
      <c r="CS57">
        <v>5376.0</v>
      </c>
      <c r="CT57">
        <v>5432.0</v>
      </c>
      <c r="CU57">
        <v>5488.0</v>
      </c>
      <c r="CV57">
        <v>5544.0</v>
      </c>
      <c r="CW57">
        <v>5600.0</v>
      </c>
      <c r="CX57">
        <v>5656.0</v>
      </c>
      <c r="CY57">
        <v>5712.0</v>
      </c>
      <c r="CZ57">
        <v>5768.0</v>
      </c>
    </row>
    <row r="58" ht="19.5" customHeight="1">
      <c r="A58" s="2">
        <v>57.0</v>
      </c>
      <c r="B58" s="13">
        <v>57.0</v>
      </c>
      <c r="C58" s="13">
        <v>114.0</v>
      </c>
      <c r="D58" s="13">
        <v>171.0</v>
      </c>
      <c r="E58" s="12">
        <v>228.0</v>
      </c>
      <c r="F58" s="12">
        <v>285.0</v>
      </c>
      <c r="G58" s="12">
        <v>342.0</v>
      </c>
      <c r="H58" s="12">
        <v>399.0</v>
      </c>
      <c r="I58" s="12">
        <v>456.0</v>
      </c>
      <c r="J58" s="12">
        <v>513.0</v>
      </c>
      <c r="K58" s="12">
        <v>570.0</v>
      </c>
      <c r="L58" s="12">
        <v>627.0</v>
      </c>
      <c r="M58" s="12">
        <v>684.0</v>
      </c>
      <c r="N58" s="12">
        <v>741.0</v>
      </c>
      <c r="O58" s="12">
        <v>798.0</v>
      </c>
      <c r="P58" s="12">
        <v>855.0</v>
      </c>
      <c r="Q58" s="12">
        <v>912.0</v>
      </c>
      <c r="R58" s="12">
        <v>969.0</v>
      </c>
      <c r="S58">
        <v>1026.0</v>
      </c>
      <c r="T58">
        <v>1083.0</v>
      </c>
      <c r="U58">
        <v>1140.0</v>
      </c>
      <c r="V58">
        <v>1197.0</v>
      </c>
      <c r="W58">
        <v>1254.0</v>
      </c>
      <c r="X58">
        <v>1311.0</v>
      </c>
      <c r="Y58">
        <v>1368.0</v>
      </c>
      <c r="Z58">
        <v>1425.0</v>
      </c>
      <c r="AA58">
        <v>1482.0</v>
      </c>
      <c r="AB58">
        <v>1539.0</v>
      </c>
      <c r="AC58">
        <v>1596.0</v>
      </c>
      <c r="AD58">
        <v>1653.0</v>
      </c>
      <c r="AE58">
        <v>1710.0</v>
      </c>
      <c r="AF58">
        <v>1767.0</v>
      </c>
      <c r="AG58">
        <v>1824.0</v>
      </c>
      <c r="AH58">
        <v>1881.0</v>
      </c>
      <c r="AI58">
        <v>1938.0</v>
      </c>
      <c r="AJ58">
        <v>1995.0</v>
      </c>
      <c r="AK58">
        <v>2052.0</v>
      </c>
      <c r="AL58">
        <v>2109.0</v>
      </c>
      <c r="AM58">
        <v>2166.0</v>
      </c>
      <c r="AN58">
        <v>2223.0</v>
      </c>
      <c r="AO58">
        <v>2280.0</v>
      </c>
      <c r="AP58">
        <v>2337.0</v>
      </c>
      <c r="AQ58">
        <v>2394.0</v>
      </c>
      <c r="AR58">
        <v>2451.0</v>
      </c>
      <c r="AS58">
        <v>2508.0</v>
      </c>
      <c r="AT58">
        <v>2565.0</v>
      </c>
      <c r="AU58">
        <v>2622.0</v>
      </c>
      <c r="AV58">
        <v>2679.0</v>
      </c>
      <c r="AW58">
        <v>2736.0</v>
      </c>
      <c r="AX58">
        <v>2793.0</v>
      </c>
      <c r="AY58">
        <v>2850.0</v>
      </c>
      <c r="AZ58">
        <v>2907.0</v>
      </c>
      <c r="BA58">
        <v>2964.0</v>
      </c>
      <c r="BB58">
        <v>3021.0</v>
      </c>
      <c r="BC58">
        <v>3078.0</v>
      </c>
      <c r="BD58">
        <v>3135.0</v>
      </c>
      <c r="BE58">
        <v>3192.0</v>
      </c>
      <c r="BF58">
        <v>3249.0</v>
      </c>
      <c r="BG58">
        <v>3306.0</v>
      </c>
      <c r="BH58">
        <v>3363.0</v>
      </c>
      <c r="BI58">
        <v>3420.0</v>
      </c>
      <c r="BJ58">
        <v>3477.0</v>
      </c>
      <c r="BK58">
        <v>3534.0</v>
      </c>
      <c r="BL58">
        <v>3591.0</v>
      </c>
      <c r="BM58">
        <v>3648.0</v>
      </c>
      <c r="BN58">
        <v>3705.0</v>
      </c>
      <c r="BO58">
        <v>3762.0</v>
      </c>
      <c r="BP58">
        <v>3819.0</v>
      </c>
      <c r="BQ58">
        <v>3876.0</v>
      </c>
      <c r="BR58">
        <v>3933.0</v>
      </c>
      <c r="BS58">
        <v>3990.0</v>
      </c>
      <c r="BT58">
        <v>4047.0</v>
      </c>
      <c r="BU58">
        <v>4104.0</v>
      </c>
      <c r="BV58">
        <v>4161.0</v>
      </c>
      <c r="BW58">
        <v>4218.0</v>
      </c>
      <c r="BX58">
        <v>4275.0</v>
      </c>
      <c r="BY58">
        <v>4332.0</v>
      </c>
      <c r="BZ58">
        <v>4389.0</v>
      </c>
      <c r="CA58">
        <v>4446.0</v>
      </c>
      <c r="CB58">
        <v>4503.0</v>
      </c>
      <c r="CC58">
        <v>4560.0</v>
      </c>
      <c r="CD58">
        <v>4617.0</v>
      </c>
      <c r="CE58">
        <v>4674.0</v>
      </c>
      <c r="CF58">
        <v>4731.0</v>
      </c>
      <c r="CG58">
        <v>4788.0</v>
      </c>
      <c r="CH58">
        <v>4845.0</v>
      </c>
      <c r="CI58">
        <v>4902.0</v>
      </c>
      <c r="CJ58">
        <v>4959.0</v>
      </c>
      <c r="CK58">
        <v>5016.0</v>
      </c>
      <c r="CL58">
        <v>5073.0</v>
      </c>
      <c r="CM58">
        <v>5130.0</v>
      </c>
      <c r="CN58">
        <v>5187.0</v>
      </c>
      <c r="CO58">
        <v>5244.0</v>
      </c>
      <c r="CP58">
        <v>5301.0</v>
      </c>
      <c r="CQ58">
        <v>5358.0</v>
      </c>
      <c r="CR58">
        <v>5415.0</v>
      </c>
      <c r="CS58">
        <v>5472.0</v>
      </c>
      <c r="CT58">
        <v>5529.0</v>
      </c>
      <c r="CU58">
        <v>5586.0</v>
      </c>
      <c r="CV58">
        <v>5643.0</v>
      </c>
      <c r="CW58">
        <v>5700.0</v>
      </c>
      <c r="CX58">
        <v>5757.0</v>
      </c>
      <c r="CY58">
        <v>5814.0</v>
      </c>
      <c r="CZ58">
        <v>5871.0</v>
      </c>
    </row>
    <row r="59" ht="19.5" customHeight="1">
      <c r="A59" s="2">
        <v>58.0</v>
      </c>
      <c r="B59" s="13">
        <v>58.0</v>
      </c>
      <c r="C59" s="13">
        <v>116.0</v>
      </c>
      <c r="D59" s="13">
        <v>174.0</v>
      </c>
      <c r="E59" s="12">
        <v>232.0</v>
      </c>
      <c r="F59" s="12">
        <v>290.0</v>
      </c>
      <c r="G59" s="12">
        <v>348.0</v>
      </c>
      <c r="H59" s="12">
        <v>406.0</v>
      </c>
      <c r="I59" s="12">
        <v>464.0</v>
      </c>
      <c r="J59" s="12">
        <v>522.0</v>
      </c>
      <c r="K59" s="12">
        <v>580.0</v>
      </c>
      <c r="L59" s="12">
        <v>638.0</v>
      </c>
      <c r="M59" s="12">
        <v>696.0</v>
      </c>
      <c r="N59" s="12">
        <v>754.0</v>
      </c>
      <c r="O59" s="12">
        <v>812.0</v>
      </c>
      <c r="P59" s="12">
        <v>870.0</v>
      </c>
      <c r="Q59" s="12">
        <v>928.0</v>
      </c>
      <c r="R59" s="12">
        <v>986.0</v>
      </c>
      <c r="S59">
        <v>1044.0</v>
      </c>
      <c r="T59">
        <v>1102.0</v>
      </c>
      <c r="U59">
        <v>1160.0</v>
      </c>
      <c r="V59">
        <v>1218.0</v>
      </c>
      <c r="W59">
        <v>1276.0</v>
      </c>
      <c r="X59">
        <v>1334.0</v>
      </c>
      <c r="Y59">
        <v>1392.0</v>
      </c>
      <c r="Z59">
        <v>1450.0</v>
      </c>
      <c r="AA59">
        <v>1508.0</v>
      </c>
      <c r="AB59">
        <v>1566.0</v>
      </c>
      <c r="AC59">
        <v>1624.0</v>
      </c>
      <c r="AD59">
        <v>1682.0</v>
      </c>
      <c r="AE59">
        <v>1740.0</v>
      </c>
      <c r="AF59">
        <v>1798.0</v>
      </c>
      <c r="AG59">
        <v>1856.0</v>
      </c>
      <c r="AH59">
        <v>1914.0</v>
      </c>
      <c r="AI59">
        <v>1972.0</v>
      </c>
      <c r="AJ59">
        <v>2030.0</v>
      </c>
      <c r="AK59">
        <v>2088.0</v>
      </c>
      <c r="AL59">
        <v>2146.0</v>
      </c>
      <c r="AM59">
        <v>2204.0</v>
      </c>
      <c r="AN59">
        <v>2262.0</v>
      </c>
      <c r="AO59">
        <v>2320.0</v>
      </c>
      <c r="AP59">
        <v>2378.0</v>
      </c>
      <c r="AQ59">
        <v>2436.0</v>
      </c>
      <c r="AR59">
        <v>2494.0</v>
      </c>
      <c r="AS59">
        <v>2552.0</v>
      </c>
      <c r="AT59">
        <v>2610.0</v>
      </c>
      <c r="AU59">
        <v>2668.0</v>
      </c>
      <c r="AV59">
        <v>2726.0</v>
      </c>
      <c r="AW59">
        <v>2784.0</v>
      </c>
      <c r="AX59">
        <v>2842.0</v>
      </c>
      <c r="AY59">
        <v>2900.0</v>
      </c>
      <c r="AZ59">
        <v>2958.0</v>
      </c>
      <c r="BA59">
        <v>3016.0</v>
      </c>
      <c r="BB59">
        <v>3074.0</v>
      </c>
      <c r="BC59">
        <v>3132.0</v>
      </c>
      <c r="BD59">
        <v>3190.0</v>
      </c>
      <c r="BE59">
        <v>3248.0</v>
      </c>
      <c r="BF59">
        <v>3306.0</v>
      </c>
      <c r="BG59">
        <v>3364.0</v>
      </c>
      <c r="BH59">
        <v>3422.0</v>
      </c>
      <c r="BI59">
        <v>3480.0</v>
      </c>
      <c r="BJ59">
        <v>3538.0</v>
      </c>
      <c r="BK59">
        <v>3596.0</v>
      </c>
      <c r="BL59">
        <v>3654.0</v>
      </c>
      <c r="BM59">
        <v>3712.0</v>
      </c>
      <c r="BN59">
        <v>3770.0</v>
      </c>
      <c r="BO59">
        <v>3828.0</v>
      </c>
      <c r="BP59">
        <v>3886.0</v>
      </c>
      <c r="BQ59">
        <v>3944.0</v>
      </c>
      <c r="BR59">
        <v>4002.0</v>
      </c>
      <c r="BS59">
        <v>4060.0</v>
      </c>
      <c r="BT59">
        <v>4118.0</v>
      </c>
      <c r="BU59">
        <v>4176.0</v>
      </c>
      <c r="BV59">
        <v>4234.0</v>
      </c>
      <c r="BW59">
        <v>4292.0</v>
      </c>
      <c r="BX59">
        <v>4350.0</v>
      </c>
      <c r="BY59">
        <v>4408.0</v>
      </c>
      <c r="BZ59">
        <v>4466.0</v>
      </c>
      <c r="CA59">
        <v>4524.0</v>
      </c>
      <c r="CB59">
        <v>4582.0</v>
      </c>
      <c r="CC59">
        <v>4640.0</v>
      </c>
      <c r="CD59">
        <v>4698.0</v>
      </c>
      <c r="CE59">
        <v>4756.0</v>
      </c>
      <c r="CF59">
        <v>4814.0</v>
      </c>
      <c r="CG59">
        <v>4872.0</v>
      </c>
      <c r="CH59">
        <v>4930.0</v>
      </c>
      <c r="CI59">
        <v>4988.0</v>
      </c>
      <c r="CJ59">
        <v>5046.0</v>
      </c>
      <c r="CK59">
        <v>5104.0</v>
      </c>
      <c r="CL59">
        <v>5162.0</v>
      </c>
      <c r="CM59">
        <v>5220.0</v>
      </c>
      <c r="CN59">
        <v>5278.0</v>
      </c>
      <c r="CO59">
        <v>5336.0</v>
      </c>
      <c r="CP59">
        <v>5394.0</v>
      </c>
      <c r="CQ59">
        <v>5452.0</v>
      </c>
      <c r="CR59">
        <v>5510.0</v>
      </c>
      <c r="CS59">
        <v>5568.0</v>
      </c>
      <c r="CT59">
        <v>5626.0</v>
      </c>
      <c r="CU59">
        <v>5684.0</v>
      </c>
      <c r="CV59">
        <v>5742.0</v>
      </c>
      <c r="CW59">
        <v>5800.0</v>
      </c>
      <c r="CX59">
        <v>5858.0</v>
      </c>
      <c r="CY59">
        <v>5916.0</v>
      </c>
      <c r="CZ59">
        <v>5974.0</v>
      </c>
    </row>
    <row r="60" ht="19.5" customHeight="1">
      <c r="A60" s="2">
        <v>59.0</v>
      </c>
      <c r="B60" s="13">
        <v>59.0</v>
      </c>
      <c r="C60" s="13">
        <v>118.0</v>
      </c>
      <c r="D60">
        <v>177.0</v>
      </c>
      <c r="E60">
        <v>236.0</v>
      </c>
      <c r="F60">
        <v>295.0</v>
      </c>
      <c r="G60">
        <v>354.0</v>
      </c>
      <c r="H60">
        <v>413.0</v>
      </c>
      <c r="I60">
        <v>472.0</v>
      </c>
      <c r="J60">
        <v>531.0</v>
      </c>
      <c r="K60">
        <v>590.0</v>
      </c>
      <c r="L60">
        <v>649.0</v>
      </c>
      <c r="M60">
        <v>708.0</v>
      </c>
      <c r="N60">
        <v>767.0</v>
      </c>
      <c r="O60">
        <v>826.0</v>
      </c>
      <c r="P60">
        <v>885.0</v>
      </c>
      <c r="Q60">
        <v>944.0</v>
      </c>
      <c r="R60">
        <v>1003.0</v>
      </c>
      <c r="S60">
        <v>1062.0</v>
      </c>
      <c r="T60">
        <v>1121.0</v>
      </c>
      <c r="U60">
        <v>1180.0</v>
      </c>
      <c r="V60">
        <v>1239.0</v>
      </c>
      <c r="W60">
        <v>1298.0</v>
      </c>
      <c r="X60">
        <v>1357.0</v>
      </c>
      <c r="Y60">
        <v>1416.0</v>
      </c>
      <c r="Z60">
        <v>1475.0</v>
      </c>
      <c r="AA60">
        <v>1534.0</v>
      </c>
      <c r="AB60">
        <v>1593.0</v>
      </c>
      <c r="AC60">
        <v>1652.0</v>
      </c>
      <c r="AD60">
        <v>1711.0</v>
      </c>
      <c r="AE60">
        <v>1770.0</v>
      </c>
      <c r="AF60">
        <v>1829.0</v>
      </c>
      <c r="AG60">
        <v>1888.0</v>
      </c>
      <c r="AH60">
        <v>1947.0</v>
      </c>
      <c r="AI60">
        <v>2006.0</v>
      </c>
      <c r="AJ60">
        <v>2065.0</v>
      </c>
      <c r="AK60">
        <v>2124.0</v>
      </c>
      <c r="AL60">
        <v>2183.0</v>
      </c>
      <c r="AM60">
        <v>2242.0</v>
      </c>
      <c r="AN60">
        <v>2301.0</v>
      </c>
      <c r="AO60">
        <v>2360.0</v>
      </c>
      <c r="AP60">
        <v>2419.0</v>
      </c>
      <c r="AQ60">
        <v>2478.0</v>
      </c>
      <c r="AR60">
        <v>2537.0</v>
      </c>
      <c r="AS60">
        <v>2596.0</v>
      </c>
      <c r="AT60">
        <v>2655.0</v>
      </c>
      <c r="AU60">
        <v>2714.0</v>
      </c>
      <c r="AV60">
        <v>2773.0</v>
      </c>
      <c r="AW60">
        <v>2832.0</v>
      </c>
      <c r="AX60">
        <v>2891.0</v>
      </c>
      <c r="AY60">
        <v>2950.0</v>
      </c>
      <c r="AZ60">
        <v>3009.0</v>
      </c>
      <c r="BA60">
        <v>3068.0</v>
      </c>
      <c r="BB60">
        <v>3127.0</v>
      </c>
      <c r="BC60">
        <v>3186.0</v>
      </c>
      <c r="BD60">
        <v>3245.0</v>
      </c>
      <c r="BE60">
        <v>3304.0</v>
      </c>
      <c r="BF60">
        <v>3363.0</v>
      </c>
      <c r="BG60">
        <v>3422.0</v>
      </c>
      <c r="BH60">
        <v>3481.0</v>
      </c>
      <c r="BI60">
        <v>3540.0</v>
      </c>
      <c r="BJ60">
        <v>3599.0</v>
      </c>
      <c r="BK60">
        <v>3658.0</v>
      </c>
      <c r="BL60">
        <v>3717.0</v>
      </c>
      <c r="BM60">
        <v>3776.0</v>
      </c>
      <c r="BN60">
        <v>3835.0</v>
      </c>
      <c r="BO60">
        <v>3894.0</v>
      </c>
      <c r="BP60">
        <v>3953.0</v>
      </c>
      <c r="BQ60">
        <v>4012.0</v>
      </c>
      <c r="BR60">
        <v>4071.0</v>
      </c>
      <c r="BS60">
        <v>4130.0</v>
      </c>
      <c r="BT60">
        <v>4189.0</v>
      </c>
      <c r="BU60">
        <v>4248.0</v>
      </c>
      <c r="BV60">
        <v>4307.0</v>
      </c>
      <c r="BW60">
        <v>4366.0</v>
      </c>
      <c r="BX60">
        <v>4425.0</v>
      </c>
      <c r="BY60">
        <v>4484.0</v>
      </c>
      <c r="BZ60">
        <v>4543.0</v>
      </c>
      <c r="CA60">
        <v>4602.0</v>
      </c>
      <c r="CB60">
        <v>4661.0</v>
      </c>
      <c r="CC60">
        <v>4720.0</v>
      </c>
      <c r="CD60">
        <v>4779.0</v>
      </c>
      <c r="CE60">
        <v>4838.0</v>
      </c>
      <c r="CF60">
        <v>4897.0</v>
      </c>
      <c r="CG60">
        <v>4956.0</v>
      </c>
      <c r="CH60">
        <v>5015.0</v>
      </c>
      <c r="CI60">
        <v>5074.0</v>
      </c>
      <c r="CJ60">
        <v>5133.0</v>
      </c>
      <c r="CK60">
        <v>5192.0</v>
      </c>
      <c r="CL60">
        <v>5251.0</v>
      </c>
      <c r="CM60">
        <v>5310.0</v>
      </c>
      <c r="CN60">
        <v>5369.0</v>
      </c>
      <c r="CO60">
        <v>5428.0</v>
      </c>
      <c r="CP60">
        <v>5487.0</v>
      </c>
      <c r="CQ60">
        <v>5546.0</v>
      </c>
      <c r="CR60">
        <v>5605.0</v>
      </c>
      <c r="CS60">
        <v>5664.0</v>
      </c>
      <c r="CT60">
        <v>5723.0</v>
      </c>
      <c r="CU60">
        <v>5782.0</v>
      </c>
      <c r="CV60">
        <v>5841.0</v>
      </c>
      <c r="CW60">
        <v>5900.0</v>
      </c>
      <c r="CX60">
        <v>5959.0</v>
      </c>
      <c r="CY60">
        <v>6018.0</v>
      </c>
      <c r="CZ60">
        <v>6077.0</v>
      </c>
    </row>
    <row r="61" ht="19.5" customHeight="1">
      <c r="A61" s="2">
        <v>60.0</v>
      </c>
      <c r="B61" s="13">
        <v>60.0</v>
      </c>
      <c r="C61" s="13">
        <v>120.0</v>
      </c>
      <c r="D61">
        <v>180.0</v>
      </c>
      <c r="E61">
        <v>240.0</v>
      </c>
      <c r="F61">
        <v>300.0</v>
      </c>
      <c r="G61">
        <v>360.0</v>
      </c>
      <c r="H61">
        <v>420.0</v>
      </c>
      <c r="I61">
        <v>480.0</v>
      </c>
      <c r="J61">
        <v>540.0</v>
      </c>
      <c r="K61">
        <v>600.0</v>
      </c>
      <c r="L61">
        <v>660.0</v>
      </c>
      <c r="M61">
        <v>720.0</v>
      </c>
      <c r="N61">
        <v>780.0</v>
      </c>
      <c r="O61">
        <v>840.0</v>
      </c>
      <c r="P61">
        <v>900.0</v>
      </c>
      <c r="Q61">
        <v>960.0</v>
      </c>
      <c r="R61">
        <v>1020.0</v>
      </c>
      <c r="S61">
        <v>1080.0</v>
      </c>
      <c r="T61">
        <v>1140.0</v>
      </c>
      <c r="U61">
        <v>1200.0</v>
      </c>
      <c r="V61">
        <v>1260.0</v>
      </c>
      <c r="W61">
        <v>1320.0</v>
      </c>
      <c r="X61">
        <v>1380.0</v>
      </c>
      <c r="Y61">
        <v>1440.0</v>
      </c>
      <c r="Z61">
        <v>1500.0</v>
      </c>
      <c r="AA61">
        <v>1560.0</v>
      </c>
      <c r="AB61">
        <v>1620.0</v>
      </c>
      <c r="AC61">
        <v>1680.0</v>
      </c>
      <c r="AD61">
        <v>1740.0</v>
      </c>
      <c r="AE61">
        <v>1800.0</v>
      </c>
      <c r="AF61">
        <v>1860.0</v>
      </c>
      <c r="AG61">
        <v>1920.0</v>
      </c>
      <c r="AH61">
        <v>1980.0</v>
      </c>
      <c r="AI61">
        <v>2040.0</v>
      </c>
      <c r="AJ61">
        <v>2100.0</v>
      </c>
      <c r="AK61">
        <v>2160.0</v>
      </c>
      <c r="AL61">
        <v>2220.0</v>
      </c>
      <c r="AM61">
        <v>2280.0</v>
      </c>
      <c r="AN61">
        <v>2340.0</v>
      </c>
      <c r="AO61">
        <v>2400.0</v>
      </c>
      <c r="AP61">
        <v>2460.0</v>
      </c>
      <c r="AQ61">
        <v>2520.0</v>
      </c>
      <c r="AR61">
        <v>2580.0</v>
      </c>
      <c r="AS61">
        <v>2640.0</v>
      </c>
      <c r="AT61">
        <v>2700.0</v>
      </c>
      <c r="AU61">
        <v>2760.0</v>
      </c>
      <c r="AV61">
        <v>2820.0</v>
      </c>
      <c r="AW61">
        <v>2880.0</v>
      </c>
      <c r="AX61">
        <v>2940.0</v>
      </c>
      <c r="AY61">
        <v>3000.0</v>
      </c>
      <c r="AZ61">
        <v>3060.0</v>
      </c>
      <c r="BA61">
        <v>3120.0</v>
      </c>
      <c r="BB61">
        <v>3180.0</v>
      </c>
      <c r="BC61">
        <v>3240.0</v>
      </c>
      <c r="BD61">
        <v>3300.0</v>
      </c>
      <c r="BE61">
        <v>3360.0</v>
      </c>
      <c r="BF61">
        <v>3420.0</v>
      </c>
      <c r="BG61">
        <v>3480.0</v>
      </c>
      <c r="BH61">
        <v>3540.0</v>
      </c>
      <c r="BI61">
        <v>3600.0</v>
      </c>
      <c r="BJ61">
        <v>3660.0</v>
      </c>
      <c r="BK61">
        <v>3720.0</v>
      </c>
      <c r="BL61">
        <v>3780.0</v>
      </c>
      <c r="BM61">
        <v>3840.0</v>
      </c>
      <c r="BN61">
        <v>3900.0</v>
      </c>
      <c r="BO61">
        <v>3960.0</v>
      </c>
      <c r="BP61">
        <v>4020.0</v>
      </c>
      <c r="BQ61">
        <v>4080.0</v>
      </c>
      <c r="BR61">
        <v>4140.0</v>
      </c>
      <c r="BS61">
        <v>4200.0</v>
      </c>
      <c r="BT61">
        <v>4260.0</v>
      </c>
      <c r="BU61">
        <v>4320.0</v>
      </c>
      <c r="BV61">
        <v>4380.0</v>
      </c>
      <c r="BW61">
        <v>4440.0</v>
      </c>
      <c r="BX61">
        <v>4500.0</v>
      </c>
      <c r="BY61">
        <v>4560.0</v>
      </c>
      <c r="BZ61">
        <v>4620.0</v>
      </c>
      <c r="CA61">
        <v>4680.0</v>
      </c>
      <c r="CB61">
        <v>4740.0</v>
      </c>
      <c r="CC61">
        <v>4800.0</v>
      </c>
      <c r="CD61">
        <v>4860.0</v>
      </c>
      <c r="CE61">
        <v>4920.0</v>
      </c>
      <c r="CF61">
        <v>4980.0</v>
      </c>
      <c r="CG61">
        <v>5040.0</v>
      </c>
      <c r="CH61">
        <v>5100.0</v>
      </c>
      <c r="CI61">
        <v>5160.0</v>
      </c>
      <c r="CJ61">
        <v>5220.0</v>
      </c>
      <c r="CK61">
        <v>5280.0</v>
      </c>
      <c r="CL61">
        <v>5340.0</v>
      </c>
      <c r="CM61">
        <v>5400.0</v>
      </c>
      <c r="CN61">
        <v>5460.0</v>
      </c>
      <c r="CO61">
        <v>5520.0</v>
      </c>
      <c r="CP61">
        <v>5580.0</v>
      </c>
      <c r="CQ61">
        <v>5640.0</v>
      </c>
      <c r="CR61">
        <v>5700.0</v>
      </c>
      <c r="CS61">
        <v>5760.0</v>
      </c>
      <c r="CT61">
        <v>5820.0</v>
      </c>
      <c r="CU61">
        <v>5880.0</v>
      </c>
      <c r="CV61">
        <v>5940.0</v>
      </c>
      <c r="CW61">
        <v>6000.0</v>
      </c>
      <c r="CX61">
        <v>6060.0</v>
      </c>
      <c r="CY61">
        <v>6120.0</v>
      </c>
      <c r="CZ61">
        <v>6180.0</v>
      </c>
    </row>
    <row r="62" ht="19.5" customHeight="1">
      <c r="A62" s="2">
        <v>61.0</v>
      </c>
      <c r="B62" s="13">
        <v>61.0</v>
      </c>
      <c r="C62" s="13">
        <v>122.0</v>
      </c>
      <c r="D62">
        <v>183.0</v>
      </c>
      <c r="E62">
        <v>244.0</v>
      </c>
      <c r="F62">
        <v>305.0</v>
      </c>
      <c r="G62">
        <v>366.0</v>
      </c>
      <c r="H62">
        <v>427.0</v>
      </c>
      <c r="I62">
        <v>488.0</v>
      </c>
      <c r="J62">
        <v>549.0</v>
      </c>
      <c r="K62">
        <v>610.0</v>
      </c>
      <c r="L62">
        <v>671.0</v>
      </c>
      <c r="M62">
        <v>732.0</v>
      </c>
      <c r="N62">
        <v>793.0</v>
      </c>
      <c r="O62">
        <v>854.0</v>
      </c>
      <c r="P62">
        <v>915.0</v>
      </c>
      <c r="Q62">
        <v>976.0</v>
      </c>
      <c r="R62">
        <v>1037.0</v>
      </c>
      <c r="S62">
        <v>1098.0</v>
      </c>
      <c r="T62">
        <v>1159.0</v>
      </c>
      <c r="U62">
        <v>1220.0</v>
      </c>
      <c r="V62">
        <v>1281.0</v>
      </c>
      <c r="W62">
        <v>1342.0</v>
      </c>
      <c r="X62">
        <v>1403.0</v>
      </c>
      <c r="Y62">
        <v>1464.0</v>
      </c>
      <c r="Z62">
        <v>1525.0</v>
      </c>
      <c r="AA62">
        <v>1586.0</v>
      </c>
      <c r="AB62">
        <v>1647.0</v>
      </c>
      <c r="AC62">
        <v>1708.0</v>
      </c>
      <c r="AD62">
        <v>1769.0</v>
      </c>
      <c r="AE62">
        <v>1830.0</v>
      </c>
      <c r="AF62">
        <v>1891.0</v>
      </c>
      <c r="AG62">
        <v>1952.0</v>
      </c>
      <c r="AH62">
        <v>2013.0</v>
      </c>
      <c r="AI62">
        <v>2074.0</v>
      </c>
      <c r="AJ62">
        <v>2135.0</v>
      </c>
      <c r="AK62">
        <v>2196.0</v>
      </c>
      <c r="AL62">
        <v>2257.0</v>
      </c>
      <c r="AM62">
        <v>2318.0</v>
      </c>
      <c r="AN62">
        <v>2379.0</v>
      </c>
      <c r="AO62">
        <v>2440.0</v>
      </c>
      <c r="AP62">
        <v>2501.0</v>
      </c>
      <c r="AQ62">
        <v>2562.0</v>
      </c>
      <c r="AR62">
        <v>2623.0</v>
      </c>
      <c r="AS62">
        <v>2684.0</v>
      </c>
      <c r="AT62">
        <v>2745.0</v>
      </c>
      <c r="AU62">
        <v>2806.0</v>
      </c>
      <c r="AV62">
        <v>2867.0</v>
      </c>
      <c r="AW62">
        <v>2928.0</v>
      </c>
      <c r="AX62">
        <v>2989.0</v>
      </c>
      <c r="AY62">
        <v>3050.0</v>
      </c>
      <c r="AZ62">
        <v>3111.0</v>
      </c>
      <c r="BA62">
        <v>3172.0</v>
      </c>
      <c r="BB62">
        <v>3233.0</v>
      </c>
      <c r="BC62">
        <v>3294.0</v>
      </c>
      <c r="BD62">
        <v>3355.0</v>
      </c>
      <c r="BE62">
        <v>3416.0</v>
      </c>
      <c r="BF62">
        <v>3477.0</v>
      </c>
      <c r="BG62">
        <v>3538.0</v>
      </c>
      <c r="BH62">
        <v>3599.0</v>
      </c>
      <c r="BI62">
        <v>3660.0</v>
      </c>
      <c r="BJ62">
        <v>3721.0</v>
      </c>
      <c r="BK62">
        <v>3782.0</v>
      </c>
      <c r="BL62">
        <v>3843.0</v>
      </c>
      <c r="BM62">
        <v>3904.0</v>
      </c>
      <c r="BN62">
        <v>3965.0</v>
      </c>
      <c r="BO62">
        <v>4026.0</v>
      </c>
      <c r="BP62">
        <v>4087.0</v>
      </c>
      <c r="BQ62">
        <v>4148.0</v>
      </c>
      <c r="BR62">
        <v>4209.0</v>
      </c>
      <c r="BS62">
        <v>4270.0</v>
      </c>
      <c r="BT62">
        <v>4331.0</v>
      </c>
      <c r="BU62">
        <v>4392.0</v>
      </c>
      <c r="BV62">
        <v>4453.0</v>
      </c>
      <c r="BW62">
        <v>4514.0</v>
      </c>
      <c r="BX62">
        <v>4575.0</v>
      </c>
      <c r="BY62">
        <v>4636.0</v>
      </c>
      <c r="BZ62">
        <v>4697.0</v>
      </c>
      <c r="CA62">
        <v>4758.0</v>
      </c>
      <c r="CB62">
        <v>4819.0</v>
      </c>
      <c r="CC62">
        <v>4880.0</v>
      </c>
      <c r="CD62">
        <v>4941.0</v>
      </c>
      <c r="CE62">
        <v>5002.0</v>
      </c>
      <c r="CF62">
        <v>5063.0</v>
      </c>
      <c r="CG62">
        <v>5124.0</v>
      </c>
      <c r="CH62">
        <v>5185.0</v>
      </c>
      <c r="CI62">
        <v>5246.0</v>
      </c>
      <c r="CJ62">
        <v>5307.0</v>
      </c>
      <c r="CK62">
        <v>5368.0</v>
      </c>
      <c r="CL62">
        <v>5429.0</v>
      </c>
      <c r="CM62">
        <v>5490.0</v>
      </c>
      <c r="CN62">
        <v>5551.0</v>
      </c>
      <c r="CO62">
        <v>5612.0</v>
      </c>
      <c r="CP62">
        <v>5673.0</v>
      </c>
      <c r="CQ62">
        <v>5734.0</v>
      </c>
      <c r="CR62">
        <v>5795.0</v>
      </c>
      <c r="CS62">
        <v>5856.0</v>
      </c>
      <c r="CT62">
        <v>5917.0</v>
      </c>
      <c r="CU62">
        <v>5978.0</v>
      </c>
      <c r="CV62">
        <v>6039.0</v>
      </c>
      <c r="CW62">
        <v>6100.0</v>
      </c>
      <c r="CX62">
        <v>6161.0</v>
      </c>
      <c r="CY62">
        <v>6222.0</v>
      </c>
      <c r="CZ62">
        <v>6283.0</v>
      </c>
    </row>
    <row r="63" ht="19.5" customHeight="1">
      <c r="A63" s="2">
        <v>62.0</v>
      </c>
      <c r="B63" s="13">
        <v>62.0</v>
      </c>
      <c r="C63" s="13">
        <v>124.0</v>
      </c>
      <c r="D63">
        <v>186.0</v>
      </c>
      <c r="E63">
        <v>248.0</v>
      </c>
      <c r="F63">
        <v>310.0</v>
      </c>
      <c r="G63">
        <v>372.0</v>
      </c>
      <c r="H63">
        <v>434.0</v>
      </c>
      <c r="I63">
        <v>496.0</v>
      </c>
      <c r="J63">
        <v>558.0</v>
      </c>
      <c r="K63">
        <v>620.0</v>
      </c>
      <c r="L63">
        <v>682.0</v>
      </c>
      <c r="M63">
        <v>744.0</v>
      </c>
      <c r="N63">
        <v>806.0</v>
      </c>
      <c r="O63">
        <v>868.0</v>
      </c>
      <c r="P63">
        <v>930.0</v>
      </c>
      <c r="Q63">
        <v>992.0</v>
      </c>
      <c r="R63">
        <v>1054.0</v>
      </c>
      <c r="S63">
        <v>1116.0</v>
      </c>
      <c r="T63">
        <v>1178.0</v>
      </c>
      <c r="U63">
        <v>1240.0</v>
      </c>
      <c r="V63">
        <v>1302.0</v>
      </c>
      <c r="W63">
        <v>1364.0</v>
      </c>
      <c r="X63">
        <v>1426.0</v>
      </c>
      <c r="Y63">
        <v>1488.0</v>
      </c>
      <c r="Z63">
        <v>1550.0</v>
      </c>
      <c r="AA63">
        <v>1612.0</v>
      </c>
      <c r="AB63">
        <v>1674.0</v>
      </c>
      <c r="AC63">
        <v>1736.0</v>
      </c>
      <c r="AD63">
        <v>1798.0</v>
      </c>
      <c r="AE63">
        <v>1860.0</v>
      </c>
      <c r="AF63">
        <v>1922.0</v>
      </c>
      <c r="AG63">
        <v>1984.0</v>
      </c>
      <c r="AH63">
        <v>2046.0</v>
      </c>
      <c r="AI63">
        <v>2108.0</v>
      </c>
      <c r="AJ63">
        <v>2170.0</v>
      </c>
      <c r="AK63">
        <v>2232.0</v>
      </c>
      <c r="AL63">
        <v>2294.0</v>
      </c>
      <c r="AM63">
        <v>2356.0</v>
      </c>
      <c r="AN63">
        <v>2418.0</v>
      </c>
      <c r="AO63">
        <v>2480.0</v>
      </c>
      <c r="AP63">
        <v>2542.0</v>
      </c>
      <c r="AQ63">
        <v>2604.0</v>
      </c>
      <c r="AR63">
        <v>2666.0</v>
      </c>
      <c r="AS63">
        <v>2728.0</v>
      </c>
      <c r="AT63">
        <v>2790.0</v>
      </c>
      <c r="AU63">
        <v>2852.0</v>
      </c>
      <c r="AV63">
        <v>2914.0</v>
      </c>
      <c r="AW63">
        <v>2976.0</v>
      </c>
      <c r="AX63">
        <v>3038.0</v>
      </c>
      <c r="AY63">
        <v>3100.0</v>
      </c>
      <c r="AZ63">
        <v>3162.0</v>
      </c>
      <c r="BA63">
        <v>3224.0</v>
      </c>
      <c r="BB63">
        <v>3286.0</v>
      </c>
      <c r="BC63">
        <v>3348.0</v>
      </c>
      <c r="BD63">
        <v>3410.0</v>
      </c>
      <c r="BE63">
        <v>3472.0</v>
      </c>
      <c r="BF63">
        <v>3534.0</v>
      </c>
      <c r="BG63">
        <v>3596.0</v>
      </c>
      <c r="BH63">
        <v>3658.0</v>
      </c>
      <c r="BI63">
        <v>3720.0</v>
      </c>
      <c r="BJ63">
        <v>3782.0</v>
      </c>
      <c r="BK63">
        <v>3844.0</v>
      </c>
      <c r="BL63">
        <v>3906.0</v>
      </c>
      <c r="BM63">
        <v>3968.0</v>
      </c>
      <c r="BN63">
        <v>4030.0</v>
      </c>
      <c r="BO63">
        <v>4092.0</v>
      </c>
      <c r="BP63">
        <v>4154.0</v>
      </c>
      <c r="BQ63">
        <v>4216.0</v>
      </c>
      <c r="BR63">
        <v>4278.0</v>
      </c>
      <c r="BS63">
        <v>4340.0</v>
      </c>
      <c r="BT63">
        <v>4402.0</v>
      </c>
      <c r="BU63">
        <v>4464.0</v>
      </c>
      <c r="BV63">
        <v>4526.0</v>
      </c>
      <c r="BW63">
        <v>4588.0</v>
      </c>
      <c r="BX63">
        <v>4650.0</v>
      </c>
      <c r="BY63">
        <v>4712.0</v>
      </c>
      <c r="BZ63">
        <v>4774.0</v>
      </c>
      <c r="CA63">
        <v>4836.0</v>
      </c>
      <c r="CB63">
        <v>4898.0</v>
      </c>
      <c r="CC63">
        <v>4960.0</v>
      </c>
      <c r="CD63">
        <v>5022.0</v>
      </c>
      <c r="CE63">
        <v>5084.0</v>
      </c>
      <c r="CF63">
        <v>5146.0</v>
      </c>
      <c r="CG63">
        <v>5208.0</v>
      </c>
      <c r="CH63">
        <v>5270.0</v>
      </c>
      <c r="CI63">
        <v>5332.0</v>
      </c>
      <c r="CJ63">
        <v>5394.0</v>
      </c>
      <c r="CK63">
        <v>5456.0</v>
      </c>
      <c r="CL63">
        <v>5518.0</v>
      </c>
      <c r="CM63">
        <v>5580.0</v>
      </c>
      <c r="CN63">
        <v>5642.0</v>
      </c>
      <c r="CO63">
        <v>5704.0</v>
      </c>
      <c r="CP63">
        <v>5766.0</v>
      </c>
      <c r="CQ63">
        <v>5828.0</v>
      </c>
      <c r="CR63">
        <v>5890.0</v>
      </c>
      <c r="CS63">
        <v>5952.0</v>
      </c>
      <c r="CT63">
        <v>6014.0</v>
      </c>
      <c r="CU63">
        <v>6076.0</v>
      </c>
      <c r="CV63">
        <v>6138.0</v>
      </c>
      <c r="CW63">
        <v>6200.0</v>
      </c>
      <c r="CX63">
        <v>6262.0</v>
      </c>
      <c r="CY63">
        <v>6324.0</v>
      </c>
      <c r="CZ63">
        <v>6386.0</v>
      </c>
    </row>
    <row r="64" ht="19.5" customHeight="1">
      <c r="A64" s="2">
        <v>63.0</v>
      </c>
      <c r="B64" s="13">
        <v>63.0</v>
      </c>
      <c r="C64" s="13">
        <v>126.0</v>
      </c>
      <c r="D64">
        <v>189.0</v>
      </c>
      <c r="E64">
        <v>252.0</v>
      </c>
      <c r="F64">
        <v>315.0</v>
      </c>
      <c r="G64">
        <v>378.0</v>
      </c>
      <c r="H64">
        <v>441.0</v>
      </c>
      <c r="I64">
        <v>504.0</v>
      </c>
      <c r="J64">
        <v>567.0</v>
      </c>
      <c r="K64">
        <v>630.0</v>
      </c>
      <c r="L64">
        <v>693.0</v>
      </c>
      <c r="M64">
        <v>756.0</v>
      </c>
      <c r="N64">
        <v>819.0</v>
      </c>
      <c r="O64">
        <v>882.0</v>
      </c>
      <c r="P64">
        <v>945.0</v>
      </c>
      <c r="Q64">
        <v>1008.0</v>
      </c>
      <c r="R64">
        <v>1071.0</v>
      </c>
      <c r="S64">
        <v>1134.0</v>
      </c>
      <c r="T64">
        <v>1197.0</v>
      </c>
      <c r="U64">
        <v>1260.0</v>
      </c>
      <c r="V64">
        <v>1323.0</v>
      </c>
      <c r="W64">
        <v>1386.0</v>
      </c>
      <c r="X64">
        <v>1449.0</v>
      </c>
      <c r="Y64">
        <v>1512.0</v>
      </c>
      <c r="Z64">
        <v>1575.0</v>
      </c>
      <c r="AA64">
        <v>1638.0</v>
      </c>
      <c r="AB64">
        <v>1701.0</v>
      </c>
      <c r="AC64">
        <v>1764.0</v>
      </c>
      <c r="AD64">
        <v>1827.0</v>
      </c>
      <c r="AE64">
        <v>1890.0</v>
      </c>
      <c r="AF64">
        <v>1953.0</v>
      </c>
      <c r="AG64">
        <v>2016.0</v>
      </c>
      <c r="AH64">
        <v>2079.0</v>
      </c>
      <c r="AI64">
        <v>2142.0</v>
      </c>
      <c r="AJ64">
        <v>2205.0</v>
      </c>
      <c r="AK64">
        <v>2268.0</v>
      </c>
      <c r="AL64">
        <v>2331.0</v>
      </c>
      <c r="AM64">
        <v>2394.0</v>
      </c>
      <c r="AN64">
        <v>2457.0</v>
      </c>
      <c r="AO64">
        <v>2520.0</v>
      </c>
      <c r="AP64">
        <v>2583.0</v>
      </c>
      <c r="AQ64">
        <v>2646.0</v>
      </c>
      <c r="AR64">
        <v>2709.0</v>
      </c>
      <c r="AS64">
        <v>2772.0</v>
      </c>
      <c r="AT64">
        <v>2835.0</v>
      </c>
      <c r="AU64">
        <v>2898.0</v>
      </c>
      <c r="AV64">
        <v>2961.0</v>
      </c>
      <c r="AW64">
        <v>3024.0</v>
      </c>
      <c r="AX64">
        <v>3087.0</v>
      </c>
      <c r="AY64">
        <v>3150.0</v>
      </c>
      <c r="AZ64">
        <v>3213.0</v>
      </c>
      <c r="BA64">
        <v>3276.0</v>
      </c>
      <c r="BB64">
        <v>3339.0</v>
      </c>
      <c r="BC64">
        <v>3402.0</v>
      </c>
      <c r="BD64">
        <v>3465.0</v>
      </c>
      <c r="BE64">
        <v>3528.0</v>
      </c>
      <c r="BF64">
        <v>3591.0</v>
      </c>
      <c r="BG64">
        <v>3654.0</v>
      </c>
      <c r="BH64">
        <v>3717.0</v>
      </c>
      <c r="BI64">
        <v>3780.0</v>
      </c>
      <c r="BJ64">
        <v>3843.0</v>
      </c>
      <c r="BK64">
        <v>3906.0</v>
      </c>
      <c r="BL64">
        <v>3969.0</v>
      </c>
      <c r="BM64">
        <v>4032.0</v>
      </c>
      <c r="BN64">
        <v>4095.0</v>
      </c>
      <c r="BO64">
        <v>4158.0</v>
      </c>
      <c r="BP64">
        <v>4221.0</v>
      </c>
      <c r="BQ64">
        <v>4284.0</v>
      </c>
      <c r="BR64">
        <v>4347.0</v>
      </c>
      <c r="BS64">
        <v>4410.0</v>
      </c>
      <c r="BT64">
        <v>4473.0</v>
      </c>
      <c r="BU64">
        <v>4536.0</v>
      </c>
      <c r="BV64">
        <v>4599.0</v>
      </c>
      <c r="BW64">
        <v>4662.0</v>
      </c>
      <c r="BX64">
        <v>4725.0</v>
      </c>
      <c r="BY64">
        <v>4788.0</v>
      </c>
      <c r="BZ64">
        <v>4851.0</v>
      </c>
      <c r="CA64">
        <v>4914.0</v>
      </c>
      <c r="CB64">
        <v>4977.0</v>
      </c>
      <c r="CC64">
        <v>5040.0</v>
      </c>
      <c r="CD64">
        <v>5103.0</v>
      </c>
      <c r="CE64">
        <v>5166.0</v>
      </c>
      <c r="CF64">
        <v>5229.0</v>
      </c>
      <c r="CG64">
        <v>5292.0</v>
      </c>
      <c r="CH64">
        <v>5355.0</v>
      </c>
      <c r="CI64">
        <v>5418.0</v>
      </c>
      <c r="CJ64">
        <v>5481.0</v>
      </c>
      <c r="CK64">
        <v>5544.0</v>
      </c>
      <c r="CL64">
        <v>5607.0</v>
      </c>
      <c r="CM64">
        <v>5670.0</v>
      </c>
      <c r="CN64">
        <v>5733.0</v>
      </c>
      <c r="CO64">
        <v>5796.0</v>
      </c>
      <c r="CP64">
        <v>5859.0</v>
      </c>
      <c r="CQ64">
        <v>5922.0</v>
      </c>
      <c r="CR64">
        <v>5985.0</v>
      </c>
      <c r="CS64">
        <v>6048.0</v>
      </c>
      <c r="CT64">
        <v>6111.0</v>
      </c>
      <c r="CU64">
        <v>6174.0</v>
      </c>
      <c r="CV64">
        <v>6237.0</v>
      </c>
      <c r="CW64">
        <v>6300.0</v>
      </c>
      <c r="CX64">
        <v>6363.0</v>
      </c>
      <c r="CY64">
        <v>6426.0</v>
      </c>
      <c r="CZ64">
        <v>6489.0</v>
      </c>
    </row>
    <row r="65" ht="19.5" customHeight="1">
      <c r="A65" s="2">
        <v>64.0</v>
      </c>
      <c r="B65" s="13">
        <v>64.0</v>
      </c>
      <c r="C65">
        <v>128.0</v>
      </c>
      <c r="D65">
        <v>192.0</v>
      </c>
      <c r="E65">
        <v>256.0</v>
      </c>
      <c r="F65">
        <v>320.0</v>
      </c>
      <c r="G65">
        <v>384.0</v>
      </c>
      <c r="H65">
        <v>448.0</v>
      </c>
      <c r="I65">
        <v>512.0</v>
      </c>
      <c r="J65">
        <v>576.0</v>
      </c>
      <c r="K65">
        <v>640.0</v>
      </c>
      <c r="L65">
        <v>704.0</v>
      </c>
      <c r="M65">
        <v>768.0</v>
      </c>
      <c r="N65">
        <v>832.0</v>
      </c>
      <c r="O65">
        <v>896.0</v>
      </c>
      <c r="P65">
        <v>960.0</v>
      </c>
      <c r="Q65">
        <v>1024.0</v>
      </c>
      <c r="R65">
        <v>1088.0</v>
      </c>
      <c r="S65">
        <v>1152.0</v>
      </c>
      <c r="T65">
        <v>1216.0</v>
      </c>
      <c r="U65">
        <v>1280.0</v>
      </c>
      <c r="V65">
        <v>1344.0</v>
      </c>
      <c r="W65">
        <v>1408.0</v>
      </c>
      <c r="X65">
        <v>1472.0</v>
      </c>
      <c r="Y65">
        <v>1536.0</v>
      </c>
      <c r="Z65">
        <v>1600.0</v>
      </c>
      <c r="AA65">
        <v>1664.0</v>
      </c>
      <c r="AB65">
        <v>1728.0</v>
      </c>
      <c r="AC65">
        <v>1792.0</v>
      </c>
      <c r="AD65">
        <v>1856.0</v>
      </c>
      <c r="AE65">
        <v>1920.0</v>
      </c>
      <c r="AF65">
        <v>1984.0</v>
      </c>
      <c r="AG65">
        <v>2048.0</v>
      </c>
      <c r="AH65">
        <v>2112.0</v>
      </c>
      <c r="AI65">
        <v>2176.0</v>
      </c>
      <c r="AJ65">
        <v>2240.0</v>
      </c>
      <c r="AK65">
        <v>2304.0</v>
      </c>
      <c r="AL65">
        <v>2368.0</v>
      </c>
      <c r="AM65">
        <v>2432.0</v>
      </c>
      <c r="AN65">
        <v>2496.0</v>
      </c>
      <c r="AO65">
        <v>2560.0</v>
      </c>
      <c r="AP65">
        <v>2624.0</v>
      </c>
      <c r="AQ65">
        <v>2688.0</v>
      </c>
      <c r="AR65">
        <v>2752.0</v>
      </c>
      <c r="AS65">
        <v>2816.0</v>
      </c>
      <c r="AT65">
        <v>2880.0</v>
      </c>
      <c r="AU65">
        <v>2944.0</v>
      </c>
      <c r="AV65">
        <v>3008.0</v>
      </c>
      <c r="AW65">
        <v>3072.0</v>
      </c>
      <c r="AX65">
        <v>3136.0</v>
      </c>
      <c r="AY65">
        <v>3200.0</v>
      </c>
      <c r="AZ65">
        <v>3264.0</v>
      </c>
      <c r="BA65">
        <v>3328.0</v>
      </c>
      <c r="BB65">
        <v>3392.0</v>
      </c>
      <c r="BC65">
        <v>3456.0</v>
      </c>
      <c r="BD65">
        <v>3520.0</v>
      </c>
      <c r="BE65">
        <v>3584.0</v>
      </c>
      <c r="BF65">
        <v>3648.0</v>
      </c>
      <c r="BG65">
        <v>3712.0</v>
      </c>
      <c r="BH65">
        <v>3776.0</v>
      </c>
      <c r="BI65">
        <v>3840.0</v>
      </c>
      <c r="BJ65">
        <v>3904.0</v>
      </c>
      <c r="BK65">
        <v>3968.0</v>
      </c>
      <c r="BL65">
        <v>4032.0</v>
      </c>
      <c r="BM65">
        <v>4096.0</v>
      </c>
      <c r="BN65">
        <v>4160.0</v>
      </c>
      <c r="BO65">
        <v>4224.0</v>
      </c>
      <c r="BP65">
        <v>4288.0</v>
      </c>
      <c r="BQ65">
        <v>4352.0</v>
      </c>
      <c r="BR65">
        <v>4416.0</v>
      </c>
      <c r="BS65">
        <v>4480.0</v>
      </c>
      <c r="BT65">
        <v>4544.0</v>
      </c>
      <c r="BU65">
        <v>4608.0</v>
      </c>
      <c r="BV65">
        <v>4672.0</v>
      </c>
      <c r="BW65">
        <v>4736.0</v>
      </c>
      <c r="BX65">
        <v>4800.0</v>
      </c>
      <c r="BY65">
        <v>4864.0</v>
      </c>
      <c r="BZ65">
        <v>4928.0</v>
      </c>
      <c r="CA65">
        <v>4992.0</v>
      </c>
      <c r="CB65">
        <v>5056.0</v>
      </c>
      <c r="CC65">
        <v>5120.0</v>
      </c>
      <c r="CD65">
        <v>5184.0</v>
      </c>
      <c r="CE65">
        <v>5248.0</v>
      </c>
      <c r="CF65">
        <v>5312.0</v>
      </c>
      <c r="CG65">
        <v>5376.0</v>
      </c>
      <c r="CH65">
        <v>5440.0</v>
      </c>
      <c r="CI65">
        <v>5504.0</v>
      </c>
      <c r="CJ65">
        <v>5568.0</v>
      </c>
      <c r="CK65">
        <v>5632.0</v>
      </c>
      <c r="CL65">
        <v>5696.0</v>
      </c>
      <c r="CM65">
        <v>5760.0</v>
      </c>
      <c r="CN65">
        <v>5824.0</v>
      </c>
      <c r="CO65">
        <v>5888.0</v>
      </c>
      <c r="CP65">
        <v>5952.0</v>
      </c>
      <c r="CQ65">
        <v>6016.0</v>
      </c>
      <c r="CR65">
        <v>6080.0</v>
      </c>
      <c r="CS65">
        <v>6144.0</v>
      </c>
      <c r="CT65">
        <v>6208.0</v>
      </c>
      <c r="CU65">
        <v>6272.0</v>
      </c>
      <c r="CV65">
        <v>6336.0</v>
      </c>
      <c r="CW65">
        <v>6400.0</v>
      </c>
      <c r="CX65">
        <v>6464.0</v>
      </c>
      <c r="CY65">
        <v>6528.0</v>
      </c>
      <c r="CZ65">
        <v>6592.0</v>
      </c>
    </row>
    <row r="66" ht="19.5" customHeight="1">
      <c r="A66" s="2">
        <v>65.0</v>
      </c>
      <c r="B66">
        <v>65.0</v>
      </c>
      <c r="C66">
        <v>130.0</v>
      </c>
      <c r="D66">
        <v>195.0</v>
      </c>
      <c r="E66">
        <v>260.0</v>
      </c>
      <c r="F66">
        <v>325.0</v>
      </c>
      <c r="G66">
        <v>390.0</v>
      </c>
      <c r="H66">
        <v>455.0</v>
      </c>
      <c r="I66">
        <v>520.0</v>
      </c>
      <c r="J66">
        <v>585.0</v>
      </c>
      <c r="K66">
        <v>650.0</v>
      </c>
      <c r="L66">
        <v>715.0</v>
      </c>
      <c r="M66">
        <v>780.0</v>
      </c>
      <c r="N66">
        <v>845.0</v>
      </c>
      <c r="O66">
        <v>910.0</v>
      </c>
      <c r="P66">
        <v>975.0</v>
      </c>
      <c r="Q66">
        <v>1040.0</v>
      </c>
      <c r="R66">
        <v>1105.0</v>
      </c>
      <c r="S66">
        <v>1170.0</v>
      </c>
      <c r="T66">
        <v>1235.0</v>
      </c>
      <c r="U66">
        <v>1300.0</v>
      </c>
      <c r="V66">
        <v>1365.0</v>
      </c>
      <c r="W66">
        <v>1430.0</v>
      </c>
      <c r="X66">
        <v>1495.0</v>
      </c>
      <c r="Y66">
        <v>1560.0</v>
      </c>
      <c r="Z66">
        <v>1625.0</v>
      </c>
      <c r="AA66">
        <v>1690.0</v>
      </c>
      <c r="AB66">
        <v>1755.0</v>
      </c>
      <c r="AC66">
        <v>1820.0</v>
      </c>
      <c r="AD66">
        <v>1885.0</v>
      </c>
      <c r="AE66">
        <v>1950.0</v>
      </c>
      <c r="AF66">
        <v>2015.0</v>
      </c>
      <c r="AG66">
        <v>2080.0</v>
      </c>
      <c r="AH66">
        <v>2145.0</v>
      </c>
      <c r="AI66">
        <v>2210.0</v>
      </c>
      <c r="AJ66">
        <v>2275.0</v>
      </c>
      <c r="AK66">
        <v>2340.0</v>
      </c>
      <c r="AL66">
        <v>2405.0</v>
      </c>
      <c r="AM66">
        <v>2470.0</v>
      </c>
      <c r="AN66">
        <v>2535.0</v>
      </c>
      <c r="AO66">
        <v>2600.0</v>
      </c>
      <c r="AP66">
        <v>2665.0</v>
      </c>
      <c r="AQ66">
        <v>2730.0</v>
      </c>
      <c r="AR66">
        <v>2795.0</v>
      </c>
      <c r="AS66">
        <v>2860.0</v>
      </c>
      <c r="AT66">
        <v>2925.0</v>
      </c>
      <c r="AU66">
        <v>2990.0</v>
      </c>
      <c r="AV66">
        <v>3055.0</v>
      </c>
      <c r="AW66">
        <v>3120.0</v>
      </c>
      <c r="AX66">
        <v>3185.0</v>
      </c>
      <c r="AY66">
        <v>3250.0</v>
      </c>
      <c r="AZ66">
        <v>3315.0</v>
      </c>
      <c r="BA66">
        <v>3380.0</v>
      </c>
      <c r="BB66">
        <v>3445.0</v>
      </c>
      <c r="BC66">
        <v>3510.0</v>
      </c>
      <c r="BD66">
        <v>3575.0</v>
      </c>
      <c r="BE66">
        <v>3640.0</v>
      </c>
      <c r="BF66">
        <v>3705.0</v>
      </c>
      <c r="BG66">
        <v>3770.0</v>
      </c>
      <c r="BH66">
        <v>3835.0</v>
      </c>
      <c r="BI66">
        <v>3900.0</v>
      </c>
      <c r="BJ66">
        <v>3965.0</v>
      </c>
      <c r="BK66">
        <v>4030.0</v>
      </c>
      <c r="BL66">
        <v>4095.0</v>
      </c>
      <c r="BM66">
        <v>4160.0</v>
      </c>
      <c r="BN66">
        <v>4225.0</v>
      </c>
      <c r="BO66">
        <v>4290.0</v>
      </c>
      <c r="BP66">
        <v>4355.0</v>
      </c>
      <c r="BQ66">
        <v>4420.0</v>
      </c>
      <c r="BR66">
        <v>4485.0</v>
      </c>
      <c r="BS66">
        <v>4550.0</v>
      </c>
      <c r="BT66">
        <v>4615.0</v>
      </c>
      <c r="BU66">
        <v>4680.0</v>
      </c>
      <c r="BV66">
        <v>4745.0</v>
      </c>
      <c r="BW66">
        <v>4810.0</v>
      </c>
      <c r="BX66">
        <v>4875.0</v>
      </c>
      <c r="BY66">
        <v>4940.0</v>
      </c>
      <c r="BZ66">
        <v>5005.0</v>
      </c>
      <c r="CA66">
        <v>5070.0</v>
      </c>
      <c r="CB66">
        <v>5135.0</v>
      </c>
      <c r="CC66">
        <v>5200.0</v>
      </c>
      <c r="CD66">
        <v>5265.0</v>
      </c>
      <c r="CE66">
        <v>5330.0</v>
      </c>
      <c r="CF66">
        <v>5395.0</v>
      </c>
      <c r="CG66">
        <v>5460.0</v>
      </c>
      <c r="CH66">
        <v>5525.0</v>
      </c>
      <c r="CI66">
        <v>5590.0</v>
      </c>
      <c r="CJ66">
        <v>5655.0</v>
      </c>
      <c r="CK66">
        <v>5720.0</v>
      </c>
      <c r="CL66">
        <v>5785.0</v>
      </c>
      <c r="CM66">
        <v>5850.0</v>
      </c>
      <c r="CN66">
        <v>5915.0</v>
      </c>
      <c r="CO66">
        <v>5980.0</v>
      </c>
      <c r="CP66">
        <v>6045.0</v>
      </c>
      <c r="CQ66">
        <v>6110.0</v>
      </c>
      <c r="CR66">
        <v>6175.0</v>
      </c>
      <c r="CS66">
        <v>6240.0</v>
      </c>
      <c r="CT66">
        <v>6305.0</v>
      </c>
      <c r="CU66">
        <v>6370.0</v>
      </c>
      <c r="CV66">
        <v>6435.0</v>
      </c>
      <c r="CW66">
        <v>6500.0</v>
      </c>
      <c r="CX66">
        <v>6565.0</v>
      </c>
      <c r="CY66">
        <v>6630.0</v>
      </c>
      <c r="CZ66">
        <v>6695.0</v>
      </c>
    </row>
    <row r="67" ht="19.5" customHeight="1">
      <c r="A67" s="2">
        <v>66.0</v>
      </c>
      <c r="B67">
        <v>66.0</v>
      </c>
      <c r="C67">
        <v>132.0</v>
      </c>
      <c r="D67">
        <v>198.0</v>
      </c>
      <c r="E67">
        <v>264.0</v>
      </c>
      <c r="F67">
        <v>330.0</v>
      </c>
      <c r="G67">
        <v>396.0</v>
      </c>
      <c r="H67">
        <v>462.0</v>
      </c>
      <c r="I67">
        <v>528.0</v>
      </c>
      <c r="J67">
        <v>594.0</v>
      </c>
      <c r="K67">
        <v>660.0</v>
      </c>
      <c r="L67">
        <v>726.0</v>
      </c>
      <c r="M67">
        <v>792.0</v>
      </c>
      <c r="N67">
        <v>858.0</v>
      </c>
      <c r="O67">
        <v>924.0</v>
      </c>
      <c r="P67">
        <v>990.0</v>
      </c>
      <c r="Q67">
        <v>1056.0</v>
      </c>
      <c r="R67">
        <v>1122.0</v>
      </c>
      <c r="S67">
        <v>1188.0</v>
      </c>
      <c r="T67">
        <v>1254.0</v>
      </c>
      <c r="U67">
        <v>1320.0</v>
      </c>
      <c r="V67">
        <v>1386.0</v>
      </c>
      <c r="W67">
        <v>1452.0</v>
      </c>
      <c r="X67">
        <v>1518.0</v>
      </c>
      <c r="Y67">
        <v>1584.0</v>
      </c>
      <c r="Z67">
        <v>1650.0</v>
      </c>
      <c r="AA67">
        <v>1716.0</v>
      </c>
      <c r="AB67">
        <v>1782.0</v>
      </c>
      <c r="AC67">
        <v>1848.0</v>
      </c>
      <c r="AD67">
        <v>1914.0</v>
      </c>
      <c r="AE67">
        <v>1980.0</v>
      </c>
      <c r="AF67">
        <v>2046.0</v>
      </c>
      <c r="AG67">
        <v>2112.0</v>
      </c>
      <c r="AH67">
        <v>2178.0</v>
      </c>
      <c r="AI67">
        <v>2244.0</v>
      </c>
      <c r="AJ67">
        <v>2310.0</v>
      </c>
      <c r="AK67">
        <v>2376.0</v>
      </c>
      <c r="AL67">
        <v>2442.0</v>
      </c>
      <c r="AM67">
        <v>2508.0</v>
      </c>
      <c r="AN67">
        <v>2574.0</v>
      </c>
      <c r="AO67">
        <v>2640.0</v>
      </c>
      <c r="AP67">
        <v>2706.0</v>
      </c>
      <c r="AQ67">
        <v>2772.0</v>
      </c>
      <c r="AR67">
        <v>2838.0</v>
      </c>
      <c r="AS67">
        <v>2904.0</v>
      </c>
      <c r="AT67">
        <v>2970.0</v>
      </c>
      <c r="AU67">
        <v>3036.0</v>
      </c>
      <c r="AV67">
        <v>3102.0</v>
      </c>
      <c r="AW67">
        <v>3168.0</v>
      </c>
      <c r="AX67">
        <v>3234.0</v>
      </c>
      <c r="AY67">
        <v>3300.0</v>
      </c>
      <c r="AZ67">
        <v>3366.0</v>
      </c>
      <c r="BA67">
        <v>3432.0</v>
      </c>
      <c r="BB67">
        <v>3498.0</v>
      </c>
      <c r="BC67">
        <v>3564.0</v>
      </c>
      <c r="BD67">
        <v>3630.0</v>
      </c>
      <c r="BE67">
        <v>3696.0</v>
      </c>
      <c r="BF67">
        <v>3762.0</v>
      </c>
      <c r="BG67">
        <v>3828.0</v>
      </c>
      <c r="BH67">
        <v>3894.0</v>
      </c>
      <c r="BI67">
        <v>3960.0</v>
      </c>
      <c r="BJ67">
        <v>4026.0</v>
      </c>
      <c r="BK67">
        <v>4092.0</v>
      </c>
      <c r="BL67">
        <v>4158.0</v>
      </c>
      <c r="BM67">
        <v>4224.0</v>
      </c>
      <c r="BN67">
        <v>4290.0</v>
      </c>
      <c r="BO67">
        <v>4356.0</v>
      </c>
      <c r="BP67">
        <v>4422.0</v>
      </c>
      <c r="BQ67">
        <v>4488.0</v>
      </c>
      <c r="BR67">
        <v>4554.0</v>
      </c>
      <c r="BS67">
        <v>4620.0</v>
      </c>
      <c r="BT67">
        <v>4686.0</v>
      </c>
      <c r="BU67">
        <v>4752.0</v>
      </c>
      <c r="BV67">
        <v>4818.0</v>
      </c>
      <c r="BW67">
        <v>4884.0</v>
      </c>
      <c r="BX67">
        <v>4950.0</v>
      </c>
      <c r="BY67">
        <v>5016.0</v>
      </c>
      <c r="BZ67">
        <v>5082.0</v>
      </c>
      <c r="CA67">
        <v>5148.0</v>
      </c>
      <c r="CB67">
        <v>5214.0</v>
      </c>
      <c r="CC67">
        <v>5280.0</v>
      </c>
      <c r="CD67">
        <v>5346.0</v>
      </c>
      <c r="CE67">
        <v>5412.0</v>
      </c>
      <c r="CF67">
        <v>5478.0</v>
      </c>
      <c r="CG67">
        <v>5544.0</v>
      </c>
      <c r="CH67">
        <v>5610.0</v>
      </c>
      <c r="CI67">
        <v>5676.0</v>
      </c>
      <c r="CJ67">
        <v>5742.0</v>
      </c>
      <c r="CK67">
        <v>5808.0</v>
      </c>
      <c r="CL67">
        <v>5874.0</v>
      </c>
      <c r="CM67">
        <v>5940.0</v>
      </c>
      <c r="CN67">
        <v>6006.0</v>
      </c>
      <c r="CO67">
        <v>6072.0</v>
      </c>
      <c r="CP67">
        <v>6138.0</v>
      </c>
      <c r="CQ67">
        <v>6204.0</v>
      </c>
      <c r="CR67">
        <v>6270.0</v>
      </c>
      <c r="CS67">
        <v>6336.0</v>
      </c>
      <c r="CT67">
        <v>6402.0</v>
      </c>
      <c r="CU67">
        <v>6468.0</v>
      </c>
      <c r="CV67">
        <v>6534.0</v>
      </c>
      <c r="CW67">
        <v>6600.0</v>
      </c>
      <c r="CX67">
        <v>6666.0</v>
      </c>
      <c r="CY67">
        <v>6732.0</v>
      </c>
      <c r="CZ67">
        <v>6798.0</v>
      </c>
    </row>
    <row r="68" ht="19.5" customHeight="1">
      <c r="A68" s="2">
        <v>67.0</v>
      </c>
      <c r="B68">
        <v>67.0</v>
      </c>
      <c r="C68">
        <v>134.0</v>
      </c>
      <c r="D68">
        <v>201.0</v>
      </c>
      <c r="E68">
        <v>268.0</v>
      </c>
      <c r="F68">
        <v>335.0</v>
      </c>
      <c r="G68">
        <v>402.0</v>
      </c>
      <c r="H68">
        <v>469.0</v>
      </c>
      <c r="I68">
        <v>536.0</v>
      </c>
      <c r="J68">
        <v>603.0</v>
      </c>
      <c r="K68">
        <v>670.0</v>
      </c>
      <c r="L68">
        <v>737.0</v>
      </c>
      <c r="M68">
        <v>804.0</v>
      </c>
      <c r="N68">
        <v>871.0</v>
      </c>
      <c r="O68">
        <v>938.0</v>
      </c>
      <c r="P68">
        <v>1005.0</v>
      </c>
      <c r="Q68">
        <v>1072.0</v>
      </c>
      <c r="R68">
        <v>1139.0</v>
      </c>
      <c r="S68">
        <v>1206.0</v>
      </c>
      <c r="T68">
        <v>1273.0</v>
      </c>
      <c r="U68">
        <v>1340.0</v>
      </c>
      <c r="V68">
        <v>1407.0</v>
      </c>
      <c r="W68">
        <v>1474.0</v>
      </c>
      <c r="X68">
        <v>1541.0</v>
      </c>
      <c r="Y68">
        <v>1608.0</v>
      </c>
      <c r="Z68">
        <v>1675.0</v>
      </c>
      <c r="AA68">
        <v>1742.0</v>
      </c>
      <c r="AB68">
        <v>1809.0</v>
      </c>
      <c r="AC68">
        <v>1876.0</v>
      </c>
      <c r="AD68">
        <v>1943.0</v>
      </c>
      <c r="AE68">
        <v>2010.0</v>
      </c>
      <c r="AF68">
        <v>2077.0</v>
      </c>
      <c r="AG68">
        <v>2144.0</v>
      </c>
      <c r="AH68">
        <v>2211.0</v>
      </c>
      <c r="AI68">
        <v>2278.0</v>
      </c>
      <c r="AJ68">
        <v>2345.0</v>
      </c>
      <c r="AK68">
        <v>2412.0</v>
      </c>
      <c r="AL68">
        <v>2479.0</v>
      </c>
      <c r="AM68">
        <v>2546.0</v>
      </c>
      <c r="AN68">
        <v>2613.0</v>
      </c>
      <c r="AO68">
        <v>2680.0</v>
      </c>
      <c r="AP68">
        <v>2747.0</v>
      </c>
      <c r="AQ68">
        <v>2814.0</v>
      </c>
      <c r="AR68">
        <v>2881.0</v>
      </c>
      <c r="AS68">
        <v>2948.0</v>
      </c>
      <c r="AT68">
        <v>3015.0</v>
      </c>
      <c r="AU68">
        <v>3082.0</v>
      </c>
      <c r="AV68">
        <v>3149.0</v>
      </c>
      <c r="AW68">
        <v>3216.0</v>
      </c>
      <c r="AX68">
        <v>3283.0</v>
      </c>
      <c r="AY68">
        <v>3350.0</v>
      </c>
      <c r="AZ68">
        <v>3417.0</v>
      </c>
      <c r="BA68">
        <v>3484.0</v>
      </c>
      <c r="BB68">
        <v>3551.0</v>
      </c>
      <c r="BC68">
        <v>3618.0</v>
      </c>
      <c r="BD68">
        <v>3685.0</v>
      </c>
      <c r="BE68">
        <v>3752.0</v>
      </c>
      <c r="BF68">
        <v>3819.0</v>
      </c>
      <c r="BG68">
        <v>3886.0</v>
      </c>
      <c r="BH68">
        <v>3953.0</v>
      </c>
      <c r="BI68">
        <v>4020.0</v>
      </c>
      <c r="BJ68">
        <v>4087.0</v>
      </c>
      <c r="BK68">
        <v>4154.0</v>
      </c>
      <c r="BL68">
        <v>4221.0</v>
      </c>
      <c r="BM68">
        <v>4288.0</v>
      </c>
      <c r="BN68">
        <v>4355.0</v>
      </c>
      <c r="BO68">
        <v>4422.0</v>
      </c>
      <c r="BP68">
        <v>4489.0</v>
      </c>
      <c r="BQ68">
        <v>4556.0</v>
      </c>
      <c r="BR68">
        <v>4623.0</v>
      </c>
      <c r="BS68">
        <v>4690.0</v>
      </c>
      <c r="BT68">
        <v>4757.0</v>
      </c>
      <c r="BU68">
        <v>4824.0</v>
      </c>
      <c r="BV68">
        <v>4891.0</v>
      </c>
      <c r="BW68">
        <v>4958.0</v>
      </c>
      <c r="BX68">
        <v>5025.0</v>
      </c>
      <c r="BY68">
        <v>5092.0</v>
      </c>
      <c r="BZ68">
        <v>5159.0</v>
      </c>
      <c r="CA68">
        <v>5226.0</v>
      </c>
      <c r="CB68">
        <v>5293.0</v>
      </c>
      <c r="CC68">
        <v>5360.0</v>
      </c>
      <c r="CD68">
        <v>5427.0</v>
      </c>
      <c r="CE68">
        <v>5494.0</v>
      </c>
      <c r="CF68">
        <v>5561.0</v>
      </c>
      <c r="CG68">
        <v>5628.0</v>
      </c>
      <c r="CH68">
        <v>5695.0</v>
      </c>
      <c r="CI68">
        <v>5762.0</v>
      </c>
      <c r="CJ68">
        <v>5829.0</v>
      </c>
      <c r="CK68">
        <v>5896.0</v>
      </c>
      <c r="CL68">
        <v>5963.0</v>
      </c>
      <c r="CM68">
        <v>6030.0</v>
      </c>
      <c r="CN68">
        <v>6097.0</v>
      </c>
      <c r="CO68">
        <v>6164.0</v>
      </c>
      <c r="CP68">
        <v>6231.0</v>
      </c>
      <c r="CQ68">
        <v>6298.0</v>
      </c>
      <c r="CR68">
        <v>6365.0</v>
      </c>
      <c r="CS68">
        <v>6432.0</v>
      </c>
      <c r="CT68">
        <v>6499.0</v>
      </c>
      <c r="CU68">
        <v>6566.0</v>
      </c>
      <c r="CV68">
        <v>6633.0</v>
      </c>
      <c r="CW68">
        <v>6700.0</v>
      </c>
      <c r="CX68">
        <v>6767.0</v>
      </c>
      <c r="CY68">
        <v>6834.0</v>
      </c>
      <c r="CZ68">
        <v>6901.0</v>
      </c>
    </row>
    <row r="69" ht="19.5" customHeight="1">
      <c r="A69" s="2">
        <v>68.0</v>
      </c>
      <c r="B69">
        <v>68.0</v>
      </c>
      <c r="C69">
        <v>136.0</v>
      </c>
      <c r="D69">
        <v>204.0</v>
      </c>
      <c r="E69">
        <v>272.0</v>
      </c>
      <c r="F69">
        <v>340.0</v>
      </c>
      <c r="G69">
        <v>408.0</v>
      </c>
      <c r="H69">
        <v>476.0</v>
      </c>
      <c r="I69">
        <v>544.0</v>
      </c>
      <c r="J69">
        <v>612.0</v>
      </c>
      <c r="K69">
        <v>680.0</v>
      </c>
      <c r="L69">
        <v>748.0</v>
      </c>
      <c r="M69">
        <v>816.0</v>
      </c>
      <c r="N69">
        <v>884.0</v>
      </c>
      <c r="O69">
        <v>952.0</v>
      </c>
      <c r="P69">
        <v>1020.0</v>
      </c>
      <c r="Q69">
        <v>1088.0</v>
      </c>
      <c r="R69">
        <v>1156.0</v>
      </c>
      <c r="S69">
        <v>1224.0</v>
      </c>
      <c r="T69">
        <v>1292.0</v>
      </c>
      <c r="U69">
        <v>1360.0</v>
      </c>
      <c r="V69">
        <v>1428.0</v>
      </c>
      <c r="W69">
        <v>1496.0</v>
      </c>
      <c r="X69">
        <v>1564.0</v>
      </c>
      <c r="Y69">
        <v>1632.0</v>
      </c>
      <c r="Z69">
        <v>1700.0</v>
      </c>
      <c r="AA69">
        <v>1768.0</v>
      </c>
      <c r="AB69">
        <v>1836.0</v>
      </c>
      <c r="AC69">
        <v>1904.0</v>
      </c>
      <c r="AD69">
        <v>1972.0</v>
      </c>
      <c r="AE69">
        <v>2040.0</v>
      </c>
      <c r="AF69">
        <v>2108.0</v>
      </c>
      <c r="AG69">
        <v>2176.0</v>
      </c>
      <c r="AH69">
        <v>2244.0</v>
      </c>
      <c r="AI69">
        <v>2312.0</v>
      </c>
      <c r="AJ69">
        <v>2380.0</v>
      </c>
      <c r="AK69">
        <v>2448.0</v>
      </c>
      <c r="AL69">
        <v>2516.0</v>
      </c>
      <c r="AM69">
        <v>2584.0</v>
      </c>
      <c r="AN69">
        <v>2652.0</v>
      </c>
      <c r="AO69">
        <v>2720.0</v>
      </c>
      <c r="AP69">
        <v>2788.0</v>
      </c>
      <c r="AQ69">
        <v>2856.0</v>
      </c>
      <c r="AR69">
        <v>2924.0</v>
      </c>
      <c r="AS69">
        <v>2992.0</v>
      </c>
      <c r="AT69">
        <v>3060.0</v>
      </c>
      <c r="AU69">
        <v>3128.0</v>
      </c>
      <c r="AV69">
        <v>3196.0</v>
      </c>
      <c r="AW69">
        <v>3264.0</v>
      </c>
      <c r="AX69">
        <v>3332.0</v>
      </c>
      <c r="AY69">
        <v>3400.0</v>
      </c>
      <c r="AZ69">
        <v>3468.0</v>
      </c>
      <c r="BA69">
        <v>3536.0</v>
      </c>
      <c r="BB69">
        <v>3604.0</v>
      </c>
      <c r="BC69">
        <v>3672.0</v>
      </c>
      <c r="BD69">
        <v>3740.0</v>
      </c>
      <c r="BE69">
        <v>3808.0</v>
      </c>
      <c r="BF69">
        <v>3876.0</v>
      </c>
      <c r="BG69">
        <v>3944.0</v>
      </c>
      <c r="BH69">
        <v>4012.0</v>
      </c>
      <c r="BI69">
        <v>4080.0</v>
      </c>
      <c r="BJ69">
        <v>4148.0</v>
      </c>
      <c r="BK69">
        <v>4216.0</v>
      </c>
      <c r="BL69">
        <v>4284.0</v>
      </c>
      <c r="BM69">
        <v>4352.0</v>
      </c>
      <c r="BN69">
        <v>4420.0</v>
      </c>
      <c r="BO69">
        <v>4488.0</v>
      </c>
      <c r="BP69">
        <v>4556.0</v>
      </c>
      <c r="BQ69">
        <v>4624.0</v>
      </c>
      <c r="BR69">
        <v>4692.0</v>
      </c>
      <c r="BS69">
        <v>4760.0</v>
      </c>
      <c r="BT69">
        <v>4828.0</v>
      </c>
      <c r="BU69">
        <v>4896.0</v>
      </c>
      <c r="BV69">
        <v>4964.0</v>
      </c>
      <c r="BW69">
        <v>5032.0</v>
      </c>
      <c r="BX69">
        <v>5100.0</v>
      </c>
      <c r="BY69">
        <v>5168.0</v>
      </c>
      <c r="BZ69">
        <v>5236.0</v>
      </c>
      <c r="CA69">
        <v>5304.0</v>
      </c>
      <c r="CB69">
        <v>5372.0</v>
      </c>
      <c r="CC69">
        <v>5440.0</v>
      </c>
      <c r="CD69">
        <v>5508.0</v>
      </c>
      <c r="CE69">
        <v>5576.0</v>
      </c>
      <c r="CF69">
        <v>5644.0</v>
      </c>
      <c r="CG69">
        <v>5712.0</v>
      </c>
      <c r="CH69">
        <v>5780.0</v>
      </c>
      <c r="CI69">
        <v>5848.0</v>
      </c>
      <c r="CJ69">
        <v>5916.0</v>
      </c>
      <c r="CK69">
        <v>5984.0</v>
      </c>
      <c r="CL69">
        <v>6052.0</v>
      </c>
      <c r="CM69">
        <v>6120.0</v>
      </c>
      <c r="CN69">
        <v>6188.0</v>
      </c>
      <c r="CO69">
        <v>6256.0</v>
      </c>
      <c r="CP69">
        <v>6324.0</v>
      </c>
      <c r="CQ69">
        <v>6392.0</v>
      </c>
      <c r="CR69">
        <v>6460.0</v>
      </c>
      <c r="CS69">
        <v>6528.0</v>
      </c>
      <c r="CT69">
        <v>6596.0</v>
      </c>
      <c r="CU69">
        <v>6664.0</v>
      </c>
      <c r="CV69">
        <v>6732.0</v>
      </c>
      <c r="CW69">
        <v>6800.0</v>
      </c>
      <c r="CX69">
        <v>6868.0</v>
      </c>
      <c r="CY69">
        <v>6936.0</v>
      </c>
      <c r="CZ69">
        <v>7004.0</v>
      </c>
    </row>
    <row r="70" ht="19.5" customHeight="1">
      <c r="A70" s="2">
        <v>69.0</v>
      </c>
      <c r="B70">
        <v>69.0</v>
      </c>
      <c r="C70">
        <v>138.0</v>
      </c>
      <c r="D70">
        <v>207.0</v>
      </c>
      <c r="E70">
        <v>276.0</v>
      </c>
      <c r="F70">
        <v>345.0</v>
      </c>
      <c r="G70">
        <v>414.0</v>
      </c>
      <c r="H70">
        <v>483.0</v>
      </c>
      <c r="I70">
        <v>552.0</v>
      </c>
      <c r="J70">
        <v>621.0</v>
      </c>
      <c r="K70">
        <v>690.0</v>
      </c>
      <c r="L70">
        <v>759.0</v>
      </c>
      <c r="M70">
        <v>828.0</v>
      </c>
      <c r="N70">
        <v>897.0</v>
      </c>
      <c r="O70">
        <v>966.0</v>
      </c>
      <c r="P70">
        <v>1035.0</v>
      </c>
      <c r="Q70">
        <v>1104.0</v>
      </c>
      <c r="R70">
        <v>1173.0</v>
      </c>
      <c r="S70">
        <v>1242.0</v>
      </c>
      <c r="T70">
        <v>1311.0</v>
      </c>
      <c r="U70">
        <v>1380.0</v>
      </c>
      <c r="V70">
        <v>1449.0</v>
      </c>
      <c r="W70">
        <v>1518.0</v>
      </c>
      <c r="X70">
        <v>1587.0</v>
      </c>
      <c r="Y70">
        <v>1656.0</v>
      </c>
      <c r="Z70">
        <v>1725.0</v>
      </c>
      <c r="AA70">
        <v>1794.0</v>
      </c>
      <c r="AB70">
        <v>1863.0</v>
      </c>
      <c r="AC70">
        <v>1932.0</v>
      </c>
      <c r="AD70">
        <v>2001.0</v>
      </c>
      <c r="AE70">
        <v>2070.0</v>
      </c>
      <c r="AF70">
        <v>2139.0</v>
      </c>
      <c r="AG70">
        <v>2208.0</v>
      </c>
      <c r="AH70">
        <v>2277.0</v>
      </c>
      <c r="AI70">
        <v>2346.0</v>
      </c>
      <c r="AJ70">
        <v>2415.0</v>
      </c>
      <c r="AK70">
        <v>2484.0</v>
      </c>
      <c r="AL70">
        <v>2553.0</v>
      </c>
      <c r="AM70">
        <v>2622.0</v>
      </c>
      <c r="AN70">
        <v>2691.0</v>
      </c>
      <c r="AO70">
        <v>2760.0</v>
      </c>
      <c r="AP70">
        <v>2829.0</v>
      </c>
      <c r="AQ70">
        <v>2898.0</v>
      </c>
      <c r="AR70">
        <v>2967.0</v>
      </c>
      <c r="AS70">
        <v>3036.0</v>
      </c>
      <c r="AT70">
        <v>3105.0</v>
      </c>
      <c r="AU70">
        <v>3174.0</v>
      </c>
      <c r="AV70">
        <v>3243.0</v>
      </c>
      <c r="AW70">
        <v>3312.0</v>
      </c>
      <c r="AX70">
        <v>3381.0</v>
      </c>
      <c r="AY70">
        <v>3450.0</v>
      </c>
      <c r="AZ70">
        <v>3519.0</v>
      </c>
      <c r="BA70">
        <v>3588.0</v>
      </c>
      <c r="BB70">
        <v>3657.0</v>
      </c>
      <c r="BC70">
        <v>3726.0</v>
      </c>
      <c r="BD70">
        <v>3795.0</v>
      </c>
      <c r="BE70">
        <v>3864.0</v>
      </c>
      <c r="BF70">
        <v>3933.0</v>
      </c>
      <c r="BG70">
        <v>4002.0</v>
      </c>
      <c r="BH70">
        <v>4071.0</v>
      </c>
      <c r="BI70">
        <v>4140.0</v>
      </c>
      <c r="BJ70">
        <v>4209.0</v>
      </c>
      <c r="BK70">
        <v>4278.0</v>
      </c>
      <c r="BL70">
        <v>4347.0</v>
      </c>
      <c r="BM70">
        <v>4416.0</v>
      </c>
      <c r="BN70">
        <v>4485.0</v>
      </c>
      <c r="BO70">
        <v>4554.0</v>
      </c>
      <c r="BP70">
        <v>4623.0</v>
      </c>
      <c r="BQ70">
        <v>4692.0</v>
      </c>
      <c r="BR70">
        <v>4761.0</v>
      </c>
      <c r="BS70">
        <v>4830.0</v>
      </c>
      <c r="BT70">
        <v>4899.0</v>
      </c>
      <c r="BU70">
        <v>4968.0</v>
      </c>
      <c r="BV70">
        <v>5037.0</v>
      </c>
      <c r="BW70">
        <v>5106.0</v>
      </c>
      <c r="BX70">
        <v>5175.0</v>
      </c>
      <c r="BY70">
        <v>5244.0</v>
      </c>
      <c r="BZ70">
        <v>5313.0</v>
      </c>
      <c r="CA70">
        <v>5382.0</v>
      </c>
      <c r="CB70">
        <v>5451.0</v>
      </c>
      <c r="CC70">
        <v>5520.0</v>
      </c>
      <c r="CD70">
        <v>5589.0</v>
      </c>
      <c r="CE70">
        <v>5658.0</v>
      </c>
      <c r="CF70">
        <v>5727.0</v>
      </c>
      <c r="CG70">
        <v>5796.0</v>
      </c>
      <c r="CH70">
        <v>5865.0</v>
      </c>
      <c r="CI70">
        <v>5934.0</v>
      </c>
      <c r="CJ70">
        <v>6003.0</v>
      </c>
      <c r="CK70">
        <v>6072.0</v>
      </c>
      <c r="CL70">
        <v>6141.0</v>
      </c>
      <c r="CM70">
        <v>6210.0</v>
      </c>
      <c r="CN70">
        <v>6279.0</v>
      </c>
      <c r="CO70">
        <v>6348.0</v>
      </c>
      <c r="CP70">
        <v>6417.0</v>
      </c>
      <c r="CQ70">
        <v>6486.0</v>
      </c>
      <c r="CR70">
        <v>6555.0</v>
      </c>
      <c r="CS70">
        <v>6624.0</v>
      </c>
      <c r="CT70">
        <v>6693.0</v>
      </c>
      <c r="CU70">
        <v>6762.0</v>
      </c>
      <c r="CV70">
        <v>6831.0</v>
      </c>
      <c r="CW70">
        <v>6900.0</v>
      </c>
      <c r="CX70">
        <v>6969.0</v>
      </c>
      <c r="CY70">
        <v>7038.0</v>
      </c>
      <c r="CZ70">
        <v>7107.0</v>
      </c>
    </row>
    <row r="71" ht="19.5" customHeight="1">
      <c r="A71" s="2">
        <v>70.0</v>
      </c>
      <c r="B71">
        <v>70.0</v>
      </c>
      <c r="C71">
        <v>140.0</v>
      </c>
      <c r="D71">
        <v>210.0</v>
      </c>
      <c r="E71">
        <v>280.0</v>
      </c>
      <c r="F71">
        <v>350.0</v>
      </c>
      <c r="G71">
        <v>420.0</v>
      </c>
      <c r="H71">
        <v>490.0</v>
      </c>
      <c r="I71">
        <v>560.0</v>
      </c>
      <c r="J71">
        <v>630.0</v>
      </c>
      <c r="K71">
        <v>700.0</v>
      </c>
      <c r="L71">
        <v>770.0</v>
      </c>
      <c r="M71">
        <v>840.0</v>
      </c>
      <c r="N71">
        <v>910.0</v>
      </c>
      <c r="O71">
        <v>980.0</v>
      </c>
      <c r="P71">
        <v>1050.0</v>
      </c>
      <c r="Q71">
        <v>1120.0</v>
      </c>
      <c r="R71">
        <v>1190.0</v>
      </c>
      <c r="S71">
        <v>1260.0</v>
      </c>
      <c r="T71">
        <v>1330.0</v>
      </c>
      <c r="U71">
        <v>1400.0</v>
      </c>
      <c r="V71">
        <v>1470.0</v>
      </c>
      <c r="W71">
        <v>1540.0</v>
      </c>
      <c r="X71">
        <v>1610.0</v>
      </c>
      <c r="Y71">
        <v>1680.0</v>
      </c>
      <c r="Z71">
        <v>1750.0</v>
      </c>
      <c r="AA71">
        <v>1820.0</v>
      </c>
      <c r="AB71">
        <v>1890.0</v>
      </c>
      <c r="AC71">
        <v>1960.0</v>
      </c>
      <c r="AD71">
        <v>2030.0</v>
      </c>
      <c r="AE71">
        <v>2100.0</v>
      </c>
      <c r="AF71">
        <v>2170.0</v>
      </c>
      <c r="AG71">
        <v>2240.0</v>
      </c>
      <c r="AH71">
        <v>2310.0</v>
      </c>
      <c r="AI71">
        <v>2380.0</v>
      </c>
      <c r="AJ71">
        <v>2450.0</v>
      </c>
      <c r="AK71">
        <v>2520.0</v>
      </c>
      <c r="AL71">
        <v>2590.0</v>
      </c>
      <c r="AM71">
        <v>2660.0</v>
      </c>
      <c r="AN71">
        <v>2730.0</v>
      </c>
      <c r="AO71">
        <v>2800.0</v>
      </c>
      <c r="AP71">
        <v>2870.0</v>
      </c>
      <c r="AQ71">
        <v>2940.0</v>
      </c>
      <c r="AR71">
        <v>3010.0</v>
      </c>
      <c r="AS71">
        <v>3080.0</v>
      </c>
      <c r="AT71">
        <v>3150.0</v>
      </c>
      <c r="AU71">
        <v>3220.0</v>
      </c>
      <c r="AV71">
        <v>3290.0</v>
      </c>
      <c r="AW71">
        <v>3360.0</v>
      </c>
      <c r="AX71">
        <v>3430.0</v>
      </c>
      <c r="AY71">
        <v>3500.0</v>
      </c>
      <c r="AZ71">
        <v>3570.0</v>
      </c>
      <c r="BA71">
        <v>3640.0</v>
      </c>
      <c r="BB71">
        <v>3710.0</v>
      </c>
      <c r="BC71">
        <v>3780.0</v>
      </c>
      <c r="BD71">
        <v>3850.0</v>
      </c>
      <c r="BE71">
        <v>3920.0</v>
      </c>
      <c r="BF71">
        <v>3990.0</v>
      </c>
      <c r="BG71">
        <v>4060.0</v>
      </c>
      <c r="BH71">
        <v>4130.0</v>
      </c>
      <c r="BI71">
        <v>4200.0</v>
      </c>
      <c r="BJ71">
        <v>4270.0</v>
      </c>
      <c r="BK71">
        <v>4340.0</v>
      </c>
      <c r="BL71">
        <v>4410.0</v>
      </c>
      <c r="BM71">
        <v>4480.0</v>
      </c>
      <c r="BN71">
        <v>4550.0</v>
      </c>
      <c r="BO71">
        <v>4620.0</v>
      </c>
      <c r="BP71">
        <v>4690.0</v>
      </c>
      <c r="BQ71">
        <v>4760.0</v>
      </c>
      <c r="BR71">
        <v>4830.0</v>
      </c>
      <c r="BS71">
        <v>4900.0</v>
      </c>
      <c r="BT71">
        <v>4970.0</v>
      </c>
      <c r="BU71">
        <v>5040.0</v>
      </c>
      <c r="BV71">
        <v>5110.0</v>
      </c>
      <c r="BW71">
        <v>5180.0</v>
      </c>
      <c r="BX71">
        <v>5250.0</v>
      </c>
      <c r="BY71">
        <v>5320.0</v>
      </c>
      <c r="BZ71">
        <v>5390.0</v>
      </c>
      <c r="CA71">
        <v>5460.0</v>
      </c>
      <c r="CB71">
        <v>5530.0</v>
      </c>
      <c r="CC71">
        <v>5600.0</v>
      </c>
      <c r="CD71">
        <v>5670.0</v>
      </c>
      <c r="CE71">
        <v>5740.0</v>
      </c>
      <c r="CF71">
        <v>5810.0</v>
      </c>
      <c r="CG71">
        <v>5880.0</v>
      </c>
      <c r="CH71">
        <v>5950.0</v>
      </c>
      <c r="CI71">
        <v>6020.0</v>
      </c>
      <c r="CJ71">
        <v>6090.0</v>
      </c>
      <c r="CK71">
        <v>6160.0</v>
      </c>
      <c r="CL71">
        <v>6230.0</v>
      </c>
      <c r="CM71">
        <v>6300.0</v>
      </c>
      <c r="CN71">
        <v>6370.0</v>
      </c>
      <c r="CO71">
        <v>6440.0</v>
      </c>
      <c r="CP71">
        <v>6510.0</v>
      </c>
      <c r="CQ71">
        <v>6580.0</v>
      </c>
      <c r="CR71">
        <v>6650.0</v>
      </c>
      <c r="CS71">
        <v>6720.0</v>
      </c>
      <c r="CT71">
        <v>6790.0</v>
      </c>
      <c r="CU71">
        <v>6860.0</v>
      </c>
      <c r="CV71">
        <v>6930.0</v>
      </c>
      <c r="CW71">
        <v>7000.0</v>
      </c>
      <c r="CX71">
        <v>7070.0</v>
      </c>
      <c r="CY71">
        <v>7140.0</v>
      </c>
      <c r="CZ71">
        <v>7210.0</v>
      </c>
    </row>
    <row r="72" ht="19.5" customHeight="1">
      <c r="A72" s="2">
        <v>71.0</v>
      </c>
      <c r="B72">
        <v>71.0</v>
      </c>
      <c r="C72">
        <v>142.0</v>
      </c>
      <c r="D72">
        <v>213.0</v>
      </c>
      <c r="E72">
        <v>284.0</v>
      </c>
      <c r="F72">
        <v>355.0</v>
      </c>
      <c r="G72">
        <v>426.0</v>
      </c>
      <c r="H72">
        <v>497.0</v>
      </c>
      <c r="I72">
        <v>568.0</v>
      </c>
      <c r="J72">
        <v>639.0</v>
      </c>
      <c r="K72">
        <v>710.0</v>
      </c>
      <c r="L72">
        <v>781.0</v>
      </c>
      <c r="M72">
        <v>852.0</v>
      </c>
      <c r="N72">
        <v>923.0</v>
      </c>
      <c r="O72">
        <v>994.0</v>
      </c>
      <c r="P72">
        <v>1065.0</v>
      </c>
      <c r="Q72">
        <v>1136.0</v>
      </c>
      <c r="R72">
        <v>1207.0</v>
      </c>
      <c r="S72">
        <v>1278.0</v>
      </c>
      <c r="T72">
        <v>1349.0</v>
      </c>
      <c r="U72">
        <v>1420.0</v>
      </c>
      <c r="V72">
        <v>1491.0</v>
      </c>
      <c r="W72">
        <v>1562.0</v>
      </c>
      <c r="X72">
        <v>1633.0</v>
      </c>
      <c r="Y72">
        <v>1704.0</v>
      </c>
      <c r="Z72">
        <v>1775.0</v>
      </c>
      <c r="AA72">
        <v>1846.0</v>
      </c>
      <c r="AB72">
        <v>1917.0</v>
      </c>
      <c r="AC72">
        <v>1988.0</v>
      </c>
      <c r="AD72">
        <v>2059.0</v>
      </c>
      <c r="AE72">
        <v>2130.0</v>
      </c>
      <c r="AF72">
        <v>2201.0</v>
      </c>
      <c r="AG72">
        <v>2272.0</v>
      </c>
      <c r="AH72">
        <v>2343.0</v>
      </c>
      <c r="AI72">
        <v>2414.0</v>
      </c>
      <c r="AJ72">
        <v>2485.0</v>
      </c>
      <c r="AK72">
        <v>2556.0</v>
      </c>
      <c r="AL72">
        <v>2627.0</v>
      </c>
      <c r="AM72">
        <v>2698.0</v>
      </c>
      <c r="AN72">
        <v>2769.0</v>
      </c>
      <c r="AO72">
        <v>2840.0</v>
      </c>
      <c r="AP72">
        <v>2911.0</v>
      </c>
      <c r="AQ72">
        <v>2982.0</v>
      </c>
      <c r="AR72">
        <v>3053.0</v>
      </c>
      <c r="AS72">
        <v>3124.0</v>
      </c>
      <c r="AT72">
        <v>3195.0</v>
      </c>
      <c r="AU72">
        <v>3266.0</v>
      </c>
      <c r="AV72">
        <v>3337.0</v>
      </c>
      <c r="AW72">
        <v>3408.0</v>
      </c>
      <c r="AX72">
        <v>3479.0</v>
      </c>
      <c r="AY72">
        <v>3550.0</v>
      </c>
      <c r="AZ72">
        <v>3621.0</v>
      </c>
      <c r="BA72">
        <v>3692.0</v>
      </c>
      <c r="BB72">
        <v>3763.0</v>
      </c>
      <c r="BC72">
        <v>3834.0</v>
      </c>
      <c r="BD72">
        <v>3905.0</v>
      </c>
      <c r="BE72">
        <v>3976.0</v>
      </c>
      <c r="BF72">
        <v>4047.0</v>
      </c>
      <c r="BG72">
        <v>4118.0</v>
      </c>
      <c r="BH72">
        <v>4189.0</v>
      </c>
      <c r="BI72">
        <v>4260.0</v>
      </c>
      <c r="BJ72">
        <v>4331.0</v>
      </c>
      <c r="BK72">
        <v>4402.0</v>
      </c>
      <c r="BL72">
        <v>4473.0</v>
      </c>
      <c r="BM72">
        <v>4544.0</v>
      </c>
      <c r="BN72">
        <v>4615.0</v>
      </c>
      <c r="BO72">
        <v>4686.0</v>
      </c>
      <c r="BP72">
        <v>4757.0</v>
      </c>
      <c r="BQ72">
        <v>4828.0</v>
      </c>
      <c r="BR72">
        <v>4899.0</v>
      </c>
      <c r="BS72">
        <v>4970.0</v>
      </c>
      <c r="BT72">
        <v>5041.0</v>
      </c>
      <c r="BU72">
        <v>5112.0</v>
      </c>
      <c r="BV72">
        <v>5183.0</v>
      </c>
      <c r="BW72">
        <v>5254.0</v>
      </c>
      <c r="BX72">
        <v>5325.0</v>
      </c>
      <c r="BY72">
        <v>5396.0</v>
      </c>
      <c r="BZ72">
        <v>5467.0</v>
      </c>
      <c r="CA72">
        <v>5538.0</v>
      </c>
      <c r="CB72">
        <v>5609.0</v>
      </c>
      <c r="CC72">
        <v>5680.0</v>
      </c>
      <c r="CD72">
        <v>5751.0</v>
      </c>
      <c r="CE72">
        <v>5822.0</v>
      </c>
      <c r="CF72">
        <v>5893.0</v>
      </c>
      <c r="CG72">
        <v>5964.0</v>
      </c>
      <c r="CH72">
        <v>6035.0</v>
      </c>
      <c r="CI72">
        <v>6106.0</v>
      </c>
      <c r="CJ72">
        <v>6177.0</v>
      </c>
      <c r="CK72">
        <v>6248.0</v>
      </c>
      <c r="CL72">
        <v>6319.0</v>
      </c>
      <c r="CM72">
        <v>6390.0</v>
      </c>
      <c r="CN72">
        <v>6461.0</v>
      </c>
      <c r="CO72">
        <v>6532.0</v>
      </c>
      <c r="CP72">
        <v>6603.0</v>
      </c>
      <c r="CQ72">
        <v>6674.0</v>
      </c>
      <c r="CR72">
        <v>6745.0</v>
      </c>
      <c r="CS72">
        <v>6816.0</v>
      </c>
      <c r="CT72">
        <v>6887.0</v>
      </c>
      <c r="CU72">
        <v>6958.0</v>
      </c>
      <c r="CV72">
        <v>7029.0</v>
      </c>
      <c r="CW72">
        <v>7100.0</v>
      </c>
      <c r="CX72">
        <v>7171.0</v>
      </c>
      <c r="CY72">
        <v>7242.0</v>
      </c>
      <c r="CZ72">
        <v>7313.0</v>
      </c>
    </row>
    <row r="73" ht="19.5" customHeight="1">
      <c r="A73" s="2">
        <v>72.0</v>
      </c>
      <c r="B73">
        <v>72.0</v>
      </c>
      <c r="C73">
        <v>144.0</v>
      </c>
      <c r="D73">
        <v>216.0</v>
      </c>
      <c r="E73">
        <v>288.0</v>
      </c>
      <c r="F73">
        <v>360.0</v>
      </c>
      <c r="G73">
        <v>432.0</v>
      </c>
      <c r="H73">
        <v>504.0</v>
      </c>
      <c r="I73">
        <v>576.0</v>
      </c>
      <c r="J73">
        <v>648.0</v>
      </c>
      <c r="K73">
        <v>720.0</v>
      </c>
      <c r="L73">
        <v>792.0</v>
      </c>
      <c r="M73">
        <v>864.0</v>
      </c>
      <c r="N73">
        <v>936.0</v>
      </c>
      <c r="O73">
        <v>1008.0</v>
      </c>
      <c r="P73">
        <v>1080.0</v>
      </c>
      <c r="Q73">
        <v>1152.0</v>
      </c>
      <c r="R73">
        <v>1224.0</v>
      </c>
      <c r="S73">
        <v>1296.0</v>
      </c>
      <c r="T73">
        <v>1368.0</v>
      </c>
      <c r="U73">
        <v>1440.0</v>
      </c>
      <c r="V73">
        <v>1512.0</v>
      </c>
      <c r="W73">
        <v>1584.0</v>
      </c>
      <c r="X73">
        <v>1656.0</v>
      </c>
      <c r="Y73">
        <v>1728.0</v>
      </c>
      <c r="Z73">
        <v>1800.0</v>
      </c>
      <c r="AA73">
        <v>1872.0</v>
      </c>
      <c r="AB73">
        <v>1944.0</v>
      </c>
      <c r="AC73">
        <v>2016.0</v>
      </c>
      <c r="AD73">
        <v>2088.0</v>
      </c>
      <c r="AE73">
        <v>2160.0</v>
      </c>
      <c r="AF73">
        <v>2232.0</v>
      </c>
      <c r="AG73">
        <v>2304.0</v>
      </c>
      <c r="AH73">
        <v>2376.0</v>
      </c>
      <c r="AI73">
        <v>2448.0</v>
      </c>
      <c r="AJ73">
        <v>2520.0</v>
      </c>
      <c r="AK73">
        <v>2592.0</v>
      </c>
      <c r="AL73">
        <v>2664.0</v>
      </c>
      <c r="AM73">
        <v>2736.0</v>
      </c>
      <c r="AN73">
        <v>2808.0</v>
      </c>
      <c r="AO73">
        <v>2880.0</v>
      </c>
      <c r="AP73">
        <v>2952.0</v>
      </c>
      <c r="AQ73">
        <v>3024.0</v>
      </c>
      <c r="AR73">
        <v>3096.0</v>
      </c>
      <c r="AS73">
        <v>3168.0</v>
      </c>
      <c r="AT73">
        <v>3240.0</v>
      </c>
      <c r="AU73">
        <v>3312.0</v>
      </c>
      <c r="AV73">
        <v>3384.0</v>
      </c>
      <c r="AW73">
        <v>3456.0</v>
      </c>
      <c r="AX73">
        <v>3528.0</v>
      </c>
      <c r="AY73">
        <v>3600.0</v>
      </c>
      <c r="AZ73">
        <v>3672.0</v>
      </c>
      <c r="BA73">
        <v>3744.0</v>
      </c>
      <c r="BB73">
        <v>3816.0</v>
      </c>
      <c r="BC73">
        <v>3888.0</v>
      </c>
      <c r="BD73">
        <v>3960.0</v>
      </c>
      <c r="BE73">
        <v>4032.0</v>
      </c>
      <c r="BF73">
        <v>4104.0</v>
      </c>
      <c r="BG73">
        <v>4176.0</v>
      </c>
      <c r="BH73">
        <v>4248.0</v>
      </c>
      <c r="BI73">
        <v>4320.0</v>
      </c>
      <c r="BJ73">
        <v>4392.0</v>
      </c>
      <c r="BK73">
        <v>4464.0</v>
      </c>
      <c r="BL73">
        <v>4536.0</v>
      </c>
      <c r="BM73">
        <v>4608.0</v>
      </c>
      <c r="BN73">
        <v>4680.0</v>
      </c>
      <c r="BO73">
        <v>4752.0</v>
      </c>
      <c r="BP73">
        <v>4824.0</v>
      </c>
      <c r="BQ73">
        <v>4896.0</v>
      </c>
      <c r="BR73">
        <v>4968.0</v>
      </c>
      <c r="BS73">
        <v>5040.0</v>
      </c>
      <c r="BT73">
        <v>5112.0</v>
      </c>
      <c r="BU73">
        <v>5184.0</v>
      </c>
      <c r="BV73">
        <v>5256.0</v>
      </c>
      <c r="BW73">
        <v>5328.0</v>
      </c>
      <c r="BX73">
        <v>5400.0</v>
      </c>
      <c r="BY73">
        <v>5472.0</v>
      </c>
      <c r="BZ73">
        <v>5544.0</v>
      </c>
      <c r="CA73">
        <v>5616.0</v>
      </c>
      <c r="CB73">
        <v>5688.0</v>
      </c>
      <c r="CC73">
        <v>5760.0</v>
      </c>
      <c r="CD73">
        <v>5832.0</v>
      </c>
      <c r="CE73">
        <v>5904.0</v>
      </c>
      <c r="CF73">
        <v>5976.0</v>
      </c>
      <c r="CG73">
        <v>6048.0</v>
      </c>
      <c r="CH73">
        <v>6120.0</v>
      </c>
      <c r="CI73">
        <v>6192.0</v>
      </c>
      <c r="CJ73">
        <v>6264.0</v>
      </c>
      <c r="CK73">
        <v>6336.0</v>
      </c>
      <c r="CL73">
        <v>6408.0</v>
      </c>
      <c r="CM73">
        <v>6480.0</v>
      </c>
      <c r="CN73">
        <v>6552.0</v>
      </c>
      <c r="CO73">
        <v>6624.0</v>
      </c>
      <c r="CP73">
        <v>6696.0</v>
      </c>
      <c r="CQ73">
        <v>6768.0</v>
      </c>
      <c r="CR73">
        <v>6840.0</v>
      </c>
      <c r="CS73">
        <v>6912.0</v>
      </c>
      <c r="CT73">
        <v>6984.0</v>
      </c>
      <c r="CU73">
        <v>7056.0</v>
      </c>
      <c r="CV73">
        <v>7128.0</v>
      </c>
      <c r="CW73">
        <v>7200.0</v>
      </c>
      <c r="CX73">
        <v>7272.0</v>
      </c>
      <c r="CY73">
        <v>7344.0</v>
      </c>
      <c r="CZ73">
        <v>7416.0</v>
      </c>
    </row>
    <row r="74" ht="19.5" customHeight="1">
      <c r="A74" s="2">
        <v>73.0</v>
      </c>
      <c r="B74">
        <v>73.0</v>
      </c>
      <c r="C74">
        <v>146.0</v>
      </c>
      <c r="D74">
        <v>219.0</v>
      </c>
      <c r="E74">
        <v>292.0</v>
      </c>
      <c r="F74">
        <v>365.0</v>
      </c>
      <c r="G74">
        <v>438.0</v>
      </c>
      <c r="H74">
        <v>511.0</v>
      </c>
      <c r="I74">
        <v>584.0</v>
      </c>
      <c r="J74">
        <v>657.0</v>
      </c>
      <c r="K74">
        <v>730.0</v>
      </c>
      <c r="L74">
        <v>803.0</v>
      </c>
      <c r="M74">
        <v>876.0</v>
      </c>
      <c r="N74">
        <v>949.0</v>
      </c>
      <c r="O74">
        <v>1022.0</v>
      </c>
      <c r="P74">
        <v>1095.0</v>
      </c>
      <c r="Q74">
        <v>1168.0</v>
      </c>
      <c r="R74">
        <v>1241.0</v>
      </c>
      <c r="S74">
        <v>1314.0</v>
      </c>
      <c r="T74">
        <v>1387.0</v>
      </c>
      <c r="U74">
        <v>1460.0</v>
      </c>
      <c r="V74">
        <v>1533.0</v>
      </c>
      <c r="W74">
        <v>1606.0</v>
      </c>
      <c r="X74">
        <v>1679.0</v>
      </c>
      <c r="Y74">
        <v>1752.0</v>
      </c>
      <c r="Z74">
        <v>1825.0</v>
      </c>
      <c r="AA74">
        <v>1898.0</v>
      </c>
      <c r="AB74">
        <v>1971.0</v>
      </c>
      <c r="AC74">
        <v>2044.0</v>
      </c>
      <c r="AD74">
        <v>2117.0</v>
      </c>
      <c r="AE74">
        <v>2190.0</v>
      </c>
      <c r="AF74">
        <v>2263.0</v>
      </c>
      <c r="AG74">
        <v>2336.0</v>
      </c>
      <c r="AH74">
        <v>2409.0</v>
      </c>
      <c r="AI74">
        <v>2482.0</v>
      </c>
      <c r="AJ74">
        <v>2555.0</v>
      </c>
      <c r="AK74">
        <v>2628.0</v>
      </c>
      <c r="AL74">
        <v>2701.0</v>
      </c>
      <c r="AM74">
        <v>2774.0</v>
      </c>
      <c r="AN74">
        <v>2847.0</v>
      </c>
      <c r="AO74">
        <v>2920.0</v>
      </c>
      <c r="AP74">
        <v>2993.0</v>
      </c>
      <c r="AQ74">
        <v>3066.0</v>
      </c>
      <c r="AR74">
        <v>3139.0</v>
      </c>
      <c r="AS74">
        <v>3212.0</v>
      </c>
      <c r="AT74">
        <v>3285.0</v>
      </c>
      <c r="AU74">
        <v>3358.0</v>
      </c>
      <c r="AV74">
        <v>3431.0</v>
      </c>
      <c r="AW74">
        <v>3504.0</v>
      </c>
      <c r="AX74">
        <v>3577.0</v>
      </c>
      <c r="AY74">
        <v>3650.0</v>
      </c>
      <c r="AZ74">
        <v>3723.0</v>
      </c>
      <c r="BA74">
        <v>3796.0</v>
      </c>
      <c r="BB74">
        <v>3869.0</v>
      </c>
      <c r="BC74">
        <v>3942.0</v>
      </c>
      <c r="BD74">
        <v>4015.0</v>
      </c>
      <c r="BE74">
        <v>4088.0</v>
      </c>
      <c r="BF74">
        <v>4161.0</v>
      </c>
      <c r="BG74">
        <v>4234.0</v>
      </c>
      <c r="BH74">
        <v>4307.0</v>
      </c>
      <c r="BI74">
        <v>4380.0</v>
      </c>
      <c r="BJ74">
        <v>4453.0</v>
      </c>
      <c r="BK74">
        <v>4526.0</v>
      </c>
      <c r="BL74">
        <v>4599.0</v>
      </c>
      <c r="BM74">
        <v>4672.0</v>
      </c>
      <c r="BN74">
        <v>4745.0</v>
      </c>
      <c r="BO74">
        <v>4818.0</v>
      </c>
      <c r="BP74">
        <v>4891.0</v>
      </c>
      <c r="BQ74">
        <v>4964.0</v>
      </c>
      <c r="BR74">
        <v>5037.0</v>
      </c>
      <c r="BS74">
        <v>5110.0</v>
      </c>
      <c r="BT74">
        <v>5183.0</v>
      </c>
      <c r="BU74">
        <v>5256.0</v>
      </c>
      <c r="BV74">
        <v>5329.0</v>
      </c>
      <c r="BW74">
        <v>5402.0</v>
      </c>
      <c r="BX74">
        <v>5475.0</v>
      </c>
      <c r="BY74">
        <v>5548.0</v>
      </c>
      <c r="BZ74">
        <v>5621.0</v>
      </c>
      <c r="CA74">
        <v>5694.0</v>
      </c>
      <c r="CB74">
        <v>5767.0</v>
      </c>
      <c r="CC74">
        <v>5840.0</v>
      </c>
      <c r="CD74">
        <v>5913.0</v>
      </c>
      <c r="CE74">
        <v>5986.0</v>
      </c>
      <c r="CF74">
        <v>6059.0</v>
      </c>
      <c r="CG74">
        <v>6132.0</v>
      </c>
      <c r="CH74">
        <v>6205.0</v>
      </c>
      <c r="CI74">
        <v>6278.0</v>
      </c>
      <c r="CJ74">
        <v>6351.0</v>
      </c>
      <c r="CK74">
        <v>6424.0</v>
      </c>
      <c r="CL74">
        <v>6497.0</v>
      </c>
      <c r="CM74">
        <v>6570.0</v>
      </c>
      <c r="CN74">
        <v>6643.0</v>
      </c>
      <c r="CO74">
        <v>6716.0</v>
      </c>
      <c r="CP74">
        <v>6789.0</v>
      </c>
      <c r="CQ74">
        <v>6862.0</v>
      </c>
      <c r="CR74">
        <v>6935.0</v>
      </c>
      <c r="CS74">
        <v>7008.0</v>
      </c>
      <c r="CT74">
        <v>7081.0</v>
      </c>
      <c r="CU74">
        <v>7154.0</v>
      </c>
      <c r="CV74">
        <v>7227.0</v>
      </c>
      <c r="CW74">
        <v>7300.0</v>
      </c>
      <c r="CX74">
        <v>7373.0</v>
      </c>
      <c r="CY74">
        <v>7446.0</v>
      </c>
      <c r="CZ74">
        <v>7519.0</v>
      </c>
    </row>
    <row r="75" ht="19.5" customHeight="1">
      <c r="A75" s="2">
        <v>74.0</v>
      </c>
      <c r="B75">
        <v>74.0</v>
      </c>
      <c r="C75">
        <v>148.0</v>
      </c>
      <c r="D75">
        <v>222.0</v>
      </c>
      <c r="E75">
        <v>296.0</v>
      </c>
      <c r="F75">
        <v>370.0</v>
      </c>
      <c r="G75">
        <v>444.0</v>
      </c>
      <c r="H75">
        <v>518.0</v>
      </c>
      <c r="I75">
        <v>592.0</v>
      </c>
      <c r="J75">
        <v>666.0</v>
      </c>
      <c r="K75">
        <v>740.0</v>
      </c>
      <c r="L75">
        <v>814.0</v>
      </c>
      <c r="M75">
        <v>888.0</v>
      </c>
      <c r="N75">
        <v>962.0</v>
      </c>
      <c r="O75">
        <v>1036.0</v>
      </c>
      <c r="P75">
        <v>1110.0</v>
      </c>
      <c r="Q75">
        <v>1184.0</v>
      </c>
      <c r="R75">
        <v>1258.0</v>
      </c>
      <c r="S75">
        <v>1332.0</v>
      </c>
      <c r="T75">
        <v>1406.0</v>
      </c>
      <c r="U75">
        <v>1480.0</v>
      </c>
      <c r="V75">
        <v>1554.0</v>
      </c>
      <c r="W75">
        <v>1628.0</v>
      </c>
      <c r="X75">
        <v>1702.0</v>
      </c>
      <c r="Y75">
        <v>1776.0</v>
      </c>
      <c r="Z75">
        <v>1850.0</v>
      </c>
      <c r="AA75">
        <v>1924.0</v>
      </c>
      <c r="AB75">
        <v>1998.0</v>
      </c>
      <c r="AC75">
        <v>2072.0</v>
      </c>
      <c r="AD75">
        <v>2146.0</v>
      </c>
      <c r="AE75">
        <v>2220.0</v>
      </c>
      <c r="AF75">
        <v>2294.0</v>
      </c>
      <c r="AG75">
        <v>2368.0</v>
      </c>
      <c r="AH75">
        <v>2442.0</v>
      </c>
      <c r="AI75">
        <v>2516.0</v>
      </c>
      <c r="AJ75">
        <v>2590.0</v>
      </c>
      <c r="AK75">
        <v>2664.0</v>
      </c>
      <c r="AL75">
        <v>2738.0</v>
      </c>
      <c r="AM75">
        <v>2812.0</v>
      </c>
      <c r="AN75">
        <v>2886.0</v>
      </c>
      <c r="AO75">
        <v>2960.0</v>
      </c>
      <c r="AP75">
        <v>3034.0</v>
      </c>
      <c r="AQ75">
        <v>3108.0</v>
      </c>
      <c r="AR75">
        <v>3182.0</v>
      </c>
      <c r="AS75">
        <v>3256.0</v>
      </c>
      <c r="AT75">
        <v>3330.0</v>
      </c>
      <c r="AU75">
        <v>3404.0</v>
      </c>
      <c r="AV75">
        <v>3478.0</v>
      </c>
      <c r="AW75">
        <v>3552.0</v>
      </c>
      <c r="AX75">
        <v>3626.0</v>
      </c>
      <c r="AY75">
        <v>3700.0</v>
      </c>
      <c r="AZ75">
        <v>3774.0</v>
      </c>
      <c r="BA75">
        <v>3848.0</v>
      </c>
      <c r="BB75">
        <v>3922.0</v>
      </c>
      <c r="BC75">
        <v>3996.0</v>
      </c>
      <c r="BD75">
        <v>4070.0</v>
      </c>
      <c r="BE75">
        <v>4144.0</v>
      </c>
      <c r="BF75">
        <v>4218.0</v>
      </c>
      <c r="BG75">
        <v>4292.0</v>
      </c>
      <c r="BH75">
        <v>4366.0</v>
      </c>
      <c r="BI75">
        <v>4440.0</v>
      </c>
      <c r="BJ75">
        <v>4514.0</v>
      </c>
      <c r="BK75">
        <v>4588.0</v>
      </c>
      <c r="BL75">
        <v>4662.0</v>
      </c>
      <c r="BM75">
        <v>4736.0</v>
      </c>
      <c r="BN75">
        <v>4810.0</v>
      </c>
      <c r="BO75">
        <v>4884.0</v>
      </c>
      <c r="BP75">
        <v>4958.0</v>
      </c>
      <c r="BQ75">
        <v>5032.0</v>
      </c>
      <c r="BR75">
        <v>5106.0</v>
      </c>
      <c r="BS75">
        <v>5180.0</v>
      </c>
      <c r="BT75">
        <v>5254.0</v>
      </c>
      <c r="BU75">
        <v>5328.0</v>
      </c>
      <c r="BV75">
        <v>5402.0</v>
      </c>
      <c r="BW75">
        <v>5476.0</v>
      </c>
      <c r="BX75">
        <v>5550.0</v>
      </c>
      <c r="BY75">
        <v>5624.0</v>
      </c>
      <c r="BZ75">
        <v>5698.0</v>
      </c>
      <c r="CA75">
        <v>5772.0</v>
      </c>
      <c r="CB75">
        <v>5846.0</v>
      </c>
      <c r="CC75">
        <v>5920.0</v>
      </c>
      <c r="CD75">
        <v>5994.0</v>
      </c>
      <c r="CE75">
        <v>6068.0</v>
      </c>
      <c r="CF75">
        <v>6142.0</v>
      </c>
      <c r="CG75">
        <v>6216.0</v>
      </c>
      <c r="CH75">
        <v>6290.0</v>
      </c>
      <c r="CI75">
        <v>6364.0</v>
      </c>
      <c r="CJ75">
        <v>6438.0</v>
      </c>
      <c r="CK75">
        <v>6512.0</v>
      </c>
      <c r="CL75">
        <v>6586.0</v>
      </c>
      <c r="CM75">
        <v>6660.0</v>
      </c>
      <c r="CN75">
        <v>6734.0</v>
      </c>
      <c r="CO75">
        <v>6808.0</v>
      </c>
      <c r="CP75">
        <v>6882.0</v>
      </c>
      <c r="CQ75">
        <v>6956.0</v>
      </c>
      <c r="CR75">
        <v>7030.0</v>
      </c>
      <c r="CS75">
        <v>7104.0</v>
      </c>
      <c r="CT75">
        <v>7178.0</v>
      </c>
      <c r="CU75">
        <v>7252.0</v>
      </c>
      <c r="CV75">
        <v>7326.0</v>
      </c>
      <c r="CW75">
        <v>7400.0</v>
      </c>
      <c r="CX75">
        <v>7474.0</v>
      </c>
      <c r="CY75">
        <v>7548.0</v>
      </c>
      <c r="CZ75">
        <v>7622.0</v>
      </c>
    </row>
    <row r="76" ht="19.5" customHeight="1">
      <c r="A76" s="2">
        <v>75.0</v>
      </c>
      <c r="B76">
        <v>75.0</v>
      </c>
      <c r="C76">
        <v>150.0</v>
      </c>
      <c r="D76">
        <v>225.0</v>
      </c>
      <c r="E76">
        <v>300.0</v>
      </c>
      <c r="F76">
        <v>375.0</v>
      </c>
      <c r="G76">
        <v>450.0</v>
      </c>
      <c r="H76">
        <v>525.0</v>
      </c>
      <c r="I76">
        <v>600.0</v>
      </c>
      <c r="J76">
        <v>675.0</v>
      </c>
      <c r="K76">
        <v>750.0</v>
      </c>
      <c r="L76">
        <v>825.0</v>
      </c>
      <c r="M76">
        <v>900.0</v>
      </c>
      <c r="N76">
        <v>975.0</v>
      </c>
      <c r="O76">
        <v>1050.0</v>
      </c>
      <c r="P76">
        <v>1125.0</v>
      </c>
      <c r="Q76">
        <v>1200.0</v>
      </c>
      <c r="R76">
        <v>1275.0</v>
      </c>
      <c r="S76">
        <v>1350.0</v>
      </c>
      <c r="T76">
        <v>1425.0</v>
      </c>
      <c r="U76">
        <v>1500.0</v>
      </c>
      <c r="V76">
        <v>1575.0</v>
      </c>
      <c r="W76">
        <v>1650.0</v>
      </c>
      <c r="X76">
        <v>1725.0</v>
      </c>
      <c r="Y76">
        <v>1800.0</v>
      </c>
      <c r="Z76">
        <v>1875.0</v>
      </c>
      <c r="AA76">
        <v>1950.0</v>
      </c>
      <c r="AB76">
        <v>2025.0</v>
      </c>
      <c r="AC76">
        <v>2100.0</v>
      </c>
      <c r="AD76">
        <v>2175.0</v>
      </c>
      <c r="AE76">
        <v>2250.0</v>
      </c>
      <c r="AF76">
        <v>2325.0</v>
      </c>
      <c r="AG76">
        <v>2400.0</v>
      </c>
      <c r="AH76">
        <v>2475.0</v>
      </c>
      <c r="AI76">
        <v>2550.0</v>
      </c>
      <c r="AJ76">
        <v>2625.0</v>
      </c>
      <c r="AK76">
        <v>2700.0</v>
      </c>
      <c r="AL76">
        <v>2775.0</v>
      </c>
      <c r="AM76">
        <v>2850.0</v>
      </c>
      <c r="AN76">
        <v>2925.0</v>
      </c>
      <c r="AO76">
        <v>3000.0</v>
      </c>
      <c r="AP76">
        <v>3075.0</v>
      </c>
      <c r="AQ76">
        <v>3150.0</v>
      </c>
      <c r="AR76">
        <v>3225.0</v>
      </c>
      <c r="AS76">
        <v>3300.0</v>
      </c>
      <c r="AT76">
        <v>3375.0</v>
      </c>
      <c r="AU76">
        <v>3450.0</v>
      </c>
      <c r="AV76">
        <v>3525.0</v>
      </c>
      <c r="AW76">
        <v>3600.0</v>
      </c>
      <c r="AX76">
        <v>3675.0</v>
      </c>
      <c r="AY76">
        <v>3750.0</v>
      </c>
      <c r="AZ76">
        <v>3825.0</v>
      </c>
      <c r="BA76">
        <v>3900.0</v>
      </c>
      <c r="BB76">
        <v>3975.0</v>
      </c>
      <c r="BC76">
        <v>4050.0</v>
      </c>
      <c r="BD76">
        <v>4125.0</v>
      </c>
      <c r="BE76">
        <v>4200.0</v>
      </c>
      <c r="BF76">
        <v>4275.0</v>
      </c>
      <c r="BG76">
        <v>4350.0</v>
      </c>
      <c r="BH76">
        <v>4425.0</v>
      </c>
      <c r="BI76">
        <v>4500.0</v>
      </c>
      <c r="BJ76">
        <v>4575.0</v>
      </c>
      <c r="BK76">
        <v>4650.0</v>
      </c>
      <c r="BL76">
        <v>4725.0</v>
      </c>
      <c r="BM76">
        <v>4800.0</v>
      </c>
      <c r="BN76">
        <v>4875.0</v>
      </c>
      <c r="BO76">
        <v>4950.0</v>
      </c>
      <c r="BP76">
        <v>5025.0</v>
      </c>
      <c r="BQ76">
        <v>5100.0</v>
      </c>
      <c r="BR76">
        <v>5175.0</v>
      </c>
      <c r="BS76">
        <v>5250.0</v>
      </c>
      <c r="BT76">
        <v>5325.0</v>
      </c>
      <c r="BU76">
        <v>5400.0</v>
      </c>
      <c r="BV76">
        <v>5475.0</v>
      </c>
      <c r="BW76">
        <v>5550.0</v>
      </c>
      <c r="BX76">
        <v>5625.0</v>
      </c>
      <c r="BY76">
        <v>5700.0</v>
      </c>
      <c r="BZ76">
        <v>5775.0</v>
      </c>
      <c r="CA76">
        <v>5850.0</v>
      </c>
      <c r="CB76">
        <v>5925.0</v>
      </c>
      <c r="CC76">
        <v>6000.0</v>
      </c>
      <c r="CD76">
        <v>6075.0</v>
      </c>
      <c r="CE76">
        <v>6150.0</v>
      </c>
      <c r="CF76">
        <v>6225.0</v>
      </c>
      <c r="CG76">
        <v>6300.0</v>
      </c>
      <c r="CH76">
        <v>6375.0</v>
      </c>
      <c r="CI76">
        <v>6450.0</v>
      </c>
      <c r="CJ76">
        <v>6525.0</v>
      </c>
      <c r="CK76">
        <v>6600.0</v>
      </c>
      <c r="CL76">
        <v>6675.0</v>
      </c>
      <c r="CM76">
        <v>6750.0</v>
      </c>
      <c r="CN76">
        <v>6825.0</v>
      </c>
      <c r="CO76">
        <v>6900.0</v>
      </c>
      <c r="CP76">
        <v>6975.0</v>
      </c>
      <c r="CQ76">
        <v>7050.0</v>
      </c>
      <c r="CR76">
        <v>7125.0</v>
      </c>
      <c r="CS76">
        <v>7200.0</v>
      </c>
      <c r="CT76">
        <v>7275.0</v>
      </c>
      <c r="CU76">
        <v>7350.0</v>
      </c>
      <c r="CV76">
        <v>7425.0</v>
      </c>
      <c r="CW76">
        <v>7500.0</v>
      </c>
      <c r="CX76">
        <v>7575.0</v>
      </c>
      <c r="CY76">
        <v>7650.0</v>
      </c>
      <c r="CZ76">
        <v>7725.0</v>
      </c>
    </row>
    <row r="77" ht="19.5" customHeight="1">
      <c r="A77" s="2">
        <v>76.0</v>
      </c>
      <c r="B77">
        <v>76.0</v>
      </c>
      <c r="C77">
        <v>152.0</v>
      </c>
      <c r="D77">
        <v>228.0</v>
      </c>
      <c r="E77">
        <v>304.0</v>
      </c>
      <c r="F77">
        <v>380.0</v>
      </c>
      <c r="G77">
        <v>456.0</v>
      </c>
      <c r="H77">
        <v>532.0</v>
      </c>
      <c r="I77">
        <v>608.0</v>
      </c>
      <c r="J77">
        <v>684.0</v>
      </c>
      <c r="K77">
        <v>760.0</v>
      </c>
      <c r="L77">
        <v>836.0</v>
      </c>
      <c r="M77">
        <v>912.0</v>
      </c>
      <c r="N77">
        <v>988.0</v>
      </c>
      <c r="O77">
        <v>1064.0</v>
      </c>
      <c r="P77">
        <v>1140.0</v>
      </c>
      <c r="Q77">
        <v>1216.0</v>
      </c>
      <c r="R77">
        <v>1292.0</v>
      </c>
      <c r="S77">
        <v>1368.0</v>
      </c>
      <c r="T77">
        <v>1444.0</v>
      </c>
      <c r="U77">
        <v>1520.0</v>
      </c>
      <c r="V77">
        <v>1596.0</v>
      </c>
      <c r="W77">
        <v>1672.0</v>
      </c>
      <c r="X77">
        <v>1748.0</v>
      </c>
      <c r="Y77">
        <v>1824.0</v>
      </c>
      <c r="Z77">
        <v>1900.0</v>
      </c>
      <c r="AA77">
        <v>1976.0</v>
      </c>
      <c r="AB77">
        <v>2052.0</v>
      </c>
      <c r="AC77">
        <v>2128.0</v>
      </c>
      <c r="AD77">
        <v>2204.0</v>
      </c>
      <c r="AE77">
        <v>2280.0</v>
      </c>
      <c r="AF77">
        <v>2356.0</v>
      </c>
      <c r="AG77">
        <v>2432.0</v>
      </c>
      <c r="AH77">
        <v>2508.0</v>
      </c>
      <c r="AI77">
        <v>2584.0</v>
      </c>
      <c r="AJ77">
        <v>2660.0</v>
      </c>
      <c r="AK77">
        <v>2736.0</v>
      </c>
      <c r="AL77">
        <v>2812.0</v>
      </c>
      <c r="AM77">
        <v>2888.0</v>
      </c>
      <c r="AN77">
        <v>2964.0</v>
      </c>
      <c r="AO77">
        <v>3040.0</v>
      </c>
      <c r="AP77">
        <v>3116.0</v>
      </c>
      <c r="AQ77">
        <v>3192.0</v>
      </c>
      <c r="AR77">
        <v>3268.0</v>
      </c>
      <c r="AS77">
        <v>3344.0</v>
      </c>
      <c r="AT77">
        <v>3420.0</v>
      </c>
      <c r="AU77">
        <v>3496.0</v>
      </c>
      <c r="AV77">
        <v>3572.0</v>
      </c>
      <c r="AW77">
        <v>3648.0</v>
      </c>
      <c r="AX77">
        <v>3724.0</v>
      </c>
      <c r="AY77">
        <v>3800.0</v>
      </c>
      <c r="AZ77">
        <v>3876.0</v>
      </c>
      <c r="BA77">
        <v>3952.0</v>
      </c>
      <c r="BB77">
        <v>4028.0</v>
      </c>
      <c r="BC77">
        <v>4104.0</v>
      </c>
      <c r="BD77">
        <v>4180.0</v>
      </c>
      <c r="BE77">
        <v>4256.0</v>
      </c>
      <c r="BF77">
        <v>4332.0</v>
      </c>
      <c r="BG77">
        <v>4408.0</v>
      </c>
      <c r="BH77">
        <v>4484.0</v>
      </c>
      <c r="BI77">
        <v>4560.0</v>
      </c>
      <c r="BJ77">
        <v>4636.0</v>
      </c>
      <c r="BK77">
        <v>4712.0</v>
      </c>
      <c r="BL77">
        <v>4788.0</v>
      </c>
      <c r="BM77">
        <v>4864.0</v>
      </c>
      <c r="BN77">
        <v>4940.0</v>
      </c>
      <c r="BO77">
        <v>5016.0</v>
      </c>
      <c r="BP77">
        <v>5092.0</v>
      </c>
      <c r="BQ77">
        <v>5168.0</v>
      </c>
      <c r="BR77">
        <v>5244.0</v>
      </c>
      <c r="BS77">
        <v>5320.0</v>
      </c>
      <c r="BT77">
        <v>5396.0</v>
      </c>
      <c r="BU77">
        <v>5472.0</v>
      </c>
      <c r="BV77">
        <v>5548.0</v>
      </c>
      <c r="BW77">
        <v>5624.0</v>
      </c>
      <c r="BX77">
        <v>5700.0</v>
      </c>
      <c r="BY77">
        <v>5776.0</v>
      </c>
      <c r="BZ77">
        <v>5852.0</v>
      </c>
      <c r="CA77">
        <v>5928.0</v>
      </c>
      <c r="CB77">
        <v>6004.0</v>
      </c>
      <c r="CC77">
        <v>6080.0</v>
      </c>
      <c r="CD77">
        <v>6156.0</v>
      </c>
      <c r="CE77">
        <v>6232.0</v>
      </c>
      <c r="CF77">
        <v>6308.0</v>
      </c>
      <c r="CG77">
        <v>6384.0</v>
      </c>
      <c r="CH77">
        <v>6460.0</v>
      </c>
      <c r="CI77">
        <v>6536.0</v>
      </c>
      <c r="CJ77">
        <v>6612.0</v>
      </c>
      <c r="CK77">
        <v>6688.0</v>
      </c>
      <c r="CL77">
        <v>6764.0</v>
      </c>
      <c r="CM77">
        <v>6840.0</v>
      </c>
      <c r="CN77">
        <v>6916.0</v>
      </c>
      <c r="CO77">
        <v>6992.0</v>
      </c>
      <c r="CP77">
        <v>7068.0</v>
      </c>
      <c r="CQ77">
        <v>7144.0</v>
      </c>
      <c r="CR77">
        <v>7220.0</v>
      </c>
      <c r="CS77">
        <v>7296.0</v>
      </c>
      <c r="CT77">
        <v>7372.0</v>
      </c>
      <c r="CU77">
        <v>7448.0</v>
      </c>
      <c r="CV77">
        <v>7524.0</v>
      </c>
      <c r="CW77">
        <v>7600.0</v>
      </c>
      <c r="CX77">
        <v>7676.0</v>
      </c>
      <c r="CY77">
        <v>7752.0</v>
      </c>
      <c r="CZ77">
        <v>7828.0</v>
      </c>
    </row>
    <row r="78" ht="19.5" customHeight="1">
      <c r="A78" s="2">
        <v>77.0</v>
      </c>
      <c r="B78">
        <v>77.0</v>
      </c>
      <c r="C78">
        <v>154.0</v>
      </c>
      <c r="D78">
        <v>231.0</v>
      </c>
      <c r="E78">
        <v>308.0</v>
      </c>
      <c r="F78">
        <v>385.0</v>
      </c>
      <c r="G78">
        <v>462.0</v>
      </c>
      <c r="H78">
        <v>539.0</v>
      </c>
      <c r="I78">
        <v>616.0</v>
      </c>
      <c r="J78">
        <v>693.0</v>
      </c>
      <c r="K78">
        <v>770.0</v>
      </c>
      <c r="L78">
        <v>847.0</v>
      </c>
      <c r="M78">
        <v>924.0</v>
      </c>
      <c r="N78">
        <v>1001.0</v>
      </c>
      <c r="O78">
        <v>1078.0</v>
      </c>
      <c r="P78">
        <v>1155.0</v>
      </c>
      <c r="Q78">
        <v>1232.0</v>
      </c>
      <c r="R78">
        <v>1309.0</v>
      </c>
      <c r="S78">
        <v>1386.0</v>
      </c>
      <c r="T78">
        <v>1463.0</v>
      </c>
      <c r="U78">
        <v>1540.0</v>
      </c>
      <c r="V78">
        <v>1617.0</v>
      </c>
      <c r="W78">
        <v>1694.0</v>
      </c>
      <c r="X78">
        <v>1771.0</v>
      </c>
      <c r="Y78">
        <v>1848.0</v>
      </c>
      <c r="Z78">
        <v>1925.0</v>
      </c>
      <c r="AA78">
        <v>2002.0</v>
      </c>
      <c r="AB78">
        <v>2079.0</v>
      </c>
      <c r="AC78">
        <v>2156.0</v>
      </c>
      <c r="AD78">
        <v>2233.0</v>
      </c>
      <c r="AE78">
        <v>2310.0</v>
      </c>
      <c r="AF78">
        <v>2387.0</v>
      </c>
      <c r="AG78">
        <v>2464.0</v>
      </c>
      <c r="AH78">
        <v>2541.0</v>
      </c>
      <c r="AI78">
        <v>2618.0</v>
      </c>
      <c r="AJ78">
        <v>2695.0</v>
      </c>
      <c r="AK78">
        <v>2772.0</v>
      </c>
      <c r="AL78">
        <v>2849.0</v>
      </c>
      <c r="AM78">
        <v>2926.0</v>
      </c>
      <c r="AN78">
        <v>3003.0</v>
      </c>
      <c r="AO78">
        <v>3080.0</v>
      </c>
      <c r="AP78">
        <v>3157.0</v>
      </c>
      <c r="AQ78">
        <v>3234.0</v>
      </c>
      <c r="AR78">
        <v>3311.0</v>
      </c>
      <c r="AS78">
        <v>3388.0</v>
      </c>
      <c r="AT78">
        <v>3465.0</v>
      </c>
      <c r="AU78">
        <v>3542.0</v>
      </c>
      <c r="AV78">
        <v>3619.0</v>
      </c>
      <c r="AW78">
        <v>3696.0</v>
      </c>
      <c r="AX78">
        <v>3773.0</v>
      </c>
      <c r="AY78">
        <v>3850.0</v>
      </c>
      <c r="AZ78">
        <v>3927.0</v>
      </c>
      <c r="BA78">
        <v>4004.0</v>
      </c>
      <c r="BB78">
        <v>4081.0</v>
      </c>
      <c r="BC78">
        <v>4158.0</v>
      </c>
      <c r="BD78">
        <v>4235.0</v>
      </c>
      <c r="BE78">
        <v>4312.0</v>
      </c>
      <c r="BF78">
        <v>4389.0</v>
      </c>
      <c r="BG78">
        <v>4466.0</v>
      </c>
      <c r="BH78">
        <v>4543.0</v>
      </c>
      <c r="BI78">
        <v>4620.0</v>
      </c>
      <c r="BJ78">
        <v>4697.0</v>
      </c>
      <c r="BK78">
        <v>4774.0</v>
      </c>
      <c r="BL78">
        <v>4851.0</v>
      </c>
      <c r="BM78">
        <v>4928.0</v>
      </c>
      <c r="BN78">
        <v>5005.0</v>
      </c>
      <c r="BO78">
        <v>5082.0</v>
      </c>
      <c r="BP78">
        <v>5159.0</v>
      </c>
      <c r="BQ78">
        <v>5236.0</v>
      </c>
      <c r="BR78">
        <v>5313.0</v>
      </c>
      <c r="BS78">
        <v>5390.0</v>
      </c>
      <c r="BT78">
        <v>5467.0</v>
      </c>
      <c r="BU78">
        <v>5544.0</v>
      </c>
      <c r="BV78">
        <v>5621.0</v>
      </c>
      <c r="BW78">
        <v>5698.0</v>
      </c>
      <c r="BX78">
        <v>5775.0</v>
      </c>
      <c r="BY78">
        <v>5852.0</v>
      </c>
      <c r="BZ78">
        <v>5929.0</v>
      </c>
      <c r="CA78">
        <v>6006.0</v>
      </c>
      <c r="CB78">
        <v>6083.0</v>
      </c>
      <c r="CC78">
        <v>6160.0</v>
      </c>
      <c r="CD78">
        <v>6237.0</v>
      </c>
      <c r="CE78">
        <v>6314.0</v>
      </c>
      <c r="CF78">
        <v>6391.0</v>
      </c>
      <c r="CG78">
        <v>6468.0</v>
      </c>
      <c r="CH78">
        <v>6545.0</v>
      </c>
      <c r="CI78">
        <v>6622.0</v>
      </c>
      <c r="CJ78">
        <v>6699.0</v>
      </c>
      <c r="CK78">
        <v>6776.0</v>
      </c>
      <c r="CL78">
        <v>6853.0</v>
      </c>
      <c r="CM78">
        <v>6930.0</v>
      </c>
      <c r="CN78">
        <v>7007.0</v>
      </c>
      <c r="CO78">
        <v>7084.0</v>
      </c>
      <c r="CP78">
        <v>7161.0</v>
      </c>
      <c r="CQ78">
        <v>7238.0</v>
      </c>
      <c r="CR78">
        <v>7315.0</v>
      </c>
      <c r="CS78">
        <v>7392.0</v>
      </c>
      <c r="CT78">
        <v>7469.0</v>
      </c>
      <c r="CU78">
        <v>7546.0</v>
      </c>
      <c r="CV78">
        <v>7623.0</v>
      </c>
      <c r="CW78">
        <v>7700.0</v>
      </c>
      <c r="CX78">
        <v>7777.0</v>
      </c>
      <c r="CY78">
        <v>7854.0</v>
      </c>
      <c r="CZ78">
        <v>7931.0</v>
      </c>
    </row>
    <row r="79" ht="19.5" customHeight="1">
      <c r="A79" s="2">
        <v>78.0</v>
      </c>
      <c r="B79">
        <v>78.0</v>
      </c>
      <c r="C79">
        <v>156.0</v>
      </c>
      <c r="D79">
        <v>234.0</v>
      </c>
      <c r="E79">
        <v>312.0</v>
      </c>
      <c r="F79">
        <v>390.0</v>
      </c>
      <c r="G79">
        <v>468.0</v>
      </c>
      <c r="H79">
        <v>546.0</v>
      </c>
      <c r="I79">
        <v>624.0</v>
      </c>
      <c r="J79">
        <v>702.0</v>
      </c>
      <c r="K79">
        <v>780.0</v>
      </c>
      <c r="L79">
        <v>858.0</v>
      </c>
      <c r="M79">
        <v>936.0</v>
      </c>
      <c r="N79">
        <v>1014.0</v>
      </c>
      <c r="O79">
        <v>1092.0</v>
      </c>
      <c r="P79">
        <v>1170.0</v>
      </c>
      <c r="Q79">
        <v>1248.0</v>
      </c>
      <c r="R79">
        <v>1326.0</v>
      </c>
      <c r="S79">
        <v>1404.0</v>
      </c>
      <c r="T79">
        <v>1482.0</v>
      </c>
      <c r="U79">
        <v>1560.0</v>
      </c>
      <c r="V79">
        <v>1638.0</v>
      </c>
      <c r="W79">
        <v>1716.0</v>
      </c>
      <c r="X79">
        <v>1794.0</v>
      </c>
      <c r="Y79">
        <v>1872.0</v>
      </c>
      <c r="Z79">
        <v>1950.0</v>
      </c>
      <c r="AA79">
        <v>2028.0</v>
      </c>
      <c r="AB79">
        <v>2106.0</v>
      </c>
      <c r="AC79">
        <v>2184.0</v>
      </c>
      <c r="AD79">
        <v>2262.0</v>
      </c>
      <c r="AE79">
        <v>2340.0</v>
      </c>
      <c r="AF79">
        <v>2418.0</v>
      </c>
      <c r="AG79">
        <v>2496.0</v>
      </c>
      <c r="AH79">
        <v>2574.0</v>
      </c>
      <c r="AI79">
        <v>2652.0</v>
      </c>
      <c r="AJ79">
        <v>2730.0</v>
      </c>
      <c r="AK79">
        <v>2808.0</v>
      </c>
      <c r="AL79">
        <v>2886.0</v>
      </c>
      <c r="AM79">
        <v>2964.0</v>
      </c>
      <c r="AN79">
        <v>3042.0</v>
      </c>
      <c r="AO79">
        <v>3120.0</v>
      </c>
      <c r="AP79">
        <v>3198.0</v>
      </c>
      <c r="AQ79">
        <v>3276.0</v>
      </c>
      <c r="AR79">
        <v>3354.0</v>
      </c>
      <c r="AS79">
        <v>3432.0</v>
      </c>
      <c r="AT79">
        <v>3510.0</v>
      </c>
      <c r="AU79">
        <v>3588.0</v>
      </c>
      <c r="AV79">
        <v>3666.0</v>
      </c>
      <c r="AW79">
        <v>3744.0</v>
      </c>
      <c r="AX79">
        <v>3822.0</v>
      </c>
      <c r="AY79">
        <v>3900.0</v>
      </c>
      <c r="AZ79">
        <v>3978.0</v>
      </c>
      <c r="BA79">
        <v>4056.0</v>
      </c>
      <c r="BB79">
        <v>4134.0</v>
      </c>
      <c r="BC79">
        <v>4212.0</v>
      </c>
      <c r="BD79">
        <v>4290.0</v>
      </c>
      <c r="BE79">
        <v>4368.0</v>
      </c>
      <c r="BF79">
        <v>4446.0</v>
      </c>
      <c r="BG79">
        <v>4524.0</v>
      </c>
      <c r="BH79">
        <v>4602.0</v>
      </c>
      <c r="BI79">
        <v>4680.0</v>
      </c>
      <c r="BJ79">
        <v>4758.0</v>
      </c>
      <c r="BK79">
        <v>4836.0</v>
      </c>
      <c r="BL79">
        <v>4914.0</v>
      </c>
      <c r="BM79">
        <v>4992.0</v>
      </c>
      <c r="BN79">
        <v>5070.0</v>
      </c>
      <c r="BO79">
        <v>5148.0</v>
      </c>
      <c r="BP79">
        <v>5226.0</v>
      </c>
      <c r="BQ79">
        <v>5304.0</v>
      </c>
      <c r="BR79">
        <v>5382.0</v>
      </c>
      <c r="BS79">
        <v>5460.0</v>
      </c>
      <c r="BT79">
        <v>5538.0</v>
      </c>
      <c r="BU79">
        <v>5616.0</v>
      </c>
      <c r="BV79">
        <v>5694.0</v>
      </c>
      <c r="BW79">
        <v>5772.0</v>
      </c>
      <c r="BX79">
        <v>5850.0</v>
      </c>
      <c r="BY79">
        <v>5928.0</v>
      </c>
      <c r="BZ79">
        <v>6006.0</v>
      </c>
      <c r="CA79">
        <v>6084.0</v>
      </c>
      <c r="CB79">
        <v>6162.0</v>
      </c>
      <c r="CC79">
        <v>6240.0</v>
      </c>
      <c r="CD79">
        <v>6318.0</v>
      </c>
      <c r="CE79">
        <v>6396.0</v>
      </c>
      <c r="CF79">
        <v>6474.0</v>
      </c>
      <c r="CG79">
        <v>6552.0</v>
      </c>
      <c r="CH79">
        <v>6630.0</v>
      </c>
      <c r="CI79">
        <v>6708.0</v>
      </c>
      <c r="CJ79">
        <v>6786.0</v>
      </c>
      <c r="CK79">
        <v>6864.0</v>
      </c>
      <c r="CL79">
        <v>6942.0</v>
      </c>
      <c r="CM79">
        <v>7020.0</v>
      </c>
      <c r="CN79">
        <v>7098.0</v>
      </c>
      <c r="CO79">
        <v>7176.0</v>
      </c>
      <c r="CP79">
        <v>7254.0</v>
      </c>
      <c r="CQ79">
        <v>7332.0</v>
      </c>
      <c r="CR79">
        <v>7410.0</v>
      </c>
      <c r="CS79">
        <v>7488.0</v>
      </c>
      <c r="CT79">
        <v>7566.0</v>
      </c>
      <c r="CU79">
        <v>7644.0</v>
      </c>
      <c r="CV79">
        <v>7722.0</v>
      </c>
      <c r="CW79">
        <v>7800.0</v>
      </c>
      <c r="CX79">
        <v>7878.0</v>
      </c>
      <c r="CY79">
        <v>7956.0</v>
      </c>
      <c r="CZ79">
        <v>8034.0</v>
      </c>
    </row>
    <row r="80" ht="19.5" customHeight="1">
      <c r="A80" s="2">
        <v>79.0</v>
      </c>
      <c r="B80">
        <v>79.0</v>
      </c>
      <c r="C80">
        <v>158.0</v>
      </c>
      <c r="D80">
        <v>237.0</v>
      </c>
      <c r="E80">
        <v>316.0</v>
      </c>
      <c r="F80">
        <v>395.0</v>
      </c>
      <c r="G80">
        <v>474.0</v>
      </c>
      <c r="H80">
        <v>553.0</v>
      </c>
      <c r="I80">
        <v>632.0</v>
      </c>
      <c r="J80">
        <v>711.0</v>
      </c>
      <c r="K80">
        <v>790.0</v>
      </c>
      <c r="L80">
        <v>869.0</v>
      </c>
      <c r="M80">
        <v>948.0</v>
      </c>
      <c r="N80">
        <v>1027.0</v>
      </c>
      <c r="O80">
        <v>1106.0</v>
      </c>
      <c r="P80">
        <v>1185.0</v>
      </c>
      <c r="Q80">
        <v>1264.0</v>
      </c>
      <c r="R80">
        <v>1343.0</v>
      </c>
      <c r="S80">
        <v>1422.0</v>
      </c>
      <c r="T80">
        <v>1501.0</v>
      </c>
      <c r="U80">
        <v>1580.0</v>
      </c>
      <c r="V80">
        <v>1659.0</v>
      </c>
      <c r="W80">
        <v>1738.0</v>
      </c>
      <c r="X80">
        <v>1817.0</v>
      </c>
      <c r="Y80">
        <v>1896.0</v>
      </c>
      <c r="Z80">
        <v>1975.0</v>
      </c>
      <c r="AA80">
        <v>2054.0</v>
      </c>
      <c r="AB80">
        <v>2133.0</v>
      </c>
      <c r="AC80">
        <v>2212.0</v>
      </c>
      <c r="AD80">
        <v>2291.0</v>
      </c>
      <c r="AE80">
        <v>2370.0</v>
      </c>
      <c r="AF80">
        <v>2449.0</v>
      </c>
      <c r="AG80">
        <v>2528.0</v>
      </c>
      <c r="AH80">
        <v>2607.0</v>
      </c>
      <c r="AI80">
        <v>2686.0</v>
      </c>
      <c r="AJ80">
        <v>2765.0</v>
      </c>
      <c r="AK80">
        <v>2844.0</v>
      </c>
      <c r="AL80">
        <v>2923.0</v>
      </c>
      <c r="AM80">
        <v>3002.0</v>
      </c>
      <c r="AN80">
        <v>3081.0</v>
      </c>
      <c r="AO80">
        <v>3160.0</v>
      </c>
      <c r="AP80">
        <v>3239.0</v>
      </c>
      <c r="AQ80">
        <v>3318.0</v>
      </c>
      <c r="AR80">
        <v>3397.0</v>
      </c>
      <c r="AS80">
        <v>3476.0</v>
      </c>
      <c r="AT80">
        <v>3555.0</v>
      </c>
      <c r="AU80">
        <v>3634.0</v>
      </c>
      <c r="AV80">
        <v>3713.0</v>
      </c>
      <c r="AW80">
        <v>3792.0</v>
      </c>
      <c r="AX80">
        <v>3871.0</v>
      </c>
      <c r="AY80">
        <v>3950.0</v>
      </c>
      <c r="AZ80">
        <v>4029.0</v>
      </c>
      <c r="BA80">
        <v>4108.0</v>
      </c>
      <c r="BB80">
        <v>4187.0</v>
      </c>
      <c r="BC80">
        <v>4266.0</v>
      </c>
      <c r="BD80">
        <v>4345.0</v>
      </c>
      <c r="BE80">
        <v>4424.0</v>
      </c>
      <c r="BF80">
        <v>4503.0</v>
      </c>
      <c r="BG80">
        <v>4582.0</v>
      </c>
      <c r="BH80">
        <v>4661.0</v>
      </c>
      <c r="BI80">
        <v>4740.0</v>
      </c>
      <c r="BJ80">
        <v>4819.0</v>
      </c>
      <c r="BK80">
        <v>4898.0</v>
      </c>
      <c r="BL80">
        <v>4977.0</v>
      </c>
      <c r="BM80">
        <v>5056.0</v>
      </c>
      <c r="BN80">
        <v>5135.0</v>
      </c>
      <c r="BO80">
        <v>5214.0</v>
      </c>
      <c r="BP80">
        <v>5293.0</v>
      </c>
      <c r="BQ80">
        <v>5372.0</v>
      </c>
      <c r="BR80">
        <v>5451.0</v>
      </c>
      <c r="BS80">
        <v>5530.0</v>
      </c>
      <c r="BT80">
        <v>5609.0</v>
      </c>
      <c r="BU80">
        <v>5688.0</v>
      </c>
      <c r="BV80">
        <v>5767.0</v>
      </c>
      <c r="BW80">
        <v>5846.0</v>
      </c>
      <c r="BX80">
        <v>5925.0</v>
      </c>
      <c r="BY80">
        <v>6004.0</v>
      </c>
      <c r="BZ80">
        <v>6083.0</v>
      </c>
      <c r="CA80">
        <v>6162.0</v>
      </c>
      <c r="CB80">
        <v>6241.0</v>
      </c>
      <c r="CC80">
        <v>6320.0</v>
      </c>
      <c r="CD80">
        <v>6399.0</v>
      </c>
      <c r="CE80">
        <v>6478.0</v>
      </c>
      <c r="CF80">
        <v>6557.0</v>
      </c>
      <c r="CG80">
        <v>6636.0</v>
      </c>
      <c r="CH80">
        <v>6715.0</v>
      </c>
      <c r="CI80">
        <v>6794.0</v>
      </c>
      <c r="CJ80">
        <v>6873.0</v>
      </c>
      <c r="CK80">
        <v>6952.0</v>
      </c>
      <c r="CL80">
        <v>7031.0</v>
      </c>
      <c r="CM80">
        <v>7110.0</v>
      </c>
      <c r="CN80">
        <v>7189.0</v>
      </c>
      <c r="CO80">
        <v>7268.0</v>
      </c>
      <c r="CP80">
        <v>7347.0</v>
      </c>
      <c r="CQ80">
        <v>7426.0</v>
      </c>
      <c r="CR80">
        <v>7505.0</v>
      </c>
      <c r="CS80">
        <v>7584.0</v>
      </c>
      <c r="CT80">
        <v>7663.0</v>
      </c>
      <c r="CU80">
        <v>7742.0</v>
      </c>
      <c r="CV80">
        <v>7821.0</v>
      </c>
      <c r="CW80">
        <v>7900.0</v>
      </c>
      <c r="CX80">
        <v>7979.0</v>
      </c>
      <c r="CY80">
        <v>8058.0</v>
      </c>
      <c r="CZ80">
        <v>8137.0</v>
      </c>
    </row>
    <row r="81" ht="19.5" customHeight="1">
      <c r="A81" s="2">
        <v>80.0</v>
      </c>
      <c r="B81">
        <v>80.0</v>
      </c>
      <c r="C81">
        <v>160.0</v>
      </c>
      <c r="D81">
        <v>240.0</v>
      </c>
      <c r="E81">
        <v>320.0</v>
      </c>
      <c r="F81">
        <v>400.0</v>
      </c>
      <c r="G81">
        <v>480.0</v>
      </c>
      <c r="H81">
        <v>560.0</v>
      </c>
      <c r="I81">
        <v>640.0</v>
      </c>
      <c r="J81">
        <v>720.0</v>
      </c>
      <c r="K81">
        <v>800.0</v>
      </c>
      <c r="L81">
        <v>880.0</v>
      </c>
      <c r="M81">
        <v>960.0</v>
      </c>
      <c r="N81">
        <v>1040.0</v>
      </c>
      <c r="O81">
        <v>1120.0</v>
      </c>
      <c r="P81">
        <v>1200.0</v>
      </c>
      <c r="Q81">
        <v>1280.0</v>
      </c>
      <c r="R81">
        <v>1360.0</v>
      </c>
      <c r="S81">
        <v>1440.0</v>
      </c>
      <c r="T81">
        <v>1520.0</v>
      </c>
      <c r="U81">
        <v>1600.0</v>
      </c>
      <c r="V81">
        <v>1680.0</v>
      </c>
      <c r="W81">
        <v>1760.0</v>
      </c>
      <c r="X81">
        <v>1840.0</v>
      </c>
      <c r="Y81">
        <v>1920.0</v>
      </c>
      <c r="Z81">
        <v>2000.0</v>
      </c>
      <c r="AA81">
        <v>2080.0</v>
      </c>
      <c r="AB81">
        <v>2160.0</v>
      </c>
      <c r="AC81">
        <v>2240.0</v>
      </c>
      <c r="AD81">
        <v>2320.0</v>
      </c>
      <c r="AE81">
        <v>2400.0</v>
      </c>
      <c r="AF81">
        <v>2480.0</v>
      </c>
      <c r="AG81">
        <v>2560.0</v>
      </c>
      <c r="AH81">
        <v>2640.0</v>
      </c>
      <c r="AI81">
        <v>2720.0</v>
      </c>
      <c r="AJ81">
        <v>2800.0</v>
      </c>
      <c r="AK81">
        <v>2880.0</v>
      </c>
      <c r="AL81">
        <v>2960.0</v>
      </c>
      <c r="AM81">
        <v>3040.0</v>
      </c>
      <c r="AN81">
        <v>3120.0</v>
      </c>
      <c r="AO81">
        <v>3200.0</v>
      </c>
      <c r="AP81">
        <v>3280.0</v>
      </c>
      <c r="AQ81">
        <v>3360.0</v>
      </c>
      <c r="AR81">
        <v>3440.0</v>
      </c>
      <c r="AS81">
        <v>3520.0</v>
      </c>
      <c r="AT81">
        <v>3600.0</v>
      </c>
      <c r="AU81">
        <v>3680.0</v>
      </c>
      <c r="AV81">
        <v>3760.0</v>
      </c>
      <c r="AW81">
        <v>3840.0</v>
      </c>
      <c r="AX81">
        <v>3920.0</v>
      </c>
      <c r="AY81">
        <v>4000.0</v>
      </c>
      <c r="AZ81">
        <v>4080.0</v>
      </c>
      <c r="BA81">
        <v>4160.0</v>
      </c>
      <c r="BB81">
        <v>4240.0</v>
      </c>
      <c r="BC81">
        <v>4320.0</v>
      </c>
      <c r="BD81">
        <v>4400.0</v>
      </c>
      <c r="BE81">
        <v>4480.0</v>
      </c>
      <c r="BF81">
        <v>4560.0</v>
      </c>
      <c r="BG81">
        <v>4640.0</v>
      </c>
      <c r="BH81">
        <v>4720.0</v>
      </c>
      <c r="BI81">
        <v>4800.0</v>
      </c>
      <c r="BJ81">
        <v>4880.0</v>
      </c>
      <c r="BK81">
        <v>4960.0</v>
      </c>
      <c r="BL81">
        <v>5040.0</v>
      </c>
      <c r="BM81">
        <v>5120.0</v>
      </c>
      <c r="BN81">
        <v>5200.0</v>
      </c>
      <c r="BO81">
        <v>5280.0</v>
      </c>
      <c r="BP81">
        <v>5360.0</v>
      </c>
      <c r="BQ81">
        <v>5440.0</v>
      </c>
      <c r="BR81">
        <v>5520.0</v>
      </c>
      <c r="BS81">
        <v>5600.0</v>
      </c>
      <c r="BT81">
        <v>5680.0</v>
      </c>
      <c r="BU81">
        <v>5760.0</v>
      </c>
      <c r="BV81">
        <v>5840.0</v>
      </c>
      <c r="BW81">
        <v>5920.0</v>
      </c>
      <c r="BX81">
        <v>6000.0</v>
      </c>
      <c r="BY81">
        <v>6080.0</v>
      </c>
      <c r="BZ81">
        <v>6160.0</v>
      </c>
      <c r="CA81">
        <v>6240.0</v>
      </c>
      <c r="CB81">
        <v>6320.0</v>
      </c>
      <c r="CC81">
        <v>6400.0</v>
      </c>
      <c r="CD81">
        <v>6480.0</v>
      </c>
      <c r="CE81">
        <v>6560.0</v>
      </c>
      <c r="CF81">
        <v>6640.0</v>
      </c>
      <c r="CG81">
        <v>6720.0</v>
      </c>
      <c r="CH81">
        <v>6800.0</v>
      </c>
      <c r="CI81">
        <v>6880.0</v>
      </c>
      <c r="CJ81">
        <v>6960.0</v>
      </c>
      <c r="CK81">
        <v>7040.0</v>
      </c>
      <c r="CL81">
        <v>7120.0</v>
      </c>
      <c r="CM81">
        <v>7200.0</v>
      </c>
      <c r="CN81">
        <v>7280.0</v>
      </c>
      <c r="CO81">
        <v>7360.0</v>
      </c>
      <c r="CP81">
        <v>7440.0</v>
      </c>
      <c r="CQ81">
        <v>7520.0</v>
      </c>
      <c r="CR81">
        <v>7600.0</v>
      </c>
      <c r="CS81">
        <v>7680.0</v>
      </c>
      <c r="CT81">
        <v>7760.0</v>
      </c>
      <c r="CU81">
        <v>7840.0</v>
      </c>
      <c r="CV81">
        <v>7920.0</v>
      </c>
      <c r="CW81">
        <v>8000.0</v>
      </c>
      <c r="CX81">
        <v>8080.0</v>
      </c>
      <c r="CY81">
        <v>8160.0</v>
      </c>
      <c r="CZ81">
        <v>8240.0</v>
      </c>
    </row>
    <row r="82" ht="19.5" customHeight="1">
      <c r="A82" s="2">
        <v>81.0</v>
      </c>
      <c r="B82">
        <v>81.0</v>
      </c>
      <c r="C82">
        <v>162.0</v>
      </c>
      <c r="D82">
        <v>243.0</v>
      </c>
      <c r="E82">
        <v>324.0</v>
      </c>
      <c r="F82">
        <v>405.0</v>
      </c>
      <c r="G82">
        <v>486.0</v>
      </c>
      <c r="H82">
        <v>567.0</v>
      </c>
      <c r="I82">
        <v>648.0</v>
      </c>
      <c r="J82">
        <v>729.0</v>
      </c>
      <c r="K82">
        <v>810.0</v>
      </c>
      <c r="L82">
        <v>891.0</v>
      </c>
      <c r="M82">
        <v>972.0</v>
      </c>
      <c r="N82">
        <v>1053.0</v>
      </c>
      <c r="O82">
        <v>1134.0</v>
      </c>
      <c r="P82">
        <v>1215.0</v>
      </c>
      <c r="Q82">
        <v>1296.0</v>
      </c>
      <c r="R82">
        <v>1377.0</v>
      </c>
      <c r="S82">
        <v>1458.0</v>
      </c>
      <c r="T82">
        <v>1539.0</v>
      </c>
      <c r="U82">
        <v>1620.0</v>
      </c>
      <c r="V82">
        <v>1701.0</v>
      </c>
      <c r="W82">
        <v>1782.0</v>
      </c>
      <c r="X82">
        <v>1863.0</v>
      </c>
      <c r="Y82">
        <v>1944.0</v>
      </c>
      <c r="Z82">
        <v>2025.0</v>
      </c>
      <c r="AA82">
        <v>2106.0</v>
      </c>
      <c r="AB82">
        <v>2187.0</v>
      </c>
      <c r="AC82">
        <v>2268.0</v>
      </c>
      <c r="AD82">
        <v>2349.0</v>
      </c>
      <c r="AE82">
        <v>2430.0</v>
      </c>
      <c r="AF82">
        <v>2511.0</v>
      </c>
      <c r="AG82">
        <v>2592.0</v>
      </c>
      <c r="AH82">
        <v>2673.0</v>
      </c>
      <c r="AI82">
        <v>2754.0</v>
      </c>
      <c r="AJ82">
        <v>2835.0</v>
      </c>
      <c r="AK82">
        <v>2916.0</v>
      </c>
      <c r="AL82">
        <v>2997.0</v>
      </c>
      <c r="AM82">
        <v>3078.0</v>
      </c>
      <c r="AN82">
        <v>3159.0</v>
      </c>
      <c r="AO82">
        <v>3240.0</v>
      </c>
      <c r="AP82">
        <v>3321.0</v>
      </c>
      <c r="AQ82">
        <v>3402.0</v>
      </c>
      <c r="AR82">
        <v>3483.0</v>
      </c>
      <c r="AS82">
        <v>3564.0</v>
      </c>
      <c r="AT82">
        <v>3645.0</v>
      </c>
      <c r="AU82">
        <v>3726.0</v>
      </c>
      <c r="AV82">
        <v>3807.0</v>
      </c>
      <c r="AW82">
        <v>3888.0</v>
      </c>
      <c r="AX82">
        <v>3969.0</v>
      </c>
      <c r="AY82">
        <v>4050.0</v>
      </c>
      <c r="AZ82">
        <v>4131.0</v>
      </c>
      <c r="BA82">
        <v>4212.0</v>
      </c>
      <c r="BB82">
        <v>4293.0</v>
      </c>
      <c r="BC82">
        <v>4374.0</v>
      </c>
      <c r="BD82">
        <v>4455.0</v>
      </c>
      <c r="BE82">
        <v>4536.0</v>
      </c>
      <c r="BF82">
        <v>4617.0</v>
      </c>
      <c r="BG82">
        <v>4698.0</v>
      </c>
      <c r="BH82">
        <v>4779.0</v>
      </c>
      <c r="BI82">
        <v>4860.0</v>
      </c>
      <c r="BJ82">
        <v>4941.0</v>
      </c>
      <c r="BK82">
        <v>5022.0</v>
      </c>
      <c r="BL82">
        <v>5103.0</v>
      </c>
      <c r="BM82">
        <v>5184.0</v>
      </c>
      <c r="BN82">
        <v>5265.0</v>
      </c>
      <c r="BO82">
        <v>5346.0</v>
      </c>
      <c r="BP82">
        <v>5427.0</v>
      </c>
      <c r="BQ82">
        <v>5508.0</v>
      </c>
      <c r="BR82">
        <v>5589.0</v>
      </c>
      <c r="BS82">
        <v>5670.0</v>
      </c>
      <c r="BT82">
        <v>5751.0</v>
      </c>
      <c r="BU82">
        <v>5832.0</v>
      </c>
      <c r="BV82">
        <v>5913.0</v>
      </c>
      <c r="BW82">
        <v>5994.0</v>
      </c>
      <c r="BX82">
        <v>6075.0</v>
      </c>
      <c r="BY82">
        <v>6156.0</v>
      </c>
      <c r="BZ82">
        <v>6237.0</v>
      </c>
      <c r="CA82">
        <v>6318.0</v>
      </c>
      <c r="CB82">
        <v>6399.0</v>
      </c>
      <c r="CC82">
        <v>6480.0</v>
      </c>
      <c r="CD82">
        <v>6561.0</v>
      </c>
      <c r="CE82">
        <v>6642.0</v>
      </c>
      <c r="CF82">
        <v>6723.0</v>
      </c>
      <c r="CG82">
        <v>6804.0</v>
      </c>
      <c r="CH82">
        <v>6885.0</v>
      </c>
      <c r="CI82">
        <v>6966.0</v>
      </c>
      <c r="CJ82">
        <v>7047.0</v>
      </c>
      <c r="CK82">
        <v>7128.0</v>
      </c>
      <c r="CL82">
        <v>7209.0</v>
      </c>
      <c r="CM82">
        <v>7290.0</v>
      </c>
      <c r="CN82">
        <v>7371.0</v>
      </c>
      <c r="CO82">
        <v>7452.0</v>
      </c>
      <c r="CP82">
        <v>7533.0</v>
      </c>
      <c r="CQ82">
        <v>7614.0</v>
      </c>
      <c r="CR82">
        <v>7695.0</v>
      </c>
      <c r="CS82">
        <v>7776.0</v>
      </c>
      <c r="CT82">
        <v>7857.0</v>
      </c>
      <c r="CU82">
        <v>7938.0</v>
      </c>
      <c r="CV82">
        <v>8019.0</v>
      </c>
      <c r="CW82">
        <v>8100.0</v>
      </c>
      <c r="CX82">
        <v>8181.0</v>
      </c>
      <c r="CY82">
        <v>8262.0</v>
      </c>
      <c r="CZ82">
        <v>8343.0</v>
      </c>
    </row>
    <row r="83" ht="19.5" customHeight="1">
      <c r="A83" s="2">
        <v>82.0</v>
      </c>
      <c r="B83">
        <v>82.0</v>
      </c>
      <c r="C83">
        <v>164.0</v>
      </c>
      <c r="D83">
        <v>246.0</v>
      </c>
      <c r="E83">
        <v>328.0</v>
      </c>
      <c r="F83">
        <v>410.0</v>
      </c>
      <c r="G83">
        <v>492.0</v>
      </c>
      <c r="H83">
        <v>574.0</v>
      </c>
      <c r="I83">
        <v>656.0</v>
      </c>
      <c r="J83">
        <v>738.0</v>
      </c>
      <c r="K83">
        <v>820.0</v>
      </c>
      <c r="L83">
        <v>902.0</v>
      </c>
      <c r="M83">
        <v>984.0</v>
      </c>
      <c r="N83">
        <v>1066.0</v>
      </c>
      <c r="O83">
        <v>1148.0</v>
      </c>
      <c r="P83">
        <v>1230.0</v>
      </c>
      <c r="Q83">
        <v>1312.0</v>
      </c>
      <c r="R83">
        <v>1394.0</v>
      </c>
      <c r="S83">
        <v>1476.0</v>
      </c>
      <c r="T83">
        <v>1558.0</v>
      </c>
      <c r="U83">
        <v>1640.0</v>
      </c>
      <c r="V83">
        <v>1722.0</v>
      </c>
      <c r="W83">
        <v>1804.0</v>
      </c>
      <c r="X83">
        <v>1886.0</v>
      </c>
      <c r="Y83">
        <v>1968.0</v>
      </c>
      <c r="Z83">
        <v>2050.0</v>
      </c>
      <c r="AA83">
        <v>2132.0</v>
      </c>
      <c r="AB83">
        <v>2214.0</v>
      </c>
      <c r="AC83">
        <v>2296.0</v>
      </c>
      <c r="AD83">
        <v>2378.0</v>
      </c>
      <c r="AE83">
        <v>2460.0</v>
      </c>
      <c r="AF83">
        <v>2542.0</v>
      </c>
      <c r="AG83">
        <v>2624.0</v>
      </c>
      <c r="AH83">
        <v>2706.0</v>
      </c>
      <c r="AI83">
        <v>2788.0</v>
      </c>
      <c r="AJ83">
        <v>2870.0</v>
      </c>
      <c r="AK83">
        <v>2952.0</v>
      </c>
      <c r="AL83">
        <v>3034.0</v>
      </c>
      <c r="AM83">
        <v>3116.0</v>
      </c>
      <c r="AN83">
        <v>3198.0</v>
      </c>
      <c r="AO83">
        <v>3280.0</v>
      </c>
      <c r="AP83">
        <v>3362.0</v>
      </c>
      <c r="AQ83">
        <v>3444.0</v>
      </c>
      <c r="AR83">
        <v>3526.0</v>
      </c>
      <c r="AS83">
        <v>3608.0</v>
      </c>
      <c r="AT83">
        <v>3690.0</v>
      </c>
      <c r="AU83">
        <v>3772.0</v>
      </c>
      <c r="AV83">
        <v>3854.0</v>
      </c>
      <c r="AW83">
        <v>3936.0</v>
      </c>
      <c r="AX83">
        <v>4018.0</v>
      </c>
      <c r="AY83">
        <v>4100.0</v>
      </c>
      <c r="AZ83">
        <v>4182.0</v>
      </c>
      <c r="BA83">
        <v>4264.0</v>
      </c>
      <c r="BB83">
        <v>4346.0</v>
      </c>
      <c r="BC83">
        <v>4428.0</v>
      </c>
      <c r="BD83">
        <v>4510.0</v>
      </c>
      <c r="BE83">
        <v>4592.0</v>
      </c>
      <c r="BF83">
        <v>4674.0</v>
      </c>
      <c r="BG83">
        <v>4756.0</v>
      </c>
      <c r="BH83">
        <v>4838.0</v>
      </c>
      <c r="BI83">
        <v>4920.0</v>
      </c>
      <c r="BJ83">
        <v>5002.0</v>
      </c>
      <c r="BK83">
        <v>5084.0</v>
      </c>
      <c r="BL83">
        <v>5166.0</v>
      </c>
      <c r="BM83">
        <v>5248.0</v>
      </c>
      <c r="BN83">
        <v>5330.0</v>
      </c>
      <c r="BO83">
        <v>5412.0</v>
      </c>
      <c r="BP83">
        <v>5494.0</v>
      </c>
      <c r="BQ83">
        <v>5576.0</v>
      </c>
      <c r="BR83">
        <v>5658.0</v>
      </c>
      <c r="BS83">
        <v>5740.0</v>
      </c>
      <c r="BT83">
        <v>5822.0</v>
      </c>
      <c r="BU83">
        <v>5904.0</v>
      </c>
      <c r="BV83">
        <v>5986.0</v>
      </c>
      <c r="BW83">
        <v>6068.0</v>
      </c>
      <c r="BX83">
        <v>6150.0</v>
      </c>
      <c r="BY83">
        <v>6232.0</v>
      </c>
      <c r="BZ83">
        <v>6314.0</v>
      </c>
      <c r="CA83">
        <v>6396.0</v>
      </c>
      <c r="CB83">
        <v>6478.0</v>
      </c>
      <c r="CC83">
        <v>6560.0</v>
      </c>
      <c r="CD83">
        <v>6642.0</v>
      </c>
      <c r="CE83">
        <v>6724.0</v>
      </c>
      <c r="CF83">
        <v>6806.0</v>
      </c>
      <c r="CG83">
        <v>6888.0</v>
      </c>
      <c r="CH83">
        <v>6970.0</v>
      </c>
      <c r="CI83">
        <v>7052.0</v>
      </c>
      <c r="CJ83">
        <v>7134.0</v>
      </c>
      <c r="CK83">
        <v>7216.0</v>
      </c>
      <c r="CL83">
        <v>7298.0</v>
      </c>
      <c r="CM83">
        <v>7380.0</v>
      </c>
      <c r="CN83">
        <v>7462.0</v>
      </c>
      <c r="CO83">
        <v>7544.0</v>
      </c>
      <c r="CP83">
        <v>7626.0</v>
      </c>
      <c r="CQ83">
        <v>7708.0</v>
      </c>
      <c r="CR83">
        <v>7790.0</v>
      </c>
      <c r="CS83">
        <v>7872.0</v>
      </c>
      <c r="CT83">
        <v>7954.0</v>
      </c>
      <c r="CU83">
        <v>8036.0</v>
      </c>
      <c r="CV83">
        <v>8118.0</v>
      </c>
      <c r="CW83">
        <v>8200.0</v>
      </c>
      <c r="CX83">
        <v>8282.0</v>
      </c>
      <c r="CY83">
        <v>8364.0</v>
      </c>
      <c r="CZ83">
        <v>8446.0</v>
      </c>
    </row>
    <row r="84" ht="19.5" customHeight="1">
      <c r="A84" s="2">
        <v>83.0</v>
      </c>
      <c r="B84">
        <v>83.0</v>
      </c>
      <c r="C84">
        <v>166.0</v>
      </c>
      <c r="D84">
        <v>249.0</v>
      </c>
      <c r="E84">
        <v>332.0</v>
      </c>
      <c r="F84">
        <v>415.0</v>
      </c>
      <c r="G84">
        <v>498.0</v>
      </c>
      <c r="H84">
        <v>581.0</v>
      </c>
      <c r="I84">
        <v>664.0</v>
      </c>
      <c r="J84">
        <v>747.0</v>
      </c>
      <c r="K84">
        <v>830.0</v>
      </c>
      <c r="L84">
        <v>913.0</v>
      </c>
      <c r="M84">
        <v>996.0</v>
      </c>
      <c r="N84">
        <v>1079.0</v>
      </c>
      <c r="O84">
        <v>1162.0</v>
      </c>
      <c r="P84">
        <v>1245.0</v>
      </c>
      <c r="Q84">
        <v>1328.0</v>
      </c>
      <c r="R84">
        <v>1411.0</v>
      </c>
      <c r="S84">
        <v>1494.0</v>
      </c>
      <c r="T84">
        <v>1577.0</v>
      </c>
      <c r="U84">
        <v>1660.0</v>
      </c>
      <c r="V84">
        <v>1743.0</v>
      </c>
      <c r="W84">
        <v>1826.0</v>
      </c>
      <c r="X84">
        <v>1909.0</v>
      </c>
      <c r="Y84">
        <v>1992.0</v>
      </c>
      <c r="Z84">
        <v>2075.0</v>
      </c>
      <c r="AA84">
        <v>2158.0</v>
      </c>
      <c r="AB84">
        <v>2241.0</v>
      </c>
      <c r="AC84">
        <v>2324.0</v>
      </c>
      <c r="AD84">
        <v>2407.0</v>
      </c>
      <c r="AE84">
        <v>2490.0</v>
      </c>
      <c r="AF84">
        <v>2573.0</v>
      </c>
      <c r="AG84">
        <v>2656.0</v>
      </c>
      <c r="AH84">
        <v>2739.0</v>
      </c>
      <c r="AI84">
        <v>2822.0</v>
      </c>
      <c r="AJ84">
        <v>2905.0</v>
      </c>
      <c r="AK84">
        <v>2988.0</v>
      </c>
      <c r="AL84">
        <v>3071.0</v>
      </c>
      <c r="AM84">
        <v>3154.0</v>
      </c>
      <c r="AN84">
        <v>3237.0</v>
      </c>
      <c r="AO84">
        <v>3320.0</v>
      </c>
      <c r="AP84">
        <v>3403.0</v>
      </c>
      <c r="AQ84">
        <v>3486.0</v>
      </c>
      <c r="AR84">
        <v>3569.0</v>
      </c>
      <c r="AS84">
        <v>3652.0</v>
      </c>
      <c r="AT84">
        <v>3735.0</v>
      </c>
      <c r="AU84">
        <v>3818.0</v>
      </c>
      <c r="AV84">
        <v>3901.0</v>
      </c>
      <c r="AW84">
        <v>3984.0</v>
      </c>
      <c r="AX84">
        <v>4067.0</v>
      </c>
      <c r="AY84">
        <v>4150.0</v>
      </c>
      <c r="AZ84">
        <v>4233.0</v>
      </c>
      <c r="BA84">
        <v>4316.0</v>
      </c>
      <c r="BB84">
        <v>4399.0</v>
      </c>
      <c r="BC84">
        <v>4482.0</v>
      </c>
      <c r="BD84">
        <v>4565.0</v>
      </c>
      <c r="BE84">
        <v>4648.0</v>
      </c>
      <c r="BF84">
        <v>4731.0</v>
      </c>
      <c r="BG84">
        <v>4814.0</v>
      </c>
      <c r="BH84">
        <v>4897.0</v>
      </c>
      <c r="BI84">
        <v>4980.0</v>
      </c>
      <c r="BJ84">
        <v>5063.0</v>
      </c>
      <c r="BK84">
        <v>5146.0</v>
      </c>
      <c r="BL84">
        <v>5229.0</v>
      </c>
      <c r="BM84">
        <v>5312.0</v>
      </c>
      <c r="BN84">
        <v>5395.0</v>
      </c>
      <c r="BO84">
        <v>5478.0</v>
      </c>
      <c r="BP84">
        <v>5561.0</v>
      </c>
      <c r="BQ84">
        <v>5644.0</v>
      </c>
      <c r="BR84">
        <v>5727.0</v>
      </c>
      <c r="BS84">
        <v>5810.0</v>
      </c>
      <c r="BT84">
        <v>5893.0</v>
      </c>
      <c r="BU84">
        <v>5976.0</v>
      </c>
      <c r="BV84">
        <v>6059.0</v>
      </c>
      <c r="BW84">
        <v>6142.0</v>
      </c>
      <c r="BX84">
        <v>6225.0</v>
      </c>
      <c r="BY84">
        <v>6308.0</v>
      </c>
      <c r="BZ84">
        <v>6391.0</v>
      </c>
      <c r="CA84">
        <v>6474.0</v>
      </c>
      <c r="CB84">
        <v>6557.0</v>
      </c>
      <c r="CC84">
        <v>6640.0</v>
      </c>
      <c r="CD84">
        <v>6723.0</v>
      </c>
      <c r="CE84">
        <v>6806.0</v>
      </c>
      <c r="CF84">
        <v>6889.0</v>
      </c>
      <c r="CG84">
        <v>6972.0</v>
      </c>
      <c r="CH84">
        <v>7055.0</v>
      </c>
      <c r="CI84">
        <v>7138.0</v>
      </c>
      <c r="CJ84">
        <v>7221.0</v>
      </c>
      <c r="CK84">
        <v>7304.0</v>
      </c>
      <c r="CL84">
        <v>7387.0</v>
      </c>
      <c r="CM84">
        <v>7470.0</v>
      </c>
      <c r="CN84">
        <v>7553.0</v>
      </c>
      <c r="CO84">
        <v>7636.0</v>
      </c>
      <c r="CP84">
        <v>7719.0</v>
      </c>
      <c r="CQ84">
        <v>7802.0</v>
      </c>
      <c r="CR84">
        <v>7885.0</v>
      </c>
      <c r="CS84">
        <v>7968.0</v>
      </c>
      <c r="CT84">
        <v>8051.0</v>
      </c>
      <c r="CU84">
        <v>8134.0</v>
      </c>
      <c r="CV84">
        <v>8217.0</v>
      </c>
      <c r="CW84">
        <v>8300.0</v>
      </c>
      <c r="CX84">
        <v>8383.0</v>
      </c>
      <c r="CY84">
        <v>8466.0</v>
      </c>
      <c r="CZ84">
        <v>8549.0</v>
      </c>
    </row>
    <row r="85" ht="19.5" customHeight="1">
      <c r="A85" s="2">
        <v>84.0</v>
      </c>
      <c r="B85">
        <v>84.0</v>
      </c>
      <c r="C85">
        <v>168.0</v>
      </c>
      <c r="D85">
        <v>252.0</v>
      </c>
      <c r="E85">
        <v>336.0</v>
      </c>
      <c r="F85">
        <v>420.0</v>
      </c>
      <c r="G85">
        <v>504.0</v>
      </c>
      <c r="H85">
        <v>588.0</v>
      </c>
      <c r="I85">
        <v>672.0</v>
      </c>
      <c r="J85">
        <v>756.0</v>
      </c>
      <c r="K85">
        <v>840.0</v>
      </c>
      <c r="L85">
        <v>924.0</v>
      </c>
      <c r="M85">
        <v>1008.0</v>
      </c>
      <c r="N85">
        <v>1092.0</v>
      </c>
      <c r="O85">
        <v>1176.0</v>
      </c>
      <c r="P85">
        <v>1260.0</v>
      </c>
      <c r="Q85">
        <v>1344.0</v>
      </c>
      <c r="R85">
        <v>1428.0</v>
      </c>
      <c r="S85">
        <v>1512.0</v>
      </c>
      <c r="T85">
        <v>1596.0</v>
      </c>
      <c r="U85">
        <v>1680.0</v>
      </c>
      <c r="V85">
        <v>1764.0</v>
      </c>
      <c r="W85">
        <v>1848.0</v>
      </c>
      <c r="X85">
        <v>1932.0</v>
      </c>
      <c r="Y85">
        <v>2016.0</v>
      </c>
      <c r="Z85">
        <v>2100.0</v>
      </c>
      <c r="AA85">
        <v>2184.0</v>
      </c>
      <c r="AB85">
        <v>2268.0</v>
      </c>
      <c r="AC85">
        <v>2352.0</v>
      </c>
      <c r="AD85">
        <v>2436.0</v>
      </c>
      <c r="AE85">
        <v>2520.0</v>
      </c>
      <c r="AF85">
        <v>2604.0</v>
      </c>
      <c r="AG85">
        <v>2688.0</v>
      </c>
      <c r="AH85">
        <v>2772.0</v>
      </c>
      <c r="AI85">
        <v>2856.0</v>
      </c>
      <c r="AJ85">
        <v>2940.0</v>
      </c>
      <c r="AK85">
        <v>3024.0</v>
      </c>
      <c r="AL85">
        <v>3108.0</v>
      </c>
      <c r="AM85">
        <v>3192.0</v>
      </c>
      <c r="AN85">
        <v>3276.0</v>
      </c>
      <c r="AO85">
        <v>3360.0</v>
      </c>
      <c r="AP85">
        <v>3444.0</v>
      </c>
      <c r="AQ85">
        <v>3528.0</v>
      </c>
      <c r="AR85">
        <v>3612.0</v>
      </c>
      <c r="AS85">
        <v>3696.0</v>
      </c>
      <c r="AT85">
        <v>3780.0</v>
      </c>
      <c r="AU85">
        <v>3864.0</v>
      </c>
      <c r="AV85">
        <v>3948.0</v>
      </c>
      <c r="AW85">
        <v>4032.0</v>
      </c>
      <c r="AX85">
        <v>4116.0</v>
      </c>
      <c r="AY85">
        <v>4200.0</v>
      </c>
      <c r="AZ85">
        <v>4284.0</v>
      </c>
      <c r="BA85">
        <v>4368.0</v>
      </c>
      <c r="BB85">
        <v>4452.0</v>
      </c>
      <c r="BC85">
        <v>4536.0</v>
      </c>
      <c r="BD85">
        <v>4620.0</v>
      </c>
      <c r="BE85">
        <v>4704.0</v>
      </c>
      <c r="BF85">
        <v>4788.0</v>
      </c>
      <c r="BG85">
        <v>4872.0</v>
      </c>
      <c r="BH85">
        <v>4956.0</v>
      </c>
      <c r="BI85">
        <v>5040.0</v>
      </c>
      <c r="BJ85">
        <v>5124.0</v>
      </c>
      <c r="BK85">
        <v>5208.0</v>
      </c>
      <c r="BL85">
        <v>5292.0</v>
      </c>
      <c r="BM85">
        <v>5376.0</v>
      </c>
      <c r="BN85">
        <v>5460.0</v>
      </c>
      <c r="BO85">
        <v>5544.0</v>
      </c>
      <c r="BP85">
        <v>5628.0</v>
      </c>
      <c r="BQ85">
        <v>5712.0</v>
      </c>
      <c r="BR85">
        <v>5796.0</v>
      </c>
      <c r="BS85">
        <v>5880.0</v>
      </c>
      <c r="BT85">
        <v>5964.0</v>
      </c>
      <c r="BU85">
        <v>6048.0</v>
      </c>
      <c r="BV85">
        <v>6132.0</v>
      </c>
      <c r="BW85">
        <v>6216.0</v>
      </c>
      <c r="BX85">
        <v>6300.0</v>
      </c>
      <c r="BY85">
        <v>6384.0</v>
      </c>
      <c r="BZ85">
        <v>6468.0</v>
      </c>
      <c r="CA85">
        <v>6552.0</v>
      </c>
      <c r="CB85">
        <v>6636.0</v>
      </c>
      <c r="CC85">
        <v>6720.0</v>
      </c>
      <c r="CD85">
        <v>6804.0</v>
      </c>
      <c r="CE85">
        <v>6888.0</v>
      </c>
      <c r="CF85">
        <v>6972.0</v>
      </c>
      <c r="CG85">
        <v>7056.0</v>
      </c>
      <c r="CH85">
        <v>7140.0</v>
      </c>
      <c r="CI85">
        <v>7224.0</v>
      </c>
      <c r="CJ85">
        <v>7308.0</v>
      </c>
      <c r="CK85">
        <v>7392.0</v>
      </c>
      <c r="CL85">
        <v>7476.0</v>
      </c>
      <c r="CM85">
        <v>7560.0</v>
      </c>
      <c r="CN85">
        <v>7644.0</v>
      </c>
      <c r="CO85">
        <v>7728.0</v>
      </c>
      <c r="CP85">
        <v>7812.0</v>
      </c>
      <c r="CQ85">
        <v>7896.0</v>
      </c>
      <c r="CR85">
        <v>7980.0</v>
      </c>
      <c r="CS85">
        <v>8064.0</v>
      </c>
      <c r="CT85">
        <v>8148.0</v>
      </c>
      <c r="CU85">
        <v>8232.0</v>
      </c>
      <c r="CV85">
        <v>8316.0</v>
      </c>
      <c r="CW85">
        <v>8400.0</v>
      </c>
      <c r="CX85">
        <v>8484.0</v>
      </c>
      <c r="CY85">
        <v>8568.0</v>
      </c>
      <c r="CZ85">
        <v>8652.0</v>
      </c>
    </row>
    <row r="86" ht="19.5" customHeight="1">
      <c r="A86" s="2">
        <v>85.0</v>
      </c>
      <c r="B86">
        <v>85.0</v>
      </c>
      <c r="C86">
        <v>170.0</v>
      </c>
      <c r="D86">
        <v>255.0</v>
      </c>
      <c r="E86">
        <v>340.0</v>
      </c>
      <c r="F86">
        <v>425.0</v>
      </c>
      <c r="G86">
        <v>510.0</v>
      </c>
      <c r="H86">
        <v>595.0</v>
      </c>
      <c r="I86">
        <v>680.0</v>
      </c>
      <c r="J86">
        <v>765.0</v>
      </c>
      <c r="K86">
        <v>850.0</v>
      </c>
      <c r="L86">
        <v>935.0</v>
      </c>
      <c r="M86">
        <v>1020.0</v>
      </c>
      <c r="N86">
        <v>1105.0</v>
      </c>
      <c r="O86">
        <v>1190.0</v>
      </c>
      <c r="P86">
        <v>1275.0</v>
      </c>
      <c r="Q86">
        <v>1360.0</v>
      </c>
      <c r="R86">
        <v>1445.0</v>
      </c>
      <c r="S86">
        <v>1530.0</v>
      </c>
      <c r="T86">
        <v>1615.0</v>
      </c>
      <c r="U86">
        <v>1700.0</v>
      </c>
      <c r="V86">
        <v>1785.0</v>
      </c>
      <c r="W86">
        <v>1870.0</v>
      </c>
      <c r="X86">
        <v>1955.0</v>
      </c>
      <c r="Y86">
        <v>2040.0</v>
      </c>
      <c r="Z86">
        <v>2125.0</v>
      </c>
      <c r="AA86">
        <v>2210.0</v>
      </c>
      <c r="AB86">
        <v>2295.0</v>
      </c>
      <c r="AC86">
        <v>2380.0</v>
      </c>
      <c r="AD86">
        <v>2465.0</v>
      </c>
      <c r="AE86">
        <v>2550.0</v>
      </c>
      <c r="AF86">
        <v>2635.0</v>
      </c>
      <c r="AG86">
        <v>2720.0</v>
      </c>
      <c r="AH86">
        <v>2805.0</v>
      </c>
      <c r="AI86">
        <v>2890.0</v>
      </c>
      <c r="AJ86">
        <v>2975.0</v>
      </c>
      <c r="AK86">
        <v>3060.0</v>
      </c>
      <c r="AL86">
        <v>3145.0</v>
      </c>
      <c r="AM86">
        <v>3230.0</v>
      </c>
      <c r="AN86">
        <v>3315.0</v>
      </c>
      <c r="AO86">
        <v>3400.0</v>
      </c>
      <c r="AP86">
        <v>3485.0</v>
      </c>
      <c r="AQ86">
        <v>3570.0</v>
      </c>
      <c r="AR86">
        <v>3655.0</v>
      </c>
      <c r="AS86">
        <v>3740.0</v>
      </c>
      <c r="AT86">
        <v>3825.0</v>
      </c>
      <c r="AU86">
        <v>3910.0</v>
      </c>
      <c r="AV86">
        <v>3995.0</v>
      </c>
      <c r="AW86">
        <v>4080.0</v>
      </c>
      <c r="AX86">
        <v>4165.0</v>
      </c>
      <c r="AY86">
        <v>4250.0</v>
      </c>
      <c r="AZ86">
        <v>4335.0</v>
      </c>
      <c r="BA86">
        <v>4420.0</v>
      </c>
      <c r="BB86">
        <v>4505.0</v>
      </c>
      <c r="BC86">
        <v>4590.0</v>
      </c>
      <c r="BD86">
        <v>4675.0</v>
      </c>
      <c r="BE86">
        <v>4760.0</v>
      </c>
      <c r="BF86">
        <v>4845.0</v>
      </c>
      <c r="BG86">
        <v>4930.0</v>
      </c>
      <c r="BH86">
        <v>5015.0</v>
      </c>
      <c r="BI86">
        <v>5100.0</v>
      </c>
      <c r="BJ86">
        <v>5185.0</v>
      </c>
      <c r="BK86">
        <v>5270.0</v>
      </c>
      <c r="BL86">
        <v>5355.0</v>
      </c>
      <c r="BM86">
        <v>5440.0</v>
      </c>
      <c r="BN86">
        <v>5525.0</v>
      </c>
      <c r="BO86">
        <v>5610.0</v>
      </c>
      <c r="BP86">
        <v>5695.0</v>
      </c>
      <c r="BQ86">
        <v>5780.0</v>
      </c>
      <c r="BR86">
        <v>5865.0</v>
      </c>
      <c r="BS86">
        <v>5950.0</v>
      </c>
      <c r="BT86">
        <v>6035.0</v>
      </c>
      <c r="BU86">
        <v>6120.0</v>
      </c>
      <c r="BV86">
        <v>6205.0</v>
      </c>
      <c r="BW86">
        <v>6290.0</v>
      </c>
      <c r="BX86">
        <v>6375.0</v>
      </c>
      <c r="BY86">
        <v>6460.0</v>
      </c>
      <c r="BZ86">
        <v>6545.0</v>
      </c>
      <c r="CA86">
        <v>6630.0</v>
      </c>
      <c r="CB86">
        <v>6715.0</v>
      </c>
      <c r="CC86">
        <v>6800.0</v>
      </c>
      <c r="CD86">
        <v>6885.0</v>
      </c>
      <c r="CE86">
        <v>6970.0</v>
      </c>
      <c r="CF86">
        <v>7055.0</v>
      </c>
      <c r="CG86">
        <v>7140.0</v>
      </c>
      <c r="CH86">
        <v>7225.0</v>
      </c>
      <c r="CI86">
        <v>7310.0</v>
      </c>
      <c r="CJ86">
        <v>7395.0</v>
      </c>
      <c r="CK86">
        <v>7480.0</v>
      </c>
      <c r="CL86">
        <v>7565.0</v>
      </c>
      <c r="CM86">
        <v>7650.0</v>
      </c>
      <c r="CN86">
        <v>7735.0</v>
      </c>
      <c r="CO86">
        <v>7820.0</v>
      </c>
      <c r="CP86">
        <v>7905.0</v>
      </c>
      <c r="CQ86">
        <v>7990.0</v>
      </c>
      <c r="CR86">
        <v>8075.0</v>
      </c>
      <c r="CS86">
        <v>8160.0</v>
      </c>
      <c r="CT86">
        <v>8245.0</v>
      </c>
      <c r="CU86">
        <v>8330.0</v>
      </c>
      <c r="CV86">
        <v>8415.0</v>
      </c>
      <c r="CW86">
        <v>8500.0</v>
      </c>
      <c r="CX86">
        <v>8585.0</v>
      </c>
      <c r="CY86">
        <v>8670.0</v>
      </c>
      <c r="CZ86">
        <v>8755.0</v>
      </c>
    </row>
    <row r="87" ht="19.5" customHeight="1">
      <c r="A87" s="2">
        <v>86.0</v>
      </c>
      <c r="B87">
        <v>86.0</v>
      </c>
      <c r="C87">
        <v>172.0</v>
      </c>
      <c r="D87">
        <v>258.0</v>
      </c>
      <c r="E87">
        <v>344.0</v>
      </c>
      <c r="F87">
        <v>430.0</v>
      </c>
      <c r="G87">
        <v>516.0</v>
      </c>
      <c r="H87">
        <v>602.0</v>
      </c>
      <c r="I87">
        <v>688.0</v>
      </c>
      <c r="J87">
        <v>774.0</v>
      </c>
      <c r="K87">
        <v>860.0</v>
      </c>
      <c r="L87">
        <v>946.0</v>
      </c>
      <c r="M87">
        <v>1032.0</v>
      </c>
      <c r="N87">
        <v>1118.0</v>
      </c>
      <c r="O87">
        <v>1204.0</v>
      </c>
      <c r="P87">
        <v>1290.0</v>
      </c>
      <c r="Q87">
        <v>1376.0</v>
      </c>
      <c r="R87">
        <v>1462.0</v>
      </c>
      <c r="S87">
        <v>1548.0</v>
      </c>
      <c r="T87">
        <v>1634.0</v>
      </c>
      <c r="U87">
        <v>1720.0</v>
      </c>
      <c r="V87">
        <v>1806.0</v>
      </c>
      <c r="W87">
        <v>1892.0</v>
      </c>
      <c r="X87">
        <v>1978.0</v>
      </c>
      <c r="Y87">
        <v>2064.0</v>
      </c>
      <c r="Z87">
        <v>2150.0</v>
      </c>
      <c r="AA87">
        <v>2236.0</v>
      </c>
      <c r="AB87">
        <v>2322.0</v>
      </c>
      <c r="AC87">
        <v>2408.0</v>
      </c>
      <c r="AD87">
        <v>2494.0</v>
      </c>
      <c r="AE87">
        <v>2580.0</v>
      </c>
      <c r="AF87">
        <v>2666.0</v>
      </c>
      <c r="AG87">
        <v>2752.0</v>
      </c>
      <c r="AH87">
        <v>2838.0</v>
      </c>
      <c r="AI87">
        <v>2924.0</v>
      </c>
      <c r="AJ87">
        <v>3010.0</v>
      </c>
      <c r="AK87">
        <v>3096.0</v>
      </c>
      <c r="AL87">
        <v>3182.0</v>
      </c>
      <c r="AM87">
        <v>3268.0</v>
      </c>
      <c r="AN87">
        <v>3354.0</v>
      </c>
      <c r="AO87">
        <v>3440.0</v>
      </c>
      <c r="AP87">
        <v>3526.0</v>
      </c>
      <c r="AQ87">
        <v>3612.0</v>
      </c>
      <c r="AR87">
        <v>3698.0</v>
      </c>
      <c r="AS87">
        <v>3784.0</v>
      </c>
      <c r="AT87">
        <v>3870.0</v>
      </c>
      <c r="AU87">
        <v>3956.0</v>
      </c>
      <c r="AV87">
        <v>4042.0</v>
      </c>
      <c r="AW87">
        <v>4128.0</v>
      </c>
      <c r="AX87">
        <v>4214.0</v>
      </c>
      <c r="AY87">
        <v>4300.0</v>
      </c>
      <c r="AZ87">
        <v>4386.0</v>
      </c>
      <c r="BA87">
        <v>4472.0</v>
      </c>
      <c r="BB87">
        <v>4558.0</v>
      </c>
      <c r="BC87">
        <v>4644.0</v>
      </c>
      <c r="BD87">
        <v>4730.0</v>
      </c>
      <c r="BE87">
        <v>4816.0</v>
      </c>
      <c r="BF87">
        <v>4902.0</v>
      </c>
      <c r="BG87">
        <v>4988.0</v>
      </c>
      <c r="BH87">
        <v>5074.0</v>
      </c>
      <c r="BI87">
        <v>5160.0</v>
      </c>
      <c r="BJ87">
        <v>5246.0</v>
      </c>
      <c r="BK87">
        <v>5332.0</v>
      </c>
      <c r="BL87">
        <v>5418.0</v>
      </c>
      <c r="BM87">
        <v>5504.0</v>
      </c>
      <c r="BN87">
        <v>5590.0</v>
      </c>
      <c r="BO87">
        <v>5676.0</v>
      </c>
      <c r="BP87">
        <v>5762.0</v>
      </c>
      <c r="BQ87">
        <v>5848.0</v>
      </c>
      <c r="BR87">
        <v>5934.0</v>
      </c>
      <c r="BS87">
        <v>6020.0</v>
      </c>
      <c r="BT87">
        <v>6106.0</v>
      </c>
      <c r="BU87">
        <v>6192.0</v>
      </c>
      <c r="BV87">
        <v>6278.0</v>
      </c>
      <c r="BW87">
        <v>6364.0</v>
      </c>
      <c r="BX87">
        <v>6450.0</v>
      </c>
      <c r="BY87">
        <v>6536.0</v>
      </c>
      <c r="BZ87">
        <v>6622.0</v>
      </c>
      <c r="CA87">
        <v>6708.0</v>
      </c>
      <c r="CB87">
        <v>6794.0</v>
      </c>
      <c r="CC87">
        <v>6880.0</v>
      </c>
      <c r="CD87">
        <v>6966.0</v>
      </c>
      <c r="CE87">
        <v>7052.0</v>
      </c>
      <c r="CF87">
        <v>7138.0</v>
      </c>
      <c r="CG87">
        <v>7224.0</v>
      </c>
      <c r="CH87">
        <v>7310.0</v>
      </c>
      <c r="CI87">
        <v>7396.0</v>
      </c>
      <c r="CJ87">
        <v>7482.0</v>
      </c>
      <c r="CK87">
        <v>7568.0</v>
      </c>
      <c r="CL87">
        <v>7654.0</v>
      </c>
      <c r="CM87">
        <v>7740.0</v>
      </c>
      <c r="CN87">
        <v>7826.0</v>
      </c>
      <c r="CO87">
        <v>7912.0</v>
      </c>
      <c r="CP87">
        <v>7998.0</v>
      </c>
      <c r="CQ87">
        <v>8084.0</v>
      </c>
      <c r="CR87">
        <v>8170.0</v>
      </c>
      <c r="CS87">
        <v>8256.0</v>
      </c>
      <c r="CT87">
        <v>8342.0</v>
      </c>
      <c r="CU87">
        <v>8428.0</v>
      </c>
      <c r="CV87">
        <v>8514.0</v>
      </c>
      <c r="CW87">
        <v>8600.0</v>
      </c>
      <c r="CX87">
        <v>8686.0</v>
      </c>
      <c r="CY87">
        <v>8772.0</v>
      </c>
      <c r="CZ87">
        <v>8858.0</v>
      </c>
    </row>
    <row r="88" ht="19.5" customHeight="1">
      <c r="A88" s="2">
        <v>87.0</v>
      </c>
      <c r="B88">
        <v>87.0</v>
      </c>
      <c r="C88">
        <v>174.0</v>
      </c>
      <c r="D88">
        <v>261.0</v>
      </c>
      <c r="E88">
        <v>348.0</v>
      </c>
      <c r="F88">
        <v>435.0</v>
      </c>
      <c r="G88">
        <v>522.0</v>
      </c>
      <c r="H88">
        <v>609.0</v>
      </c>
      <c r="I88">
        <v>696.0</v>
      </c>
      <c r="J88">
        <v>783.0</v>
      </c>
      <c r="K88">
        <v>870.0</v>
      </c>
      <c r="L88">
        <v>957.0</v>
      </c>
      <c r="M88">
        <v>1044.0</v>
      </c>
      <c r="N88">
        <v>1131.0</v>
      </c>
      <c r="O88">
        <v>1218.0</v>
      </c>
      <c r="P88">
        <v>1305.0</v>
      </c>
      <c r="Q88">
        <v>1392.0</v>
      </c>
      <c r="R88">
        <v>1479.0</v>
      </c>
      <c r="S88">
        <v>1566.0</v>
      </c>
      <c r="T88">
        <v>1653.0</v>
      </c>
      <c r="U88">
        <v>1740.0</v>
      </c>
      <c r="V88">
        <v>1827.0</v>
      </c>
      <c r="W88">
        <v>1914.0</v>
      </c>
      <c r="X88">
        <v>2001.0</v>
      </c>
      <c r="Y88">
        <v>2088.0</v>
      </c>
      <c r="Z88">
        <v>2175.0</v>
      </c>
      <c r="AA88">
        <v>2262.0</v>
      </c>
      <c r="AB88">
        <v>2349.0</v>
      </c>
      <c r="AC88">
        <v>2436.0</v>
      </c>
      <c r="AD88">
        <v>2523.0</v>
      </c>
      <c r="AE88">
        <v>2610.0</v>
      </c>
      <c r="AF88">
        <v>2697.0</v>
      </c>
      <c r="AG88">
        <v>2784.0</v>
      </c>
      <c r="AH88">
        <v>2871.0</v>
      </c>
      <c r="AI88">
        <v>2958.0</v>
      </c>
      <c r="AJ88">
        <v>3045.0</v>
      </c>
      <c r="AK88">
        <v>3132.0</v>
      </c>
      <c r="AL88">
        <v>3219.0</v>
      </c>
      <c r="AM88">
        <v>3306.0</v>
      </c>
      <c r="AN88">
        <v>3393.0</v>
      </c>
      <c r="AO88">
        <v>3480.0</v>
      </c>
      <c r="AP88">
        <v>3567.0</v>
      </c>
      <c r="AQ88">
        <v>3654.0</v>
      </c>
      <c r="AR88">
        <v>3741.0</v>
      </c>
      <c r="AS88">
        <v>3828.0</v>
      </c>
      <c r="AT88">
        <v>3915.0</v>
      </c>
      <c r="AU88">
        <v>4002.0</v>
      </c>
      <c r="AV88">
        <v>4089.0</v>
      </c>
      <c r="AW88">
        <v>4176.0</v>
      </c>
      <c r="AX88">
        <v>4263.0</v>
      </c>
      <c r="AY88">
        <v>4350.0</v>
      </c>
      <c r="AZ88">
        <v>4437.0</v>
      </c>
      <c r="BA88">
        <v>4524.0</v>
      </c>
      <c r="BB88">
        <v>4611.0</v>
      </c>
      <c r="BC88">
        <v>4698.0</v>
      </c>
      <c r="BD88">
        <v>4785.0</v>
      </c>
      <c r="BE88">
        <v>4872.0</v>
      </c>
      <c r="BF88">
        <v>4959.0</v>
      </c>
      <c r="BG88">
        <v>5046.0</v>
      </c>
      <c r="BH88">
        <v>5133.0</v>
      </c>
      <c r="BI88">
        <v>5220.0</v>
      </c>
      <c r="BJ88">
        <v>5307.0</v>
      </c>
      <c r="BK88">
        <v>5394.0</v>
      </c>
      <c r="BL88">
        <v>5481.0</v>
      </c>
      <c r="BM88">
        <v>5568.0</v>
      </c>
      <c r="BN88">
        <v>5655.0</v>
      </c>
      <c r="BO88">
        <v>5742.0</v>
      </c>
      <c r="BP88">
        <v>5829.0</v>
      </c>
      <c r="BQ88">
        <v>5916.0</v>
      </c>
      <c r="BR88">
        <v>6003.0</v>
      </c>
      <c r="BS88">
        <v>6090.0</v>
      </c>
      <c r="BT88">
        <v>6177.0</v>
      </c>
      <c r="BU88">
        <v>6264.0</v>
      </c>
      <c r="BV88">
        <v>6351.0</v>
      </c>
      <c r="BW88">
        <v>6438.0</v>
      </c>
      <c r="BX88">
        <v>6525.0</v>
      </c>
      <c r="BY88">
        <v>6612.0</v>
      </c>
      <c r="BZ88">
        <v>6699.0</v>
      </c>
      <c r="CA88">
        <v>6786.0</v>
      </c>
      <c r="CB88">
        <v>6873.0</v>
      </c>
      <c r="CC88">
        <v>6960.0</v>
      </c>
      <c r="CD88">
        <v>7047.0</v>
      </c>
      <c r="CE88">
        <v>7134.0</v>
      </c>
      <c r="CF88">
        <v>7221.0</v>
      </c>
      <c r="CG88">
        <v>7308.0</v>
      </c>
      <c r="CH88">
        <v>7395.0</v>
      </c>
      <c r="CI88">
        <v>7482.0</v>
      </c>
      <c r="CJ88">
        <v>7569.0</v>
      </c>
      <c r="CK88">
        <v>7656.0</v>
      </c>
      <c r="CL88">
        <v>7743.0</v>
      </c>
      <c r="CM88">
        <v>7830.0</v>
      </c>
      <c r="CN88">
        <v>7917.0</v>
      </c>
      <c r="CO88">
        <v>8004.0</v>
      </c>
      <c r="CP88">
        <v>8091.0</v>
      </c>
      <c r="CQ88">
        <v>8178.0</v>
      </c>
      <c r="CR88">
        <v>8265.0</v>
      </c>
      <c r="CS88">
        <v>8352.0</v>
      </c>
      <c r="CT88">
        <v>8439.0</v>
      </c>
      <c r="CU88">
        <v>8526.0</v>
      </c>
      <c r="CV88">
        <v>8613.0</v>
      </c>
      <c r="CW88">
        <v>8700.0</v>
      </c>
      <c r="CX88">
        <v>8787.0</v>
      </c>
      <c r="CY88">
        <v>8874.0</v>
      </c>
      <c r="CZ88">
        <v>8961.0</v>
      </c>
    </row>
    <row r="89" ht="19.5" customHeight="1">
      <c r="A89" s="2">
        <v>88.0</v>
      </c>
      <c r="B89">
        <v>88.0</v>
      </c>
      <c r="C89">
        <v>176.0</v>
      </c>
      <c r="D89">
        <v>264.0</v>
      </c>
      <c r="E89">
        <v>352.0</v>
      </c>
      <c r="F89">
        <v>440.0</v>
      </c>
      <c r="G89">
        <v>528.0</v>
      </c>
      <c r="H89">
        <v>616.0</v>
      </c>
      <c r="I89">
        <v>704.0</v>
      </c>
      <c r="J89">
        <v>792.0</v>
      </c>
      <c r="K89">
        <v>880.0</v>
      </c>
      <c r="L89">
        <v>968.0</v>
      </c>
      <c r="M89">
        <v>1056.0</v>
      </c>
      <c r="N89">
        <v>1144.0</v>
      </c>
      <c r="O89">
        <v>1232.0</v>
      </c>
      <c r="P89">
        <v>1320.0</v>
      </c>
      <c r="Q89">
        <v>1408.0</v>
      </c>
      <c r="R89">
        <v>1496.0</v>
      </c>
      <c r="S89">
        <v>1584.0</v>
      </c>
      <c r="T89">
        <v>1672.0</v>
      </c>
      <c r="U89">
        <v>1760.0</v>
      </c>
      <c r="V89">
        <v>1848.0</v>
      </c>
      <c r="W89">
        <v>1936.0</v>
      </c>
      <c r="X89">
        <v>2024.0</v>
      </c>
      <c r="Y89">
        <v>2112.0</v>
      </c>
      <c r="Z89">
        <v>2200.0</v>
      </c>
      <c r="AA89">
        <v>2288.0</v>
      </c>
      <c r="AB89">
        <v>2376.0</v>
      </c>
      <c r="AC89">
        <v>2464.0</v>
      </c>
      <c r="AD89">
        <v>2552.0</v>
      </c>
      <c r="AE89">
        <v>2640.0</v>
      </c>
      <c r="AF89">
        <v>2728.0</v>
      </c>
      <c r="AG89">
        <v>2816.0</v>
      </c>
      <c r="AH89">
        <v>2904.0</v>
      </c>
      <c r="AI89">
        <v>2992.0</v>
      </c>
      <c r="AJ89">
        <v>3080.0</v>
      </c>
      <c r="AK89">
        <v>3168.0</v>
      </c>
      <c r="AL89">
        <v>3256.0</v>
      </c>
      <c r="AM89">
        <v>3344.0</v>
      </c>
      <c r="AN89">
        <v>3432.0</v>
      </c>
      <c r="AO89">
        <v>3520.0</v>
      </c>
      <c r="AP89">
        <v>3608.0</v>
      </c>
      <c r="AQ89">
        <v>3696.0</v>
      </c>
      <c r="AR89">
        <v>3784.0</v>
      </c>
      <c r="AS89">
        <v>3872.0</v>
      </c>
      <c r="AT89">
        <v>3960.0</v>
      </c>
      <c r="AU89">
        <v>4048.0</v>
      </c>
      <c r="AV89">
        <v>4136.0</v>
      </c>
      <c r="AW89">
        <v>4224.0</v>
      </c>
      <c r="AX89">
        <v>4312.0</v>
      </c>
      <c r="AY89">
        <v>4400.0</v>
      </c>
      <c r="AZ89">
        <v>4488.0</v>
      </c>
      <c r="BA89">
        <v>4576.0</v>
      </c>
      <c r="BB89">
        <v>4664.0</v>
      </c>
      <c r="BC89">
        <v>4752.0</v>
      </c>
      <c r="BD89">
        <v>4840.0</v>
      </c>
      <c r="BE89">
        <v>4928.0</v>
      </c>
      <c r="BF89">
        <v>5016.0</v>
      </c>
      <c r="BG89">
        <v>5104.0</v>
      </c>
      <c r="BH89">
        <v>5192.0</v>
      </c>
      <c r="BI89">
        <v>5280.0</v>
      </c>
      <c r="BJ89">
        <v>5368.0</v>
      </c>
      <c r="BK89">
        <v>5456.0</v>
      </c>
      <c r="BL89">
        <v>5544.0</v>
      </c>
      <c r="BM89">
        <v>5632.0</v>
      </c>
      <c r="BN89">
        <v>5720.0</v>
      </c>
      <c r="BO89">
        <v>5808.0</v>
      </c>
      <c r="BP89">
        <v>5896.0</v>
      </c>
      <c r="BQ89">
        <v>5984.0</v>
      </c>
      <c r="BR89">
        <v>6072.0</v>
      </c>
      <c r="BS89">
        <v>6160.0</v>
      </c>
      <c r="BT89">
        <v>6248.0</v>
      </c>
      <c r="BU89">
        <v>6336.0</v>
      </c>
      <c r="BV89">
        <v>6424.0</v>
      </c>
      <c r="BW89">
        <v>6512.0</v>
      </c>
      <c r="BX89">
        <v>6600.0</v>
      </c>
      <c r="BY89">
        <v>6688.0</v>
      </c>
      <c r="BZ89">
        <v>6776.0</v>
      </c>
      <c r="CA89">
        <v>6864.0</v>
      </c>
      <c r="CB89">
        <v>6952.0</v>
      </c>
      <c r="CC89">
        <v>7040.0</v>
      </c>
      <c r="CD89">
        <v>7128.0</v>
      </c>
      <c r="CE89">
        <v>7216.0</v>
      </c>
      <c r="CF89">
        <v>7304.0</v>
      </c>
      <c r="CG89">
        <v>7392.0</v>
      </c>
      <c r="CH89">
        <v>7480.0</v>
      </c>
      <c r="CI89">
        <v>7568.0</v>
      </c>
      <c r="CJ89">
        <v>7656.0</v>
      </c>
      <c r="CK89">
        <v>7744.0</v>
      </c>
      <c r="CL89">
        <v>7832.0</v>
      </c>
      <c r="CM89">
        <v>7920.0</v>
      </c>
      <c r="CN89">
        <v>8008.0</v>
      </c>
      <c r="CO89">
        <v>8096.0</v>
      </c>
      <c r="CP89">
        <v>8184.0</v>
      </c>
      <c r="CQ89">
        <v>8272.0</v>
      </c>
      <c r="CR89">
        <v>8360.0</v>
      </c>
      <c r="CS89">
        <v>8448.0</v>
      </c>
      <c r="CT89">
        <v>8536.0</v>
      </c>
      <c r="CU89">
        <v>8624.0</v>
      </c>
      <c r="CV89">
        <v>8712.0</v>
      </c>
      <c r="CW89">
        <v>8800.0</v>
      </c>
      <c r="CX89">
        <v>8888.0</v>
      </c>
      <c r="CY89">
        <v>8976.0</v>
      </c>
      <c r="CZ89">
        <v>9064.0</v>
      </c>
    </row>
    <row r="90" ht="19.5" customHeight="1">
      <c r="A90" s="2">
        <v>89.0</v>
      </c>
      <c r="B90">
        <v>89.0</v>
      </c>
      <c r="C90">
        <v>178.0</v>
      </c>
      <c r="D90">
        <v>267.0</v>
      </c>
      <c r="E90">
        <v>356.0</v>
      </c>
      <c r="F90">
        <v>445.0</v>
      </c>
      <c r="G90">
        <v>534.0</v>
      </c>
      <c r="H90">
        <v>623.0</v>
      </c>
      <c r="I90">
        <v>712.0</v>
      </c>
      <c r="J90">
        <v>801.0</v>
      </c>
      <c r="K90">
        <v>890.0</v>
      </c>
      <c r="L90">
        <v>979.0</v>
      </c>
      <c r="M90">
        <v>1068.0</v>
      </c>
      <c r="N90">
        <v>1157.0</v>
      </c>
      <c r="O90">
        <v>1246.0</v>
      </c>
      <c r="P90">
        <v>1335.0</v>
      </c>
      <c r="Q90">
        <v>1424.0</v>
      </c>
      <c r="R90">
        <v>1513.0</v>
      </c>
      <c r="S90">
        <v>1602.0</v>
      </c>
      <c r="T90">
        <v>1691.0</v>
      </c>
      <c r="U90">
        <v>1780.0</v>
      </c>
      <c r="V90">
        <v>1869.0</v>
      </c>
      <c r="W90">
        <v>1958.0</v>
      </c>
      <c r="X90">
        <v>2047.0</v>
      </c>
      <c r="Y90">
        <v>2136.0</v>
      </c>
      <c r="Z90">
        <v>2225.0</v>
      </c>
      <c r="AA90">
        <v>2314.0</v>
      </c>
      <c r="AB90">
        <v>2403.0</v>
      </c>
      <c r="AC90">
        <v>2492.0</v>
      </c>
      <c r="AD90">
        <v>2581.0</v>
      </c>
      <c r="AE90">
        <v>2670.0</v>
      </c>
      <c r="AF90">
        <v>2759.0</v>
      </c>
      <c r="AG90">
        <v>2848.0</v>
      </c>
      <c r="AH90">
        <v>2937.0</v>
      </c>
      <c r="AI90">
        <v>3026.0</v>
      </c>
      <c r="AJ90">
        <v>3115.0</v>
      </c>
      <c r="AK90">
        <v>3204.0</v>
      </c>
      <c r="AL90">
        <v>3293.0</v>
      </c>
      <c r="AM90">
        <v>3382.0</v>
      </c>
      <c r="AN90">
        <v>3471.0</v>
      </c>
      <c r="AO90">
        <v>3560.0</v>
      </c>
      <c r="AP90">
        <v>3649.0</v>
      </c>
      <c r="AQ90">
        <v>3738.0</v>
      </c>
      <c r="AR90">
        <v>3827.0</v>
      </c>
      <c r="AS90">
        <v>3916.0</v>
      </c>
      <c r="AT90">
        <v>4005.0</v>
      </c>
      <c r="AU90">
        <v>4094.0</v>
      </c>
      <c r="AV90">
        <v>4183.0</v>
      </c>
      <c r="AW90">
        <v>4272.0</v>
      </c>
      <c r="AX90">
        <v>4361.0</v>
      </c>
      <c r="AY90">
        <v>4450.0</v>
      </c>
      <c r="AZ90">
        <v>4539.0</v>
      </c>
      <c r="BA90">
        <v>4628.0</v>
      </c>
      <c r="BB90">
        <v>4717.0</v>
      </c>
      <c r="BC90">
        <v>4806.0</v>
      </c>
      <c r="BD90">
        <v>4895.0</v>
      </c>
      <c r="BE90">
        <v>4984.0</v>
      </c>
      <c r="BF90">
        <v>5073.0</v>
      </c>
      <c r="BG90">
        <v>5162.0</v>
      </c>
      <c r="BH90">
        <v>5251.0</v>
      </c>
      <c r="BI90">
        <v>5340.0</v>
      </c>
      <c r="BJ90">
        <v>5429.0</v>
      </c>
      <c r="BK90">
        <v>5518.0</v>
      </c>
      <c r="BL90">
        <v>5607.0</v>
      </c>
      <c r="BM90">
        <v>5696.0</v>
      </c>
      <c r="BN90">
        <v>5785.0</v>
      </c>
      <c r="BO90">
        <v>5874.0</v>
      </c>
      <c r="BP90">
        <v>5963.0</v>
      </c>
      <c r="BQ90">
        <v>6052.0</v>
      </c>
      <c r="BR90">
        <v>6141.0</v>
      </c>
      <c r="BS90">
        <v>6230.0</v>
      </c>
      <c r="BT90">
        <v>6319.0</v>
      </c>
      <c r="BU90">
        <v>6408.0</v>
      </c>
      <c r="BV90">
        <v>6497.0</v>
      </c>
      <c r="BW90">
        <v>6586.0</v>
      </c>
      <c r="BX90">
        <v>6675.0</v>
      </c>
      <c r="BY90">
        <v>6764.0</v>
      </c>
      <c r="BZ90">
        <v>6853.0</v>
      </c>
      <c r="CA90">
        <v>6942.0</v>
      </c>
      <c r="CB90">
        <v>7031.0</v>
      </c>
      <c r="CC90">
        <v>7120.0</v>
      </c>
      <c r="CD90">
        <v>7209.0</v>
      </c>
      <c r="CE90">
        <v>7298.0</v>
      </c>
      <c r="CF90">
        <v>7387.0</v>
      </c>
      <c r="CG90">
        <v>7476.0</v>
      </c>
      <c r="CH90">
        <v>7565.0</v>
      </c>
      <c r="CI90">
        <v>7654.0</v>
      </c>
      <c r="CJ90">
        <v>7743.0</v>
      </c>
      <c r="CK90">
        <v>7832.0</v>
      </c>
      <c r="CL90">
        <v>7921.0</v>
      </c>
      <c r="CM90">
        <v>8010.0</v>
      </c>
      <c r="CN90">
        <v>8099.0</v>
      </c>
      <c r="CO90">
        <v>8188.0</v>
      </c>
      <c r="CP90">
        <v>8277.0</v>
      </c>
      <c r="CQ90">
        <v>8366.0</v>
      </c>
      <c r="CR90">
        <v>8455.0</v>
      </c>
      <c r="CS90">
        <v>8544.0</v>
      </c>
      <c r="CT90">
        <v>8633.0</v>
      </c>
      <c r="CU90">
        <v>8722.0</v>
      </c>
      <c r="CV90">
        <v>8811.0</v>
      </c>
      <c r="CW90">
        <v>8900.0</v>
      </c>
      <c r="CX90">
        <v>8989.0</v>
      </c>
      <c r="CY90">
        <v>9078.0</v>
      </c>
      <c r="CZ90">
        <v>9167.0</v>
      </c>
    </row>
    <row r="91" ht="19.5" customHeight="1">
      <c r="A91" s="2">
        <v>90.0</v>
      </c>
      <c r="B91">
        <v>90.0</v>
      </c>
      <c r="C91">
        <v>180.0</v>
      </c>
      <c r="D91">
        <v>270.0</v>
      </c>
      <c r="E91">
        <v>360.0</v>
      </c>
      <c r="F91">
        <v>450.0</v>
      </c>
      <c r="G91">
        <v>540.0</v>
      </c>
      <c r="H91">
        <v>630.0</v>
      </c>
      <c r="I91">
        <v>720.0</v>
      </c>
      <c r="J91">
        <v>810.0</v>
      </c>
      <c r="K91">
        <v>900.0</v>
      </c>
      <c r="L91">
        <v>990.0</v>
      </c>
      <c r="M91">
        <v>1080.0</v>
      </c>
      <c r="N91">
        <v>1170.0</v>
      </c>
      <c r="O91">
        <v>1260.0</v>
      </c>
      <c r="P91">
        <v>1350.0</v>
      </c>
      <c r="Q91">
        <v>1440.0</v>
      </c>
      <c r="R91">
        <v>1530.0</v>
      </c>
      <c r="S91">
        <v>1620.0</v>
      </c>
      <c r="T91">
        <v>1710.0</v>
      </c>
      <c r="U91">
        <v>1800.0</v>
      </c>
      <c r="V91">
        <v>1890.0</v>
      </c>
      <c r="W91">
        <v>1980.0</v>
      </c>
      <c r="X91">
        <v>2070.0</v>
      </c>
      <c r="Y91">
        <v>2160.0</v>
      </c>
      <c r="Z91">
        <v>2250.0</v>
      </c>
      <c r="AA91">
        <v>2340.0</v>
      </c>
      <c r="AB91">
        <v>2430.0</v>
      </c>
      <c r="AC91">
        <v>2520.0</v>
      </c>
      <c r="AD91">
        <v>2610.0</v>
      </c>
      <c r="AE91">
        <v>2700.0</v>
      </c>
      <c r="AF91">
        <v>2790.0</v>
      </c>
      <c r="AG91">
        <v>2880.0</v>
      </c>
      <c r="AH91">
        <v>2970.0</v>
      </c>
      <c r="AI91">
        <v>3060.0</v>
      </c>
      <c r="AJ91">
        <v>3150.0</v>
      </c>
      <c r="AK91">
        <v>3240.0</v>
      </c>
      <c r="AL91">
        <v>3330.0</v>
      </c>
      <c r="AM91">
        <v>3420.0</v>
      </c>
      <c r="AN91">
        <v>3510.0</v>
      </c>
      <c r="AO91">
        <v>3600.0</v>
      </c>
      <c r="AP91">
        <v>3690.0</v>
      </c>
      <c r="AQ91">
        <v>3780.0</v>
      </c>
      <c r="AR91">
        <v>3870.0</v>
      </c>
      <c r="AS91">
        <v>3960.0</v>
      </c>
      <c r="AT91">
        <v>4050.0</v>
      </c>
      <c r="AU91">
        <v>4140.0</v>
      </c>
      <c r="AV91">
        <v>4230.0</v>
      </c>
      <c r="AW91">
        <v>4320.0</v>
      </c>
      <c r="AX91">
        <v>4410.0</v>
      </c>
      <c r="AY91">
        <v>4500.0</v>
      </c>
      <c r="AZ91">
        <v>4590.0</v>
      </c>
      <c r="BA91">
        <v>4680.0</v>
      </c>
      <c r="BB91">
        <v>4770.0</v>
      </c>
      <c r="BC91">
        <v>4860.0</v>
      </c>
      <c r="BD91">
        <v>4950.0</v>
      </c>
      <c r="BE91">
        <v>5040.0</v>
      </c>
      <c r="BF91">
        <v>5130.0</v>
      </c>
      <c r="BG91">
        <v>5220.0</v>
      </c>
      <c r="BH91">
        <v>5310.0</v>
      </c>
      <c r="BI91">
        <v>5400.0</v>
      </c>
      <c r="BJ91">
        <v>5490.0</v>
      </c>
      <c r="BK91">
        <v>5580.0</v>
      </c>
      <c r="BL91">
        <v>5670.0</v>
      </c>
      <c r="BM91">
        <v>5760.0</v>
      </c>
      <c r="BN91">
        <v>5850.0</v>
      </c>
      <c r="BO91">
        <v>5940.0</v>
      </c>
      <c r="BP91">
        <v>6030.0</v>
      </c>
      <c r="BQ91">
        <v>6120.0</v>
      </c>
      <c r="BR91">
        <v>6210.0</v>
      </c>
      <c r="BS91">
        <v>6300.0</v>
      </c>
      <c r="BT91">
        <v>6390.0</v>
      </c>
      <c r="BU91">
        <v>6480.0</v>
      </c>
      <c r="BV91">
        <v>6570.0</v>
      </c>
      <c r="BW91">
        <v>6660.0</v>
      </c>
      <c r="BX91">
        <v>6750.0</v>
      </c>
      <c r="BY91">
        <v>6840.0</v>
      </c>
      <c r="BZ91">
        <v>6930.0</v>
      </c>
      <c r="CA91">
        <v>7020.0</v>
      </c>
      <c r="CB91">
        <v>7110.0</v>
      </c>
      <c r="CC91">
        <v>7200.0</v>
      </c>
      <c r="CD91">
        <v>7290.0</v>
      </c>
      <c r="CE91">
        <v>7380.0</v>
      </c>
      <c r="CF91">
        <v>7470.0</v>
      </c>
      <c r="CG91">
        <v>7560.0</v>
      </c>
      <c r="CH91">
        <v>7650.0</v>
      </c>
      <c r="CI91">
        <v>7740.0</v>
      </c>
      <c r="CJ91">
        <v>7830.0</v>
      </c>
      <c r="CK91">
        <v>7920.0</v>
      </c>
      <c r="CL91">
        <v>8010.0</v>
      </c>
      <c r="CM91">
        <v>8100.0</v>
      </c>
      <c r="CN91">
        <v>8190.0</v>
      </c>
      <c r="CO91">
        <v>8280.0</v>
      </c>
      <c r="CP91">
        <v>8370.0</v>
      </c>
      <c r="CQ91">
        <v>8460.0</v>
      </c>
      <c r="CR91">
        <v>8550.0</v>
      </c>
      <c r="CS91">
        <v>8640.0</v>
      </c>
      <c r="CT91">
        <v>8730.0</v>
      </c>
      <c r="CU91">
        <v>8820.0</v>
      </c>
      <c r="CV91">
        <v>8910.0</v>
      </c>
      <c r="CW91">
        <v>9000.0</v>
      </c>
      <c r="CX91">
        <v>9090.0</v>
      </c>
      <c r="CY91">
        <v>9180.0</v>
      </c>
      <c r="CZ91">
        <v>9270.0</v>
      </c>
    </row>
    <row r="92" ht="19.5" customHeight="1">
      <c r="A92" s="2">
        <v>91.0</v>
      </c>
      <c r="B92">
        <v>91.0</v>
      </c>
      <c r="C92">
        <v>182.0</v>
      </c>
      <c r="D92">
        <v>273.0</v>
      </c>
      <c r="E92">
        <v>364.0</v>
      </c>
      <c r="F92">
        <v>455.0</v>
      </c>
      <c r="G92">
        <v>546.0</v>
      </c>
      <c r="H92">
        <v>637.0</v>
      </c>
      <c r="I92">
        <v>728.0</v>
      </c>
      <c r="J92">
        <v>819.0</v>
      </c>
      <c r="K92">
        <v>910.0</v>
      </c>
      <c r="L92">
        <v>1001.0</v>
      </c>
      <c r="M92">
        <v>1092.0</v>
      </c>
      <c r="N92">
        <v>1183.0</v>
      </c>
      <c r="O92">
        <v>1274.0</v>
      </c>
      <c r="P92">
        <v>1365.0</v>
      </c>
      <c r="Q92">
        <v>1456.0</v>
      </c>
      <c r="R92">
        <v>1547.0</v>
      </c>
      <c r="S92">
        <v>1638.0</v>
      </c>
      <c r="T92">
        <v>1729.0</v>
      </c>
      <c r="U92">
        <v>1820.0</v>
      </c>
      <c r="V92">
        <v>1911.0</v>
      </c>
      <c r="W92">
        <v>2002.0</v>
      </c>
      <c r="X92">
        <v>2093.0</v>
      </c>
      <c r="Y92">
        <v>2184.0</v>
      </c>
      <c r="Z92">
        <v>2275.0</v>
      </c>
      <c r="AA92">
        <v>2366.0</v>
      </c>
      <c r="AB92">
        <v>2457.0</v>
      </c>
      <c r="AC92">
        <v>2548.0</v>
      </c>
      <c r="AD92">
        <v>2639.0</v>
      </c>
      <c r="AE92">
        <v>2730.0</v>
      </c>
      <c r="AF92">
        <v>2821.0</v>
      </c>
      <c r="AG92">
        <v>2912.0</v>
      </c>
      <c r="AH92">
        <v>3003.0</v>
      </c>
      <c r="AI92">
        <v>3094.0</v>
      </c>
      <c r="AJ92">
        <v>3185.0</v>
      </c>
      <c r="AK92">
        <v>3276.0</v>
      </c>
      <c r="AL92">
        <v>3367.0</v>
      </c>
      <c r="AM92">
        <v>3458.0</v>
      </c>
      <c r="AN92">
        <v>3549.0</v>
      </c>
      <c r="AO92">
        <v>3640.0</v>
      </c>
      <c r="AP92">
        <v>3731.0</v>
      </c>
      <c r="AQ92">
        <v>3822.0</v>
      </c>
      <c r="AR92">
        <v>3913.0</v>
      </c>
      <c r="AS92">
        <v>4004.0</v>
      </c>
      <c r="AT92">
        <v>4095.0</v>
      </c>
      <c r="AU92">
        <v>4186.0</v>
      </c>
      <c r="AV92">
        <v>4277.0</v>
      </c>
      <c r="AW92">
        <v>4368.0</v>
      </c>
      <c r="AX92">
        <v>4459.0</v>
      </c>
      <c r="AY92">
        <v>4550.0</v>
      </c>
      <c r="AZ92">
        <v>4641.0</v>
      </c>
      <c r="BA92">
        <v>4732.0</v>
      </c>
      <c r="BB92">
        <v>4823.0</v>
      </c>
      <c r="BC92">
        <v>4914.0</v>
      </c>
      <c r="BD92">
        <v>5005.0</v>
      </c>
      <c r="BE92">
        <v>5096.0</v>
      </c>
      <c r="BF92">
        <v>5187.0</v>
      </c>
      <c r="BG92">
        <v>5278.0</v>
      </c>
      <c r="BH92">
        <v>5369.0</v>
      </c>
      <c r="BI92">
        <v>5460.0</v>
      </c>
      <c r="BJ92">
        <v>5551.0</v>
      </c>
      <c r="BK92">
        <v>5642.0</v>
      </c>
      <c r="BL92">
        <v>5733.0</v>
      </c>
      <c r="BM92">
        <v>5824.0</v>
      </c>
      <c r="BN92">
        <v>5915.0</v>
      </c>
      <c r="BO92">
        <v>6006.0</v>
      </c>
      <c r="BP92">
        <v>6097.0</v>
      </c>
      <c r="BQ92">
        <v>6188.0</v>
      </c>
      <c r="BR92">
        <v>6279.0</v>
      </c>
      <c r="BS92">
        <v>6370.0</v>
      </c>
      <c r="BT92">
        <v>6461.0</v>
      </c>
      <c r="BU92">
        <v>6552.0</v>
      </c>
      <c r="BV92">
        <v>6643.0</v>
      </c>
      <c r="BW92">
        <v>6734.0</v>
      </c>
      <c r="BX92">
        <v>6825.0</v>
      </c>
      <c r="BY92">
        <v>6916.0</v>
      </c>
      <c r="BZ92">
        <v>7007.0</v>
      </c>
      <c r="CA92">
        <v>7098.0</v>
      </c>
      <c r="CB92">
        <v>7189.0</v>
      </c>
      <c r="CC92">
        <v>7280.0</v>
      </c>
      <c r="CD92">
        <v>7371.0</v>
      </c>
      <c r="CE92">
        <v>7462.0</v>
      </c>
      <c r="CF92">
        <v>7553.0</v>
      </c>
      <c r="CG92">
        <v>7644.0</v>
      </c>
      <c r="CH92">
        <v>7735.0</v>
      </c>
      <c r="CI92">
        <v>7826.0</v>
      </c>
      <c r="CJ92">
        <v>7917.0</v>
      </c>
      <c r="CK92">
        <v>8008.0</v>
      </c>
      <c r="CL92">
        <v>8099.0</v>
      </c>
      <c r="CM92">
        <v>8190.0</v>
      </c>
      <c r="CN92">
        <v>8281.0</v>
      </c>
      <c r="CO92">
        <v>8372.0</v>
      </c>
      <c r="CP92">
        <v>8463.0</v>
      </c>
      <c r="CQ92">
        <v>8554.0</v>
      </c>
      <c r="CR92">
        <v>8645.0</v>
      </c>
      <c r="CS92">
        <v>8736.0</v>
      </c>
      <c r="CT92">
        <v>8827.0</v>
      </c>
      <c r="CU92">
        <v>8918.0</v>
      </c>
      <c r="CV92">
        <v>9009.0</v>
      </c>
      <c r="CW92">
        <v>9100.0</v>
      </c>
      <c r="CX92">
        <v>9191.0</v>
      </c>
      <c r="CY92">
        <v>9282.0</v>
      </c>
      <c r="CZ92">
        <v>9373.0</v>
      </c>
    </row>
    <row r="93" ht="19.5" customHeight="1">
      <c r="A93" s="2">
        <v>92.0</v>
      </c>
      <c r="B93">
        <v>92.0</v>
      </c>
      <c r="C93">
        <v>184.0</v>
      </c>
      <c r="D93">
        <v>276.0</v>
      </c>
      <c r="E93">
        <v>368.0</v>
      </c>
      <c r="F93">
        <v>460.0</v>
      </c>
      <c r="G93">
        <v>552.0</v>
      </c>
      <c r="H93">
        <v>644.0</v>
      </c>
      <c r="I93">
        <v>736.0</v>
      </c>
      <c r="J93">
        <v>828.0</v>
      </c>
      <c r="K93">
        <v>920.0</v>
      </c>
      <c r="L93">
        <v>1012.0</v>
      </c>
      <c r="M93">
        <v>1104.0</v>
      </c>
      <c r="N93">
        <v>1196.0</v>
      </c>
      <c r="O93">
        <v>1288.0</v>
      </c>
      <c r="P93">
        <v>1380.0</v>
      </c>
      <c r="Q93">
        <v>1472.0</v>
      </c>
      <c r="R93">
        <v>1564.0</v>
      </c>
      <c r="S93">
        <v>1656.0</v>
      </c>
      <c r="T93">
        <v>1748.0</v>
      </c>
      <c r="U93">
        <v>1840.0</v>
      </c>
      <c r="V93">
        <v>1932.0</v>
      </c>
      <c r="W93">
        <v>2024.0</v>
      </c>
      <c r="X93">
        <v>2116.0</v>
      </c>
      <c r="Y93">
        <v>2208.0</v>
      </c>
      <c r="Z93">
        <v>2300.0</v>
      </c>
      <c r="AA93">
        <v>2392.0</v>
      </c>
      <c r="AB93">
        <v>2484.0</v>
      </c>
      <c r="AC93">
        <v>2576.0</v>
      </c>
      <c r="AD93">
        <v>2668.0</v>
      </c>
      <c r="AE93">
        <v>2760.0</v>
      </c>
      <c r="AF93">
        <v>2852.0</v>
      </c>
      <c r="AG93">
        <v>2944.0</v>
      </c>
      <c r="AH93">
        <v>3036.0</v>
      </c>
      <c r="AI93">
        <v>3128.0</v>
      </c>
      <c r="AJ93">
        <v>3220.0</v>
      </c>
      <c r="AK93">
        <v>3312.0</v>
      </c>
      <c r="AL93">
        <v>3404.0</v>
      </c>
      <c r="AM93">
        <v>3496.0</v>
      </c>
      <c r="AN93">
        <v>3588.0</v>
      </c>
      <c r="AO93">
        <v>3680.0</v>
      </c>
      <c r="AP93">
        <v>3772.0</v>
      </c>
      <c r="AQ93">
        <v>3864.0</v>
      </c>
      <c r="AR93">
        <v>3956.0</v>
      </c>
      <c r="AS93">
        <v>4048.0</v>
      </c>
      <c r="AT93">
        <v>4140.0</v>
      </c>
      <c r="AU93">
        <v>4232.0</v>
      </c>
      <c r="AV93">
        <v>4324.0</v>
      </c>
      <c r="AW93">
        <v>4416.0</v>
      </c>
      <c r="AX93">
        <v>4508.0</v>
      </c>
      <c r="AY93">
        <v>4600.0</v>
      </c>
      <c r="AZ93">
        <v>4692.0</v>
      </c>
      <c r="BA93">
        <v>4784.0</v>
      </c>
      <c r="BB93">
        <v>4876.0</v>
      </c>
      <c r="BC93">
        <v>4968.0</v>
      </c>
      <c r="BD93">
        <v>5060.0</v>
      </c>
      <c r="BE93">
        <v>5152.0</v>
      </c>
      <c r="BF93">
        <v>5244.0</v>
      </c>
      <c r="BG93">
        <v>5336.0</v>
      </c>
      <c r="BH93">
        <v>5428.0</v>
      </c>
      <c r="BI93">
        <v>5520.0</v>
      </c>
      <c r="BJ93">
        <v>5612.0</v>
      </c>
      <c r="BK93">
        <v>5704.0</v>
      </c>
      <c r="BL93">
        <v>5796.0</v>
      </c>
      <c r="BM93">
        <v>5888.0</v>
      </c>
      <c r="BN93">
        <v>5980.0</v>
      </c>
      <c r="BO93">
        <v>6072.0</v>
      </c>
      <c r="BP93">
        <v>6164.0</v>
      </c>
      <c r="BQ93">
        <v>6256.0</v>
      </c>
      <c r="BR93">
        <v>6348.0</v>
      </c>
      <c r="BS93">
        <v>6440.0</v>
      </c>
      <c r="BT93">
        <v>6532.0</v>
      </c>
      <c r="BU93">
        <v>6624.0</v>
      </c>
      <c r="BV93">
        <v>6716.0</v>
      </c>
      <c r="BW93">
        <v>6808.0</v>
      </c>
      <c r="BX93">
        <v>6900.0</v>
      </c>
      <c r="BY93">
        <v>6992.0</v>
      </c>
      <c r="BZ93">
        <v>7084.0</v>
      </c>
      <c r="CA93">
        <v>7176.0</v>
      </c>
      <c r="CB93">
        <v>7268.0</v>
      </c>
      <c r="CC93">
        <v>7360.0</v>
      </c>
      <c r="CD93">
        <v>7452.0</v>
      </c>
      <c r="CE93">
        <v>7544.0</v>
      </c>
      <c r="CF93">
        <v>7636.0</v>
      </c>
      <c r="CG93">
        <v>7728.0</v>
      </c>
      <c r="CH93">
        <v>7820.0</v>
      </c>
      <c r="CI93">
        <v>7912.0</v>
      </c>
      <c r="CJ93">
        <v>8004.0</v>
      </c>
      <c r="CK93">
        <v>8096.0</v>
      </c>
      <c r="CL93">
        <v>8188.0</v>
      </c>
      <c r="CM93">
        <v>8280.0</v>
      </c>
      <c r="CN93">
        <v>8372.0</v>
      </c>
      <c r="CO93">
        <v>8464.0</v>
      </c>
      <c r="CP93">
        <v>8556.0</v>
      </c>
      <c r="CQ93">
        <v>8648.0</v>
      </c>
      <c r="CR93">
        <v>8740.0</v>
      </c>
      <c r="CS93">
        <v>8832.0</v>
      </c>
      <c r="CT93">
        <v>8924.0</v>
      </c>
      <c r="CU93">
        <v>9016.0</v>
      </c>
      <c r="CV93">
        <v>9108.0</v>
      </c>
      <c r="CW93">
        <v>9200.0</v>
      </c>
      <c r="CX93">
        <v>9292.0</v>
      </c>
      <c r="CY93">
        <v>9384.0</v>
      </c>
      <c r="CZ93">
        <v>9476.0</v>
      </c>
    </row>
    <row r="94" ht="19.5" customHeight="1">
      <c r="A94" s="2">
        <v>93.0</v>
      </c>
      <c r="B94">
        <v>93.0</v>
      </c>
      <c r="C94">
        <v>186.0</v>
      </c>
      <c r="D94">
        <v>279.0</v>
      </c>
      <c r="E94">
        <v>372.0</v>
      </c>
      <c r="F94">
        <v>465.0</v>
      </c>
      <c r="G94">
        <v>558.0</v>
      </c>
      <c r="H94">
        <v>651.0</v>
      </c>
      <c r="I94">
        <v>744.0</v>
      </c>
      <c r="J94">
        <v>837.0</v>
      </c>
      <c r="K94">
        <v>930.0</v>
      </c>
      <c r="L94">
        <v>1023.0</v>
      </c>
      <c r="M94">
        <v>1116.0</v>
      </c>
      <c r="N94">
        <v>1209.0</v>
      </c>
      <c r="O94">
        <v>1302.0</v>
      </c>
      <c r="P94">
        <v>1395.0</v>
      </c>
      <c r="Q94">
        <v>1488.0</v>
      </c>
      <c r="R94">
        <v>1581.0</v>
      </c>
      <c r="S94">
        <v>1674.0</v>
      </c>
      <c r="T94">
        <v>1767.0</v>
      </c>
      <c r="U94">
        <v>1860.0</v>
      </c>
      <c r="V94">
        <v>1953.0</v>
      </c>
      <c r="W94">
        <v>2046.0</v>
      </c>
      <c r="X94">
        <v>2139.0</v>
      </c>
      <c r="Y94">
        <v>2232.0</v>
      </c>
      <c r="Z94">
        <v>2325.0</v>
      </c>
      <c r="AA94">
        <v>2418.0</v>
      </c>
      <c r="AB94">
        <v>2511.0</v>
      </c>
      <c r="AC94">
        <v>2604.0</v>
      </c>
      <c r="AD94">
        <v>2697.0</v>
      </c>
      <c r="AE94">
        <v>2790.0</v>
      </c>
      <c r="AF94">
        <v>2883.0</v>
      </c>
      <c r="AG94">
        <v>2976.0</v>
      </c>
      <c r="AH94">
        <v>3069.0</v>
      </c>
      <c r="AI94">
        <v>3162.0</v>
      </c>
      <c r="AJ94">
        <v>3255.0</v>
      </c>
      <c r="AK94">
        <v>3348.0</v>
      </c>
      <c r="AL94">
        <v>3441.0</v>
      </c>
      <c r="AM94">
        <v>3534.0</v>
      </c>
      <c r="AN94">
        <v>3627.0</v>
      </c>
      <c r="AO94">
        <v>3720.0</v>
      </c>
      <c r="AP94">
        <v>3813.0</v>
      </c>
      <c r="AQ94">
        <v>3906.0</v>
      </c>
      <c r="AR94">
        <v>3999.0</v>
      </c>
      <c r="AS94">
        <v>4092.0</v>
      </c>
      <c r="AT94">
        <v>4185.0</v>
      </c>
      <c r="AU94">
        <v>4278.0</v>
      </c>
      <c r="AV94">
        <v>4371.0</v>
      </c>
      <c r="AW94">
        <v>4464.0</v>
      </c>
      <c r="AX94">
        <v>4557.0</v>
      </c>
      <c r="AY94">
        <v>4650.0</v>
      </c>
      <c r="AZ94">
        <v>4743.0</v>
      </c>
      <c r="BA94">
        <v>4836.0</v>
      </c>
      <c r="BB94">
        <v>4929.0</v>
      </c>
      <c r="BC94">
        <v>5022.0</v>
      </c>
      <c r="BD94">
        <v>5115.0</v>
      </c>
      <c r="BE94">
        <v>5208.0</v>
      </c>
      <c r="BF94">
        <v>5301.0</v>
      </c>
      <c r="BG94">
        <v>5394.0</v>
      </c>
      <c r="BH94">
        <v>5487.0</v>
      </c>
      <c r="BI94">
        <v>5580.0</v>
      </c>
      <c r="BJ94">
        <v>5673.0</v>
      </c>
      <c r="BK94">
        <v>5766.0</v>
      </c>
      <c r="BL94">
        <v>5859.0</v>
      </c>
      <c r="BM94">
        <v>5952.0</v>
      </c>
      <c r="BN94">
        <v>6045.0</v>
      </c>
      <c r="BO94">
        <v>6138.0</v>
      </c>
      <c r="BP94">
        <v>6231.0</v>
      </c>
      <c r="BQ94">
        <v>6324.0</v>
      </c>
      <c r="BR94">
        <v>6417.0</v>
      </c>
      <c r="BS94">
        <v>6510.0</v>
      </c>
      <c r="BT94">
        <v>6603.0</v>
      </c>
      <c r="BU94">
        <v>6696.0</v>
      </c>
      <c r="BV94">
        <v>6789.0</v>
      </c>
      <c r="BW94">
        <v>6882.0</v>
      </c>
      <c r="BX94">
        <v>6975.0</v>
      </c>
      <c r="BY94">
        <v>7068.0</v>
      </c>
      <c r="BZ94">
        <v>7161.0</v>
      </c>
      <c r="CA94">
        <v>7254.0</v>
      </c>
      <c r="CB94">
        <v>7347.0</v>
      </c>
      <c r="CC94">
        <v>7440.0</v>
      </c>
      <c r="CD94">
        <v>7533.0</v>
      </c>
      <c r="CE94">
        <v>7626.0</v>
      </c>
      <c r="CF94">
        <v>7719.0</v>
      </c>
      <c r="CG94">
        <v>7812.0</v>
      </c>
      <c r="CH94">
        <v>7905.0</v>
      </c>
      <c r="CI94">
        <v>7998.0</v>
      </c>
      <c r="CJ94">
        <v>8091.0</v>
      </c>
      <c r="CK94">
        <v>8184.0</v>
      </c>
      <c r="CL94">
        <v>8277.0</v>
      </c>
      <c r="CM94">
        <v>8370.0</v>
      </c>
      <c r="CN94">
        <v>8463.0</v>
      </c>
      <c r="CO94">
        <v>8556.0</v>
      </c>
      <c r="CP94">
        <v>8649.0</v>
      </c>
      <c r="CQ94">
        <v>8742.0</v>
      </c>
      <c r="CR94">
        <v>8835.0</v>
      </c>
      <c r="CS94">
        <v>8928.0</v>
      </c>
      <c r="CT94">
        <v>9021.0</v>
      </c>
      <c r="CU94">
        <v>9114.0</v>
      </c>
      <c r="CV94">
        <v>9207.0</v>
      </c>
      <c r="CW94">
        <v>9300.0</v>
      </c>
      <c r="CX94">
        <v>9393.0</v>
      </c>
      <c r="CY94">
        <v>9486.0</v>
      </c>
      <c r="CZ94">
        <v>9579.0</v>
      </c>
    </row>
    <row r="95" ht="19.5" customHeight="1">
      <c r="A95" s="2">
        <v>94.0</v>
      </c>
      <c r="B95">
        <v>94.0</v>
      </c>
      <c r="C95">
        <v>188.0</v>
      </c>
      <c r="D95">
        <v>282.0</v>
      </c>
      <c r="E95">
        <v>376.0</v>
      </c>
      <c r="F95">
        <v>470.0</v>
      </c>
      <c r="G95">
        <v>564.0</v>
      </c>
      <c r="H95">
        <v>658.0</v>
      </c>
      <c r="I95">
        <v>752.0</v>
      </c>
      <c r="J95">
        <v>846.0</v>
      </c>
      <c r="K95">
        <v>940.0</v>
      </c>
      <c r="L95">
        <v>1034.0</v>
      </c>
      <c r="M95">
        <v>1128.0</v>
      </c>
      <c r="N95">
        <v>1222.0</v>
      </c>
      <c r="O95">
        <v>1316.0</v>
      </c>
      <c r="P95">
        <v>1410.0</v>
      </c>
      <c r="Q95">
        <v>1504.0</v>
      </c>
      <c r="R95">
        <v>1598.0</v>
      </c>
      <c r="S95">
        <v>1692.0</v>
      </c>
      <c r="T95">
        <v>1786.0</v>
      </c>
      <c r="U95">
        <v>1880.0</v>
      </c>
      <c r="V95">
        <v>1974.0</v>
      </c>
      <c r="W95">
        <v>2068.0</v>
      </c>
      <c r="X95">
        <v>2162.0</v>
      </c>
      <c r="Y95">
        <v>2256.0</v>
      </c>
      <c r="Z95">
        <v>2350.0</v>
      </c>
      <c r="AA95">
        <v>2444.0</v>
      </c>
      <c r="AB95">
        <v>2538.0</v>
      </c>
      <c r="AC95">
        <v>2632.0</v>
      </c>
      <c r="AD95">
        <v>2726.0</v>
      </c>
      <c r="AE95">
        <v>2820.0</v>
      </c>
      <c r="AF95">
        <v>2914.0</v>
      </c>
      <c r="AG95">
        <v>3008.0</v>
      </c>
      <c r="AH95">
        <v>3102.0</v>
      </c>
      <c r="AI95">
        <v>3196.0</v>
      </c>
      <c r="AJ95">
        <v>3290.0</v>
      </c>
      <c r="AK95">
        <v>3384.0</v>
      </c>
      <c r="AL95">
        <v>3478.0</v>
      </c>
      <c r="AM95">
        <v>3572.0</v>
      </c>
      <c r="AN95">
        <v>3666.0</v>
      </c>
      <c r="AO95">
        <v>3760.0</v>
      </c>
      <c r="AP95">
        <v>3854.0</v>
      </c>
      <c r="AQ95">
        <v>3948.0</v>
      </c>
      <c r="AR95">
        <v>4042.0</v>
      </c>
      <c r="AS95">
        <v>4136.0</v>
      </c>
      <c r="AT95">
        <v>4230.0</v>
      </c>
      <c r="AU95">
        <v>4324.0</v>
      </c>
      <c r="AV95">
        <v>4418.0</v>
      </c>
      <c r="AW95">
        <v>4512.0</v>
      </c>
      <c r="AX95">
        <v>4606.0</v>
      </c>
      <c r="AY95">
        <v>4700.0</v>
      </c>
      <c r="AZ95">
        <v>4794.0</v>
      </c>
      <c r="BA95">
        <v>4888.0</v>
      </c>
      <c r="BB95">
        <v>4982.0</v>
      </c>
      <c r="BC95">
        <v>5076.0</v>
      </c>
      <c r="BD95">
        <v>5170.0</v>
      </c>
      <c r="BE95">
        <v>5264.0</v>
      </c>
      <c r="BF95">
        <v>5358.0</v>
      </c>
      <c r="BG95">
        <v>5452.0</v>
      </c>
      <c r="BH95">
        <v>5546.0</v>
      </c>
      <c r="BI95">
        <v>5640.0</v>
      </c>
      <c r="BJ95">
        <v>5734.0</v>
      </c>
      <c r="BK95">
        <v>5828.0</v>
      </c>
      <c r="BL95">
        <v>5922.0</v>
      </c>
      <c r="BM95">
        <v>6016.0</v>
      </c>
      <c r="BN95">
        <v>6110.0</v>
      </c>
      <c r="BO95">
        <v>6204.0</v>
      </c>
      <c r="BP95">
        <v>6298.0</v>
      </c>
      <c r="BQ95">
        <v>6392.0</v>
      </c>
      <c r="BR95">
        <v>6486.0</v>
      </c>
      <c r="BS95">
        <v>6580.0</v>
      </c>
      <c r="BT95">
        <v>6674.0</v>
      </c>
      <c r="BU95">
        <v>6768.0</v>
      </c>
      <c r="BV95">
        <v>6862.0</v>
      </c>
      <c r="BW95">
        <v>6956.0</v>
      </c>
      <c r="BX95">
        <v>7050.0</v>
      </c>
      <c r="BY95">
        <v>7144.0</v>
      </c>
      <c r="BZ95">
        <v>7238.0</v>
      </c>
      <c r="CA95">
        <v>7332.0</v>
      </c>
      <c r="CB95">
        <v>7426.0</v>
      </c>
      <c r="CC95">
        <v>7520.0</v>
      </c>
      <c r="CD95">
        <v>7614.0</v>
      </c>
      <c r="CE95">
        <v>7708.0</v>
      </c>
      <c r="CF95">
        <v>7802.0</v>
      </c>
      <c r="CG95">
        <v>7896.0</v>
      </c>
      <c r="CH95">
        <v>7990.0</v>
      </c>
      <c r="CI95">
        <v>8084.0</v>
      </c>
      <c r="CJ95">
        <v>8178.0</v>
      </c>
      <c r="CK95">
        <v>8272.0</v>
      </c>
      <c r="CL95">
        <v>8366.0</v>
      </c>
      <c r="CM95">
        <v>8460.0</v>
      </c>
      <c r="CN95">
        <v>8554.0</v>
      </c>
      <c r="CO95">
        <v>8648.0</v>
      </c>
      <c r="CP95">
        <v>8742.0</v>
      </c>
      <c r="CQ95">
        <v>8836.0</v>
      </c>
      <c r="CR95">
        <v>8930.0</v>
      </c>
      <c r="CS95">
        <v>9024.0</v>
      </c>
      <c r="CT95">
        <v>9118.0</v>
      </c>
      <c r="CU95">
        <v>9212.0</v>
      </c>
      <c r="CV95">
        <v>9306.0</v>
      </c>
      <c r="CW95">
        <v>9400.0</v>
      </c>
      <c r="CX95">
        <v>9494.0</v>
      </c>
      <c r="CY95">
        <v>9588.0</v>
      </c>
      <c r="CZ95">
        <v>9682.0</v>
      </c>
    </row>
    <row r="96" ht="19.5" customHeight="1">
      <c r="A96" s="2">
        <v>95.0</v>
      </c>
      <c r="B96">
        <v>95.0</v>
      </c>
      <c r="C96">
        <v>190.0</v>
      </c>
      <c r="D96">
        <v>285.0</v>
      </c>
      <c r="E96">
        <v>380.0</v>
      </c>
      <c r="F96">
        <v>475.0</v>
      </c>
      <c r="G96">
        <v>570.0</v>
      </c>
      <c r="H96">
        <v>665.0</v>
      </c>
      <c r="I96">
        <v>760.0</v>
      </c>
      <c r="J96">
        <v>855.0</v>
      </c>
      <c r="K96">
        <v>950.0</v>
      </c>
      <c r="L96">
        <v>1045.0</v>
      </c>
      <c r="M96">
        <v>1140.0</v>
      </c>
      <c r="N96">
        <v>1235.0</v>
      </c>
      <c r="O96">
        <v>1330.0</v>
      </c>
      <c r="P96">
        <v>1425.0</v>
      </c>
      <c r="Q96">
        <v>1520.0</v>
      </c>
      <c r="R96">
        <v>1615.0</v>
      </c>
      <c r="S96">
        <v>1710.0</v>
      </c>
      <c r="T96">
        <v>1805.0</v>
      </c>
      <c r="U96">
        <v>1900.0</v>
      </c>
      <c r="V96">
        <v>1995.0</v>
      </c>
      <c r="W96">
        <v>2090.0</v>
      </c>
      <c r="X96">
        <v>2185.0</v>
      </c>
      <c r="Y96">
        <v>2280.0</v>
      </c>
      <c r="Z96">
        <v>2375.0</v>
      </c>
      <c r="AA96">
        <v>2470.0</v>
      </c>
      <c r="AB96">
        <v>2565.0</v>
      </c>
      <c r="AC96">
        <v>2660.0</v>
      </c>
      <c r="AD96">
        <v>2755.0</v>
      </c>
      <c r="AE96">
        <v>2850.0</v>
      </c>
      <c r="AF96">
        <v>2945.0</v>
      </c>
      <c r="AG96">
        <v>3040.0</v>
      </c>
      <c r="AH96">
        <v>3135.0</v>
      </c>
      <c r="AI96">
        <v>3230.0</v>
      </c>
      <c r="AJ96">
        <v>3325.0</v>
      </c>
      <c r="AK96">
        <v>3420.0</v>
      </c>
      <c r="AL96">
        <v>3515.0</v>
      </c>
      <c r="AM96">
        <v>3610.0</v>
      </c>
      <c r="AN96">
        <v>3705.0</v>
      </c>
      <c r="AO96">
        <v>3800.0</v>
      </c>
      <c r="AP96">
        <v>3895.0</v>
      </c>
      <c r="AQ96">
        <v>3990.0</v>
      </c>
      <c r="AR96">
        <v>4085.0</v>
      </c>
      <c r="AS96">
        <v>4180.0</v>
      </c>
      <c r="AT96">
        <v>4275.0</v>
      </c>
      <c r="AU96">
        <v>4370.0</v>
      </c>
      <c r="AV96">
        <v>4465.0</v>
      </c>
      <c r="AW96">
        <v>4560.0</v>
      </c>
      <c r="AX96">
        <v>4655.0</v>
      </c>
      <c r="AY96">
        <v>4750.0</v>
      </c>
      <c r="AZ96">
        <v>4845.0</v>
      </c>
      <c r="BA96">
        <v>4940.0</v>
      </c>
      <c r="BB96">
        <v>5035.0</v>
      </c>
      <c r="BC96">
        <v>5130.0</v>
      </c>
      <c r="BD96">
        <v>5225.0</v>
      </c>
      <c r="BE96">
        <v>5320.0</v>
      </c>
      <c r="BF96">
        <v>5415.0</v>
      </c>
      <c r="BG96">
        <v>5510.0</v>
      </c>
      <c r="BH96">
        <v>5605.0</v>
      </c>
      <c r="BI96">
        <v>5700.0</v>
      </c>
      <c r="BJ96">
        <v>5795.0</v>
      </c>
      <c r="BK96">
        <v>5890.0</v>
      </c>
      <c r="BL96">
        <v>5985.0</v>
      </c>
      <c r="BM96">
        <v>6080.0</v>
      </c>
      <c r="BN96">
        <v>6175.0</v>
      </c>
      <c r="BO96">
        <v>6270.0</v>
      </c>
      <c r="BP96">
        <v>6365.0</v>
      </c>
      <c r="BQ96">
        <v>6460.0</v>
      </c>
      <c r="BR96">
        <v>6555.0</v>
      </c>
      <c r="BS96">
        <v>6650.0</v>
      </c>
      <c r="BT96">
        <v>6745.0</v>
      </c>
      <c r="BU96">
        <v>6840.0</v>
      </c>
      <c r="BV96">
        <v>6935.0</v>
      </c>
      <c r="BW96">
        <v>7030.0</v>
      </c>
      <c r="BX96">
        <v>7125.0</v>
      </c>
      <c r="BY96">
        <v>7220.0</v>
      </c>
      <c r="BZ96">
        <v>7315.0</v>
      </c>
      <c r="CA96">
        <v>7410.0</v>
      </c>
      <c r="CB96">
        <v>7505.0</v>
      </c>
      <c r="CC96">
        <v>7600.0</v>
      </c>
      <c r="CD96">
        <v>7695.0</v>
      </c>
      <c r="CE96">
        <v>7790.0</v>
      </c>
      <c r="CF96">
        <v>7885.0</v>
      </c>
      <c r="CG96">
        <v>7980.0</v>
      </c>
      <c r="CH96">
        <v>8075.0</v>
      </c>
      <c r="CI96">
        <v>8170.0</v>
      </c>
      <c r="CJ96">
        <v>8265.0</v>
      </c>
      <c r="CK96">
        <v>8360.0</v>
      </c>
      <c r="CL96">
        <v>8455.0</v>
      </c>
      <c r="CM96">
        <v>8550.0</v>
      </c>
      <c r="CN96">
        <v>8645.0</v>
      </c>
      <c r="CO96">
        <v>8740.0</v>
      </c>
      <c r="CP96">
        <v>8835.0</v>
      </c>
      <c r="CQ96">
        <v>8930.0</v>
      </c>
      <c r="CR96">
        <v>9025.0</v>
      </c>
      <c r="CS96">
        <v>9120.0</v>
      </c>
      <c r="CT96">
        <v>9215.0</v>
      </c>
      <c r="CU96">
        <v>9310.0</v>
      </c>
      <c r="CV96">
        <v>9405.0</v>
      </c>
      <c r="CW96">
        <v>9500.0</v>
      </c>
      <c r="CX96">
        <v>9595.0</v>
      </c>
      <c r="CY96">
        <v>9690.0</v>
      </c>
      <c r="CZ96">
        <v>9785.0</v>
      </c>
    </row>
    <row r="97" ht="19.5" customHeight="1">
      <c r="A97" s="2">
        <v>96.0</v>
      </c>
      <c r="B97">
        <v>96.0</v>
      </c>
      <c r="C97">
        <v>192.0</v>
      </c>
      <c r="D97">
        <v>288.0</v>
      </c>
      <c r="E97">
        <v>384.0</v>
      </c>
      <c r="F97">
        <v>480.0</v>
      </c>
      <c r="G97">
        <v>576.0</v>
      </c>
      <c r="H97">
        <v>672.0</v>
      </c>
      <c r="I97">
        <v>768.0</v>
      </c>
      <c r="J97">
        <v>864.0</v>
      </c>
      <c r="K97">
        <v>960.0</v>
      </c>
      <c r="L97">
        <v>1056.0</v>
      </c>
      <c r="M97">
        <v>1152.0</v>
      </c>
      <c r="N97">
        <v>1248.0</v>
      </c>
      <c r="O97">
        <v>1344.0</v>
      </c>
      <c r="P97">
        <v>1440.0</v>
      </c>
      <c r="Q97">
        <v>1536.0</v>
      </c>
      <c r="R97">
        <v>1632.0</v>
      </c>
      <c r="S97">
        <v>1728.0</v>
      </c>
      <c r="T97">
        <v>1824.0</v>
      </c>
      <c r="U97">
        <v>1920.0</v>
      </c>
      <c r="V97">
        <v>2016.0</v>
      </c>
      <c r="W97">
        <v>2112.0</v>
      </c>
      <c r="X97">
        <v>2208.0</v>
      </c>
      <c r="Y97">
        <v>2304.0</v>
      </c>
      <c r="Z97">
        <v>2400.0</v>
      </c>
      <c r="AA97">
        <v>2496.0</v>
      </c>
      <c r="AB97">
        <v>2592.0</v>
      </c>
      <c r="AC97">
        <v>2688.0</v>
      </c>
      <c r="AD97">
        <v>2784.0</v>
      </c>
      <c r="AE97">
        <v>2880.0</v>
      </c>
      <c r="AF97">
        <v>2976.0</v>
      </c>
      <c r="AG97">
        <v>3072.0</v>
      </c>
      <c r="AH97">
        <v>3168.0</v>
      </c>
      <c r="AI97">
        <v>3264.0</v>
      </c>
      <c r="AJ97">
        <v>3360.0</v>
      </c>
      <c r="AK97">
        <v>3456.0</v>
      </c>
      <c r="AL97">
        <v>3552.0</v>
      </c>
      <c r="AM97">
        <v>3648.0</v>
      </c>
      <c r="AN97">
        <v>3744.0</v>
      </c>
      <c r="AO97">
        <v>3840.0</v>
      </c>
      <c r="AP97">
        <v>3936.0</v>
      </c>
      <c r="AQ97">
        <v>4032.0</v>
      </c>
      <c r="AR97">
        <v>4128.0</v>
      </c>
      <c r="AS97">
        <v>4224.0</v>
      </c>
      <c r="AT97">
        <v>4320.0</v>
      </c>
      <c r="AU97">
        <v>4416.0</v>
      </c>
      <c r="AV97">
        <v>4512.0</v>
      </c>
      <c r="AW97">
        <v>4608.0</v>
      </c>
      <c r="AX97">
        <v>4704.0</v>
      </c>
      <c r="AY97">
        <v>4800.0</v>
      </c>
      <c r="AZ97">
        <v>4896.0</v>
      </c>
      <c r="BA97">
        <v>4992.0</v>
      </c>
      <c r="BB97">
        <v>5088.0</v>
      </c>
      <c r="BC97">
        <v>5184.0</v>
      </c>
      <c r="BD97">
        <v>5280.0</v>
      </c>
      <c r="BE97">
        <v>5376.0</v>
      </c>
      <c r="BF97">
        <v>5472.0</v>
      </c>
      <c r="BG97">
        <v>5568.0</v>
      </c>
      <c r="BH97">
        <v>5664.0</v>
      </c>
      <c r="BI97">
        <v>5760.0</v>
      </c>
      <c r="BJ97">
        <v>5856.0</v>
      </c>
      <c r="BK97">
        <v>5952.0</v>
      </c>
      <c r="BL97">
        <v>6048.0</v>
      </c>
      <c r="BM97">
        <v>6144.0</v>
      </c>
      <c r="BN97">
        <v>6240.0</v>
      </c>
      <c r="BO97">
        <v>6336.0</v>
      </c>
      <c r="BP97">
        <v>6432.0</v>
      </c>
      <c r="BQ97">
        <v>6528.0</v>
      </c>
      <c r="BR97">
        <v>6624.0</v>
      </c>
      <c r="BS97">
        <v>6720.0</v>
      </c>
      <c r="BT97">
        <v>6816.0</v>
      </c>
      <c r="BU97">
        <v>6912.0</v>
      </c>
      <c r="BV97">
        <v>7008.0</v>
      </c>
      <c r="BW97">
        <v>7104.0</v>
      </c>
      <c r="BX97">
        <v>7200.0</v>
      </c>
      <c r="BY97">
        <v>7296.0</v>
      </c>
      <c r="BZ97">
        <v>7392.0</v>
      </c>
      <c r="CA97">
        <v>7488.0</v>
      </c>
      <c r="CB97">
        <v>7584.0</v>
      </c>
      <c r="CC97">
        <v>7680.0</v>
      </c>
      <c r="CD97">
        <v>7776.0</v>
      </c>
      <c r="CE97">
        <v>7872.0</v>
      </c>
      <c r="CF97">
        <v>7968.0</v>
      </c>
      <c r="CG97">
        <v>8064.0</v>
      </c>
      <c r="CH97">
        <v>8160.0</v>
      </c>
      <c r="CI97">
        <v>8256.0</v>
      </c>
      <c r="CJ97">
        <v>8352.0</v>
      </c>
      <c r="CK97">
        <v>8448.0</v>
      </c>
      <c r="CL97">
        <v>8544.0</v>
      </c>
      <c r="CM97">
        <v>8640.0</v>
      </c>
      <c r="CN97">
        <v>8736.0</v>
      </c>
      <c r="CO97">
        <v>8832.0</v>
      </c>
      <c r="CP97">
        <v>8928.0</v>
      </c>
      <c r="CQ97">
        <v>9024.0</v>
      </c>
      <c r="CR97">
        <v>9120.0</v>
      </c>
      <c r="CS97">
        <v>9216.0</v>
      </c>
      <c r="CT97">
        <v>9312.0</v>
      </c>
      <c r="CU97">
        <v>9408.0</v>
      </c>
      <c r="CV97">
        <v>9504.0</v>
      </c>
      <c r="CW97">
        <v>9600.0</v>
      </c>
      <c r="CX97">
        <v>9696.0</v>
      </c>
      <c r="CY97">
        <v>9792.0</v>
      </c>
      <c r="CZ97">
        <v>9888.0</v>
      </c>
    </row>
    <row r="98" ht="19.5" customHeight="1">
      <c r="A98" s="2">
        <v>97.0</v>
      </c>
      <c r="B98">
        <v>97.0</v>
      </c>
      <c r="C98">
        <v>194.0</v>
      </c>
      <c r="D98">
        <v>291.0</v>
      </c>
      <c r="E98">
        <v>388.0</v>
      </c>
      <c r="F98">
        <v>485.0</v>
      </c>
      <c r="G98">
        <v>582.0</v>
      </c>
      <c r="H98">
        <v>679.0</v>
      </c>
      <c r="I98">
        <v>776.0</v>
      </c>
      <c r="J98">
        <v>873.0</v>
      </c>
      <c r="K98">
        <v>970.0</v>
      </c>
      <c r="L98">
        <v>1067.0</v>
      </c>
      <c r="M98">
        <v>1164.0</v>
      </c>
      <c r="N98">
        <v>1261.0</v>
      </c>
      <c r="O98">
        <v>1358.0</v>
      </c>
      <c r="P98">
        <v>1455.0</v>
      </c>
      <c r="Q98">
        <v>1552.0</v>
      </c>
      <c r="R98">
        <v>1649.0</v>
      </c>
      <c r="S98">
        <v>1746.0</v>
      </c>
      <c r="T98">
        <v>1843.0</v>
      </c>
      <c r="U98">
        <v>1940.0</v>
      </c>
      <c r="V98">
        <v>2037.0</v>
      </c>
      <c r="W98">
        <v>2134.0</v>
      </c>
      <c r="X98">
        <v>2231.0</v>
      </c>
      <c r="Y98">
        <v>2328.0</v>
      </c>
      <c r="Z98">
        <v>2425.0</v>
      </c>
      <c r="AA98">
        <v>2522.0</v>
      </c>
      <c r="AB98">
        <v>2619.0</v>
      </c>
      <c r="AC98">
        <v>2716.0</v>
      </c>
      <c r="AD98">
        <v>2813.0</v>
      </c>
      <c r="AE98">
        <v>2910.0</v>
      </c>
      <c r="AF98">
        <v>3007.0</v>
      </c>
      <c r="AG98">
        <v>3104.0</v>
      </c>
      <c r="AH98">
        <v>3201.0</v>
      </c>
      <c r="AI98">
        <v>3298.0</v>
      </c>
      <c r="AJ98">
        <v>3395.0</v>
      </c>
      <c r="AK98">
        <v>3492.0</v>
      </c>
      <c r="AL98">
        <v>3589.0</v>
      </c>
      <c r="AM98">
        <v>3686.0</v>
      </c>
      <c r="AN98">
        <v>3783.0</v>
      </c>
      <c r="AO98">
        <v>3880.0</v>
      </c>
      <c r="AP98">
        <v>3977.0</v>
      </c>
      <c r="AQ98">
        <v>4074.0</v>
      </c>
      <c r="AR98">
        <v>4171.0</v>
      </c>
      <c r="AS98">
        <v>4268.0</v>
      </c>
      <c r="AT98">
        <v>4365.0</v>
      </c>
      <c r="AU98">
        <v>4462.0</v>
      </c>
      <c r="AV98">
        <v>4559.0</v>
      </c>
      <c r="AW98">
        <v>4656.0</v>
      </c>
      <c r="AX98">
        <v>4753.0</v>
      </c>
      <c r="AY98">
        <v>4850.0</v>
      </c>
      <c r="AZ98">
        <v>4947.0</v>
      </c>
      <c r="BA98">
        <v>5044.0</v>
      </c>
      <c r="BB98">
        <v>5141.0</v>
      </c>
      <c r="BC98">
        <v>5238.0</v>
      </c>
      <c r="BD98">
        <v>5335.0</v>
      </c>
      <c r="BE98">
        <v>5432.0</v>
      </c>
      <c r="BF98">
        <v>5529.0</v>
      </c>
      <c r="BG98">
        <v>5626.0</v>
      </c>
      <c r="BH98">
        <v>5723.0</v>
      </c>
      <c r="BI98">
        <v>5820.0</v>
      </c>
      <c r="BJ98">
        <v>5917.0</v>
      </c>
      <c r="BK98">
        <v>6014.0</v>
      </c>
      <c r="BL98">
        <v>6111.0</v>
      </c>
      <c r="BM98">
        <v>6208.0</v>
      </c>
      <c r="BN98">
        <v>6305.0</v>
      </c>
      <c r="BO98">
        <v>6402.0</v>
      </c>
      <c r="BP98">
        <v>6499.0</v>
      </c>
      <c r="BQ98">
        <v>6596.0</v>
      </c>
      <c r="BR98">
        <v>6693.0</v>
      </c>
      <c r="BS98">
        <v>6790.0</v>
      </c>
      <c r="BT98">
        <v>6887.0</v>
      </c>
      <c r="BU98">
        <v>6984.0</v>
      </c>
      <c r="BV98">
        <v>7081.0</v>
      </c>
      <c r="BW98">
        <v>7178.0</v>
      </c>
      <c r="BX98">
        <v>7275.0</v>
      </c>
      <c r="BY98">
        <v>7372.0</v>
      </c>
      <c r="BZ98">
        <v>7469.0</v>
      </c>
      <c r="CA98">
        <v>7566.0</v>
      </c>
      <c r="CB98">
        <v>7663.0</v>
      </c>
      <c r="CC98">
        <v>7760.0</v>
      </c>
      <c r="CD98">
        <v>7857.0</v>
      </c>
      <c r="CE98">
        <v>7954.0</v>
      </c>
      <c r="CF98">
        <v>8051.0</v>
      </c>
      <c r="CG98">
        <v>8148.0</v>
      </c>
      <c r="CH98">
        <v>8245.0</v>
      </c>
      <c r="CI98">
        <v>8342.0</v>
      </c>
      <c r="CJ98">
        <v>8439.0</v>
      </c>
      <c r="CK98">
        <v>8536.0</v>
      </c>
      <c r="CL98">
        <v>8633.0</v>
      </c>
      <c r="CM98">
        <v>8730.0</v>
      </c>
      <c r="CN98">
        <v>8827.0</v>
      </c>
      <c r="CO98">
        <v>8924.0</v>
      </c>
      <c r="CP98">
        <v>9021.0</v>
      </c>
      <c r="CQ98">
        <v>9118.0</v>
      </c>
      <c r="CR98">
        <v>9215.0</v>
      </c>
      <c r="CS98">
        <v>9312.0</v>
      </c>
      <c r="CT98">
        <v>9409.0</v>
      </c>
      <c r="CU98">
        <v>9506.0</v>
      </c>
      <c r="CV98">
        <v>9603.0</v>
      </c>
      <c r="CW98">
        <v>9700.0</v>
      </c>
      <c r="CX98">
        <v>9797.0</v>
      </c>
      <c r="CY98">
        <v>9894.0</v>
      </c>
      <c r="CZ98">
        <v>9991.0</v>
      </c>
    </row>
    <row r="99" ht="19.5" customHeight="1">
      <c r="A99" s="2">
        <v>98.0</v>
      </c>
      <c r="B99">
        <v>98.0</v>
      </c>
      <c r="C99">
        <v>196.0</v>
      </c>
      <c r="D99">
        <v>294.0</v>
      </c>
      <c r="E99">
        <v>392.0</v>
      </c>
      <c r="F99">
        <v>490.0</v>
      </c>
      <c r="G99">
        <v>588.0</v>
      </c>
      <c r="H99">
        <v>686.0</v>
      </c>
      <c r="I99">
        <v>784.0</v>
      </c>
      <c r="J99">
        <v>882.0</v>
      </c>
      <c r="K99">
        <v>980.0</v>
      </c>
      <c r="L99">
        <v>1078.0</v>
      </c>
      <c r="M99">
        <v>1176.0</v>
      </c>
      <c r="N99">
        <v>1274.0</v>
      </c>
      <c r="O99">
        <v>1372.0</v>
      </c>
      <c r="P99">
        <v>1470.0</v>
      </c>
      <c r="Q99">
        <v>1568.0</v>
      </c>
      <c r="R99">
        <v>1666.0</v>
      </c>
      <c r="S99">
        <v>1764.0</v>
      </c>
      <c r="T99">
        <v>1862.0</v>
      </c>
      <c r="U99">
        <v>1960.0</v>
      </c>
      <c r="V99">
        <v>2058.0</v>
      </c>
      <c r="W99">
        <v>2156.0</v>
      </c>
      <c r="X99">
        <v>2254.0</v>
      </c>
      <c r="Y99">
        <v>2352.0</v>
      </c>
      <c r="Z99">
        <v>2450.0</v>
      </c>
      <c r="AA99">
        <v>2548.0</v>
      </c>
      <c r="AB99">
        <v>2646.0</v>
      </c>
      <c r="AC99">
        <v>2744.0</v>
      </c>
      <c r="AD99">
        <v>2842.0</v>
      </c>
      <c r="AE99">
        <v>2940.0</v>
      </c>
      <c r="AF99">
        <v>3038.0</v>
      </c>
      <c r="AG99">
        <v>3136.0</v>
      </c>
      <c r="AH99">
        <v>3234.0</v>
      </c>
      <c r="AI99">
        <v>3332.0</v>
      </c>
      <c r="AJ99">
        <v>3430.0</v>
      </c>
      <c r="AK99">
        <v>3528.0</v>
      </c>
      <c r="AL99">
        <v>3626.0</v>
      </c>
      <c r="AM99">
        <v>3724.0</v>
      </c>
      <c r="AN99">
        <v>3822.0</v>
      </c>
      <c r="AO99">
        <v>3920.0</v>
      </c>
      <c r="AP99">
        <v>4018.0</v>
      </c>
      <c r="AQ99">
        <v>4116.0</v>
      </c>
      <c r="AR99">
        <v>4214.0</v>
      </c>
      <c r="AS99">
        <v>4312.0</v>
      </c>
      <c r="AT99">
        <v>4410.0</v>
      </c>
      <c r="AU99">
        <v>4508.0</v>
      </c>
      <c r="AV99">
        <v>4606.0</v>
      </c>
      <c r="AW99">
        <v>4704.0</v>
      </c>
      <c r="AX99">
        <v>4802.0</v>
      </c>
      <c r="AY99">
        <v>4900.0</v>
      </c>
      <c r="AZ99">
        <v>4998.0</v>
      </c>
      <c r="BA99">
        <v>5096.0</v>
      </c>
      <c r="BB99">
        <v>5194.0</v>
      </c>
      <c r="BC99">
        <v>5292.0</v>
      </c>
      <c r="BD99">
        <v>5390.0</v>
      </c>
      <c r="BE99">
        <v>5488.0</v>
      </c>
      <c r="BF99">
        <v>5586.0</v>
      </c>
      <c r="BG99">
        <v>5684.0</v>
      </c>
      <c r="BH99">
        <v>5782.0</v>
      </c>
      <c r="BI99">
        <v>5880.0</v>
      </c>
      <c r="BJ99">
        <v>5978.0</v>
      </c>
      <c r="BK99">
        <v>6076.0</v>
      </c>
      <c r="BL99">
        <v>6174.0</v>
      </c>
      <c r="BM99">
        <v>6272.0</v>
      </c>
      <c r="BN99">
        <v>6370.0</v>
      </c>
      <c r="BO99">
        <v>6468.0</v>
      </c>
      <c r="BP99">
        <v>6566.0</v>
      </c>
      <c r="BQ99">
        <v>6664.0</v>
      </c>
      <c r="BR99">
        <v>6762.0</v>
      </c>
      <c r="BS99">
        <v>6860.0</v>
      </c>
      <c r="BT99">
        <v>6958.0</v>
      </c>
      <c r="BU99">
        <v>7056.0</v>
      </c>
      <c r="BV99">
        <v>7154.0</v>
      </c>
      <c r="BW99">
        <v>7252.0</v>
      </c>
      <c r="BX99">
        <v>7350.0</v>
      </c>
      <c r="BY99">
        <v>7448.0</v>
      </c>
      <c r="BZ99">
        <v>7546.0</v>
      </c>
      <c r="CA99">
        <v>7644.0</v>
      </c>
      <c r="CB99">
        <v>7742.0</v>
      </c>
      <c r="CC99">
        <v>7840.0</v>
      </c>
      <c r="CD99">
        <v>7938.0</v>
      </c>
      <c r="CE99">
        <v>8036.0</v>
      </c>
      <c r="CF99">
        <v>8134.0</v>
      </c>
      <c r="CG99">
        <v>8232.0</v>
      </c>
      <c r="CH99">
        <v>8330.0</v>
      </c>
      <c r="CI99">
        <v>8428.0</v>
      </c>
      <c r="CJ99">
        <v>8526.0</v>
      </c>
      <c r="CK99">
        <v>8624.0</v>
      </c>
      <c r="CL99">
        <v>8722.0</v>
      </c>
      <c r="CM99">
        <v>8820.0</v>
      </c>
      <c r="CN99">
        <v>8918.0</v>
      </c>
      <c r="CO99">
        <v>9016.0</v>
      </c>
      <c r="CP99">
        <v>9114.0</v>
      </c>
      <c r="CQ99">
        <v>9212.0</v>
      </c>
      <c r="CR99">
        <v>9310.0</v>
      </c>
      <c r="CS99">
        <v>9408.0</v>
      </c>
      <c r="CT99">
        <v>9506.0</v>
      </c>
      <c r="CU99">
        <v>9604.0</v>
      </c>
      <c r="CV99">
        <v>9702.0</v>
      </c>
      <c r="CW99">
        <v>9800.0</v>
      </c>
      <c r="CX99">
        <v>9898.0</v>
      </c>
      <c r="CY99">
        <v>9996.0</v>
      </c>
      <c r="CZ99">
        <v>10094.0</v>
      </c>
    </row>
    <row r="100" ht="19.5" customHeight="1">
      <c r="A100" s="2">
        <v>99.0</v>
      </c>
      <c r="B100">
        <v>99.0</v>
      </c>
      <c r="C100">
        <v>198.0</v>
      </c>
      <c r="D100">
        <v>297.0</v>
      </c>
      <c r="E100">
        <v>396.0</v>
      </c>
      <c r="F100">
        <v>495.0</v>
      </c>
      <c r="G100">
        <v>594.0</v>
      </c>
      <c r="H100">
        <v>693.0</v>
      </c>
      <c r="I100">
        <v>792.0</v>
      </c>
      <c r="J100">
        <v>891.0</v>
      </c>
      <c r="K100">
        <v>990.0</v>
      </c>
      <c r="L100">
        <v>1089.0</v>
      </c>
      <c r="M100">
        <v>1188.0</v>
      </c>
      <c r="N100">
        <v>1287.0</v>
      </c>
      <c r="O100">
        <v>1386.0</v>
      </c>
      <c r="P100">
        <v>1485.0</v>
      </c>
      <c r="Q100">
        <v>1584.0</v>
      </c>
      <c r="R100">
        <v>1683.0</v>
      </c>
      <c r="S100">
        <v>1782.0</v>
      </c>
      <c r="T100">
        <v>1881.0</v>
      </c>
      <c r="U100">
        <v>1980.0</v>
      </c>
      <c r="V100">
        <v>2079.0</v>
      </c>
      <c r="W100">
        <v>2178.0</v>
      </c>
      <c r="X100">
        <v>2277.0</v>
      </c>
      <c r="Y100">
        <v>2376.0</v>
      </c>
      <c r="Z100">
        <v>2475.0</v>
      </c>
      <c r="AA100">
        <v>2574.0</v>
      </c>
      <c r="AB100">
        <v>2673.0</v>
      </c>
      <c r="AC100">
        <v>2772.0</v>
      </c>
      <c r="AD100">
        <v>2871.0</v>
      </c>
      <c r="AE100">
        <v>2970.0</v>
      </c>
      <c r="AF100">
        <v>3069.0</v>
      </c>
      <c r="AG100">
        <v>3168.0</v>
      </c>
      <c r="AH100">
        <v>3267.0</v>
      </c>
      <c r="AI100">
        <v>3366.0</v>
      </c>
      <c r="AJ100">
        <v>3465.0</v>
      </c>
      <c r="AK100">
        <v>3564.0</v>
      </c>
      <c r="AL100">
        <v>3663.0</v>
      </c>
      <c r="AM100">
        <v>3762.0</v>
      </c>
      <c r="AN100">
        <v>3861.0</v>
      </c>
      <c r="AO100">
        <v>3960.0</v>
      </c>
      <c r="AP100">
        <v>4059.0</v>
      </c>
      <c r="AQ100">
        <v>4158.0</v>
      </c>
      <c r="AR100">
        <v>4257.0</v>
      </c>
      <c r="AS100">
        <v>4356.0</v>
      </c>
      <c r="AT100">
        <v>4455.0</v>
      </c>
      <c r="AU100">
        <v>4554.0</v>
      </c>
      <c r="AV100">
        <v>4653.0</v>
      </c>
      <c r="AW100">
        <v>4752.0</v>
      </c>
      <c r="AX100">
        <v>4851.0</v>
      </c>
      <c r="AY100">
        <v>4950.0</v>
      </c>
      <c r="AZ100">
        <v>5049.0</v>
      </c>
      <c r="BA100">
        <v>5148.0</v>
      </c>
      <c r="BB100">
        <v>5247.0</v>
      </c>
      <c r="BC100">
        <v>5346.0</v>
      </c>
      <c r="BD100">
        <v>5445.0</v>
      </c>
      <c r="BE100">
        <v>5544.0</v>
      </c>
      <c r="BF100">
        <v>5643.0</v>
      </c>
      <c r="BG100">
        <v>5742.0</v>
      </c>
      <c r="BH100">
        <v>5841.0</v>
      </c>
      <c r="BI100">
        <v>5940.0</v>
      </c>
      <c r="BJ100">
        <v>6039.0</v>
      </c>
      <c r="BK100">
        <v>6138.0</v>
      </c>
      <c r="BL100">
        <v>6237.0</v>
      </c>
      <c r="BM100">
        <v>6336.0</v>
      </c>
      <c r="BN100">
        <v>6435.0</v>
      </c>
      <c r="BO100">
        <v>6534.0</v>
      </c>
      <c r="BP100">
        <v>6633.0</v>
      </c>
      <c r="BQ100">
        <v>6732.0</v>
      </c>
      <c r="BR100">
        <v>6831.0</v>
      </c>
      <c r="BS100">
        <v>6930.0</v>
      </c>
      <c r="BT100">
        <v>7029.0</v>
      </c>
      <c r="BU100">
        <v>7128.0</v>
      </c>
      <c r="BV100">
        <v>7227.0</v>
      </c>
      <c r="BW100">
        <v>7326.0</v>
      </c>
      <c r="BX100">
        <v>7425.0</v>
      </c>
      <c r="BY100">
        <v>7524.0</v>
      </c>
      <c r="BZ100">
        <v>7623.0</v>
      </c>
      <c r="CA100">
        <v>7722.0</v>
      </c>
      <c r="CB100">
        <v>7821.0</v>
      </c>
      <c r="CC100">
        <v>7920.0</v>
      </c>
      <c r="CD100">
        <v>8019.0</v>
      </c>
      <c r="CE100">
        <v>8118.0</v>
      </c>
      <c r="CF100">
        <v>8217.0</v>
      </c>
      <c r="CG100">
        <v>8316.0</v>
      </c>
      <c r="CH100">
        <v>8415.0</v>
      </c>
      <c r="CI100">
        <v>8514.0</v>
      </c>
      <c r="CJ100">
        <v>8613.0</v>
      </c>
      <c r="CK100">
        <v>8712.0</v>
      </c>
      <c r="CL100">
        <v>8811.0</v>
      </c>
      <c r="CM100">
        <v>8910.0</v>
      </c>
      <c r="CN100">
        <v>9009.0</v>
      </c>
      <c r="CO100">
        <v>9108.0</v>
      </c>
      <c r="CP100">
        <v>9207.0</v>
      </c>
      <c r="CQ100">
        <v>9306.0</v>
      </c>
      <c r="CR100">
        <v>9405.0</v>
      </c>
      <c r="CS100">
        <v>9504.0</v>
      </c>
      <c r="CT100">
        <v>9603.0</v>
      </c>
      <c r="CU100">
        <v>9702.0</v>
      </c>
      <c r="CV100">
        <v>9801.0</v>
      </c>
      <c r="CW100">
        <v>9900.0</v>
      </c>
      <c r="CX100">
        <v>9999.0</v>
      </c>
      <c r="CY100">
        <v>10098.0</v>
      </c>
      <c r="CZ100">
        <v>10197.0</v>
      </c>
    </row>
    <row r="101" ht="19.5" customHeight="1">
      <c r="A101" s="2">
        <v>100.0</v>
      </c>
      <c r="B101">
        <v>100.0</v>
      </c>
      <c r="C101">
        <v>200.0</v>
      </c>
      <c r="D101">
        <v>300.0</v>
      </c>
      <c r="E101">
        <v>400.0</v>
      </c>
      <c r="F101">
        <v>500.0</v>
      </c>
      <c r="G101">
        <v>600.0</v>
      </c>
      <c r="H101">
        <v>700.0</v>
      </c>
      <c r="I101">
        <v>800.0</v>
      </c>
      <c r="J101">
        <v>900.0</v>
      </c>
      <c r="K101">
        <v>1000.0</v>
      </c>
      <c r="L101">
        <v>1100.0</v>
      </c>
      <c r="M101">
        <v>1200.0</v>
      </c>
      <c r="N101">
        <v>1300.0</v>
      </c>
      <c r="O101">
        <v>1400.0</v>
      </c>
      <c r="P101">
        <v>1500.0</v>
      </c>
      <c r="Q101">
        <v>1600.0</v>
      </c>
      <c r="R101">
        <v>1700.0</v>
      </c>
      <c r="S101">
        <v>1800.0</v>
      </c>
      <c r="T101">
        <v>1900.0</v>
      </c>
      <c r="U101">
        <v>2000.0</v>
      </c>
      <c r="V101">
        <v>2100.0</v>
      </c>
      <c r="W101">
        <v>2200.0</v>
      </c>
      <c r="X101">
        <v>2300.0</v>
      </c>
      <c r="Y101">
        <v>2400.0</v>
      </c>
      <c r="Z101">
        <v>2500.0</v>
      </c>
      <c r="AA101">
        <v>2600.0</v>
      </c>
      <c r="AB101">
        <v>2700.0</v>
      </c>
      <c r="AC101">
        <v>2800.0</v>
      </c>
      <c r="AD101">
        <v>2900.0</v>
      </c>
      <c r="AE101">
        <v>3000.0</v>
      </c>
      <c r="AF101">
        <v>3100.0</v>
      </c>
      <c r="AG101">
        <v>3200.0</v>
      </c>
      <c r="AH101">
        <v>3300.0</v>
      </c>
      <c r="AI101">
        <v>3400.0</v>
      </c>
      <c r="AJ101">
        <v>3500.0</v>
      </c>
      <c r="AK101">
        <v>3600.0</v>
      </c>
      <c r="AL101">
        <v>3700.0</v>
      </c>
      <c r="AM101">
        <v>3800.0</v>
      </c>
      <c r="AN101">
        <v>3900.0</v>
      </c>
      <c r="AO101">
        <v>4000.0</v>
      </c>
      <c r="AP101">
        <v>4100.0</v>
      </c>
      <c r="AQ101">
        <v>4200.0</v>
      </c>
      <c r="AR101">
        <v>4300.0</v>
      </c>
      <c r="AS101">
        <v>4400.0</v>
      </c>
      <c r="AT101">
        <v>4500.0</v>
      </c>
      <c r="AU101">
        <v>4600.0</v>
      </c>
      <c r="AV101">
        <v>4700.0</v>
      </c>
      <c r="AW101">
        <v>4800.0</v>
      </c>
      <c r="AX101">
        <v>4900.0</v>
      </c>
      <c r="AY101">
        <v>5000.0</v>
      </c>
      <c r="AZ101">
        <v>5100.0</v>
      </c>
      <c r="BA101">
        <v>5200.0</v>
      </c>
      <c r="BB101">
        <v>5300.0</v>
      </c>
      <c r="BC101">
        <v>5400.0</v>
      </c>
      <c r="BD101">
        <v>5500.0</v>
      </c>
      <c r="BE101">
        <v>5600.0</v>
      </c>
      <c r="BF101">
        <v>5700.0</v>
      </c>
      <c r="BG101">
        <v>5800.0</v>
      </c>
      <c r="BH101">
        <v>5900.0</v>
      </c>
      <c r="BI101">
        <v>6000.0</v>
      </c>
      <c r="BJ101">
        <v>6100.0</v>
      </c>
      <c r="BK101">
        <v>6200.0</v>
      </c>
      <c r="BL101">
        <v>6300.0</v>
      </c>
      <c r="BM101">
        <v>6400.0</v>
      </c>
      <c r="BN101">
        <v>6500.0</v>
      </c>
      <c r="BO101">
        <v>6600.0</v>
      </c>
      <c r="BP101">
        <v>6700.0</v>
      </c>
      <c r="BQ101">
        <v>6800.0</v>
      </c>
      <c r="BR101">
        <v>6900.0</v>
      </c>
      <c r="BS101">
        <v>7000.0</v>
      </c>
      <c r="BT101">
        <v>7100.0</v>
      </c>
      <c r="BU101">
        <v>7200.0</v>
      </c>
      <c r="BV101">
        <v>7300.0</v>
      </c>
      <c r="BW101">
        <v>7400.0</v>
      </c>
      <c r="BX101">
        <v>7500.0</v>
      </c>
      <c r="BY101">
        <v>7600.0</v>
      </c>
      <c r="BZ101">
        <v>7700.0</v>
      </c>
      <c r="CA101">
        <v>7800.0</v>
      </c>
      <c r="CB101">
        <v>7900.0</v>
      </c>
      <c r="CC101">
        <v>8000.0</v>
      </c>
      <c r="CD101">
        <v>8100.0</v>
      </c>
      <c r="CE101">
        <v>8200.0</v>
      </c>
      <c r="CF101">
        <v>8300.0</v>
      </c>
      <c r="CG101">
        <v>8400.0</v>
      </c>
      <c r="CH101">
        <v>8500.0</v>
      </c>
      <c r="CI101">
        <v>8600.0</v>
      </c>
      <c r="CJ101">
        <v>8700.0</v>
      </c>
      <c r="CK101">
        <v>8800.0</v>
      </c>
      <c r="CL101">
        <v>8900.0</v>
      </c>
      <c r="CM101">
        <v>9000.0</v>
      </c>
      <c r="CN101">
        <v>9100.0</v>
      </c>
      <c r="CO101">
        <v>9200.0</v>
      </c>
      <c r="CP101">
        <v>9300.0</v>
      </c>
      <c r="CQ101">
        <v>9400.0</v>
      </c>
      <c r="CR101">
        <v>9500.0</v>
      </c>
      <c r="CS101">
        <v>9600.0</v>
      </c>
      <c r="CT101">
        <v>9700.0</v>
      </c>
      <c r="CU101">
        <v>9800.0</v>
      </c>
      <c r="CV101">
        <v>9900.0</v>
      </c>
      <c r="CW101">
        <v>10000.0</v>
      </c>
      <c r="CX101">
        <v>10100.0</v>
      </c>
      <c r="CY101">
        <v>10200.0</v>
      </c>
      <c r="CZ101">
        <v>10300.0</v>
      </c>
    </row>
    <row r="102" ht="19.5" customHeight="1">
      <c r="A102" s="2">
        <v>101.0</v>
      </c>
      <c r="B102">
        <v>101.0</v>
      </c>
      <c r="C102">
        <v>202.0</v>
      </c>
      <c r="D102">
        <v>303.0</v>
      </c>
      <c r="E102">
        <v>404.0</v>
      </c>
      <c r="F102">
        <v>505.0</v>
      </c>
      <c r="G102">
        <v>606.0</v>
      </c>
      <c r="H102">
        <v>707.0</v>
      </c>
      <c r="I102">
        <v>808.0</v>
      </c>
      <c r="J102">
        <v>909.0</v>
      </c>
      <c r="K102">
        <v>1010.0</v>
      </c>
      <c r="L102">
        <v>1111.0</v>
      </c>
      <c r="M102">
        <v>1212.0</v>
      </c>
      <c r="N102">
        <v>1313.0</v>
      </c>
      <c r="O102">
        <v>1414.0</v>
      </c>
      <c r="P102">
        <v>1515.0</v>
      </c>
      <c r="Q102">
        <v>1616.0</v>
      </c>
      <c r="R102">
        <v>1717.0</v>
      </c>
      <c r="S102">
        <v>1818.0</v>
      </c>
      <c r="T102">
        <v>1919.0</v>
      </c>
      <c r="U102">
        <v>2020.0</v>
      </c>
      <c r="V102">
        <v>2121.0</v>
      </c>
      <c r="W102">
        <v>2222.0</v>
      </c>
      <c r="X102">
        <v>2323.0</v>
      </c>
      <c r="Y102">
        <v>2424.0</v>
      </c>
      <c r="Z102">
        <v>2525.0</v>
      </c>
      <c r="AA102">
        <v>2626.0</v>
      </c>
      <c r="AB102">
        <v>2727.0</v>
      </c>
      <c r="AC102">
        <v>2828.0</v>
      </c>
      <c r="AD102">
        <v>2929.0</v>
      </c>
      <c r="AE102">
        <v>3030.0</v>
      </c>
      <c r="AF102">
        <v>3131.0</v>
      </c>
      <c r="AG102">
        <v>3232.0</v>
      </c>
      <c r="AH102">
        <v>3333.0</v>
      </c>
      <c r="AI102">
        <v>3434.0</v>
      </c>
      <c r="AJ102">
        <v>3535.0</v>
      </c>
      <c r="AK102">
        <v>3636.0</v>
      </c>
      <c r="AL102">
        <v>3737.0</v>
      </c>
      <c r="AM102">
        <v>3838.0</v>
      </c>
      <c r="AN102">
        <v>3939.0</v>
      </c>
      <c r="AO102">
        <v>4040.0</v>
      </c>
      <c r="AP102">
        <v>4141.0</v>
      </c>
      <c r="AQ102">
        <v>4242.0</v>
      </c>
      <c r="AR102">
        <v>4343.0</v>
      </c>
      <c r="AS102">
        <v>4444.0</v>
      </c>
      <c r="AT102">
        <v>4545.0</v>
      </c>
      <c r="AU102">
        <v>4646.0</v>
      </c>
      <c r="AV102">
        <v>4747.0</v>
      </c>
      <c r="AW102">
        <v>4848.0</v>
      </c>
      <c r="AX102">
        <v>4949.0</v>
      </c>
      <c r="AY102">
        <v>5050.0</v>
      </c>
      <c r="AZ102">
        <v>5151.0</v>
      </c>
      <c r="BA102">
        <v>5252.0</v>
      </c>
      <c r="BB102">
        <v>5353.0</v>
      </c>
      <c r="BC102">
        <v>5454.0</v>
      </c>
      <c r="BD102">
        <v>5555.0</v>
      </c>
      <c r="BE102">
        <v>5656.0</v>
      </c>
      <c r="BF102">
        <v>5757.0</v>
      </c>
      <c r="BG102">
        <v>5858.0</v>
      </c>
      <c r="BH102">
        <v>5959.0</v>
      </c>
      <c r="BI102">
        <v>6060.0</v>
      </c>
      <c r="BJ102">
        <v>6161.0</v>
      </c>
      <c r="BK102">
        <v>6262.0</v>
      </c>
      <c r="BL102">
        <v>6363.0</v>
      </c>
      <c r="BM102">
        <v>6464.0</v>
      </c>
      <c r="BN102">
        <v>6565.0</v>
      </c>
      <c r="BO102">
        <v>6666.0</v>
      </c>
      <c r="BP102">
        <v>6767.0</v>
      </c>
      <c r="BQ102">
        <v>6868.0</v>
      </c>
      <c r="BR102">
        <v>6969.0</v>
      </c>
      <c r="BS102">
        <v>7070.0</v>
      </c>
      <c r="BT102">
        <v>7171.0</v>
      </c>
      <c r="BU102">
        <v>7272.0</v>
      </c>
      <c r="BV102">
        <v>7373.0</v>
      </c>
      <c r="BW102">
        <v>7474.0</v>
      </c>
      <c r="BX102">
        <v>7575.0</v>
      </c>
      <c r="BY102">
        <v>7676.0</v>
      </c>
      <c r="BZ102">
        <v>7777.0</v>
      </c>
      <c r="CA102">
        <v>7878.0</v>
      </c>
      <c r="CB102">
        <v>7979.0</v>
      </c>
      <c r="CC102">
        <v>8080.0</v>
      </c>
      <c r="CD102">
        <v>8181.0</v>
      </c>
      <c r="CE102">
        <v>8282.0</v>
      </c>
      <c r="CF102">
        <v>8383.0</v>
      </c>
      <c r="CG102">
        <v>8484.0</v>
      </c>
      <c r="CH102">
        <v>8585.0</v>
      </c>
      <c r="CI102">
        <v>8686.0</v>
      </c>
      <c r="CJ102">
        <v>8787.0</v>
      </c>
      <c r="CK102">
        <v>8888.0</v>
      </c>
      <c r="CL102">
        <v>8989.0</v>
      </c>
      <c r="CM102">
        <v>9090.0</v>
      </c>
      <c r="CN102">
        <v>9191.0</v>
      </c>
      <c r="CO102">
        <v>9292.0</v>
      </c>
      <c r="CP102">
        <v>9393.0</v>
      </c>
      <c r="CQ102">
        <v>9494.0</v>
      </c>
      <c r="CR102">
        <v>9595.0</v>
      </c>
      <c r="CS102">
        <v>9696.0</v>
      </c>
      <c r="CT102">
        <v>9797.0</v>
      </c>
      <c r="CU102">
        <v>9898.0</v>
      </c>
      <c r="CV102">
        <v>9999.0</v>
      </c>
      <c r="CW102">
        <v>10100.0</v>
      </c>
      <c r="CX102">
        <v>10201.0</v>
      </c>
      <c r="CY102">
        <v>10302.0</v>
      </c>
      <c r="CZ102">
        <v>10403.0</v>
      </c>
    </row>
    <row r="103" ht="19.5" customHeight="1">
      <c r="A103" s="2">
        <v>102.0</v>
      </c>
      <c r="B103">
        <v>102.0</v>
      </c>
      <c r="C103">
        <v>204.0</v>
      </c>
      <c r="D103">
        <v>306.0</v>
      </c>
      <c r="E103">
        <v>408.0</v>
      </c>
      <c r="F103">
        <v>510.0</v>
      </c>
      <c r="G103">
        <v>612.0</v>
      </c>
      <c r="H103">
        <v>714.0</v>
      </c>
      <c r="I103">
        <v>816.0</v>
      </c>
      <c r="J103">
        <v>918.0</v>
      </c>
      <c r="K103">
        <v>1020.0</v>
      </c>
      <c r="L103">
        <v>1122.0</v>
      </c>
      <c r="M103">
        <v>1224.0</v>
      </c>
      <c r="N103">
        <v>1326.0</v>
      </c>
      <c r="O103">
        <v>1428.0</v>
      </c>
      <c r="P103">
        <v>1530.0</v>
      </c>
      <c r="Q103">
        <v>1632.0</v>
      </c>
      <c r="R103">
        <v>1734.0</v>
      </c>
      <c r="S103">
        <v>1836.0</v>
      </c>
      <c r="T103">
        <v>1938.0</v>
      </c>
      <c r="U103">
        <v>2040.0</v>
      </c>
      <c r="V103">
        <v>2142.0</v>
      </c>
      <c r="W103">
        <v>2244.0</v>
      </c>
      <c r="X103">
        <v>2346.0</v>
      </c>
      <c r="Y103">
        <v>2448.0</v>
      </c>
      <c r="Z103">
        <v>2550.0</v>
      </c>
      <c r="AA103">
        <v>2652.0</v>
      </c>
      <c r="AB103">
        <v>2754.0</v>
      </c>
      <c r="AC103">
        <v>2856.0</v>
      </c>
      <c r="AD103">
        <v>2958.0</v>
      </c>
      <c r="AE103">
        <v>3060.0</v>
      </c>
      <c r="AF103">
        <v>3162.0</v>
      </c>
      <c r="AG103">
        <v>3264.0</v>
      </c>
      <c r="AH103">
        <v>3366.0</v>
      </c>
      <c r="AI103">
        <v>3468.0</v>
      </c>
      <c r="AJ103">
        <v>3570.0</v>
      </c>
      <c r="AK103">
        <v>3672.0</v>
      </c>
      <c r="AL103">
        <v>3774.0</v>
      </c>
      <c r="AM103">
        <v>3876.0</v>
      </c>
      <c r="AN103">
        <v>3978.0</v>
      </c>
      <c r="AO103">
        <v>4080.0</v>
      </c>
      <c r="AP103">
        <v>4182.0</v>
      </c>
      <c r="AQ103">
        <v>4284.0</v>
      </c>
      <c r="AR103">
        <v>4386.0</v>
      </c>
      <c r="AS103">
        <v>4488.0</v>
      </c>
      <c r="AT103">
        <v>4590.0</v>
      </c>
      <c r="AU103">
        <v>4692.0</v>
      </c>
      <c r="AV103">
        <v>4794.0</v>
      </c>
      <c r="AW103">
        <v>4896.0</v>
      </c>
      <c r="AX103">
        <v>4998.0</v>
      </c>
      <c r="AY103">
        <v>5100.0</v>
      </c>
      <c r="AZ103">
        <v>5202.0</v>
      </c>
      <c r="BA103">
        <v>5304.0</v>
      </c>
      <c r="BB103">
        <v>5406.0</v>
      </c>
      <c r="BC103">
        <v>5508.0</v>
      </c>
      <c r="BD103">
        <v>5610.0</v>
      </c>
      <c r="BE103">
        <v>5712.0</v>
      </c>
      <c r="BF103">
        <v>5814.0</v>
      </c>
      <c r="BG103">
        <v>5916.0</v>
      </c>
      <c r="BH103">
        <v>6018.0</v>
      </c>
      <c r="BI103">
        <v>6120.0</v>
      </c>
      <c r="BJ103">
        <v>6222.0</v>
      </c>
      <c r="BK103">
        <v>6324.0</v>
      </c>
      <c r="BL103">
        <v>6426.0</v>
      </c>
      <c r="BM103">
        <v>6528.0</v>
      </c>
      <c r="BN103">
        <v>6630.0</v>
      </c>
      <c r="BO103">
        <v>6732.0</v>
      </c>
      <c r="BP103">
        <v>6834.0</v>
      </c>
      <c r="BQ103">
        <v>6936.0</v>
      </c>
      <c r="BR103">
        <v>7038.0</v>
      </c>
      <c r="BS103">
        <v>7140.0</v>
      </c>
      <c r="BT103">
        <v>7242.0</v>
      </c>
      <c r="BU103">
        <v>7344.0</v>
      </c>
      <c r="BV103">
        <v>7446.0</v>
      </c>
      <c r="BW103">
        <v>7548.0</v>
      </c>
      <c r="BX103">
        <v>7650.0</v>
      </c>
      <c r="BY103">
        <v>7752.0</v>
      </c>
      <c r="BZ103">
        <v>7854.0</v>
      </c>
      <c r="CA103">
        <v>7956.0</v>
      </c>
      <c r="CB103">
        <v>8058.0</v>
      </c>
      <c r="CC103">
        <v>8160.0</v>
      </c>
      <c r="CD103">
        <v>8262.0</v>
      </c>
      <c r="CE103">
        <v>8364.0</v>
      </c>
      <c r="CF103">
        <v>8466.0</v>
      </c>
      <c r="CG103">
        <v>8568.0</v>
      </c>
      <c r="CH103">
        <v>8670.0</v>
      </c>
      <c r="CI103">
        <v>8772.0</v>
      </c>
      <c r="CJ103">
        <v>8874.0</v>
      </c>
      <c r="CK103">
        <v>8976.0</v>
      </c>
      <c r="CL103">
        <v>9078.0</v>
      </c>
      <c r="CM103">
        <v>9180.0</v>
      </c>
      <c r="CN103">
        <v>9282.0</v>
      </c>
      <c r="CO103">
        <v>9384.0</v>
      </c>
      <c r="CP103">
        <v>9486.0</v>
      </c>
      <c r="CQ103">
        <v>9588.0</v>
      </c>
      <c r="CR103">
        <v>9690.0</v>
      </c>
      <c r="CS103">
        <v>9792.0</v>
      </c>
      <c r="CT103">
        <v>9894.0</v>
      </c>
      <c r="CU103">
        <v>9996.0</v>
      </c>
      <c r="CV103">
        <v>10098.0</v>
      </c>
      <c r="CW103">
        <v>10200.0</v>
      </c>
      <c r="CX103">
        <v>10302.0</v>
      </c>
      <c r="CY103">
        <v>10404.0</v>
      </c>
      <c r="CZ103">
        <v>10506.0</v>
      </c>
    </row>
    <row r="104" ht="19.5" customHeight="1">
      <c r="A104" s="3"/>
    </row>
    <row r="105" ht="19.5" customHeight="1">
      <c r="A105" s="3"/>
    </row>
    <row r="106" ht="19.5" customHeight="1">
      <c r="A106" s="3"/>
    </row>
    <row r="107" ht="19.5" customHeight="1">
      <c r="A107" s="3"/>
    </row>
    <row r="108" ht="19.5" customHeight="1">
      <c r="A108" s="3"/>
    </row>
    <row r="109" ht="19.5" customHeight="1">
      <c r="A109" s="3"/>
    </row>
    <row r="110" ht="19.5" customHeight="1">
      <c r="A110" s="3"/>
    </row>
    <row r="111" ht="19.5" customHeight="1">
      <c r="A111" s="3"/>
    </row>
    <row r="112" ht="19.5" customHeight="1">
      <c r="A112" s="3"/>
    </row>
    <row r="113" ht="19.5" customHeight="1">
      <c r="A113" s="3"/>
    </row>
    <row r="114" ht="19.5" customHeight="1">
      <c r="A114" s="3"/>
    </row>
    <row r="115" ht="19.5" customHeight="1">
      <c r="A115" s="3"/>
    </row>
    <row r="116" ht="19.5" customHeight="1">
      <c r="A116" s="3"/>
    </row>
    <row r="117" ht="19.5" customHeight="1">
      <c r="A117" s="3"/>
    </row>
    <row r="118" ht="19.5" customHeight="1">
      <c r="A118" s="3"/>
    </row>
    <row r="119" ht="19.5" customHeight="1">
      <c r="A119" s="3"/>
    </row>
    <row r="120" ht="19.5" customHeight="1">
      <c r="A120" s="3"/>
    </row>
    <row r="121" ht="19.5" customHeight="1">
      <c r="A121" s="3"/>
    </row>
    <row r="122" ht="19.5" customHeight="1">
      <c r="A122" s="3"/>
    </row>
    <row r="123" ht="19.5" customHeight="1">
      <c r="A123" s="3"/>
    </row>
    <row r="124" ht="19.5" customHeight="1">
      <c r="A124" s="3"/>
    </row>
    <row r="125" ht="19.5" customHeight="1">
      <c r="A125" s="3"/>
    </row>
    <row r="126" ht="19.5" customHeight="1">
      <c r="A126" s="3"/>
    </row>
    <row r="127" ht="19.5" customHeight="1">
      <c r="A127" s="3"/>
    </row>
    <row r="128" ht="19.5" customHeight="1">
      <c r="A128" s="3"/>
    </row>
    <row r="129" ht="19.5" customHeight="1">
      <c r="A129" s="3"/>
    </row>
    <row r="130" ht="19.5" customHeight="1">
      <c r="A130" s="3"/>
    </row>
    <row r="131" ht="19.5" customHeight="1">
      <c r="A131" s="3"/>
    </row>
    <row r="132" ht="19.5" customHeight="1">
      <c r="A132" s="3"/>
    </row>
    <row r="133" ht="19.5" customHeight="1">
      <c r="A133" s="3"/>
    </row>
    <row r="134" ht="19.5" customHeight="1">
      <c r="A134" s="3"/>
    </row>
    <row r="135" ht="19.5" customHeight="1">
      <c r="A135" s="3"/>
    </row>
    <row r="136" ht="19.5" customHeight="1">
      <c r="A136" s="3"/>
    </row>
    <row r="137" ht="19.5" customHeight="1">
      <c r="A137" s="3"/>
    </row>
    <row r="138" ht="19.5" customHeight="1">
      <c r="A138" s="3"/>
    </row>
    <row r="139" ht="19.5" customHeight="1">
      <c r="A139" s="3"/>
    </row>
    <row r="140" ht="19.5" customHeight="1">
      <c r="A140" s="3"/>
    </row>
    <row r="141" ht="19.5" customHeight="1">
      <c r="A141" s="3"/>
    </row>
    <row r="142" ht="19.5" customHeight="1">
      <c r="A142" s="3"/>
    </row>
    <row r="143" ht="19.5" customHeight="1">
      <c r="A143" s="3"/>
    </row>
    <row r="144" ht="19.5" customHeight="1">
      <c r="A144" s="3"/>
    </row>
    <row r="145" ht="19.5" customHeight="1">
      <c r="A145" s="3"/>
    </row>
    <row r="146" ht="19.5" customHeight="1">
      <c r="A146" s="3"/>
    </row>
    <row r="147" ht="19.5" customHeight="1">
      <c r="A147" s="3"/>
    </row>
    <row r="148" ht="19.5" customHeight="1">
      <c r="A148" s="3"/>
    </row>
    <row r="149" ht="19.5" customHeight="1">
      <c r="A149" s="3"/>
    </row>
    <row r="150" ht="19.5" customHeight="1">
      <c r="A150" s="3"/>
    </row>
    <row r="151" ht="19.5" customHeight="1">
      <c r="A151" s="3"/>
    </row>
    <row r="152" ht="19.5" customHeight="1">
      <c r="A152" s="3"/>
    </row>
    <row r="153" ht="19.5" customHeight="1">
      <c r="A153" s="3"/>
    </row>
    <row r="154" ht="19.5" customHeight="1">
      <c r="A154" s="3"/>
    </row>
    <row r="155" ht="19.5" customHeight="1">
      <c r="A155" s="3"/>
    </row>
    <row r="156" ht="19.5" customHeight="1">
      <c r="A156" s="3"/>
    </row>
    <row r="157" ht="19.5" customHeight="1">
      <c r="A157" s="3"/>
    </row>
    <row r="158" ht="19.5" customHeight="1">
      <c r="A158" s="3"/>
    </row>
    <row r="159" ht="19.5" customHeight="1">
      <c r="A159" s="3"/>
    </row>
    <row r="160" ht="19.5" customHeight="1">
      <c r="A160" s="3"/>
    </row>
    <row r="161" ht="19.5" customHeight="1">
      <c r="A161" s="3"/>
    </row>
    <row r="162" ht="19.5" customHeight="1">
      <c r="A162" s="3"/>
    </row>
    <row r="163" ht="19.5" customHeight="1">
      <c r="A163" s="3"/>
    </row>
    <row r="164" ht="19.5" customHeight="1">
      <c r="A164" s="3"/>
    </row>
    <row r="165" ht="19.5" customHeight="1">
      <c r="A165" s="3"/>
    </row>
    <row r="166" ht="19.5" customHeight="1">
      <c r="A166" s="3"/>
    </row>
    <row r="167" ht="19.5" customHeight="1">
      <c r="A167" s="3"/>
    </row>
    <row r="168" ht="19.5" customHeight="1">
      <c r="A168" s="3"/>
    </row>
    <row r="169" ht="19.5" customHeight="1">
      <c r="A169" s="3"/>
    </row>
    <row r="170" ht="19.5" customHeight="1">
      <c r="A170" s="3"/>
    </row>
    <row r="171" ht="19.5" customHeight="1">
      <c r="A171" s="3"/>
    </row>
    <row r="172" ht="19.5" customHeight="1">
      <c r="A172" s="3"/>
    </row>
    <row r="173" ht="19.5" customHeight="1">
      <c r="A173" s="3"/>
    </row>
    <row r="174" ht="19.5" customHeight="1">
      <c r="A174" s="3"/>
    </row>
    <row r="175" ht="19.5" customHeight="1">
      <c r="A175" s="3"/>
    </row>
    <row r="176" ht="19.5" customHeight="1">
      <c r="A176" s="3"/>
    </row>
    <row r="177" ht="19.5" customHeight="1">
      <c r="A177" s="3"/>
    </row>
    <row r="178" ht="19.5" customHeight="1">
      <c r="A178" s="3"/>
    </row>
    <row r="179" ht="19.5" customHeight="1">
      <c r="A179" s="3"/>
    </row>
    <row r="180" ht="19.5" customHeight="1">
      <c r="A180" s="3"/>
    </row>
    <row r="181" ht="19.5" customHeight="1">
      <c r="A181" s="3"/>
    </row>
    <row r="182" ht="19.5" customHeight="1">
      <c r="A182" s="3"/>
    </row>
    <row r="183" ht="19.5" customHeight="1">
      <c r="A183" s="3"/>
    </row>
    <row r="184" ht="19.5" customHeight="1">
      <c r="A184" s="3"/>
    </row>
    <row r="185" ht="19.5" customHeight="1">
      <c r="A185" s="3"/>
    </row>
    <row r="186" ht="19.5" customHeight="1">
      <c r="A186" s="3"/>
    </row>
    <row r="187" ht="19.5" customHeight="1">
      <c r="A187" s="3"/>
    </row>
    <row r="188" ht="19.5" customHeight="1">
      <c r="A188" s="3"/>
    </row>
    <row r="189" ht="19.5" customHeight="1">
      <c r="A189" s="3"/>
    </row>
    <row r="190" ht="19.5" customHeight="1">
      <c r="A190" s="3"/>
    </row>
    <row r="191" ht="19.5" customHeight="1">
      <c r="A191" s="3"/>
    </row>
    <row r="192" ht="19.5" customHeight="1">
      <c r="A192" s="3"/>
    </row>
    <row r="193" ht="19.5" customHeight="1">
      <c r="A193" s="3"/>
    </row>
    <row r="194" ht="19.5" customHeight="1">
      <c r="A194" s="3"/>
    </row>
    <row r="195" ht="19.5" customHeight="1">
      <c r="A195" s="3"/>
    </row>
    <row r="196" ht="19.5" customHeight="1">
      <c r="A196" s="3"/>
    </row>
    <row r="197" ht="19.5" customHeight="1">
      <c r="A197" s="3"/>
    </row>
    <row r="198" ht="19.5" customHeight="1">
      <c r="A198" s="3"/>
    </row>
    <row r="199" ht="19.5" customHeight="1">
      <c r="A199" s="3"/>
    </row>
    <row r="200" ht="19.5" customHeight="1">
      <c r="A200" s="3"/>
    </row>
    <row r="201" ht="19.5" customHeight="1">
      <c r="A201" s="3"/>
    </row>
    <row r="202" ht="19.5" customHeight="1">
      <c r="A202" s="3"/>
    </row>
    <row r="203" ht="19.5" customHeight="1">
      <c r="A203" s="3"/>
    </row>
    <row r="204" ht="19.5" customHeight="1">
      <c r="A204" s="3"/>
    </row>
    <row r="205" ht="19.5" customHeight="1">
      <c r="A205" s="3"/>
    </row>
    <row r="206" ht="19.5" customHeight="1">
      <c r="A206" s="3"/>
    </row>
    <row r="207" ht="19.5" customHeight="1">
      <c r="A207" s="3"/>
    </row>
    <row r="208" ht="19.5" customHeight="1">
      <c r="A208" s="3"/>
    </row>
    <row r="209" ht="19.5" customHeight="1">
      <c r="A209" s="3"/>
    </row>
    <row r="210" ht="19.5" customHeight="1">
      <c r="A210" s="3"/>
    </row>
    <row r="211" ht="19.5" customHeight="1">
      <c r="A211" s="3"/>
    </row>
    <row r="212" ht="19.5" customHeight="1">
      <c r="A212" s="3"/>
    </row>
    <row r="213" ht="19.5" customHeight="1">
      <c r="A213" s="3"/>
    </row>
    <row r="214" ht="19.5" customHeight="1">
      <c r="A214" s="3"/>
    </row>
    <row r="215" ht="19.5" customHeight="1">
      <c r="A215" s="3"/>
    </row>
    <row r="216" ht="19.5" customHeight="1">
      <c r="A216" s="3"/>
    </row>
    <row r="217" ht="19.5" customHeight="1">
      <c r="A217" s="3"/>
    </row>
    <row r="218" ht="19.5" customHeight="1">
      <c r="A218" s="3"/>
    </row>
    <row r="219" ht="19.5" customHeight="1">
      <c r="A219" s="3"/>
    </row>
    <row r="220" ht="19.5" customHeight="1">
      <c r="A220" s="3"/>
    </row>
    <row r="221" ht="19.5" customHeight="1">
      <c r="A221" s="3"/>
    </row>
    <row r="222" ht="19.5" customHeight="1">
      <c r="A222" s="3"/>
    </row>
    <row r="223" ht="19.5" customHeight="1">
      <c r="A223" s="3"/>
    </row>
    <row r="224" ht="19.5" customHeight="1">
      <c r="A224" s="3"/>
    </row>
    <row r="225" ht="19.5" customHeight="1">
      <c r="A225" s="3"/>
    </row>
    <row r="226" ht="19.5" customHeight="1">
      <c r="A226" s="3"/>
    </row>
    <row r="227" ht="19.5" customHeight="1">
      <c r="A227" s="3"/>
    </row>
    <row r="228" ht="19.5" customHeight="1">
      <c r="A228" s="3"/>
    </row>
    <row r="229" ht="19.5" customHeight="1">
      <c r="A229" s="3"/>
    </row>
    <row r="230" ht="19.5" customHeight="1">
      <c r="A230" s="3"/>
    </row>
    <row r="231" ht="19.5" customHeight="1">
      <c r="A231" s="3"/>
    </row>
    <row r="232" ht="19.5" customHeight="1">
      <c r="A232" s="3"/>
    </row>
    <row r="233" ht="19.5" customHeight="1">
      <c r="A233" s="3"/>
    </row>
    <row r="234" ht="19.5" customHeight="1">
      <c r="A234" s="3"/>
    </row>
    <row r="235" ht="19.5" customHeight="1">
      <c r="A235" s="3"/>
    </row>
    <row r="236" ht="19.5" customHeight="1">
      <c r="A236" s="3"/>
    </row>
    <row r="237" ht="19.5" customHeight="1">
      <c r="A237" s="3"/>
    </row>
    <row r="238" ht="19.5" customHeight="1">
      <c r="A238" s="3"/>
    </row>
    <row r="239" ht="19.5" customHeight="1">
      <c r="A239" s="3"/>
    </row>
    <row r="240" ht="19.5" customHeight="1">
      <c r="A240" s="3"/>
    </row>
    <row r="241" ht="19.5" customHeight="1">
      <c r="A241" s="3"/>
    </row>
    <row r="242" ht="19.5" customHeight="1">
      <c r="A242" s="3"/>
    </row>
    <row r="243" ht="19.5" customHeight="1">
      <c r="A243" s="3"/>
    </row>
    <row r="244" ht="19.5" customHeight="1">
      <c r="A244" s="3"/>
    </row>
    <row r="245" ht="19.5" customHeight="1">
      <c r="A245" s="3"/>
    </row>
    <row r="246" ht="19.5" customHeight="1">
      <c r="A246" s="3"/>
    </row>
    <row r="247" ht="19.5" customHeight="1">
      <c r="A247" s="3"/>
    </row>
    <row r="248" ht="19.5" customHeight="1">
      <c r="A248" s="3"/>
    </row>
    <row r="249" ht="19.5" customHeight="1">
      <c r="A249" s="3"/>
    </row>
    <row r="250" ht="19.5" customHeight="1">
      <c r="A250" s="3"/>
    </row>
    <row r="251" ht="19.5" customHeight="1">
      <c r="A251" s="3"/>
    </row>
    <row r="252" ht="19.5" customHeight="1">
      <c r="A252" s="3"/>
    </row>
    <row r="253" ht="19.5" customHeight="1">
      <c r="A253" s="3"/>
    </row>
    <row r="254" ht="19.5" customHeight="1">
      <c r="A254" s="3"/>
    </row>
    <row r="255" ht="19.5" customHeight="1">
      <c r="A255" s="3"/>
    </row>
    <row r="256" ht="19.5" customHeight="1">
      <c r="A256" s="3"/>
    </row>
    <row r="257" ht="19.5" customHeight="1">
      <c r="A257" s="3"/>
    </row>
    <row r="258" ht="19.5" customHeight="1">
      <c r="A258" s="3"/>
    </row>
    <row r="259" ht="19.5" customHeight="1">
      <c r="A259" s="3"/>
    </row>
    <row r="260" ht="19.5" customHeight="1">
      <c r="A260" s="3"/>
    </row>
    <row r="261" ht="19.5" customHeight="1">
      <c r="A261" s="3"/>
    </row>
    <row r="262" ht="19.5" customHeight="1">
      <c r="A262" s="3"/>
    </row>
    <row r="263" ht="19.5" customHeight="1">
      <c r="A263" s="3"/>
    </row>
    <row r="264" ht="19.5" customHeight="1">
      <c r="A264" s="3"/>
    </row>
    <row r="265" ht="19.5" customHeight="1">
      <c r="A265" s="3"/>
    </row>
    <row r="266" ht="19.5" customHeight="1">
      <c r="A266" s="3"/>
    </row>
    <row r="267" ht="19.5" customHeight="1">
      <c r="A267" s="3"/>
    </row>
    <row r="268" ht="19.5" customHeight="1">
      <c r="A268" s="3"/>
    </row>
    <row r="269" ht="19.5" customHeight="1">
      <c r="A269" s="3"/>
    </row>
    <row r="270" ht="19.5" customHeight="1">
      <c r="A270" s="3"/>
    </row>
    <row r="271" ht="19.5" customHeight="1">
      <c r="A271" s="3"/>
    </row>
    <row r="272" ht="19.5" customHeight="1">
      <c r="A272" s="3"/>
    </row>
    <row r="273" ht="19.5" customHeight="1">
      <c r="A273" s="3"/>
    </row>
    <row r="274" ht="19.5" customHeight="1">
      <c r="A274" s="3"/>
    </row>
    <row r="275" ht="19.5" customHeight="1">
      <c r="A275" s="3"/>
    </row>
    <row r="276" ht="19.5" customHeight="1">
      <c r="A276" s="3"/>
    </row>
    <row r="277" ht="19.5" customHeight="1">
      <c r="A277" s="3"/>
    </row>
    <row r="278" ht="19.5" customHeight="1">
      <c r="A278" s="3"/>
    </row>
    <row r="279" ht="19.5" customHeight="1">
      <c r="A279" s="3"/>
    </row>
    <row r="280" ht="19.5" customHeight="1">
      <c r="A280" s="3"/>
    </row>
    <row r="281" ht="19.5" customHeight="1">
      <c r="A281" s="3"/>
    </row>
    <row r="282" ht="19.5" customHeight="1">
      <c r="A282" s="3"/>
    </row>
    <row r="283" ht="19.5" customHeight="1">
      <c r="A283" s="3"/>
    </row>
    <row r="284" ht="19.5" customHeight="1">
      <c r="A284" s="3"/>
    </row>
    <row r="285" ht="19.5" customHeight="1">
      <c r="A285" s="3"/>
    </row>
    <row r="286" ht="19.5" customHeight="1">
      <c r="A286" s="3"/>
    </row>
    <row r="287" ht="19.5" customHeight="1">
      <c r="A287" s="3"/>
    </row>
    <row r="288" ht="19.5" customHeight="1">
      <c r="A288" s="3"/>
    </row>
    <row r="289" ht="19.5" customHeight="1">
      <c r="A289" s="3"/>
    </row>
    <row r="290" ht="19.5" customHeight="1">
      <c r="A290" s="3"/>
    </row>
    <row r="291" ht="19.5" customHeight="1">
      <c r="A291" s="3"/>
    </row>
    <row r="292" ht="19.5" customHeight="1">
      <c r="A292" s="3"/>
    </row>
    <row r="293" ht="19.5" customHeight="1">
      <c r="A293" s="3"/>
    </row>
    <row r="294" ht="19.5" customHeight="1">
      <c r="A294" s="3"/>
    </row>
    <row r="295" ht="19.5" customHeight="1">
      <c r="A295" s="3"/>
    </row>
    <row r="296" ht="19.5" customHeight="1">
      <c r="A296" s="3"/>
    </row>
    <row r="297" ht="19.5" customHeight="1">
      <c r="A297" s="3"/>
    </row>
    <row r="298" ht="19.5" customHeight="1">
      <c r="A298" s="3"/>
    </row>
    <row r="299" ht="19.5" customHeight="1">
      <c r="A299" s="3"/>
    </row>
    <row r="300" ht="19.5" customHeight="1">
      <c r="A300" s="3"/>
    </row>
    <row r="301" ht="19.5" customHeight="1">
      <c r="A301" s="3"/>
    </row>
    <row r="302" ht="19.5" customHeight="1">
      <c r="A302" s="3"/>
    </row>
    <row r="303" ht="19.5" customHeight="1">
      <c r="A303" s="3"/>
    </row>
    <row r="304" ht="19.5" customHeight="1">
      <c r="A304" s="3"/>
    </row>
    <row r="305" ht="19.5" customHeight="1">
      <c r="A305" s="3"/>
    </row>
    <row r="306" ht="19.5" customHeight="1">
      <c r="A306" s="3"/>
    </row>
    <row r="307" ht="19.5" customHeight="1">
      <c r="A307" s="3"/>
    </row>
    <row r="308" ht="19.5" customHeight="1">
      <c r="A308" s="3"/>
    </row>
    <row r="309" ht="19.5" customHeight="1">
      <c r="A309" s="3"/>
    </row>
    <row r="310" ht="19.5" customHeight="1">
      <c r="A310" s="3"/>
    </row>
    <row r="311" ht="19.5" customHeight="1">
      <c r="A311" s="3"/>
    </row>
    <row r="312" ht="19.5" customHeight="1">
      <c r="A312" s="3"/>
    </row>
    <row r="313" ht="19.5" customHeight="1">
      <c r="A313" s="3"/>
    </row>
    <row r="314" ht="19.5" customHeight="1">
      <c r="A314" s="3"/>
    </row>
    <row r="315" ht="19.5" customHeight="1">
      <c r="A315" s="3"/>
    </row>
    <row r="316" ht="19.5" customHeight="1">
      <c r="A316" s="3"/>
    </row>
    <row r="317" ht="19.5" customHeight="1">
      <c r="A317" s="3"/>
    </row>
    <row r="318" ht="19.5" customHeight="1">
      <c r="A318" s="3"/>
    </row>
    <row r="319" ht="19.5" customHeight="1">
      <c r="A319" s="3"/>
    </row>
    <row r="320" ht="19.5" customHeight="1">
      <c r="A320" s="3"/>
    </row>
    <row r="321" ht="19.5" customHeight="1">
      <c r="A321" s="3"/>
    </row>
    <row r="322" ht="19.5" customHeight="1">
      <c r="A322" s="3"/>
    </row>
    <row r="323" ht="19.5" customHeight="1">
      <c r="A323" s="3"/>
    </row>
    <row r="324" ht="19.5" customHeight="1">
      <c r="A324" s="3"/>
    </row>
    <row r="325" ht="19.5" customHeight="1">
      <c r="A325" s="3"/>
    </row>
    <row r="326" ht="19.5" customHeight="1">
      <c r="A326" s="3"/>
    </row>
    <row r="327" ht="19.5" customHeight="1">
      <c r="A327" s="3"/>
    </row>
    <row r="328" ht="19.5" customHeight="1">
      <c r="A328" s="3"/>
    </row>
    <row r="329" ht="19.5" customHeight="1">
      <c r="A329" s="3"/>
    </row>
    <row r="330" ht="19.5" customHeight="1">
      <c r="A330" s="3"/>
    </row>
    <row r="331" ht="19.5" customHeight="1">
      <c r="A331" s="3"/>
    </row>
    <row r="332" ht="19.5" customHeight="1">
      <c r="A332" s="3"/>
    </row>
    <row r="333" ht="19.5" customHeight="1">
      <c r="A333" s="3"/>
    </row>
    <row r="334" ht="19.5" customHeight="1">
      <c r="A334" s="3"/>
    </row>
    <row r="335" ht="19.5" customHeight="1">
      <c r="A335" s="3"/>
    </row>
    <row r="336" ht="19.5" customHeight="1">
      <c r="A336" s="3"/>
    </row>
    <row r="337" ht="19.5" customHeight="1">
      <c r="A337" s="3"/>
    </row>
    <row r="338" ht="19.5" customHeight="1">
      <c r="A338" s="3"/>
    </row>
    <row r="339" ht="19.5" customHeight="1">
      <c r="A339" s="3"/>
    </row>
    <row r="340" ht="19.5" customHeight="1">
      <c r="A340" s="3"/>
    </row>
    <row r="341" ht="19.5" customHeight="1">
      <c r="A341" s="3"/>
    </row>
    <row r="342" ht="19.5" customHeight="1">
      <c r="A342" s="3"/>
    </row>
    <row r="343" ht="19.5" customHeight="1">
      <c r="A343" s="3"/>
    </row>
    <row r="344" ht="19.5" customHeight="1">
      <c r="A344" s="3"/>
    </row>
    <row r="345" ht="19.5" customHeight="1">
      <c r="A345" s="3"/>
    </row>
    <row r="346" ht="19.5" customHeight="1">
      <c r="A346" s="3"/>
    </row>
    <row r="347" ht="19.5" customHeight="1">
      <c r="A347" s="3"/>
    </row>
    <row r="348" ht="19.5" customHeight="1">
      <c r="A348" s="3"/>
    </row>
    <row r="349" ht="19.5" customHeight="1">
      <c r="A349" s="3"/>
    </row>
    <row r="350" ht="19.5" customHeight="1">
      <c r="A350" s="3"/>
    </row>
    <row r="351" ht="19.5" customHeight="1">
      <c r="A351" s="3"/>
    </row>
    <row r="352" ht="19.5" customHeight="1">
      <c r="A352" s="3"/>
    </row>
    <row r="353" ht="19.5" customHeight="1">
      <c r="A353" s="3"/>
    </row>
    <row r="354" ht="19.5" customHeight="1">
      <c r="A354" s="3"/>
    </row>
    <row r="355" ht="19.5" customHeight="1">
      <c r="A355" s="3"/>
    </row>
    <row r="356" ht="19.5" customHeight="1">
      <c r="A356" s="3"/>
    </row>
    <row r="357" ht="19.5" customHeight="1">
      <c r="A357" s="3"/>
    </row>
    <row r="358" ht="19.5" customHeight="1">
      <c r="A358" s="3"/>
    </row>
    <row r="359" ht="19.5" customHeight="1">
      <c r="A359" s="3"/>
    </row>
    <row r="360" ht="19.5" customHeight="1">
      <c r="A360" s="3"/>
    </row>
    <row r="361" ht="19.5" customHeight="1">
      <c r="A361" s="3"/>
    </row>
    <row r="362" ht="19.5" customHeight="1">
      <c r="A362" s="3"/>
    </row>
    <row r="363" ht="19.5" customHeight="1">
      <c r="A363" s="3"/>
    </row>
    <row r="364" ht="19.5" customHeight="1">
      <c r="A364" s="3"/>
    </row>
    <row r="365" ht="19.5" customHeight="1">
      <c r="A365" s="3"/>
    </row>
    <row r="366" ht="19.5" customHeight="1">
      <c r="A366" s="3"/>
    </row>
    <row r="367" ht="19.5" customHeight="1">
      <c r="A367" s="3"/>
    </row>
    <row r="368" ht="19.5" customHeight="1">
      <c r="A368" s="3"/>
    </row>
    <row r="369" ht="19.5" customHeight="1">
      <c r="A369" s="3"/>
    </row>
    <row r="370" ht="19.5" customHeight="1">
      <c r="A370" s="3"/>
    </row>
    <row r="371" ht="19.5" customHeight="1">
      <c r="A371" s="3"/>
    </row>
    <row r="372" ht="19.5" customHeight="1">
      <c r="A372" s="3"/>
    </row>
    <row r="373" ht="19.5" customHeight="1">
      <c r="A373" s="3"/>
    </row>
    <row r="374" ht="19.5" customHeight="1">
      <c r="A374" s="3"/>
    </row>
    <row r="375" ht="19.5" customHeight="1">
      <c r="A375" s="3"/>
    </row>
    <row r="376" ht="19.5" customHeight="1">
      <c r="A376" s="3"/>
    </row>
    <row r="377" ht="19.5" customHeight="1">
      <c r="A377" s="3"/>
    </row>
    <row r="378" ht="19.5" customHeight="1">
      <c r="A378" s="3"/>
    </row>
    <row r="379" ht="19.5" customHeight="1">
      <c r="A379" s="3"/>
    </row>
    <row r="380" ht="19.5" customHeight="1">
      <c r="A380" s="3"/>
    </row>
    <row r="381" ht="19.5" customHeight="1">
      <c r="A381" s="3"/>
    </row>
    <row r="382" ht="19.5" customHeight="1">
      <c r="A382" s="3"/>
    </row>
    <row r="383" ht="19.5" customHeight="1">
      <c r="A383" s="3"/>
    </row>
    <row r="384" ht="19.5" customHeight="1">
      <c r="A384" s="3"/>
    </row>
    <row r="385" ht="19.5" customHeight="1">
      <c r="A385" s="3"/>
    </row>
    <row r="386" ht="19.5" customHeight="1">
      <c r="A386" s="3"/>
    </row>
    <row r="387" ht="19.5" customHeight="1">
      <c r="A387" s="3"/>
    </row>
    <row r="388" ht="19.5" customHeight="1">
      <c r="A388" s="3"/>
    </row>
    <row r="389" ht="19.5" customHeight="1">
      <c r="A389" s="3"/>
    </row>
    <row r="390" ht="19.5" customHeight="1">
      <c r="A390" s="3"/>
    </row>
    <row r="391" ht="19.5" customHeight="1">
      <c r="A391" s="3"/>
    </row>
    <row r="392" ht="19.5" customHeight="1">
      <c r="A392" s="3"/>
    </row>
    <row r="393" ht="19.5" customHeight="1">
      <c r="A393" s="3"/>
    </row>
    <row r="394" ht="19.5" customHeight="1">
      <c r="A394" s="3"/>
    </row>
    <row r="395" ht="19.5" customHeight="1">
      <c r="A395" s="3"/>
    </row>
    <row r="396" ht="19.5" customHeight="1">
      <c r="A396" s="3"/>
    </row>
    <row r="397" ht="19.5" customHeight="1">
      <c r="A397" s="3"/>
    </row>
    <row r="398" ht="19.5" customHeight="1">
      <c r="A398" s="3"/>
    </row>
    <row r="399" ht="19.5" customHeight="1">
      <c r="A399" s="3"/>
    </row>
    <row r="400" ht="19.5" customHeight="1">
      <c r="A400" s="3"/>
    </row>
    <row r="401" ht="19.5" customHeight="1">
      <c r="A401" s="3"/>
    </row>
    <row r="402" ht="19.5" customHeight="1">
      <c r="A402" s="3"/>
    </row>
    <row r="403" ht="19.5" customHeight="1">
      <c r="A403" s="3"/>
    </row>
    <row r="404" ht="19.5" customHeight="1">
      <c r="A404" s="3"/>
    </row>
    <row r="405" ht="19.5" customHeight="1">
      <c r="A405" s="3"/>
    </row>
    <row r="406" ht="19.5" customHeight="1">
      <c r="A406" s="3"/>
    </row>
    <row r="407" ht="19.5" customHeight="1">
      <c r="A407" s="3"/>
    </row>
    <row r="408" ht="19.5" customHeight="1">
      <c r="A408" s="3"/>
    </row>
    <row r="409" ht="19.5" customHeight="1">
      <c r="A409" s="3"/>
    </row>
    <row r="410" ht="19.5" customHeight="1">
      <c r="A410" s="3"/>
    </row>
    <row r="411" ht="19.5" customHeight="1">
      <c r="A411" s="3"/>
    </row>
    <row r="412" ht="19.5" customHeight="1">
      <c r="A412" s="3"/>
    </row>
    <row r="413" ht="19.5" customHeight="1">
      <c r="A413" s="3"/>
    </row>
    <row r="414" ht="19.5" customHeight="1">
      <c r="A414" s="3"/>
    </row>
    <row r="415" ht="19.5" customHeight="1">
      <c r="A415" s="3"/>
    </row>
    <row r="416" ht="19.5" customHeight="1">
      <c r="A416" s="3"/>
    </row>
    <row r="417" ht="19.5" customHeight="1">
      <c r="A417" s="3"/>
    </row>
    <row r="418" ht="19.5" customHeight="1">
      <c r="A418" s="3"/>
    </row>
    <row r="419" ht="19.5" customHeight="1">
      <c r="A419" s="3"/>
    </row>
    <row r="420" ht="19.5" customHeight="1">
      <c r="A420" s="3"/>
    </row>
    <row r="421" ht="19.5" customHeight="1">
      <c r="A421" s="3"/>
    </row>
    <row r="422" ht="19.5" customHeight="1">
      <c r="A422" s="3"/>
    </row>
    <row r="423" ht="19.5" customHeight="1">
      <c r="A423" s="3"/>
    </row>
    <row r="424" ht="19.5" customHeight="1">
      <c r="A424" s="3"/>
    </row>
    <row r="425" ht="19.5" customHeight="1">
      <c r="A425" s="3"/>
    </row>
    <row r="426" ht="19.5" customHeight="1">
      <c r="A426" s="3"/>
    </row>
    <row r="427" ht="19.5" customHeight="1">
      <c r="A427" s="3"/>
    </row>
    <row r="428" ht="19.5" customHeight="1">
      <c r="A428" s="3"/>
    </row>
    <row r="429" ht="19.5" customHeight="1">
      <c r="A429" s="3"/>
    </row>
    <row r="430" ht="19.5" customHeight="1">
      <c r="A430" s="3"/>
    </row>
    <row r="431" ht="19.5" customHeight="1">
      <c r="A431" s="3"/>
    </row>
    <row r="432" ht="19.5" customHeight="1">
      <c r="A432" s="3"/>
    </row>
    <row r="433" ht="19.5" customHeight="1">
      <c r="A433" s="3"/>
    </row>
    <row r="434" ht="19.5" customHeight="1">
      <c r="A434" s="3"/>
    </row>
    <row r="435" ht="19.5" customHeight="1">
      <c r="A435" s="3"/>
    </row>
    <row r="436" ht="19.5" customHeight="1">
      <c r="A436" s="3"/>
    </row>
    <row r="437" ht="19.5" customHeight="1">
      <c r="A437" s="3"/>
    </row>
    <row r="438" ht="19.5" customHeight="1">
      <c r="A438" s="3"/>
    </row>
    <row r="439" ht="19.5" customHeight="1">
      <c r="A439" s="3"/>
    </row>
    <row r="440" ht="19.5" customHeight="1">
      <c r="A440" s="3"/>
    </row>
    <row r="441" ht="19.5" customHeight="1">
      <c r="A441" s="3"/>
    </row>
    <row r="442" ht="19.5" customHeight="1">
      <c r="A442" s="3"/>
    </row>
    <row r="443" ht="19.5" customHeight="1">
      <c r="A443" s="3"/>
    </row>
    <row r="444" ht="19.5" customHeight="1">
      <c r="A444" s="3"/>
    </row>
    <row r="445" ht="19.5" customHeight="1">
      <c r="A445" s="3"/>
    </row>
    <row r="446" ht="19.5" customHeight="1">
      <c r="A446" s="3"/>
    </row>
    <row r="447" ht="19.5" customHeight="1">
      <c r="A447" s="3"/>
    </row>
    <row r="448" ht="19.5" customHeight="1">
      <c r="A448" s="3"/>
    </row>
    <row r="449" ht="19.5" customHeight="1">
      <c r="A449" s="3"/>
    </row>
    <row r="450" ht="19.5" customHeight="1">
      <c r="A450" s="3"/>
    </row>
    <row r="451" ht="19.5" customHeight="1">
      <c r="A451" s="3"/>
    </row>
    <row r="452" ht="19.5" customHeight="1">
      <c r="A452" s="3"/>
    </row>
    <row r="453" ht="19.5" customHeight="1">
      <c r="A453" s="3"/>
    </row>
    <row r="454" ht="19.5" customHeight="1">
      <c r="A454" s="3"/>
    </row>
    <row r="455" ht="19.5" customHeight="1">
      <c r="A455" s="3"/>
    </row>
    <row r="456" ht="19.5" customHeight="1">
      <c r="A456" s="3"/>
    </row>
    <row r="457" ht="19.5" customHeight="1">
      <c r="A457" s="3"/>
    </row>
    <row r="458" ht="19.5" customHeight="1">
      <c r="A458" s="3"/>
    </row>
    <row r="459" ht="19.5" customHeight="1">
      <c r="A459" s="3"/>
    </row>
    <row r="460" ht="19.5" customHeight="1">
      <c r="A460" s="3"/>
    </row>
    <row r="461" ht="19.5" customHeight="1">
      <c r="A461" s="3"/>
    </row>
    <row r="462" ht="19.5" customHeight="1">
      <c r="A462" s="3"/>
    </row>
    <row r="463" ht="19.5" customHeight="1">
      <c r="A463" s="3"/>
    </row>
    <row r="464" ht="19.5" customHeight="1">
      <c r="A464" s="3"/>
    </row>
    <row r="465" ht="19.5" customHeight="1">
      <c r="A465" s="3"/>
    </row>
    <row r="466" ht="19.5" customHeight="1">
      <c r="A466" s="3"/>
    </row>
    <row r="467" ht="19.5" customHeight="1">
      <c r="A467" s="3"/>
    </row>
    <row r="468" ht="19.5" customHeight="1">
      <c r="A468" s="3"/>
    </row>
    <row r="469" ht="19.5" customHeight="1">
      <c r="A469" s="3"/>
    </row>
    <row r="470" ht="19.5" customHeight="1">
      <c r="A470" s="3"/>
    </row>
    <row r="471" ht="19.5" customHeight="1">
      <c r="A471" s="3"/>
    </row>
    <row r="472" ht="19.5" customHeight="1">
      <c r="A472" s="3"/>
    </row>
    <row r="473" ht="19.5" customHeight="1">
      <c r="A473" s="3"/>
    </row>
    <row r="474" ht="19.5" customHeight="1">
      <c r="A474" s="3"/>
    </row>
    <row r="475" ht="19.5" customHeight="1">
      <c r="A475" s="3"/>
    </row>
    <row r="476" ht="19.5" customHeight="1">
      <c r="A476" s="3"/>
    </row>
    <row r="477" ht="19.5" customHeight="1">
      <c r="A477" s="3"/>
    </row>
    <row r="478" ht="19.5" customHeight="1">
      <c r="A478" s="3"/>
    </row>
    <row r="479" ht="19.5" customHeight="1">
      <c r="A479" s="3"/>
    </row>
    <row r="480" ht="19.5" customHeight="1">
      <c r="A480" s="3"/>
    </row>
    <row r="481" ht="19.5" customHeight="1">
      <c r="A481" s="3"/>
    </row>
    <row r="482" ht="19.5" customHeight="1">
      <c r="A482" s="3"/>
    </row>
    <row r="483" ht="19.5" customHeight="1">
      <c r="A483" s="3"/>
    </row>
    <row r="484" ht="19.5" customHeight="1">
      <c r="A484" s="3"/>
    </row>
    <row r="485" ht="19.5" customHeight="1">
      <c r="A485" s="3"/>
    </row>
    <row r="486" ht="19.5" customHeight="1">
      <c r="A486" s="3"/>
    </row>
    <row r="487" ht="19.5" customHeight="1">
      <c r="A487" s="3"/>
    </row>
    <row r="488" ht="19.5" customHeight="1">
      <c r="A488" s="3"/>
    </row>
    <row r="489" ht="19.5" customHeight="1">
      <c r="A489" s="3"/>
    </row>
    <row r="490" ht="19.5" customHeight="1">
      <c r="A490" s="3"/>
    </row>
    <row r="491" ht="19.5" customHeight="1">
      <c r="A491" s="3"/>
    </row>
    <row r="492" ht="19.5" customHeight="1">
      <c r="A492" s="3"/>
    </row>
    <row r="493" ht="19.5" customHeight="1">
      <c r="A493" s="3"/>
    </row>
    <row r="494" ht="19.5" customHeight="1">
      <c r="A494" s="3"/>
    </row>
    <row r="495" ht="19.5" customHeight="1">
      <c r="A495" s="3"/>
    </row>
    <row r="496" ht="19.5" customHeight="1">
      <c r="A496" s="3"/>
    </row>
    <row r="497" ht="19.5" customHeight="1">
      <c r="A497" s="3"/>
    </row>
    <row r="498" ht="19.5" customHeight="1">
      <c r="A498" s="3"/>
    </row>
    <row r="499" ht="19.5" customHeight="1">
      <c r="A499" s="3"/>
    </row>
    <row r="500" ht="19.5" customHeight="1">
      <c r="A500" s="3"/>
    </row>
    <row r="501" ht="19.5" customHeight="1">
      <c r="A501" s="3"/>
    </row>
    <row r="502" ht="19.5" customHeight="1">
      <c r="A502" s="3"/>
    </row>
    <row r="503" ht="19.5" customHeight="1">
      <c r="A503" s="3"/>
    </row>
    <row r="504" ht="19.5" customHeight="1">
      <c r="A504" s="3"/>
    </row>
    <row r="505" ht="19.5" customHeight="1">
      <c r="A505" s="3"/>
    </row>
    <row r="506" ht="19.5" customHeight="1">
      <c r="A506" s="3"/>
    </row>
    <row r="507" ht="19.5" customHeight="1">
      <c r="A507" s="3"/>
    </row>
    <row r="508" ht="19.5" customHeight="1">
      <c r="A508" s="3"/>
    </row>
    <row r="509" ht="19.5" customHeight="1">
      <c r="A509" s="3"/>
    </row>
    <row r="510" ht="19.5" customHeight="1">
      <c r="A510" s="3"/>
    </row>
    <row r="511" ht="19.5" customHeight="1">
      <c r="A511" s="3"/>
    </row>
    <row r="512" ht="19.5" customHeight="1">
      <c r="A512" s="3"/>
    </row>
    <row r="513" ht="19.5" customHeight="1">
      <c r="A513" s="3"/>
    </row>
    <row r="514" ht="19.5" customHeight="1">
      <c r="A514" s="3"/>
    </row>
    <row r="515" ht="19.5" customHeight="1">
      <c r="A515" s="3"/>
    </row>
    <row r="516" ht="19.5" customHeight="1">
      <c r="A516" s="3"/>
    </row>
    <row r="517" ht="19.5" customHeight="1">
      <c r="A517" s="3"/>
    </row>
    <row r="518" ht="19.5" customHeight="1">
      <c r="A518" s="3"/>
    </row>
    <row r="519" ht="19.5" customHeight="1">
      <c r="A519" s="3"/>
    </row>
    <row r="520" ht="19.5" customHeight="1">
      <c r="A520" s="3"/>
    </row>
    <row r="521" ht="19.5" customHeight="1">
      <c r="A521" s="3"/>
    </row>
    <row r="522" ht="19.5" customHeight="1">
      <c r="A522" s="3"/>
    </row>
    <row r="523" ht="19.5" customHeight="1">
      <c r="A523" s="3"/>
    </row>
    <row r="524" ht="19.5" customHeight="1">
      <c r="A524" s="3"/>
    </row>
    <row r="525" ht="19.5" customHeight="1">
      <c r="A525" s="3"/>
    </row>
    <row r="526" ht="19.5" customHeight="1">
      <c r="A526" s="3"/>
    </row>
    <row r="527" ht="19.5" customHeight="1">
      <c r="A527" s="3"/>
    </row>
    <row r="528" ht="19.5" customHeight="1">
      <c r="A528" s="3"/>
    </row>
    <row r="529" ht="19.5" customHeight="1">
      <c r="A529" s="3"/>
    </row>
    <row r="530" ht="19.5" customHeight="1">
      <c r="A530" s="3"/>
    </row>
    <row r="531" ht="19.5" customHeight="1">
      <c r="A531" s="3"/>
    </row>
    <row r="532" ht="19.5" customHeight="1">
      <c r="A532" s="3"/>
    </row>
    <row r="533" ht="19.5" customHeight="1">
      <c r="A533" s="3"/>
    </row>
    <row r="534" ht="19.5" customHeight="1">
      <c r="A534" s="3"/>
    </row>
    <row r="535" ht="19.5" customHeight="1">
      <c r="A535" s="3"/>
    </row>
    <row r="536" ht="19.5" customHeight="1">
      <c r="A536" s="3"/>
    </row>
    <row r="537" ht="19.5" customHeight="1">
      <c r="A537" s="3"/>
    </row>
    <row r="538" ht="19.5" customHeight="1">
      <c r="A538" s="3"/>
    </row>
    <row r="539" ht="19.5" customHeight="1">
      <c r="A539" s="3"/>
    </row>
    <row r="540" ht="19.5" customHeight="1">
      <c r="A540" s="3"/>
    </row>
    <row r="541" ht="19.5" customHeight="1">
      <c r="A541" s="3"/>
    </row>
    <row r="542" ht="19.5" customHeight="1">
      <c r="A542" s="3"/>
    </row>
    <row r="543" ht="19.5" customHeight="1">
      <c r="A543" s="3"/>
    </row>
    <row r="544" ht="19.5" customHeight="1">
      <c r="A544" s="3"/>
    </row>
    <row r="545" ht="19.5" customHeight="1">
      <c r="A545" s="3"/>
    </row>
    <row r="546" ht="19.5" customHeight="1">
      <c r="A546" s="3"/>
    </row>
    <row r="547" ht="19.5" customHeight="1">
      <c r="A547" s="3"/>
    </row>
    <row r="548" ht="19.5" customHeight="1">
      <c r="A548" s="3"/>
    </row>
    <row r="549" ht="19.5" customHeight="1">
      <c r="A549" s="3"/>
    </row>
    <row r="550" ht="19.5" customHeight="1">
      <c r="A550" s="3"/>
    </row>
    <row r="551" ht="19.5" customHeight="1">
      <c r="A551" s="3"/>
    </row>
    <row r="552" ht="19.5" customHeight="1">
      <c r="A552" s="3"/>
    </row>
    <row r="553" ht="19.5" customHeight="1">
      <c r="A553" s="3"/>
    </row>
    <row r="554" ht="19.5" customHeight="1">
      <c r="A554" s="3"/>
    </row>
    <row r="555" ht="19.5" customHeight="1">
      <c r="A555" s="3"/>
    </row>
    <row r="556" ht="19.5" customHeight="1">
      <c r="A556" s="3"/>
    </row>
    <row r="557" ht="19.5" customHeight="1">
      <c r="A557" s="3"/>
    </row>
    <row r="558" ht="19.5" customHeight="1">
      <c r="A558" s="3"/>
    </row>
    <row r="559" ht="19.5" customHeight="1">
      <c r="A559" s="3"/>
    </row>
    <row r="560" ht="19.5" customHeight="1">
      <c r="A560" s="3"/>
    </row>
    <row r="561" ht="19.5" customHeight="1">
      <c r="A561" s="3"/>
    </row>
    <row r="562" ht="19.5" customHeight="1">
      <c r="A562" s="3"/>
    </row>
    <row r="563" ht="19.5" customHeight="1">
      <c r="A563" s="3"/>
    </row>
    <row r="564" ht="19.5" customHeight="1">
      <c r="A564" s="3"/>
    </row>
    <row r="565" ht="19.5" customHeight="1">
      <c r="A565" s="3"/>
    </row>
    <row r="566" ht="19.5" customHeight="1">
      <c r="A566" s="3"/>
    </row>
    <row r="567" ht="19.5" customHeight="1">
      <c r="A567" s="3"/>
    </row>
    <row r="568" ht="19.5" customHeight="1">
      <c r="A568" s="3"/>
    </row>
    <row r="569" ht="19.5" customHeight="1">
      <c r="A569" s="3"/>
    </row>
    <row r="570" ht="19.5" customHeight="1">
      <c r="A570" s="3"/>
    </row>
    <row r="571" ht="19.5" customHeight="1">
      <c r="A571" s="3"/>
    </row>
    <row r="572" ht="19.5" customHeight="1">
      <c r="A572" s="3"/>
    </row>
    <row r="573" ht="19.5" customHeight="1">
      <c r="A573" s="3"/>
    </row>
    <row r="574" ht="19.5" customHeight="1">
      <c r="A574" s="3"/>
    </row>
    <row r="575" ht="19.5" customHeight="1">
      <c r="A575" s="3"/>
    </row>
    <row r="576" ht="19.5" customHeight="1">
      <c r="A576" s="3"/>
    </row>
    <row r="577" ht="19.5" customHeight="1">
      <c r="A577" s="3"/>
    </row>
    <row r="578" ht="19.5" customHeight="1">
      <c r="A578" s="3"/>
    </row>
    <row r="579" ht="19.5" customHeight="1">
      <c r="A579" s="3"/>
    </row>
    <row r="580" ht="19.5" customHeight="1">
      <c r="A580" s="3"/>
    </row>
    <row r="581" ht="19.5" customHeight="1">
      <c r="A581" s="3"/>
    </row>
    <row r="582" ht="19.5" customHeight="1">
      <c r="A582" s="3"/>
    </row>
    <row r="583" ht="19.5" customHeight="1">
      <c r="A583" s="3"/>
    </row>
    <row r="584" ht="19.5" customHeight="1">
      <c r="A584" s="3"/>
    </row>
    <row r="585" ht="19.5" customHeight="1">
      <c r="A585" s="3"/>
    </row>
    <row r="586" ht="19.5" customHeight="1">
      <c r="A586" s="3"/>
    </row>
    <row r="587" ht="19.5" customHeight="1">
      <c r="A587" s="3"/>
    </row>
    <row r="588" ht="19.5" customHeight="1">
      <c r="A588" s="3"/>
    </row>
    <row r="589" ht="19.5" customHeight="1">
      <c r="A589" s="3"/>
    </row>
    <row r="590" ht="19.5" customHeight="1">
      <c r="A590" s="3"/>
    </row>
    <row r="591" ht="19.5" customHeight="1">
      <c r="A591" s="3"/>
    </row>
    <row r="592" ht="19.5" customHeight="1">
      <c r="A592" s="3"/>
    </row>
    <row r="593" ht="19.5" customHeight="1">
      <c r="A593" s="3"/>
    </row>
    <row r="594" ht="19.5" customHeight="1">
      <c r="A594" s="3"/>
    </row>
    <row r="595" ht="19.5" customHeight="1">
      <c r="A595" s="3"/>
    </row>
    <row r="596" ht="19.5" customHeight="1">
      <c r="A596" s="3"/>
    </row>
    <row r="597" ht="19.5" customHeight="1">
      <c r="A597" s="3"/>
    </row>
    <row r="598" ht="19.5" customHeight="1">
      <c r="A598" s="3"/>
    </row>
    <row r="599" ht="19.5" customHeight="1">
      <c r="A599" s="3"/>
    </row>
    <row r="600" ht="19.5" customHeight="1">
      <c r="A600" s="3"/>
    </row>
    <row r="601" ht="19.5" customHeight="1">
      <c r="A601" s="3"/>
    </row>
    <row r="602" ht="19.5" customHeight="1">
      <c r="A602" s="3"/>
    </row>
    <row r="603" ht="19.5" customHeight="1">
      <c r="A603" s="3"/>
    </row>
    <row r="604" ht="19.5" customHeight="1">
      <c r="A604" s="3"/>
    </row>
    <row r="605" ht="19.5" customHeight="1">
      <c r="A605" s="3"/>
    </row>
    <row r="606" ht="19.5" customHeight="1">
      <c r="A606" s="3"/>
    </row>
    <row r="607" ht="19.5" customHeight="1">
      <c r="A607" s="3"/>
    </row>
    <row r="608" ht="19.5" customHeight="1">
      <c r="A608" s="3"/>
    </row>
    <row r="609" ht="19.5" customHeight="1">
      <c r="A609" s="3"/>
    </row>
    <row r="610" ht="19.5" customHeight="1">
      <c r="A610" s="3"/>
    </row>
    <row r="611" ht="19.5" customHeight="1">
      <c r="A611" s="3"/>
    </row>
    <row r="612" ht="19.5" customHeight="1">
      <c r="A612" s="3"/>
    </row>
    <row r="613" ht="19.5" customHeight="1">
      <c r="A613" s="3"/>
    </row>
    <row r="614" ht="19.5" customHeight="1">
      <c r="A614" s="3"/>
    </row>
    <row r="615" ht="19.5" customHeight="1">
      <c r="A615" s="3"/>
    </row>
    <row r="616" ht="19.5" customHeight="1">
      <c r="A616" s="3"/>
    </row>
    <row r="617" ht="19.5" customHeight="1">
      <c r="A617" s="3"/>
    </row>
    <row r="618" ht="19.5" customHeight="1">
      <c r="A618" s="3"/>
    </row>
    <row r="619" ht="19.5" customHeight="1">
      <c r="A619" s="3"/>
    </row>
    <row r="620" ht="19.5" customHeight="1">
      <c r="A620" s="3"/>
    </row>
    <row r="621" ht="19.5" customHeight="1">
      <c r="A621" s="3"/>
    </row>
    <row r="622" ht="19.5" customHeight="1">
      <c r="A622" s="3"/>
    </row>
    <row r="623" ht="19.5" customHeight="1">
      <c r="A623" s="3"/>
    </row>
    <row r="624" ht="19.5" customHeight="1">
      <c r="A624" s="3"/>
    </row>
    <row r="625" ht="19.5" customHeight="1">
      <c r="A625" s="3"/>
    </row>
    <row r="626" ht="19.5" customHeight="1">
      <c r="A626" s="3"/>
    </row>
    <row r="627" ht="19.5" customHeight="1">
      <c r="A627" s="3"/>
    </row>
    <row r="628" ht="19.5" customHeight="1">
      <c r="A628" s="3"/>
    </row>
    <row r="629" ht="19.5" customHeight="1">
      <c r="A629" s="3"/>
    </row>
    <row r="630" ht="19.5" customHeight="1">
      <c r="A630" s="3"/>
    </row>
    <row r="631" ht="19.5" customHeight="1">
      <c r="A631" s="3"/>
    </row>
    <row r="632" ht="19.5" customHeight="1">
      <c r="A632" s="3"/>
    </row>
    <row r="633" ht="19.5" customHeight="1">
      <c r="A633" s="3"/>
    </row>
    <row r="634" ht="19.5" customHeight="1">
      <c r="A634" s="3"/>
    </row>
    <row r="635" ht="19.5" customHeight="1">
      <c r="A635" s="3"/>
    </row>
    <row r="636" ht="19.5" customHeight="1">
      <c r="A636" s="3"/>
    </row>
    <row r="637" ht="19.5" customHeight="1">
      <c r="A637" s="3"/>
    </row>
    <row r="638" ht="19.5" customHeight="1">
      <c r="A638" s="3"/>
    </row>
    <row r="639" ht="19.5" customHeight="1">
      <c r="A639" s="3"/>
    </row>
    <row r="640" ht="19.5" customHeight="1">
      <c r="A640" s="3"/>
    </row>
    <row r="641" ht="19.5" customHeight="1">
      <c r="A641" s="3"/>
    </row>
    <row r="642" ht="19.5" customHeight="1">
      <c r="A642" s="3"/>
    </row>
    <row r="643" ht="19.5" customHeight="1">
      <c r="A643" s="3"/>
    </row>
    <row r="644" ht="19.5" customHeight="1">
      <c r="A644" s="3"/>
    </row>
    <row r="645" ht="19.5" customHeight="1">
      <c r="A645" s="3"/>
    </row>
    <row r="646" ht="19.5" customHeight="1">
      <c r="A646" s="3"/>
    </row>
    <row r="647" ht="19.5" customHeight="1">
      <c r="A647" s="3"/>
    </row>
    <row r="648" ht="19.5" customHeight="1">
      <c r="A648" s="3"/>
    </row>
    <row r="649" ht="19.5" customHeight="1">
      <c r="A649" s="3"/>
    </row>
    <row r="650" ht="19.5" customHeight="1">
      <c r="A650" s="3"/>
    </row>
    <row r="651" ht="19.5" customHeight="1">
      <c r="A651" s="3"/>
    </row>
    <row r="652" ht="19.5" customHeight="1">
      <c r="A652" s="3"/>
    </row>
    <row r="653" ht="19.5" customHeight="1">
      <c r="A653" s="3"/>
    </row>
    <row r="654" ht="19.5" customHeight="1">
      <c r="A654" s="3"/>
    </row>
    <row r="655" ht="19.5" customHeight="1">
      <c r="A655" s="3"/>
    </row>
    <row r="656" ht="19.5" customHeight="1">
      <c r="A656" s="3"/>
    </row>
    <row r="657" ht="19.5" customHeight="1">
      <c r="A657" s="3"/>
    </row>
    <row r="658" ht="19.5" customHeight="1">
      <c r="A658" s="3"/>
    </row>
    <row r="659" ht="19.5" customHeight="1">
      <c r="A659" s="3"/>
    </row>
    <row r="660" ht="19.5" customHeight="1">
      <c r="A660" s="3"/>
    </row>
    <row r="661" ht="19.5" customHeight="1">
      <c r="A661" s="3"/>
    </row>
    <row r="662" ht="19.5" customHeight="1">
      <c r="A662" s="3"/>
    </row>
    <row r="663" ht="19.5" customHeight="1">
      <c r="A663" s="3"/>
    </row>
    <row r="664" ht="19.5" customHeight="1">
      <c r="A664" s="3"/>
    </row>
    <row r="665" ht="19.5" customHeight="1">
      <c r="A665" s="3"/>
    </row>
    <row r="666" ht="19.5" customHeight="1">
      <c r="A666" s="3"/>
    </row>
    <row r="667" ht="19.5" customHeight="1">
      <c r="A667" s="3"/>
    </row>
    <row r="668" ht="19.5" customHeight="1">
      <c r="A668" s="3"/>
    </row>
    <row r="669" ht="19.5" customHeight="1">
      <c r="A669" s="3"/>
    </row>
    <row r="670" ht="19.5" customHeight="1">
      <c r="A670" s="3"/>
    </row>
    <row r="671" ht="19.5" customHeight="1">
      <c r="A671" s="3"/>
    </row>
    <row r="672" ht="19.5" customHeight="1">
      <c r="A672" s="3"/>
    </row>
    <row r="673" ht="19.5" customHeight="1">
      <c r="A673" s="3"/>
    </row>
    <row r="674" ht="19.5" customHeight="1">
      <c r="A674" s="3"/>
    </row>
    <row r="675" ht="19.5" customHeight="1">
      <c r="A675" s="3"/>
    </row>
    <row r="676" ht="19.5" customHeight="1">
      <c r="A676" s="3"/>
    </row>
    <row r="677" ht="19.5" customHeight="1">
      <c r="A677" s="3"/>
    </row>
    <row r="678" ht="19.5" customHeight="1">
      <c r="A678" s="3"/>
    </row>
    <row r="679" ht="19.5" customHeight="1">
      <c r="A679" s="3"/>
    </row>
    <row r="680" ht="19.5" customHeight="1">
      <c r="A680" s="3"/>
    </row>
    <row r="681" ht="19.5" customHeight="1">
      <c r="A681" s="3"/>
    </row>
    <row r="682" ht="19.5" customHeight="1">
      <c r="A682" s="3"/>
    </row>
    <row r="683" ht="19.5" customHeight="1">
      <c r="A683" s="3"/>
    </row>
    <row r="684" ht="19.5" customHeight="1">
      <c r="A684" s="3"/>
    </row>
    <row r="685" ht="19.5" customHeight="1">
      <c r="A685" s="3"/>
    </row>
    <row r="686" ht="19.5" customHeight="1">
      <c r="A686" s="3"/>
    </row>
    <row r="687" ht="19.5" customHeight="1">
      <c r="A687" s="3"/>
    </row>
    <row r="688" ht="19.5" customHeight="1">
      <c r="A688" s="3"/>
    </row>
    <row r="689" ht="19.5" customHeight="1">
      <c r="A689" s="3"/>
    </row>
    <row r="690" ht="19.5" customHeight="1">
      <c r="A690" s="3"/>
    </row>
    <row r="691" ht="19.5" customHeight="1">
      <c r="A691" s="3"/>
    </row>
    <row r="692" ht="19.5" customHeight="1">
      <c r="A692" s="3"/>
    </row>
    <row r="693" ht="19.5" customHeight="1">
      <c r="A693" s="3"/>
    </row>
    <row r="694" ht="19.5" customHeight="1">
      <c r="A694" s="3"/>
    </row>
    <row r="695" ht="19.5" customHeight="1">
      <c r="A695" s="3"/>
    </row>
    <row r="696" ht="19.5" customHeight="1">
      <c r="A696" s="3"/>
    </row>
    <row r="697" ht="19.5" customHeight="1">
      <c r="A697" s="3"/>
    </row>
    <row r="698" ht="19.5" customHeight="1">
      <c r="A698" s="3"/>
    </row>
    <row r="699" ht="19.5" customHeight="1">
      <c r="A699" s="3"/>
    </row>
    <row r="700" ht="19.5" customHeight="1">
      <c r="A700" s="3"/>
    </row>
    <row r="701" ht="19.5" customHeight="1">
      <c r="A701" s="3"/>
    </row>
    <row r="702" ht="19.5" customHeight="1">
      <c r="A702" s="3"/>
    </row>
    <row r="703" ht="19.5" customHeight="1">
      <c r="A703" s="3"/>
    </row>
    <row r="704" ht="19.5" customHeight="1">
      <c r="A704" s="3"/>
    </row>
    <row r="705" ht="19.5" customHeight="1">
      <c r="A705" s="3"/>
    </row>
    <row r="706" ht="19.5" customHeight="1">
      <c r="A706" s="3"/>
    </row>
    <row r="707" ht="19.5" customHeight="1">
      <c r="A707" s="3"/>
    </row>
    <row r="708" ht="19.5" customHeight="1">
      <c r="A708" s="3"/>
    </row>
    <row r="709" ht="19.5" customHeight="1">
      <c r="A709" s="3"/>
    </row>
    <row r="710" ht="19.5" customHeight="1">
      <c r="A710" s="3"/>
    </row>
    <row r="711" ht="19.5" customHeight="1">
      <c r="A711" s="3"/>
    </row>
    <row r="712" ht="19.5" customHeight="1">
      <c r="A712" s="3"/>
    </row>
    <row r="713" ht="19.5" customHeight="1">
      <c r="A713" s="3"/>
    </row>
    <row r="714" ht="19.5" customHeight="1">
      <c r="A714" s="3"/>
    </row>
    <row r="715" ht="19.5" customHeight="1">
      <c r="A715" s="3"/>
    </row>
    <row r="716" ht="19.5" customHeight="1">
      <c r="A716" s="3"/>
    </row>
    <row r="717" ht="19.5" customHeight="1">
      <c r="A717" s="3"/>
    </row>
    <row r="718" ht="19.5" customHeight="1">
      <c r="A718" s="3"/>
    </row>
    <row r="719" ht="19.5" customHeight="1">
      <c r="A719" s="3"/>
    </row>
    <row r="720" ht="19.5" customHeight="1">
      <c r="A720" s="3"/>
    </row>
    <row r="721" ht="19.5" customHeight="1">
      <c r="A721" s="3"/>
    </row>
    <row r="722" ht="19.5" customHeight="1">
      <c r="A722" s="3"/>
    </row>
    <row r="723" ht="19.5" customHeight="1">
      <c r="A723" s="3"/>
    </row>
    <row r="724" ht="19.5" customHeight="1">
      <c r="A724" s="3"/>
    </row>
    <row r="725" ht="19.5" customHeight="1">
      <c r="A725" s="3"/>
    </row>
    <row r="726" ht="19.5" customHeight="1">
      <c r="A726" s="3"/>
    </row>
    <row r="727" ht="19.5" customHeight="1">
      <c r="A727" s="3"/>
    </row>
    <row r="728" ht="19.5" customHeight="1">
      <c r="A728" s="3"/>
    </row>
    <row r="729" ht="19.5" customHeight="1">
      <c r="A729" s="3"/>
    </row>
    <row r="730" ht="19.5" customHeight="1">
      <c r="A730" s="3"/>
    </row>
    <row r="731" ht="19.5" customHeight="1">
      <c r="A731" s="3"/>
    </row>
    <row r="732" ht="19.5" customHeight="1">
      <c r="A732" s="3"/>
    </row>
    <row r="733" ht="19.5" customHeight="1">
      <c r="A733" s="3"/>
    </row>
    <row r="734" ht="19.5" customHeight="1">
      <c r="A734" s="3"/>
    </row>
    <row r="735" ht="19.5" customHeight="1">
      <c r="A735" s="3"/>
    </row>
    <row r="736" ht="19.5" customHeight="1">
      <c r="A736" s="3"/>
    </row>
    <row r="737" ht="19.5" customHeight="1">
      <c r="A737" s="3"/>
    </row>
    <row r="738" ht="19.5" customHeight="1">
      <c r="A738" s="3"/>
    </row>
    <row r="739" ht="19.5" customHeight="1">
      <c r="A739" s="3"/>
    </row>
    <row r="740" ht="19.5" customHeight="1">
      <c r="A740" s="3"/>
    </row>
    <row r="741" ht="19.5" customHeight="1">
      <c r="A741" s="3"/>
    </row>
    <row r="742" ht="19.5" customHeight="1">
      <c r="A742" s="3"/>
    </row>
    <row r="743" ht="19.5" customHeight="1">
      <c r="A743" s="3"/>
    </row>
    <row r="744" ht="19.5" customHeight="1">
      <c r="A744" s="3"/>
    </row>
    <row r="745" ht="19.5" customHeight="1">
      <c r="A745" s="3"/>
    </row>
    <row r="746" ht="19.5" customHeight="1">
      <c r="A746" s="3"/>
    </row>
    <row r="747" ht="19.5" customHeight="1">
      <c r="A747" s="3"/>
    </row>
    <row r="748" ht="19.5" customHeight="1">
      <c r="A748" s="3"/>
    </row>
    <row r="749" ht="19.5" customHeight="1">
      <c r="A749" s="3"/>
    </row>
    <row r="750" ht="19.5" customHeight="1">
      <c r="A750" s="3"/>
    </row>
    <row r="751" ht="19.5" customHeight="1">
      <c r="A751" s="3"/>
    </row>
    <row r="752" ht="19.5" customHeight="1">
      <c r="A752" s="3"/>
    </row>
    <row r="753" ht="19.5" customHeight="1">
      <c r="A753" s="3"/>
    </row>
    <row r="754" ht="19.5" customHeight="1">
      <c r="A754" s="3"/>
    </row>
    <row r="755" ht="19.5" customHeight="1">
      <c r="A755" s="3"/>
    </row>
    <row r="756" ht="19.5" customHeight="1">
      <c r="A756" s="3"/>
    </row>
    <row r="757" ht="19.5" customHeight="1">
      <c r="A757" s="3"/>
    </row>
    <row r="758" ht="19.5" customHeight="1">
      <c r="A758" s="3"/>
    </row>
    <row r="759" ht="19.5" customHeight="1">
      <c r="A759" s="3"/>
    </row>
    <row r="760" ht="19.5" customHeight="1">
      <c r="A760" s="3"/>
    </row>
    <row r="761" ht="19.5" customHeight="1">
      <c r="A761" s="3"/>
    </row>
    <row r="762" ht="19.5" customHeight="1">
      <c r="A762" s="3"/>
    </row>
    <row r="763" ht="19.5" customHeight="1">
      <c r="A763" s="3"/>
    </row>
    <row r="764" ht="19.5" customHeight="1">
      <c r="A764" s="3"/>
    </row>
    <row r="765" ht="19.5" customHeight="1">
      <c r="A765" s="3"/>
    </row>
    <row r="766" ht="19.5" customHeight="1">
      <c r="A766" s="3"/>
    </row>
    <row r="767" ht="19.5" customHeight="1">
      <c r="A767" s="3"/>
    </row>
    <row r="768" ht="19.5" customHeight="1">
      <c r="A768" s="3"/>
    </row>
    <row r="769" ht="19.5" customHeight="1">
      <c r="A769" s="3"/>
    </row>
    <row r="770" ht="19.5" customHeight="1">
      <c r="A770" s="3"/>
    </row>
    <row r="771" ht="19.5" customHeight="1">
      <c r="A771" s="3"/>
    </row>
    <row r="772" ht="19.5" customHeight="1">
      <c r="A772" s="3"/>
    </row>
    <row r="773" ht="19.5" customHeight="1">
      <c r="A773" s="3"/>
    </row>
    <row r="774" ht="19.5" customHeight="1">
      <c r="A774" s="3"/>
    </row>
    <row r="775" ht="19.5" customHeight="1">
      <c r="A775" s="3"/>
    </row>
    <row r="776" ht="19.5" customHeight="1">
      <c r="A776" s="3"/>
    </row>
    <row r="777" ht="19.5" customHeight="1">
      <c r="A777" s="3"/>
    </row>
    <row r="778" ht="19.5" customHeight="1">
      <c r="A778" s="3"/>
    </row>
    <row r="779" ht="19.5" customHeight="1">
      <c r="A779" s="3"/>
    </row>
    <row r="780" ht="19.5" customHeight="1">
      <c r="A780" s="3"/>
    </row>
    <row r="781" ht="19.5" customHeight="1">
      <c r="A781" s="3"/>
    </row>
    <row r="782" ht="19.5" customHeight="1">
      <c r="A782" s="3"/>
    </row>
    <row r="783" ht="19.5" customHeight="1">
      <c r="A783" s="3"/>
    </row>
    <row r="784" ht="19.5" customHeight="1">
      <c r="A784" s="3"/>
    </row>
    <row r="785" ht="19.5" customHeight="1">
      <c r="A785" s="3"/>
    </row>
    <row r="786" ht="19.5" customHeight="1">
      <c r="A786" s="3"/>
    </row>
    <row r="787" ht="19.5" customHeight="1">
      <c r="A787" s="3"/>
    </row>
    <row r="788" ht="19.5" customHeight="1">
      <c r="A788" s="3"/>
    </row>
    <row r="789" ht="19.5" customHeight="1">
      <c r="A789" s="3"/>
    </row>
    <row r="790" ht="19.5" customHeight="1">
      <c r="A790" s="3"/>
    </row>
    <row r="791" ht="19.5" customHeight="1">
      <c r="A791" s="3"/>
    </row>
    <row r="792" ht="19.5" customHeight="1">
      <c r="A792" s="3"/>
    </row>
    <row r="793" ht="19.5" customHeight="1">
      <c r="A793" s="3"/>
    </row>
    <row r="794" ht="19.5" customHeight="1">
      <c r="A794" s="3"/>
    </row>
    <row r="795" ht="19.5" customHeight="1">
      <c r="A795" s="3"/>
    </row>
    <row r="796" ht="19.5" customHeight="1">
      <c r="A796" s="3"/>
    </row>
    <row r="797" ht="19.5" customHeight="1">
      <c r="A797" s="3"/>
    </row>
    <row r="798" ht="19.5" customHeight="1">
      <c r="A798" s="3"/>
    </row>
    <row r="799" ht="19.5" customHeight="1">
      <c r="A799" s="3"/>
    </row>
    <row r="800" ht="19.5" customHeight="1">
      <c r="A800" s="3"/>
    </row>
    <row r="801" ht="19.5" customHeight="1">
      <c r="A801" s="3"/>
    </row>
    <row r="802" ht="19.5" customHeight="1">
      <c r="A802" s="3"/>
    </row>
    <row r="803" ht="19.5" customHeight="1">
      <c r="A803" s="3"/>
    </row>
    <row r="804" ht="19.5" customHeight="1">
      <c r="A804" s="3"/>
    </row>
    <row r="805" ht="19.5" customHeight="1">
      <c r="A805" s="3"/>
    </row>
    <row r="806" ht="19.5" customHeight="1">
      <c r="A806" s="3"/>
    </row>
    <row r="807" ht="19.5" customHeight="1">
      <c r="A807" s="3"/>
    </row>
    <row r="808" ht="19.5" customHeight="1">
      <c r="A808" s="3"/>
    </row>
    <row r="809" ht="19.5" customHeight="1">
      <c r="A809" s="3"/>
    </row>
    <row r="810" ht="19.5" customHeight="1">
      <c r="A810" s="3"/>
    </row>
    <row r="811" ht="19.5" customHeight="1">
      <c r="A811" s="3"/>
    </row>
    <row r="812" ht="19.5" customHeight="1">
      <c r="A812" s="3"/>
    </row>
    <row r="813" ht="19.5" customHeight="1">
      <c r="A813" s="3"/>
    </row>
    <row r="814" ht="19.5" customHeight="1">
      <c r="A814" s="3"/>
    </row>
    <row r="815" ht="19.5" customHeight="1">
      <c r="A815" s="3"/>
    </row>
    <row r="816" ht="19.5" customHeight="1">
      <c r="A816" s="3"/>
    </row>
    <row r="817" ht="19.5" customHeight="1">
      <c r="A817" s="3"/>
    </row>
    <row r="818" ht="19.5" customHeight="1">
      <c r="A818" s="3"/>
    </row>
    <row r="819" ht="19.5" customHeight="1">
      <c r="A819" s="3"/>
    </row>
    <row r="820" ht="19.5" customHeight="1">
      <c r="A820" s="3"/>
    </row>
    <row r="821" ht="19.5" customHeight="1">
      <c r="A821" s="3"/>
    </row>
    <row r="822" ht="19.5" customHeight="1">
      <c r="A822" s="3"/>
    </row>
    <row r="823" ht="19.5" customHeight="1">
      <c r="A823" s="3"/>
    </row>
    <row r="824" ht="19.5" customHeight="1">
      <c r="A824" s="3"/>
    </row>
    <row r="825" ht="19.5" customHeight="1">
      <c r="A825" s="3"/>
    </row>
    <row r="826" ht="19.5" customHeight="1">
      <c r="A826" s="3"/>
    </row>
    <row r="827" ht="19.5" customHeight="1">
      <c r="A827" s="3"/>
    </row>
    <row r="828" ht="19.5" customHeight="1">
      <c r="A828" s="3"/>
    </row>
    <row r="829" ht="19.5" customHeight="1">
      <c r="A829" s="3"/>
    </row>
    <row r="830" ht="19.5" customHeight="1">
      <c r="A830" s="3"/>
    </row>
    <row r="831" ht="19.5" customHeight="1">
      <c r="A831" s="3"/>
    </row>
    <row r="832" ht="19.5" customHeight="1">
      <c r="A832" s="3"/>
    </row>
    <row r="833" ht="19.5" customHeight="1">
      <c r="A833" s="3"/>
    </row>
    <row r="834" ht="19.5" customHeight="1">
      <c r="A834" s="3"/>
    </row>
    <row r="835" ht="19.5" customHeight="1">
      <c r="A835" s="3"/>
    </row>
    <row r="836" ht="19.5" customHeight="1">
      <c r="A836" s="3"/>
    </row>
    <row r="837" ht="19.5" customHeight="1">
      <c r="A837" s="3"/>
    </row>
    <row r="838" ht="19.5" customHeight="1">
      <c r="A838" s="3"/>
    </row>
    <row r="839" ht="19.5" customHeight="1">
      <c r="A839" s="3"/>
    </row>
    <row r="840" ht="19.5" customHeight="1">
      <c r="A840" s="3"/>
    </row>
    <row r="841" ht="19.5" customHeight="1">
      <c r="A841" s="3"/>
    </row>
    <row r="842" ht="19.5" customHeight="1">
      <c r="A842" s="3"/>
    </row>
    <row r="843" ht="19.5" customHeight="1">
      <c r="A843" s="3"/>
    </row>
    <row r="844" ht="19.5" customHeight="1">
      <c r="A844" s="3"/>
    </row>
    <row r="845" ht="19.5" customHeight="1">
      <c r="A845" s="3"/>
    </row>
    <row r="846" ht="19.5" customHeight="1">
      <c r="A846" s="3"/>
    </row>
    <row r="847" ht="19.5" customHeight="1">
      <c r="A847" s="3"/>
    </row>
    <row r="848" ht="19.5" customHeight="1">
      <c r="A848" s="3"/>
    </row>
    <row r="849" ht="19.5" customHeight="1">
      <c r="A849" s="3"/>
    </row>
    <row r="850" ht="19.5" customHeight="1">
      <c r="A850" s="3"/>
    </row>
    <row r="851" ht="19.5" customHeight="1">
      <c r="A851" s="3"/>
    </row>
    <row r="852" ht="19.5" customHeight="1">
      <c r="A852" s="3"/>
    </row>
    <row r="853" ht="19.5" customHeight="1">
      <c r="A853" s="3"/>
    </row>
    <row r="854" ht="19.5" customHeight="1">
      <c r="A854" s="3"/>
    </row>
    <row r="855" ht="19.5" customHeight="1">
      <c r="A855" s="3"/>
    </row>
    <row r="856" ht="19.5" customHeight="1">
      <c r="A856" s="3"/>
    </row>
    <row r="857" ht="19.5" customHeight="1">
      <c r="A857" s="3"/>
    </row>
    <row r="858" ht="19.5" customHeight="1">
      <c r="A858" s="3"/>
    </row>
    <row r="859" ht="19.5" customHeight="1">
      <c r="A859" s="3"/>
    </row>
    <row r="860" ht="19.5" customHeight="1">
      <c r="A860" s="3"/>
    </row>
    <row r="861" ht="19.5" customHeight="1">
      <c r="A861" s="3"/>
    </row>
    <row r="862" ht="19.5" customHeight="1">
      <c r="A862" s="3"/>
    </row>
    <row r="863" ht="19.5" customHeight="1">
      <c r="A863" s="3"/>
    </row>
    <row r="864" ht="19.5" customHeight="1">
      <c r="A864" s="3"/>
    </row>
    <row r="865" ht="19.5" customHeight="1">
      <c r="A865" s="3"/>
    </row>
    <row r="866" ht="19.5" customHeight="1">
      <c r="A866" s="3"/>
    </row>
    <row r="867" ht="19.5" customHeight="1">
      <c r="A867" s="3"/>
    </row>
    <row r="868" ht="19.5" customHeight="1">
      <c r="A868" s="3"/>
    </row>
    <row r="869" ht="19.5" customHeight="1">
      <c r="A869" s="3"/>
    </row>
    <row r="870" ht="19.5" customHeight="1">
      <c r="A870" s="3"/>
    </row>
    <row r="871" ht="19.5" customHeight="1">
      <c r="A871" s="3"/>
    </row>
    <row r="872" ht="19.5" customHeight="1">
      <c r="A872" s="3"/>
    </row>
    <row r="873" ht="19.5" customHeight="1">
      <c r="A873" s="3"/>
    </row>
    <row r="874" ht="19.5" customHeight="1">
      <c r="A874" s="3"/>
    </row>
    <row r="875" ht="19.5" customHeight="1">
      <c r="A875" s="3"/>
    </row>
    <row r="876" ht="19.5" customHeight="1">
      <c r="A876" s="3"/>
    </row>
    <row r="877" ht="19.5" customHeight="1">
      <c r="A877" s="3"/>
    </row>
    <row r="878" ht="19.5" customHeight="1">
      <c r="A878" s="3"/>
    </row>
    <row r="879" ht="19.5" customHeight="1">
      <c r="A879" s="3"/>
    </row>
    <row r="880" ht="19.5" customHeight="1">
      <c r="A880" s="3"/>
    </row>
    <row r="881" ht="19.5" customHeight="1">
      <c r="A881" s="3"/>
    </row>
    <row r="882" ht="19.5" customHeight="1">
      <c r="A882" s="3"/>
    </row>
    <row r="883" ht="19.5" customHeight="1">
      <c r="A883" s="3"/>
    </row>
    <row r="884" ht="19.5" customHeight="1">
      <c r="A884" s="3"/>
    </row>
    <row r="885" ht="19.5" customHeight="1">
      <c r="A885" s="3"/>
    </row>
    <row r="886" ht="19.5" customHeight="1">
      <c r="A886" s="3"/>
    </row>
    <row r="887" ht="19.5" customHeight="1">
      <c r="A887" s="3"/>
    </row>
    <row r="888" ht="19.5" customHeight="1">
      <c r="A888" s="3"/>
    </row>
    <row r="889" ht="19.5" customHeight="1">
      <c r="A889" s="3"/>
    </row>
    <row r="890" ht="19.5" customHeight="1">
      <c r="A890" s="3"/>
    </row>
    <row r="891" ht="19.5" customHeight="1">
      <c r="A891" s="3"/>
    </row>
    <row r="892" ht="19.5" customHeight="1">
      <c r="A892" s="3"/>
    </row>
    <row r="893" ht="19.5" customHeight="1">
      <c r="A893" s="3"/>
    </row>
    <row r="894" ht="19.5" customHeight="1">
      <c r="A894" s="3"/>
    </row>
    <row r="895" ht="19.5" customHeight="1">
      <c r="A895" s="3"/>
    </row>
    <row r="896" ht="19.5" customHeight="1">
      <c r="A896" s="3"/>
    </row>
    <row r="897" ht="19.5" customHeight="1">
      <c r="A897" s="3"/>
    </row>
    <row r="898" ht="19.5" customHeight="1">
      <c r="A898" s="3"/>
    </row>
    <row r="899" ht="19.5" customHeight="1">
      <c r="A899" s="3"/>
    </row>
    <row r="900" ht="19.5" customHeight="1">
      <c r="A900" s="3"/>
    </row>
    <row r="901" ht="19.5" customHeight="1">
      <c r="A901" s="3"/>
    </row>
    <row r="902" ht="19.5" customHeight="1">
      <c r="A902" s="3"/>
    </row>
    <row r="903" ht="19.5" customHeight="1">
      <c r="A903" s="3"/>
    </row>
    <row r="904" ht="19.5" customHeight="1">
      <c r="A904" s="3"/>
    </row>
    <row r="905" ht="19.5" customHeight="1">
      <c r="A905" s="3"/>
    </row>
    <row r="906" ht="19.5" customHeight="1">
      <c r="A906" s="3"/>
    </row>
    <row r="907" ht="19.5" customHeight="1">
      <c r="A907" s="3"/>
    </row>
    <row r="908" ht="19.5" customHeight="1">
      <c r="A908" s="3"/>
    </row>
    <row r="909" ht="19.5" customHeight="1">
      <c r="A909" s="3"/>
    </row>
    <row r="910" ht="19.5" customHeight="1">
      <c r="A910" s="3"/>
    </row>
    <row r="911" ht="19.5" customHeight="1">
      <c r="A911" s="3"/>
    </row>
    <row r="912" ht="19.5" customHeight="1">
      <c r="A912" s="3"/>
    </row>
    <row r="913" ht="19.5" customHeight="1">
      <c r="A913" s="3"/>
    </row>
    <row r="914" ht="19.5" customHeight="1">
      <c r="A914" s="3"/>
    </row>
    <row r="915" ht="19.5" customHeight="1">
      <c r="A915" s="3"/>
    </row>
    <row r="916" ht="19.5" customHeight="1">
      <c r="A916" s="3"/>
    </row>
    <row r="917" ht="19.5" customHeight="1">
      <c r="A917" s="3"/>
    </row>
    <row r="918" ht="19.5" customHeight="1">
      <c r="A918" s="3"/>
    </row>
    <row r="919" ht="19.5" customHeight="1">
      <c r="A919" s="3"/>
    </row>
    <row r="920" ht="19.5" customHeight="1">
      <c r="A920" s="3"/>
    </row>
    <row r="921" ht="19.5" customHeight="1">
      <c r="A921" s="3"/>
    </row>
    <row r="922" ht="19.5" customHeight="1">
      <c r="A922" s="3"/>
    </row>
    <row r="923" ht="19.5" customHeight="1">
      <c r="A923" s="3"/>
    </row>
    <row r="924" ht="19.5" customHeight="1">
      <c r="A924" s="3"/>
    </row>
    <row r="925" ht="19.5" customHeight="1">
      <c r="A925" s="3"/>
    </row>
    <row r="926" ht="19.5" customHeight="1">
      <c r="A926" s="3"/>
    </row>
    <row r="927" ht="19.5" customHeight="1">
      <c r="A927" s="3"/>
    </row>
    <row r="928" ht="19.5" customHeight="1">
      <c r="A928" s="3"/>
    </row>
    <row r="929" ht="19.5" customHeight="1">
      <c r="A929" s="3"/>
    </row>
    <row r="930" ht="19.5" customHeight="1">
      <c r="A930" s="3"/>
    </row>
    <row r="931" ht="19.5" customHeight="1">
      <c r="A931" s="3"/>
    </row>
    <row r="932" ht="19.5" customHeight="1">
      <c r="A932" s="3"/>
    </row>
    <row r="933" ht="19.5" customHeight="1">
      <c r="A933" s="3"/>
    </row>
    <row r="934" ht="19.5" customHeight="1">
      <c r="A934" s="3"/>
    </row>
    <row r="935" ht="19.5" customHeight="1">
      <c r="A935" s="3"/>
    </row>
    <row r="936" ht="19.5" customHeight="1">
      <c r="A936" s="3"/>
    </row>
    <row r="937" ht="19.5" customHeight="1">
      <c r="A937" s="3"/>
    </row>
    <row r="938" ht="19.5" customHeight="1">
      <c r="A938" s="3"/>
    </row>
    <row r="939" ht="19.5" customHeight="1">
      <c r="A939" s="3"/>
    </row>
    <row r="940" ht="19.5" customHeight="1">
      <c r="A940" s="3"/>
    </row>
    <row r="941" ht="19.5" customHeight="1">
      <c r="A941" s="3"/>
    </row>
    <row r="942" ht="19.5" customHeight="1">
      <c r="A942" s="3"/>
    </row>
    <row r="943" ht="19.5" customHeight="1">
      <c r="A943" s="3"/>
    </row>
    <row r="944" ht="19.5" customHeight="1">
      <c r="A944" s="3"/>
    </row>
    <row r="945" ht="19.5" customHeight="1">
      <c r="A945" s="3"/>
    </row>
    <row r="946" ht="19.5" customHeight="1">
      <c r="A946" s="3"/>
    </row>
    <row r="947" ht="19.5" customHeight="1">
      <c r="A947" s="3"/>
    </row>
    <row r="948" ht="19.5" customHeight="1">
      <c r="A948" s="3"/>
    </row>
    <row r="949" ht="19.5" customHeight="1">
      <c r="A949" s="3"/>
    </row>
    <row r="950" ht="19.5" customHeight="1">
      <c r="A950" s="3"/>
    </row>
    <row r="951" ht="19.5" customHeight="1">
      <c r="A951" s="3"/>
    </row>
    <row r="952" ht="19.5" customHeight="1">
      <c r="A952" s="3"/>
    </row>
    <row r="953" ht="19.5" customHeight="1">
      <c r="A953" s="3"/>
    </row>
    <row r="954" ht="19.5" customHeight="1">
      <c r="A954" s="3"/>
    </row>
    <row r="955" ht="19.5" customHeight="1">
      <c r="A955" s="3"/>
    </row>
    <row r="956" ht="19.5" customHeight="1">
      <c r="A956" s="3"/>
    </row>
    <row r="957" ht="19.5" customHeight="1">
      <c r="A957" s="3"/>
    </row>
    <row r="958" ht="19.5" customHeight="1">
      <c r="A958" s="3"/>
    </row>
    <row r="959" ht="19.5" customHeight="1">
      <c r="A959" s="3"/>
    </row>
    <row r="960" ht="19.5" customHeight="1">
      <c r="A960" s="3"/>
    </row>
    <row r="961" ht="19.5" customHeight="1">
      <c r="A961" s="3"/>
    </row>
    <row r="962" ht="19.5" customHeight="1">
      <c r="A962" s="3"/>
    </row>
    <row r="963" ht="19.5" customHeight="1">
      <c r="A963" s="3"/>
    </row>
    <row r="964" ht="19.5" customHeight="1">
      <c r="A964" s="3"/>
    </row>
    <row r="965" ht="19.5" customHeight="1">
      <c r="A965" s="3"/>
    </row>
    <row r="966" ht="19.5" customHeight="1">
      <c r="A966" s="3"/>
    </row>
    <row r="967" ht="19.5" customHeight="1">
      <c r="A967" s="3"/>
    </row>
    <row r="968" ht="19.5" customHeight="1">
      <c r="A968" s="3"/>
    </row>
    <row r="969" ht="19.5" customHeight="1">
      <c r="A969" s="3"/>
    </row>
    <row r="970" ht="19.5" customHeight="1">
      <c r="A970" s="3"/>
    </row>
    <row r="971" ht="19.5" customHeight="1">
      <c r="A971" s="3"/>
    </row>
    <row r="972" ht="19.5" customHeight="1">
      <c r="A972" s="3"/>
    </row>
    <row r="973" ht="19.5" customHeight="1">
      <c r="A973" s="3"/>
    </row>
    <row r="974" ht="19.5" customHeight="1">
      <c r="A974" s="3"/>
    </row>
    <row r="975" ht="19.5" customHeight="1">
      <c r="A975" s="3"/>
    </row>
    <row r="976" ht="19.5" customHeight="1">
      <c r="A976" s="3"/>
    </row>
    <row r="977" ht="19.5" customHeight="1">
      <c r="A977" s="3"/>
    </row>
    <row r="978" ht="19.5" customHeight="1">
      <c r="A978" s="3"/>
    </row>
    <row r="979" ht="19.5" customHeight="1">
      <c r="A979" s="3"/>
    </row>
    <row r="980" ht="19.5" customHeight="1">
      <c r="A980" s="3"/>
    </row>
    <row r="981" ht="19.5" customHeight="1">
      <c r="A981" s="3"/>
    </row>
    <row r="982" ht="19.5" customHeight="1">
      <c r="A982" s="3"/>
    </row>
    <row r="983" ht="19.5" customHeight="1">
      <c r="A983" s="3"/>
    </row>
    <row r="984" ht="19.5" customHeight="1">
      <c r="A984" s="3"/>
    </row>
    <row r="985" ht="19.5" customHeight="1">
      <c r="A985" s="3"/>
    </row>
    <row r="986" ht="19.5" customHeight="1">
      <c r="A986" s="3"/>
    </row>
    <row r="987" ht="19.5" customHeight="1">
      <c r="A987" s="3"/>
    </row>
    <row r="988" ht="19.5" customHeight="1">
      <c r="A988" s="3"/>
    </row>
    <row r="989" ht="19.5" customHeight="1">
      <c r="A989" s="3"/>
    </row>
    <row r="990" ht="19.5" customHeight="1">
      <c r="A990" s="3"/>
    </row>
    <row r="991" ht="19.5" customHeight="1">
      <c r="A991" s="3"/>
    </row>
    <row r="992" ht="19.5" customHeight="1">
      <c r="A992" s="3"/>
    </row>
    <row r="993" ht="19.5" customHeight="1">
      <c r="A993" s="3"/>
    </row>
    <row r="994" ht="19.5" customHeight="1">
      <c r="A994" s="3"/>
    </row>
    <row r="995" ht="19.5" customHeight="1">
      <c r="A995" s="3"/>
    </row>
    <row r="996" ht="19.5" customHeight="1">
      <c r="A996" s="3"/>
    </row>
    <row r="997" ht="19.5" customHeight="1">
      <c r="A997" s="3"/>
    </row>
    <row r="998" ht="19.5" customHeight="1">
      <c r="A998" s="3"/>
    </row>
    <row r="999" ht="19.5" customHeight="1">
      <c r="A999" s="3"/>
    </row>
    <row r="1000" ht="19.5" customHeight="1">
      <c r="A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6</v>
      </c>
    </row>
    <row r="3">
      <c r="A3" s="1">
        <v>6.0</v>
      </c>
      <c r="B3" s="1">
        <v>2.0</v>
      </c>
      <c r="C3">
        <f t="array" ref="C3:C8">(3^B3:B8)</f>
        <v>9</v>
      </c>
      <c r="D3">
        <f t="array" ref="D3:D8">C3:C8/A3:A8</f>
        <v>1.5</v>
      </c>
      <c r="E3">
        <f t="array" ref="E3:E8">log(A3:A8,3)</f>
        <v>1.630929754</v>
      </c>
      <c r="G3" s="1">
        <v>3.0</v>
      </c>
      <c r="H3">
        <f t="array" ref="H3:H9">log(A3:A9,3)</f>
        <v>1.630929754</v>
      </c>
      <c r="I3">
        <f t="shared" ref="I3:I8" si="1">H4-H3</f>
        <v>0.8927892607</v>
      </c>
    </row>
    <row r="4">
      <c r="A4" s="1">
        <v>16.0</v>
      </c>
      <c r="B4" s="1">
        <v>3.0</v>
      </c>
      <c r="C4">
        <v>27.0</v>
      </c>
      <c r="D4">
        <v>1.6875</v>
      </c>
      <c r="E4">
        <v>2.5237190142858297</v>
      </c>
      <c r="G4" s="1">
        <v>5.0</v>
      </c>
      <c r="H4">
        <v>2.5237190142858297</v>
      </c>
      <c r="I4">
        <f t="shared" si="1"/>
        <v>0.8784544884</v>
      </c>
    </row>
    <row r="5">
      <c r="A5" s="1">
        <v>42.0</v>
      </c>
      <c r="B5" s="1">
        <v>4.0</v>
      </c>
      <c r="C5">
        <v>81.0</v>
      </c>
      <c r="D5">
        <v>1.9285714285714286</v>
      </c>
      <c r="E5">
        <v>3.4021735027328797</v>
      </c>
      <c r="G5" s="1">
        <v>7.0</v>
      </c>
      <c r="H5">
        <v>3.4021735027328797</v>
      </c>
      <c r="I5">
        <f t="shared" si="1"/>
        <v>0.9631431746</v>
      </c>
    </row>
    <row r="6">
      <c r="A6" s="1">
        <v>121.0</v>
      </c>
      <c r="B6" s="1">
        <v>5.0</v>
      </c>
      <c r="C6">
        <v>243.0</v>
      </c>
      <c r="D6">
        <v>2.0082644628099175</v>
      </c>
      <c r="E6">
        <v>4.365316677288276</v>
      </c>
      <c r="G6" s="1">
        <v>12.0</v>
      </c>
      <c r="H6">
        <v>4.365316677288276</v>
      </c>
      <c r="I6">
        <f t="shared" si="1"/>
        <v>0.9949710412</v>
      </c>
    </row>
    <row r="7">
      <c r="A7" s="1">
        <v>361.0</v>
      </c>
      <c r="B7" s="1">
        <v>6.0</v>
      </c>
      <c r="C7">
        <v>729.0</v>
      </c>
      <c r="D7">
        <v>2.0193905817174516</v>
      </c>
      <c r="E7">
        <v>5.36028771849275</v>
      </c>
      <c r="G7" s="1">
        <v>20.0</v>
      </c>
      <c r="H7">
        <v>5.36028771849275</v>
      </c>
      <c r="I7">
        <f t="shared" si="1"/>
        <v>0.977019388</v>
      </c>
    </row>
    <row r="8">
      <c r="A8" s="1">
        <f>32*33</f>
        <v>1056</v>
      </c>
      <c r="B8" s="1">
        <v>7.0</v>
      </c>
      <c r="C8">
        <v>2187.0</v>
      </c>
      <c r="D8">
        <v>2.071022727272727</v>
      </c>
      <c r="E8">
        <v>6.337307106501425</v>
      </c>
      <c r="G8" s="1">
        <v>33.0</v>
      </c>
      <c r="H8">
        <v>6.337307106501425</v>
      </c>
      <c r="I8">
        <f t="shared" si="1"/>
        <v>0.9743577627</v>
      </c>
    </row>
    <row r="9">
      <c r="A9">
        <f>55*56</f>
        <v>3080</v>
      </c>
      <c r="H9">
        <v>7.311664869237859</v>
      </c>
    </row>
    <row r="10">
      <c r="I10">
        <f>AVERAGE(I3:I8)</f>
        <v>0.9467891859</v>
      </c>
      <c r="J10">
        <f>exp(I10)</f>
        <v>2.577420741</v>
      </c>
      <c r="K10">
        <f>1/I10</f>
        <v>1.056201333</v>
      </c>
    </row>
    <row r="12">
      <c r="I12">
        <f>ln(2)</f>
        <v>0.6931471806</v>
      </c>
    </row>
    <row r="13">
      <c r="I13">
        <f>ln(3)</f>
        <v>1.098612289</v>
      </c>
    </row>
    <row r="14">
      <c r="I14">
        <f>ln(2/3)</f>
        <v>-0.4054651081</v>
      </c>
    </row>
    <row r="15">
      <c r="I15">
        <f>ln(3/2)</f>
        <v>0.4054651081</v>
      </c>
    </row>
    <row r="18">
      <c r="A18" s="1">
        <v>0.0</v>
      </c>
      <c r="B18" s="1">
        <v>1.0</v>
      </c>
      <c r="C18" s="1">
        <v>1.0</v>
      </c>
      <c r="D18">
        <f t="shared" ref="D18:D26" si="2">B18*C18</f>
        <v>1</v>
      </c>
      <c r="E18">
        <f t="shared" ref="E18:E26" si="3">(B18+1)*C18</f>
        <v>2</v>
      </c>
      <c r="F18">
        <f t="array" ref="F18:F26">(D18:D26+E18:E26)/2</f>
        <v>1.5</v>
      </c>
      <c r="G18">
        <f t="array" ref="G18:G28">3^(A18:A28)</f>
        <v>1</v>
      </c>
      <c r="I18">
        <f t="array" ref="I18:I28">exp(A18:A28)</f>
        <v>1</v>
      </c>
      <c r="J18">
        <f t="array" ref="J18:J28">1.032*I18:I28</f>
        <v>1.032</v>
      </c>
      <c r="K18">
        <f t="array" ref="K18:K26">log(E18:E26*0.615,exp(1))</f>
        <v>0.2070141694</v>
      </c>
      <c r="L18">
        <f t="array" ref="L18:L26">log(D18:D26,exp(1))</f>
        <v>0</v>
      </c>
      <c r="M18">
        <f t="array" ref="M18:M26">log(D18:D26,3)</f>
        <v>0</v>
      </c>
    </row>
    <row r="19">
      <c r="A19" s="1">
        <v>1.0</v>
      </c>
      <c r="B19" s="1">
        <v>1.0</v>
      </c>
      <c r="C19" s="1">
        <v>2.0</v>
      </c>
      <c r="D19">
        <f t="shared" si="2"/>
        <v>2</v>
      </c>
      <c r="E19">
        <f t="shared" si="3"/>
        <v>4</v>
      </c>
      <c r="F19">
        <v>3.0</v>
      </c>
      <c r="G19">
        <v>3.0</v>
      </c>
      <c r="I19">
        <v>2.718281828459045</v>
      </c>
      <c r="J19">
        <v>2.805266846969735</v>
      </c>
      <c r="K19">
        <v>0.9001613499442714</v>
      </c>
      <c r="L19">
        <v>0.6931471805599453</v>
      </c>
      <c r="M19">
        <v>0.6309297535714574</v>
      </c>
    </row>
    <row r="20">
      <c r="A20" s="1">
        <v>2.0</v>
      </c>
      <c r="B20" s="1">
        <v>2.0</v>
      </c>
      <c r="C20" s="1">
        <v>3.0</v>
      </c>
      <c r="D20">
        <f t="shared" si="2"/>
        <v>6</v>
      </c>
      <c r="E20">
        <f t="shared" si="3"/>
        <v>9</v>
      </c>
      <c r="F20">
        <v>7.5</v>
      </c>
      <c r="G20">
        <v>9.0</v>
      </c>
      <c r="I20">
        <v>7.38905609893065</v>
      </c>
      <c r="J20">
        <v>7.625505894096431</v>
      </c>
      <c r="K20">
        <v>1.7110915661606003</v>
      </c>
      <c r="L20">
        <v>1.791759469228055</v>
      </c>
      <c r="M20">
        <v>1.6309297535714573</v>
      </c>
    </row>
    <row r="21">
      <c r="A21" s="1">
        <v>3.0</v>
      </c>
      <c r="B21" s="1">
        <v>4.0</v>
      </c>
      <c r="C21" s="1">
        <v>4.0</v>
      </c>
      <c r="D21">
        <f t="shared" si="2"/>
        <v>16</v>
      </c>
      <c r="E21">
        <f t="shared" si="3"/>
        <v>20</v>
      </c>
      <c r="F21">
        <v>18.0</v>
      </c>
      <c r="G21">
        <v>27.0</v>
      </c>
      <c r="I21">
        <v>20.085536923187668</v>
      </c>
      <c r="J21">
        <v>20.728274104729675</v>
      </c>
      <c r="K21">
        <v>2.509599262378372</v>
      </c>
      <c r="L21">
        <v>2.772588722239781</v>
      </c>
      <c r="M21">
        <v>2.5237190142858297</v>
      </c>
    </row>
    <row r="22">
      <c r="A22" s="1">
        <v>4.0</v>
      </c>
      <c r="B22" s="1">
        <v>6.0</v>
      </c>
      <c r="C22" s="1">
        <v>7.0</v>
      </c>
      <c r="D22">
        <f t="shared" si="2"/>
        <v>42</v>
      </c>
      <c r="E22">
        <f t="shared" si="3"/>
        <v>49</v>
      </c>
      <c r="F22">
        <v>45.5</v>
      </c>
      <c r="G22">
        <v>81.0</v>
      </c>
      <c r="I22">
        <v>54.598150033144236</v>
      </c>
      <c r="J22">
        <v>56.34529083420485</v>
      </c>
      <c r="K22">
        <v>3.405687286935007</v>
      </c>
      <c r="L22">
        <v>3.7376696182833684</v>
      </c>
      <c r="M22">
        <v>3.4021735027328797</v>
      </c>
    </row>
    <row r="23">
      <c r="A23" s="1">
        <v>5.0</v>
      </c>
      <c r="B23" s="1">
        <v>11.0</v>
      </c>
      <c r="C23" s="1">
        <v>11.0</v>
      </c>
      <c r="D23">
        <f t="shared" si="2"/>
        <v>121</v>
      </c>
      <c r="E23">
        <f t="shared" si="3"/>
        <v>132</v>
      </c>
      <c r="F23">
        <v>126.5</v>
      </c>
      <c r="G23">
        <v>243.0</v>
      </c>
      <c r="I23">
        <v>148.4131591025766</v>
      </c>
      <c r="J23">
        <v>153.16238019385906</v>
      </c>
      <c r="K23">
        <v>4.396668911410751</v>
      </c>
      <c r="L23">
        <v>4.795790545596741</v>
      </c>
      <c r="M23">
        <v>4.365316677288276</v>
      </c>
    </row>
    <row r="24">
      <c r="A24" s="1">
        <v>6.0</v>
      </c>
      <c r="B24" s="1">
        <v>19.0</v>
      </c>
      <c r="C24" s="1">
        <v>19.0</v>
      </c>
      <c r="D24">
        <f t="shared" si="2"/>
        <v>361</v>
      </c>
      <c r="E24">
        <f t="shared" si="3"/>
        <v>380</v>
      </c>
      <c r="F24">
        <v>370.5</v>
      </c>
      <c r="G24">
        <v>729.0</v>
      </c>
      <c r="I24">
        <v>403.4287934927351</v>
      </c>
      <c r="J24">
        <v>416.3385148845027</v>
      </c>
      <c r="K24">
        <v>5.454038241544812</v>
      </c>
      <c r="L24">
        <v>5.8888779583328805</v>
      </c>
      <c r="M24">
        <v>5.36028771849275</v>
      </c>
    </row>
    <row r="25">
      <c r="A25" s="1">
        <v>7.0</v>
      </c>
      <c r="B25" s="1">
        <v>32.0</v>
      </c>
      <c r="C25" s="1">
        <v>33.0</v>
      </c>
      <c r="D25">
        <f t="shared" si="2"/>
        <v>1056</v>
      </c>
      <c r="E25">
        <f t="shared" si="3"/>
        <v>1089</v>
      </c>
      <c r="F25">
        <v>1072.5</v>
      </c>
      <c r="G25">
        <v>2187.0</v>
      </c>
      <c r="I25">
        <v>1096.6331584284585</v>
      </c>
      <c r="J25">
        <v>1131.7254194981692</v>
      </c>
      <c r="K25">
        <v>6.506882111757341</v>
      </c>
      <c r="L25">
        <v>6.962243464266207</v>
      </c>
      <c r="M25">
        <v>6.337307106501425</v>
      </c>
    </row>
    <row r="26">
      <c r="A26" s="1">
        <v>8.0</v>
      </c>
      <c r="B26" s="1">
        <v>55.0</v>
      </c>
      <c r="C26" s="1">
        <v>56.0</v>
      </c>
      <c r="D26">
        <f t="shared" si="2"/>
        <v>3080</v>
      </c>
      <c r="E26">
        <f t="shared" si="3"/>
        <v>3136</v>
      </c>
      <c r="F26">
        <v>3108.0</v>
      </c>
      <c r="G26">
        <v>6561.0</v>
      </c>
      <c r="I26">
        <v>2980.9579870417283</v>
      </c>
      <c r="J26">
        <v>3076.348642627064</v>
      </c>
      <c r="K26">
        <v>7.564570370294679</v>
      </c>
      <c r="L26">
        <v>8.03268487596762</v>
      </c>
      <c r="M26">
        <v>7.311664869237859</v>
      </c>
    </row>
    <row r="27">
      <c r="A27" s="1">
        <v>9.0</v>
      </c>
      <c r="G27">
        <v>19683.0</v>
      </c>
      <c r="I27">
        <v>8103.083927575384</v>
      </c>
      <c r="J27">
        <v>8362.382613257796</v>
      </c>
    </row>
    <row r="28">
      <c r="A28" s="1">
        <v>10.0</v>
      </c>
      <c r="G28">
        <v>59049.0</v>
      </c>
      <c r="I28">
        <v>22026.465794806718</v>
      </c>
      <c r="J28">
        <v>22731.312700240534</v>
      </c>
    </row>
    <row r="29">
      <c r="F29">
        <f>min(F19:F26)</f>
        <v>3</v>
      </c>
      <c r="G29">
        <f>max(G19:G26)</f>
        <v>6561</v>
      </c>
      <c r="H29">
        <f>average(F29:G29)</f>
        <v>3282</v>
      </c>
      <c r="J29">
        <f>2.689256836^A29</f>
        <v>1</v>
      </c>
    </row>
    <row r="31">
      <c r="B31">
        <f t="array" ref="B31:C35">logest(D18:D26,A18:A26, true, true)</f>
        <v>2.771137223</v>
      </c>
      <c r="C31">
        <v>0.7990914942434333</v>
      </c>
      <c r="E31">
        <f t="array" ref="E31:F35">logest(E18:E26,A18:A26, true, true)</f>
        <v>2.527058138</v>
      </c>
      <c r="F31">
        <v>1.5012862752009535</v>
      </c>
      <c r="H31">
        <f t="array" ref="H31:I35">LINEST(F18:F26,G18:G26,true,true)</f>
        <v>0.4737595181</v>
      </c>
      <c r="I31">
        <v>10.081398049233485</v>
      </c>
    </row>
    <row r="32">
      <c r="B32">
        <v>0.015213405740204364</v>
      </c>
      <c r="C32">
        <v>0.07243029883203495</v>
      </c>
      <c r="E32">
        <v>0.025018665165151464</v>
      </c>
      <c r="F32">
        <v>0.11911267110307158</v>
      </c>
      <c r="H32">
        <v>0.002188030241673451</v>
      </c>
      <c r="I32">
        <v>5.075494528917898</v>
      </c>
    </row>
    <row r="33">
      <c r="B33">
        <v>0.99844293726823</v>
      </c>
      <c r="C33">
        <v>0.11784253414181566</v>
      </c>
      <c r="E33">
        <v>0.9949276870230028</v>
      </c>
      <c r="F33">
        <v>0.19379374705794253</v>
      </c>
      <c r="H33">
        <v>0.9998507123284633</v>
      </c>
      <c r="I33">
        <v>13.428691218094706</v>
      </c>
    </row>
    <row r="34">
      <c r="B34">
        <v>4488.644174876951</v>
      </c>
      <c r="C34">
        <v>7.0</v>
      </c>
      <c r="E34">
        <v>1373.0410250205166</v>
      </c>
      <c r="F34">
        <v>7.0</v>
      </c>
      <c r="H34">
        <v>46882.33739771148</v>
      </c>
      <c r="I34">
        <v>7.0</v>
      </c>
    </row>
    <row r="35">
      <c r="B35">
        <v>62.33318605227641</v>
      </c>
      <c r="C35">
        <v>0.09720803997075492</v>
      </c>
      <c r="E35">
        <v>51.56595125183775</v>
      </c>
      <c r="F35">
        <v>0.26289211479130464</v>
      </c>
      <c r="H35">
        <v>8454280.080654072</v>
      </c>
      <c r="I35">
        <v>1262.308234816537</v>
      </c>
    </row>
    <row r="43">
      <c r="B43" s="1">
        <v>0.0</v>
      </c>
      <c r="D43" s="1">
        <v>1.0</v>
      </c>
      <c r="E43" s="1">
        <f t="array" ref="E43:E51">sqrt(exp(1))^(B43:B51)</f>
        <v>1</v>
      </c>
      <c r="G43">
        <f t="array" ref="G43:G51">D55*D43:D51+E55</f>
        <v>1.54752009</v>
      </c>
      <c r="H43">
        <f t="shared" ref="H43:H51" si="4">G43-E43</f>
        <v>0.54752009</v>
      </c>
      <c r="I43">
        <f t="array" ref="I43:I51">log(G43:G51,sqrt(exp(1)))</f>
        <v>0.8733074154</v>
      </c>
    </row>
    <row r="44">
      <c r="B44" s="1">
        <v>1.0</v>
      </c>
      <c r="D44" s="1">
        <v>2.0</v>
      </c>
      <c r="E44">
        <v>1.6487212707001282</v>
      </c>
      <c r="G44">
        <v>2.5338536926335076</v>
      </c>
      <c r="H44">
        <f t="shared" si="4"/>
        <v>0.8851324219</v>
      </c>
      <c r="I44">
        <v>1.8594826850367412</v>
      </c>
    </row>
    <row r="45">
      <c r="B45" s="1">
        <v>2.0</v>
      </c>
      <c r="D45" s="1">
        <v>2.5</v>
      </c>
      <c r="E45">
        <v>2.7182818284590455</v>
      </c>
      <c r="G45">
        <v>3.0270204939716714</v>
      </c>
      <c r="H45">
        <f t="shared" si="4"/>
        <v>0.3087386655</v>
      </c>
      <c r="I45">
        <v>2.2151576008140794</v>
      </c>
    </row>
    <row r="46">
      <c r="B46" s="1">
        <v>3.0</v>
      </c>
      <c r="D46" s="1">
        <v>4.0</v>
      </c>
      <c r="E46">
        <v>4.481689070338065</v>
      </c>
      <c r="G46">
        <v>4.506520897986164</v>
      </c>
      <c r="H46">
        <f t="shared" si="4"/>
        <v>0.02483182765</v>
      </c>
      <c r="I46">
        <v>3.0110508726043603</v>
      </c>
    </row>
    <row r="47">
      <c r="B47" s="1">
        <v>4.0</v>
      </c>
      <c r="D47" s="1">
        <v>6.5</v>
      </c>
      <c r="E47">
        <v>7.389056098930651</v>
      </c>
      <c r="G47">
        <v>6.972354904676983</v>
      </c>
      <c r="H47">
        <f t="shared" si="4"/>
        <v>-0.4167011943</v>
      </c>
      <c r="I47">
        <v>3.8839060612949536</v>
      </c>
    </row>
    <row r="48">
      <c r="B48" s="1">
        <v>5.0</v>
      </c>
      <c r="D48" s="1">
        <v>11.0</v>
      </c>
      <c r="E48">
        <v>12.182493960703475</v>
      </c>
      <c r="G48">
        <v>11.410856116720458</v>
      </c>
      <c r="H48">
        <f t="shared" si="4"/>
        <v>-0.771637844</v>
      </c>
      <c r="I48">
        <v>4.869130386398964</v>
      </c>
    </row>
    <row r="49">
      <c r="B49" s="1">
        <v>6.0</v>
      </c>
      <c r="D49" s="1">
        <v>19.0</v>
      </c>
      <c r="E49">
        <v>20.08553692318767</v>
      </c>
      <c r="G49">
        <v>19.30152493813108</v>
      </c>
      <c r="H49">
        <f t="shared" si="4"/>
        <v>-0.7840119851</v>
      </c>
      <c r="I49">
        <v>5.920368210255855</v>
      </c>
    </row>
    <row r="50">
      <c r="B50" s="1">
        <v>7.0</v>
      </c>
      <c r="D50" s="1">
        <v>32.5</v>
      </c>
      <c r="E50">
        <v>33.11545195869232</v>
      </c>
      <c r="G50">
        <v>32.617028574261504</v>
      </c>
      <c r="H50">
        <f t="shared" si="4"/>
        <v>-0.4984233844</v>
      </c>
      <c r="I50">
        <v>6.969669001799378</v>
      </c>
    </row>
    <row r="51">
      <c r="B51" s="1">
        <v>8.0</v>
      </c>
      <c r="D51" s="1">
        <v>55.5</v>
      </c>
      <c r="E51">
        <v>54.59815003314425</v>
      </c>
      <c r="G51">
        <v>55.30270143581705</v>
      </c>
      <c r="H51">
        <f t="shared" si="4"/>
        <v>0.7045514027</v>
      </c>
      <c r="I51">
        <v>8.02564351578482</v>
      </c>
    </row>
    <row r="52">
      <c r="B52" s="1">
        <v>9.0</v>
      </c>
    </row>
    <row r="53">
      <c r="B53" s="1">
        <v>10.0</v>
      </c>
    </row>
    <row r="55">
      <c r="D55">
        <f t="array" ref="D55:E59">LINEST(E43:E51,D43:D51,true,true)</f>
        <v>0.9863336027</v>
      </c>
      <c r="E55">
        <v>0.561186487280852</v>
      </c>
    </row>
    <row r="56">
      <c r="D56">
        <v>0.013246676239181548</v>
      </c>
      <c r="E56">
        <v>0.30232876408457277</v>
      </c>
    </row>
    <row r="57">
      <c r="D57">
        <v>0.9987389966702506</v>
      </c>
      <c r="E57">
        <v>0.6874104643971019</v>
      </c>
    </row>
    <row r="58">
      <c r="D58">
        <v>5544.135222926628</v>
      </c>
      <c r="E58">
        <v>7.0</v>
      </c>
    </row>
    <row r="59">
      <c r="D59">
        <v>2619.787661858278</v>
      </c>
      <c r="E59">
        <v>3.307732025938474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4.13"/>
    <col customWidth="1" min="11" max="19" width="4.13"/>
    <col customWidth="1" min="21" max="28" width="5.0"/>
  </cols>
  <sheetData>
    <row r="2">
      <c r="A2" s="27" t="s">
        <v>3</v>
      </c>
      <c r="B2" s="27">
        <v>1.0</v>
      </c>
      <c r="C2" s="27">
        <v>2.0</v>
      </c>
      <c r="D2" s="27">
        <v>3.0</v>
      </c>
      <c r="E2" s="27">
        <v>4.0</v>
      </c>
      <c r="F2" s="27">
        <v>5.0</v>
      </c>
      <c r="G2" s="27">
        <v>6.0</v>
      </c>
      <c r="H2" s="27">
        <v>7.0</v>
      </c>
      <c r="I2" s="27">
        <v>8.0</v>
      </c>
      <c r="L2" s="2">
        <v>1.0</v>
      </c>
      <c r="M2" s="2">
        <v>2.0</v>
      </c>
      <c r="N2" s="2">
        <v>3.0</v>
      </c>
      <c r="O2" s="2">
        <v>4.0</v>
      </c>
      <c r="P2" s="2">
        <v>5.0</v>
      </c>
      <c r="Q2" s="2">
        <v>6.0</v>
      </c>
      <c r="R2" s="2">
        <v>7.0</v>
      </c>
      <c r="S2" s="2">
        <v>8.0</v>
      </c>
      <c r="U2" s="2">
        <v>1.0</v>
      </c>
      <c r="V2" s="2">
        <v>2.0</v>
      </c>
      <c r="W2" s="2">
        <v>3.0</v>
      </c>
      <c r="X2" s="2">
        <v>4.0</v>
      </c>
      <c r="Y2" s="2">
        <v>5.0</v>
      </c>
      <c r="Z2" s="2">
        <v>6.0</v>
      </c>
      <c r="AA2" s="2">
        <v>7.0</v>
      </c>
      <c r="AB2" s="2">
        <v>8.0</v>
      </c>
    </row>
    <row r="3">
      <c r="A3" s="28">
        <v>1.0</v>
      </c>
      <c r="B3" s="29">
        <v>2.0</v>
      </c>
      <c r="C3">
        <v>4.0</v>
      </c>
      <c r="D3">
        <v>8.0</v>
      </c>
      <c r="E3">
        <v>16.0</v>
      </c>
      <c r="F3">
        <v>32.0</v>
      </c>
      <c r="G3">
        <v>64.0</v>
      </c>
      <c r="H3">
        <v>128.0</v>
      </c>
      <c r="I3">
        <v>256.0</v>
      </c>
      <c r="K3" s="2">
        <v>1.0</v>
      </c>
      <c r="L3" t="str">
        <f>IFERROR(__xludf.DUMMYFUNCTION("Ifna(QUERY($A$3:$I$2000, ""select A where B="" &amp; $K3))"),"")</f>
        <v/>
      </c>
      <c r="M3" t="str">
        <f>IFERROR(__xludf.DUMMYFUNCTION("Ifna(QUERY($A$3:$I$2000, ""select A where C="" &amp; $K3))"),"")</f>
        <v/>
      </c>
      <c r="N3" t="str">
        <f>IFERROR(__xludf.DUMMYFUNCTION("Ifna(QUERY($A$3:$I$2000, ""select A where D="" &amp; $K3))"),"")</f>
        <v/>
      </c>
      <c r="O3" t="str">
        <f>IFERROR(__xludf.DUMMYFUNCTION("Ifna(QUERY($A$3:$I$2000, ""select A where E="" &amp; $K3))"),"")</f>
        <v/>
      </c>
      <c r="P3" t="str">
        <f>IFERROR(__xludf.DUMMYFUNCTION("Ifna(QUERY($A$3:$I$2000, ""select A where F="" &amp; $K3))"),"")</f>
        <v/>
      </c>
      <c r="Q3" t="str">
        <f>IFERROR(__xludf.DUMMYFUNCTION("Ifna(QUERY($A$3:$I$2000, ""select A where G="" &amp; $K3))"),"")</f>
        <v/>
      </c>
      <c r="R3" t="str">
        <f>IFERROR(__xludf.DUMMYFUNCTION("Ifna(QUERY($A$3:$I$2000, ""select A where H="" &amp; $K3))"),"")</f>
        <v/>
      </c>
      <c r="S3" t="str">
        <f>IFERROR(__xludf.DUMMYFUNCTION("Ifna(QUERY($A$3:$I$2000, ""select A where I="" &amp; $K3))"),"")</f>
        <v/>
      </c>
      <c r="U3" s="29">
        <f t="shared" ref="U3:AB3" si="1">$A3*B3</f>
        <v>2</v>
      </c>
      <c r="V3">
        <f t="shared" si="1"/>
        <v>4</v>
      </c>
      <c r="W3">
        <f t="shared" si="1"/>
        <v>8</v>
      </c>
      <c r="X3">
        <f t="shared" si="1"/>
        <v>16</v>
      </c>
      <c r="Y3">
        <f t="shared" si="1"/>
        <v>32</v>
      </c>
      <c r="Z3">
        <f t="shared" si="1"/>
        <v>64</v>
      </c>
      <c r="AA3">
        <f t="shared" si="1"/>
        <v>128</v>
      </c>
      <c r="AB3">
        <f t="shared" si="1"/>
        <v>256</v>
      </c>
    </row>
    <row r="4">
      <c r="A4" s="28">
        <v>2.0</v>
      </c>
      <c r="C4" s="29">
        <v>3.0</v>
      </c>
      <c r="D4">
        <v>7.0</v>
      </c>
      <c r="E4">
        <v>15.0</v>
      </c>
      <c r="F4">
        <v>31.0</v>
      </c>
      <c r="G4">
        <v>63.0</v>
      </c>
      <c r="H4">
        <v>127.0</v>
      </c>
      <c r="I4">
        <v>255.0</v>
      </c>
      <c r="K4" s="2">
        <v>2.0</v>
      </c>
      <c r="L4">
        <f>IFERROR(__xludf.DUMMYFUNCTION("Ifna(QUERY($A$3:$I$2000, ""select A where B="" &amp; $K4))"),1.0)</f>
        <v>1</v>
      </c>
      <c r="M4" t="str">
        <f>IFERROR(__xludf.DUMMYFUNCTION("Ifna(QUERY($A$3:$I$2000, ""select A where C="" &amp; $K4))"),"")</f>
        <v/>
      </c>
      <c r="N4" t="str">
        <f>IFERROR(__xludf.DUMMYFUNCTION("Ifna(QUERY($A$3:$I$2000, ""select A where D="" &amp; $K4))"),"")</f>
        <v/>
      </c>
      <c r="O4" t="str">
        <f>IFERROR(__xludf.DUMMYFUNCTION("Ifna(QUERY($A$3:$I$2000, ""select A where E="" &amp; $K4))"),"")</f>
        <v/>
      </c>
      <c r="P4" t="str">
        <f>IFERROR(__xludf.DUMMYFUNCTION("Ifna(QUERY($A$3:$I$2000, ""select A where F="" &amp; $K4))"),"")</f>
        <v/>
      </c>
      <c r="Q4" t="str">
        <f>IFERROR(__xludf.DUMMYFUNCTION("Ifna(QUERY($A$3:$I$2000, ""select A where G="" &amp; $K4))"),"")</f>
        <v/>
      </c>
      <c r="R4" t="str">
        <f>IFERROR(__xludf.DUMMYFUNCTION("Ifna(QUERY($A$3:$I$2000, ""select A where H="" &amp; $K4))"),"")</f>
        <v/>
      </c>
      <c r="S4" t="str">
        <f>IFERROR(__xludf.DUMMYFUNCTION("Ifna(QUERY($A$3:$I$2000, ""select A where I="" &amp; $K4))"),"")</f>
        <v/>
      </c>
      <c r="U4">
        <f t="shared" ref="U4:AB4" si="2">$A4*B4</f>
        <v>0</v>
      </c>
      <c r="V4" s="29">
        <f t="shared" si="2"/>
        <v>6</v>
      </c>
      <c r="W4">
        <f t="shared" si="2"/>
        <v>14</v>
      </c>
      <c r="X4">
        <f t="shared" si="2"/>
        <v>30</v>
      </c>
      <c r="Y4">
        <f t="shared" si="2"/>
        <v>62</v>
      </c>
      <c r="Z4">
        <f t="shared" si="2"/>
        <v>126</v>
      </c>
      <c r="AA4">
        <f t="shared" si="2"/>
        <v>254</v>
      </c>
      <c r="AB4">
        <f t="shared" si="2"/>
        <v>510</v>
      </c>
    </row>
    <row r="5">
      <c r="A5" s="27">
        <v>3.0</v>
      </c>
      <c r="D5" s="30">
        <v>5.0</v>
      </c>
      <c r="E5">
        <v>12.0</v>
      </c>
      <c r="F5">
        <v>27.0</v>
      </c>
      <c r="G5">
        <v>58.0</v>
      </c>
      <c r="H5">
        <v>121.0</v>
      </c>
      <c r="I5">
        <v>248.0</v>
      </c>
      <c r="K5" s="2">
        <v>3.0</v>
      </c>
      <c r="L5" t="str">
        <f>IFERROR(__xludf.DUMMYFUNCTION("Ifna(QUERY($A$3:$I$2000, ""select A where B="" &amp; $K5))"),"")</f>
        <v/>
      </c>
      <c r="M5">
        <f>IFERROR(__xludf.DUMMYFUNCTION("Ifna(QUERY($A$3:$I$2000, ""select A where C="" &amp; $K5))"),2.0)</f>
        <v>2</v>
      </c>
      <c r="N5" t="str">
        <f>IFERROR(__xludf.DUMMYFUNCTION("Ifna(QUERY($A$3:$I$2000, ""select A where D="" &amp; $K5))"),"")</f>
        <v/>
      </c>
      <c r="O5" t="str">
        <f>IFERROR(__xludf.DUMMYFUNCTION("Ifna(QUERY($A$3:$I$2000, ""select A where E="" &amp; $K5))"),"")</f>
        <v/>
      </c>
      <c r="P5" t="str">
        <f>IFERROR(__xludf.DUMMYFUNCTION("Ifna(QUERY($A$3:$I$2000, ""select A where F="" &amp; $K5))"),"")</f>
        <v/>
      </c>
      <c r="Q5" t="str">
        <f>IFERROR(__xludf.DUMMYFUNCTION("Ifna(QUERY($A$3:$I$2000, ""select A where G="" &amp; $K5))"),"")</f>
        <v/>
      </c>
      <c r="R5" t="str">
        <f>IFERROR(__xludf.DUMMYFUNCTION("Ifna(QUERY($A$3:$I$2000, ""select A where H="" &amp; $K5))"),"")</f>
        <v/>
      </c>
      <c r="S5" t="str">
        <f>IFERROR(__xludf.DUMMYFUNCTION("Ifna(QUERY($A$3:$I$2000, ""select A where I="" &amp; $K5))"),"")</f>
        <v/>
      </c>
      <c r="U5">
        <f t="shared" ref="U5:AB5" si="3">$A5*B5</f>
        <v>0</v>
      </c>
      <c r="V5">
        <f t="shared" si="3"/>
        <v>0</v>
      </c>
      <c r="W5" s="30">
        <f t="shared" si="3"/>
        <v>15</v>
      </c>
      <c r="X5">
        <f t="shared" si="3"/>
        <v>36</v>
      </c>
      <c r="Y5">
        <f t="shared" si="3"/>
        <v>81</v>
      </c>
      <c r="Z5">
        <f t="shared" si="3"/>
        <v>174</v>
      </c>
      <c r="AA5">
        <f t="shared" si="3"/>
        <v>363</v>
      </c>
      <c r="AB5">
        <f t="shared" si="3"/>
        <v>744</v>
      </c>
    </row>
    <row r="6">
      <c r="A6" s="28">
        <v>4.0</v>
      </c>
      <c r="D6" s="24">
        <v>4.0</v>
      </c>
      <c r="E6">
        <v>10.0</v>
      </c>
      <c r="F6">
        <v>24.0</v>
      </c>
      <c r="G6">
        <v>54.0</v>
      </c>
      <c r="H6">
        <v>116.0</v>
      </c>
      <c r="I6">
        <v>242.0</v>
      </c>
      <c r="K6" s="2">
        <v>4.0</v>
      </c>
      <c r="L6" t="str">
        <f>IFERROR(__xludf.DUMMYFUNCTION("Ifna(QUERY($A$3:$I$2000, ""select A where B="" &amp; $K6))"),"")</f>
        <v/>
      </c>
      <c r="M6">
        <f>IFERROR(__xludf.DUMMYFUNCTION("Ifna(QUERY($A$3:$I$2000, ""select A where C="" &amp; $K6))"),1.0)</f>
        <v>1</v>
      </c>
      <c r="N6">
        <f>IFERROR(__xludf.DUMMYFUNCTION("Ifna(QUERY($A$3:$I$2000, ""select A where D="" &amp; $K6))"),4.0)</f>
        <v>4</v>
      </c>
      <c r="O6" t="str">
        <f>IFERROR(__xludf.DUMMYFUNCTION("Ifna(QUERY($A$3:$I$2000, ""select A where E="" &amp; $K6))"),"")</f>
        <v/>
      </c>
      <c r="P6" t="str">
        <f>IFERROR(__xludf.DUMMYFUNCTION("Ifna(QUERY($A$3:$I$2000, ""select A where F="" &amp; $K6))"),"")</f>
        <v/>
      </c>
      <c r="Q6" t="str">
        <f>IFERROR(__xludf.DUMMYFUNCTION("Ifna(QUERY($A$3:$I$2000, ""select A where G="" &amp; $K6))"),"")</f>
        <v/>
      </c>
      <c r="R6" t="str">
        <f>IFERROR(__xludf.DUMMYFUNCTION("Ifna(QUERY($A$3:$I$2000, ""select A where H="" &amp; $K6))"),"")</f>
        <v/>
      </c>
      <c r="S6" t="str">
        <f>IFERROR(__xludf.DUMMYFUNCTION("Ifna(QUERY($A$3:$I$2000, ""select A where I="" &amp; $K6))"),"")</f>
        <v/>
      </c>
      <c r="U6">
        <f t="shared" ref="U6:AB6" si="4">$A6*B6</f>
        <v>0</v>
      </c>
      <c r="V6">
        <f t="shared" si="4"/>
        <v>0</v>
      </c>
      <c r="W6" s="24">
        <f t="shared" si="4"/>
        <v>16</v>
      </c>
      <c r="X6">
        <f t="shared" si="4"/>
        <v>40</v>
      </c>
      <c r="Y6">
        <f t="shared" si="4"/>
        <v>96</v>
      </c>
      <c r="Z6">
        <f t="shared" si="4"/>
        <v>216</v>
      </c>
      <c r="AA6">
        <f t="shared" si="4"/>
        <v>464</v>
      </c>
      <c r="AB6">
        <f t="shared" si="4"/>
        <v>968</v>
      </c>
    </row>
    <row r="7">
      <c r="A7" s="28">
        <v>5.0</v>
      </c>
      <c r="E7" s="29">
        <v>9.0</v>
      </c>
      <c r="F7">
        <v>22.0</v>
      </c>
      <c r="G7">
        <v>50.0</v>
      </c>
      <c r="H7">
        <v>109.0</v>
      </c>
      <c r="I7">
        <v>231.0</v>
      </c>
      <c r="K7" s="2">
        <v>5.0</v>
      </c>
      <c r="L7" t="str">
        <f>IFERROR(__xludf.DUMMYFUNCTION("Ifna(QUERY($A$3:$I$2000, ""select A where B="" &amp; $K7))"),"")</f>
        <v/>
      </c>
      <c r="M7" t="str">
        <f>IFERROR(__xludf.DUMMYFUNCTION("Ifna(QUERY($A$3:$I$2000, ""select A where C="" &amp; $K7))"),"")</f>
        <v/>
      </c>
      <c r="N7">
        <f>IFERROR(__xludf.DUMMYFUNCTION("Ifna(QUERY($A$3:$I$2000, ""select A where D="" &amp; $K7))"),3.0)</f>
        <v>3</v>
      </c>
      <c r="O7" t="str">
        <f>IFERROR(__xludf.DUMMYFUNCTION("Ifna(QUERY($A$3:$I$2000, ""select A where E="" &amp; $K7))"),"")</f>
        <v/>
      </c>
      <c r="P7" t="str">
        <f>IFERROR(__xludf.DUMMYFUNCTION("Ifna(QUERY($A$3:$I$2000, ""select A where F="" &amp; $K7))"),"")</f>
        <v/>
      </c>
      <c r="Q7" t="str">
        <f>IFERROR(__xludf.DUMMYFUNCTION("Ifna(QUERY($A$3:$I$2000, ""select A where G="" &amp; $K7))"),"")</f>
        <v/>
      </c>
      <c r="R7" t="str">
        <f>IFERROR(__xludf.DUMMYFUNCTION("Ifna(QUERY($A$3:$I$2000, ""select A where H="" &amp; $K7))"),"")</f>
        <v/>
      </c>
      <c r="S7" t="str">
        <f>IFERROR(__xludf.DUMMYFUNCTION("Ifna(QUERY($A$3:$I$2000, ""select A where I="" &amp; $K7))"),"")</f>
        <v/>
      </c>
      <c r="U7">
        <f t="shared" ref="U7:AB7" si="5">$A7*B7</f>
        <v>0</v>
      </c>
      <c r="V7">
        <f t="shared" si="5"/>
        <v>0</v>
      </c>
      <c r="W7">
        <f t="shared" si="5"/>
        <v>0</v>
      </c>
      <c r="X7" s="29">
        <f t="shared" si="5"/>
        <v>45</v>
      </c>
      <c r="Y7">
        <f t="shared" si="5"/>
        <v>110</v>
      </c>
      <c r="Z7">
        <f t="shared" si="5"/>
        <v>250</v>
      </c>
      <c r="AA7">
        <f t="shared" si="5"/>
        <v>545</v>
      </c>
      <c r="AB7">
        <f t="shared" si="5"/>
        <v>1155</v>
      </c>
    </row>
    <row r="8">
      <c r="A8" s="27">
        <v>6.0</v>
      </c>
      <c r="E8">
        <v>7.0</v>
      </c>
      <c r="F8">
        <v>19.0</v>
      </c>
      <c r="G8">
        <v>46.0</v>
      </c>
      <c r="H8">
        <v>104.0</v>
      </c>
      <c r="I8">
        <v>225.0</v>
      </c>
      <c r="K8" s="2">
        <v>6.0</v>
      </c>
      <c r="L8" t="str">
        <f>IFERROR(__xludf.DUMMYFUNCTION("Ifna(QUERY($A$3:$I$2000, ""select A where B="" &amp; $K8))"),"")</f>
        <v/>
      </c>
      <c r="M8" t="str">
        <f>IFERROR(__xludf.DUMMYFUNCTION("Ifna(QUERY($A$3:$I$2000, ""select A where C="" &amp; $K8))"),"")</f>
        <v/>
      </c>
      <c r="N8" t="str">
        <f>IFERROR(__xludf.DUMMYFUNCTION("Ifna(QUERY($A$3:$I$2000, ""select A where D="" &amp; $K8))"),"")</f>
        <v/>
      </c>
      <c r="O8" t="str">
        <f>IFERROR(__xludf.DUMMYFUNCTION("Ifna(QUERY($A$3:$I$2000, ""select A where E="" &amp; $K8))"),"")</f>
        <v/>
      </c>
      <c r="P8" t="str">
        <f>IFERROR(__xludf.DUMMYFUNCTION("Ifna(QUERY($A$3:$I$2000, ""select A where F="" &amp; $K8))"),"")</f>
        <v/>
      </c>
      <c r="Q8" t="str">
        <f>IFERROR(__xludf.DUMMYFUNCTION("Ifna(QUERY($A$3:$I$2000, ""select A where G="" &amp; $K8))"),"")</f>
        <v/>
      </c>
      <c r="R8" t="str">
        <f>IFERROR(__xludf.DUMMYFUNCTION("Ifna(QUERY($A$3:$I$2000, ""select A where H="" &amp; $K8))"),"")</f>
        <v/>
      </c>
      <c r="S8" t="str">
        <f>IFERROR(__xludf.DUMMYFUNCTION("Ifna(QUERY($A$3:$I$2000, ""select A where I="" &amp; $K8))"),"")</f>
        <v/>
      </c>
      <c r="U8">
        <f t="shared" ref="U8:AB8" si="6">$A8*B8</f>
        <v>0</v>
      </c>
      <c r="V8">
        <f t="shared" si="6"/>
        <v>0</v>
      </c>
      <c r="W8">
        <f t="shared" si="6"/>
        <v>0</v>
      </c>
      <c r="X8">
        <f t="shared" si="6"/>
        <v>42</v>
      </c>
      <c r="Y8">
        <f t="shared" si="6"/>
        <v>114</v>
      </c>
      <c r="Z8">
        <f t="shared" si="6"/>
        <v>276</v>
      </c>
      <c r="AA8">
        <f t="shared" si="6"/>
        <v>624</v>
      </c>
      <c r="AB8">
        <f t="shared" si="6"/>
        <v>1350</v>
      </c>
    </row>
    <row r="9">
      <c r="A9" s="27">
        <v>7.0</v>
      </c>
      <c r="F9">
        <v>17.0</v>
      </c>
      <c r="G9">
        <v>42.0</v>
      </c>
      <c r="H9">
        <v>97.0</v>
      </c>
      <c r="I9">
        <v>214.0</v>
      </c>
      <c r="K9" s="2">
        <v>7.0</v>
      </c>
      <c r="L9" t="str">
        <f>IFERROR(__xludf.DUMMYFUNCTION("Ifna(QUERY($A$3:$I$2000, ""select A where B="" &amp; $K9))"),"")</f>
        <v/>
      </c>
      <c r="M9" t="str">
        <f>IFERROR(__xludf.DUMMYFUNCTION("Ifna(QUERY($A$3:$I$2000, ""select A where C="" &amp; $K9))"),"")</f>
        <v/>
      </c>
      <c r="N9">
        <f>IFERROR(__xludf.DUMMYFUNCTION("Ifna(QUERY($A$3:$I$2000, ""select A where D="" &amp; $K9))"),2.0)</f>
        <v>2</v>
      </c>
      <c r="O9">
        <f>IFERROR(__xludf.DUMMYFUNCTION("Ifna(QUERY($A$3:$I$2000, ""select A where E="" &amp; $K9))"),6.0)</f>
        <v>6</v>
      </c>
      <c r="P9" t="str">
        <f>IFERROR(__xludf.DUMMYFUNCTION("Ifna(QUERY($A$3:$I$2000, ""select A where F="" &amp; $K9))"),"")</f>
        <v/>
      </c>
      <c r="Q9" t="str">
        <f>IFERROR(__xludf.DUMMYFUNCTION("Ifna(QUERY($A$3:$I$2000, ""select A where G="" &amp; $K9))"),"")</f>
        <v/>
      </c>
      <c r="R9" t="str">
        <f>IFERROR(__xludf.DUMMYFUNCTION("Ifna(QUERY($A$3:$I$2000, ""select A where H="" &amp; $K9))"),"")</f>
        <v/>
      </c>
      <c r="S9" t="str">
        <f>IFERROR(__xludf.DUMMYFUNCTION("Ifna(QUERY($A$3:$I$2000, ""select A where I="" &amp; $K9))"),"")</f>
        <v/>
      </c>
      <c r="U9">
        <f t="shared" ref="U9:AB9" si="7">$A9*B9</f>
        <v>0</v>
      </c>
      <c r="V9">
        <f t="shared" si="7"/>
        <v>0</v>
      </c>
      <c r="W9">
        <f t="shared" si="7"/>
        <v>0</v>
      </c>
      <c r="X9">
        <f t="shared" si="7"/>
        <v>0</v>
      </c>
      <c r="Y9">
        <f t="shared" si="7"/>
        <v>119</v>
      </c>
      <c r="Z9">
        <f t="shared" si="7"/>
        <v>294</v>
      </c>
      <c r="AA9">
        <f t="shared" si="7"/>
        <v>679</v>
      </c>
      <c r="AB9">
        <f t="shared" si="7"/>
        <v>1498</v>
      </c>
    </row>
    <row r="10">
      <c r="A10" s="27">
        <v>8.0</v>
      </c>
      <c r="F10" s="30">
        <v>15.0</v>
      </c>
      <c r="G10">
        <v>38.0</v>
      </c>
      <c r="H10">
        <v>91.0</v>
      </c>
      <c r="I10">
        <v>206.0</v>
      </c>
      <c r="K10" s="2">
        <v>8.0</v>
      </c>
      <c r="L10" t="str">
        <f>IFERROR(__xludf.DUMMYFUNCTION("Ifna(QUERY($A$3:$I$2000, ""select A where B="" &amp; $K10))"),"")</f>
        <v/>
      </c>
      <c r="M10" t="str">
        <f>IFERROR(__xludf.DUMMYFUNCTION("Ifna(QUERY($A$3:$I$2000, ""select A where C="" &amp; $K10))"),"")</f>
        <v/>
      </c>
      <c r="N10">
        <f>IFERROR(__xludf.DUMMYFUNCTION("Ifna(QUERY($A$3:$I$2000, ""select A where D="" &amp; $K10))"),1.0)</f>
        <v>1</v>
      </c>
      <c r="O10" t="str">
        <f>IFERROR(__xludf.DUMMYFUNCTION("Ifna(QUERY($A$3:$I$2000, ""select A where E="" &amp; $K10))"),"")</f>
        <v/>
      </c>
      <c r="P10" t="str">
        <f>IFERROR(__xludf.DUMMYFUNCTION("Ifna(QUERY($A$3:$I$2000, ""select A where F="" &amp; $K10))"),"")</f>
        <v/>
      </c>
      <c r="Q10" t="str">
        <f>IFERROR(__xludf.DUMMYFUNCTION("Ifna(QUERY($A$3:$I$2000, ""select A where G="" &amp; $K10))"),"")</f>
        <v/>
      </c>
      <c r="R10" t="str">
        <f>IFERROR(__xludf.DUMMYFUNCTION("Ifna(QUERY($A$3:$I$2000, ""select A where H="" &amp; $K10))"),"")</f>
        <v/>
      </c>
      <c r="S10" t="str">
        <f>IFERROR(__xludf.DUMMYFUNCTION("Ifna(QUERY($A$3:$I$2000, ""select A where I="" &amp; $K10))"),"")</f>
        <v/>
      </c>
      <c r="U10">
        <f t="shared" ref="U10:AB10" si="8">$A10*B10</f>
        <v>0</v>
      </c>
      <c r="V10">
        <f t="shared" si="8"/>
        <v>0</v>
      </c>
      <c r="W10">
        <f t="shared" si="8"/>
        <v>0</v>
      </c>
      <c r="X10">
        <f t="shared" si="8"/>
        <v>0</v>
      </c>
      <c r="Y10" s="30">
        <f t="shared" si="8"/>
        <v>120</v>
      </c>
      <c r="Z10">
        <f t="shared" si="8"/>
        <v>304</v>
      </c>
      <c r="AA10">
        <f t="shared" si="8"/>
        <v>728</v>
      </c>
      <c r="AB10">
        <f t="shared" si="8"/>
        <v>1648</v>
      </c>
    </row>
    <row r="11">
      <c r="A11" s="28">
        <v>9.0</v>
      </c>
      <c r="F11" s="24">
        <v>14.0</v>
      </c>
      <c r="G11">
        <v>36.0</v>
      </c>
      <c r="H11">
        <v>87.0</v>
      </c>
      <c r="I11">
        <v>198.0</v>
      </c>
      <c r="K11" s="2">
        <v>9.0</v>
      </c>
      <c r="L11" t="str">
        <f>IFERROR(__xludf.DUMMYFUNCTION("Ifna(QUERY($A$3:$I$2000, ""select A where B="" &amp; $K11))"),"")</f>
        <v/>
      </c>
      <c r="M11" t="str">
        <f>IFERROR(__xludf.DUMMYFUNCTION("Ifna(QUERY($A$3:$I$2000, ""select A where C="" &amp; $K11))"),"")</f>
        <v/>
      </c>
      <c r="N11" t="str">
        <f>IFERROR(__xludf.DUMMYFUNCTION("Ifna(QUERY($A$3:$I$2000, ""select A where D="" &amp; $K11))"),"")</f>
        <v/>
      </c>
      <c r="O11">
        <f>IFERROR(__xludf.DUMMYFUNCTION("Ifna(QUERY($A$3:$I$2000, ""select A where E="" &amp; $K11))"),5.0)</f>
        <v>5</v>
      </c>
      <c r="P11" t="str">
        <f>IFERROR(__xludf.DUMMYFUNCTION("Ifna(QUERY($A$3:$I$2000, ""select A where F="" &amp; $K11))"),"")</f>
        <v/>
      </c>
      <c r="Q11" t="str">
        <f>IFERROR(__xludf.DUMMYFUNCTION("Ifna(QUERY($A$3:$I$2000, ""select A where G="" &amp; $K11))"),"")</f>
        <v/>
      </c>
      <c r="R11" t="str">
        <f>IFERROR(__xludf.DUMMYFUNCTION("Ifna(QUERY($A$3:$I$2000, ""select A where H="" &amp; $K11))"),"")</f>
        <v/>
      </c>
      <c r="S11" t="str">
        <f>IFERROR(__xludf.DUMMYFUNCTION("Ifna(QUERY($A$3:$I$2000, ""select A where I="" &amp; $K11))"),"")</f>
        <v/>
      </c>
      <c r="U11">
        <f t="shared" ref="U11:AB11" si="9">$A11*B11</f>
        <v>0</v>
      </c>
      <c r="V11">
        <f t="shared" si="9"/>
        <v>0</v>
      </c>
      <c r="W11">
        <f t="shared" si="9"/>
        <v>0</v>
      </c>
      <c r="X11">
        <f t="shared" si="9"/>
        <v>0</v>
      </c>
      <c r="Y11" s="24">
        <f t="shared" si="9"/>
        <v>126</v>
      </c>
      <c r="Z11">
        <f t="shared" si="9"/>
        <v>324</v>
      </c>
      <c r="AA11">
        <f t="shared" si="9"/>
        <v>783</v>
      </c>
      <c r="AB11">
        <f t="shared" si="9"/>
        <v>1782</v>
      </c>
    </row>
    <row r="12">
      <c r="A12" s="27">
        <v>10.0</v>
      </c>
      <c r="F12">
        <v>12.0</v>
      </c>
      <c r="G12">
        <v>33.0</v>
      </c>
      <c r="H12">
        <v>82.0</v>
      </c>
      <c r="I12" s="1">
        <v>182.0</v>
      </c>
      <c r="K12" s="2">
        <v>10.0</v>
      </c>
      <c r="L12" t="str">
        <f>IFERROR(__xludf.DUMMYFUNCTION("Ifna(QUERY($A$3:$I$2000, ""select A where B="" &amp; $K12))"),"")</f>
        <v/>
      </c>
      <c r="M12" t="str">
        <f>IFERROR(__xludf.DUMMYFUNCTION("Ifna(QUERY($A$3:$I$2000, ""select A where C="" &amp; $K12))"),"")</f>
        <v/>
      </c>
      <c r="N12" t="str">
        <f>IFERROR(__xludf.DUMMYFUNCTION("Ifna(QUERY($A$3:$I$2000, ""select A where D="" &amp; $K12))"),"")</f>
        <v/>
      </c>
      <c r="O12">
        <f>IFERROR(__xludf.DUMMYFUNCTION("Ifna(QUERY($A$3:$I$2000, ""select A where E="" &amp; $K12))"),4.0)</f>
        <v>4</v>
      </c>
      <c r="P12" t="str">
        <f>IFERROR(__xludf.DUMMYFUNCTION("Ifna(QUERY($A$3:$I$2000, ""select A where F="" &amp; $K12))"),"")</f>
        <v/>
      </c>
      <c r="Q12" t="str">
        <f>IFERROR(__xludf.DUMMYFUNCTION("Ifna(QUERY($A$3:$I$2000, ""select A where G="" &amp; $K12))"),"")</f>
        <v/>
      </c>
      <c r="R12" t="str">
        <f>IFERROR(__xludf.DUMMYFUNCTION("Ifna(QUERY($A$3:$I$2000, ""select A where H="" &amp; $K12))"),"")</f>
        <v/>
      </c>
      <c r="S12" t="str">
        <f>IFERROR(__xludf.DUMMYFUNCTION("Ifna(QUERY($A$3:$I$2000, ""select A where I="" &amp; $K12))"),"")</f>
        <v/>
      </c>
      <c r="U12">
        <f t="shared" ref="U12:AB12" si="10">$A12*B12</f>
        <v>0</v>
      </c>
      <c r="V12">
        <f t="shared" si="10"/>
        <v>0</v>
      </c>
      <c r="W12">
        <f t="shared" si="10"/>
        <v>0</v>
      </c>
      <c r="X12">
        <f t="shared" si="10"/>
        <v>0</v>
      </c>
      <c r="Y12">
        <f t="shared" si="10"/>
        <v>120</v>
      </c>
      <c r="Z12">
        <f t="shared" si="10"/>
        <v>330</v>
      </c>
      <c r="AA12">
        <f t="shared" si="10"/>
        <v>820</v>
      </c>
      <c r="AB12">
        <f t="shared" si="10"/>
        <v>1820</v>
      </c>
    </row>
    <row r="13">
      <c r="A13" s="27">
        <v>11.0</v>
      </c>
      <c r="F13">
        <v>11.0</v>
      </c>
      <c r="G13">
        <v>31.0</v>
      </c>
      <c r="H13">
        <v>77.0</v>
      </c>
      <c r="I13" s="1">
        <v>176.0</v>
      </c>
      <c r="K13" s="2">
        <v>11.0</v>
      </c>
      <c r="L13" t="str">
        <f>IFERROR(__xludf.DUMMYFUNCTION("Ifna(QUERY($A$3:$I$2000, ""select A where B="" &amp; $K13))"),"")</f>
        <v/>
      </c>
      <c r="M13" t="str">
        <f>IFERROR(__xludf.DUMMYFUNCTION("Ifna(QUERY($A$3:$I$2000, ""select A where C="" &amp; $K13))"),"")</f>
        <v/>
      </c>
      <c r="N13" t="str">
        <f>IFERROR(__xludf.DUMMYFUNCTION("Ifna(QUERY($A$3:$I$2000, ""select A where D="" &amp; $K13))"),"")</f>
        <v/>
      </c>
      <c r="O13" t="str">
        <f>IFERROR(__xludf.DUMMYFUNCTION("Ifna(QUERY($A$3:$I$2000, ""select A where E="" &amp; $K13))"),"")</f>
        <v/>
      </c>
      <c r="P13">
        <f>IFERROR(__xludf.DUMMYFUNCTION("Ifna(QUERY($A$3:$I$2000, ""select A where F="" &amp; $K13))"),11.0)</f>
        <v>11</v>
      </c>
      <c r="Q13" t="str">
        <f>IFERROR(__xludf.DUMMYFUNCTION("Ifna(QUERY($A$3:$I$2000, ""select A where G="" &amp; $K13))"),"")</f>
        <v/>
      </c>
      <c r="R13" t="str">
        <f>IFERROR(__xludf.DUMMYFUNCTION("Ifna(QUERY($A$3:$I$2000, ""select A where H="" &amp; $K13))"),"")</f>
        <v/>
      </c>
      <c r="S13" t="str">
        <f>IFERROR(__xludf.DUMMYFUNCTION("Ifna(QUERY($A$3:$I$2000, ""select A where I="" &amp; $K13))"),"")</f>
        <v/>
      </c>
      <c r="U13">
        <f t="shared" ref="U13:AB13" si="11">$A13*B13</f>
        <v>0</v>
      </c>
      <c r="V13">
        <f t="shared" si="11"/>
        <v>0</v>
      </c>
      <c r="W13">
        <f t="shared" si="11"/>
        <v>0</v>
      </c>
      <c r="X13">
        <f t="shared" si="11"/>
        <v>0</v>
      </c>
      <c r="Y13">
        <f t="shared" si="11"/>
        <v>121</v>
      </c>
      <c r="Z13">
        <f t="shared" si="11"/>
        <v>341</v>
      </c>
      <c r="AA13">
        <f t="shared" si="11"/>
        <v>847</v>
      </c>
      <c r="AB13">
        <f t="shared" si="11"/>
        <v>1936</v>
      </c>
    </row>
    <row r="14">
      <c r="A14" s="27">
        <v>12.0</v>
      </c>
      <c r="G14">
        <v>29.0</v>
      </c>
      <c r="H14">
        <v>73.0</v>
      </c>
      <c r="I14" s="1">
        <v>170.0</v>
      </c>
      <c r="K14" s="2">
        <v>12.0</v>
      </c>
      <c r="L14" t="str">
        <f>IFERROR(__xludf.DUMMYFUNCTION("Ifna(QUERY($A$3:$I$2000, ""select A where B="" &amp; $K14))"),"")</f>
        <v/>
      </c>
      <c r="M14" t="str">
        <f>IFERROR(__xludf.DUMMYFUNCTION("Ifna(QUERY($A$3:$I$2000, ""select A where C="" &amp; $K14))"),"")</f>
        <v/>
      </c>
      <c r="N14" t="str">
        <f>IFERROR(__xludf.DUMMYFUNCTION("Ifna(QUERY($A$3:$I$2000, ""select A where D="" &amp; $K14))"),"")</f>
        <v/>
      </c>
      <c r="O14">
        <f>IFERROR(__xludf.DUMMYFUNCTION("Ifna(QUERY($A$3:$I$2000, ""select A where E="" &amp; $K14))"),3.0)</f>
        <v>3</v>
      </c>
      <c r="P14">
        <f>IFERROR(__xludf.DUMMYFUNCTION("Ifna(QUERY($A$3:$I$2000, ""select A where F="" &amp; $K14))"),10.0)</f>
        <v>10</v>
      </c>
      <c r="Q14" t="str">
        <f>IFERROR(__xludf.DUMMYFUNCTION("Ifna(QUERY($A$3:$I$2000, ""select A where G="" &amp; $K14))"),"")</f>
        <v/>
      </c>
      <c r="R14" t="str">
        <f>IFERROR(__xludf.DUMMYFUNCTION("Ifna(QUERY($A$3:$I$2000, ""select A where H="" &amp; $K14))"),"")</f>
        <v/>
      </c>
      <c r="S14" t="str">
        <f>IFERROR(__xludf.DUMMYFUNCTION("Ifna(QUERY($A$3:$I$2000, ""select A where I="" &amp; $K14))"),"")</f>
        <v/>
      </c>
      <c r="U14">
        <f t="shared" ref="U14:AB14" si="12">$A14*B14</f>
        <v>0</v>
      </c>
      <c r="V14">
        <f t="shared" si="12"/>
        <v>0</v>
      </c>
      <c r="W14">
        <f t="shared" si="12"/>
        <v>0</v>
      </c>
      <c r="X14">
        <f t="shared" si="12"/>
        <v>0</v>
      </c>
      <c r="Y14">
        <f t="shared" si="12"/>
        <v>0</v>
      </c>
      <c r="Z14">
        <f t="shared" si="12"/>
        <v>348</v>
      </c>
      <c r="AA14">
        <f t="shared" si="12"/>
        <v>876</v>
      </c>
      <c r="AB14">
        <f t="shared" si="12"/>
        <v>2040</v>
      </c>
    </row>
    <row r="15">
      <c r="A15" s="27">
        <v>13.0</v>
      </c>
      <c r="G15">
        <v>27.0</v>
      </c>
      <c r="H15">
        <v>69.0</v>
      </c>
      <c r="I15" s="1">
        <v>165.0</v>
      </c>
      <c r="K15" s="2">
        <v>13.0</v>
      </c>
      <c r="L15" t="str">
        <f>IFERROR(__xludf.DUMMYFUNCTION("Ifna(QUERY($A$3:$I$2000, ""select A where B="" &amp; $K15))"),"")</f>
        <v/>
      </c>
      <c r="M15" t="str">
        <f>IFERROR(__xludf.DUMMYFUNCTION("Ifna(QUERY($A$3:$I$2000, ""select A where C="" &amp; $K15))"),"")</f>
        <v/>
      </c>
      <c r="N15" t="str">
        <f>IFERROR(__xludf.DUMMYFUNCTION("Ifna(QUERY($A$3:$I$2000, ""select A where D="" &amp; $K15))"),"")</f>
        <v/>
      </c>
      <c r="O15" t="str">
        <f>IFERROR(__xludf.DUMMYFUNCTION("Ifna(QUERY($A$3:$I$2000, ""select A where E="" &amp; $K15))"),"")</f>
        <v/>
      </c>
      <c r="P15" t="str">
        <f>IFERROR(__xludf.DUMMYFUNCTION("Ifna(QUERY($A$3:$I$2000, ""select A where F="" &amp; $K15))"),"")</f>
        <v/>
      </c>
      <c r="Q15" t="str">
        <f>IFERROR(__xludf.DUMMYFUNCTION("Ifna(QUERY($A$3:$I$2000, ""select A where G="" &amp; $K15))"),"")</f>
        <v/>
      </c>
      <c r="R15" t="str">
        <f>IFERROR(__xludf.DUMMYFUNCTION("Ifna(QUERY($A$3:$I$2000, ""select A where H="" &amp; $K15))"),"")</f>
        <v/>
      </c>
      <c r="S15" t="str">
        <f>IFERROR(__xludf.DUMMYFUNCTION("Ifna(QUERY($A$3:$I$2000, ""select A where I="" &amp; $K15))"),"")</f>
        <v/>
      </c>
      <c r="U15">
        <f t="shared" ref="U15:AB15" si="13">$A15*B15</f>
        <v>0</v>
      </c>
      <c r="V15">
        <f t="shared" si="13"/>
        <v>0</v>
      </c>
      <c r="W15">
        <f t="shared" si="13"/>
        <v>0</v>
      </c>
      <c r="X15">
        <f t="shared" si="13"/>
        <v>0</v>
      </c>
      <c r="Y15">
        <f t="shared" si="13"/>
        <v>0</v>
      </c>
      <c r="Z15">
        <f t="shared" si="13"/>
        <v>351</v>
      </c>
      <c r="AA15">
        <f t="shared" si="13"/>
        <v>897</v>
      </c>
      <c r="AB15">
        <f t="shared" si="13"/>
        <v>2145</v>
      </c>
    </row>
    <row r="16">
      <c r="A16" s="27">
        <v>14.0</v>
      </c>
      <c r="G16" s="30">
        <v>25.0</v>
      </c>
      <c r="H16">
        <v>66.0</v>
      </c>
      <c r="I16" s="1">
        <v>159.0</v>
      </c>
      <c r="K16" s="2">
        <v>14.0</v>
      </c>
      <c r="L16" t="str">
        <f>IFERROR(__xludf.DUMMYFUNCTION("Ifna(QUERY($A$3:$I$2000, ""select A where B="" &amp; $K16))"),"")</f>
        <v/>
      </c>
      <c r="M16" t="str">
        <f>IFERROR(__xludf.DUMMYFUNCTION("Ifna(QUERY($A$3:$I$2000, ""select A where C="" &amp; $K16))"),"")</f>
        <v/>
      </c>
      <c r="N16" t="str">
        <f>IFERROR(__xludf.DUMMYFUNCTION("Ifna(QUERY($A$3:$I$2000, ""select A where D="" &amp; $K16))"),"")</f>
        <v/>
      </c>
      <c r="O16" t="str">
        <f>IFERROR(__xludf.DUMMYFUNCTION("Ifna(QUERY($A$3:$I$2000, ""select A where E="" &amp; $K16))"),"")</f>
        <v/>
      </c>
      <c r="P16">
        <f>IFERROR(__xludf.DUMMYFUNCTION("Ifna(QUERY($A$3:$I$2000, ""select A where F="" &amp; $K16))"),9.0)</f>
        <v>9</v>
      </c>
      <c r="Q16" t="str">
        <f>IFERROR(__xludf.DUMMYFUNCTION("Ifna(QUERY($A$3:$I$2000, ""select A where G="" &amp; $K16))"),"")</f>
        <v/>
      </c>
      <c r="R16" t="str">
        <f>IFERROR(__xludf.DUMMYFUNCTION("Ifna(QUERY($A$3:$I$2000, ""select A where H="" &amp; $K16))"),"")</f>
        <v/>
      </c>
      <c r="S16" t="str">
        <f>IFERROR(__xludf.DUMMYFUNCTION("Ifna(QUERY($A$3:$I$2000, ""select A where I="" &amp; $K16))"),"")</f>
        <v/>
      </c>
      <c r="U16">
        <f t="shared" ref="U16:AB16" si="14">$A16*B16</f>
        <v>0</v>
      </c>
      <c r="V16">
        <f t="shared" si="14"/>
        <v>0</v>
      </c>
      <c r="W16">
        <f t="shared" si="14"/>
        <v>0</v>
      </c>
      <c r="X16">
        <f t="shared" si="14"/>
        <v>0</v>
      </c>
      <c r="Y16">
        <f t="shared" si="14"/>
        <v>0</v>
      </c>
      <c r="Z16" s="30">
        <f t="shared" si="14"/>
        <v>350</v>
      </c>
      <c r="AA16">
        <f t="shared" si="14"/>
        <v>924</v>
      </c>
      <c r="AB16">
        <f t="shared" si="14"/>
        <v>2226</v>
      </c>
    </row>
    <row r="17">
      <c r="A17" s="27">
        <v>15.0</v>
      </c>
      <c r="G17">
        <v>24.0</v>
      </c>
      <c r="H17">
        <v>63.0</v>
      </c>
      <c r="I17" s="1">
        <v>153.0</v>
      </c>
      <c r="K17" s="2">
        <v>15.0</v>
      </c>
      <c r="L17" t="str">
        <f>IFERROR(__xludf.DUMMYFUNCTION("Ifna(QUERY($A$3:$I$2000, ""select A where B="" &amp; $K17))"),"")</f>
        <v/>
      </c>
      <c r="M17" t="str">
        <f>IFERROR(__xludf.DUMMYFUNCTION("Ifna(QUERY($A$3:$I$2000, ""select A where C="" &amp; $K17))"),"")</f>
        <v/>
      </c>
      <c r="N17" t="str">
        <f>IFERROR(__xludf.DUMMYFUNCTION("Ifna(QUERY($A$3:$I$2000, ""select A where D="" &amp; $K17))"),"")</f>
        <v/>
      </c>
      <c r="O17">
        <f>IFERROR(__xludf.DUMMYFUNCTION("Ifna(QUERY($A$3:$I$2000, ""select A where E="" &amp; $K17))"),2.0)</f>
        <v>2</v>
      </c>
      <c r="P17">
        <f>IFERROR(__xludf.DUMMYFUNCTION("Ifna(QUERY($A$3:$I$2000, ""select A where F="" &amp; $K17))"),8.0)</f>
        <v>8</v>
      </c>
      <c r="Q17" t="str">
        <f>IFERROR(__xludf.DUMMYFUNCTION("Ifna(QUERY($A$3:$I$2000, ""select A where G="" &amp; $K17))"),"")</f>
        <v/>
      </c>
      <c r="R17" t="str">
        <f>IFERROR(__xludf.DUMMYFUNCTION("Ifna(QUERY($A$3:$I$2000, ""select A where H="" &amp; $K17))"),"")</f>
        <v/>
      </c>
      <c r="S17" t="str">
        <f>IFERROR(__xludf.DUMMYFUNCTION("Ifna(QUERY($A$3:$I$2000, ""select A where I="" &amp; $K17))"),"")</f>
        <v/>
      </c>
      <c r="U17">
        <f t="shared" ref="U17:AB17" si="15">$A17*B17</f>
        <v>0</v>
      </c>
      <c r="V17">
        <f t="shared" si="15"/>
        <v>0</v>
      </c>
      <c r="W17">
        <f t="shared" si="15"/>
        <v>0</v>
      </c>
      <c r="X17">
        <f t="shared" si="15"/>
        <v>0</v>
      </c>
      <c r="Y17">
        <f t="shared" si="15"/>
        <v>0</v>
      </c>
      <c r="Z17">
        <f t="shared" si="15"/>
        <v>360</v>
      </c>
      <c r="AA17">
        <f t="shared" si="15"/>
        <v>945</v>
      </c>
      <c r="AB17">
        <f t="shared" si="15"/>
        <v>2295</v>
      </c>
    </row>
    <row r="18">
      <c r="A18" s="27">
        <v>16.0</v>
      </c>
      <c r="G18">
        <v>22.0</v>
      </c>
      <c r="H18">
        <v>60.0</v>
      </c>
      <c r="I18" s="1">
        <v>148.0</v>
      </c>
      <c r="K18" s="2">
        <v>16.0</v>
      </c>
      <c r="L18" t="str">
        <f>IFERROR(__xludf.DUMMYFUNCTION("Ifna(QUERY($A$3:$I$2000, ""select A where B="" &amp; $K18))"),"")</f>
        <v/>
      </c>
      <c r="M18" t="str">
        <f>IFERROR(__xludf.DUMMYFUNCTION("Ifna(QUERY($A$3:$I$2000, ""select A where C="" &amp; $K18))"),"")</f>
        <v/>
      </c>
      <c r="N18" t="str">
        <f>IFERROR(__xludf.DUMMYFUNCTION("Ifna(QUERY($A$3:$I$2000, ""select A where D="" &amp; $K18))"),"")</f>
        <v/>
      </c>
      <c r="O18">
        <f>IFERROR(__xludf.DUMMYFUNCTION("Ifna(QUERY($A$3:$I$2000, ""select A where E="" &amp; $K18))"),1.0)</f>
        <v>1</v>
      </c>
      <c r="P18" t="str">
        <f>IFERROR(__xludf.DUMMYFUNCTION("Ifna(QUERY($A$3:$I$2000, ""select A where F="" &amp; $K18))"),"")</f>
        <v/>
      </c>
      <c r="Q18" t="str">
        <f>IFERROR(__xludf.DUMMYFUNCTION("Ifna(QUERY($A$3:$I$2000, ""select A where G="" &amp; $K18))"),"")</f>
        <v/>
      </c>
      <c r="R18" t="str">
        <f>IFERROR(__xludf.DUMMYFUNCTION("Ifna(QUERY($A$3:$I$2000, ""select A where H="" &amp; $K18))"),"")</f>
        <v/>
      </c>
      <c r="S18" t="str">
        <f>IFERROR(__xludf.DUMMYFUNCTION("Ifna(QUERY($A$3:$I$2000, ""select A where I="" &amp; $K18))"),"")</f>
        <v/>
      </c>
      <c r="U18">
        <f t="shared" ref="U18:AB18" si="16">$A18*B18</f>
        <v>0</v>
      </c>
      <c r="V18">
        <f t="shared" si="16"/>
        <v>0</v>
      </c>
      <c r="W18">
        <f t="shared" si="16"/>
        <v>0</v>
      </c>
      <c r="X18">
        <f t="shared" si="16"/>
        <v>0</v>
      </c>
      <c r="Y18">
        <f t="shared" si="16"/>
        <v>0</v>
      </c>
      <c r="Z18">
        <f t="shared" si="16"/>
        <v>352</v>
      </c>
      <c r="AA18">
        <f t="shared" si="16"/>
        <v>960</v>
      </c>
      <c r="AB18">
        <f t="shared" si="16"/>
        <v>2368</v>
      </c>
    </row>
    <row r="19">
      <c r="A19" s="27">
        <v>17.0</v>
      </c>
      <c r="G19">
        <v>21.0</v>
      </c>
      <c r="H19">
        <v>58.0</v>
      </c>
      <c r="I19" s="1">
        <v>142.0</v>
      </c>
      <c r="K19" s="2">
        <v>17.0</v>
      </c>
      <c r="L19" t="str">
        <f>IFERROR(__xludf.DUMMYFUNCTION("Ifna(QUERY($A$3:$I$2000, ""select A where B="" &amp; $K19))"),"")</f>
        <v/>
      </c>
      <c r="M19" t="str">
        <f>IFERROR(__xludf.DUMMYFUNCTION("Ifna(QUERY($A$3:$I$2000, ""select A where C="" &amp; $K19))"),"")</f>
        <v/>
      </c>
      <c r="N19" t="str">
        <f>IFERROR(__xludf.DUMMYFUNCTION("Ifna(QUERY($A$3:$I$2000, ""select A where D="" &amp; $K19))"),"")</f>
        <v/>
      </c>
      <c r="O19" t="str">
        <f>IFERROR(__xludf.DUMMYFUNCTION("Ifna(QUERY($A$3:$I$2000, ""select A where E="" &amp; $K19))"),"")</f>
        <v/>
      </c>
      <c r="P19">
        <f>IFERROR(__xludf.DUMMYFUNCTION("Ifna(QUERY($A$3:$I$2000, ""select A where F="" &amp; $K19))"),7.0)</f>
        <v>7</v>
      </c>
      <c r="Q19" t="str">
        <f>IFERROR(__xludf.DUMMYFUNCTION("Ifna(QUERY($A$3:$I$2000, ""select A where G="" &amp; $K19))"),"")</f>
        <v/>
      </c>
      <c r="R19" t="str">
        <f>IFERROR(__xludf.DUMMYFUNCTION("Ifna(QUERY($A$3:$I$2000, ""select A where H="" &amp; $K19))"),"")</f>
        <v/>
      </c>
      <c r="S19" t="str">
        <f>IFERROR(__xludf.DUMMYFUNCTION("Ifna(QUERY($A$3:$I$2000, ""select A where I="" &amp; $K19))"),"")</f>
        <v/>
      </c>
      <c r="U19">
        <f t="shared" ref="U19:AB19" si="17">$A19*B19</f>
        <v>0</v>
      </c>
      <c r="V19">
        <f t="shared" si="17"/>
        <v>0</v>
      </c>
      <c r="W19">
        <f t="shared" si="17"/>
        <v>0</v>
      </c>
      <c r="X19">
        <f t="shared" si="17"/>
        <v>0</v>
      </c>
      <c r="Y19">
        <f t="shared" si="17"/>
        <v>0</v>
      </c>
      <c r="Z19">
        <f t="shared" si="17"/>
        <v>357</v>
      </c>
      <c r="AA19">
        <f t="shared" si="17"/>
        <v>986</v>
      </c>
      <c r="AB19">
        <f t="shared" si="17"/>
        <v>2414</v>
      </c>
    </row>
    <row r="20">
      <c r="A20" s="27">
        <v>18.0</v>
      </c>
      <c r="G20">
        <v>20.0</v>
      </c>
      <c r="H20">
        <v>55.0</v>
      </c>
      <c r="I20" s="1">
        <v>139.0</v>
      </c>
      <c r="K20" s="2">
        <v>18.0</v>
      </c>
      <c r="L20" t="str">
        <f>IFERROR(__xludf.DUMMYFUNCTION("Ifna(QUERY($A$3:$I$2000, ""select A where B="" &amp; $K20))"),"")</f>
        <v/>
      </c>
      <c r="M20" t="str">
        <f>IFERROR(__xludf.DUMMYFUNCTION("Ifna(QUERY($A$3:$I$2000, ""select A where C="" &amp; $K20))"),"")</f>
        <v/>
      </c>
      <c r="N20" t="str">
        <f>IFERROR(__xludf.DUMMYFUNCTION("Ifna(QUERY($A$3:$I$2000, ""select A where D="" &amp; $K20))"),"")</f>
        <v/>
      </c>
      <c r="O20" t="str">
        <f>IFERROR(__xludf.DUMMYFUNCTION("Ifna(QUERY($A$3:$I$2000, ""select A where E="" &amp; $K20))"),"")</f>
        <v/>
      </c>
      <c r="P20" t="str">
        <f>IFERROR(__xludf.DUMMYFUNCTION("Ifna(QUERY($A$3:$I$2000, ""select A where F="" &amp; $K20))"),"")</f>
        <v/>
      </c>
      <c r="Q20" t="str">
        <f>IFERROR(__xludf.DUMMYFUNCTION("Ifna(QUERY($A$3:$I$2000, ""select A where G="" &amp; $K20))"),"")</f>
        <v/>
      </c>
      <c r="R20" t="str">
        <f>IFERROR(__xludf.DUMMYFUNCTION("Ifna(QUERY($A$3:$I$2000, ""select A where H="" &amp; $K20))"),"")</f>
        <v/>
      </c>
      <c r="S20" t="str">
        <f>IFERROR(__xludf.DUMMYFUNCTION("Ifna(QUERY($A$3:$I$2000, ""select A where I="" &amp; $K20))"),"")</f>
        <v/>
      </c>
      <c r="U20">
        <f t="shared" ref="U20:AB20" si="18">$A20*B20</f>
        <v>0</v>
      </c>
      <c r="V20">
        <f t="shared" si="18"/>
        <v>0</v>
      </c>
      <c r="W20">
        <f t="shared" si="18"/>
        <v>0</v>
      </c>
      <c r="X20">
        <f t="shared" si="18"/>
        <v>0</v>
      </c>
      <c r="Y20">
        <f t="shared" si="18"/>
        <v>0</v>
      </c>
      <c r="Z20">
        <f t="shared" si="18"/>
        <v>360</v>
      </c>
      <c r="AA20">
        <f t="shared" si="18"/>
        <v>990</v>
      </c>
      <c r="AB20">
        <f t="shared" si="18"/>
        <v>2502</v>
      </c>
    </row>
    <row r="21">
      <c r="A21" s="28">
        <v>19.0</v>
      </c>
      <c r="G21" s="24">
        <v>19.0</v>
      </c>
      <c r="H21">
        <v>53.0</v>
      </c>
      <c r="I21" s="1">
        <v>135.0</v>
      </c>
      <c r="K21" s="2">
        <v>19.0</v>
      </c>
      <c r="L21" t="str">
        <f>IFERROR(__xludf.DUMMYFUNCTION("Ifna(QUERY($A$3:$I$2000, ""select A where B="" &amp; $K21))"),"")</f>
        <v/>
      </c>
      <c r="M21" t="str">
        <f>IFERROR(__xludf.DUMMYFUNCTION("Ifna(QUERY($A$3:$I$2000, ""select A where C="" &amp; $K21))"),"")</f>
        <v/>
      </c>
      <c r="N21" t="str">
        <f>IFERROR(__xludf.DUMMYFUNCTION("Ifna(QUERY($A$3:$I$2000, ""select A where D="" &amp; $K21))"),"")</f>
        <v/>
      </c>
      <c r="O21" t="str">
        <f>IFERROR(__xludf.DUMMYFUNCTION("Ifna(QUERY($A$3:$I$2000, ""select A where E="" &amp; $K21))"),"")</f>
        <v/>
      </c>
      <c r="P21">
        <f>IFERROR(__xludf.DUMMYFUNCTION("Ifna(QUERY($A$3:$I$2000, ""select A where F="" &amp; $K21))"),6.0)</f>
        <v>6</v>
      </c>
      <c r="Q21">
        <f>IFERROR(__xludf.DUMMYFUNCTION("Ifna(QUERY($A$3:$I$2000, ""select A where G="" &amp; $K21))"),19.0)</f>
        <v>19</v>
      </c>
      <c r="R21" t="str">
        <f>IFERROR(__xludf.DUMMYFUNCTION("Ifna(QUERY($A$3:$I$2000, ""select A where H="" &amp; $K21))"),"")</f>
        <v/>
      </c>
      <c r="S21" t="str">
        <f>IFERROR(__xludf.DUMMYFUNCTION("Ifna(QUERY($A$3:$I$2000, ""select A where I="" &amp; $K21))"),"")</f>
        <v/>
      </c>
      <c r="U21">
        <f t="shared" ref="U21:AB21" si="19">$A21*B21</f>
        <v>0</v>
      </c>
      <c r="V21">
        <f t="shared" si="19"/>
        <v>0</v>
      </c>
      <c r="W21">
        <f t="shared" si="19"/>
        <v>0</v>
      </c>
      <c r="X21">
        <f t="shared" si="19"/>
        <v>0</v>
      </c>
      <c r="Y21">
        <f t="shared" si="19"/>
        <v>0</v>
      </c>
      <c r="Z21" s="24">
        <f t="shared" si="19"/>
        <v>361</v>
      </c>
      <c r="AA21">
        <f t="shared" si="19"/>
        <v>1007</v>
      </c>
      <c r="AB21">
        <f t="shared" si="19"/>
        <v>2565</v>
      </c>
    </row>
    <row r="22">
      <c r="A22" s="27">
        <v>20.0</v>
      </c>
      <c r="H22">
        <v>51.0</v>
      </c>
      <c r="I22" s="1">
        <v>130.0</v>
      </c>
      <c r="K22" s="2">
        <v>20.0</v>
      </c>
      <c r="L22" t="str">
        <f>IFERROR(__xludf.DUMMYFUNCTION("Ifna(QUERY($A$3:$I$2000, ""select A where B="" &amp; $K22))"),"")</f>
        <v/>
      </c>
      <c r="M22" t="str">
        <f>IFERROR(__xludf.DUMMYFUNCTION("Ifna(QUERY($A$3:$I$2000, ""select A where C="" &amp; $K22))"),"")</f>
        <v/>
      </c>
      <c r="N22" t="str">
        <f>IFERROR(__xludf.DUMMYFUNCTION("Ifna(QUERY($A$3:$I$2000, ""select A where D="" &amp; $K22))"),"")</f>
        <v/>
      </c>
      <c r="O22" t="str">
        <f>IFERROR(__xludf.DUMMYFUNCTION("Ifna(QUERY($A$3:$I$2000, ""select A where E="" &amp; $K22))"),"")</f>
        <v/>
      </c>
      <c r="P22" t="str">
        <f>IFERROR(__xludf.DUMMYFUNCTION("Ifna(QUERY($A$3:$I$2000, ""select A where F="" &amp; $K22))"),"")</f>
        <v/>
      </c>
      <c r="Q22">
        <f>IFERROR(__xludf.DUMMYFUNCTION("Ifna(QUERY($A$3:$I$2000, ""select A where G="" &amp; $K22))"),18.0)</f>
        <v>18</v>
      </c>
      <c r="R22" t="str">
        <f>IFERROR(__xludf.DUMMYFUNCTION("Ifna(QUERY($A$3:$I$2000, ""select A where H="" &amp; $K22))"),"")</f>
        <v/>
      </c>
      <c r="S22" t="str">
        <f>IFERROR(__xludf.DUMMYFUNCTION("Ifna(QUERY($A$3:$I$2000, ""select A where I="" &amp; $K22))"),"")</f>
        <v/>
      </c>
      <c r="U22">
        <f t="shared" ref="U22:AB22" si="20">$A22*B22</f>
        <v>0</v>
      </c>
      <c r="V22">
        <f t="shared" si="20"/>
        <v>0</v>
      </c>
      <c r="W22">
        <f t="shared" si="20"/>
        <v>0</v>
      </c>
      <c r="X22">
        <f t="shared" si="20"/>
        <v>0</v>
      </c>
      <c r="Y22">
        <f t="shared" si="20"/>
        <v>0</v>
      </c>
      <c r="Z22">
        <f t="shared" si="20"/>
        <v>0</v>
      </c>
      <c r="AA22">
        <f t="shared" si="20"/>
        <v>1020</v>
      </c>
      <c r="AB22">
        <f t="shared" si="20"/>
        <v>2600</v>
      </c>
    </row>
    <row r="23">
      <c r="A23" s="27">
        <v>21.0</v>
      </c>
      <c r="H23">
        <v>49.0</v>
      </c>
      <c r="I23" s="1">
        <v>126.0</v>
      </c>
      <c r="K23" s="2">
        <v>21.0</v>
      </c>
      <c r="L23" t="str">
        <f>IFERROR(__xludf.DUMMYFUNCTION("Ifna(QUERY($A$3:$I$2000, ""select A where B="" &amp; $K23))"),"")</f>
        <v/>
      </c>
      <c r="M23" t="str">
        <f>IFERROR(__xludf.DUMMYFUNCTION("Ifna(QUERY($A$3:$I$2000, ""select A where C="" &amp; $K23))"),"")</f>
        <v/>
      </c>
      <c r="N23" t="str">
        <f>IFERROR(__xludf.DUMMYFUNCTION("Ifna(QUERY($A$3:$I$2000, ""select A where D="" &amp; $K23))"),"")</f>
        <v/>
      </c>
      <c r="O23" t="str">
        <f>IFERROR(__xludf.DUMMYFUNCTION("Ifna(QUERY($A$3:$I$2000, ""select A where E="" &amp; $K23))"),"")</f>
        <v/>
      </c>
      <c r="P23" t="str">
        <f>IFERROR(__xludf.DUMMYFUNCTION("Ifna(QUERY($A$3:$I$2000, ""select A where F="" &amp; $K23))"),"")</f>
        <v/>
      </c>
      <c r="Q23">
        <f>IFERROR(__xludf.DUMMYFUNCTION("Ifna(QUERY($A$3:$I$2000, ""select A where G="" &amp; $K23))"),17.0)</f>
        <v>17</v>
      </c>
      <c r="R23" t="str">
        <f>IFERROR(__xludf.DUMMYFUNCTION("Ifna(QUERY($A$3:$I$2000, ""select A where H="" &amp; $K23))"),"")</f>
        <v/>
      </c>
      <c r="S23" t="str">
        <f>IFERROR(__xludf.DUMMYFUNCTION("Ifna(QUERY($A$3:$I$2000, ""select A where I="" &amp; $K23))"),"")</f>
        <v/>
      </c>
      <c r="U23">
        <f t="shared" ref="U23:AB23" si="21">$A23*B23</f>
        <v>0</v>
      </c>
      <c r="V23">
        <f t="shared" si="21"/>
        <v>0</v>
      </c>
      <c r="W23">
        <f t="shared" si="21"/>
        <v>0</v>
      </c>
      <c r="X23">
        <f t="shared" si="21"/>
        <v>0</v>
      </c>
      <c r="Y23">
        <f t="shared" si="21"/>
        <v>0</v>
      </c>
      <c r="Z23">
        <f t="shared" si="21"/>
        <v>0</v>
      </c>
      <c r="AA23">
        <f t="shared" si="21"/>
        <v>1029</v>
      </c>
      <c r="AB23">
        <f t="shared" si="21"/>
        <v>2646</v>
      </c>
    </row>
    <row r="24">
      <c r="A24" s="27">
        <v>22.0</v>
      </c>
      <c r="H24">
        <v>47.0</v>
      </c>
      <c r="I24" s="1">
        <v>122.0</v>
      </c>
      <c r="K24" s="2">
        <v>22.0</v>
      </c>
      <c r="L24" t="str">
        <f>IFERROR(__xludf.DUMMYFUNCTION("Ifna(QUERY($A$3:$I$2000, ""select A where B="" &amp; $K24))"),"")</f>
        <v/>
      </c>
      <c r="M24" t="str">
        <f>IFERROR(__xludf.DUMMYFUNCTION("Ifna(QUERY($A$3:$I$2000, ""select A where C="" &amp; $K24))"),"")</f>
        <v/>
      </c>
      <c r="N24" t="str">
        <f>IFERROR(__xludf.DUMMYFUNCTION("Ifna(QUERY($A$3:$I$2000, ""select A where D="" &amp; $K24))"),"")</f>
        <v/>
      </c>
      <c r="O24" t="str">
        <f>IFERROR(__xludf.DUMMYFUNCTION("Ifna(QUERY($A$3:$I$2000, ""select A where E="" &amp; $K24))"),"")</f>
        <v/>
      </c>
      <c r="P24">
        <f>IFERROR(__xludf.DUMMYFUNCTION("Ifna(QUERY($A$3:$I$2000, ""select A where F="" &amp; $K24))"),5.0)</f>
        <v>5</v>
      </c>
      <c r="Q24">
        <f>IFERROR(__xludf.DUMMYFUNCTION("Ifna(QUERY($A$3:$I$2000, ""select A where G="" &amp; $K24))"),16.0)</f>
        <v>16</v>
      </c>
      <c r="R24" t="str">
        <f>IFERROR(__xludf.DUMMYFUNCTION("Ifna(QUERY($A$3:$I$2000, ""select A where H="" &amp; $K24))"),"")</f>
        <v/>
      </c>
      <c r="S24" t="str">
        <f>IFERROR(__xludf.DUMMYFUNCTION("Ifna(QUERY($A$3:$I$2000, ""select A where I="" &amp; $K24))"),"")</f>
        <v/>
      </c>
      <c r="U24">
        <f t="shared" ref="U24:AB24" si="22">$A24*B24</f>
        <v>0</v>
      </c>
      <c r="V24">
        <f t="shared" si="22"/>
        <v>0</v>
      </c>
      <c r="W24">
        <f t="shared" si="22"/>
        <v>0</v>
      </c>
      <c r="X24">
        <f t="shared" si="22"/>
        <v>0</v>
      </c>
      <c r="Y24">
        <f t="shared" si="22"/>
        <v>0</v>
      </c>
      <c r="Z24">
        <f t="shared" si="22"/>
        <v>0</v>
      </c>
      <c r="AA24">
        <f t="shared" si="22"/>
        <v>1034</v>
      </c>
      <c r="AB24">
        <f t="shared" si="22"/>
        <v>2684</v>
      </c>
    </row>
    <row r="25">
      <c r="A25" s="27">
        <v>23.0</v>
      </c>
      <c r="H25" s="30">
        <v>45.0</v>
      </c>
      <c r="I25" s="1">
        <v>118.0</v>
      </c>
      <c r="K25" s="2">
        <v>23.0</v>
      </c>
      <c r="L25" t="str">
        <f>IFERROR(__xludf.DUMMYFUNCTION("Ifna(QUERY($A$3:$I$2000, ""select A where B="" &amp; $K25))"),"")</f>
        <v/>
      </c>
      <c r="M25" t="str">
        <f>IFERROR(__xludf.DUMMYFUNCTION("Ifna(QUERY($A$3:$I$2000, ""select A where C="" &amp; $K25))"),"")</f>
        <v/>
      </c>
      <c r="N25" t="str">
        <f>IFERROR(__xludf.DUMMYFUNCTION("Ifna(QUERY($A$3:$I$2000, ""select A where D="" &amp; $K25))"),"")</f>
        <v/>
      </c>
      <c r="O25" t="str">
        <f>IFERROR(__xludf.DUMMYFUNCTION("Ifna(QUERY($A$3:$I$2000, ""select A where E="" &amp; $K25))"),"")</f>
        <v/>
      </c>
      <c r="P25" t="str">
        <f>IFERROR(__xludf.DUMMYFUNCTION("Ifna(QUERY($A$3:$I$2000, ""select A where F="" &amp; $K25))"),"")</f>
        <v/>
      </c>
      <c r="Q25" t="str">
        <f>IFERROR(__xludf.DUMMYFUNCTION("Ifna(QUERY($A$3:$I$2000, ""select A where G="" &amp; $K25))"),"")</f>
        <v/>
      </c>
      <c r="R25" t="str">
        <f>IFERROR(__xludf.DUMMYFUNCTION("Ifna(QUERY($A$3:$I$2000, ""select A where H="" &amp; $K25))"),"")</f>
        <v/>
      </c>
      <c r="S25" t="str">
        <f>IFERROR(__xludf.DUMMYFUNCTION("Ifna(QUERY($A$3:$I$2000, ""select A where I="" &amp; $K25))"),"")</f>
        <v/>
      </c>
      <c r="U25">
        <f t="shared" ref="U25:AB25" si="23">$A25*B25</f>
        <v>0</v>
      </c>
      <c r="V25">
        <f t="shared" si="23"/>
        <v>0</v>
      </c>
      <c r="W25">
        <f t="shared" si="23"/>
        <v>0</v>
      </c>
      <c r="X25">
        <f t="shared" si="23"/>
        <v>0</v>
      </c>
      <c r="Y25">
        <f t="shared" si="23"/>
        <v>0</v>
      </c>
      <c r="Z25">
        <f t="shared" si="23"/>
        <v>0</v>
      </c>
      <c r="AA25" s="30">
        <f t="shared" si="23"/>
        <v>1035</v>
      </c>
      <c r="AB25">
        <f t="shared" si="23"/>
        <v>2714</v>
      </c>
    </row>
    <row r="26">
      <c r="A26" s="27">
        <v>24.0</v>
      </c>
      <c r="H26">
        <v>43.0</v>
      </c>
      <c r="I26" s="1">
        <v>115.0</v>
      </c>
      <c r="K26" s="2">
        <v>24.0</v>
      </c>
      <c r="L26" t="str">
        <f>IFERROR(__xludf.DUMMYFUNCTION("Ifna(QUERY($A$3:$I$2000, ""select A where B="" &amp; $K26))"),"")</f>
        <v/>
      </c>
      <c r="M26" t="str">
        <f>IFERROR(__xludf.DUMMYFUNCTION("Ifna(QUERY($A$3:$I$2000, ""select A where C="" &amp; $K26))"),"")</f>
        <v/>
      </c>
      <c r="N26" t="str">
        <f>IFERROR(__xludf.DUMMYFUNCTION("Ifna(QUERY($A$3:$I$2000, ""select A where D="" &amp; $K26))"),"")</f>
        <v/>
      </c>
      <c r="O26" t="str">
        <f>IFERROR(__xludf.DUMMYFUNCTION("Ifna(QUERY($A$3:$I$2000, ""select A where E="" &amp; $K26))"),"")</f>
        <v/>
      </c>
      <c r="P26">
        <f>IFERROR(__xludf.DUMMYFUNCTION("Ifna(QUERY($A$3:$I$2000, ""select A where F="" &amp; $K26))"),4.0)</f>
        <v>4</v>
      </c>
      <c r="Q26">
        <f>IFERROR(__xludf.DUMMYFUNCTION("Ifna(QUERY($A$3:$I$2000, ""select A where G="" &amp; $K26))"),15.0)</f>
        <v>15</v>
      </c>
      <c r="R26" t="str">
        <f>IFERROR(__xludf.DUMMYFUNCTION("Ifna(QUERY($A$3:$I$2000, ""select A where H="" &amp; $K26))"),"")</f>
        <v/>
      </c>
      <c r="S26" t="str">
        <f>IFERROR(__xludf.DUMMYFUNCTION("Ifna(QUERY($A$3:$I$2000, ""select A where I="" &amp; $K26))"),"")</f>
        <v/>
      </c>
      <c r="U26">
        <f t="shared" ref="U26:AB26" si="24">$A26*B26</f>
        <v>0</v>
      </c>
      <c r="V26">
        <f t="shared" si="24"/>
        <v>0</v>
      </c>
      <c r="W26">
        <f t="shared" si="24"/>
        <v>0</v>
      </c>
      <c r="X26">
        <f t="shared" si="24"/>
        <v>0</v>
      </c>
      <c r="Y26">
        <f t="shared" si="24"/>
        <v>0</v>
      </c>
      <c r="Z26">
        <f t="shared" si="24"/>
        <v>0</v>
      </c>
      <c r="AA26">
        <f t="shared" si="24"/>
        <v>1032</v>
      </c>
      <c r="AB26">
        <f t="shared" si="24"/>
        <v>2760</v>
      </c>
    </row>
    <row r="27">
      <c r="A27" s="27">
        <v>25.0</v>
      </c>
      <c r="H27">
        <v>41.0</v>
      </c>
      <c r="I27" s="1">
        <v>111.0</v>
      </c>
      <c r="K27" s="2">
        <v>25.0</v>
      </c>
      <c r="L27" t="str">
        <f>IFERROR(__xludf.DUMMYFUNCTION("Ifna(QUERY($A$3:$I$2000, ""select A where B="" &amp; $K27))"),"")</f>
        <v/>
      </c>
      <c r="M27" t="str">
        <f>IFERROR(__xludf.DUMMYFUNCTION("Ifna(QUERY($A$3:$I$2000, ""select A where C="" &amp; $K27))"),"")</f>
        <v/>
      </c>
      <c r="N27" t="str">
        <f>IFERROR(__xludf.DUMMYFUNCTION("Ifna(QUERY($A$3:$I$2000, ""select A where D="" &amp; $K27))"),"")</f>
        <v/>
      </c>
      <c r="O27" t="str">
        <f>IFERROR(__xludf.DUMMYFUNCTION("Ifna(QUERY($A$3:$I$2000, ""select A where E="" &amp; $K27))"),"")</f>
        <v/>
      </c>
      <c r="P27" t="str">
        <f>IFERROR(__xludf.DUMMYFUNCTION("Ifna(QUERY($A$3:$I$2000, ""select A where F="" &amp; $K27))"),"")</f>
        <v/>
      </c>
      <c r="Q27">
        <f>IFERROR(__xludf.DUMMYFUNCTION("Ifna(QUERY($A$3:$I$2000, ""select A where G="" &amp; $K27))"),14.0)</f>
        <v>14</v>
      </c>
      <c r="R27" t="str">
        <f>IFERROR(__xludf.DUMMYFUNCTION("Ifna(QUERY($A$3:$I$2000, ""select A where H="" &amp; $K27))"),"")</f>
        <v/>
      </c>
      <c r="S27" t="str">
        <f>IFERROR(__xludf.DUMMYFUNCTION("Ifna(QUERY($A$3:$I$2000, ""select A where I="" &amp; $K27))"),"")</f>
        <v/>
      </c>
      <c r="U27">
        <f t="shared" ref="U27:AB27" si="25">$A27*B27</f>
        <v>0</v>
      </c>
      <c r="V27">
        <f t="shared" si="25"/>
        <v>0</v>
      </c>
      <c r="W27">
        <f t="shared" si="25"/>
        <v>0</v>
      </c>
      <c r="X27">
        <f t="shared" si="25"/>
        <v>0</v>
      </c>
      <c r="Y27">
        <f t="shared" si="25"/>
        <v>0</v>
      </c>
      <c r="Z27">
        <f t="shared" si="25"/>
        <v>0</v>
      </c>
      <c r="AA27">
        <f t="shared" si="25"/>
        <v>1025</v>
      </c>
      <c r="AB27">
        <f t="shared" si="25"/>
        <v>2775</v>
      </c>
    </row>
    <row r="28">
      <c r="A28" s="27">
        <v>26.0</v>
      </c>
      <c r="H28">
        <v>40.0</v>
      </c>
      <c r="I28" s="1">
        <v>108.0</v>
      </c>
      <c r="K28" s="2">
        <v>26.0</v>
      </c>
      <c r="L28" t="str">
        <f>IFERROR(__xludf.DUMMYFUNCTION("Ifna(QUERY($A$3:$I$2000, ""select A where B="" &amp; $K28))"),"")</f>
        <v/>
      </c>
      <c r="M28" t="str">
        <f>IFERROR(__xludf.DUMMYFUNCTION("Ifna(QUERY($A$3:$I$2000, ""select A where C="" &amp; $K28))"),"")</f>
        <v/>
      </c>
      <c r="N28" t="str">
        <f>IFERROR(__xludf.DUMMYFUNCTION("Ifna(QUERY($A$3:$I$2000, ""select A where D="" &amp; $K28))"),"")</f>
        <v/>
      </c>
      <c r="O28" t="str">
        <f>IFERROR(__xludf.DUMMYFUNCTION("Ifna(QUERY($A$3:$I$2000, ""select A where E="" &amp; $K28))"),"")</f>
        <v/>
      </c>
      <c r="P28" t="str">
        <f>IFERROR(__xludf.DUMMYFUNCTION("Ifna(QUERY($A$3:$I$2000, ""select A where F="" &amp; $K28))"),"")</f>
        <v/>
      </c>
      <c r="Q28" t="str">
        <f>IFERROR(__xludf.DUMMYFUNCTION("Ifna(QUERY($A$3:$I$2000, ""select A where G="" &amp; $K28))"),"")</f>
        <v/>
      </c>
      <c r="R28" t="str">
        <f>IFERROR(__xludf.DUMMYFUNCTION("Ifna(QUERY($A$3:$I$2000, ""select A where H="" &amp; $K28))"),"")</f>
        <v/>
      </c>
      <c r="S28" t="str">
        <f>IFERROR(__xludf.DUMMYFUNCTION("Ifna(QUERY($A$3:$I$2000, ""select A where I="" &amp; $K28))"),"")</f>
        <v/>
      </c>
      <c r="U28">
        <f t="shared" ref="U28:AB28" si="26">$A28*B28</f>
        <v>0</v>
      </c>
      <c r="V28">
        <f t="shared" si="26"/>
        <v>0</v>
      </c>
      <c r="W28">
        <f t="shared" si="26"/>
        <v>0</v>
      </c>
      <c r="X28">
        <f t="shared" si="26"/>
        <v>0</v>
      </c>
      <c r="Y28">
        <f t="shared" si="26"/>
        <v>0</v>
      </c>
      <c r="Z28">
        <f t="shared" si="26"/>
        <v>0</v>
      </c>
      <c r="AA28">
        <f t="shared" si="26"/>
        <v>1040</v>
      </c>
      <c r="AB28">
        <f t="shared" si="26"/>
        <v>2808</v>
      </c>
    </row>
    <row r="29">
      <c r="A29" s="27">
        <v>27.0</v>
      </c>
      <c r="H29">
        <v>38.0</v>
      </c>
      <c r="I29" s="1">
        <v>105.0</v>
      </c>
      <c r="K29" s="2">
        <v>27.0</v>
      </c>
      <c r="L29" t="str">
        <f>IFERROR(__xludf.DUMMYFUNCTION("Ifna(QUERY($A$3:$I$2000, ""select A where B="" &amp; $K29))"),"")</f>
        <v/>
      </c>
      <c r="M29" t="str">
        <f>IFERROR(__xludf.DUMMYFUNCTION("Ifna(QUERY($A$3:$I$2000, ""select A where C="" &amp; $K29))"),"")</f>
        <v/>
      </c>
      <c r="N29" t="str">
        <f>IFERROR(__xludf.DUMMYFUNCTION("Ifna(QUERY($A$3:$I$2000, ""select A where D="" &amp; $K29))"),"")</f>
        <v/>
      </c>
      <c r="O29" t="str">
        <f>IFERROR(__xludf.DUMMYFUNCTION("Ifna(QUERY($A$3:$I$2000, ""select A where E="" &amp; $K29))"),"")</f>
        <v/>
      </c>
      <c r="P29">
        <f>IFERROR(__xludf.DUMMYFUNCTION("Ifna(QUERY($A$3:$I$2000, ""select A where F="" &amp; $K29))"),3.0)</f>
        <v>3</v>
      </c>
      <c r="Q29">
        <f>IFERROR(__xludf.DUMMYFUNCTION("Ifna(QUERY($A$3:$I$2000, ""select A where G="" &amp; $K29))"),13.0)</f>
        <v>13</v>
      </c>
      <c r="R29" t="str">
        <f>IFERROR(__xludf.DUMMYFUNCTION("Ifna(QUERY($A$3:$I$2000, ""select A where H="" &amp; $K29))"),"")</f>
        <v/>
      </c>
      <c r="S29" t="str">
        <f>IFERROR(__xludf.DUMMYFUNCTION("Ifna(QUERY($A$3:$I$2000, ""select A where I="" &amp; $K29))"),"")</f>
        <v/>
      </c>
      <c r="U29">
        <f t="shared" ref="U29:AB29" si="27">$A29*B29</f>
        <v>0</v>
      </c>
      <c r="V29">
        <f t="shared" si="27"/>
        <v>0</v>
      </c>
      <c r="W29">
        <f t="shared" si="27"/>
        <v>0</v>
      </c>
      <c r="X29">
        <f t="shared" si="27"/>
        <v>0</v>
      </c>
      <c r="Y29">
        <f t="shared" si="27"/>
        <v>0</v>
      </c>
      <c r="Z29">
        <f t="shared" si="27"/>
        <v>0</v>
      </c>
      <c r="AA29">
        <f t="shared" si="27"/>
        <v>1026</v>
      </c>
      <c r="AB29">
        <f t="shared" si="27"/>
        <v>2835</v>
      </c>
    </row>
    <row r="30">
      <c r="A30" s="27">
        <v>28.0</v>
      </c>
      <c r="H30">
        <v>37.0</v>
      </c>
      <c r="I30" s="1">
        <v>102.0</v>
      </c>
      <c r="K30" s="2">
        <v>28.0</v>
      </c>
      <c r="L30" t="str">
        <f>IFERROR(__xludf.DUMMYFUNCTION("Ifna(QUERY($A$3:$I$2000, ""select A where B="" &amp; $K30))"),"")</f>
        <v/>
      </c>
      <c r="M30" t="str">
        <f>IFERROR(__xludf.DUMMYFUNCTION("Ifna(QUERY($A$3:$I$2000, ""select A where C="" &amp; $K30))"),"")</f>
        <v/>
      </c>
      <c r="N30" t="str">
        <f>IFERROR(__xludf.DUMMYFUNCTION("Ifna(QUERY($A$3:$I$2000, ""select A where D="" &amp; $K30))"),"")</f>
        <v/>
      </c>
      <c r="O30" t="str">
        <f>IFERROR(__xludf.DUMMYFUNCTION("Ifna(QUERY($A$3:$I$2000, ""select A where E="" &amp; $K30))"),"")</f>
        <v/>
      </c>
      <c r="P30" t="str">
        <f>IFERROR(__xludf.DUMMYFUNCTION("Ifna(QUERY($A$3:$I$2000, ""select A where F="" &amp; $K30))"),"")</f>
        <v/>
      </c>
      <c r="Q30" t="str">
        <f>IFERROR(__xludf.DUMMYFUNCTION("Ifna(QUERY($A$3:$I$2000, ""select A where G="" &amp; $K30))"),"")</f>
        <v/>
      </c>
      <c r="R30" t="str">
        <f>IFERROR(__xludf.DUMMYFUNCTION("Ifna(QUERY($A$3:$I$2000, ""select A where H="" &amp; $K30))"),"")</f>
        <v/>
      </c>
      <c r="S30" t="str">
        <f>IFERROR(__xludf.DUMMYFUNCTION("Ifna(QUERY($A$3:$I$2000, ""select A where I="" &amp; $K30))"),"")</f>
        <v/>
      </c>
      <c r="U30">
        <f t="shared" ref="U30:AB30" si="28">$A30*B30</f>
        <v>0</v>
      </c>
      <c r="V30">
        <f t="shared" si="28"/>
        <v>0</v>
      </c>
      <c r="W30">
        <f t="shared" si="28"/>
        <v>0</v>
      </c>
      <c r="X30">
        <f t="shared" si="28"/>
        <v>0</v>
      </c>
      <c r="Y30">
        <f t="shared" si="28"/>
        <v>0</v>
      </c>
      <c r="Z30">
        <f t="shared" si="28"/>
        <v>0</v>
      </c>
      <c r="AA30">
        <f t="shared" si="28"/>
        <v>1036</v>
      </c>
      <c r="AB30">
        <f t="shared" si="28"/>
        <v>2856</v>
      </c>
    </row>
    <row r="31">
      <c r="A31" s="27">
        <v>29.0</v>
      </c>
      <c r="H31">
        <v>36.0</v>
      </c>
      <c r="I31" s="1">
        <v>100.0</v>
      </c>
      <c r="K31" s="2">
        <v>29.0</v>
      </c>
      <c r="L31" t="str">
        <f>IFERROR(__xludf.DUMMYFUNCTION("Ifna(QUERY($A$3:$I$2000, ""select A where B="" &amp; $K31))"),"")</f>
        <v/>
      </c>
      <c r="M31" t="str">
        <f>IFERROR(__xludf.DUMMYFUNCTION("Ifna(QUERY($A$3:$I$2000, ""select A where C="" &amp; $K31))"),"")</f>
        <v/>
      </c>
      <c r="N31" t="str">
        <f>IFERROR(__xludf.DUMMYFUNCTION("Ifna(QUERY($A$3:$I$2000, ""select A where D="" &amp; $K31))"),"")</f>
        <v/>
      </c>
      <c r="O31" t="str">
        <f>IFERROR(__xludf.DUMMYFUNCTION("Ifna(QUERY($A$3:$I$2000, ""select A where E="" &amp; $K31))"),"")</f>
        <v/>
      </c>
      <c r="P31" t="str">
        <f>IFERROR(__xludf.DUMMYFUNCTION("Ifna(QUERY($A$3:$I$2000, ""select A where F="" &amp; $K31))"),"")</f>
        <v/>
      </c>
      <c r="Q31">
        <f>IFERROR(__xludf.DUMMYFUNCTION("Ifna(QUERY($A$3:$I$2000, ""select A where G="" &amp; $K31))"),12.0)</f>
        <v>12</v>
      </c>
      <c r="R31" t="str">
        <f>IFERROR(__xludf.DUMMYFUNCTION("Ifna(QUERY($A$3:$I$2000, ""select A where H="" &amp; $K31))"),"")</f>
        <v/>
      </c>
      <c r="S31" t="str">
        <f>IFERROR(__xludf.DUMMYFUNCTION("Ifna(QUERY($A$3:$I$2000, ""select A where I="" &amp; $K31))"),"")</f>
        <v/>
      </c>
      <c r="U31">
        <f t="shared" ref="U31:AB31" si="29">$A31*B31</f>
        <v>0</v>
      </c>
      <c r="V31">
        <f t="shared" si="29"/>
        <v>0</v>
      </c>
      <c r="W31">
        <f t="shared" si="29"/>
        <v>0</v>
      </c>
      <c r="X31">
        <f t="shared" si="29"/>
        <v>0</v>
      </c>
      <c r="Y31">
        <f t="shared" si="29"/>
        <v>0</v>
      </c>
      <c r="Z31">
        <f t="shared" si="29"/>
        <v>0</v>
      </c>
      <c r="AA31">
        <f t="shared" si="29"/>
        <v>1044</v>
      </c>
      <c r="AB31">
        <f t="shared" si="29"/>
        <v>2900</v>
      </c>
    </row>
    <row r="32">
      <c r="A32" s="27">
        <v>30.0</v>
      </c>
      <c r="H32">
        <v>35.0</v>
      </c>
      <c r="I32" s="1">
        <v>97.0</v>
      </c>
      <c r="K32" s="2">
        <v>30.0</v>
      </c>
      <c r="L32" t="str">
        <f>IFERROR(__xludf.DUMMYFUNCTION("Ifna(QUERY($A$3:$I$2000, ""select A where B="" &amp; $K32))"),"")</f>
        <v/>
      </c>
      <c r="M32" t="str">
        <f>IFERROR(__xludf.DUMMYFUNCTION("Ifna(QUERY($A$3:$I$2000, ""select A where C="" &amp; $K32))"),"")</f>
        <v/>
      </c>
      <c r="N32" t="str">
        <f>IFERROR(__xludf.DUMMYFUNCTION("Ifna(QUERY($A$3:$I$2000, ""select A where D="" &amp; $K32))"),"")</f>
        <v/>
      </c>
      <c r="O32" t="str">
        <f>IFERROR(__xludf.DUMMYFUNCTION("Ifna(QUERY($A$3:$I$2000, ""select A where E="" &amp; $K32))"),"")</f>
        <v/>
      </c>
      <c r="P32" t="str">
        <f>IFERROR(__xludf.DUMMYFUNCTION("Ifna(QUERY($A$3:$I$2000, ""select A where F="" &amp; $K32))"),"")</f>
        <v/>
      </c>
      <c r="Q32" t="str">
        <f>IFERROR(__xludf.DUMMYFUNCTION("Ifna(QUERY($A$3:$I$2000, ""select A where G="" &amp; $K32))"),"")</f>
        <v/>
      </c>
      <c r="R32" t="str">
        <f>IFERROR(__xludf.DUMMYFUNCTION("Ifna(QUERY($A$3:$I$2000, ""select A where H="" &amp; $K32))"),"")</f>
        <v/>
      </c>
      <c r="S32" t="str">
        <f>IFERROR(__xludf.DUMMYFUNCTION("Ifna(QUERY($A$3:$I$2000, ""select A where I="" &amp; $K32))"),"")</f>
        <v/>
      </c>
      <c r="U32">
        <f t="shared" ref="U32:AB32" si="30">$A32*B32</f>
        <v>0</v>
      </c>
      <c r="V32">
        <f t="shared" si="30"/>
        <v>0</v>
      </c>
      <c r="W32">
        <f t="shared" si="30"/>
        <v>0</v>
      </c>
      <c r="X32">
        <f t="shared" si="30"/>
        <v>0</v>
      </c>
      <c r="Y32">
        <f t="shared" si="30"/>
        <v>0</v>
      </c>
      <c r="Z32">
        <f t="shared" si="30"/>
        <v>0</v>
      </c>
      <c r="AA32">
        <f t="shared" si="30"/>
        <v>1050</v>
      </c>
      <c r="AB32">
        <f t="shared" si="30"/>
        <v>2910</v>
      </c>
    </row>
    <row r="33">
      <c r="A33" s="27">
        <v>31.0</v>
      </c>
      <c r="H33">
        <v>34.0</v>
      </c>
      <c r="I33" s="1">
        <v>94.0</v>
      </c>
      <c r="K33" s="2">
        <v>31.0</v>
      </c>
      <c r="L33" t="str">
        <f>IFERROR(__xludf.DUMMYFUNCTION("Ifna(QUERY($A$3:$I$2000, ""select A where B="" &amp; $K33))"),"")</f>
        <v/>
      </c>
      <c r="M33" t="str">
        <f>IFERROR(__xludf.DUMMYFUNCTION("Ifna(QUERY($A$3:$I$2000, ""select A where C="" &amp; $K33))"),"")</f>
        <v/>
      </c>
      <c r="N33" t="str">
        <f>IFERROR(__xludf.DUMMYFUNCTION("Ifna(QUERY($A$3:$I$2000, ""select A where D="" &amp; $K33))"),"")</f>
        <v/>
      </c>
      <c r="O33" t="str">
        <f>IFERROR(__xludf.DUMMYFUNCTION("Ifna(QUERY($A$3:$I$2000, ""select A where E="" &amp; $K33))"),"")</f>
        <v/>
      </c>
      <c r="P33">
        <f>IFERROR(__xludf.DUMMYFUNCTION("Ifna(QUERY($A$3:$I$2000, ""select A where F="" &amp; $K33))"),2.0)</f>
        <v>2</v>
      </c>
      <c r="Q33">
        <f>IFERROR(__xludf.DUMMYFUNCTION("Ifna(QUERY($A$3:$I$2000, ""select A where G="" &amp; $K33))"),11.0)</f>
        <v>11</v>
      </c>
      <c r="R33" t="str">
        <f>IFERROR(__xludf.DUMMYFUNCTION("Ifna(QUERY($A$3:$I$2000, ""select A where H="" &amp; $K33))"),"")</f>
        <v/>
      </c>
      <c r="S33" t="str">
        <f>IFERROR(__xludf.DUMMYFUNCTION("Ifna(QUERY($A$3:$I$2000, ""select A where I="" &amp; $K33))"),"")</f>
        <v/>
      </c>
      <c r="U33">
        <f t="shared" ref="U33:AB33" si="31">$A33*B33</f>
        <v>0</v>
      </c>
      <c r="V33">
        <f t="shared" si="31"/>
        <v>0</v>
      </c>
      <c r="W33">
        <f t="shared" si="31"/>
        <v>0</v>
      </c>
      <c r="X33">
        <f t="shared" si="31"/>
        <v>0</v>
      </c>
      <c r="Y33">
        <f t="shared" si="31"/>
        <v>0</v>
      </c>
      <c r="Z33">
        <f t="shared" si="31"/>
        <v>0</v>
      </c>
      <c r="AA33">
        <f t="shared" si="31"/>
        <v>1054</v>
      </c>
      <c r="AB33">
        <f t="shared" si="31"/>
        <v>2914</v>
      </c>
    </row>
    <row r="34">
      <c r="A34" s="28">
        <v>32.0</v>
      </c>
      <c r="H34" s="24">
        <v>33.0</v>
      </c>
      <c r="I34" s="1">
        <v>92.0</v>
      </c>
      <c r="K34" s="2">
        <v>32.0</v>
      </c>
      <c r="L34" t="str">
        <f>IFERROR(__xludf.DUMMYFUNCTION("Ifna(QUERY($A$3:$I$2000, ""select A where B="" &amp; $K34))"),"")</f>
        <v/>
      </c>
      <c r="M34" t="str">
        <f>IFERROR(__xludf.DUMMYFUNCTION("Ifna(QUERY($A$3:$I$2000, ""select A where C="" &amp; $K34))"),"")</f>
        <v/>
      </c>
      <c r="N34" t="str">
        <f>IFERROR(__xludf.DUMMYFUNCTION("Ifna(QUERY($A$3:$I$2000, ""select A where D="" &amp; $K34))"),"")</f>
        <v/>
      </c>
      <c r="O34" t="str">
        <f>IFERROR(__xludf.DUMMYFUNCTION("Ifna(QUERY($A$3:$I$2000, ""select A where E="" &amp; $K34))"),"")</f>
        <v/>
      </c>
      <c r="P34">
        <f>IFERROR(__xludf.DUMMYFUNCTION("Ifna(QUERY($A$3:$I$2000, ""select A where F="" &amp; $K34))"),1.0)</f>
        <v>1</v>
      </c>
      <c r="Q34" t="str">
        <f>IFERROR(__xludf.DUMMYFUNCTION("Ifna(QUERY($A$3:$I$2000, ""select A where G="" &amp; $K34))"),"")</f>
        <v/>
      </c>
      <c r="R34" t="str">
        <f>IFERROR(__xludf.DUMMYFUNCTION("Ifna(QUERY($A$3:$I$2000, ""select A where H="" &amp; $K34))"),"")</f>
        <v/>
      </c>
      <c r="S34" t="str">
        <f>IFERROR(__xludf.DUMMYFUNCTION("Ifna(QUERY($A$3:$I$2000, ""select A where I="" &amp; $K34))"),"")</f>
        <v/>
      </c>
      <c r="U34">
        <f t="shared" ref="U34:AB34" si="32">$A34*B34</f>
        <v>0</v>
      </c>
      <c r="V34">
        <f t="shared" si="32"/>
        <v>0</v>
      </c>
      <c r="W34">
        <f t="shared" si="32"/>
        <v>0</v>
      </c>
      <c r="X34">
        <f t="shared" si="32"/>
        <v>0</v>
      </c>
      <c r="Y34">
        <f t="shared" si="32"/>
        <v>0</v>
      </c>
      <c r="Z34">
        <f t="shared" si="32"/>
        <v>0</v>
      </c>
      <c r="AA34" s="24">
        <f t="shared" si="32"/>
        <v>1056</v>
      </c>
      <c r="AB34">
        <f t="shared" si="32"/>
        <v>2944</v>
      </c>
    </row>
    <row r="35">
      <c r="A35" s="27">
        <v>33.0</v>
      </c>
      <c r="I35" s="1">
        <v>89.0</v>
      </c>
      <c r="K35" s="2">
        <v>33.0</v>
      </c>
      <c r="L35" t="str">
        <f>IFERROR(__xludf.DUMMYFUNCTION("Ifna(QUERY($A$3:$I$2000, ""select A where B="" &amp; $K35))"),"")</f>
        <v/>
      </c>
      <c r="M35" t="str">
        <f>IFERROR(__xludf.DUMMYFUNCTION("Ifna(QUERY($A$3:$I$2000, ""select A where C="" &amp; $K35))"),"")</f>
        <v/>
      </c>
      <c r="N35" t="str">
        <f>IFERROR(__xludf.DUMMYFUNCTION("Ifna(QUERY($A$3:$I$2000, ""select A where D="" &amp; $K35))"),"")</f>
        <v/>
      </c>
      <c r="O35" t="str">
        <f>IFERROR(__xludf.DUMMYFUNCTION("Ifna(QUERY($A$3:$I$2000, ""select A where E="" &amp; $K35))"),"")</f>
        <v/>
      </c>
      <c r="P35" t="str">
        <f>IFERROR(__xludf.DUMMYFUNCTION("Ifna(QUERY($A$3:$I$2000, ""select A where F="" &amp; $K35))"),"")</f>
        <v/>
      </c>
      <c r="Q35">
        <f>IFERROR(__xludf.DUMMYFUNCTION("Ifna(QUERY($A$3:$I$2000, ""select A where G="" &amp; $K35))"),10.0)</f>
        <v>10</v>
      </c>
      <c r="R35">
        <f>IFERROR(__xludf.DUMMYFUNCTION("Ifna(QUERY($A$3:$I$2000, ""select A where H="" &amp; $K35))"),32.0)</f>
        <v>32</v>
      </c>
      <c r="S35" t="str">
        <f>IFERROR(__xludf.DUMMYFUNCTION("Ifna(QUERY($A$3:$I$2000, ""select A where I="" &amp; $K35))"),"")</f>
        <v/>
      </c>
      <c r="U35">
        <f t="shared" ref="U35:AB35" si="33">$A35*B35</f>
        <v>0</v>
      </c>
      <c r="V35">
        <f t="shared" si="33"/>
        <v>0</v>
      </c>
      <c r="W35">
        <f t="shared" si="33"/>
        <v>0</v>
      </c>
      <c r="X35">
        <f t="shared" si="33"/>
        <v>0</v>
      </c>
      <c r="Y35">
        <f t="shared" si="33"/>
        <v>0</v>
      </c>
      <c r="Z35">
        <f t="shared" si="33"/>
        <v>0</v>
      </c>
      <c r="AA35">
        <f t="shared" si="33"/>
        <v>0</v>
      </c>
      <c r="AB35">
        <f t="shared" si="33"/>
        <v>2937</v>
      </c>
    </row>
    <row r="36">
      <c r="A36" s="27">
        <v>34.0</v>
      </c>
      <c r="I36" s="1">
        <v>87.0</v>
      </c>
      <c r="K36" s="2">
        <v>34.0</v>
      </c>
      <c r="L36" t="str">
        <f>IFERROR(__xludf.DUMMYFUNCTION("Ifna(QUERY($A$3:$I$2000, ""select A where B="" &amp; $K36))"),"")</f>
        <v/>
      </c>
      <c r="M36" t="str">
        <f>IFERROR(__xludf.DUMMYFUNCTION("Ifna(QUERY($A$3:$I$2000, ""select A where C="" &amp; $K36))"),"")</f>
        <v/>
      </c>
      <c r="N36" t="str">
        <f>IFERROR(__xludf.DUMMYFUNCTION("Ifna(QUERY($A$3:$I$2000, ""select A where D="" &amp; $K36))"),"")</f>
        <v/>
      </c>
      <c r="O36" t="str">
        <f>IFERROR(__xludf.DUMMYFUNCTION("Ifna(QUERY($A$3:$I$2000, ""select A where E="" &amp; $K36))"),"")</f>
        <v/>
      </c>
      <c r="P36" t="str">
        <f>IFERROR(__xludf.DUMMYFUNCTION("Ifna(QUERY($A$3:$I$2000, ""select A where F="" &amp; $K36))"),"")</f>
        <v/>
      </c>
      <c r="Q36" t="str">
        <f>IFERROR(__xludf.DUMMYFUNCTION("Ifna(QUERY($A$3:$I$2000, ""select A where G="" &amp; $K36))"),"")</f>
        <v/>
      </c>
      <c r="R36">
        <f>IFERROR(__xludf.DUMMYFUNCTION("Ifna(QUERY($A$3:$I$2000, ""select A where H="" &amp; $K36))"),31.0)</f>
        <v>31</v>
      </c>
      <c r="S36" t="str">
        <f>IFERROR(__xludf.DUMMYFUNCTION("Ifna(QUERY($A$3:$I$2000, ""select A where I="" &amp; $K36))"),"")</f>
        <v/>
      </c>
      <c r="U36">
        <f t="shared" ref="U36:AB36" si="34">$A36*B36</f>
        <v>0</v>
      </c>
      <c r="V36">
        <f t="shared" si="34"/>
        <v>0</v>
      </c>
      <c r="W36">
        <f t="shared" si="34"/>
        <v>0</v>
      </c>
      <c r="X36">
        <f t="shared" si="34"/>
        <v>0</v>
      </c>
      <c r="Y36">
        <f t="shared" si="34"/>
        <v>0</v>
      </c>
      <c r="Z36">
        <f t="shared" si="34"/>
        <v>0</v>
      </c>
      <c r="AA36">
        <f t="shared" si="34"/>
        <v>0</v>
      </c>
      <c r="AB36">
        <f t="shared" si="34"/>
        <v>2958</v>
      </c>
    </row>
    <row r="37">
      <c r="A37" s="27">
        <v>35.0</v>
      </c>
      <c r="I37" s="1">
        <v>85.0</v>
      </c>
      <c r="K37" s="2">
        <v>35.0</v>
      </c>
      <c r="L37" t="str">
        <f>IFERROR(__xludf.DUMMYFUNCTION("Ifna(QUERY($A$3:$I$2000, ""select A where B="" &amp; $K37))"),"")</f>
        <v/>
      </c>
      <c r="M37" t="str">
        <f>IFERROR(__xludf.DUMMYFUNCTION("Ifna(QUERY($A$3:$I$2000, ""select A where C="" &amp; $K37))"),"")</f>
        <v/>
      </c>
      <c r="N37" t="str">
        <f>IFERROR(__xludf.DUMMYFUNCTION("Ifna(QUERY($A$3:$I$2000, ""select A where D="" &amp; $K37))"),"")</f>
        <v/>
      </c>
      <c r="O37" t="str">
        <f>IFERROR(__xludf.DUMMYFUNCTION("Ifna(QUERY($A$3:$I$2000, ""select A where E="" &amp; $K37))"),"")</f>
        <v/>
      </c>
      <c r="P37" t="str">
        <f>IFERROR(__xludf.DUMMYFUNCTION("Ifna(QUERY($A$3:$I$2000, ""select A where F="" &amp; $K37))"),"")</f>
        <v/>
      </c>
      <c r="Q37" t="str">
        <f>IFERROR(__xludf.DUMMYFUNCTION("Ifna(QUERY($A$3:$I$2000, ""select A where G="" &amp; $K37))"),"")</f>
        <v/>
      </c>
      <c r="R37">
        <f>IFERROR(__xludf.DUMMYFUNCTION("Ifna(QUERY($A$3:$I$2000, ""select A where H="" &amp; $K37))"),30.0)</f>
        <v>30</v>
      </c>
      <c r="S37" t="str">
        <f>IFERROR(__xludf.DUMMYFUNCTION("Ifna(QUERY($A$3:$I$2000, ""select A where I="" &amp; $K37))"),"")</f>
        <v/>
      </c>
      <c r="U37">
        <f t="shared" ref="U37:AB37" si="35">$A37*B37</f>
        <v>0</v>
      </c>
      <c r="V37">
        <f t="shared" si="35"/>
        <v>0</v>
      </c>
      <c r="W37">
        <f t="shared" si="35"/>
        <v>0</v>
      </c>
      <c r="X37">
        <f t="shared" si="35"/>
        <v>0</v>
      </c>
      <c r="Y37">
        <f t="shared" si="35"/>
        <v>0</v>
      </c>
      <c r="Z37">
        <f t="shared" si="35"/>
        <v>0</v>
      </c>
      <c r="AA37">
        <f t="shared" si="35"/>
        <v>0</v>
      </c>
      <c r="AB37">
        <f t="shared" si="35"/>
        <v>2975</v>
      </c>
    </row>
    <row r="38">
      <c r="A38" s="27">
        <v>36.0</v>
      </c>
      <c r="I38" s="1">
        <v>83.0</v>
      </c>
      <c r="K38" s="2">
        <v>36.0</v>
      </c>
      <c r="L38" t="str">
        <f>IFERROR(__xludf.DUMMYFUNCTION("Ifna(QUERY($A$3:$I$2000, ""select A where B="" &amp; $K38))"),"")</f>
        <v/>
      </c>
      <c r="M38" t="str">
        <f>IFERROR(__xludf.DUMMYFUNCTION("Ifna(QUERY($A$3:$I$2000, ""select A where C="" &amp; $K38))"),"")</f>
        <v/>
      </c>
      <c r="N38" t="str">
        <f>IFERROR(__xludf.DUMMYFUNCTION("Ifna(QUERY($A$3:$I$2000, ""select A where D="" &amp; $K38))"),"")</f>
        <v/>
      </c>
      <c r="O38" t="str">
        <f>IFERROR(__xludf.DUMMYFUNCTION("Ifna(QUERY($A$3:$I$2000, ""select A where E="" &amp; $K38))"),"")</f>
        <v/>
      </c>
      <c r="P38" t="str">
        <f>IFERROR(__xludf.DUMMYFUNCTION("Ifna(QUERY($A$3:$I$2000, ""select A where F="" &amp; $K38))"),"")</f>
        <v/>
      </c>
      <c r="Q38">
        <f>IFERROR(__xludf.DUMMYFUNCTION("Ifna(QUERY($A$3:$I$2000, ""select A where G="" &amp; $K38))"),9.0)</f>
        <v>9</v>
      </c>
      <c r="R38">
        <f>IFERROR(__xludf.DUMMYFUNCTION("Ifna(QUERY($A$3:$I$2000, ""select A where H="" &amp; $K38))"),29.0)</f>
        <v>29</v>
      </c>
      <c r="S38" t="str">
        <f>IFERROR(__xludf.DUMMYFUNCTION("Ifna(QUERY($A$3:$I$2000, ""select A where I="" &amp; $K38))"),"")</f>
        <v/>
      </c>
      <c r="U38">
        <f t="shared" ref="U38:AB38" si="36">$A38*B38</f>
        <v>0</v>
      </c>
      <c r="V38">
        <f t="shared" si="36"/>
        <v>0</v>
      </c>
      <c r="W38">
        <f t="shared" si="36"/>
        <v>0</v>
      </c>
      <c r="X38">
        <f t="shared" si="36"/>
        <v>0</v>
      </c>
      <c r="Y38">
        <f t="shared" si="36"/>
        <v>0</v>
      </c>
      <c r="Z38">
        <f t="shared" si="36"/>
        <v>0</v>
      </c>
      <c r="AA38">
        <f t="shared" si="36"/>
        <v>0</v>
      </c>
      <c r="AB38">
        <f t="shared" si="36"/>
        <v>2988</v>
      </c>
    </row>
    <row r="39">
      <c r="A39" s="27">
        <v>37.0</v>
      </c>
      <c r="I39" s="1">
        <v>81.0</v>
      </c>
      <c r="K39" s="2">
        <v>37.0</v>
      </c>
      <c r="L39" t="str">
        <f>IFERROR(__xludf.DUMMYFUNCTION("Ifna(QUERY($A$3:$I$2000, ""select A where B="" &amp; $K39))"),"")</f>
        <v/>
      </c>
      <c r="M39" t="str">
        <f>IFERROR(__xludf.DUMMYFUNCTION("Ifna(QUERY($A$3:$I$2000, ""select A where C="" &amp; $K39))"),"")</f>
        <v/>
      </c>
      <c r="N39" t="str">
        <f>IFERROR(__xludf.DUMMYFUNCTION("Ifna(QUERY($A$3:$I$2000, ""select A where D="" &amp; $K39))"),"")</f>
        <v/>
      </c>
      <c r="O39" t="str">
        <f>IFERROR(__xludf.DUMMYFUNCTION("Ifna(QUERY($A$3:$I$2000, ""select A where E="" &amp; $K39))"),"")</f>
        <v/>
      </c>
      <c r="P39" t="str">
        <f>IFERROR(__xludf.DUMMYFUNCTION("Ifna(QUERY($A$3:$I$2000, ""select A where F="" &amp; $K39))"),"")</f>
        <v/>
      </c>
      <c r="Q39" t="str">
        <f>IFERROR(__xludf.DUMMYFUNCTION("Ifna(QUERY($A$3:$I$2000, ""select A where G="" &amp; $K39))"),"")</f>
        <v/>
      </c>
      <c r="R39">
        <f>IFERROR(__xludf.DUMMYFUNCTION("Ifna(QUERY($A$3:$I$2000, ""select A where H="" &amp; $K39))"),28.0)</f>
        <v>28</v>
      </c>
      <c r="S39" t="str">
        <f>IFERROR(__xludf.DUMMYFUNCTION("Ifna(QUERY($A$3:$I$2000, ""select A where I="" &amp; $K39))"),"")</f>
        <v/>
      </c>
      <c r="U39">
        <f t="shared" ref="U39:AB39" si="37">$A39*B39</f>
        <v>0</v>
      </c>
      <c r="V39">
        <f t="shared" si="37"/>
        <v>0</v>
      </c>
      <c r="W39">
        <f t="shared" si="37"/>
        <v>0</v>
      </c>
      <c r="X39">
        <f t="shared" si="37"/>
        <v>0</v>
      </c>
      <c r="Y39">
        <f t="shared" si="37"/>
        <v>0</v>
      </c>
      <c r="Z39">
        <f t="shared" si="37"/>
        <v>0</v>
      </c>
      <c r="AA39">
        <f t="shared" si="37"/>
        <v>0</v>
      </c>
      <c r="AB39">
        <f t="shared" si="37"/>
        <v>2997</v>
      </c>
    </row>
    <row r="40">
      <c r="A40" s="27">
        <v>38.0</v>
      </c>
      <c r="I40" s="1">
        <v>79.0</v>
      </c>
      <c r="K40" s="2">
        <v>38.0</v>
      </c>
      <c r="L40" t="str">
        <f>IFERROR(__xludf.DUMMYFUNCTION("Ifna(QUERY($A$3:$I$2000, ""select A where B="" &amp; $K40))"),"")</f>
        <v/>
      </c>
      <c r="M40" t="str">
        <f>IFERROR(__xludf.DUMMYFUNCTION("Ifna(QUERY($A$3:$I$2000, ""select A where C="" &amp; $K40))"),"")</f>
        <v/>
      </c>
      <c r="N40" t="str">
        <f>IFERROR(__xludf.DUMMYFUNCTION("Ifna(QUERY($A$3:$I$2000, ""select A where D="" &amp; $K40))"),"")</f>
        <v/>
      </c>
      <c r="O40" t="str">
        <f>IFERROR(__xludf.DUMMYFUNCTION("Ifna(QUERY($A$3:$I$2000, ""select A where E="" &amp; $K40))"),"")</f>
        <v/>
      </c>
      <c r="P40" t="str">
        <f>IFERROR(__xludf.DUMMYFUNCTION("Ifna(QUERY($A$3:$I$2000, ""select A where F="" &amp; $K40))"),"")</f>
        <v/>
      </c>
      <c r="Q40">
        <f>IFERROR(__xludf.DUMMYFUNCTION("Ifna(QUERY($A$3:$I$2000, ""select A where G="" &amp; $K40))"),8.0)</f>
        <v>8</v>
      </c>
      <c r="R40">
        <f>IFERROR(__xludf.DUMMYFUNCTION("Ifna(QUERY($A$3:$I$2000, ""select A where H="" &amp; $K40))"),27.0)</f>
        <v>27</v>
      </c>
      <c r="S40" t="str">
        <f>IFERROR(__xludf.DUMMYFUNCTION("Ifna(QUERY($A$3:$I$2000, ""select A where I="" &amp; $K40))"),"")</f>
        <v/>
      </c>
      <c r="U40">
        <f t="shared" ref="U40:AB40" si="38">$A40*B40</f>
        <v>0</v>
      </c>
      <c r="V40">
        <f t="shared" si="38"/>
        <v>0</v>
      </c>
      <c r="W40">
        <f t="shared" si="38"/>
        <v>0</v>
      </c>
      <c r="X40">
        <f t="shared" si="38"/>
        <v>0</v>
      </c>
      <c r="Y40">
        <f t="shared" si="38"/>
        <v>0</v>
      </c>
      <c r="Z40">
        <f t="shared" si="38"/>
        <v>0</v>
      </c>
      <c r="AA40">
        <f t="shared" si="38"/>
        <v>0</v>
      </c>
      <c r="AB40">
        <f t="shared" si="38"/>
        <v>3002</v>
      </c>
    </row>
    <row r="41">
      <c r="A41" s="27">
        <v>39.0</v>
      </c>
      <c r="I41" s="31">
        <v>77.0</v>
      </c>
      <c r="K41" s="2">
        <v>39.0</v>
      </c>
      <c r="L41" t="str">
        <f>IFERROR(__xludf.DUMMYFUNCTION("Ifna(QUERY($A$3:$I$2000, ""select A where B="" &amp; $K41))"),"")</f>
        <v/>
      </c>
      <c r="M41" t="str">
        <f>IFERROR(__xludf.DUMMYFUNCTION("Ifna(QUERY($A$3:$I$2000, ""select A where C="" &amp; $K41))"),"")</f>
        <v/>
      </c>
      <c r="N41" t="str">
        <f>IFERROR(__xludf.DUMMYFUNCTION("Ifna(QUERY($A$3:$I$2000, ""select A where D="" &amp; $K41))"),"")</f>
        <v/>
      </c>
      <c r="O41" t="str">
        <f>IFERROR(__xludf.DUMMYFUNCTION("Ifna(QUERY($A$3:$I$2000, ""select A where E="" &amp; $K41))"),"")</f>
        <v/>
      </c>
      <c r="P41" t="str">
        <f>IFERROR(__xludf.DUMMYFUNCTION("Ifna(QUERY($A$3:$I$2000, ""select A where F="" &amp; $K41))"),"")</f>
        <v/>
      </c>
      <c r="Q41" t="str">
        <f>IFERROR(__xludf.DUMMYFUNCTION("Ifna(QUERY($A$3:$I$2000, ""select A where G="" &amp; $K41))"),"")</f>
        <v/>
      </c>
      <c r="R41" t="str">
        <f>IFERROR(__xludf.DUMMYFUNCTION("Ifna(QUERY($A$3:$I$2000, ""select A where H="" &amp; $K41))"),"")</f>
        <v/>
      </c>
      <c r="S41" t="str">
        <f>IFERROR(__xludf.DUMMYFUNCTION("Ifna(QUERY($A$3:$I$2000, ""select A where I="" &amp; $K41))"),"")</f>
        <v/>
      </c>
      <c r="U41">
        <f t="shared" ref="U41:AB41" si="39">$A41*B41</f>
        <v>0</v>
      </c>
      <c r="V41">
        <f t="shared" si="39"/>
        <v>0</v>
      </c>
      <c r="W41">
        <f t="shared" si="39"/>
        <v>0</v>
      </c>
      <c r="X41">
        <f t="shared" si="39"/>
        <v>0</v>
      </c>
      <c r="Y41">
        <f t="shared" si="39"/>
        <v>0</v>
      </c>
      <c r="Z41">
        <f t="shared" si="39"/>
        <v>0</v>
      </c>
      <c r="AA41">
        <f t="shared" si="39"/>
        <v>0</v>
      </c>
      <c r="AB41" s="30">
        <f t="shared" si="39"/>
        <v>3003</v>
      </c>
    </row>
    <row r="42">
      <c r="A42" s="27">
        <v>40.0</v>
      </c>
      <c r="I42" s="1">
        <v>76.0</v>
      </c>
      <c r="K42" s="2">
        <v>40.0</v>
      </c>
      <c r="L42" t="str">
        <f>IFERROR(__xludf.DUMMYFUNCTION("Ifna(QUERY($A$3:$I$2000, ""select A where B="" &amp; $K42))"),"")</f>
        <v/>
      </c>
      <c r="M42" t="str">
        <f>IFERROR(__xludf.DUMMYFUNCTION("Ifna(QUERY($A$3:$I$2000, ""select A where C="" &amp; $K42))"),"")</f>
        <v/>
      </c>
      <c r="N42" t="str">
        <f>IFERROR(__xludf.DUMMYFUNCTION("Ifna(QUERY($A$3:$I$2000, ""select A where D="" &amp; $K42))"),"")</f>
        <v/>
      </c>
      <c r="O42" t="str">
        <f>IFERROR(__xludf.DUMMYFUNCTION("Ifna(QUERY($A$3:$I$2000, ""select A where E="" &amp; $K42))"),"")</f>
        <v/>
      </c>
      <c r="P42" t="str">
        <f>IFERROR(__xludf.DUMMYFUNCTION("Ifna(QUERY($A$3:$I$2000, ""select A where F="" &amp; $K42))"),"")</f>
        <v/>
      </c>
      <c r="Q42" t="str">
        <f>IFERROR(__xludf.DUMMYFUNCTION("Ifna(QUERY($A$3:$I$2000, ""select A where G="" &amp; $K42))"),"")</f>
        <v/>
      </c>
      <c r="R42">
        <f>IFERROR(__xludf.DUMMYFUNCTION("Ifna(QUERY($A$3:$I$2000, ""select A where H="" &amp; $K42))"),26.0)</f>
        <v>26</v>
      </c>
      <c r="S42" t="str">
        <f>IFERROR(__xludf.DUMMYFUNCTION("Ifna(QUERY($A$3:$I$2000, ""select A where I="" &amp; $K42))"),"")</f>
        <v/>
      </c>
      <c r="U42">
        <f t="shared" ref="U42:AB42" si="40">$A42*B42</f>
        <v>0</v>
      </c>
      <c r="V42">
        <f t="shared" si="40"/>
        <v>0</v>
      </c>
      <c r="W42">
        <f t="shared" si="40"/>
        <v>0</v>
      </c>
      <c r="X42">
        <f t="shared" si="40"/>
        <v>0</v>
      </c>
      <c r="Y42">
        <f t="shared" si="40"/>
        <v>0</v>
      </c>
      <c r="Z42">
        <f t="shared" si="40"/>
        <v>0</v>
      </c>
      <c r="AA42">
        <f t="shared" si="40"/>
        <v>0</v>
      </c>
      <c r="AB42">
        <f t="shared" si="40"/>
        <v>3040</v>
      </c>
    </row>
    <row r="43">
      <c r="A43" s="27">
        <v>41.0</v>
      </c>
      <c r="I43" s="1">
        <v>74.0</v>
      </c>
      <c r="K43" s="2">
        <v>41.0</v>
      </c>
      <c r="L43" t="str">
        <f>IFERROR(__xludf.DUMMYFUNCTION("Ifna(QUERY($A$3:$I$2000, ""select A where B="" &amp; $K43))"),"")</f>
        <v/>
      </c>
      <c r="M43" t="str">
        <f>IFERROR(__xludf.DUMMYFUNCTION("Ifna(QUERY($A$3:$I$2000, ""select A where C="" &amp; $K43))"),"")</f>
        <v/>
      </c>
      <c r="N43" t="str">
        <f>IFERROR(__xludf.DUMMYFUNCTION("Ifna(QUERY($A$3:$I$2000, ""select A where D="" &amp; $K43))"),"")</f>
        <v/>
      </c>
      <c r="O43" t="str">
        <f>IFERROR(__xludf.DUMMYFUNCTION("Ifna(QUERY($A$3:$I$2000, ""select A where E="" &amp; $K43))"),"")</f>
        <v/>
      </c>
      <c r="P43" t="str">
        <f>IFERROR(__xludf.DUMMYFUNCTION("Ifna(QUERY($A$3:$I$2000, ""select A where F="" &amp; $K43))"),"")</f>
        <v/>
      </c>
      <c r="Q43" t="str">
        <f>IFERROR(__xludf.DUMMYFUNCTION("Ifna(QUERY($A$3:$I$2000, ""select A where G="" &amp; $K43))"),"")</f>
        <v/>
      </c>
      <c r="R43">
        <f>IFERROR(__xludf.DUMMYFUNCTION("Ifna(QUERY($A$3:$I$2000, ""select A where H="" &amp; $K43))"),25.0)</f>
        <v>25</v>
      </c>
      <c r="S43" t="str">
        <f>IFERROR(__xludf.DUMMYFUNCTION("Ifna(QUERY($A$3:$I$2000, ""select A where I="" &amp; $K43))"),"")</f>
        <v/>
      </c>
      <c r="U43">
        <f t="shared" ref="U43:AB43" si="41">$A43*B43</f>
        <v>0</v>
      </c>
      <c r="V43">
        <f t="shared" si="41"/>
        <v>0</v>
      </c>
      <c r="W43">
        <f t="shared" si="41"/>
        <v>0</v>
      </c>
      <c r="X43">
        <f t="shared" si="41"/>
        <v>0</v>
      </c>
      <c r="Y43">
        <f t="shared" si="41"/>
        <v>0</v>
      </c>
      <c r="Z43">
        <f t="shared" si="41"/>
        <v>0</v>
      </c>
      <c r="AA43">
        <f t="shared" si="41"/>
        <v>0</v>
      </c>
      <c r="AB43">
        <f t="shared" si="41"/>
        <v>3034</v>
      </c>
    </row>
    <row r="44">
      <c r="A44" s="27">
        <v>42.0</v>
      </c>
      <c r="I44" s="1">
        <v>72.0</v>
      </c>
      <c r="K44" s="2">
        <v>42.0</v>
      </c>
      <c r="L44" t="str">
        <f>IFERROR(__xludf.DUMMYFUNCTION("Ifna(QUERY($A$3:$I$2000, ""select A where B="" &amp; $K44))"),"")</f>
        <v/>
      </c>
      <c r="M44" t="str">
        <f>IFERROR(__xludf.DUMMYFUNCTION("Ifna(QUERY($A$3:$I$2000, ""select A where C="" &amp; $K44))"),"")</f>
        <v/>
      </c>
      <c r="N44" t="str">
        <f>IFERROR(__xludf.DUMMYFUNCTION("Ifna(QUERY($A$3:$I$2000, ""select A where D="" &amp; $K44))"),"")</f>
        <v/>
      </c>
      <c r="O44" t="str">
        <f>IFERROR(__xludf.DUMMYFUNCTION("Ifna(QUERY($A$3:$I$2000, ""select A where E="" &amp; $K44))"),"")</f>
        <v/>
      </c>
      <c r="P44" t="str">
        <f>IFERROR(__xludf.DUMMYFUNCTION("Ifna(QUERY($A$3:$I$2000, ""select A where F="" &amp; $K44))"),"")</f>
        <v/>
      </c>
      <c r="Q44">
        <f>IFERROR(__xludf.DUMMYFUNCTION("Ifna(QUERY($A$3:$I$2000, ""select A where G="" &amp; $K44))"),7.0)</f>
        <v>7</v>
      </c>
      <c r="R44" t="str">
        <f>IFERROR(__xludf.DUMMYFUNCTION("Ifna(QUERY($A$3:$I$2000, ""select A where H="" &amp; $K44))"),"")</f>
        <v/>
      </c>
      <c r="S44" t="str">
        <f>IFERROR(__xludf.DUMMYFUNCTION("Ifna(QUERY($A$3:$I$2000, ""select A where I="" &amp; $K44))"),"")</f>
        <v/>
      </c>
      <c r="U44">
        <f t="shared" ref="U44:AB44" si="42">$A44*B44</f>
        <v>0</v>
      </c>
      <c r="V44">
        <f t="shared" si="42"/>
        <v>0</v>
      </c>
      <c r="W44">
        <f t="shared" si="42"/>
        <v>0</v>
      </c>
      <c r="X44">
        <f t="shared" si="42"/>
        <v>0</v>
      </c>
      <c r="Y44">
        <f t="shared" si="42"/>
        <v>0</v>
      </c>
      <c r="Z44">
        <f t="shared" si="42"/>
        <v>0</v>
      </c>
      <c r="AA44">
        <f t="shared" si="42"/>
        <v>0</v>
      </c>
      <c r="AB44">
        <f t="shared" si="42"/>
        <v>3024</v>
      </c>
    </row>
    <row r="45">
      <c r="A45" s="27">
        <v>43.0</v>
      </c>
      <c r="I45" s="1">
        <v>71.0</v>
      </c>
      <c r="K45" s="2">
        <v>43.0</v>
      </c>
      <c r="L45" t="str">
        <f>IFERROR(__xludf.DUMMYFUNCTION("Ifna(QUERY($A$3:$I$2000, ""select A where B="" &amp; $K45))"),"")</f>
        <v/>
      </c>
      <c r="M45" t="str">
        <f>IFERROR(__xludf.DUMMYFUNCTION("Ifna(QUERY($A$3:$I$2000, ""select A where C="" &amp; $K45))"),"")</f>
        <v/>
      </c>
      <c r="N45" t="str">
        <f>IFERROR(__xludf.DUMMYFUNCTION("Ifna(QUERY($A$3:$I$2000, ""select A where D="" &amp; $K45))"),"")</f>
        <v/>
      </c>
      <c r="O45" t="str">
        <f>IFERROR(__xludf.DUMMYFUNCTION("Ifna(QUERY($A$3:$I$2000, ""select A where E="" &amp; $K45))"),"")</f>
        <v/>
      </c>
      <c r="P45" t="str">
        <f>IFERROR(__xludf.DUMMYFUNCTION("Ifna(QUERY($A$3:$I$2000, ""select A where F="" &amp; $K45))"),"")</f>
        <v/>
      </c>
      <c r="Q45" t="str">
        <f>IFERROR(__xludf.DUMMYFUNCTION("Ifna(QUERY($A$3:$I$2000, ""select A where G="" &amp; $K45))"),"")</f>
        <v/>
      </c>
      <c r="R45">
        <f>IFERROR(__xludf.DUMMYFUNCTION("Ifna(QUERY($A$3:$I$2000, ""select A where H="" &amp; $K45))"),24.0)</f>
        <v>24</v>
      </c>
      <c r="S45" t="str">
        <f>IFERROR(__xludf.DUMMYFUNCTION("Ifna(QUERY($A$3:$I$2000, ""select A where I="" &amp; $K45))"),"")</f>
        <v/>
      </c>
      <c r="U45">
        <f t="shared" ref="U45:AB45" si="43">$A45*B45</f>
        <v>0</v>
      </c>
      <c r="V45">
        <f t="shared" si="43"/>
        <v>0</v>
      </c>
      <c r="W45">
        <f t="shared" si="43"/>
        <v>0</v>
      </c>
      <c r="X45">
        <f t="shared" si="43"/>
        <v>0</v>
      </c>
      <c r="Y45">
        <f t="shared" si="43"/>
        <v>0</v>
      </c>
      <c r="Z45">
        <f t="shared" si="43"/>
        <v>0</v>
      </c>
      <c r="AA45">
        <f t="shared" si="43"/>
        <v>0</v>
      </c>
      <c r="AB45">
        <f t="shared" si="43"/>
        <v>3053</v>
      </c>
    </row>
    <row r="46">
      <c r="A46" s="27">
        <v>44.0</v>
      </c>
      <c r="I46" s="1">
        <v>69.0</v>
      </c>
      <c r="K46" s="2">
        <v>44.0</v>
      </c>
      <c r="L46" t="str">
        <f>IFERROR(__xludf.DUMMYFUNCTION("Ifna(QUERY($A$3:$I$2000, ""select A where B="" &amp; $K46))"),"")</f>
        <v/>
      </c>
      <c r="M46" t="str">
        <f>IFERROR(__xludf.DUMMYFUNCTION("Ifna(QUERY($A$3:$I$2000, ""select A where C="" &amp; $K46))"),"")</f>
        <v/>
      </c>
      <c r="N46" t="str">
        <f>IFERROR(__xludf.DUMMYFUNCTION("Ifna(QUERY($A$3:$I$2000, ""select A where D="" &amp; $K46))"),"")</f>
        <v/>
      </c>
      <c r="O46" t="str">
        <f>IFERROR(__xludf.DUMMYFUNCTION("Ifna(QUERY($A$3:$I$2000, ""select A where E="" &amp; $K46))"),"")</f>
        <v/>
      </c>
      <c r="P46" t="str">
        <f>IFERROR(__xludf.DUMMYFUNCTION("Ifna(QUERY($A$3:$I$2000, ""select A where F="" &amp; $K46))"),"")</f>
        <v/>
      </c>
      <c r="Q46" t="str">
        <f>IFERROR(__xludf.DUMMYFUNCTION("Ifna(QUERY($A$3:$I$2000, ""select A where G="" &amp; $K46))"),"")</f>
        <v/>
      </c>
      <c r="R46" t="str">
        <f>IFERROR(__xludf.DUMMYFUNCTION("Ifna(QUERY($A$3:$I$2000, ""select A where H="" &amp; $K46))"),"")</f>
        <v/>
      </c>
      <c r="S46" t="str">
        <f>IFERROR(__xludf.DUMMYFUNCTION("Ifna(QUERY($A$3:$I$2000, ""select A where I="" &amp; $K46))"),"")</f>
        <v/>
      </c>
      <c r="U46">
        <f t="shared" ref="U46:AB46" si="44">$A46*B46</f>
        <v>0</v>
      </c>
      <c r="V46">
        <f t="shared" si="44"/>
        <v>0</v>
      </c>
      <c r="W46">
        <f t="shared" si="44"/>
        <v>0</v>
      </c>
      <c r="X46">
        <f t="shared" si="44"/>
        <v>0</v>
      </c>
      <c r="Y46">
        <f t="shared" si="44"/>
        <v>0</v>
      </c>
      <c r="Z46">
        <f t="shared" si="44"/>
        <v>0</v>
      </c>
      <c r="AA46">
        <f t="shared" si="44"/>
        <v>0</v>
      </c>
      <c r="AB46">
        <f t="shared" si="44"/>
        <v>3036</v>
      </c>
    </row>
    <row r="47">
      <c r="A47" s="27">
        <v>45.0</v>
      </c>
      <c r="I47" s="1">
        <v>68.0</v>
      </c>
      <c r="K47" s="2">
        <v>45.0</v>
      </c>
      <c r="L47" t="str">
        <f>IFERROR(__xludf.DUMMYFUNCTION("Ifna(QUERY($A$3:$I$2000, ""select A where B="" &amp; $K47))"),"")</f>
        <v/>
      </c>
      <c r="M47" t="str">
        <f>IFERROR(__xludf.DUMMYFUNCTION("Ifna(QUERY($A$3:$I$2000, ""select A where C="" &amp; $K47))"),"")</f>
        <v/>
      </c>
      <c r="N47" t="str">
        <f>IFERROR(__xludf.DUMMYFUNCTION("Ifna(QUERY($A$3:$I$2000, ""select A where D="" &amp; $K47))"),"")</f>
        <v/>
      </c>
      <c r="O47" t="str">
        <f>IFERROR(__xludf.DUMMYFUNCTION("Ifna(QUERY($A$3:$I$2000, ""select A where E="" &amp; $K47))"),"")</f>
        <v/>
      </c>
      <c r="P47" t="str">
        <f>IFERROR(__xludf.DUMMYFUNCTION("Ifna(QUERY($A$3:$I$2000, ""select A where F="" &amp; $K47))"),"")</f>
        <v/>
      </c>
      <c r="Q47" t="str">
        <f>IFERROR(__xludf.DUMMYFUNCTION("Ifna(QUERY($A$3:$I$2000, ""select A where G="" &amp; $K47))"),"")</f>
        <v/>
      </c>
      <c r="R47">
        <f>IFERROR(__xludf.DUMMYFUNCTION("Ifna(QUERY($A$3:$I$2000, ""select A where H="" &amp; $K47))"),23.0)</f>
        <v>23</v>
      </c>
      <c r="S47" t="str">
        <f>IFERROR(__xludf.DUMMYFUNCTION("Ifna(QUERY($A$3:$I$2000, ""select A where I="" &amp; $K47))"),"")</f>
        <v/>
      </c>
      <c r="U47">
        <f t="shared" ref="U47:AB47" si="45">$A47*B47</f>
        <v>0</v>
      </c>
      <c r="V47">
        <f t="shared" si="45"/>
        <v>0</v>
      </c>
      <c r="W47">
        <f t="shared" si="45"/>
        <v>0</v>
      </c>
      <c r="X47">
        <f t="shared" si="45"/>
        <v>0</v>
      </c>
      <c r="Y47">
        <f t="shared" si="45"/>
        <v>0</v>
      </c>
      <c r="Z47">
        <f t="shared" si="45"/>
        <v>0</v>
      </c>
      <c r="AA47">
        <f t="shared" si="45"/>
        <v>0</v>
      </c>
      <c r="AB47">
        <f t="shared" si="45"/>
        <v>3060</v>
      </c>
    </row>
    <row r="48">
      <c r="A48" s="27">
        <v>46.0</v>
      </c>
      <c r="I48" s="1">
        <v>66.0</v>
      </c>
      <c r="K48" s="2">
        <v>46.0</v>
      </c>
      <c r="L48" t="str">
        <f>IFERROR(__xludf.DUMMYFUNCTION("Ifna(QUERY($A$3:$I$2000, ""select A where B="" &amp; $K48))"),"")</f>
        <v/>
      </c>
      <c r="M48" t="str">
        <f>IFERROR(__xludf.DUMMYFUNCTION("Ifna(QUERY($A$3:$I$2000, ""select A where C="" &amp; $K48))"),"")</f>
        <v/>
      </c>
      <c r="N48" t="str">
        <f>IFERROR(__xludf.DUMMYFUNCTION("Ifna(QUERY($A$3:$I$2000, ""select A where D="" &amp; $K48))"),"")</f>
        <v/>
      </c>
      <c r="O48" t="str">
        <f>IFERROR(__xludf.DUMMYFUNCTION("Ifna(QUERY($A$3:$I$2000, ""select A where E="" &amp; $K48))"),"")</f>
        <v/>
      </c>
      <c r="P48" t="str">
        <f>IFERROR(__xludf.DUMMYFUNCTION("Ifna(QUERY($A$3:$I$2000, ""select A where F="" &amp; $K48))"),"")</f>
        <v/>
      </c>
      <c r="Q48">
        <f>IFERROR(__xludf.DUMMYFUNCTION("Ifna(QUERY($A$3:$I$2000, ""select A where G="" &amp; $K48))"),6.0)</f>
        <v>6</v>
      </c>
      <c r="R48" t="str">
        <f>IFERROR(__xludf.DUMMYFUNCTION("Ifna(QUERY($A$3:$I$2000, ""select A where H="" &amp; $K48))"),"")</f>
        <v/>
      </c>
      <c r="S48" t="str">
        <f>IFERROR(__xludf.DUMMYFUNCTION("Ifna(QUERY($A$3:$I$2000, ""select A where I="" &amp; $K48))"),"")</f>
        <v/>
      </c>
      <c r="U48">
        <f t="shared" ref="U48:AB48" si="46">$A48*B48</f>
        <v>0</v>
      </c>
      <c r="V48">
        <f t="shared" si="46"/>
        <v>0</v>
      </c>
      <c r="W48">
        <f t="shared" si="46"/>
        <v>0</v>
      </c>
      <c r="X48">
        <f t="shared" si="46"/>
        <v>0</v>
      </c>
      <c r="Y48">
        <f t="shared" si="46"/>
        <v>0</v>
      </c>
      <c r="Z48">
        <f t="shared" si="46"/>
        <v>0</v>
      </c>
      <c r="AA48">
        <f t="shared" si="46"/>
        <v>0</v>
      </c>
      <c r="AB48">
        <f t="shared" si="46"/>
        <v>3036</v>
      </c>
    </row>
    <row r="49">
      <c r="A49" s="27">
        <v>47.0</v>
      </c>
      <c r="I49" s="1">
        <v>65.0</v>
      </c>
      <c r="K49" s="2">
        <v>47.0</v>
      </c>
      <c r="L49" t="str">
        <f>IFERROR(__xludf.DUMMYFUNCTION("Ifna(QUERY($A$3:$I$2000, ""select A where B="" &amp; $K49))"),"")</f>
        <v/>
      </c>
      <c r="M49" t="str">
        <f>IFERROR(__xludf.DUMMYFUNCTION("Ifna(QUERY($A$3:$I$2000, ""select A where C="" &amp; $K49))"),"")</f>
        <v/>
      </c>
      <c r="N49" t="str">
        <f>IFERROR(__xludf.DUMMYFUNCTION("Ifna(QUERY($A$3:$I$2000, ""select A where D="" &amp; $K49))"),"")</f>
        <v/>
      </c>
      <c r="O49" t="str">
        <f>IFERROR(__xludf.DUMMYFUNCTION("Ifna(QUERY($A$3:$I$2000, ""select A where E="" &amp; $K49))"),"")</f>
        <v/>
      </c>
      <c r="P49" t="str">
        <f>IFERROR(__xludf.DUMMYFUNCTION("Ifna(QUERY($A$3:$I$2000, ""select A where F="" &amp; $K49))"),"")</f>
        <v/>
      </c>
      <c r="Q49" t="str">
        <f>IFERROR(__xludf.DUMMYFUNCTION("Ifna(QUERY($A$3:$I$2000, ""select A where G="" &amp; $K49))"),"")</f>
        <v/>
      </c>
      <c r="R49">
        <f>IFERROR(__xludf.DUMMYFUNCTION("Ifna(QUERY($A$3:$I$2000, ""select A where H="" &amp; $K49))"),22.0)</f>
        <v>22</v>
      </c>
      <c r="S49" t="str">
        <f>IFERROR(__xludf.DUMMYFUNCTION("Ifna(QUERY($A$3:$I$2000, ""select A where I="" &amp; $K49))"),"")</f>
        <v/>
      </c>
      <c r="U49">
        <f t="shared" ref="U49:AB49" si="47">$A49*B49</f>
        <v>0</v>
      </c>
      <c r="V49">
        <f t="shared" si="47"/>
        <v>0</v>
      </c>
      <c r="W49">
        <f t="shared" si="47"/>
        <v>0</v>
      </c>
      <c r="X49">
        <f t="shared" si="47"/>
        <v>0</v>
      </c>
      <c r="Y49">
        <f t="shared" si="47"/>
        <v>0</v>
      </c>
      <c r="Z49">
        <f t="shared" si="47"/>
        <v>0</v>
      </c>
      <c r="AA49">
        <f t="shared" si="47"/>
        <v>0</v>
      </c>
      <c r="AB49">
        <f t="shared" si="47"/>
        <v>3055</v>
      </c>
    </row>
    <row r="50">
      <c r="A50" s="27">
        <v>48.0</v>
      </c>
      <c r="I50" s="1">
        <v>64.0</v>
      </c>
      <c r="K50" s="2">
        <v>48.0</v>
      </c>
      <c r="L50" t="str">
        <f>IFERROR(__xludf.DUMMYFUNCTION("Ifna(QUERY($A$3:$I$2000, ""select A where B="" &amp; $K50))"),"")</f>
        <v/>
      </c>
      <c r="M50" t="str">
        <f>IFERROR(__xludf.DUMMYFUNCTION("Ifna(QUERY($A$3:$I$2000, ""select A where C="" &amp; $K50))"),"")</f>
        <v/>
      </c>
      <c r="N50" t="str">
        <f>IFERROR(__xludf.DUMMYFUNCTION("Ifna(QUERY($A$3:$I$2000, ""select A where D="" &amp; $K50))"),"")</f>
        <v/>
      </c>
      <c r="O50" t="str">
        <f>IFERROR(__xludf.DUMMYFUNCTION("Ifna(QUERY($A$3:$I$2000, ""select A where E="" &amp; $K50))"),"")</f>
        <v/>
      </c>
      <c r="P50" t="str">
        <f>IFERROR(__xludf.DUMMYFUNCTION("Ifna(QUERY($A$3:$I$2000, ""select A where F="" &amp; $K50))"),"")</f>
        <v/>
      </c>
      <c r="Q50" t="str">
        <f>IFERROR(__xludf.DUMMYFUNCTION("Ifna(QUERY($A$3:$I$2000, ""select A where G="" &amp; $K50))"),"")</f>
        <v/>
      </c>
      <c r="R50" t="str">
        <f>IFERROR(__xludf.DUMMYFUNCTION("Ifna(QUERY($A$3:$I$2000, ""select A where H="" &amp; $K50))"),"")</f>
        <v/>
      </c>
      <c r="S50" t="str">
        <f>IFERROR(__xludf.DUMMYFUNCTION("Ifna(QUERY($A$3:$I$2000, ""select A where I="" &amp; $K50))"),"")</f>
        <v/>
      </c>
      <c r="U50">
        <f t="shared" ref="U50:AB50" si="48">$A50*B50</f>
        <v>0</v>
      </c>
      <c r="V50">
        <f t="shared" si="48"/>
        <v>0</v>
      </c>
      <c r="W50">
        <f t="shared" si="48"/>
        <v>0</v>
      </c>
      <c r="X50">
        <f t="shared" si="48"/>
        <v>0</v>
      </c>
      <c r="Y50">
        <f t="shared" si="48"/>
        <v>0</v>
      </c>
      <c r="Z50">
        <f t="shared" si="48"/>
        <v>0</v>
      </c>
      <c r="AA50">
        <f t="shared" si="48"/>
        <v>0</v>
      </c>
      <c r="AB50">
        <f t="shared" si="48"/>
        <v>3072</v>
      </c>
    </row>
    <row r="51">
      <c r="A51" s="27">
        <v>49.0</v>
      </c>
      <c r="I51" s="1">
        <v>62.0</v>
      </c>
      <c r="K51" s="2">
        <v>49.0</v>
      </c>
      <c r="L51" t="str">
        <f>IFERROR(__xludf.DUMMYFUNCTION("Ifna(QUERY($A$3:$I$2000, ""select A where B="" &amp; $K51))"),"")</f>
        <v/>
      </c>
      <c r="M51" t="str">
        <f>IFERROR(__xludf.DUMMYFUNCTION("Ifna(QUERY($A$3:$I$2000, ""select A where C="" &amp; $K51))"),"")</f>
        <v/>
      </c>
      <c r="N51" t="str">
        <f>IFERROR(__xludf.DUMMYFUNCTION("Ifna(QUERY($A$3:$I$2000, ""select A where D="" &amp; $K51))"),"")</f>
        <v/>
      </c>
      <c r="O51" t="str">
        <f>IFERROR(__xludf.DUMMYFUNCTION("Ifna(QUERY($A$3:$I$2000, ""select A where E="" &amp; $K51))"),"")</f>
        <v/>
      </c>
      <c r="P51" t="str">
        <f>IFERROR(__xludf.DUMMYFUNCTION("Ifna(QUERY($A$3:$I$2000, ""select A where F="" &amp; $K51))"),"")</f>
        <v/>
      </c>
      <c r="Q51" t="str">
        <f>IFERROR(__xludf.DUMMYFUNCTION("Ifna(QUERY($A$3:$I$2000, ""select A where G="" &amp; $K51))"),"")</f>
        <v/>
      </c>
      <c r="R51">
        <f>IFERROR(__xludf.DUMMYFUNCTION("Ifna(QUERY($A$3:$I$2000, ""select A where H="" &amp; $K51))"),21.0)</f>
        <v>21</v>
      </c>
      <c r="S51" t="str">
        <f>IFERROR(__xludf.DUMMYFUNCTION("Ifna(QUERY($A$3:$I$2000, ""select A where I="" &amp; $K51))"),"")</f>
        <v/>
      </c>
      <c r="U51">
        <f t="shared" ref="U51:AB51" si="49">$A51*B51</f>
        <v>0</v>
      </c>
      <c r="V51">
        <f t="shared" si="49"/>
        <v>0</v>
      </c>
      <c r="W51">
        <f t="shared" si="49"/>
        <v>0</v>
      </c>
      <c r="X51">
        <f t="shared" si="49"/>
        <v>0</v>
      </c>
      <c r="Y51">
        <f t="shared" si="49"/>
        <v>0</v>
      </c>
      <c r="Z51">
        <f t="shared" si="49"/>
        <v>0</v>
      </c>
      <c r="AA51">
        <f t="shared" si="49"/>
        <v>0</v>
      </c>
      <c r="AB51">
        <f t="shared" si="49"/>
        <v>3038</v>
      </c>
    </row>
    <row r="52">
      <c r="A52" s="27">
        <v>50.0</v>
      </c>
      <c r="I52" s="1">
        <v>61.0</v>
      </c>
      <c r="K52" s="2">
        <v>50.0</v>
      </c>
      <c r="L52" t="str">
        <f>IFERROR(__xludf.DUMMYFUNCTION("Ifna(QUERY($A$3:$I$2000, ""select A where B="" &amp; $K52))"),"")</f>
        <v/>
      </c>
      <c r="M52" t="str">
        <f>IFERROR(__xludf.DUMMYFUNCTION("Ifna(QUERY($A$3:$I$2000, ""select A where C="" &amp; $K52))"),"")</f>
        <v/>
      </c>
      <c r="N52" t="str">
        <f>IFERROR(__xludf.DUMMYFUNCTION("Ifna(QUERY($A$3:$I$2000, ""select A where D="" &amp; $K52))"),"")</f>
        <v/>
      </c>
      <c r="O52" t="str">
        <f>IFERROR(__xludf.DUMMYFUNCTION("Ifna(QUERY($A$3:$I$2000, ""select A where E="" &amp; $K52))"),"")</f>
        <v/>
      </c>
      <c r="P52" t="str">
        <f>IFERROR(__xludf.DUMMYFUNCTION("Ifna(QUERY($A$3:$I$2000, ""select A where F="" &amp; $K52))"),"")</f>
        <v/>
      </c>
      <c r="Q52">
        <f>IFERROR(__xludf.DUMMYFUNCTION("Ifna(QUERY($A$3:$I$2000, ""select A where G="" &amp; $K52))"),5.0)</f>
        <v>5</v>
      </c>
      <c r="R52" t="str">
        <f>IFERROR(__xludf.DUMMYFUNCTION("Ifna(QUERY($A$3:$I$2000, ""select A where H="" &amp; $K52))"),"")</f>
        <v/>
      </c>
      <c r="S52" t="str">
        <f>IFERROR(__xludf.DUMMYFUNCTION("Ifna(QUERY($A$3:$I$2000, ""select A where I="" &amp; $K52))"),"")</f>
        <v/>
      </c>
      <c r="U52">
        <f t="shared" ref="U52:AB52" si="50">$A52*B52</f>
        <v>0</v>
      </c>
      <c r="V52">
        <f t="shared" si="50"/>
        <v>0</v>
      </c>
      <c r="W52">
        <f t="shared" si="50"/>
        <v>0</v>
      </c>
      <c r="X52">
        <f t="shared" si="50"/>
        <v>0</v>
      </c>
      <c r="Y52">
        <f t="shared" si="50"/>
        <v>0</v>
      </c>
      <c r="Z52">
        <f t="shared" si="50"/>
        <v>0</v>
      </c>
      <c r="AA52">
        <f t="shared" si="50"/>
        <v>0</v>
      </c>
      <c r="AB52">
        <f t="shared" si="50"/>
        <v>3050</v>
      </c>
    </row>
    <row r="53">
      <c r="A53" s="27">
        <v>51.0</v>
      </c>
      <c r="I53" s="1">
        <v>60.0</v>
      </c>
      <c r="K53" s="2">
        <v>51.0</v>
      </c>
      <c r="L53" t="str">
        <f>IFERROR(__xludf.DUMMYFUNCTION("Ifna(QUERY($A$3:$I$2000, ""select A where B="" &amp; $K53))"),"")</f>
        <v/>
      </c>
      <c r="M53" t="str">
        <f>IFERROR(__xludf.DUMMYFUNCTION("Ifna(QUERY($A$3:$I$2000, ""select A where C="" &amp; $K53))"),"")</f>
        <v/>
      </c>
      <c r="N53" t="str">
        <f>IFERROR(__xludf.DUMMYFUNCTION("Ifna(QUERY($A$3:$I$2000, ""select A where D="" &amp; $K53))"),"")</f>
        <v/>
      </c>
      <c r="O53" t="str">
        <f>IFERROR(__xludf.DUMMYFUNCTION("Ifna(QUERY($A$3:$I$2000, ""select A where E="" &amp; $K53))"),"")</f>
        <v/>
      </c>
      <c r="P53" t="str">
        <f>IFERROR(__xludf.DUMMYFUNCTION("Ifna(QUERY($A$3:$I$2000, ""select A where F="" &amp; $K53))"),"")</f>
        <v/>
      </c>
      <c r="Q53" t="str">
        <f>IFERROR(__xludf.DUMMYFUNCTION("Ifna(QUERY($A$3:$I$2000, ""select A where G="" &amp; $K53))"),"")</f>
        <v/>
      </c>
      <c r="R53">
        <f>IFERROR(__xludf.DUMMYFUNCTION("Ifna(QUERY($A$3:$I$2000, ""select A where H="" &amp; $K53))"),20.0)</f>
        <v>20</v>
      </c>
      <c r="S53" t="str">
        <f>IFERROR(__xludf.DUMMYFUNCTION("Ifna(QUERY($A$3:$I$2000, ""select A where I="" &amp; $K53))"),"")</f>
        <v/>
      </c>
      <c r="U53">
        <f t="shared" ref="U53:AB53" si="51">$A53*B53</f>
        <v>0</v>
      </c>
      <c r="V53">
        <f t="shared" si="51"/>
        <v>0</v>
      </c>
      <c r="W53">
        <f t="shared" si="51"/>
        <v>0</v>
      </c>
      <c r="X53">
        <f t="shared" si="51"/>
        <v>0</v>
      </c>
      <c r="Y53">
        <f t="shared" si="51"/>
        <v>0</v>
      </c>
      <c r="Z53">
        <f t="shared" si="51"/>
        <v>0</v>
      </c>
      <c r="AA53">
        <f t="shared" si="51"/>
        <v>0</v>
      </c>
      <c r="AB53">
        <f t="shared" si="51"/>
        <v>3060</v>
      </c>
    </row>
    <row r="54">
      <c r="A54" s="27">
        <v>52.0</v>
      </c>
      <c r="I54" s="1">
        <v>59.0</v>
      </c>
      <c r="K54" s="2">
        <v>52.0</v>
      </c>
      <c r="L54" t="str">
        <f>IFERROR(__xludf.DUMMYFUNCTION("Ifna(QUERY($A$3:$I$2000, ""select A where B="" &amp; $K54))"),"")</f>
        <v/>
      </c>
      <c r="M54" t="str">
        <f>IFERROR(__xludf.DUMMYFUNCTION("Ifna(QUERY($A$3:$I$2000, ""select A where C="" &amp; $K54))"),"")</f>
        <v/>
      </c>
      <c r="N54" t="str">
        <f>IFERROR(__xludf.DUMMYFUNCTION("Ifna(QUERY($A$3:$I$2000, ""select A where D="" &amp; $K54))"),"")</f>
        <v/>
      </c>
      <c r="O54" t="str">
        <f>IFERROR(__xludf.DUMMYFUNCTION("Ifna(QUERY($A$3:$I$2000, ""select A where E="" &amp; $K54))"),"")</f>
        <v/>
      </c>
      <c r="P54" t="str">
        <f>IFERROR(__xludf.DUMMYFUNCTION("Ifna(QUERY($A$3:$I$2000, ""select A where F="" &amp; $K54))"),"")</f>
        <v/>
      </c>
      <c r="Q54" t="str">
        <f>IFERROR(__xludf.DUMMYFUNCTION("Ifna(QUERY($A$3:$I$2000, ""select A where G="" &amp; $K54))"),"")</f>
        <v/>
      </c>
      <c r="R54" t="str">
        <f>IFERROR(__xludf.DUMMYFUNCTION("Ifna(QUERY($A$3:$I$2000, ""select A where H="" &amp; $K54))"),"")</f>
        <v/>
      </c>
      <c r="S54" t="str">
        <f>IFERROR(__xludf.DUMMYFUNCTION("Ifna(QUERY($A$3:$I$2000, ""select A where I="" &amp; $K54))"),"")</f>
        <v/>
      </c>
      <c r="U54">
        <f t="shared" ref="U54:AB54" si="52">$A54*B54</f>
        <v>0</v>
      </c>
      <c r="V54">
        <f t="shared" si="52"/>
        <v>0</v>
      </c>
      <c r="W54">
        <f t="shared" si="52"/>
        <v>0</v>
      </c>
      <c r="X54">
        <f t="shared" si="52"/>
        <v>0</v>
      </c>
      <c r="Y54">
        <f t="shared" si="52"/>
        <v>0</v>
      </c>
      <c r="Z54">
        <f t="shared" si="52"/>
        <v>0</v>
      </c>
      <c r="AA54">
        <f t="shared" si="52"/>
        <v>0</v>
      </c>
      <c r="AB54">
        <f t="shared" si="52"/>
        <v>3068</v>
      </c>
    </row>
    <row r="55">
      <c r="A55" s="27">
        <v>53.0</v>
      </c>
      <c r="I55" s="1">
        <v>58.0</v>
      </c>
      <c r="K55" s="2">
        <v>53.0</v>
      </c>
      <c r="L55" t="str">
        <f>IFERROR(__xludf.DUMMYFUNCTION("Ifna(QUERY($A$3:$I$2000, ""select A where B="" &amp; $K55))"),"")</f>
        <v/>
      </c>
      <c r="M55" t="str">
        <f>IFERROR(__xludf.DUMMYFUNCTION("Ifna(QUERY($A$3:$I$2000, ""select A where C="" &amp; $K55))"),"")</f>
        <v/>
      </c>
      <c r="N55" t="str">
        <f>IFERROR(__xludf.DUMMYFUNCTION("Ifna(QUERY($A$3:$I$2000, ""select A where D="" &amp; $K55))"),"")</f>
        <v/>
      </c>
      <c r="O55" t="str">
        <f>IFERROR(__xludf.DUMMYFUNCTION("Ifna(QUERY($A$3:$I$2000, ""select A where E="" &amp; $K55))"),"")</f>
        <v/>
      </c>
      <c r="P55" t="str">
        <f>IFERROR(__xludf.DUMMYFUNCTION("Ifna(QUERY($A$3:$I$2000, ""select A where F="" &amp; $K55))"),"")</f>
        <v/>
      </c>
      <c r="Q55" t="str">
        <f>IFERROR(__xludf.DUMMYFUNCTION("Ifna(QUERY($A$3:$I$2000, ""select A where G="" &amp; $K55))"),"")</f>
        <v/>
      </c>
      <c r="R55">
        <f>IFERROR(__xludf.DUMMYFUNCTION("Ifna(QUERY($A$3:$I$2000, ""select A where H="" &amp; $K55))"),19.0)</f>
        <v>19</v>
      </c>
      <c r="S55" t="str">
        <f>IFERROR(__xludf.DUMMYFUNCTION("Ifna(QUERY($A$3:$I$2000, ""select A where I="" &amp; $K55))"),"")</f>
        <v/>
      </c>
      <c r="U55">
        <f t="shared" ref="U55:AB55" si="53">$A55*B55</f>
        <v>0</v>
      </c>
      <c r="V55">
        <f t="shared" si="53"/>
        <v>0</v>
      </c>
      <c r="W55">
        <f t="shared" si="53"/>
        <v>0</v>
      </c>
      <c r="X55">
        <f t="shared" si="53"/>
        <v>0</v>
      </c>
      <c r="Y55">
        <f t="shared" si="53"/>
        <v>0</v>
      </c>
      <c r="Z55">
        <f t="shared" si="53"/>
        <v>0</v>
      </c>
      <c r="AA55">
        <f t="shared" si="53"/>
        <v>0</v>
      </c>
      <c r="AB55">
        <f t="shared" si="53"/>
        <v>3074</v>
      </c>
    </row>
    <row r="56">
      <c r="A56" s="27">
        <v>54.0</v>
      </c>
      <c r="I56" s="1">
        <v>57.0</v>
      </c>
      <c r="K56" s="2">
        <v>54.0</v>
      </c>
      <c r="L56" t="str">
        <f>IFERROR(__xludf.DUMMYFUNCTION("Ifna(QUERY($A$3:$I$2000, ""select A where B="" &amp; $K56))"),"")</f>
        <v/>
      </c>
      <c r="M56" t="str">
        <f>IFERROR(__xludf.DUMMYFUNCTION("Ifna(QUERY($A$3:$I$2000, ""select A where C="" &amp; $K56))"),"")</f>
        <v/>
      </c>
      <c r="N56" t="str">
        <f>IFERROR(__xludf.DUMMYFUNCTION("Ifna(QUERY($A$3:$I$2000, ""select A where D="" &amp; $K56))"),"")</f>
        <v/>
      </c>
      <c r="O56" t="str">
        <f>IFERROR(__xludf.DUMMYFUNCTION("Ifna(QUERY($A$3:$I$2000, ""select A where E="" &amp; $K56))"),"")</f>
        <v/>
      </c>
      <c r="P56" t="str">
        <f>IFERROR(__xludf.DUMMYFUNCTION("Ifna(QUERY($A$3:$I$2000, ""select A where F="" &amp; $K56))"),"")</f>
        <v/>
      </c>
      <c r="Q56">
        <f>IFERROR(__xludf.DUMMYFUNCTION("Ifna(QUERY($A$3:$I$2000, ""select A where G="" &amp; $K56))"),4.0)</f>
        <v>4</v>
      </c>
      <c r="R56" t="str">
        <f>IFERROR(__xludf.DUMMYFUNCTION("Ifna(QUERY($A$3:$I$2000, ""select A where H="" &amp; $K56))"),"")</f>
        <v/>
      </c>
      <c r="S56" t="str">
        <f>IFERROR(__xludf.DUMMYFUNCTION("Ifna(QUERY($A$3:$I$2000, ""select A where I="" &amp; $K56))"),"")</f>
        <v/>
      </c>
      <c r="U56">
        <f t="shared" ref="U56:AB56" si="54">$A56*B56</f>
        <v>0</v>
      </c>
      <c r="V56">
        <f t="shared" si="54"/>
        <v>0</v>
      </c>
      <c r="W56">
        <f t="shared" si="54"/>
        <v>0</v>
      </c>
      <c r="X56">
        <f t="shared" si="54"/>
        <v>0</v>
      </c>
      <c r="Y56">
        <f t="shared" si="54"/>
        <v>0</v>
      </c>
      <c r="Z56">
        <f t="shared" si="54"/>
        <v>0</v>
      </c>
      <c r="AA56">
        <f t="shared" si="54"/>
        <v>0</v>
      </c>
      <c r="AB56">
        <f t="shared" si="54"/>
        <v>3078</v>
      </c>
    </row>
    <row r="57">
      <c r="A57" s="28">
        <v>55.0</v>
      </c>
      <c r="I57" s="8">
        <v>56.0</v>
      </c>
      <c r="K57" s="2">
        <v>55.0</v>
      </c>
      <c r="L57" t="str">
        <f>IFERROR(__xludf.DUMMYFUNCTION("Ifna(QUERY($A$3:$I$2000, ""select A where B="" &amp; $K57))"),"")</f>
        <v/>
      </c>
      <c r="M57" t="str">
        <f>IFERROR(__xludf.DUMMYFUNCTION("Ifna(QUERY($A$3:$I$2000, ""select A where C="" &amp; $K57))"),"")</f>
        <v/>
      </c>
      <c r="N57" t="str">
        <f>IFERROR(__xludf.DUMMYFUNCTION("Ifna(QUERY($A$3:$I$2000, ""select A where D="" &amp; $K57))"),"")</f>
        <v/>
      </c>
      <c r="O57" t="str">
        <f>IFERROR(__xludf.DUMMYFUNCTION("Ifna(QUERY($A$3:$I$2000, ""select A where E="" &amp; $K57))"),"")</f>
        <v/>
      </c>
      <c r="P57" t="str">
        <f>IFERROR(__xludf.DUMMYFUNCTION("Ifna(QUERY($A$3:$I$2000, ""select A where F="" &amp; $K57))"),"")</f>
        <v/>
      </c>
      <c r="Q57" t="str">
        <f>IFERROR(__xludf.DUMMYFUNCTION("Ifna(QUERY($A$3:$I$2000, ""select A where G="" &amp; $K57))"),"")</f>
        <v/>
      </c>
      <c r="R57">
        <f>IFERROR(__xludf.DUMMYFUNCTION("Ifna(QUERY($A$3:$I$2000, ""select A where H="" &amp; $K57))"),18.0)</f>
        <v>18</v>
      </c>
      <c r="S57" t="str">
        <f>IFERROR(__xludf.DUMMYFUNCTION("Ifna(QUERY($A$3:$I$2000, ""select A where I="" &amp; $K57))"),"")</f>
        <v/>
      </c>
      <c r="U57">
        <f t="shared" ref="U57:AB57" si="55">$A57*B57</f>
        <v>0</v>
      </c>
      <c r="V57">
        <f t="shared" si="55"/>
        <v>0</v>
      </c>
      <c r="W57">
        <f t="shared" si="55"/>
        <v>0</v>
      </c>
      <c r="X57">
        <f t="shared" si="55"/>
        <v>0</v>
      </c>
      <c r="Y57">
        <f t="shared" si="55"/>
        <v>0</v>
      </c>
      <c r="Z57">
        <f t="shared" si="55"/>
        <v>0</v>
      </c>
      <c r="AA57">
        <f t="shared" si="55"/>
        <v>0</v>
      </c>
      <c r="AB57" s="24">
        <f t="shared" si="55"/>
        <v>3080</v>
      </c>
    </row>
    <row r="58">
      <c r="A58" s="27">
        <v>56.0</v>
      </c>
      <c r="K58" s="2">
        <v>56.0</v>
      </c>
      <c r="L58" t="str">
        <f>IFERROR(__xludf.DUMMYFUNCTION("Ifna(QUERY($A$3:$I$2000, ""select A where B="" &amp; $K58))"),"")</f>
        <v/>
      </c>
      <c r="M58" t="str">
        <f>IFERROR(__xludf.DUMMYFUNCTION("Ifna(QUERY($A$3:$I$2000, ""select A where C="" &amp; $K58))"),"")</f>
        <v/>
      </c>
      <c r="N58" t="str">
        <f>IFERROR(__xludf.DUMMYFUNCTION("Ifna(QUERY($A$3:$I$2000, ""select A where D="" &amp; $K58))"),"")</f>
        <v/>
      </c>
      <c r="O58" t="str">
        <f>IFERROR(__xludf.DUMMYFUNCTION("Ifna(QUERY($A$3:$I$2000, ""select A where E="" &amp; $K58))"),"")</f>
        <v/>
      </c>
      <c r="P58" t="str">
        <f>IFERROR(__xludf.DUMMYFUNCTION("Ifna(QUERY($A$3:$I$2000, ""select A where F="" &amp; $K58))"),"")</f>
        <v/>
      </c>
      <c r="Q58" t="str">
        <f>IFERROR(__xludf.DUMMYFUNCTION("Ifna(QUERY($A$3:$I$2000, ""select A where G="" &amp; $K58))"),"")</f>
        <v/>
      </c>
      <c r="R58" t="str">
        <f>IFERROR(__xludf.DUMMYFUNCTION("Ifna(QUERY($A$3:$I$2000, ""select A where H="" &amp; $K58))"),"")</f>
        <v/>
      </c>
      <c r="S58">
        <f>IFERROR(__xludf.DUMMYFUNCTION("Ifna(QUERY($A$3:$I$2000, ""select A where I="" &amp; $K58))"),55.0)</f>
        <v>55</v>
      </c>
    </row>
    <row r="59">
      <c r="K59" s="2">
        <v>57.0</v>
      </c>
      <c r="L59" t="str">
        <f>IFERROR(__xludf.DUMMYFUNCTION("Ifna(QUERY($A$3:$I$2000, ""select A where B="" &amp; $K59))"),"")</f>
        <v/>
      </c>
      <c r="M59" t="str">
        <f>IFERROR(__xludf.DUMMYFUNCTION("Ifna(QUERY($A$3:$I$2000, ""select A where C="" &amp; $K59))"),"")</f>
        <v/>
      </c>
      <c r="N59" t="str">
        <f>IFERROR(__xludf.DUMMYFUNCTION("Ifna(QUERY($A$3:$I$2000, ""select A where D="" &amp; $K59))"),"")</f>
        <v/>
      </c>
      <c r="O59" t="str">
        <f>IFERROR(__xludf.DUMMYFUNCTION("Ifna(QUERY($A$3:$I$2000, ""select A where E="" &amp; $K59))"),"")</f>
        <v/>
      </c>
      <c r="P59" t="str">
        <f>IFERROR(__xludf.DUMMYFUNCTION("Ifna(QUERY($A$3:$I$2000, ""select A where F="" &amp; $K59))"),"")</f>
        <v/>
      </c>
      <c r="Q59" t="str">
        <f>IFERROR(__xludf.DUMMYFUNCTION("Ifna(QUERY($A$3:$I$2000, ""select A where G="" &amp; $K59))"),"")</f>
        <v/>
      </c>
      <c r="R59" t="str">
        <f>IFERROR(__xludf.DUMMYFUNCTION("Ifna(QUERY($A$3:$I$2000, ""select A where H="" &amp; $K59))"),"")</f>
        <v/>
      </c>
      <c r="S59">
        <f>IFERROR(__xludf.DUMMYFUNCTION("Ifna(QUERY($A$3:$I$2000, ""select A where I="" &amp; $K59))"),54.0)</f>
        <v>54</v>
      </c>
    </row>
    <row r="60">
      <c r="K60" s="2">
        <v>58.0</v>
      </c>
      <c r="L60" t="str">
        <f>IFERROR(__xludf.DUMMYFUNCTION("Ifna(QUERY($A$3:$I$2000, ""select A where B="" &amp; $K60))"),"")</f>
        <v/>
      </c>
      <c r="M60" t="str">
        <f>IFERROR(__xludf.DUMMYFUNCTION("Ifna(QUERY($A$3:$I$2000, ""select A where C="" &amp; $K60))"),"")</f>
        <v/>
      </c>
      <c r="N60" t="str">
        <f>IFERROR(__xludf.DUMMYFUNCTION("Ifna(QUERY($A$3:$I$2000, ""select A where D="" &amp; $K60))"),"")</f>
        <v/>
      </c>
      <c r="O60" t="str">
        <f>IFERROR(__xludf.DUMMYFUNCTION("Ifna(QUERY($A$3:$I$2000, ""select A where E="" &amp; $K60))"),"")</f>
        <v/>
      </c>
      <c r="P60" t="str">
        <f>IFERROR(__xludf.DUMMYFUNCTION("Ifna(QUERY($A$3:$I$2000, ""select A where F="" &amp; $K60))"),"")</f>
        <v/>
      </c>
      <c r="Q60">
        <f>IFERROR(__xludf.DUMMYFUNCTION("Ifna(QUERY($A$3:$I$2000, ""select A where G="" &amp; $K60))"),3.0)</f>
        <v>3</v>
      </c>
      <c r="R60">
        <f>IFERROR(__xludf.DUMMYFUNCTION("Ifna(QUERY($A$3:$I$2000, ""select A where H="" &amp; $K60))"),17.0)</f>
        <v>17</v>
      </c>
      <c r="S60">
        <f>IFERROR(__xludf.DUMMYFUNCTION("Ifna(QUERY($A$3:$I$2000, ""select A where I="" &amp; $K60))"),53.0)</f>
        <v>53</v>
      </c>
    </row>
    <row r="61">
      <c r="K61" s="2">
        <v>59.0</v>
      </c>
      <c r="L61" t="str">
        <f>IFERROR(__xludf.DUMMYFUNCTION("Ifna(QUERY($A$3:$I$2000, ""select A where B="" &amp; $K61))"),"")</f>
        <v/>
      </c>
      <c r="M61" t="str">
        <f>IFERROR(__xludf.DUMMYFUNCTION("Ifna(QUERY($A$3:$I$2000, ""select A where C="" &amp; $K61))"),"")</f>
        <v/>
      </c>
      <c r="N61" t="str">
        <f>IFERROR(__xludf.DUMMYFUNCTION("Ifna(QUERY($A$3:$I$2000, ""select A where D="" &amp; $K61))"),"")</f>
        <v/>
      </c>
      <c r="O61" t="str">
        <f>IFERROR(__xludf.DUMMYFUNCTION("Ifna(QUERY($A$3:$I$2000, ""select A where E="" &amp; $K61))"),"")</f>
        <v/>
      </c>
      <c r="P61" t="str">
        <f>IFERROR(__xludf.DUMMYFUNCTION("Ifna(QUERY($A$3:$I$2000, ""select A where F="" &amp; $K61))"),"")</f>
        <v/>
      </c>
      <c r="Q61" t="str">
        <f>IFERROR(__xludf.DUMMYFUNCTION("Ifna(QUERY($A$3:$I$2000, ""select A where G="" &amp; $K61))"),"")</f>
        <v/>
      </c>
      <c r="R61" t="str">
        <f>IFERROR(__xludf.DUMMYFUNCTION("Ifna(QUERY($A$3:$I$2000, ""select A where H="" &amp; $K61))"),"")</f>
        <v/>
      </c>
      <c r="S61">
        <f>IFERROR(__xludf.DUMMYFUNCTION("Ifna(QUERY($A$3:$I$2000, ""select A where I="" &amp; $K61))"),52.0)</f>
        <v>52</v>
      </c>
    </row>
    <row r="62">
      <c r="K62" s="2">
        <v>60.0</v>
      </c>
      <c r="L62" t="str">
        <f>IFERROR(__xludf.DUMMYFUNCTION("Ifna(QUERY($A$3:$I$2000, ""select A where B="" &amp; $K62))"),"")</f>
        <v/>
      </c>
      <c r="M62" t="str">
        <f>IFERROR(__xludf.DUMMYFUNCTION("Ifna(QUERY($A$3:$I$2000, ""select A where C="" &amp; $K62))"),"")</f>
        <v/>
      </c>
      <c r="N62" t="str">
        <f>IFERROR(__xludf.DUMMYFUNCTION("Ifna(QUERY($A$3:$I$2000, ""select A where D="" &amp; $K62))"),"")</f>
        <v/>
      </c>
      <c r="O62" t="str">
        <f>IFERROR(__xludf.DUMMYFUNCTION("Ifna(QUERY($A$3:$I$2000, ""select A where E="" &amp; $K62))"),"")</f>
        <v/>
      </c>
      <c r="P62" t="str">
        <f>IFERROR(__xludf.DUMMYFUNCTION("Ifna(QUERY($A$3:$I$2000, ""select A where F="" &amp; $K62))"),"")</f>
        <v/>
      </c>
      <c r="Q62" t="str">
        <f>IFERROR(__xludf.DUMMYFUNCTION("Ifna(QUERY($A$3:$I$2000, ""select A where G="" &amp; $K62))"),"")</f>
        <v/>
      </c>
      <c r="R62">
        <f>IFERROR(__xludf.DUMMYFUNCTION("Ifna(QUERY($A$3:$I$2000, ""select A where H="" &amp; $K62))"),16.0)</f>
        <v>16</v>
      </c>
      <c r="S62">
        <f>IFERROR(__xludf.DUMMYFUNCTION("Ifna(QUERY($A$3:$I$2000, ""select A where I="" &amp; $K62))"),51.0)</f>
        <v>51</v>
      </c>
    </row>
    <row r="63">
      <c r="K63" s="2">
        <v>61.0</v>
      </c>
      <c r="L63" t="str">
        <f>IFERROR(__xludf.DUMMYFUNCTION("Ifna(QUERY($A$3:$I$2000, ""select A where B="" &amp; $K63))"),"")</f>
        <v/>
      </c>
      <c r="M63" t="str">
        <f>IFERROR(__xludf.DUMMYFUNCTION("Ifna(QUERY($A$3:$I$2000, ""select A where C="" &amp; $K63))"),"")</f>
        <v/>
      </c>
      <c r="N63" t="str">
        <f>IFERROR(__xludf.DUMMYFUNCTION("Ifna(QUERY($A$3:$I$2000, ""select A where D="" &amp; $K63))"),"")</f>
        <v/>
      </c>
      <c r="O63" t="str">
        <f>IFERROR(__xludf.DUMMYFUNCTION("Ifna(QUERY($A$3:$I$2000, ""select A where E="" &amp; $K63))"),"")</f>
        <v/>
      </c>
      <c r="P63" t="str">
        <f>IFERROR(__xludf.DUMMYFUNCTION("Ifna(QUERY($A$3:$I$2000, ""select A where F="" &amp; $K63))"),"")</f>
        <v/>
      </c>
      <c r="Q63" t="str">
        <f>IFERROR(__xludf.DUMMYFUNCTION("Ifna(QUERY($A$3:$I$2000, ""select A where G="" &amp; $K63))"),"")</f>
        <v/>
      </c>
      <c r="R63" t="str">
        <f>IFERROR(__xludf.DUMMYFUNCTION("Ifna(QUERY($A$3:$I$2000, ""select A where H="" &amp; $K63))"),"")</f>
        <v/>
      </c>
      <c r="S63">
        <f>IFERROR(__xludf.DUMMYFUNCTION("Ifna(QUERY($A$3:$I$2000, ""select A where I="" &amp; $K63))"),50.0)</f>
        <v>50</v>
      </c>
    </row>
    <row r="64">
      <c r="K64" s="2">
        <v>62.0</v>
      </c>
      <c r="L64" t="str">
        <f>IFERROR(__xludf.DUMMYFUNCTION("Ifna(QUERY($A$3:$I$2000, ""select A where B="" &amp; $K64))"),"")</f>
        <v/>
      </c>
      <c r="M64" t="str">
        <f>IFERROR(__xludf.DUMMYFUNCTION("Ifna(QUERY($A$3:$I$2000, ""select A where C="" &amp; $K64))"),"")</f>
        <v/>
      </c>
      <c r="N64" t="str">
        <f>IFERROR(__xludf.DUMMYFUNCTION("Ifna(QUERY($A$3:$I$2000, ""select A where D="" &amp; $K64))"),"")</f>
        <v/>
      </c>
      <c r="O64" t="str">
        <f>IFERROR(__xludf.DUMMYFUNCTION("Ifna(QUERY($A$3:$I$2000, ""select A where E="" &amp; $K64))"),"")</f>
        <v/>
      </c>
      <c r="P64" t="str">
        <f>IFERROR(__xludf.DUMMYFUNCTION("Ifna(QUERY($A$3:$I$2000, ""select A where F="" &amp; $K64))"),"")</f>
        <v/>
      </c>
      <c r="Q64" t="str">
        <f>IFERROR(__xludf.DUMMYFUNCTION("Ifna(QUERY($A$3:$I$2000, ""select A where G="" &amp; $K64))"),"")</f>
        <v/>
      </c>
      <c r="R64" t="str">
        <f>IFERROR(__xludf.DUMMYFUNCTION("Ifna(QUERY($A$3:$I$2000, ""select A where H="" &amp; $K64))"),"")</f>
        <v/>
      </c>
      <c r="S64">
        <f>IFERROR(__xludf.DUMMYFUNCTION("Ifna(QUERY($A$3:$I$2000, ""select A where I="" &amp; $K64))"),49.0)</f>
        <v>49</v>
      </c>
    </row>
    <row r="65">
      <c r="K65" s="2">
        <v>63.0</v>
      </c>
      <c r="L65" t="str">
        <f>IFERROR(__xludf.DUMMYFUNCTION("Ifna(QUERY($A$3:$I$2000, ""select A where B="" &amp; $K65))"),"")</f>
        <v/>
      </c>
      <c r="M65" t="str">
        <f>IFERROR(__xludf.DUMMYFUNCTION("Ifna(QUERY($A$3:$I$2000, ""select A where C="" &amp; $K65))"),"")</f>
        <v/>
      </c>
      <c r="N65" t="str">
        <f>IFERROR(__xludf.DUMMYFUNCTION("Ifna(QUERY($A$3:$I$2000, ""select A where D="" &amp; $K65))"),"")</f>
        <v/>
      </c>
      <c r="O65" t="str">
        <f>IFERROR(__xludf.DUMMYFUNCTION("Ifna(QUERY($A$3:$I$2000, ""select A where E="" &amp; $K65))"),"")</f>
        <v/>
      </c>
      <c r="P65" t="str">
        <f>IFERROR(__xludf.DUMMYFUNCTION("Ifna(QUERY($A$3:$I$2000, ""select A where F="" &amp; $K65))"),"")</f>
        <v/>
      </c>
      <c r="Q65">
        <f>IFERROR(__xludf.DUMMYFUNCTION("Ifna(QUERY($A$3:$I$2000, ""select A where G="" &amp; $K65))"),2.0)</f>
        <v>2</v>
      </c>
      <c r="R65">
        <f>IFERROR(__xludf.DUMMYFUNCTION("Ifna(QUERY($A$3:$I$2000, ""select A where H="" &amp; $K65))"),15.0)</f>
        <v>15</v>
      </c>
      <c r="S65" t="str">
        <f>IFERROR(__xludf.DUMMYFUNCTION("Ifna(QUERY($A$3:$I$2000, ""select A where I="" &amp; $K65))"),"")</f>
        <v/>
      </c>
    </row>
    <row r="66">
      <c r="K66" s="2">
        <v>64.0</v>
      </c>
      <c r="L66" t="str">
        <f>IFERROR(__xludf.DUMMYFUNCTION("Ifna(QUERY($A$3:$I$2000, ""select A where B="" &amp; $K66))"),"")</f>
        <v/>
      </c>
      <c r="M66" t="str">
        <f>IFERROR(__xludf.DUMMYFUNCTION("Ifna(QUERY($A$3:$I$2000, ""select A where C="" &amp; $K66))"),"")</f>
        <v/>
      </c>
      <c r="N66" t="str">
        <f>IFERROR(__xludf.DUMMYFUNCTION("Ifna(QUERY($A$3:$I$2000, ""select A where D="" &amp; $K66))"),"")</f>
        <v/>
      </c>
      <c r="O66" t="str">
        <f>IFERROR(__xludf.DUMMYFUNCTION("Ifna(QUERY($A$3:$I$2000, ""select A where E="" &amp; $K66))"),"")</f>
        <v/>
      </c>
      <c r="P66" t="str">
        <f>IFERROR(__xludf.DUMMYFUNCTION("Ifna(QUERY($A$3:$I$2000, ""select A where F="" &amp; $K66))"),"")</f>
        <v/>
      </c>
      <c r="Q66">
        <f>IFERROR(__xludf.DUMMYFUNCTION("Ifna(QUERY($A$3:$I$2000, ""select A where G="" &amp; $K66))"),1.0)</f>
        <v>1</v>
      </c>
      <c r="R66" t="str">
        <f>IFERROR(__xludf.DUMMYFUNCTION("Ifna(QUERY($A$3:$I$2000, ""select A where H="" &amp; $K66))"),"")</f>
        <v/>
      </c>
      <c r="S66">
        <f>IFERROR(__xludf.DUMMYFUNCTION("Ifna(QUERY($A$3:$I$2000, ""select A where I="" &amp; $K66))"),48.0)</f>
        <v>48</v>
      </c>
    </row>
    <row r="67">
      <c r="K67" s="2">
        <v>65.0</v>
      </c>
      <c r="L67" t="str">
        <f>IFERROR(__xludf.DUMMYFUNCTION("Ifna(QUERY($A$3:$I$2000, ""select A where B="" &amp; $K67))"),"")</f>
        <v/>
      </c>
      <c r="M67" t="str">
        <f>IFERROR(__xludf.DUMMYFUNCTION("Ifna(QUERY($A$3:$I$2000, ""select A where C="" &amp; $K67))"),"")</f>
        <v/>
      </c>
      <c r="N67" t="str">
        <f>IFERROR(__xludf.DUMMYFUNCTION("Ifna(QUERY($A$3:$I$2000, ""select A where D="" &amp; $K67))"),"")</f>
        <v/>
      </c>
      <c r="O67" t="str">
        <f>IFERROR(__xludf.DUMMYFUNCTION("Ifna(QUERY($A$3:$I$2000, ""select A where E="" &amp; $K67))"),"")</f>
        <v/>
      </c>
      <c r="P67" t="str">
        <f>IFERROR(__xludf.DUMMYFUNCTION("Ifna(QUERY($A$3:$I$2000, ""select A where F="" &amp; $K67))"),"")</f>
        <v/>
      </c>
      <c r="Q67" t="str">
        <f>IFERROR(__xludf.DUMMYFUNCTION("Ifna(QUERY($A$3:$I$2000, ""select A where G="" &amp; $K67))"),"")</f>
        <v/>
      </c>
      <c r="R67" t="str">
        <f>IFERROR(__xludf.DUMMYFUNCTION("Ifna(QUERY($A$3:$I$2000, ""select A where H="" &amp; $K67))"),"")</f>
        <v/>
      </c>
      <c r="S67">
        <f>IFERROR(__xludf.DUMMYFUNCTION("Ifna(QUERY($A$3:$I$2000, ""select A where I="" &amp; $K67))"),47.0)</f>
        <v>47</v>
      </c>
    </row>
    <row r="68">
      <c r="K68" s="2">
        <v>66.0</v>
      </c>
      <c r="L68" t="str">
        <f>IFERROR(__xludf.DUMMYFUNCTION("Ifna(QUERY($A$3:$I$2000, ""select A where B="" &amp; $K68))"),"")</f>
        <v/>
      </c>
      <c r="M68" t="str">
        <f>IFERROR(__xludf.DUMMYFUNCTION("Ifna(QUERY($A$3:$I$2000, ""select A where C="" &amp; $K68))"),"")</f>
        <v/>
      </c>
      <c r="N68" t="str">
        <f>IFERROR(__xludf.DUMMYFUNCTION("Ifna(QUERY($A$3:$I$2000, ""select A where D="" &amp; $K68))"),"")</f>
        <v/>
      </c>
      <c r="O68" t="str">
        <f>IFERROR(__xludf.DUMMYFUNCTION("Ifna(QUERY($A$3:$I$2000, ""select A where E="" &amp; $K68))"),"")</f>
        <v/>
      </c>
      <c r="P68" t="str">
        <f>IFERROR(__xludf.DUMMYFUNCTION("Ifna(QUERY($A$3:$I$2000, ""select A where F="" &amp; $K68))"),"")</f>
        <v/>
      </c>
      <c r="Q68" t="str">
        <f>IFERROR(__xludf.DUMMYFUNCTION("Ifna(QUERY($A$3:$I$2000, ""select A where G="" &amp; $K68))"),"")</f>
        <v/>
      </c>
      <c r="R68">
        <f>IFERROR(__xludf.DUMMYFUNCTION("Ifna(QUERY($A$3:$I$2000, ""select A where H="" &amp; $K68))"),14.0)</f>
        <v>14</v>
      </c>
      <c r="S68">
        <f>IFERROR(__xludf.DUMMYFUNCTION("Ifna(QUERY($A$3:$I$2000, ""select A where I="" &amp; $K68))"),46.0)</f>
        <v>46</v>
      </c>
    </row>
    <row r="69">
      <c r="K69" s="2">
        <v>67.0</v>
      </c>
      <c r="L69" t="str">
        <f>IFERROR(__xludf.DUMMYFUNCTION("Ifna(QUERY($A$3:$I$2000, ""select A where B="" &amp; $K69))"),"")</f>
        <v/>
      </c>
      <c r="M69" t="str">
        <f>IFERROR(__xludf.DUMMYFUNCTION("Ifna(QUERY($A$3:$I$2000, ""select A where C="" &amp; $K69))"),"")</f>
        <v/>
      </c>
      <c r="N69" t="str">
        <f>IFERROR(__xludf.DUMMYFUNCTION("Ifna(QUERY($A$3:$I$2000, ""select A where D="" &amp; $K69))"),"")</f>
        <v/>
      </c>
      <c r="O69" t="str">
        <f>IFERROR(__xludf.DUMMYFUNCTION("Ifna(QUERY($A$3:$I$2000, ""select A where E="" &amp; $K69))"),"")</f>
        <v/>
      </c>
      <c r="P69" t="str">
        <f>IFERROR(__xludf.DUMMYFUNCTION("Ifna(QUERY($A$3:$I$2000, ""select A where F="" &amp; $K69))"),"")</f>
        <v/>
      </c>
      <c r="Q69" t="str">
        <f>IFERROR(__xludf.DUMMYFUNCTION("Ifna(QUERY($A$3:$I$2000, ""select A where G="" &amp; $K69))"),"")</f>
        <v/>
      </c>
      <c r="R69" t="str">
        <f>IFERROR(__xludf.DUMMYFUNCTION("Ifna(QUERY($A$3:$I$2000, ""select A where H="" &amp; $K69))"),"")</f>
        <v/>
      </c>
      <c r="S69" t="str">
        <f>IFERROR(__xludf.DUMMYFUNCTION("Ifna(QUERY($A$3:$I$2000, ""select A where I="" &amp; $K69))"),"")</f>
        <v/>
      </c>
    </row>
    <row r="70">
      <c r="K70" s="2">
        <v>68.0</v>
      </c>
      <c r="L70" t="str">
        <f>IFERROR(__xludf.DUMMYFUNCTION("Ifna(QUERY($A$3:$I$2000, ""select A where B="" &amp; $K70))"),"")</f>
        <v/>
      </c>
      <c r="M70" t="str">
        <f>IFERROR(__xludf.DUMMYFUNCTION("Ifna(QUERY($A$3:$I$2000, ""select A where C="" &amp; $K70))"),"")</f>
        <v/>
      </c>
      <c r="N70" t="str">
        <f>IFERROR(__xludf.DUMMYFUNCTION("Ifna(QUERY($A$3:$I$2000, ""select A where D="" &amp; $K70))"),"")</f>
        <v/>
      </c>
      <c r="O70" t="str">
        <f>IFERROR(__xludf.DUMMYFUNCTION("Ifna(QUERY($A$3:$I$2000, ""select A where E="" &amp; $K70))"),"")</f>
        <v/>
      </c>
      <c r="P70" t="str">
        <f>IFERROR(__xludf.DUMMYFUNCTION("Ifna(QUERY($A$3:$I$2000, ""select A where F="" &amp; $K70))"),"")</f>
        <v/>
      </c>
      <c r="Q70" t="str">
        <f>IFERROR(__xludf.DUMMYFUNCTION("Ifna(QUERY($A$3:$I$2000, ""select A where G="" &amp; $K70))"),"")</f>
        <v/>
      </c>
      <c r="R70" t="str">
        <f>IFERROR(__xludf.DUMMYFUNCTION("Ifna(QUERY($A$3:$I$2000, ""select A where H="" &amp; $K70))"),"")</f>
        <v/>
      </c>
      <c r="S70">
        <f>IFERROR(__xludf.DUMMYFUNCTION("Ifna(QUERY($A$3:$I$2000, ""select A where I="" &amp; $K70))"),45.0)</f>
        <v>45</v>
      </c>
    </row>
    <row r="71">
      <c r="K71" s="2">
        <v>69.0</v>
      </c>
      <c r="L71" t="str">
        <f>IFERROR(__xludf.DUMMYFUNCTION("Ifna(QUERY($A$3:$I$2000, ""select A where B="" &amp; $K71))"),"")</f>
        <v/>
      </c>
      <c r="M71" t="str">
        <f>IFERROR(__xludf.DUMMYFUNCTION("Ifna(QUERY($A$3:$I$2000, ""select A where C="" &amp; $K71))"),"")</f>
        <v/>
      </c>
      <c r="N71" t="str">
        <f>IFERROR(__xludf.DUMMYFUNCTION("Ifna(QUERY($A$3:$I$2000, ""select A where D="" &amp; $K71))"),"")</f>
        <v/>
      </c>
      <c r="O71" t="str">
        <f>IFERROR(__xludf.DUMMYFUNCTION("Ifna(QUERY($A$3:$I$2000, ""select A where E="" &amp; $K71))"),"")</f>
        <v/>
      </c>
      <c r="P71" t="str">
        <f>IFERROR(__xludf.DUMMYFUNCTION("Ifna(QUERY($A$3:$I$2000, ""select A where F="" &amp; $K71))"),"")</f>
        <v/>
      </c>
      <c r="Q71" t="str">
        <f>IFERROR(__xludf.DUMMYFUNCTION("Ifna(QUERY($A$3:$I$2000, ""select A where G="" &amp; $K71))"),"")</f>
        <v/>
      </c>
      <c r="R71">
        <f>IFERROR(__xludf.DUMMYFUNCTION("Ifna(QUERY($A$3:$I$2000, ""select A where H="" &amp; $K71))"),13.0)</f>
        <v>13</v>
      </c>
      <c r="S71">
        <f>IFERROR(__xludf.DUMMYFUNCTION("Ifna(QUERY($A$3:$I$2000, ""select A where I="" &amp; $K71))"),44.0)</f>
        <v>44</v>
      </c>
    </row>
    <row r="72">
      <c r="K72" s="2">
        <v>70.0</v>
      </c>
      <c r="L72" t="str">
        <f>IFERROR(__xludf.DUMMYFUNCTION("Ifna(QUERY($A$3:$I$2000, ""select A where B="" &amp; $K72))"),"")</f>
        <v/>
      </c>
      <c r="M72" t="str">
        <f>IFERROR(__xludf.DUMMYFUNCTION("Ifna(QUERY($A$3:$I$2000, ""select A where C="" &amp; $K72))"),"")</f>
        <v/>
      </c>
      <c r="N72" t="str">
        <f>IFERROR(__xludf.DUMMYFUNCTION("Ifna(QUERY($A$3:$I$2000, ""select A where D="" &amp; $K72))"),"")</f>
        <v/>
      </c>
      <c r="O72" t="str">
        <f>IFERROR(__xludf.DUMMYFUNCTION("Ifna(QUERY($A$3:$I$2000, ""select A where E="" &amp; $K72))"),"")</f>
        <v/>
      </c>
      <c r="P72" t="str">
        <f>IFERROR(__xludf.DUMMYFUNCTION("Ifna(QUERY($A$3:$I$2000, ""select A where F="" &amp; $K72))"),"")</f>
        <v/>
      </c>
      <c r="Q72" t="str">
        <f>IFERROR(__xludf.DUMMYFUNCTION("Ifna(QUERY($A$3:$I$2000, ""select A where G="" &amp; $K72))"),"")</f>
        <v/>
      </c>
      <c r="R72" t="str">
        <f>IFERROR(__xludf.DUMMYFUNCTION("Ifna(QUERY($A$3:$I$2000, ""select A where H="" &amp; $K72))"),"")</f>
        <v/>
      </c>
      <c r="S72" t="str">
        <f>IFERROR(__xludf.DUMMYFUNCTION("Ifna(QUERY($A$3:$I$2000, ""select A where I="" &amp; $K72))"),"")</f>
        <v/>
      </c>
    </row>
    <row r="73">
      <c r="K73" s="2">
        <v>71.0</v>
      </c>
      <c r="L73" t="str">
        <f>IFERROR(__xludf.DUMMYFUNCTION("Ifna(QUERY($A$3:$I$2000, ""select A where B="" &amp; $K73))"),"")</f>
        <v/>
      </c>
      <c r="M73" t="str">
        <f>IFERROR(__xludf.DUMMYFUNCTION("Ifna(QUERY($A$3:$I$2000, ""select A where C="" &amp; $K73))"),"")</f>
        <v/>
      </c>
      <c r="N73" t="str">
        <f>IFERROR(__xludf.DUMMYFUNCTION("Ifna(QUERY($A$3:$I$2000, ""select A where D="" &amp; $K73))"),"")</f>
        <v/>
      </c>
      <c r="O73" t="str">
        <f>IFERROR(__xludf.DUMMYFUNCTION("Ifna(QUERY($A$3:$I$2000, ""select A where E="" &amp; $K73))"),"")</f>
        <v/>
      </c>
      <c r="P73" t="str">
        <f>IFERROR(__xludf.DUMMYFUNCTION("Ifna(QUERY($A$3:$I$2000, ""select A where F="" &amp; $K73))"),"")</f>
        <v/>
      </c>
      <c r="Q73" t="str">
        <f>IFERROR(__xludf.DUMMYFUNCTION("Ifna(QUERY($A$3:$I$2000, ""select A where G="" &amp; $K73))"),"")</f>
        <v/>
      </c>
      <c r="R73" t="str">
        <f>IFERROR(__xludf.DUMMYFUNCTION("Ifna(QUERY($A$3:$I$2000, ""select A where H="" &amp; $K73))"),"")</f>
        <v/>
      </c>
      <c r="S73">
        <f>IFERROR(__xludf.DUMMYFUNCTION("Ifna(QUERY($A$3:$I$2000, ""select A where I="" &amp; $K73))"),43.0)</f>
        <v>43</v>
      </c>
    </row>
    <row r="74">
      <c r="K74" s="2">
        <v>72.0</v>
      </c>
      <c r="L74" t="str">
        <f>IFERROR(__xludf.DUMMYFUNCTION("Ifna(QUERY($A$3:$I$2000, ""select A where B="" &amp; $K74))"),"")</f>
        <v/>
      </c>
      <c r="M74" t="str">
        <f>IFERROR(__xludf.DUMMYFUNCTION("Ifna(QUERY($A$3:$I$2000, ""select A where C="" &amp; $K74))"),"")</f>
        <v/>
      </c>
      <c r="N74" t="str">
        <f>IFERROR(__xludf.DUMMYFUNCTION("Ifna(QUERY($A$3:$I$2000, ""select A where D="" &amp; $K74))"),"")</f>
        <v/>
      </c>
      <c r="O74" t="str">
        <f>IFERROR(__xludf.DUMMYFUNCTION("Ifna(QUERY($A$3:$I$2000, ""select A where E="" &amp; $K74))"),"")</f>
        <v/>
      </c>
      <c r="P74" t="str">
        <f>IFERROR(__xludf.DUMMYFUNCTION("Ifna(QUERY($A$3:$I$2000, ""select A where F="" &amp; $K74))"),"")</f>
        <v/>
      </c>
      <c r="Q74" t="str">
        <f>IFERROR(__xludf.DUMMYFUNCTION("Ifna(QUERY($A$3:$I$2000, ""select A where G="" &amp; $K74))"),"")</f>
        <v/>
      </c>
      <c r="R74" t="str">
        <f>IFERROR(__xludf.DUMMYFUNCTION("Ifna(QUERY($A$3:$I$2000, ""select A where H="" &amp; $K74))"),"")</f>
        <v/>
      </c>
      <c r="S74">
        <f>IFERROR(__xludf.DUMMYFUNCTION("Ifna(QUERY($A$3:$I$2000, ""select A where I="" &amp; $K74))"),42.0)</f>
        <v>42</v>
      </c>
    </row>
    <row r="75">
      <c r="K75" s="2">
        <v>73.0</v>
      </c>
      <c r="L75" t="str">
        <f>IFERROR(__xludf.DUMMYFUNCTION("Ifna(QUERY($A$3:$I$2000, ""select A where B="" &amp; $K75))"),"")</f>
        <v/>
      </c>
      <c r="M75" t="str">
        <f>IFERROR(__xludf.DUMMYFUNCTION("Ifna(QUERY($A$3:$I$2000, ""select A where C="" &amp; $K75))"),"")</f>
        <v/>
      </c>
      <c r="N75" t="str">
        <f>IFERROR(__xludf.DUMMYFUNCTION("Ifna(QUERY($A$3:$I$2000, ""select A where D="" &amp; $K75))"),"")</f>
        <v/>
      </c>
      <c r="O75" t="str">
        <f>IFERROR(__xludf.DUMMYFUNCTION("Ifna(QUERY($A$3:$I$2000, ""select A where E="" &amp; $K75))"),"")</f>
        <v/>
      </c>
      <c r="P75" t="str">
        <f>IFERROR(__xludf.DUMMYFUNCTION("Ifna(QUERY($A$3:$I$2000, ""select A where F="" &amp; $K75))"),"")</f>
        <v/>
      </c>
      <c r="Q75" t="str">
        <f>IFERROR(__xludf.DUMMYFUNCTION("Ifna(QUERY($A$3:$I$2000, ""select A where G="" &amp; $K75))"),"")</f>
        <v/>
      </c>
      <c r="R75">
        <f>IFERROR(__xludf.DUMMYFUNCTION("Ifna(QUERY($A$3:$I$2000, ""select A where H="" &amp; $K75))"),12.0)</f>
        <v>12</v>
      </c>
      <c r="S75" t="str">
        <f>IFERROR(__xludf.DUMMYFUNCTION("Ifna(QUERY($A$3:$I$2000, ""select A where I="" &amp; $K75))"),"")</f>
        <v/>
      </c>
    </row>
    <row r="76">
      <c r="K76" s="2">
        <v>74.0</v>
      </c>
      <c r="L76" t="str">
        <f>IFERROR(__xludf.DUMMYFUNCTION("Ifna(QUERY($A$3:$I$2000, ""select A where B="" &amp; $K76))"),"")</f>
        <v/>
      </c>
      <c r="M76" t="str">
        <f>IFERROR(__xludf.DUMMYFUNCTION("Ifna(QUERY($A$3:$I$2000, ""select A where C="" &amp; $K76))"),"")</f>
        <v/>
      </c>
      <c r="N76" t="str">
        <f>IFERROR(__xludf.DUMMYFUNCTION("Ifna(QUERY($A$3:$I$2000, ""select A where D="" &amp; $K76))"),"")</f>
        <v/>
      </c>
      <c r="O76" t="str">
        <f>IFERROR(__xludf.DUMMYFUNCTION("Ifna(QUERY($A$3:$I$2000, ""select A where E="" &amp; $K76))"),"")</f>
        <v/>
      </c>
      <c r="P76" t="str">
        <f>IFERROR(__xludf.DUMMYFUNCTION("Ifna(QUERY($A$3:$I$2000, ""select A where F="" &amp; $K76))"),"")</f>
        <v/>
      </c>
      <c r="Q76" t="str">
        <f>IFERROR(__xludf.DUMMYFUNCTION("Ifna(QUERY($A$3:$I$2000, ""select A where G="" &amp; $K76))"),"")</f>
        <v/>
      </c>
      <c r="R76" t="str">
        <f>IFERROR(__xludf.DUMMYFUNCTION("Ifna(QUERY($A$3:$I$2000, ""select A where H="" &amp; $K76))"),"")</f>
        <v/>
      </c>
      <c r="S76">
        <f>IFERROR(__xludf.DUMMYFUNCTION("Ifna(QUERY($A$3:$I$2000, ""select A where I="" &amp; $K76))"),41.0)</f>
        <v>41</v>
      </c>
    </row>
    <row r="77">
      <c r="K77" s="2">
        <v>75.0</v>
      </c>
      <c r="L77" t="str">
        <f>IFERROR(__xludf.DUMMYFUNCTION("Ifna(QUERY($A$3:$I$2000, ""select A where B="" &amp; $K77))"),"")</f>
        <v/>
      </c>
      <c r="M77" t="str">
        <f>IFERROR(__xludf.DUMMYFUNCTION("Ifna(QUERY($A$3:$I$2000, ""select A where C="" &amp; $K77))"),"")</f>
        <v/>
      </c>
      <c r="N77" t="str">
        <f>IFERROR(__xludf.DUMMYFUNCTION("Ifna(QUERY($A$3:$I$2000, ""select A where D="" &amp; $K77))"),"")</f>
        <v/>
      </c>
      <c r="O77" t="str">
        <f>IFERROR(__xludf.DUMMYFUNCTION("Ifna(QUERY($A$3:$I$2000, ""select A where E="" &amp; $K77))"),"")</f>
        <v/>
      </c>
      <c r="P77" t="str">
        <f>IFERROR(__xludf.DUMMYFUNCTION("Ifna(QUERY($A$3:$I$2000, ""select A where F="" &amp; $K77))"),"")</f>
        <v/>
      </c>
      <c r="Q77" t="str">
        <f>IFERROR(__xludf.DUMMYFUNCTION("Ifna(QUERY($A$3:$I$2000, ""select A where G="" &amp; $K77))"),"")</f>
        <v/>
      </c>
      <c r="R77" t="str">
        <f>IFERROR(__xludf.DUMMYFUNCTION("Ifna(QUERY($A$3:$I$2000, ""select A where H="" &amp; $K77))"),"")</f>
        <v/>
      </c>
      <c r="S77" t="str">
        <f>IFERROR(__xludf.DUMMYFUNCTION("Ifna(QUERY($A$3:$I$2000, ""select A where I="" &amp; $K77))"),"")</f>
        <v/>
      </c>
    </row>
    <row r="78">
      <c r="K78" s="2">
        <v>76.0</v>
      </c>
      <c r="L78" t="str">
        <f>IFERROR(__xludf.DUMMYFUNCTION("Ifna(QUERY($A$3:$I$2000, ""select A where B="" &amp; $K78))"),"")</f>
        <v/>
      </c>
      <c r="M78" t="str">
        <f>IFERROR(__xludf.DUMMYFUNCTION("Ifna(QUERY($A$3:$I$2000, ""select A where C="" &amp; $K78))"),"")</f>
        <v/>
      </c>
      <c r="N78" t="str">
        <f>IFERROR(__xludf.DUMMYFUNCTION("Ifna(QUERY($A$3:$I$2000, ""select A where D="" &amp; $K78))"),"")</f>
        <v/>
      </c>
      <c r="O78" t="str">
        <f>IFERROR(__xludf.DUMMYFUNCTION("Ifna(QUERY($A$3:$I$2000, ""select A where E="" &amp; $K78))"),"")</f>
        <v/>
      </c>
      <c r="P78" t="str">
        <f>IFERROR(__xludf.DUMMYFUNCTION("Ifna(QUERY($A$3:$I$2000, ""select A where F="" &amp; $K78))"),"")</f>
        <v/>
      </c>
      <c r="Q78" t="str">
        <f>IFERROR(__xludf.DUMMYFUNCTION("Ifna(QUERY($A$3:$I$2000, ""select A where G="" &amp; $K78))"),"")</f>
        <v/>
      </c>
      <c r="R78" t="str">
        <f>IFERROR(__xludf.DUMMYFUNCTION("Ifna(QUERY($A$3:$I$2000, ""select A where H="" &amp; $K78))"),"")</f>
        <v/>
      </c>
      <c r="S78">
        <f>IFERROR(__xludf.DUMMYFUNCTION("Ifna(QUERY($A$3:$I$2000, ""select A where I="" &amp; $K78))"),40.0)</f>
        <v>40</v>
      </c>
    </row>
    <row r="79">
      <c r="K79" s="2">
        <v>77.0</v>
      </c>
      <c r="L79" t="str">
        <f>IFERROR(__xludf.DUMMYFUNCTION("Ifna(QUERY($A$3:$I$2000, ""select A where B="" &amp; $K79))"),"")</f>
        <v/>
      </c>
      <c r="M79" t="str">
        <f>IFERROR(__xludf.DUMMYFUNCTION("Ifna(QUERY($A$3:$I$2000, ""select A where C="" &amp; $K79))"),"")</f>
        <v/>
      </c>
      <c r="N79" t="str">
        <f>IFERROR(__xludf.DUMMYFUNCTION("Ifna(QUERY($A$3:$I$2000, ""select A where D="" &amp; $K79))"),"")</f>
        <v/>
      </c>
      <c r="O79" t="str">
        <f>IFERROR(__xludf.DUMMYFUNCTION("Ifna(QUERY($A$3:$I$2000, ""select A where E="" &amp; $K79))"),"")</f>
        <v/>
      </c>
      <c r="P79" t="str">
        <f>IFERROR(__xludf.DUMMYFUNCTION("Ifna(QUERY($A$3:$I$2000, ""select A where F="" &amp; $K79))"),"")</f>
        <v/>
      </c>
      <c r="Q79" t="str">
        <f>IFERROR(__xludf.DUMMYFUNCTION("Ifna(QUERY($A$3:$I$2000, ""select A where G="" &amp; $K79))"),"")</f>
        <v/>
      </c>
      <c r="R79">
        <f>IFERROR(__xludf.DUMMYFUNCTION("Ifna(QUERY($A$3:$I$2000, ""select A where H="" &amp; $K79))"),11.0)</f>
        <v>11</v>
      </c>
      <c r="S79">
        <f>IFERROR(__xludf.DUMMYFUNCTION("Ifna(QUERY($A$3:$I$2000, ""select A where I="" &amp; $K79))"),39.0)</f>
        <v>39</v>
      </c>
    </row>
    <row r="80">
      <c r="K80" s="2">
        <v>78.0</v>
      </c>
      <c r="L80" t="str">
        <f>IFERROR(__xludf.DUMMYFUNCTION("Ifna(QUERY($A$3:$I$2000, ""select A where B="" &amp; $K80))"),"")</f>
        <v/>
      </c>
      <c r="M80" t="str">
        <f>IFERROR(__xludf.DUMMYFUNCTION("Ifna(QUERY($A$3:$I$2000, ""select A where C="" &amp; $K80))"),"")</f>
        <v/>
      </c>
      <c r="N80" t="str">
        <f>IFERROR(__xludf.DUMMYFUNCTION("Ifna(QUERY($A$3:$I$2000, ""select A where D="" &amp; $K80))"),"")</f>
        <v/>
      </c>
      <c r="O80" t="str">
        <f>IFERROR(__xludf.DUMMYFUNCTION("Ifna(QUERY($A$3:$I$2000, ""select A where E="" &amp; $K80))"),"")</f>
        <v/>
      </c>
      <c r="P80" t="str">
        <f>IFERROR(__xludf.DUMMYFUNCTION("Ifna(QUERY($A$3:$I$2000, ""select A where F="" &amp; $K80))"),"")</f>
        <v/>
      </c>
      <c r="Q80" t="str">
        <f>IFERROR(__xludf.DUMMYFUNCTION("Ifna(QUERY($A$3:$I$2000, ""select A where G="" &amp; $K80))"),"")</f>
        <v/>
      </c>
      <c r="R80" t="str">
        <f>IFERROR(__xludf.DUMMYFUNCTION("Ifna(QUERY($A$3:$I$2000, ""select A where H="" &amp; $K80))"),"")</f>
        <v/>
      </c>
      <c r="S80" t="str">
        <f>IFERROR(__xludf.DUMMYFUNCTION("Ifna(QUERY($A$3:$I$2000, ""select A where I="" &amp; $K80))"),"")</f>
        <v/>
      </c>
    </row>
    <row r="81">
      <c r="K81" s="2">
        <v>79.0</v>
      </c>
      <c r="L81" t="str">
        <f>IFERROR(__xludf.DUMMYFUNCTION("Ifna(QUERY($A$3:$I$2000, ""select A where B="" &amp; $K81))"),"")</f>
        <v/>
      </c>
      <c r="M81" t="str">
        <f>IFERROR(__xludf.DUMMYFUNCTION("Ifna(QUERY($A$3:$I$2000, ""select A where C="" &amp; $K81))"),"")</f>
        <v/>
      </c>
      <c r="N81" t="str">
        <f>IFERROR(__xludf.DUMMYFUNCTION("Ifna(QUERY($A$3:$I$2000, ""select A where D="" &amp; $K81))"),"")</f>
        <v/>
      </c>
      <c r="O81" t="str">
        <f>IFERROR(__xludf.DUMMYFUNCTION("Ifna(QUERY($A$3:$I$2000, ""select A where E="" &amp; $K81))"),"")</f>
        <v/>
      </c>
      <c r="P81" t="str">
        <f>IFERROR(__xludf.DUMMYFUNCTION("Ifna(QUERY($A$3:$I$2000, ""select A where F="" &amp; $K81))"),"")</f>
        <v/>
      </c>
      <c r="Q81" t="str">
        <f>IFERROR(__xludf.DUMMYFUNCTION("Ifna(QUERY($A$3:$I$2000, ""select A where G="" &amp; $K81))"),"")</f>
        <v/>
      </c>
      <c r="R81" t="str">
        <f>IFERROR(__xludf.DUMMYFUNCTION("Ifna(QUERY($A$3:$I$2000, ""select A where H="" &amp; $K81))"),"")</f>
        <v/>
      </c>
      <c r="S81">
        <f>IFERROR(__xludf.DUMMYFUNCTION("Ifna(QUERY($A$3:$I$2000, ""select A where I="" &amp; $K81))"),38.0)</f>
        <v>38</v>
      </c>
    </row>
    <row r="82">
      <c r="K82" s="2">
        <v>80.0</v>
      </c>
      <c r="L82" t="str">
        <f>IFERROR(__xludf.DUMMYFUNCTION("Ifna(QUERY($A$3:$I$2000, ""select A where B="" &amp; $K82))"),"")</f>
        <v/>
      </c>
      <c r="M82" t="str">
        <f>IFERROR(__xludf.DUMMYFUNCTION("Ifna(QUERY($A$3:$I$2000, ""select A where C="" &amp; $K82))"),"")</f>
        <v/>
      </c>
      <c r="N82" t="str">
        <f>IFERROR(__xludf.DUMMYFUNCTION("Ifna(QUERY($A$3:$I$2000, ""select A where D="" &amp; $K82))"),"")</f>
        <v/>
      </c>
      <c r="O82" t="str">
        <f>IFERROR(__xludf.DUMMYFUNCTION("Ifna(QUERY($A$3:$I$2000, ""select A where E="" &amp; $K82))"),"")</f>
        <v/>
      </c>
      <c r="P82" t="str">
        <f>IFERROR(__xludf.DUMMYFUNCTION("Ifna(QUERY($A$3:$I$2000, ""select A where F="" &amp; $K82))"),"")</f>
        <v/>
      </c>
      <c r="Q82" t="str">
        <f>IFERROR(__xludf.DUMMYFUNCTION("Ifna(QUERY($A$3:$I$2000, ""select A where G="" &amp; $K82))"),"")</f>
        <v/>
      </c>
      <c r="R82" t="str">
        <f>IFERROR(__xludf.DUMMYFUNCTION("Ifna(QUERY($A$3:$I$2000, ""select A where H="" &amp; $K82))"),"")</f>
        <v/>
      </c>
      <c r="S82" t="str">
        <f>IFERROR(__xludf.DUMMYFUNCTION("Ifna(QUERY($A$3:$I$2000, ""select A where I="" &amp; $K82))"),"")</f>
        <v/>
      </c>
    </row>
    <row r="83">
      <c r="K83" s="2">
        <v>81.0</v>
      </c>
      <c r="L83" t="str">
        <f>IFERROR(__xludf.DUMMYFUNCTION("Ifna(QUERY($A$3:$I$2000, ""select A where B="" &amp; $K83))"),"")</f>
        <v/>
      </c>
      <c r="M83" t="str">
        <f>IFERROR(__xludf.DUMMYFUNCTION("Ifna(QUERY($A$3:$I$2000, ""select A where C="" &amp; $K83))"),"")</f>
        <v/>
      </c>
      <c r="N83" t="str">
        <f>IFERROR(__xludf.DUMMYFUNCTION("Ifna(QUERY($A$3:$I$2000, ""select A where D="" &amp; $K83))"),"")</f>
        <v/>
      </c>
      <c r="O83" t="str">
        <f>IFERROR(__xludf.DUMMYFUNCTION("Ifna(QUERY($A$3:$I$2000, ""select A where E="" &amp; $K83))"),"")</f>
        <v/>
      </c>
      <c r="P83" t="str">
        <f>IFERROR(__xludf.DUMMYFUNCTION("Ifna(QUERY($A$3:$I$2000, ""select A where F="" &amp; $K83))"),"")</f>
        <v/>
      </c>
      <c r="Q83" t="str">
        <f>IFERROR(__xludf.DUMMYFUNCTION("Ifna(QUERY($A$3:$I$2000, ""select A where G="" &amp; $K83))"),"")</f>
        <v/>
      </c>
      <c r="R83" t="str">
        <f>IFERROR(__xludf.DUMMYFUNCTION("Ifna(QUERY($A$3:$I$2000, ""select A where H="" &amp; $K83))"),"")</f>
        <v/>
      </c>
      <c r="S83">
        <f>IFERROR(__xludf.DUMMYFUNCTION("Ifna(QUERY($A$3:$I$2000, ""select A where I="" &amp; $K83))"),37.0)</f>
        <v>37</v>
      </c>
    </row>
    <row r="84">
      <c r="K84" s="2">
        <v>82.0</v>
      </c>
      <c r="L84" t="str">
        <f>IFERROR(__xludf.DUMMYFUNCTION("Ifna(QUERY($A$3:$I$2000, ""select A where B="" &amp; $K84))"),"")</f>
        <v/>
      </c>
      <c r="M84" t="str">
        <f>IFERROR(__xludf.DUMMYFUNCTION("Ifna(QUERY($A$3:$I$2000, ""select A where C="" &amp; $K84))"),"")</f>
        <v/>
      </c>
      <c r="N84" t="str">
        <f>IFERROR(__xludf.DUMMYFUNCTION("Ifna(QUERY($A$3:$I$2000, ""select A where D="" &amp; $K84))"),"")</f>
        <v/>
      </c>
      <c r="O84" t="str">
        <f>IFERROR(__xludf.DUMMYFUNCTION("Ifna(QUERY($A$3:$I$2000, ""select A where E="" &amp; $K84))"),"")</f>
        <v/>
      </c>
      <c r="P84" t="str">
        <f>IFERROR(__xludf.DUMMYFUNCTION("Ifna(QUERY($A$3:$I$2000, ""select A where F="" &amp; $K84))"),"")</f>
        <v/>
      </c>
      <c r="Q84" t="str">
        <f>IFERROR(__xludf.DUMMYFUNCTION("Ifna(QUERY($A$3:$I$2000, ""select A where G="" &amp; $K84))"),"")</f>
        <v/>
      </c>
      <c r="R84">
        <f>IFERROR(__xludf.DUMMYFUNCTION("Ifna(QUERY($A$3:$I$2000, ""select A where H="" &amp; $K84))"),10.0)</f>
        <v>10</v>
      </c>
      <c r="S84" t="str">
        <f>IFERROR(__xludf.DUMMYFUNCTION("Ifna(QUERY($A$3:$I$2000, ""select A where I="" &amp; $K84))"),"")</f>
        <v/>
      </c>
    </row>
    <row r="85">
      <c r="K85" s="2">
        <v>83.0</v>
      </c>
      <c r="L85" t="str">
        <f>IFERROR(__xludf.DUMMYFUNCTION("Ifna(QUERY($A$3:$I$2000, ""select A where B="" &amp; $K85))"),"")</f>
        <v/>
      </c>
      <c r="M85" t="str">
        <f>IFERROR(__xludf.DUMMYFUNCTION("Ifna(QUERY($A$3:$I$2000, ""select A where C="" &amp; $K85))"),"")</f>
        <v/>
      </c>
      <c r="N85" t="str">
        <f>IFERROR(__xludf.DUMMYFUNCTION("Ifna(QUERY($A$3:$I$2000, ""select A where D="" &amp; $K85))"),"")</f>
        <v/>
      </c>
      <c r="O85" t="str">
        <f>IFERROR(__xludf.DUMMYFUNCTION("Ifna(QUERY($A$3:$I$2000, ""select A where E="" &amp; $K85))"),"")</f>
        <v/>
      </c>
      <c r="P85" t="str">
        <f>IFERROR(__xludf.DUMMYFUNCTION("Ifna(QUERY($A$3:$I$2000, ""select A where F="" &amp; $K85))"),"")</f>
        <v/>
      </c>
      <c r="Q85" t="str">
        <f>IFERROR(__xludf.DUMMYFUNCTION("Ifna(QUERY($A$3:$I$2000, ""select A where G="" &amp; $K85))"),"")</f>
        <v/>
      </c>
      <c r="R85" t="str">
        <f>IFERROR(__xludf.DUMMYFUNCTION("Ifna(QUERY($A$3:$I$2000, ""select A where H="" &amp; $K85))"),"")</f>
        <v/>
      </c>
      <c r="S85">
        <f>IFERROR(__xludf.DUMMYFUNCTION("Ifna(QUERY($A$3:$I$2000, ""select A where I="" &amp; $K85))"),36.0)</f>
        <v>36</v>
      </c>
    </row>
    <row r="86">
      <c r="K86" s="2">
        <v>84.0</v>
      </c>
      <c r="L86" t="str">
        <f>IFERROR(__xludf.DUMMYFUNCTION("Ifna(QUERY($A$3:$I$2000, ""select A where B="" &amp; $K86))"),"")</f>
        <v/>
      </c>
      <c r="M86" t="str">
        <f>IFERROR(__xludf.DUMMYFUNCTION("Ifna(QUERY($A$3:$I$2000, ""select A where C="" &amp; $K86))"),"")</f>
        <v/>
      </c>
      <c r="N86" t="str">
        <f>IFERROR(__xludf.DUMMYFUNCTION("Ifna(QUERY($A$3:$I$2000, ""select A where D="" &amp; $K86))"),"")</f>
        <v/>
      </c>
      <c r="O86" t="str">
        <f>IFERROR(__xludf.DUMMYFUNCTION("Ifna(QUERY($A$3:$I$2000, ""select A where E="" &amp; $K86))"),"")</f>
        <v/>
      </c>
      <c r="P86" t="str">
        <f>IFERROR(__xludf.DUMMYFUNCTION("Ifna(QUERY($A$3:$I$2000, ""select A where F="" &amp; $K86))"),"")</f>
        <v/>
      </c>
      <c r="Q86" t="str">
        <f>IFERROR(__xludf.DUMMYFUNCTION("Ifna(QUERY($A$3:$I$2000, ""select A where G="" &amp; $K86))"),"")</f>
        <v/>
      </c>
      <c r="R86" t="str">
        <f>IFERROR(__xludf.DUMMYFUNCTION("Ifna(QUERY($A$3:$I$2000, ""select A where H="" &amp; $K86))"),"")</f>
        <v/>
      </c>
      <c r="S86" t="str">
        <f>IFERROR(__xludf.DUMMYFUNCTION("Ifna(QUERY($A$3:$I$2000, ""select A where I="" &amp; $K86))"),"")</f>
        <v/>
      </c>
    </row>
    <row r="87">
      <c r="K87" s="2">
        <v>85.0</v>
      </c>
      <c r="L87" t="str">
        <f>IFERROR(__xludf.DUMMYFUNCTION("Ifna(QUERY($A$3:$I$2000, ""select A where B="" &amp; $K87))"),"")</f>
        <v/>
      </c>
      <c r="M87" t="str">
        <f>IFERROR(__xludf.DUMMYFUNCTION("Ifna(QUERY($A$3:$I$2000, ""select A where C="" &amp; $K87))"),"")</f>
        <v/>
      </c>
      <c r="N87" t="str">
        <f>IFERROR(__xludf.DUMMYFUNCTION("Ifna(QUERY($A$3:$I$2000, ""select A where D="" &amp; $K87))"),"")</f>
        <v/>
      </c>
      <c r="O87" t="str">
        <f>IFERROR(__xludf.DUMMYFUNCTION("Ifna(QUERY($A$3:$I$2000, ""select A where E="" &amp; $K87))"),"")</f>
        <v/>
      </c>
      <c r="P87" t="str">
        <f>IFERROR(__xludf.DUMMYFUNCTION("Ifna(QUERY($A$3:$I$2000, ""select A where F="" &amp; $K87))"),"")</f>
        <v/>
      </c>
      <c r="Q87" t="str">
        <f>IFERROR(__xludf.DUMMYFUNCTION("Ifna(QUERY($A$3:$I$2000, ""select A where G="" &amp; $K87))"),"")</f>
        <v/>
      </c>
      <c r="R87" t="str">
        <f>IFERROR(__xludf.DUMMYFUNCTION("Ifna(QUERY($A$3:$I$2000, ""select A where H="" &amp; $K87))"),"")</f>
        <v/>
      </c>
      <c r="S87">
        <f>IFERROR(__xludf.DUMMYFUNCTION("Ifna(QUERY($A$3:$I$2000, ""select A where I="" &amp; $K87))"),35.0)</f>
        <v>35</v>
      </c>
    </row>
    <row r="88">
      <c r="K88" s="2">
        <v>86.0</v>
      </c>
      <c r="L88" t="str">
        <f>IFERROR(__xludf.DUMMYFUNCTION("Ifna(QUERY($A$3:$I$2000, ""select A where B="" &amp; $K88))"),"")</f>
        <v/>
      </c>
      <c r="M88" t="str">
        <f>IFERROR(__xludf.DUMMYFUNCTION("Ifna(QUERY($A$3:$I$2000, ""select A where C="" &amp; $K88))"),"")</f>
        <v/>
      </c>
      <c r="N88" t="str">
        <f>IFERROR(__xludf.DUMMYFUNCTION("Ifna(QUERY($A$3:$I$2000, ""select A where D="" &amp; $K88))"),"")</f>
        <v/>
      </c>
      <c r="O88" t="str">
        <f>IFERROR(__xludf.DUMMYFUNCTION("Ifna(QUERY($A$3:$I$2000, ""select A where E="" &amp; $K88))"),"")</f>
        <v/>
      </c>
      <c r="P88" t="str">
        <f>IFERROR(__xludf.DUMMYFUNCTION("Ifna(QUERY($A$3:$I$2000, ""select A where F="" &amp; $K88))"),"")</f>
        <v/>
      </c>
      <c r="Q88" t="str">
        <f>IFERROR(__xludf.DUMMYFUNCTION("Ifna(QUERY($A$3:$I$2000, ""select A where G="" &amp; $K88))"),"")</f>
        <v/>
      </c>
      <c r="R88" t="str">
        <f>IFERROR(__xludf.DUMMYFUNCTION("Ifna(QUERY($A$3:$I$2000, ""select A where H="" &amp; $K88))"),"")</f>
        <v/>
      </c>
      <c r="S88" t="str">
        <f>IFERROR(__xludf.DUMMYFUNCTION("Ifna(QUERY($A$3:$I$2000, ""select A where I="" &amp; $K88))"),"")</f>
        <v/>
      </c>
    </row>
    <row r="89">
      <c r="K89" s="2">
        <v>87.0</v>
      </c>
      <c r="L89" t="str">
        <f>IFERROR(__xludf.DUMMYFUNCTION("Ifna(QUERY($A$3:$I$2000, ""select A where B="" &amp; $K89))"),"")</f>
        <v/>
      </c>
      <c r="M89" t="str">
        <f>IFERROR(__xludf.DUMMYFUNCTION("Ifna(QUERY($A$3:$I$2000, ""select A where C="" &amp; $K89))"),"")</f>
        <v/>
      </c>
      <c r="N89" t="str">
        <f>IFERROR(__xludf.DUMMYFUNCTION("Ifna(QUERY($A$3:$I$2000, ""select A where D="" &amp; $K89))"),"")</f>
        <v/>
      </c>
      <c r="O89" t="str">
        <f>IFERROR(__xludf.DUMMYFUNCTION("Ifna(QUERY($A$3:$I$2000, ""select A where E="" &amp; $K89))"),"")</f>
        <v/>
      </c>
      <c r="P89" t="str">
        <f>IFERROR(__xludf.DUMMYFUNCTION("Ifna(QUERY($A$3:$I$2000, ""select A where F="" &amp; $K89))"),"")</f>
        <v/>
      </c>
      <c r="Q89" t="str">
        <f>IFERROR(__xludf.DUMMYFUNCTION("Ifna(QUERY($A$3:$I$2000, ""select A where G="" &amp; $K89))"),"")</f>
        <v/>
      </c>
      <c r="R89">
        <f>IFERROR(__xludf.DUMMYFUNCTION("Ifna(QUERY($A$3:$I$2000, ""select A where H="" &amp; $K89))"),9.0)</f>
        <v>9</v>
      </c>
      <c r="S89">
        <f>IFERROR(__xludf.DUMMYFUNCTION("Ifna(QUERY($A$3:$I$2000, ""select A where I="" &amp; $K89))"),34.0)</f>
        <v>34</v>
      </c>
    </row>
    <row r="90">
      <c r="K90" s="2">
        <v>88.0</v>
      </c>
      <c r="L90" t="str">
        <f>IFERROR(__xludf.DUMMYFUNCTION("Ifna(QUERY($A$3:$I$2000, ""select A where B="" &amp; $K90))"),"")</f>
        <v/>
      </c>
      <c r="M90" t="str">
        <f>IFERROR(__xludf.DUMMYFUNCTION("Ifna(QUERY($A$3:$I$2000, ""select A where C="" &amp; $K90))"),"")</f>
        <v/>
      </c>
      <c r="N90" t="str">
        <f>IFERROR(__xludf.DUMMYFUNCTION("Ifna(QUERY($A$3:$I$2000, ""select A where D="" &amp; $K90))"),"")</f>
        <v/>
      </c>
      <c r="O90" t="str">
        <f>IFERROR(__xludf.DUMMYFUNCTION("Ifna(QUERY($A$3:$I$2000, ""select A where E="" &amp; $K90))"),"")</f>
        <v/>
      </c>
      <c r="P90" t="str">
        <f>IFERROR(__xludf.DUMMYFUNCTION("Ifna(QUERY($A$3:$I$2000, ""select A where F="" &amp; $K90))"),"")</f>
        <v/>
      </c>
      <c r="Q90" t="str">
        <f>IFERROR(__xludf.DUMMYFUNCTION("Ifna(QUERY($A$3:$I$2000, ""select A where G="" &amp; $K90))"),"")</f>
        <v/>
      </c>
      <c r="R90" t="str">
        <f>IFERROR(__xludf.DUMMYFUNCTION("Ifna(QUERY($A$3:$I$2000, ""select A where H="" &amp; $K90))"),"")</f>
        <v/>
      </c>
      <c r="S90" t="str">
        <f>IFERROR(__xludf.DUMMYFUNCTION("Ifna(QUERY($A$3:$I$2000, ""select A where I="" &amp; $K90))"),"")</f>
        <v/>
      </c>
    </row>
    <row r="91">
      <c r="K91" s="2">
        <v>89.0</v>
      </c>
      <c r="L91" t="str">
        <f>IFERROR(__xludf.DUMMYFUNCTION("Ifna(QUERY($A$3:$I$2000, ""select A where B="" &amp; $K91))"),"")</f>
        <v/>
      </c>
      <c r="M91" t="str">
        <f>IFERROR(__xludf.DUMMYFUNCTION("Ifna(QUERY($A$3:$I$2000, ""select A where C="" &amp; $K91))"),"")</f>
        <v/>
      </c>
      <c r="N91" t="str">
        <f>IFERROR(__xludf.DUMMYFUNCTION("Ifna(QUERY($A$3:$I$2000, ""select A where D="" &amp; $K91))"),"")</f>
        <v/>
      </c>
      <c r="O91" t="str">
        <f>IFERROR(__xludf.DUMMYFUNCTION("Ifna(QUERY($A$3:$I$2000, ""select A where E="" &amp; $K91))"),"")</f>
        <v/>
      </c>
      <c r="P91" t="str">
        <f>IFERROR(__xludf.DUMMYFUNCTION("Ifna(QUERY($A$3:$I$2000, ""select A where F="" &amp; $K91))"),"")</f>
        <v/>
      </c>
      <c r="Q91" t="str">
        <f>IFERROR(__xludf.DUMMYFUNCTION("Ifna(QUERY($A$3:$I$2000, ""select A where G="" &amp; $K91))"),"")</f>
        <v/>
      </c>
      <c r="R91" t="str">
        <f>IFERROR(__xludf.DUMMYFUNCTION("Ifna(QUERY($A$3:$I$2000, ""select A where H="" &amp; $K91))"),"")</f>
        <v/>
      </c>
      <c r="S91">
        <f>IFERROR(__xludf.DUMMYFUNCTION("Ifna(QUERY($A$3:$I$2000, ""select A where I="" &amp; $K91))"),33.0)</f>
        <v>33</v>
      </c>
    </row>
    <row r="92">
      <c r="K92" s="2">
        <v>90.0</v>
      </c>
      <c r="L92" t="str">
        <f>IFERROR(__xludf.DUMMYFUNCTION("Ifna(QUERY($A$3:$I$2000, ""select A where B="" &amp; $K92))"),"")</f>
        <v/>
      </c>
      <c r="M92" t="str">
        <f>IFERROR(__xludf.DUMMYFUNCTION("Ifna(QUERY($A$3:$I$2000, ""select A where C="" &amp; $K92))"),"")</f>
        <v/>
      </c>
      <c r="N92" t="str">
        <f>IFERROR(__xludf.DUMMYFUNCTION("Ifna(QUERY($A$3:$I$2000, ""select A where D="" &amp; $K92))"),"")</f>
        <v/>
      </c>
      <c r="O92" t="str">
        <f>IFERROR(__xludf.DUMMYFUNCTION("Ifna(QUERY($A$3:$I$2000, ""select A where E="" &amp; $K92))"),"")</f>
        <v/>
      </c>
      <c r="P92" t="str">
        <f>IFERROR(__xludf.DUMMYFUNCTION("Ifna(QUERY($A$3:$I$2000, ""select A where F="" &amp; $K92))"),"")</f>
        <v/>
      </c>
      <c r="Q92" t="str">
        <f>IFERROR(__xludf.DUMMYFUNCTION("Ifna(QUERY($A$3:$I$2000, ""select A where G="" &amp; $K92))"),"")</f>
        <v/>
      </c>
      <c r="R92" t="str">
        <f>IFERROR(__xludf.DUMMYFUNCTION("Ifna(QUERY($A$3:$I$2000, ""select A where H="" &amp; $K92))"),"")</f>
        <v/>
      </c>
      <c r="S92" t="str">
        <f>IFERROR(__xludf.DUMMYFUNCTION("Ifna(QUERY($A$3:$I$2000, ""select A where I="" &amp; $K92))"),"")</f>
        <v/>
      </c>
    </row>
    <row r="93">
      <c r="K93" s="2">
        <v>91.0</v>
      </c>
      <c r="L93" t="str">
        <f>IFERROR(__xludf.DUMMYFUNCTION("Ifna(QUERY($A$3:$I$2000, ""select A where B="" &amp; $K93))"),"")</f>
        <v/>
      </c>
      <c r="M93" t="str">
        <f>IFERROR(__xludf.DUMMYFUNCTION("Ifna(QUERY($A$3:$I$2000, ""select A where C="" &amp; $K93))"),"")</f>
        <v/>
      </c>
      <c r="N93" t="str">
        <f>IFERROR(__xludf.DUMMYFUNCTION("Ifna(QUERY($A$3:$I$2000, ""select A where D="" &amp; $K93))"),"")</f>
        <v/>
      </c>
      <c r="O93" t="str">
        <f>IFERROR(__xludf.DUMMYFUNCTION("Ifna(QUERY($A$3:$I$2000, ""select A where E="" &amp; $K93))"),"")</f>
        <v/>
      </c>
      <c r="P93" t="str">
        <f>IFERROR(__xludf.DUMMYFUNCTION("Ifna(QUERY($A$3:$I$2000, ""select A where F="" &amp; $K93))"),"")</f>
        <v/>
      </c>
      <c r="Q93" t="str">
        <f>IFERROR(__xludf.DUMMYFUNCTION("Ifna(QUERY($A$3:$I$2000, ""select A where G="" &amp; $K93))"),"")</f>
        <v/>
      </c>
      <c r="R93">
        <f>IFERROR(__xludf.DUMMYFUNCTION("Ifna(QUERY($A$3:$I$2000, ""select A where H="" &amp; $K93))"),8.0)</f>
        <v>8</v>
      </c>
      <c r="S93" t="str">
        <f>IFERROR(__xludf.DUMMYFUNCTION("Ifna(QUERY($A$3:$I$2000, ""select A where I="" &amp; $K93))"),"")</f>
        <v/>
      </c>
    </row>
    <row r="94">
      <c r="K94" s="2">
        <v>92.0</v>
      </c>
      <c r="L94" t="str">
        <f>IFERROR(__xludf.DUMMYFUNCTION("Ifna(QUERY($A$3:$I$2000, ""select A where B="" &amp; $K94))"),"")</f>
        <v/>
      </c>
      <c r="M94" t="str">
        <f>IFERROR(__xludf.DUMMYFUNCTION("Ifna(QUERY($A$3:$I$2000, ""select A where C="" &amp; $K94))"),"")</f>
        <v/>
      </c>
      <c r="N94" t="str">
        <f>IFERROR(__xludf.DUMMYFUNCTION("Ifna(QUERY($A$3:$I$2000, ""select A where D="" &amp; $K94))"),"")</f>
        <v/>
      </c>
      <c r="O94" t="str">
        <f>IFERROR(__xludf.DUMMYFUNCTION("Ifna(QUERY($A$3:$I$2000, ""select A where E="" &amp; $K94))"),"")</f>
        <v/>
      </c>
      <c r="P94" t="str">
        <f>IFERROR(__xludf.DUMMYFUNCTION("Ifna(QUERY($A$3:$I$2000, ""select A where F="" &amp; $K94))"),"")</f>
        <v/>
      </c>
      <c r="Q94" t="str">
        <f>IFERROR(__xludf.DUMMYFUNCTION("Ifna(QUERY($A$3:$I$2000, ""select A where G="" &amp; $K94))"),"")</f>
        <v/>
      </c>
      <c r="R94" t="str">
        <f>IFERROR(__xludf.DUMMYFUNCTION("Ifna(QUERY($A$3:$I$2000, ""select A where H="" &amp; $K94))"),"")</f>
        <v/>
      </c>
      <c r="S94">
        <f>IFERROR(__xludf.DUMMYFUNCTION("Ifna(QUERY($A$3:$I$2000, ""select A where I="" &amp; $K94))"),32.0)</f>
        <v>32</v>
      </c>
    </row>
    <row r="95">
      <c r="K95" s="2">
        <v>93.0</v>
      </c>
      <c r="L95" t="str">
        <f>IFERROR(__xludf.DUMMYFUNCTION("Ifna(QUERY($A$3:$I$2000, ""select A where B="" &amp; $K95))"),"")</f>
        <v/>
      </c>
      <c r="M95" t="str">
        <f>IFERROR(__xludf.DUMMYFUNCTION("Ifna(QUERY($A$3:$I$2000, ""select A where C="" &amp; $K95))"),"")</f>
        <v/>
      </c>
      <c r="N95" t="str">
        <f>IFERROR(__xludf.DUMMYFUNCTION("Ifna(QUERY($A$3:$I$2000, ""select A where D="" &amp; $K95))"),"")</f>
        <v/>
      </c>
      <c r="O95" t="str">
        <f>IFERROR(__xludf.DUMMYFUNCTION("Ifna(QUERY($A$3:$I$2000, ""select A where E="" &amp; $K95))"),"")</f>
        <v/>
      </c>
      <c r="P95" t="str">
        <f>IFERROR(__xludf.DUMMYFUNCTION("Ifna(QUERY($A$3:$I$2000, ""select A where F="" &amp; $K95))"),"")</f>
        <v/>
      </c>
      <c r="Q95" t="str">
        <f>IFERROR(__xludf.DUMMYFUNCTION("Ifna(QUERY($A$3:$I$2000, ""select A where G="" &amp; $K95))"),"")</f>
        <v/>
      </c>
      <c r="R95" t="str">
        <f>IFERROR(__xludf.DUMMYFUNCTION("Ifna(QUERY($A$3:$I$2000, ""select A where H="" &amp; $K95))"),"")</f>
        <v/>
      </c>
      <c r="S95" t="str">
        <f>IFERROR(__xludf.DUMMYFUNCTION("Ifna(QUERY($A$3:$I$2000, ""select A where I="" &amp; $K95))"),"")</f>
        <v/>
      </c>
    </row>
    <row r="96">
      <c r="K96" s="2">
        <v>94.0</v>
      </c>
      <c r="L96" t="str">
        <f>IFERROR(__xludf.DUMMYFUNCTION("Ifna(QUERY($A$3:$I$2000, ""select A where B="" &amp; $K96))"),"")</f>
        <v/>
      </c>
      <c r="M96" t="str">
        <f>IFERROR(__xludf.DUMMYFUNCTION("Ifna(QUERY($A$3:$I$2000, ""select A where C="" &amp; $K96))"),"")</f>
        <v/>
      </c>
      <c r="N96" t="str">
        <f>IFERROR(__xludf.DUMMYFUNCTION("Ifna(QUERY($A$3:$I$2000, ""select A where D="" &amp; $K96))"),"")</f>
        <v/>
      </c>
      <c r="O96" t="str">
        <f>IFERROR(__xludf.DUMMYFUNCTION("Ifna(QUERY($A$3:$I$2000, ""select A where E="" &amp; $K96))"),"")</f>
        <v/>
      </c>
      <c r="P96" t="str">
        <f>IFERROR(__xludf.DUMMYFUNCTION("Ifna(QUERY($A$3:$I$2000, ""select A where F="" &amp; $K96))"),"")</f>
        <v/>
      </c>
      <c r="Q96" t="str">
        <f>IFERROR(__xludf.DUMMYFUNCTION("Ifna(QUERY($A$3:$I$2000, ""select A where G="" &amp; $K96))"),"")</f>
        <v/>
      </c>
      <c r="R96" t="str">
        <f>IFERROR(__xludf.DUMMYFUNCTION("Ifna(QUERY($A$3:$I$2000, ""select A where H="" &amp; $K96))"),"")</f>
        <v/>
      </c>
      <c r="S96">
        <f>IFERROR(__xludf.DUMMYFUNCTION("Ifna(QUERY($A$3:$I$2000, ""select A where I="" &amp; $K96))"),31.0)</f>
        <v>31</v>
      </c>
    </row>
    <row r="97">
      <c r="K97" s="2">
        <v>95.0</v>
      </c>
      <c r="L97" t="str">
        <f>IFERROR(__xludf.DUMMYFUNCTION("Ifna(QUERY($A$3:$I$2000, ""select A where B="" &amp; $K97))"),"")</f>
        <v/>
      </c>
      <c r="M97" t="str">
        <f>IFERROR(__xludf.DUMMYFUNCTION("Ifna(QUERY($A$3:$I$2000, ""select A where C="" &amp; $K97))"),"")</f>
        <v/>
      </c>
      <c r="N97" t="str">
        <f>IFERROR(__xludf.DUMMYFUNCTION("Ifna(QUERY($A$3:$I$2000, ""select A where D="" &amp; $K97))"),"")</f>
        <v/>
      </c>
      <c r="O97" t="str">
        <f>IFERROR(__xludf.DUMMYFUNCTION("Ifna(QUERY($A$3:$I$2000, ""select A where E="" &amp; $K97))"),"")</f>
        <v/>
      </c>
      <c r="P97" t="str">
        <f>IFERROR(__xludf.DUMMYFUNCTION("Ifna(QUERY($A$3:$I$2000, ""select A where F="" &amp; $K97))"),"")</f>
        <v/>
      </c>
      <c r="Q97" t="str">
        <f>IFERROR(__xludf.DUMMYFUNCTION("Ifna(QUERY($A$3:$I$2000, ""select A where G="" &amp; $K97))"),"")</f>
        <v/>
      </c>
      <c r="R97" t="str">
        <f>IFERROR(__xludf.DUMMYFUNCTION("Ifna(QUERY($A$3:$I$2000, ""select A where H="" &amp; $K97))"),"")</f>
        <v/>
      </c>
      <c r="S97" t="str">
        <f>IFERROR(__xludf.DUMMYFUNCTION("Ifna(QUERY($A$3:$I$2000, ""select A where I="" &amp; $K97))"),"")</f>
        <v/>
      </c>
    </row>
    <row r="98">
      <c r="K98" s="2">
        <v>96.0</v>
      </c>
      <c r="L98" t="str">
        <f>IFERROR(__xludf.DUMMYFUNCTION("Ifna(QUERY($A$3:$I$2000, ""select A where B="" &amp; $K98))"),"")</f>
        <v/>
      </c>
      <c r="M98" t="str">
        <f>IFERROR(__xludf.DUMMYFUNCTION("Ifna(QUERY($A$3:$I$2000, ""select A where C="" &amp; $K98))"),"")</f>
        <v/>
      </c>
      <c r="N98" t="str">
        <f>IFERROR(__xludf.DUMMYFUNCTION("Ifna(QUERY($A$3:$I$2000, ""select A where D="" &amp; $K98))"),"")</f>
        <v/>
      </c>
      <c r="O98" t="str">
        <f>IFERROR(__xludf.DUMMYFUNCTION("Ifna(QUERY($A$3:$I$2000, ""select A where E="" &amp; $K98))"),"")</f>
        <v/>
      </c>
      <c r="P98" t="str">
        <f>IFERROR(__xludf.DUMMYFUNCTION("Ifna(QUERY($A$3:$I$2000, ""select A where F="" &amp; $K98))"),"")</f>
        <v/>
      </c>
      <c r="Q98" t="str">
        <f>IFERROR(__xludf.DUMMYFUNCTION("Ifna(QUERY($A$3:$I$2000, ""select A where G="" &amp; $K98))"),"")</f>
        <v/>
      </c>
      <c r="R98" t="str">
        <f>IFERROR(__xludf.DUMMYFUNCTION("Ifna(QUERY($A$3:$I$2000, ""select A where H="" &amp; $K98))"),"")</f>
        <v/>
      </c>
      <c r="S98" t="str">
        <f>IFERROR(__xludf.DUMMYFUNCTION("Ifna(QUERY($A$3:$I$2000, ""select A where I="" &amp; $K98))"),"")</f>
        <v/>
      </c>
    </row>
    <row r="99">
      <c r="K99" s="2">
        <v>97.0</v>
      </c>
      <c r="L99" t="str">
        <f>IFERROR(__xludf.DUMMYFUNCTION("Ifna(QUERY($A$3:$I$2000, ""select A where B="" &amp; $K99))"),"")</f>
        <v/>
      </c>
      <c r="M99" t="str">
        <f>IFERROR(__xludf.DUMMYFUNCTION("Ifna(QUERY($A$3:$I$2000, ""select A where C="" &amp; $K99))"),"")</f>
        <v/>
      </c>
      <c r="N99" t="str">
        <f>IFERROR(__xludf.DUMMYFUNCTION("Ifna(QUERY($A$3:$I$2000, ""select A where D="" &amp; $K99))"),"")</f>
        <v/>
      </c>
      <c r="O99" t="str">
        <f>IFERROR(__xludf.DUMMYFUNCTION("Ifna(QUERY($A$3:$I$2000, ""select A where E="" &amp; $K99))"),"")</f>
        <v/>
      </c>
      <c r="P99" t="str">
        <f>IFERROR(__xludf.DUMMYFUNCTION("Ifna(QUERY($A$3:$I$2000, ""select A where F="" &amp; $K99))"),"")</f>
        <v/>
      </c>
      <c r="Q99" t="str">
        <f>IFERROR(__xludf.DUMMYFUNCTION("Ifna(QUERY($A$3:$I$2000, ""select A where G="" &amp; $K99))"),"")</f>
        <v/>
      </c>
      <c r="R99">
        <f>IFERROR(__xludf.DUMMYFUNCTION("Ifna(QUERY($A$3:$I$2000, ""select A where H="" &amp; $K99))"),7.0)</f>
        <v>7</v>
      </c>
      <c r="S99">
        <f>IFERROR(__xludf.DUMMYFUNCTION("Ifna(QUERY($A$3:$I$2000, ""select A where I="" &amp; $K99))"),30.0)</f>
        <v>30</v>
      </c>
    </row>
    <row r="100">
      <c r="K100" s="2">
        <v>98.0</v>
      </c>
      <c r="L100" t="str">
        <f>IFERROR(__xludf.DUMMYFUNCTION("Ifna(QUERY($A$3:$I$2000, ""select A where B="" &amp; $K100))"),"")</f>
        <v/>
      </c>
      <c r="M100" t="str">
        <f>IFERROR(__xludf.DUMMYFUNCTION("Ifna(QUERY($A$3:$I$2000, ""select A where C="" &amp; $K100))"),"")</f>
        <v/>
      </c>
      <c r="N100" t="str">
        <f>IFERROR(__xludf.DUMMYFUNCTION("Ifna(QUERY($A$3:$I$2000, ""select A where D="" &amp; $K100))"),"")</f>
        <v/>
      </c>
      <c r="O100" t="str">
        <f>IFERROR(__xludf.DUMMYFUNCTION("Ifna(QUERY($A$3:$I$2000, ""select A where E="" &amp; $K100))"),"")</f>
        <v/>
      </c>
      <c r="P100" t="str">
        <f>IFERROR(__xludf.DUMMYFUNCTION("Ifna(QUERY($A$3:$I$2000, ""select A where F="" &amp; $K100))"),"")</f>
        <v/>
      </c>
      <c r="Q100" t="str">
        <f>IFERROR(__xludf.DUMMYFUNCTION("Ifna(QUERY($A$3:$I$2000, ""select A where G="" &amp; $K100))"),"")</f>
        <v/>
      </c>
      <c r="R100" t="str">
        <f>IFERROR(__xludf.DUMMYFUNCTION("Ifna(QUERY($A$3:$I$2000, ""select A where H="" &amp; $K100))"),"")</f>
        <v/>
      </c>
      <c r="S100" t="str">
        <f>IFERROR(__xludf.DUMMYFUNCTION("Ifna(QUERY($A$3:$I$2000, ""select A where I="" &amp; $K100))"),"")</f>
        <v/>
      </c>
    </row>
    <row r="101">
      <c r="K101" s="2">
        <v>99.0</v>
      </c>
      <c r="L101" t="str">
        <f>IFERROR(__xludf.DUMMYFUNCTION("Ifna(QUERY($A$3:$I$2000, ""select A where B="" &amp; $K101))"),"")</f>
        <v/>
      </c>
      <c r="M101" t="str">
        <f>IFERROR(__xludf.DUMMYFUNCTION("Ifna(QUERY($A$3:$I$2000, ""select A where C="" &amp; $K101))"),"")</f>
        <v/>
      </c>
      <c r="N101" t="str">
        <f>IFERROR(__xludf.DUMMYFUNCTION("Ifna(QUERY($A$3:$I$2000, ""select A where D="" &amp; $K101))"),"")</f>
        <v/>
      </c>
      <c r="O101" t="str">
        <f>IFERROR(__xludf.DUMMYFUNCTION("Ifna(QUERY($A$3:$I$2000, ""select A where E="" &amp; $K101))"),"")</f>
        <v/>
      </c>
      <c r="P101" t="str">
        <f>IFERROR(__xludf.DUMMYFUNCTION("Ifna(QUERY($A$3:$I$2000, ""select A where F="" &amp; $K101))"),"")</f>
        <v/>
      </c>
      <c r="Q101" t="str">
        <f>IFERROR(__xludf.DUMMYFUNCTION("Ifna(QUERY($A$3:$I$2000, ""select A where G="" &amp; $K101))"),"")</f>
        <v/>
      </c>
      <c r="R101" t="str">
        <f>IFERROR(__xludf.DUMMYFUNCTION("Ifna(QUERY($A$3:$I$2000, ""select A where H="" &amp; $K101))"),"")</f>
        <v/>
      </c>
      <c r="S101" t="str">
        <f>IFERROR(__xludf.DUMMYFUNCTION("Ifna(QUERY($A$3:$I$2000, ""select A where I="" &amp; $K101))"),"")</f>
        <v/>
      </c>
    </row>
    <row r="102">
      <c r="K102" s="2">
        <v>100.0</v>
      </c>
      <c r="L102" t="str">
        <f>IFERROR(__xludf.DUMMYFUNCTION("Ifna(QUERY($A$3:$I$2000, ""select A where B="" &amp; $K102))"),"")</f>
        <v/>
      </c>
      <c r="M102" t="str">
        <f>IFERROR(__xludf.DUMMYFUNCTION("Ifna(QUERY($A$3:$I$2000, ""select A where C="" &amp; $K102))"),"")</f>
        <v/>
      </c>
      <c r="N102" t="str">
        <f>IFERROR(__xludf.DUMMYFUNCTION("Ifna(QUERY($A$3:$I$2000, ""select A where D="" &amp; $K102))"),"")</f>
        <v/>
      </c>
      <c r="O102" t="str">
        <f>IFERROR(__xludf.DUMMYFUNCTION("Ifna(QUERY($A$3:$I$2000, ""select A where E="" &amp; $K102))"),"")</f>
        <v/>
      </c>
      <c r="P102" t="str">
        <f>IFERROR(__xludf.DUMMYFUNCTION("Ifna(QUERY($A$3:$I$2000, ""select A where F="" &amp; $K102))"),"")</f>
        <v/>
      </c>
      <c r="Q102" t="str">
        <f>IFERROR(__xludf.DUMMYFUNCTION("Ifna(QUERY($A$3:$I$2000, ""select A where G="" &amp; $K102))"),"")</f>
        <v/>
      </c>
      <c r="R102" t="str">
        <f>IFERROR(__xludf.DUMMYFUNCTION("Ifna(QUERY($A$3:$I$2000, ""select A where H="" &amp; $K102))"),"")</f>
        <v/>
      </c>
      <c r="S102">
        <f>IFERROR(__xludf.DUMMYFUNCTION("Ifna(QUERY($A$3:$I$2000, ""select A where I="" &amp; $K102))"),29.0)</f>
        <v>29</v>
      </c>
    </row>
    <row r="103">
      <c r="K103" s="2">
        <v>101.0</v>
      </c>
      <c r="L103" t="str">
        <f>IFERROR(__xludf.DUMMYFUNCTION("Ifna(QUERY($A$3:$I$2000, ""select A where B="" &amp; $K103))"),"")</f>
        <v/>
      </c>
      <c r="M103" t="str">
        <f>IFERROR(__xludf.DUMMYFUNCTION("Ifna(QUERY($A$3:$I$2000, ""select A where C="" &amp; $K103))"),"")</f>
        <v/>
      </c>
      <c r="N103" t="str">
        <f>IFERROR(__xludf.DUMMYFUNCTION("Ifna(QUERY($A$3:$I$2000, ""select A where D="" &amp; $K103))"),"")</f>
        <v/>
      </c>
      <c r="O103" t="str">
        <f>IFERROR(__xludf.DUMMYFUNCTION("Ifna(QUERY($A$3:$I$2000, ""select A where E="" &amp; $K103))"),"")</f>
        <v/>
      </c>
      <c r="P103" t="str">
        <f>IFERROR(__xludf.DUMMYFUNCTION("Ifna(QUERY($A$3:$I$2000, ""select A where F="" &amp; $K103))"),"")</f>
        <v/>
      </c>
      <c r="Q103" t="str">
        <f>IFERROR(__xludf.DUMMYFUNCTION("Ifna(QUERY($A$3:$I$2000, ""select A where G="" &amp; $K103))"),"")</f>
        <v/>
      </c>
      <c r="R103" t="str">
        <f>IFERROR(__xludf.DUMMYFUNCTION("Ifna(QUERY($A$3:$I$2000, ""select A where H="" &amp; $K103))"),"")</f>
        <v/>
      </c>
      <c r="S103" t="str">
        <f>IFERROR(__xludf.DUMMYFUNCTION("Ifna(QUERY($A$3:$I$2000, ""select A where I="" &amp; $K103))"),"")</f>
        <v/>
      </c>
    </row>
    <row r="104">
      <c r="K104" s="2">
        <v>102.0</v>
      </c>
      <c r="L104" t="str">
        <f>IFERROR(__xludf.DUMMYFUNCTION("Ifna(QUERY($A$3:$I$2000, ""select A where B="" &amp; $K104))"),"")</f>
        <v/>
      </c>
      <c r="M104" t="str">
        <f>IFERROR(__xludf.DUMMYFUNCTION("Ifna(QUERY($A$3:$I$2000, ""select A where C="" &amp; $K104))"),"")</f>
        <v/>
      </c>
      <c r="N104" t="str">
        <f>IFERROR(__xludf.DUMMYFUNCTION("Ifna(QUERY($A$3:$I$2000, ""select A where D="" &amp; $K104))"),"")</f>
        <v/>
      </c>
      <c r="O104" t="str">
        <f>IFERROR(__xludf.DUMMYFUNCTION("Ifna(QUERY($A$3:$I$2000, ""select A where E="" &amp; $K104))"),"")</f>
        <v/>
      </c>
      <c r="P104" t="str">
        <f>IFERROR(__xludf.DUMMYFUNCTION("Ifna(QUERY($A$3:$I$2000, ""select A where F="" &amp; $K104))"),"")</f>
        <v/>
      </c>
      <c r="Q104" t="str">
        <f>IFERROR(__xludf.DUMMYFUNCTION("Ifna(QUERY($A$3:$I$2000, ""select A where G="" &amp; $K104))"),"")</f>
        <v/>
      </c>
      <c r="R104" t="str">
        <f>IFERROR(__xludf.DUMMYFUNCTION("Ifna(QUERY($A$3:$I$2000, ""select A where H="" &amp; $K104))"),"")</f>
        <v/>
      </c>
      <c r="S104">
        <f>IFERROR(__xludf.DUMMYFUNCTION("Ifna(QUERY($A$3:$I$2000, ""select A where I="" &amp; $K104))"),28.0)</f>
        <v>28</v>
      </c>
    </row>
    <row r="105">
      <c r="K105" s="2">
        <v>103.0</v>
      </c>
      <c r="L105" t="str">
        <f>IFERROR(__xludf.DUMMYFUNCTION("Ifna(QUERY($A$3:$I$2000, ""select A where B="" &amp; $K105))"),"")</f>
        <v/>
      </c>
      <c r="M105" t="str">
        <f>IFERROR(__xludf.DUMMYFUNCTION("Ifna(QUERY($A$3:$I$2000, ""select A where C="" &amp; $K105))"),"")</f>
        <v/>
      </c>
      <c r="N105" t="str">
        <f>IFERROR(__xludf.DUMMYFUNCTION("Ifna(QUERY($A$3:$I$2000, ""select A where D="" &amp; $K105))"),"")</f>
        <v/>
      </c>
      <c r="O105" t="str">
        <f>IFERROR(__xludf.DUMMYFUNCTION("Ifna(QUERY($A$3:$I$2000, ""select A where E="" &amp; $K105))"),"")</f>
        <v/>
      </c>
      <c r="P105" t="str">
        <f>IFERROR(__xludf.DUMMYFUNCTION("Ifna(QUERY($A$3:$I$2000, ""select A where F="" &amp; $K105))"),"")</f>
        <v/>
      </c>
      <c r="Q105" t="str">
        <f>IFERROR(__xludf.DUMMYFUNCTION("Ifna(QUERY($A$3:$I$2000, ""select A where G="" &amp; $K105))"),"")</f>
        <v/>
      </c>
      <c r="R105" t="str">
        <f>IFERROR(__xludf.DUMMYFUNCTION("Ifna(QUERY($A$3:$I$2000, ""select A where H="" &amp; $K105))"),"")</f>
        <v/>
      </c>
      <c r="S105" t="str">
        <f>IFERROR(__xludf.DUMMYFUNCTION("Ifna(QUERY($A$3:$I$2000, ""select A where I="" &amp; $K105))"),"")</f>
        <v/>
      </c>
    </row>
    <row r="106">
      <c r="K106" s="2">
        <v>104.0</v>
      </c>
      <c r="L106" t="str">
        <f>IFERROR(__xludf.DUMMYFUNCTION("Ifna(QUERY($A$3:$I$2000, ""select A where B="" &amp; $K106))"),"")</f>
        <v/>
      </c>
      <c r="M106" t="str">
        <f>IFERROR(__xludf.DUMMYFUNCTION("Ifna(QUERY($A$3:$I$2000, ""select A where C="" &amp; $K106))"),"")</f>
        <v/>
      </c>
      <c r="N106" t="str">
        <f>IFERROR(__xludf.DUMMYFUNCTION("Ifna(QUERY($A$3:$I$2000, ""select A where D="" &amp; $K106))"),"")</f>
        <v/>
      </c>
      <c r="O106" t="str">
        <f>IFERROR(__xludf.DUMMYFUNCTION("Ifna(QUERY($A$3:$I$2000, ""select A where E="" &amp; $K106))"),"")</f>
        <v/>
      </c>
      <c r="P106" t="str">
        <f>IFERROR(__xludf.DUMMYFUNCTION("Ifna(QUERY($A$3:$I$2000, ""select A where F="" &amp; $K106))"),"")</f>
        <v/>
      </c>
      <c r="Q106" t="str">
        <f>IFERROR(__xludf.DUMMYFUNCTION("Ifna(QUERY($A$3:$I$2000, ""select A where G="" &amp; $K106))"),"")</f>
        <v/>
      </c>
      <c r="R106">
        <f>IFERROR(__xludf.DUMMYFUNCTION("Ifna(QUERY($A$3:$I$2000, ""select A where H="" &amp; $K106))"),6.0)</f>
        <v>6</v>
      </c>
      <c r="S106" t="str">
        <f>IFERROR(__xludf.DUMMYFUNCTION("Ifna(QUERY($A$3:$I$2000, ""select A where I="" &amp; $K106))"),"")</f>
        <v/>
      </c>
    </row>
    <row r="107">
      <c r="K107" s="2">
        <v>105.0</v>
      </c>
      <c r="L107" t="str">
        <f>IFERROR(__xludf.DUMMYFUNCTION("Ifna(QUERY($A$3:$I$2000, ""select A where B="" &amp; $K107))"),"")</f>
        <v/>
      </c>
      <c r="M107" t="str">
        <f>IFERROR(__xludf.DUMMYFUNCTION("Ifna(QUERY($A$3:$I$2000, ""select A where C="" &amp; $K107))"),"")</f>
        <v/>
      </c>
      <c r="N107" t="str">
        <f>IFERROR(__xludf.DUMMYFUNCTION("Ifna(QUERY($A$3:$I$2000, ""select A where D="" &amp; $K107))"),"")</f>
        <v/>
      </c>
      <c r="O107" t="str">
        <f>IFERROR(__xludf.DUMMYFUNCTION("Ifna(QUERY($A$3:$I$2000, ""select A where E="" &amp; $K107))"),"")</f>
        <v/>
      </c>
      <c r="P107" t="str">
        <f>IFERROR(__xludf.DUMMYFUNCTION("Ifna(QUERY($A$3:$I$2000, ""select A where F="" &amp; $K107))"),"")</f>
        <v/>
      </c>
      <c r="Q107" t="str">
        <f>IFERROR(__xludf.DUMMYFUNCTION("Ifna(QUERY($A$3:$I$2000, ""select A where G="" &amp; $K107))"),"")</f>
        <v/>
      </c>
      <c r="R107" t="str">
        <f>IFERROR(__xludf.DUMMYFUNCTION("Ifna(QUERY($A$3:$I$2000, ""select A where H="" &amp; $K107))"),"")</f>
        <v/>
      </c>
      <c r="S107">
        <f>IFERROR(__xludf.DUMMYFUNCTION("Ifna(QUERY($A$3:$I$2000, ""select A where I="" &amp; $K107))"),27.0)</f>
        <v>27</v>
      </c>
    </row>
    <row r="108">
      <c r="K108" s="2">
        <v>106.0</v>
      </c>
      <c r="L108" t="str">
        <f>IFERROR(__xludf.DUMMYFUNCTION("Ifna(QUERY($A$3:$I$2000, ""select A where B="" &amp; $K108))"),"")</f>
        <v/>
      </c>
      <c r="M108" t="str">
        <f>IFERROR(__xludf.DUMMYFUNCTION("Ifna(QUERY($A$3:$I$2000, ""select A where C="" &amp; $K108))"),"")</f>
        <v/>
      </c>
      <c r="N108" t="str">
        <f>IFERROR(__xludf.DUMMYFUNCTION("Ifna(QUERY($A$3:$I$2000, ""select A where D="" &amp; $K108))"),"")</f>
        <v/>
      </c>
      <c r="O108" t="str">
        <f>IFERROR(__xludf.DUMMYFUNCTION("Ifna(QUERY($A$3:$I$2000, ""select A where E="" &amp; $K108))"),"")</f>
        <v/>
      </c>
      <c r="P108" t="str">
        <f>IFERROR(__xludf.DUMMYFUNCTION("Ifna(QUERY($A$3:$I$2000, ""select A where F="" &amp; $K108))"),"")</f>
        <v/>
      </c>
      <c r="Q108" t="str">
        <f>IFERROR(__xludf.DUMMYFUNCTION("Ifna(QUERY($A$3:$I$2000, ""select A where G="" &amp; $K108))"),"")</f>
        <v/>
      </c>
      <c r="R108" t="str">
        <f>IFERROR(__xludf.DUMMYFUNCTION("Ifna(QUERY($A$3:$I$2000, ""select A where H="" &amp; $K108))"),"")</f>
        <v/>
      </c>
      <c r="S108" t="str">
        <f>IFERROR(__xludf.DUMMYFUNCTION("Ifna(QUERY($A$3:$I$2000, ""select A where I="" &amp; $K108))"),"")</f>
        <v/>
      </c>
    </row>
    <row r="109">
      <c r="K109" s="2">
        <v>107.0</v>
      </c>
      <c r="L109" t="str">
        <f>IFERROR(__xludf.DUMMYFUNCTION("Ifna(QUERY($A$3:$I$2000, ""select A where B="" &amp; $K109))"),"")</f>
        <v/>
      </c>
      <c r="M109" t="str">
        <f>IFERROR(__xludf.DUMMYFUNCTION("Ifna(QUERY($A$3:$I$2000, ""select A where C="" &amp; $K109))"),"")</f>
        <v/>
      </c>
      <c r="N109" t="str">
        <f>IFERROR(__xludf.DUMMYFUNCTION("Ifna(QUERY($A$3:$I$2000, ""select A where D="" &amp; $K109))"),"")</f>
        <v/>
      </c>
      <c r="O109" t="str">
        <f>IFERROR(__xludf.DUMMYFUNCTION("Ifna(QUERY($A$3:$I$2000, ""select A where E="" &amp; $K109))"),"")</f>
        <v/>
      </c>
      <c r="P109" t="str">
        <f>IFERROR(__xludf.DUMMYFUNCTION("Ifna(QUERY($A$3:$I$2000, ""select A where F="" &amp; $K109))"),"")</f>
        <v/>
      </c>
      <c r="Q109" t="str">
        <f>IFERROR(__xludf.DUMMYFUNCTION("Ifna(QUERY($A$3:$I$2000, ""select A where G="" &amp; $K109))"),"")</f>
        <v/>
      </c>
      <c r="R109" t="str">
        <f>IFERROR(__xludf.DUMMYFUNCTION("Ifna(QUERY($A$3:$I$2000, ""select A where H="" &amp; $K109))"),"")</f>
        <v/>
      </c>
      <c r="S109" t="str">
        <f>IFERROR(__xludf.DUMMYFUNCTION("Ifna(QUERY($A$3:$I$2000, ""select A where I="" &amp; $K109))"),"")</f>
        <v/>
      </c>
    </row>
    <row r="110">
      <c r="K110" s="2">
        <v>108.0</v>
      </c>
      <c r="L110" t="str">
        <f>IFERROR(__xludf.DUMMYFUNCTION("Ifna(QUERY($A$3:$I$2000, ""select A where B="" &amp; $K110))"),"")</f>
        <v/>
      </c>
      <c r="M110" t="str">
        <f>IFERROR(__xludf.DUMMYFUNCTION("Ifna(QUERY($A$3:$I$2000, ""select A where C="" &amp; $K110))"),"")</f>
        <v/>
      </c>
      <c r="N110" t="str">
        <f>IFERROR(__xludf.DUMMYFUNCTION("Ifna(QUERY($A$3:$I$2000, ""select A where D="" &amp; $K110))"),"")</f>
        <v/>
      </c>
      <c r="O110" t="str">
        <f>IFERROR(__xludf.DUMMYFUNCTION("Ifna(QUERY($A$3:$I$2000, ""select A where E="" &amp; $K110))"),"")</f>
        <v/>
      </c>
      <c r="P110" t="str">
        <f>IFERROR(__xludf.DUMMYFUNCTION("Ifna(QUERY($A$3:$I$2000, ""select A where F="" &amp; $K110))"),"")</f>
        <v/>
      </c>
      <c r="Q110" t="str">
        <f>IFERROR(__xludf.DUMMYFUNCTION("Ifna(QUERY($A$3:$I$2000, ""select A where G="" &amp; $K110))"),"")</f>
        <v/>
      </c>
      <c r="R110" t="str">
        <f>IFERROR(__xludf.DUMMYFUNCTION("Ifna(QUERY($A$3:$I$2000, ""select A where H="" &amp; $K110))"),"")</f>
        <v/>
      </c>
      <c r="S110">
        <f>IFERROR(__xludf.DUMMYFUNCTION("Ifna(QUERY($A$3:$I$2000, ""select A where I="" &amp; $K110))"),26.0)</f>
        <v>26</v>
      </c>
    </row>
    <row r="111">
      <c r="K111" s="2">
        <v>109.0</v>
      </c>
      <c r="L111" t="str">
        <f>IFERROR(__xludf.DUMMYFUNCTION("Ifna(QUERY($A$3:$I$2000, ""select A where B="" &amp; $K111))"),"")</f>
        <v/>
      </c>
      <c r="M111" t="str">
        <f>IFERROR(__xludf.DUMMYFUNCTION("Ifna(QUERY($A$3:$I$2000, ""select A where C="" &amp; $K111))"),"")</f>
        <v/>
      </c>
      <c r="N111" t="str">
        <f>IFERROR(__xludf.DUMMYFUNCTION("Ifna(QUERY($A$3:$I$2000, ""select A where D="" &amp; $K111))"),"")</f>
        <v/>
      </c>
      <c r="O111" t="str">
        <f>IFERROR(__xludf.DUMMYFUNCTION("Ifna(QUERY($A$3:$I$2000, ""select A where E="" &amp; $K111))"),"")</f>
        <v/>
      </c>
      <c r="P111" t="str">
        <f>IFERROR(__xludf.DUMMYFUNCTION("Ifna(QUERY($A$3:$I$2000, ""select A where F="" &amp; $K111))"),"")</f>
        <v/>
      </c>
      <c r="Q111" t="str">
        <f>IFERROR(__xludf.DUMMYFUNCTION("Ifna(QUERY($A$3:$I$2000, ""select A where G="" &amp; $K111))"),"")</f>
        <v/>
      </c>
      <c r="R111">
        <f>IFERROR(__xludf.DUMMYFUNCTION("Ifna(QUERY($A$3:$I$2000, ""select A where H="" &amp; $K111))"),5.0)</f>
        <v>5</v>
      </c>
      <c r="S111" t="str">
        <f>IFERROR(__xludf.DUMMYFUNCTION("Ifna(QUERY($A$3:$I$2000, ""select A where I="" &amp; $K111))"),"")</f>
        <v/>
      </c>
    </row>
    <row r="112">
      <c r="K112" s="2">
        <v>110.0</v>
      </c>
      <c r="L112" t="str">
        <f>IFERROR(__xludf.DUMMYFUNCTION("Ifna(QUERY($A$3:$I$2000, ""select A where B="" &amp; $K112))"),"")</f>
        <v/>
      </c>
      <c r="M112" t="str">
        <f>IFERROR(__xludf.DUMMYFUNCTION("Ifna(QUERY($A$3:$I$2000, ""select A where C="" &amp; $K112))"),"")</f>
        <v/>
      </c>
      <c r="N112" t="str">
        <f>IFERROR(__xludf.DUMMYFUNCTION("Ifna(QUERY($A$3:$I$2000, ""select A where D="" &amp; $K112))"),"")</f>
        <v/>
      </c>
      <c r="O112" t="str">
        <f>IFERROR(__xludf.DUMMYFUNCTION("Ifna(QUERY($A$3:$I$2000, ""select A where E="" &amp; $K112))"),"")</f>
        <v/>
      </c>
      <c r="P112" t="str">
        <f>IFERROR(__xludf.DUMMYFUNCTION("Ifna(QUERY($A$3:$I$2000, ""select A where F="" &amp; $K112))"),"")</f>
        <v/>
      </c>
      <c r="Q112" t="str">
        <f>IFERROR(__xludf.DUMMYFUNCTION("Ifna(QUERY($A$3:$I$2000, ""select A where G="" &amp; $K112))"),"")</f>
        <v/>
      </c>
      <c r="R112" t="str">
        <f>IFERROR(__xludf.DUMMYFUNCTION("Ifna(QUERY($A$3:$I$2000, ""select A where H="" &amp; $K112))"),"")</f>
        <v/>
      </c>
      <c r="S112" t="str">
        <f>IFERROR(__xludf.DUMMYFUNCTION("Ifna(QUERY($A$3:$I$2000, ""select A where I="" &amp; $K112))"),"")</f>
        <v/>
      </c>
    </row>
    <row r="113">
      <c r="K113" s="2">
        <v>111.0</v>
      </c>
      <c r="L113" t="str">
        <f>IFERROR(__xludf.DUMMYFUNCTION("Ifna(QUERY($A$3:$I$2000, ""select A where B="" &amp; $K113))"),"")</f>
        <v/>
      </c>
      <c r="M113" t="str">
        <f>IFERROR(__xludf.DUMMYFUNCTION("Ifna(QUERY($A$3:$I$2000, ""select A where C="" &amp; $K113))"),"")</f>
        <v/>
      </c>
      <c r="N113" t="str">
        <f>IFERROR(__xludf.DUMMYFUNCTION("Ifna(QUERY($A$3:$I$2000, ""select A where D="" &amp; $K113))"),"")</f>
        <v/>
      </c>
      <c r="O113" t="str">
        <f>IFERROR(__xludf.DUMMYFUNCTION("Ifna(QUERY($A$3:$I$2000, ""select A where E="" &amp; $K113))"),"")</f>
        <v/>
      </c>
      <c r="P113" t="str">
        <f>IFERROR(__xludf.DUMMYFUNCTION("Ifna(QUERY($A$3:$I$2000, ""select A where F="" &amp; $K113))"),"")</f>
        <v/>
      </c>
      <c r="Q113" t="str">
        <f>IFERROR(__xludf.DUMMYFUNCTION("Ifna(QUERY($A$3:$I$2000, ""select A where G="" &amp; $K113))"),"")</f>
        <v/>
      </c>
      <c r="R113" t="str">
        <f>IFERROR(__xludf.DUMMYFUNCTION("Ifna(QUERY($A$3:$I$2000, ""select A where H="" &amp; $K113))"),"")</f>
        <v/>
      </c>
      <c r="S113">
        <f>IFERROR(__xludf.DUMMYFUNCTION("Ifna(QUERY($A$3:$I$2000, ""select A where I="" &amp; $K113))"),25.0)</f>
        <v>25</v>
      </c>
    </row>
    <row r="114">
      <c r="K114" s="2">
        <v>112.0</v>
      </c>
      <c r="L114" t="str">
        <f>IFERROR(__xludf.DUMMYFUNCTION("Ifna(QUERY($A$3:$I$2000, ""select A where B="" &amp; $K114))"),"")</f>
        <v/>
      </c>
      <c r="M114" t="str">
        <f>IFERROR(__xludf.DUMMYFUNCTION("Ifna(QUERY($A$3:$I$2000, ""select A where C="" &amp; $K114))"),"")</f>
        <v/>
      </c>
      <c r="N114" t="str">
        <f>IFERROR(__xludf.DUMMYFUNCTION("Ifna(QUERY($A$3:$I$2000, ""select A where D="" &amp; $K114))"),"")</f>
        <v/>
      </c>
      <c r="O114" t="str">
        <f>IFERROR(__xludf.DUMMYFUNCTION("Ifna(QUERY($A$3:$I$2000, ""select A where E="" &amp; $K114))"),"")</f>
        <v/>
      </c>
      <c r="P114" t="str">
        <f>IFERROR(__xludf.DUMMYFUNCTION("Ifna(QUERY($A$3:$I$2000, ""select A where F="" &amp; $K114))"),"")</f>
        <v/>
      </c>
      <c r="Q114" t="str">
        <f>IFERROR(__xludf.DUMMYFUNCTION("Ifna(QUERY($A$3:$I$2000, ""select A where G="" &amp; $K114))"),"")</f>
        <v/>
      </c>
      <c r="R114" t="str">
        <f>IFERROR(__xludf.DUMMYFUNCTION("Ifna(QUERY($A$3:$I$2000, ""select A where H="" &amp; $K114))"),"")</f>
        <v/>
      </c>
      <c r="S114" t="str">
        <f>IFERROR(__xludf.DUMMYFUNCTION("Ifna(QUERY($A$3:$I$2000, ""select A where I="" &amp; $K114))"),"")</f>
        <v/>
      </c>
    </row>
    <row r="115">
      <c r="K115" s="2">
        <v>113.0</v>
      </c>
      <c r="L115" t="str">
        <f>IFERROR(__xludf.DUMMYFUNCTION("Ifna(QUERY($A$3:$I$2000, ""select A where B="" &amp; $K115))"),"")</f>
        <v/>
      </c>
      <c r="M115" t="str">
        <f>IFERROR(__xludf.DUMMYFUNCTION("Ifna(QUERY($A$3:$I$2000, ""select A where C="" &amp; $K115))"),"")</f>
        <v/>
      </c>
      <c r="N115" t="str">
        <f>IFERROR(__xludf.DUMMYFUNCTION("Ifna(QUERY($A$3:$I$2000, ""select A where D="" &amp; $K115))"),"")</f>
        <v/>
      </c>
      <c r="O115" t="str">
        <f>IFERROR(__xludf.DUMMYFUNCTION("Ifna(QUERY($A$3:$I$2000, ""select A where E="" &amp; $K115))"),"")</f>
        <v/>
      </c>
      <c r="P115" t="str">
        <f>IFERROR(__xludf.DUMMYFUNCTION("Ifna(QUERY($A$3:$I$2000, ""select A where F="" &amp; $K115))"),"")</f>
        <v/>
      </c>
      <c r="Q115" t="str">
        <f>IFERROR(__xludf.DUMMYFUNCTION("Ifna(QUERY($A$3:$I$2000, ""select A where G="" &amp; $K115))"),"")</f>
        <v/>
      </c>
      <c r="R115" t="str">
        <f>IFERROR(__xludf.DUMMYFUNCTION("Ifna(QUERY($A$3:$I$2000, ""select A where H="" &amp; $K115))"),"")</f>
        <v/>
      </c>
      <c r="S115" t="str">
        <f>IFERROR(__xludf.DUMMYFUNCTION("Ifna(QUERY($A$3:$I$2000, ""select A where I="" &amp; $K115))"),"")</f>
        <v/>
      </c>
    </row>
    <row r="116">
      <c r="K116" s="2">
        <v>114.0</v>
      </c>
      <c r="L116" t="str">
        <f>IFERROR(__xludf.DUMMYFUNCTION("Ifna(QUERY($A$3:$I$2000, ""select A where B="" &amp; $K116))"),"")</f>
        <v/>
      </c>
      <c r="M116" t="str">
        <f>IFERROR(__xludf.DUMMYFUNCTION("Ifna(QUERY($A$3:$I$2000, ""select A where C="" &amp; $K116))"),"")</f>
        <v/>
      </c>
      <c r="N116" t="str">
        <f>IFERROR(__xludf.DUMMYFUNCTION("Ifna(QUERY($A$3:$I$2000, ""select A where D="" &amp; $K116))"),"")</f>
        <v/>
      </c>
      <c r="O116" t="str">
        <f>IFERROR(__xludf.DUMMYFUNCTION("Ifna(QUERY($A$3:$I$2000, ""select A where E="" &amp; $K116))"),"")</f>
        <v/>
      </c>
      <c r="P116" t="str">
        <f>IFERROR(__xludf.DUMMYFUNCTION("Ifna(QUERY($A$3:$I$2000, ""select A where F="" &amp; $K116))"),"")</f>
        <v/>
      </c>
      <c r="Q116" t="str">
        <f>IFERROR(__xludf.DUMMYFUNCTION("Ifna(QUERY($A$3:$I$2000, ""select A where G="" &amp; $K116))"),"")</f>
        <v/>
      </c>
      <c r="R116" t="str">
        <f>IFERROR(__xludf.DUMMYFUNCTION("Ifna(QUERY($A$3:$I$2000, ""select A where H="" &amp; $K116))"),"")</f>
        <v/>
      </c>
      <c r="S116" t="str">
        <f>IFERROR(__xludf.DUMMYFUNCTION("Ifna(QUERY($A$3:$I$2000, ""select A where I="" &amp; $K116))"),"")</f>
        <v/>
      </c>
    </row>
    <row r="117">
      <c r="K117" s="2">
        <v>115.0</v>
      </c>
      <c r="L117" t="str">
        <f>IFERROR(__xludf.DUMMYFUNCTION("Ifna(QUERY($A$3:$I$2000, ""select A where B="" &amp; $K117))"),"")</f>
        <v/>
      </c>
      <c r="M117" t="str">
        <f>IFERROR(__xludf.DUMMYFUNCTION("Ifna(QUERY($A$3:$I$2000, ""select A where C="" &amp; $K117))"),"")</f>
        <v/>
      </c>
      <c r="N117" t="str">
        <f>IFERROR(__xludf.DUMMYFUNCTION("Ifna(QUERY($A$3:$I$2000, ""select A where D="" &amp; $K117))"),"")</f>
        <v/>
      </c>
      <c r="O117" t="str">
        <f>IFERROR(__xludf.DUMMYFUNCTION("Ifna(QUERY($A$3:$I$2000, ""select A where E="" &amp; $K117))"),"")</f>
        <v/>
      </c>
      <c r="P117" t="str">
        <f>IFERROR(__xludf.DUMMYFUNCTION("Ifna(QUERY($A$3:$I$2000, ""select A where F="" &amp; $K117))"),"")</f>
        <v/>
      </c>
      <c r="Q117" t="str">
        <f>IFERROR(__xludf.DUMMYFUNCTION("Ifna(QUERY($A$3:$I$2000, ""select A where G="" &amp; $K117))"),"")</f>
        <v/>
      </c>
      <c r="R117" t="str">
        <f>IFERROR(__xludf.DUMMYFUNCTION("Ifna(QUERY($A$3:$I$2000, ""select A where H="" &amp; $K117))"),"")</f>
        <v/>
      </c>
      <c r="S117">
        <f>IFERROR(__xludf.DUMMYFUNCTION("Ifna(QUERY($A$3:$I$2000, ""select A where I="" &amp; $K117))"),24.0)</f>
        <v>24</v>
      </c>
    </row>
    <row r="118">
      <c r="K118" s="2">
        <v>116.0</v>
      </c>
      <c r="L118" t="str">
        <f>IFERROR(__xludf.DUMMYFUNCTION("Ifna(QUERY($A$3:$I$2000, ""select A where B="" &amp; $K118))"),"")</f>
        <v/>
      </c>
      <c r="M118" t="str">
        <f>IFERROR(__xludf.DUMMYFUNCTION("Ifna(QUERY($A$3:$I$2000, ""select A where C="" &amp; $K118))"),"")</f>
        <v/>
      </c>
      <c r="N118" t="str">
        <f>IFERROR(__xludf.DUMMYFUNCTION("Ifna(QUERY($A$3:$I$2000, ""select A where D="" &amp; $K118))"),"")</f>
        <v/>
      </c>
      <c r="O118" t="str">
        <f>IFERROR(__xludf.DUMMYFUNCTION("Ifna(QUERY($A$3:$I$2000, ""select A where E="" &amp; $K118))"),"")</f>
        <v/>
      </c>
      <c r="P118" t="str">
        <f>IFERROR(__xludf.DUMMYFUNCTION("Ifna(QUERY($A$3:$I$2000, ""select A where F="" &amp; $K118))"),"")</f>
        <v/>
      </c>
      <c r="Q118" t="str">
        <f>IFERROR(__xludf.DUMMYFUNCTION("Ifna(QUERY($A$3:$I$2000, ""select A where G="" &amp; $K118))"),"")</f>
        <v/>
      </c>
      <c r="R118">
        <f>IFERROR(__xludf.DUMMYFUNCTION("Ifna(QUERY($A$3:$I$2000, ""select A where H="" &amp; $K118))"),4.0)</f>
        <v>4</v>
      </c>
      <c r="S118" t="str">
        <f>IFERROR(__xludf.DUMMYFUNCTION("Ifna(QUERY($A$3:$I$2000, ""select A where I="" &amp; $K118))"),"")</f>
        <v/>
      </c>
    </row>
    <row r="119">
      <c r="K119" s="2">
        <v>117.0</v>
      </c>
      <c r="L119" t="str">
        <f>IFERROR(__xludf.DUMMYFUNCTION("Ifna(QUERY($A$3:$I$2000, ""select A where B="" &amp; $K119))"),"")</f>
        <v/>
      </c>
      <c r="M119" t="str">
        <f>IFERROR(__xludf.DUMMYFUNCTION("Ifna(QUERY($A$3:$I$2000, ""select A where C="" &amp; $K119))"),"")</f>
        <v/>
      </c>
      <c r="N119" t="str">
        <f>IFERROR(__xludf.DUMMYFUNCTION("Ifna(QUERY($A$3:$I$2000, ""select A where D="" &amp; $K119))"),"")</f>
        <v/>
      </c>
      <c r="O119" t="str">
        <f>IFERROR(__xludf.DUMMYFUNCTION("Ifna(QUERY($A$3:$I$2000, ""select A where E="" &amp; $K119))"),"")</f>
        <v/>
      </c>
      <c r="P119" t="str">
        <f>IFERROR(__xludf.DUMMYFUNCTION("Ifna(QUERY($A$3:$I$2000, ""select A where F="" &amp; $K119))"),"")</f>
        <v/>
      </c>
      <c r="Q119" t="str">
        <f>IFERROR(__xludf.DUMMYFUNCTION("Ifna(QUERY($A$3:$I$2000, ""select A where G="" &amp; $K119))"),"")</f>
        <v/>
      </c>
      <c r="R119" t="str">
        <f>IFERROR(__xludf.DUMMYFUNCTION("Ifna(QUERY($A$3:$I$2000, ""select A where H="" &amp; $K119))"),"")</f>
        <v/>
      </c>
      <c r="S119" t="str">
        <f>IFERROR(__xludf.DUMMYFUNCTION("Ifna(QUERY($A$3:$I$2000, ""select A where I="" &amp; $K119))"),"")</f>
        <v/>
      </c>
    </row>
    <row r="120">
      <c r="K120" s="2">
        <v>118.0</v>
      </c>
      <c r="L120" t="str">
        <f>IFERROR(__xludf.DUMMYFUNCTION("Ifna(QUERY($A$3:$I$2000, ""select A where B="" &amp; $K120))"),"")</f>
        <v/>
      </c>
      <c r="M120" t="str">
        <f>IFERROR(__xludf.DUMMYFUNCTION("Ifna(QUERY($A$3:$I$2000, ""select A where C="" &amp; $K120))"),"")</f>
        <v/>
      </c>
      <c r="N120" t="str">
        <f>IFERROR(__xludf.DUMMYFUNCTION("Ifna(QUERY($A$3:$I$2000, ""select A where D="" &amp; $K120))"),"")</f>
        <v/>
      </c>
      <c r="O120" t="str">
        <f>IFERROR(__xludf.DUMMYFUNCTION("Ifna(QUERY($A$3:$I$2000, ""select A where E="" &amp; $K120))"),"")</f>
        <v/>
      </c>
      <c r="P120" t="str">
        <f>IFERROR(__xludf.DUMMYFUNCTION("Ifna(QUERY($A$3:$I$2000, ""select A where F="" &amp; $K120))"),"")</f>
        <v/>
      </c>
      <c r="Q120" t="str">
        <f>IFERROR(__xludf.DUMMYFUNCTION("Ifna(QUERY($A$3:$I$2000, ""select A where G="" &amp; $K120))"),"")</f>
        <v/>
      </c>
      <c r="R120" t="str">
        <f>IFERROR(__xludf.DUMMYFUNCTION("Ifna(QUERY($A$3:$I$2000, ""select A where H="" &amp; $K120))"),"")</f>
        <v/>
      </c>
      <c r="S120">
        <f>IFERROR(__xludf.DUMMYFUNCTION("Ifna(QUERY($A$3:$I$2000, ""select A where I="" &amp; $K120))"),23.0)</f>
        <v>23</v>
      </c>
    </row>
    <row r="121">
      <c r="K121" s="2">
        <v>119.0</v>
      </c>
      <c r="L121" t="str">
        <f>IFERROR(__xludf.DUMMYFUNCTION("Ifna(QUERY($A$3:$I$2000, ""select A where B="" &amp; $K121))"),"")</f>
        <v/>
      </c>
      <c r="M121" t="str">
        <f>IFERROR(__xludf.DUMMYFUNCTION("Ifna(QUERY($A$3:$I$2000, ""select A where C="" &amp; $K121))"),"")</f>
        <v/>
      </c>
      <c r="N121" t="str">
        <f>IFERROR(__xludf.DUMMYFUNCTION("Ifna(QUERY($A$3:$I$2000, ""select A where D="" &amp; $K121))"),"")</f>
        <v/>
      </c>
      <c r="O121" t="str">
        <f>IFERROR(__xludf.DUMMYFUNCTION("Ifna(QUERY($A$3:$I$2000, ""select A where E="" &amp; $K121))"),"")</f>
        <v/>
      </c>
      <c r="P121" t="str">
        <f>IFERROR(__xludf.DUMMYFUNCTION("Ifna(QUERY($A$3:$I$2000, ""select A where F="" &amp; $K121))"),"")</f>
        <v/>
      </c>
      <c r="Q121" t="str">
        <f>IFERROR(__xludf.DUMMYFUNCTION("Ifna(QUERY($A$3:$I$2000, ""select A where G="" &amp; $K121))"),"")</f>
        <v/>
      </c>
      <c r="R121" t="str">
        <f>IFERROR(__xludf.DUMMYFUNCTION("Ifna(QUERY($A$3:$I$2000, ""select A where H="" &amp; $K121))"),"")</f>
        <v/>
      </c>
      <c r="S121" t="str">
        <f>IFERROR(__xludf.DUMMYFUNCTION("Ifna(QUERY($A$3:$I$2000, ""select A where I="" &amp; $K121))"),"")</f>
        <v/>
      </c>
    </row>
    <row r="122">
      <c r="K122" s="2">
        <v>120.0</v>
      </c>
      <c r="L122" t="str">
        <f>IFERROR(__xludf.DUMMYFUNCTION("Ifna(QUERY($A$3:$I$2000, ""select A where B="" &amp; $K122))"),"")</f>
        <v/>
      </c>
      <c r="M122" t="str">
        <f>IFERROR(__xludf.DUMMYFUNCTION("Ifna(QUERY($A$3:$I$2000, ""select A where C="" &amp; $K122))"),"")</f>
        <v/>
      </c>
      <c r="N122" t="str">
        <f>IFERROR(__xludf.DUMMYFUNCTION("Ifna(QUERY($A$3:$I$2000, ""select A where D="" &amp; $K122))"),"")</f>
        <v/>
      </c>
      <c r="O122" t="str">
        <f>IFERROR(__xludf.DUMMYFUNCTION("Ifna(QUERY($A$3:$I$2000, ""select A where E="" &amp; $K122))"),"")</f>
        <v/>
      </c>
      <c r="P122" t="str">
        <f>IFERROR(__xludf.DUMMYFUNCTION("Ifna(QUERY($A$3:$I$2000, ""select A where F="" &amp; $K122))"),"")</f>
        <v/>
      </c>
      <c r="Q122" t="str">
        <f>IFERROR(__xludf.DUMMYFUNCTION("Ifna(QUERY($A$3:$I$2000, ""select A where G="" &amp; $K122))"),"")</f>
        <v/>
      </c>
      <c r="R122" t="str">
        <f>IFERROR(__xludf.DUMMYFUNCTION("Ifna(QUERY($A$3:$I$2000, ""select A where H="" &amp; $K122))"),"")</f>
        <v/>
      </c>
      <c r="S122" t="str">
        <f>IFERROR(__xludf.DUMMYFUNCTION("Ifna(QUERY($A$3:$I$2000, ""select A where I="" &amp; $K122))"),"")</f>
        <v/>
      </c>
    </row>
    <row r="123">
      <c r="K123" s="2">
        <v>121.0</v>
      </c>
      <c r="L123" t="str">
        <f>IFERROR(__xludf.DUMMYFUNCTION("Ifna(QUERY($A$3:$I$2000, ""select A where B="" &amp; $K123))"),"")</f>
        <v/>
      </c>
      <c r="M123" t="str">
        <f>IFERROR(__xludf.DUMMYFUNCTION("Ifna(QUERY($A$3:$I$2000, ""select A where C="" &amp; $K123))"),"")</f>
        <v/>
      </c>
      <c r="N123" t="str">
        <f>IFERROR(__xludf.DUMMYFUNCTION("Ifna(QUERY($A$3:$I$2000, ""select A where D="" &amp; $K123))"),"")</f>
        <v/>
      </c>
      <c r="O123" t="str">
        <f>IFERROR(__xludf.DUMMYFUNCTION("Ifna(QUERY($A$3:$I$2000, ""select A where E="" &amp; $K123))"),"")</f>
        <v/>
      </c>
      <c r="P123" t="str">
        <f>IFERROR(__xludf.DUMMYFUNCTION("Ifna(QUERY($A$3:$I$2000, ""select A where F="" &amp; $K123))"),"")</f>
        <v/>
      </c>
      <c r="Q123" t="str">
        <f>IFERROR(__xludf.DUMMYFUNCTION("Ifna(QUERY($A$3:$I$2000, ""select A where G="" &amp; $K123))"),"")</f>
        <v/>
      </c>
      <c r="R123">
        <f>IFERROR(__xludf.DUMMYFUNCTION("Ifna(QUERY($A$3:$I$2000, ""select A where H="" &amp; $K123))"),3.0)</f>
        <v>3</v>
      </c>
      <c r="S123" t="str">
        <f>IFERROR(__xludf.DUMMYFUNCTION("Ifna(QUERY($A$3:$I$2000, ""select A where I="" &amp; $K123))"),"")</f>
        <v/>
      </c>
    </row>
    <row r="124">
      <c r="K124" s="2">
        <v>122.0</v>
      </c>
      <c r="L124" t="str">
        <f>IFERROR(__xludf.DUMMYFUNCTION("Ifna(QUERY($A$3:$I$2000, ""select A where B="" &amp; $K124))"),"")</f>
        <v/>
      </c>
      <c r="M124" t="str">
        <f>IFERROR(__xludf.DUMMYFUNCTION("Ifna(QUERY($A$3:$I$2000, ""select A where C="" &amp; $K124))"),"")</f>
        <v/>
      </c>
      <c r="N124" t="str">
        <f>IFERROR(__xludf.DUMMYFUNCTION("Ifna(QUERY($A$3:$I$2000, ""select A where D="" &amp; $K124))"),"")</f>
        <v/>
      </c>
      <c r="O124" t="str">
        <f>IFERROR(__xludf.DUMMYFUNCTION("Ifna(QUERY($A$3:$I$2000, ""select A where E="" &amp; $K124))"),"")</f>
        <v/>
      </c>
      <c r="P124" t="str">
        <f>IFERROR(__xludf.DUMMYFUNCTION("Ifna(QUERY($A$3:$I$2000, ""select A where F="" &amp; $K124))"),"")</f>
        <v/>
      </c>
      <c r="Q124" t="str">
        <f>IFERROR(__xludf.DUMMYFUNCTION("Ifna(QUERY($A$3:$I$2000, ""select A where G="" &amp; $K124))"),"")</f>
        <v/>
      </c>
      <c r="R124" t="str">
        <f>IFERROR(__xludf.DUMMYFUNCTION("Ifna(QUERY($A$3:$I$2000, ""select A where H="" &amp; $K124))"),"")</f>
        <v/>
      </c>
      <c r="S124">
        <f>IFERROR(__xludf.DUMMYFUNCTION("Ifna(QUERY($A$3:$I$2000, ""select A where I="" &amp; $K124))"),22.0)</f>
        <v>22</v>
      </c>
    </row>
    <row r="125">
      <c r="K125" s="2">
        <v>123.0</v>
      </c>
      <c r="L125" t="str">
        <f>IFERROR(__xludf.DUMMYFUNCTION("Ifna(QUERY($A$3:$I$2000, ""select A where B="" &amp; $K125))"),"")</f>
        <v/>
      </c>
      <c r="M125" t="str">
        <f>IFERROR(__xludf.DUMMYFUNCTION("Ifna(QUERY($A$3:$I$2000, ""select A where C="" &amp; $K125))"),"")</f>
        <v/>
      </c>
      <c r="N125" t="str">
        <f>IFERROR(__xludf.DUMMYFUNCTION("Ifna(QUERY($A$3:$I$2000, ""select A where D="" &amp; $K125))"),"")</f>
        <v/>
      </c>
      <c r="O125" t="str">
        <f>IFERROR(__xludf.DUMMYFUNCTION("Ifna(QUERY($A$3:$I$2000, ""select A where E="" &amp; $K125))"),"")</f>
        <v/>
      </c>
      <c r="P125" t="str">
        <f>IFERROR(__xludf.DUMMYFUNCTION("Ifna(QUERY($A$3:$I$2000, ""select A where F="" &amp; $K125))"),"")</f>
        <v/>
      </c>
      <c r="Q125" t="str">
        <f>IFERROR(__xludf.DUMMYFUNCTION("Ifna(QUERY($A$3:$I$2000, ""select A where G="" &amp; $K125))"),"")</f>
        <v/>
      </c>
      <c r="R125" t="str">
        <f>IFERROR(__xludf.DUMMYFUNCTION("Ifna(QUERY($A$3:$I$2000, ""select A where H="" &amp; $K125))"),"")</f>
        <v/>
      </c>
      <c r="S125" t="str">
        <f>IFERROR(__xludf.DUMMYFUNCTION("Ifna(QUERY($A$3:$I$2000, ""select A where I="" &amp; $K125))"),"")</f>
        <v/>
      </c>
    </row>
    <row r="126">
      <c r="K126" s="2">
        <v>124.0</v>
      </c>
      <c r="L126" t="str">
        <f>IFERROR(__xludf.DUMMYFUNCTION("Ifna(QUERY($A$3:$I$2000, ""select A where B="" &amp; $K126))"),"")</f>
        <v/>
      </c>
      <c r="M126" t="str">
        <f>IFERROR(__xludf.DUMMYFUNCTION("Ifna(QUERY($A$3:$I$2000, ""select A where C="" &amp; $K126))"),"")</f>
        <v/>
      </c>
      <c r="N126" t="str">
        <f>IFERROR(__xludf.DUMMYFUNCTION("Ifna(QUERY($A$3:$I$2000, ""select A where D="" &amp; $K126))"),"")</f>
        <v/>
      </c>
      <c r="O126" t="str">
        <f>IFERROR(__xludf.DUMMYFUNCTION("Ifna(QUERY($A$3:$I$2000, ""select A where E="" &amp; $K126))"),"")</f>
        <v/>
      </c>
      <c r="P126" t="str">
        <f>IFERROR(__xludf.DUMMYFUNCTION("Ifna(QUERY($A$3:$I$2000, ""select A where F="" &amp; $K126))"),"")</f>
        <v/>
      </c>
      <c r="Q126" t="str">
        <f>IFERROR(__xludf.DUMMYFUNCTION("Ifna(QUERY($A$3:$I$2000, ""select A where G="" &amp; $K126))"),"")</f>
        <v/>
      </c>
      <c r="R126" t="str">
        <f>IFERROR(__xludf.DUMMYFUNCTION("Ifna(QUERY($A$3:$I$2000, ""select A where H="" &amp; $K126))"),"")</f>
        <v/>
      </c>
      <c r="S126" t="str">
        <f>IFERROR(__xludf.DUMMYFUNCTION("Ifna(QUERY($A$3:$I$2000, ""select A where I="" &amp; $K126))"),"")</f>
        <v/>
      </c>
    </row>
    <row r="127">
      <c r="K127" s="2">
        <v>125.0</v>
      </c>
      <c r="L127" t="str">
        <f>IFERROR(__xludf.DUMMYFUNCTION("Ifna(QUERY($A$3:$I$2000, ""select A where B="" &amp; $K127))"),"")</f>
        <v/>
      </c>
      <c r="M127" t="str">
        <f>IFERROR(__xludf.DUMMYFUNCTION("Ifna(QUERY($A$3:$I$2000, ""select A where C="" &amp; $K127))"),"")</f>
        <v/>
      </c>
      <c r="N127" t="str">
        <f>IFERROR(__xludf.DUMMYFUNCTION("Ifna(QUERY($A$3:$I$2000, ""select A where D="" &amp; $K127))"),"")</f>
        <v/>
      </c>
      <c r="O127" t="str">
        <f>IFERROR(__xludf.DUMMYFUNCTION("Ifna(QUERY($A$3:$I$2000, ""select A where E="" &amp; $K127))"),"")</f>
        <v/>
      </c>
      <c r="P127" t="str">
        <f>IFERROR(__xludf.DUMMYFUNCTION("Ifna(QUERY($A$3:$I$2000, ""select A where F="" &amp; $K127))"),"")</f>
        <v/>
      </c>
      <c r="Q127" t="str">
        <f>IFERROR(__xludf.DUMMYFUNCTION("Ifna(QUERY($A$3:$I$2000, ""select A where G="" &amp; $K127))"),"")</f>
        <v/>
      </c>
      <c r="R127" t="str">
        <f>IFERROR(__xludf.DUMMYFUNCTION("Ifna(QUERY($A$3:$I$2000, ""select A where H="" &amp; $K127))"),"")</f>
        <v/>
      </c>
      <c r="S127" t="str">
        <f>IFERROR(__xludf.DUMMYFUNCTION("Ifna(QUERY($A$3:$I$2000, ""select A where I="" &amp; $K127))"),"")</f>
        <v/>
      </c>
    </row>
    <row r="128">
      <c r="K128" s="2">
        <v>126.0</v>
      </c>
      <c r="L128" t="str">
        <f>IFERROR(__xludf.DUMMYFUNCTION("Ifna(QUERY($A$3:$I$2000, ""select A where B="" &amp; $K128))"),"")</f>
        <v/>
      </c>
      <c r="M128" t="str">
        <f>IFERROR(__xludf.DUMMYFUNCTION("Ifna(QUERY($A$3:$I$2000, ""select A where C="" &amp; $K128))"),"")</f>
        <v/>
      </c>
      <c r="N128" t="str">
        <f>IFERROR(__xludf.DUMMYFUNCTION("Ifna(QUERY($A$3:$I$2000, ""select A where D="" &amp; $K128))"),"")</f>
        <v/>
      </c>
      <c r="O128" t="str">
        <f>IFERROR(__xludf.DUMMYFUNCTION("Ifna(QUERY($A$3:$I$2000, ""select A where E="" &amp; $K128))"),"")</f>
        <v/>
      </c>
      <c r="P128" t="str">
        <f>IFERROR(__xludf.DUMMYFUNCTION("Ifna(QUERY($A$3:$I$2000, ""select A where F="" &amp; $K128))"),"")</f>
        <v/>
      </c>
      <c r="Q128" t="str">
        <f>IFERROR(__xludf.DUMMYFUNCTION("Ifna(QUERY($A$3:$I$2000, ""select A where G="" &amp; $K128))"),"")</f>
        <v/>
      </c>
      <c r="R128" t="str">
        <f>IFERROR(__xludf.DUMMYFUNCTION("Ifna(QUERY($A$3:$I$2000, ""select A where H="" &amp; $K128))"),"")</f>
        <v/>
      </c>
      <c r="S128">
        <f>IFERROR(__xludf.DUMMYFUNCTION("Ifna(QUERY($A$3:$I$2000, ""select A where I="" &amp; $K128))"),21.0)</f>
        <v>21</v>
      </c>
    </row>
    <row r="129">
      <c r="K129" s="2">
        <v>127.0</v>
      </c>
      <c r="L129" t="str">
        <f>IFERROR(__xludf.DUMMYFUNCTION("Ifna(QUERY($A$3:$I$2000, ""select A where B="" &amp; $K129))"),"")</f>
        <v/>
      </c>
      <c r="M129" t="str">
        <f>IFERROR(__xludf.DUMMYFUNCTION("Ifna(QUERY($A$3:$I$2000, ""select A where C="" &amp; $K129))"),"")</f>
        <v/>
      </c>
      <c r="N129" t="str">
        <f>IFERROR(__xludf.DUMMYFUNCTION("Ifna(QUERY($A$3:$I$2000, ""select A where D="" &amp; $K129))"),"")</f>
        <v/>
      </c>
      <c r="O129" t="str">
        <f>IFERROR(__xludf.DUMMYFUNCTION("Ifna(QUERY($A$3:$I$2000, ""select A where E="" &amp; $K129))"),"")</f>
        <v/>
      </c>
      <c r="P129" t="str">
        <f>IFERROR(__xludf.DUMMYFUNCTION("Ifna(QUERY($A$3:$I$2000, ""select A where F="" &amp; $K129))"),"")</f>
        <v/>
      </c>
      <c r="Q129" t="str">
        <f>IFERROR(__xludf.DUMMYFUNCTION("Ifna(QUERY($A$3:$I$2000, ""select A where G="" &amp; $K129))"),"")</f>
        <v/>
      </c>
      <c r="R129">
        <f>IFERROR(__xludf.DUMMYFUNCTION("Ifna(QUERY($A$3:$I$2000, ""select A where H="" &amp; $K129))"),2.0)</f>
        <v>2</v>
      </c>
      <c r="S129" t="str">
        <f>IFERROR(__xludf.DUMMYFUNCTION("Ifna(QUERY($A$3:$I$2000, ""select A where I="" &amp; $K129))"),"")</f>
        <v/>
      </c>
    </row>
    <row r="130">
      <c r="K130" s="2">
        <v>128.0</v>
      </c>
      <c r="L130" t="str">
        <f>IFERROR(__xludf.DUMMYFUNCTION("Ifna(QUERY($A$3:$I$2000, ""select A where B="" &amp; $K130))"),"")</f>
        <v/>
      </c>
      <c r="M130" t="str">
        <f>IFERROR(__xludf.DUMMYFUNCTION("Ifna(QUERY($A$3:$I$2000, ""select A where C="" &amp; $K130))"),"")</f>
        <v/>
      </c>
      <c r="N130" t="str">
        <f>IFERROR(__xludf.DUMMYFUNCTION("Ifna(QUERY($A$3:$I$2000, ""select A where D="" &amp; $K130))"),"")</f>
        <v/>
      </c>
      <c r="O130" t="str">
        <f>IFERROR(__xludf.DUMMYFUNCTION("Ifna(QUERY($A$3:$I$2000, ""select A where E="" &amp; $K130))"),"")</f>
        <v/>
      </c>
      <c r="P130" t="str">
        <f>IFERROR(__xludf.DUMMYFUNCTION("Ifna(QUERY($A$3:$I$2000, ""select A where F="" &amp; $K130))"),"")</f>
        <v/>
      </c>
      <c r="Q130" t="str">
        <f>IFERROR(__xludf.DUMMYFUNCTION("Ifna(QUERY($A$3:$I$2000, ""select A where G="" &amp; $K130))"),"")</f>
        <v/>
      </c>
      <c r="R130">
        <f>IFERROR(__xludf.DUMMYFUNCTION("Ifna(QUERY($A$3:$I$2000, ""select A where H="" &amp; $K130))"),1.0)</f>
        <v>1</v>
      </c>
      <c r="S130" t="str">
        <f>IFERROR(__xludf.DUMMYFUNCTION("Ifna(QUERY($A$3:$I$2000, ""select A where I="" &amp; $K130))"),"")</f>
        <v/>
      </c>
    </row>
    <row r="131">
      <c r="K131" s="2">
        <v>129.0</v>
      </c>
      <c r="L131" t="str">
        <f>IFERROR(__xludf.DUMMYFUNCTION("Ifna(QUERY($A$3:$I$2000, ""select A where B="" &amp; $K131))"),"")</f>
        <v/>
      </c>
      <c r="M131" t="str">
        <f>IFERROR(__xludf.DUMMYFUNCTION("Ifna(QUERY($A$3:$I$2000, ""select A where C="" &amp; $K131))"),"")</f>
        <v/>
      </c>
      <c r="N131" t="str">
        <f>IFERROR(__xludf.DUMMYFUNCTION("Ifna(QUERY($A$3:$I$2000, ""select A where D="" &amp; $K131))"),"")</f>
        <v/>
      </c>
      <c r="O131" t="str">
        <f>IFERROR(__xludf.DUMMYFUNCTION("Ifna(QUERY($A$3:$I$2000, ""select A where E="" &amp; $K131))"),"")</f>
        <v/>
      </c>
      <c r="P131" t="str">
        <f>IFERROR(__xludf.DUMMYFUNCTION("Ifna(QUERY($A$3:$I$2000, ""select A where F="" &amp; $K131))"),"")</f>
        <v/>
      </c>
      <c r="Q131" t="str">
        <f>IFERROR(__xludf.DUMMYFUNCTION("Ifna(QUERY($A$3:$I$2000, ""select A where G="" &amp; $K131))"),"")</f>
        <v/>
      </c>
      <c r="R131" t="str">
        <f>IFERROR(__xludf.DUMMYFUNCTION("Ifna(QUERY($A$3:$I$2000, ""select A where H="" &amp; $K131))"),"")</f>
        <v/>
      </c>
      <c r="S131" t="str">
        <f>IFERROR(__xludf.DUMMYFUNCTION("Ifna(QUERY($A$3:$I$2000, ""select A where I="" &amp; $K131))"),"")</f>
        <v/>
      </c>
    </row>
    <row r="132">
      <c r="K132" s="2">
        <v>130.0</v>
      </c>
      <c r="L132" t="str">
        <f>IFERROR(__xludf.DUMMYFUNCTION("Ifna(QUERY($A$3:$I$2000, ""select A where B="" &amp; $K132))"),"")</f>
        <v/>
      </c>
      <c r="M132" t="str">
        <f>IFERROR(__xludf.DUMMYFUNCTION("Ifna(QUERY($A$3:$I$2000, ""select A where C="" &amp; $K132))"),"")</f>
        <v/>
      </c>
      <c r="N132" t="str">
        <f>IFERROR(__xludf.DUMMYFUNCTION("Ifna(QUERY($A$3:$I$2000, ""select A where D="" &amp; $K132))"),"")</f>
        <v/>
      </c>
      <c r="O132" t="str">
        <f>IFERROR(__xludf.DUMMYFUNCTION("Ifna(QUERY($A$3:$I$2000, ""select A where E="" &amp; $K132))"),"")</f>
        <v/>
      </c>
      <c r="P132" t="str">
        <f>IFERROR(__xludf.DUMMYFUNCTION("Ifna(QUERY($A$3:$I$2000, ""select A where F="" &amp; $K132))"),"")</f>
        <v/>
      </c>
      <c r="Q132" t="str">
        <f>IFERROR(__xludf.DUMMYFUNCTION("Ifna(QUERY($A$3:$I$2000, ""select A where G="" &amp; $K132))"),"")</f>
        <v/>
      </c>
      <c r="R132" t="str">
        <f>IFERROR(__xludf.DUMMYFUNCTION("Ifna(QUERY($A$3:$I$2000, ""select A where H="" &amp; $K132))"),"")</f>
        <v/>
      </c>
      <c r="S132">
        <f>IFERROR(__xludf.DUMMYFUNCTION("Ifna(QUERY($A$3:$I$2000, ""select A where I="" &amp; $K132))"),20.0)</f>
        <v>20</v>
      </c>
    </row>
    <row r="133">
      <c r="K133" s="2">
        <v>131.0</v>
      </c>
      <c r="L133" t="str">
        <f>IFERROR(__xludf.DUMMYFUNCTION("Ifna(QUERY($A$3:$I$2000, ""select A where B="" &amp; $K133))"),"")</f>
        <v/>
      </c>
      <c r="M133" t="str">
        <f>IFERROR(__xludf.DUMMYFUNCTION("Ifna(QUERY($A$3:$I$2000, ""select A where C="" &amp; $K133))"),"")</f>
        <v/>
      </c>
      <c r="N133" t="str">
        <f>IFERROR(__xludf.DUMMYFUNCTION("Ifna(QUERY($A$3:$I$2000, ""select A where D="" &amp; $K133))"),"")</f>
        <v/>
      </c>
      <c r="O133" t="str">
        <f>IFERROR(__xludf.DUMMYFUNCTION("Ifna(QUERY($A$3:$I$2000, ""select A where E="" &amp; $K133))"),"")</f>
        <v/>
      </c>
      <c r="P133" t="str">
        <f>IFERROR(__xludf.DUMMYFUNCTION("Ifna(QUERY($A$3:$I$2000, ""select A where F="" &amp; $K133))"),"")</f>
        <v/>
      </c>
      <c r="Q133" t="str">
        <f>IFERROR(__xludf.DUMMYFUNCTION("Ifna(QUERY($A$3:$I$2000, ""select A where G="" &amp; $K133))"),"")</f>
        <v/>
      </c>
      <c r="R133" t="str">
        <f>IFERROR(__xludf.DUMMYFUNCTION("Ifna(QUERY($A$3:$I$2000, ""select A where H="" &amp; $K133))"),"")</f>
        <v/>
      </c>
      <c r="S133" t="str">
        <f>IFERROR(__xludf.DUMMYFUNCTION("Ifna(QUERY($A$3:$I$2000, ""select A where I="" &amp; $K133))"),"")</f>
        <v/>
      </c>
    </row>
    <row r="134">
      <c r="K134" s="2">
        <v>132.0</v>
      </c>
      <c r="L134" t="str">
        <f>IFERROR(__xludf.DUMMYFUNCTION("Ifna(QUERY($A$3:$I$2000, ""select A where B="" &amp; $K134))"),"")</f>
        <v/>
      </c>
      <c r="M134" t="str">
        <f>IFERROR(__xludf.DUMMYFUNCTION("Ifna(QUERY($A$3:$I$2000, ""select A where C="" &amp; $K134))"),"")</f>
        <v/>
      </c>
      <c r="N134" t="str">
        <f>IFERROR(__xludf.DUMMYFUNCTION("Ifna(QUERY($A$3:$I$2000, ""select A where D="" &amp; $K134))"),"")</f>
        <v/>
      </c>
      <c r="O134" t="str">
        <f>IFERROR(__xludf.DUMMYFUNCTION("Ifna(QUERY($A$3:$I$2000, ""select A where E="" &amp; $K134))"),"")</f>
        <v/>
      </c>
      <c r="P134" t="str">
        <f>IFERROR(__xludf.DUMMYFUNCTION("Ifna(QUERY($A$3:$I$2000, ""select A where F="" &amp; $K134))"),"")</f>
        <v/>
      </c>
      <c r="Q134" t="str">
        <f>IFERROR(__xludf.DUMMYFUNCTION("Ifna(QUERY($A$3:$I$2000, ""select A where G="" &amp; $K134))"),"")</f>
        <v/>
      </c>
      <c r="R134" t="str">
        <f>IFERROR(__xludf.DUMMYFUNCTION("Ifna(QUERY($A$3:$I$2000, ""select A where H="" &amp; $K134))"),"")</f>
        <v/>
      </c>
      <c r="S134" t="str">
        <f>IFERROR(__xludf.DUMMYFUNCTION("Ifna(QUERY($A$3:$I$2000, ""select A where I="" &amp; $K134))"),"")</f>
        <v/>
      </c>
    </row>
    <row r="135">
      <c r="K135" s="2">
        <v>133.0</v>
      </c>
      <c r="L135" t="str">
        <f>IFERROR(__xludf.DUMMYFUNCTION("Ifna(QUERY($A$3:$I$2000, ""select A where B="" &amp; $K135))"),"")</f>
        <v/>
      </c>
      <c r="M135" t="str">
        <f>IFERROR(__xludf.DUMMYFUNCTION("Ifna(QUERY($A$3:$I$2000, ""select A where C="" &amp; $K135))"),"")</f>
        <v/>
      </c>
      <c r="N135" t="str">
        <f>IFERROR(__xludf.DUMMYFUNCTION("Ifna(QUERY($A$3:$I$2000, ""select A where D="" &amp; $K135))"),"")</f>
        <v/>
      </c>
      <c r="O135" t="str">
        <f>IFERROR(__xludf.DUMMYFUNCTION("Ifna(QUERY($A$3:$I$2000, ""select A where E="" &amp; $K135))"),"")</f>
        <v/>
      </c>
      <c r="P135" t="str">
        <f>IFERROR(__xludf.DUMMYFUNCTION("Ifna(QUERY($A$3:$I$2000, ""select A where F="" &amp; $K135))"),"")</f>
        <v/>
      </c>
      <c r="Q135" t="str">
        <f>IFERROR(__xludf.DUMMYFUNCTION("Ifna(QUERY($A$3:$I$2000, ""select A where G="" &amp; $K135))"),"")</f>
        <v/>
      </c>
      <c r="R135" t="str">
        <f>IFERROR(__xludf.DUMMYFUNCTION("Ifna(QUERY($A$3:$I$2000, ""select A where H="" &amp; $K135))"),"")</f>
        <v/>
      </c>
      <c r="S135" t="str">
        <f>IFERROR(__xludf.DUMMYFUNCTION("Ifna(QUERY($A$3:$I$2000, ""select A where I="" &amp; $K135))"),"")</f>
        <v/>
      </c>
    </row>
    <row r="136">
      <c r="K136" s="2">
        <v>134.0</v>
      </c>
      <c r="L136" t="str">
        <f>IFERROR(__xludf.DUMMYFUNCTION("Ifna(QUERY($A$3:$I$2000, ""select A where B="" &amp; $K136))"),"")</f>
        <v/>
      </c>
      <c r="M136" t="str">
        <f>IFERROR(__xludf.DUMMYFUNCTION("Ifna(QUERY($A$3:$I$2000, ""select A where C="" &amp; $K136))"),"")</f>
        <v/>
      </c>
      <c r="N136" t="str">
        <f>IFERROR(__xludf.DUMMYFUNCTION("Ifna(QUERY($A$3:$I$2000, ""select A where D="" &amp; $K136))"),"")</f>
        <v/>
      </c>
      <c r="O136" t="str">
        <f>IFERROR(__xludf.DUMMYFUNCTION("Ifna(QUERY($A$3:$I$2000, ""select A where E="" &amp; $K136))"),"")</f>
        <v/>
      </c>
      <c r="P136" t="str">
        <f>IFERROR(__xludf.DUMMYFUNCTION("Ifna(QUERY($A$3:$I$2000, ""select A where F="" &amp; $K136))"),"")</f>
        <v/>
      </c>
      <c r="Q136" t="str">
        <f>IFERROR(__xludf.DUMMYFUNCTION("Ifna(QUERY($A$3:$I$2000, ""select A where G="" &amp; $K136))"),"")</f>
        <v/>
      </c>
      <c r="R136" t="str">
        <f>IFERROR(__xludf.DUMMYFUNCTION("Ifna(QUERY($A$3:$I$2000, ""select A where H="" &amp; $K136))"),"")</f>
        <v/>
      </c>
      <c r="S136" t="str">
        <f>IFERROR(__xludf.DUMMYFUNCTION("Ifna(QUERY($A$3:$I$2000, ""select A where I="" &amp; $K136))"),"")</f>
        <v/>
      </c>
    </row>
    <row r="137">
      <c r="K137" s="2">
        <v>135.0</v>
      </c>
      <c r="L137" t="str">
        <f>IFERROR(__xludf.DUMMYFUNCTION("Ifna(QUERY($A$3:$I$2000, ""select A where B="" &amp; $K137))"),"")</f>
        <v/>
      </c>
      <c r="M137" t="str">
        <f>IFERROR(__xludf.DUMMYFUNCTION("Ifna(QUERY($A$3:$I$2000, ""select A where C="" &amp; $K137))"),"")</f>
        <v/>
      </c>
      <c r="N137" t="str">
        <f>IFERROR(__xludf.DUMMYFUNCTION("Ifna(QUERY($A$3:$I$2000, ""select A where D="" &amp; $K137))"),"")</f>
        <v/>
      </c>
      <c r="O137" t="str">
        <f>IFERROR(__xludf.DUMMYFUNCTION("Ifna(QUERY($A$3:$I$2000, ""select A where E="" &amp; $K137))"),"")</f>
        <v/>
      </c>
      <c r="P137" t="str">
        <f>IFERROR(__xludf.DUMMYFUNCTION("Ifna(QUERY($A$3:$I$2000, ""select A where F="" &amp; $K137))"),"")</f>
        <v/>
      </c>
      <c r="Q137" t="str">
        <f>IFERROR(__xludf.DUMMYFUNCTION("Ifna(QUERY($A$3:$I$2000, ""select A where G="" &amp; $K137))"),"")</f>
        <v/>
      </c>
      <c r="R137" t="str">
        <f>IFERROR(__xludf.DUMMYFUNCTION("Ifna(QUERY($A$3:$I$2000, ""select A where H="" &amp; $K137))"),"")</f>
        <v/>
      </c>
      <c r="S137">
        <f>IFERROR(__xludf.DUMMYFUNCTION("Ifna(QUERY($A$3:$I$2000, ""select A where I="" &amp; $K137))"),19.0)</f>
        <v>19</v>
      </c>
    </row>
    <row r="138">
      <c r="K138" s="2">
        <v>136.0</v>
      </c>
      <c r="L138" t="str">
        <f>IFERROR(__xludf.DUMMYFUNCTION("Ifna(QUERY($A$3:$I$2000, ""select A where B="" &amp; $K138))"),"")</f>
        <v/>
      </c>
      <c r="M138" t="str">
        <f>IFERROR(__xludf.DUMMYFUNCTION("Ifna(QUERY($A$3:$I$2000, ""select A where C="" &amp; $K138))"),"")</f>
        <v/>
      </c>
      <c r="N138" t="str">
        <f>IFERROR(__xludf.DUMMYFUNCTION("Ifna(QUERY($A$3:$I$2000, ""select A where D="" &amp; $K138))"),"")</f>
        <v/>
      </c>
      <c r="O138" t="str">
        <f>IFERROR(__xludf.DUMMYFUNCTION("Ifna(QUERY($A$3:$I$2000, ""select A where E="" &amp; $K138))"),"")</f>
        <v/>
      </c>
      <c r="P138" t="str">
        <f>IFERROR(__xludf.DUMMYFUNCTION("Ifna(QUERY($A$3:$I$2000, ""select A where F="" &amp; $K138))"),"")</f>
        <v/>
      </c>
      <c r="Q138" t="str">
        <f>IFERROR(__xludf.DUMMYFUNCTION("Ifna(QUERY($A$3:$I$2000, ""select A where G="" &amp; $K138))"),"")</f>
        <v/>
      </c>
      <c r="R138" t="str">
        <f>IFERROR(__xludf.DUMMYFUNCTION("Ifna(QUERY($A$3:$I$2000, ""select A where H="" &amp; $K138))"),"")</f>
        <v/>
      </c>
      <c r="S138" t="str">
        <f>IFERROR(__xludf.DUMMYFUNCTION("Ifna(QUERY($A$3:$I$2000, ""select A where I="" &amp; $K138))"),"")</f>
        <v/>
      </c>
    </row>
    <row r="139">
      <c r="K139" s="2">
        <v>137.0</v>
      </c>
      <c r="L139" t="str">
        <f>IFERROR(__xludf.DUMMYFUNCTION("Ifna(QUERY($A$3:$I$2000, ""select A where B="" &amp; $K139))"),"")</f>
        <v/>
      </c>
      <c r="M139" t="str">
        <f>IFERROR(__xludf.DUMMYFUNCTION("Ifna(QUERY($A$3:$I$2000, ""select A where C="" &amp; $K139))"),"")</f>
        <v/>
      </c>
      <c r="N139" t="str">
        <f>IFERROR(__xludf.DUMMYFUNCTION("Ifna(QUERY($A$3:$I$2000, ""select A where D="" &amp; $K139))"),"")</f>
        <v/>
      </c>
      <c r="O139" t="str">
        <f>IFERROR(__xludf.DUMMYFUNCTION("Ifna(QUERY($A$3:$I$2000, ""select A where E="" &amp; $K139))"),"")</f>
        <v/>
      </c>
      <c r="P139" t="str">
        <f>IFERROR(__xludf.DUMMYFUNCTION("Ifna(QUERY($A$3:$I$2000, ""select A where F="" &amp; $K139))"),"")</f>
        <v/>
      </c>
      <c r="Q139" t="str">
        <f>IFERROR(__xludf.DUMMYFUNCTION("Ifna(QUERY($A$3:$I$2000, ""select A where G="" &amp; $K139))"),"")</f>
        <v/>
      </c>
      <c r="R139" t="str">
        <f>IFERROR(__xludf.DUMMYFUNCTION("Ifna(QUERY($A$3:$I$2000, ""select A where H="" &amp; $K139))"),"")</f>
        <v/>
      </c>
      <c r="S139" t="str">
        <f>IFERROR(__xludf.DUMMYFUNCTION("Ifna(QUERY($A$3:$I$2000, ""select A where I="" &amp; $K139))"),"")</f>
        <v/>
      </c>
    </row>
    <row r="140">
      <c r="K140" s="2">
        <v>138.0</v>
      </c>
      <c r="L140" t="str">
        <f>IFERROR(__xludf.DUMMYFUNCTION("Ifna(QUERY($A$3:$I$2000, ""select A where B="" &amp; $K140))"),"")</f>
        <v/>
      </c>
      <c r="M140" t="str">
        <f>IFERROR(__xludf.DUMMYFUNCTION("Ifna(QUERY($A$3:$I$2000, ""select A where C="" &amp; $K140))"),"")</f>
        <v/>
      </c>
      <c r="N140" t="str">
        <f>IFERROR(__xludf.DUMMYFUNCTION("Ifna(QUERY($A$3:$I$2000, ""select A where D="" &amp; $K140))"),"")</f>
        <v/>
      </c>
      <c r="O140" t="str">
        <f>IFERROR(__xludf.DUMMYFUNCTION("Ifna(QUERY($A$3:$I$2000, ""select A where E="" &amp; $K140))"),"")</f>
        <v/>
      </c>
      <c r="P140" t="str">
        <f>IFERROR(__xludf.DUMMYFUNCTION("Ifna(QUERY($A$3:$I$2000, ""select A where F="" &amp; $K140))"),"")</f>
        <v/>
      </c>
      <c r="Q140" t="str">
        <f>IFERROR(__xludf.DUMMYFUNCTION("Ifna(QUERY($A$3:$I$2000, ""select A where G="" &amp; $K140))"),"")</f>
        <v/>
      </c>
      <c r="R140" t="str">
        <f>IFERROR(__xludf.DUMMYFUNCTION("Ifna(QUERY($A$3:$I$2000, ""select A where H="" &amp; $K140))"),"")</f>
        <v/>
      </c>
      <c r="S140" t="str">
        <f>IFERROR(__xludf.DUMMYFUNCTION("Ifna(QUERY($A$3:$I$2000, ""select A where I="" &amp; $K140))"),"")</f>
        <v/>
      </c>
    </row>
    <row r="141">
      <c r="K141" s="2">
        <v>139.0</v>
      </c>
      <c r="L141" t="str">
        <f>IFERROR(__xludf.DUMMYFUNCTION("Ifna(QUERY($A$3:$I$2000, ""select A where B="" &amp; $K141))"),"")</f>
        <v/>
      </c>
      <c r="M141" t="str">
        <f>IFERROR(__xludf.DUMMYFUNCTION("Ifna(QUERY($A$3:$I$2000, ""select A where C="" &amp; $K141))"),"")</f>
        <v/>
      </c>
      <c r="N141" t="str">
        <f>IFERROR(__xludf.DUMMYFUNCTION("Ifna(QUERY($A$3:$I$2000, ""select A where D="" &amp; $K141))"),"")</f>
        <v/>
      </c>
      <c r="O141" t="str">
        <f>IFERROR(__xludf.DUMMYFUNCTION("Ifna(QUERY($A$3:$I$2000, ""select A where E="" &amp; $K141))"),"")</f>
        <v/>
      </c>
      <c r="P141" t="str">
        <f>IFERROR(__xludf.DUMMYFUNCTION("Ifna(QUERY($A$3:$I$2000, ""select A where F="" &amp; $K141))"),"")</f>
        <v/>
      </c>
      <c r="Q141" t="str">
        <f>IFERROR(__xludf.DUMMYFUNCTION("Ifna(QUERY($A$3:$I$2000, ""select A where G="" &amp; $K141))"),"")</f>
        <v/>
      </c>
      <c r="R141" t="str">
        <f>IFERROR(__xludf.DUMMYFUNCTION("Ifna(QUERY($A$3:$I$2000, ""select A where H="" &amp; $K141))"),"")</f>
        <v/>
      </c>
      <c r="S141">
        <f>IFERROR(__xludf.DUMMYFUNCTION("Ifna(QUERY($A$3:$I$2000, ""select A where I="" &amp; $K141))"),18.0)</f>
        <v>18</v>
      </c>
    </row>
    <row r="142">
      <c r="K142" s="2">
        <v>140.0</v>
      </c>
      <c r="L142" t="str">
        <f>IFERROR(__xludf.DUMMYFUNCTION("Ifna(QUERY($A$3:$I$2000, ""select A where B="" &amp; $K142))"),"")</f>
        <v/>
      </c>
      <c r="M142" t="str">
        <f>IFERROR(__xludf.DUMMYFUNCTION("Ifna(QUERY($A$3:$I$2000, ""select A where C="" &amp; $K142))"),"")</f>
        <v/>
      </c>
      <c r="N142" t="str">
        <f>IFERROR(__xludf.DUMMYFUNCTION("Ifna(QUERY($A$3:$I$2000, ""select A where D="" &amp; $K142))"),"")</f>
        <v/>
      </c>
      <c r="O142" t="str">
        <f>IFERROR(__xludf.DUMMYFUNCTION("Ifna(QUERY($A$3:$I$2000, ""select A where E="" &amp; $K142))"),"")</f>
        <v/>
      </c>
      <c r="P142" t="str">
        <f>IFERROR(__xludf.DUMMYFUNCTION("Ifna(QUERY($A$3:$I$2000, ""select A where F="" &amp; $K142))"),"")</f>
        <v/>
      </c>
      <c r="Q142" t="str">
        <f>IFERROR(__xludf.DUMMYFUNCTION("Ifna(QUERY($A$3:$I$2000, ""select A where G="" &amp; $K142))"),"")</f>
        <v/>
      </c>
      <c r="R142" t="str">
        <f>IFERROR(__xludf.DUMMYFUNCTION("Ifna(QUERY($A$3:$I$2000, ""select A where H="" &amp; $K142))"),"")</f>
        <v/>
      </c>
      <c r="S142" t="str">
        <f>IFERROR(__xludf.DUMMYFUNCTION("Ifna(QUERY($A$3:$I$2000, ""select A where I="" &amp; $K142))"),"")</f>
        <v/>
      </c>
    </row>
    <row r="143">
      <c r="K143" s="2">
        <v>141.0</v>
      </c>
      <c r="L143" t="str">
        <f>IFERROR(__xludf.DUMMYFUNCTION("Ifna(QUERY($A$3:$I$2000, ""select A where B="" &amp; $K143))"),"")</f>
        <v/>
      </c>
      <c r="M143" t="str">
        <f>IFERROR(__xludf.DUMMYFUNCTION("Ifna(QUERY($A$3:$I$2000, ""select A where C="" &amp; $K143))"),"")</f>
        <v/>
      </c>
      <c r="N143" t="str">
        <f>IFERROR(__xludf.DUMMYFUNCTION("Ifna(QUERY($A$3:$I$2000, ""select A where D="" &amp; $K143))"),"")</f>
        <v/>
      </c>
      <c r="O143" t="str">
        <f>IFERROR(__xludf.DUMMYFUNCTION("Ifna(QUERY($A$3:$I$2000, ""select A where E="" &amp; $K143))"),"")</f>
        <v/>
      </c>
      <c r="P143" t="str">
        <f>IFERROR(__xludf.DUMMYFUNCTION("Ifna(QUERY($A$3:$I$2000, ""select A where F="" &amp; $K143))"),"")</f>
        <v/>
      </c>
      <c r="Q143" t="str">
        <f>IFERROR(__xludf.DUMMYFUNCTION("Ifna(QUERY($A$3:$I$2000, ""select A where G="" &amp; $K143))"),"")</f>
        <v/>
      </c>
      <c r="R143" t="str">
        <f>IFERROR(__xludf.DUMMYFUNCTION("Ifna(QUERY($A$3:$I$2000, ""select A where H="" &amp; $K143))"),"")</f>
        <v/>
      </c>
      <c r="S143" t="str">
        <f>IFERROR(__xludf.DUMMYFUNCTION("Ifna(QUERY($A$3:$I$2000, ""select A where I="" &amp; $K143))"),"")</f>
        <v/>
      </c>
    </row>
    <row r="144">
      <c r="K144" s="2">
        <v>142.0</v>
      </c>
      <c r="L144" t="str">
        <f>IFERROR(__xludf.DUMMYFUNCTION("Ifna(QUERY($A$3:$I$2000, ""select A where B="" &amp; $K144))"),"")</f>
        <v/>
      </c>
      <c r="M144" t="str">
        <f>IFERROR(__xludf.DUMMYFUNCTION("Ifna(QUERY($A$3:$I$2000, ""select A where C="" &amp; $K144))"),"")</f>
        <v/>
      </c>
      <c r="N144" t="str">
        <f>IFERROR(__xludf.DUMMYFUNCTION("Ifna(QUERY($A$3:$I$2000, ""select A where D="" &amp; $K144))"),"")</f>
        <v/>
      </c>
      <c r="O144" t="str">
        <f>IFERROR(__xludf.DUMMYFUNCTION("Ifna(QUERY($A$3:$I$2000, ""select A where E="" &amp; $K144))"),"")</f>
        <v/>
      </c>
      <c r="P144" t="str">
        <f>IFERROR(__xludf.DUMMYFUNCTION("Ifna(QUERY($A$3:$I$2000, ""select A where F="" &amp; $K144))"),"")</f>
        <v/>
      </c>
      <c r="Q144" t="str">
        <f>IFERROR(__xludf.DUMMYFUNCTION("Ifna(QUERY($A$3:$I$2000, ""select A where G="" &amp; $K144))"),"")</f>
        <v/>
      </c>
      <c r="R144" t="str">
        <f>IFERROR(__xludf.DUMMYFUNCTION("Ifna(QUERY($A$3:$I$2000, ""select A where H="" &amp; $K144))"),"")</f>
        <v/>
      </c>
      <c r="S144">
        <f>IFERROR(__xludf.DUMMYFUNCTION("Ifna(QUERY($A$3:$I$2000, ""select A where I="" &amp; $K144))"),17.0)</f>
        <v>17</v>
      </c>
    </row>
    <row r="145">
      <c r="K145" s="2">
        <v>143.0</v>
      </c>
      <c r="L145" t="str">
        <f>IFERROR(__xludf.DUMMYFUNCTION("Ifna(QUERY($A$3:$I$2000, ""select A where B="" &amp; $K145))"),"")</f>
        <v/>
      </c>
      <c r="M145" t="str">
        <f>IFERROR(__xludf.DUMMYFUNCTION("Ifna(QUERY($A$3:$I$2000, ""select A where C="" &amp; $K145))"),"")</f>
        <v/>
      </c>
      <c r="N145" t="str">
        <f>IFERROR(__xludf.DUMMYFUNCTION("Ifna(QUERY($A$3:$I$2000, ""select A where D="" &amp; $K145))"),"")</f>
        <v/>
      </c>
      <c r="O145" t="str">
        <f>IFERROR(__xludf.DUMMYFUNCTION("Ifna(QUERY($A$3:$I$2000, ""select A where E="" &amp; $K145))"),"")</f>
        <v/>
      </c>
      <c r="P145" t="str">
        <f>IFERROR(__xludf.DUMMYFUNCTION("Ifna(QUERY($A$3:$I$2000, ""select A where F="" &amp; $K145))"),"")</f>
        <v/>
      </c>
      <c r="Q145" t="str">
        <f>IFERROR(__xludf.DUMMYFUNCTION("Ifna(QUERY($A$3:$I$2000, ""select A where G="" &amp; $K145))"),"")</f>
        <v/>
      </c>
      <c r="R145" t="str">
        <f>IFERROR(__xludf.DUMMYFUNCTION("Ifna(QUERY($A$3:$I$2000, ""select A where H="" &amp; $K145))"),"")</f>
        <v/>
      </c>
      <c r="S145" t="str">
        <f>IFERROR(__xludf.DUMMYFUNCTION("Ifna(QUERY($A$3:$I$2000, ""select A where I="" &amp; $K145))"),"")</f>
        <v/>
      </c>
    </row>
    <row r="146">
      <c r="K146" s="2">
        <v>144.0</v>
      </c>
      <c r="L146" t="str">
        <f>IFERROR(__xludf.DUMMYFUNCTION("Ifna(QUERY($A$3:$I$2000, ""select A where B="" &amp; $K146))"),"")</f>
        <v/>
      </c>
      <c r="M146" t="str">
        <f>IFERROR(__xludf.DUMMYFUNCTION("Ifna(QUERY($A$3:$I$2000, ""select A where C="" &amp; $K146))"),"")</f>
        <v/>
      </c>
      <c r="N146" t="str">
        <f>IFERROR(__xludf.DUMMYFUNCTION("Ifna(QUERY($A$3:$I$2000, ""select A where D="" &amp; $K146))"),"")</f>
        <v/>
      </c>
      <c r="O146" t="str">
        <f>IFERROR(__xludf.DUMMYFUNCTION("Ifna(QUERY($A$3:$I$2000, ""select A where E="" &amp; $K146))"),"")</f>
        <v/>
      </c>
      <c r="P146" t="str">
        <f>IFERROR(__xludf.DUMMYFUNCTION("Ifna(QUERY($A$3:$I$2000, ""select A where F="" &amp; $K146))"),"")</f>
        <v/>
      </c>
      <c r="Q146" t="str">
        <f>IFERROR(__xludf.DUMMYFUNCTION("Ifna(QUERY($A$3:$I$2000, ""select A where G="" &amp; $K146))"),"")</f>
        <v/>
      </c>
      <c r="R146" t="str">
        <f>IFERROR(__xludf.DUMMYFUNCTION("Ifna(QUERY($A$3:$I$2000, ""select A where H="" &amp; $K146))"),"")</f>
        <v/>
      </c>
      <c r="S146" t="str">
        <f>IFERROR(__xludf.DUMMYFUNCTION("Ifna(QUERY($A$3:$I$2000, ""select A where I="" &amp; $K146))"),"")</f>
        <v/>
      </c>
    </row>
    <row r="147">
      <c r="K147" s="2">
        <v>145.0</v>
      </c>
      <c r="L147" t="str">
        <f>IFERROR(__xludf.DUMMYFUNCTION("Ifna(QUERY($A$3:$I$2000, ""select A where B="" &amp; $K147))"),"")</f>
        <v/>
      </c>
      <c r="M147" t="str">
        <f>IFERROR(__xludf.DUMMYFUNCTION("Ifna(QUERY($A$3:$I$2000, ""select A where C="" &amp; $K147))"),"")</f>
        <v/>
      </c>
      <c r="N147" t="str">
        <f>IFERROR(__xludf.DUMMYFUNCTION("Ifna(QUERY($A$3:$I$2000, ""select A where D="" &amp; $K147))"),"")</f>
        <v/>
      </c>
      <c r="O147" t="str">
        <f>IFERROR(__xludf.DUMMYFUNCTION("Ifna(QUERY($A$3:$I$2000, ""select A where E="" &amp; $K147))"),"")</f>
        <v/>
      </c>
      <c r="P147" t="str">
        <f>IFERROR(__xludf.DUMMYFUNCTION("Ifna(QUERY($A$3:$I$2000, ""select A where F="" &amp; $K147))"),"")</f>
        <v/>
      </c>
      <c r="Q147" t="str">
        <f>IFERROR(__xludf.DUMMYFUNCTION("Ifna(QUERY($A$3:$I$2000, ""select A where G="" &amp; $K147))"),"")</f>
        <v/>
      </c>
      <c r="R147" t="str">
        <f>IFERROR(__xludf.DUMMYFUNCTION("Ifna(QUERY($A$3:$I$2000, ""select A where H="" &amp; $K147))"),"")</f>
        <v/>
      </c>
      <c r="S147" t="str">
        <f>IFERROR(__xludf.DUMMYFUNCTION("Ifna(QUERY($A$3:$I$2000, ""select A where I="" &amp; $K147))"),"")</f>
        <v/>
      </c>
    </row>
    <row r="148">
      <c r="K148" s="2">
        <v>146.0</v>
      </c>
      <c r="L148" t="str">
        <f>IFERROR(__xludf.DUMMYFUNCTION("Ifna(QUERY($A$3:$I$2000, ""select A where B="" &amp; $K148))"),"")</f>
        <v/>
      </c>
      <c r="M148" t="str">
        <f>IFERROR(__xludf.DUMMYFUNCTION("Ifna(QUERY($A$3:$I$2000, ""select A where C="" &amp; $K148))"),"")</f>
        <v/>
      </c>
      <c r="N148" t="str">
        <f>IFERROR(__xludf.DUMMYFUNCTION("Ifna(QUERY($A$3:$I$2000, ""select A where D="" &amp; $K148))"),"")</f>
        <v/>
      </c>
      <c r="O148" t="str">
        <f>IFERROR(__xludf.DUMMYFUNCTION("Ifna(QUERY($A$3:$I$2000, ""select A where E="" &amp; $K148))"),"")</f>
        <v/>
      </c>
      <c r="P148" t="str">
        <f>IFERROR(__xludf.DUMMYFUNCTION("Ifna(QUERY($A$3:$I$2000, ""select A where F="" &amp; $K148))"),"")</f>
        <v/>
      </c>
      <c r="Q148" t="str">
        <f>IFERROR(__xludf.DUMMYFUNCTION("Ifna(QUERY($A$3:$I$2000, ""select A where G="" &amp; $K148))"),"")</f>
        <v/>
      </c>
      <c r="R148" t="str">
        <f>IFERROR(__xludf.DUMMYFUNCTION("Ifna(QUERY($A$3:$I$2000, ""select A where H="" &amp; $K148))"),"")</f>
        <v/>
      </c>
      <c r="S148" t="str">
        <f>IFERROR(__xludf.DUMMYFUNCTION("Ifna(QUERY($A$3:$I$2000, ""select A where I="" &amp; $K148))"),"")</f>
        <v/>
      </c>
    </row>
    <row r="149">
      <c r="K149" s="2">
        <v>147.0</v>
      </c>
      <c r="L149" t="str">
        <f>IFERROR(__xludf.DUMMYFUNCTION("Ifna(QUERY($A$3:$I$2000, ""select A where B="" &amp; $K149))"),"")</f>
        <v/>
      </c>
      <c r="M149" t="str">
        <f>IFERROR(__xludf.DUMMYFUNCTION("Ifna(QUERY($A$3:$I$2000, ""select A where C="" &amp; $K149))"),"")</f>
        <v/>
      </c>
      <c r="N149" t="str">
        <f>IFERROR(__xludf.DUMMYFUNCTION("Ifna(QUERY($A$3:$I$2000, ""select A where D="" &amp; $K149))"),"")</f>
        <v/>
      </c>
      <c r="O149" t="str">
        <f>IFERROR(__xludf.DUMMYFUNCTION("Ifna(QUERY($A$3:$I$2000, ""select A where E="" &amp; $K149))"),"")</f>
        <v/>
      </c>
      <c r="P149" t="str">
        <f>IFERROR(__xludf.DUMMYFUNCTION("Ifna(QUERY($A$3:$I$2000, ""select A where F="" &amp; $K149))"),"")</f>
        <v/>
      </c>
      <c r="Q149" t="str">
        <f>IFERROR(__xludf.DUMMYFUNCTION("Ifna(QUERY($A$3:$I$2000, ""select A where G="" &amp; $K149))"),"")</f>
        <v/>
      </c>
      <c r="R149" t="str">
        <f>IFERROR(__xludf.DUMMYFUNCTION("Ifna(QUERY($A$3:$I$2000, ""select A where H="" &amp; $K149))"),"")</f>
        <v/>
      </c>
      <c r="S149" t="str">
        <f>IFERROR(__xludf.DUMMYFUNCTION("Ifna(QUERY($A$3:$I$2000, ""select A where I="" &amp; $K149))"),"")</f>
        <v/>
      </c>
    </row>
    <row r="150">
      <c r="K150" s="2">
        <v>148.0</v>
      </c>
      <c r="L150" t="str">
        <f>IFERROR(__xludf.DUMMYFUNCTION("Ifna(QUERY($A$3:$I$2000, ""select A where B="" &amp; $K150))"),"")</f>
        <v/>
      </c>
      <c r="M150" t="str">
        <f>IFERROR(__xludf.DUMMYFUNCTION("Ifna(QUERY($A$3:$I$2000, ""select A where C="" &amp; $K150))"),"")</f>
        <v/>
      </c>
      <c r="N150" t="str">
        <f>IFERROR(__xludf.DUMMYFUNCTION("Ifna(QUERY($A$3:$I$2000, ""select A where D="" &amp; $K150))"),"")</f>
        <v/>
      </c>
      <c r="O150" t="str">
        <f>IFERROR(__xludf.DUMMYFUNCTION("Ifna(QUERY($A$3:$I$2000, ""select A where E="" &amp; $K150))"),"")</f>
        <v/>
      </c>
      <c r="P150" t="str">
        <f>IFERROR(__xludf.DUMMYFUNCTION("Ifna(QUERY($A$3:$I$2000, ""select A where F="" &amp; $K150))"),"")</f>
        <v/>
      </c>
      <c r="Q150" t="str">
        <f>IFERROR(__xludf.DUMMYFUNCTION("Ifna(QUERY($A$3:$I$2000, ""select A where G="" &amp; $K150))"),"")</f>
        <v/>
      </c>
      <c r="R150" t="str">
        <f>IFERROR(__xludf.DUMMYFUNCTION("Ifna(QUERY($A$3:$I$2000, ""select A where H="" &amp; $K150))"),"")</f>
        <v/>
      </c>
      <c r="S150">
        <f>IFERROR(__xludf.DUMMYFUNCTION("Ifna(QUERY($A$3:$I$2000, ""select A where I="" &amp; $K150))"),16.0)</f>
        <v>16</v>
      </c>
    </row>
    <row r="151">
      <c r="K151" s="2">
        <v>149.0</v>
      </c>
      <c r="L151" t="str">
        <f>IFERROR(__xludf.DUMMYFUNCTION("Ifna(QUERY($A$3:$I$2000, ""select A where B="" &amp; $K151))"),"")</f>
        <v/>
      </c>
      <c r="M151" t="str">
        <f>IFERROR(__xludf.DUMMYFUNCTION("Ifna(QUERY($A$3:$I$2000, ""select A where C="" &amp; $K151))"),"")</f>
        <v/>
      </c>
      <c r="N151" t="str">
        <f>IFERROR(__xludf.DUMMYFUNCTION("Ifna(QUERY($A$3:$I$2000, ""select A where D="" &amp; $K151))"),"")</f>
        <v/>
      </c>
      <c r="O151" t="str">
        <f>IFERROR(__xludf.DUMMYFUNCTION("Ifna(QUERY($A$3:$I$2000, ""select A where E="" &amp; $K151))"),"")</f>
        <v/>
      </c>
      <c r="P151" t="str">
        <f>IFERROR(__xludf.DUMMYFUNCTION("Ifna(QUERY($A$3:$I$2000, ""select A where F="" &amp; $K151))"),"")</f>
        <v/>
      </c>
      <c r="Q151" t="str">
        <f>IFERROR(__xludf.DUMMYFUNCTION("Ifna(QUERY($A$3:$I$2000, ""select A where G="" &amp; $K151))"),"")</f>
        <v/>
      </c>
      <c r="R151" t="str">
        <f>IFERROR(__xludf.DUMMYFUNCTION("Ifna(QUERY($A$3:$I$2000, ""select A where H="" &amp; $K151))"),"")</f>
        <v/>
      </c>
      <c r="S151" t="str">
        <f>IFERROR(__xludf.DUMMYFUNCTION("Ifna(QUERY($A$3:$I$2000, ""select A where I="" &amp; $K151))"),"")</f>
        <v/>
      </c>
    </row>
    <row r="152">
      <c r="K152" s="2">
        <v>150.0</v>
      </c>
      <c r="L152" t="str">
        <f>IFERROR(__xludf.DUMMYFUNCTION("Ifna(QUERY($A$3:$I$2000, ""select A where B="" &amp; $K152))"),"")</f>
        <v/>
      </c>
      <c r="M152" t="str">
        <f>IFERROR(__xludf.DUMMYFUNCTION("Ifna(QUERY($A$3:$I$2000, ""select A where C="" &amp; $K152))"),"")</f>
        <v/>
      </c>
      <c r="N152" t="str">
        <f>IFERROR(__xludf.DUMMYFUNCTION("Ifna(QUERY($A$3:$I$2000, ""select A where D="" &amp; $K152))"),"")</f>
        <v/>
      </c>
      <c r="O152" t="str">
        <f>IFERROR(__xludf.DUMMYFUNCTION("Ifna(QUERY($A$3:$I$2000, ""select A where E="" &amp; $K152))"),"")</f>
        <v/>
      </c>
      <c r="P152" t="str">
        <f>IFERROR(__xludf.DUMMYFUNCTION("Ifna(QUERY($A$3:$I$2000, ""select A where F="" &amp; $K152))"),"")</f>
        <v/>
      </c>
      <c r="Q152" t="str">
        <f>IFERROR(__xludf.DUMMYFUNCTION("Ifna(QUERY($A$3:$I$2000, ""select A where G="" &amp; $K152))"),"")</f>
        <v/>
      </c>
      <c r="R152" t="str">
        <f>IFERROR(__xludf.DUMMYFUNCTION("Ifna(QUERY($A$3:$I$2000, ""select A where H="" &amp; $K152))"),"")</f>
        <v/>
      </c>
      <c r="S152" t="str">
        <f>IFERROR(__xludf.DUMMYFUNCTION("Ifna(QUERY($A$3:$I$2000, ""select A where I="" &amp; $K152))"),"")</f>
        <v/>
      </c>
    </row>
    <row r="153">
      <c r="K153" s="2">
        <v>151.0</v>
      </c>
      <c r="L153" t="str">
        <f>IFERROR(__xludf.DUMMYFUNCTION("Ifna(QUERY($A$3:$I$2000, ""select A where B="" &amp; $K153))"),"")</f>
        <v/>
      </c>
      <c r="M153" t="str">
        <f>IFERROR(__xludf.DUMMYFUNCTION("Ifna(QUERY($A$3:$I$2000, ""select A where C="" &amp; $K153))"),"")</f>
        <v/>
      </c>
      <c r="N153" t="str">
        <f>IFERROR(__xludf.DUMMYFUNCTION("Ifna(QUERY($A$3:$I$2000, ""select A where D="" &amp; $K153))"),"")</f>
        <v/>
      </c>
      <c r="O153" t="str">
        <f>IFERROR(__xludf.DUMMYFUNCTION("Ifna(QUERY($A$3:$I$2000, ""select A where E="" &amp; $K153))"),"")</f>
        <v/>
      </c>
      <c r="P153" t="str">
        <f>IFERROR(__xludf.DUMMYFUNCTION("Ifna(QUERY($A$3:$I$2000, ""select A where F="" &amp; $K153))"),"")</f>
        <v/>
      </c>
      <c r="Q153" t="str">
        <f>IFERROR(__xludf.DUMMYFUNCTION("Ifna(QUERY($A$3:$I$2000, ""select A where G="" &amp; $K153))"),"")</f>
        <v/>
      </c>
      <c r="R153" t="str">
        <f>IFERROR(__xludf.DUMMYFUNCTION("Ifna(QUERY($A$3:$I$2000, ""select A where H="" &amp; $K153))"),"")</f>
        <v/>
      </c>
      <c r="S153" t="str">
        <f>IFERROR(__xludf.DUMMYFUNCTION("Ifna(QUERY($A$3:$I$2000, ""select A where I="" &amp; $K153))"),"")</f>
        <v/>
      </c>
    </row>
    <row r="154">
      <c r="K154" s="2">
        <v>152.0</v>
      </c>
      <c r="L154" t="str">
        <f>IFERROR(__xludf.DUMMYFUNCTION("Ifna(QUERY($A$3:$I$2000, ""select A where B="" &amp; $K154))"),"")</f>
        <v/>
      </c>
      <c r="M154" t="str">
        <f>IFERROR(__xludf.DUMMYFUNCTION("Ifna(QUERY($A$3:$I$2000, ""select A where C="" &amp; $K154))"),"")</f>
        <v/>
      </c>
      <c r="N154" t="str">
        <f>IFERROR(__xludf.DUMMYFUNCTION("Ifna(QUERY($A$3:$I$2000, ""select A where D="" &amp; $K154))"),"")</f>
        <v/>
      </c>
      <c r="O154" t="str">
        <f>IFERROR(__xludf.DUMMYFUNCTION("Ifna(QUERY($A$3:$I$2000, ""select A where E="" &amp; $K154))"),"")</f>
        <v/>
      </c>
      <c r="P154" t="str">
        <f>IFERROR(__xludf.DUMMYFUNCTION("Ifna(QUERY($A$3:$I$2000, ""select A where F="" &amp; $K154))"),"")</f>
        <v/>
      </c>
      <c r="Q154" t="str">
        <f>IFERROR(__xludf.DUMMYFUNCTION("Ifna(QUERY($A$3:$I$2000, ""select A where G="" &amp; $K154))"),"")</f>
        <v/>
      </c>
      <c r="R154" t="str">
        <f>IFERROR(__xludf.DUMMYFUNCTION("Ifna(QUERY($A$3:$I$2000, ""select A where H="" &amp; $K154))"),"")</f>
        <v/>
      </c>
      <c r="S154" t="str">
        <f>IFERROR(__xludf.DUMMYFUNCTION("Ifna(QUERY($A$3:$I$2000, ""select A where I="" &amp; $K154))"),"")</f>
        <v/>
      </c>
    </row>
    <row r="155">
      <c r="K155" s="2">
        <v>153.0</v>
      </c>
      <c r="L155" t="str">
        <f>IFERROR(__xludf.DUMMYFUNCTION("Ifna(QUERY($A$3:$I$2000, ""select A where B="" &amp; $K155))"),"")</f>
        <v/>
      </c>
      <c r="M155" t="str">
        <f>IFERROR(__xludf.DUMMYFUNCTION("Ifna(QUERY($A$3:$I$2000, ""select A where C="" &amp; $K155))"),"")</f>
        <v/>
      </c>
      <c r="N155" t="str">
        <f>IFERROR(__xludf.DUMMYFUNCTION("Ifna(QUERY($A$3:$I$2000, ""select A where D="" &amp; $K155))"),"")</f>
        <v/>
      </c>
      <c r="O155" t="str">
        <f>IFERROR(__xludf.DUMMYFUNCTION("Ifna(QUERY($A$3:$I$2000, ""select A where E="" &amp; $K155))"),"")</f>
        <v/>
      </c>
      <c r="P155" t="str">
        <f>IFERROR(__xludf.DUMMYFUNCTION("Ifna(QUERY($A$3:$I$2000, ""select A where F="" &amp; $K155))"),"")</f>
        <v/>
      </c>
      <c r="Q155" t="str">
        <f>IFERROR(__xludf.DUMMYFUNCTION("Ifna(QUERY($A$3:$I$2000, ""select A where G="" &amp; $K155))"),"")</f>
        <v/>
      </c>
      <c r="R155" t="str">
        <f>IFERROR(__xludf.DUMMYFUNCTION("Ifna(QUERY($A$3:$I$2000, ""select A where H="" &amp; $K155))"),"")</f>
        <v/>
      </c>
      <c r="S155">
        <f>IFERROR(__xludf.DUMMYFUNCTION("Ifna(QUERY($A$3:$I$2000, ""select A where I="" &amp; $K155))"),15.0)</f>
        <v>15</v>
      </c>
    </row>
    <row r="156">
      <c r="K156" s="2">
        <v>154.0</v>
      </c>
      <c r="L156" t="str">
        <f>IFERROR(__xludf.DUMMYFUNCTION("Ifna(QUERY($A$3:$I$2000, ""select A where B="" &amp; $K156))"),"")</f>
        <v/>
      </c>
      <c r="M156" t="str">
        <f>IFERROR(__xludf.DUMMYFUNCTION("Ifna(QUERY($A$3:$I$2000, ""select A where C="" &amp; $K156))"),"")</f>
        <v/>
      </c>
      <c r="N156" t="str">
        <f>IFERROR(__xludf.DUMMYFUNCTION("Ifna(QUERY($A$3:$I$2000, ""select A where D="" &amp; $K156))"),"")</f>
        <v/>
      </c>
      <c r="O156" t="str">
        <f>IFERROR(__xludf.DUMMYFUNCTION("Ifna(QUERY($A$3:$I$2000, ""select A where E="" &amp; $K156))"),"")</f>
        <v/>
      </c>
      <c r="P156" t="str">
        <f>IFERROR(__xludf.DUMMYFUNCTION("Ifna(QUERY($A$3:$I$2000, ""select A where F="" &amp; $K156))"),"")</f>
        <v/>
      </c>
      <c r="Q156" t="str">
        <f>IFERROR(__xludf.DUMMYFUNCTION("Ifna(QUERY($A$3:$I$2000, ""select A where G="" &amp; $K156))"),"")</f>
        <v/>
      </c>
      <c r="R156" t="str">
        <f>IFERROR(__xludf.DUMMYFUNCTION("Ifna(QUERY($A$3:$I$2000, ""select A where H="" &amp; $K156))"),"")</f>
        <v/>
      </c>
      <c r="S156" t="str">
        <f>IFERROR(__xludf.DUMMYFUNCTION("Ifna(QUERY($A$3:$I$2000, ""select A where I="" &amp; $K156))"),"")</f>
        <v/>
      </c>
    </row>
    <row r="157">
      <c r="K157" s="2">
        <v>155.0</v>
      </c>
      <c r="L157" t="str">
        <f>IFERROR(__xludf.DUMMYFUNCTION("Ifna(QUERY($A$3:$I$2000, ""select A where B="" &amp; $K157))"),"")</f>
        <v/>
      </c>
      <c r="M157" t="str">
        <f>IFERROR(__xludf.DUMMYFUNCTION("Ifna(QUERY($A$3:$I$2000, ""select A where C="" &amp; $K157))"),"")</f>
        <v/>
      </c>
      <c r="N157" t="str">
        <f>IFERROR(__xludf.DUMMYFUNCTION("Ifna(QUERY($A$3:$I$2000, ""select A where D="" &amp; $K157))"),"")</f>
        <v/>
      </c>
      <c r="O157" t="str">
        <f>IFERROR(__xludf.DUMMYFUNCTION("Ifna(QUERY($A$3:$I$2000, ""select A where E="" &amp; $K157))"),"")</f>
        <v/>
      </c>
      <c r="P157" t="str">
        <f>IFERROR(__xludf.DUMMYFUNCTION("Ifna(QUERY($A$3:$I$2000, ""select A where F="" &amp; $K157))"),"")</f>
        <v/>
      </c>
      <c r="Q157" t="str">
        <f>IFERROR(__xludf.DUMMYFUNCTION("Ifna(QUERY($A$3:$I$2000, ""select A where G="" &amp; $K157))"),"")</f>
        <v/>
      </c>
      <c r="R157" t="str">
        <f>IFERROR(__xludf.DUMMYFUNCTION("Ifna(QUERY($A$3:$I$2000, ""select A where H="" &amp; $K157))"),"")</f>
        <v/>
      </c>
      <c r="S157" t="str">
        <f>IFERROR(__xludf.DUMMYFUNCTION("Ifna(QUERY($A$3:$I$2000, ""select A where I="" &amp; $K157))"),"")</f>
        <v/>
      </c>
    </row>
    <row r="158">
      <c r="K158" s="2">
        <v>156.0</v>
      </c>
      <c r="L158" t="str">
        <f>IFERROR(__xludf.DUMMYFUNCTION("Ifna(QUERY($A$3:$I$2000, ""select A where B="" &amp; $K158))"),"")</f>
        <v/>
      </c>
      <c r="M158" t="str">
        <f>IFERROR(__xludf.DUMMYFUNCTION("Ifna(QUERY($A$3:$I$2000, ""select A where C="" &amp; $K158))"),"")</f>
        <v/>
      </c>
      <c r="N158" t="str">
        <f>IFERROR(__xludf.DUMMYFUNCTION("Ifna(QUERY($A$3:$I$2000, ""select A where D="" &amp; $K158))"),"")</f>
        <v/>
      </c>
      <c r="O158" t="str">
        <f>IFERROR(__xludf.DUMMYFUNCTION("Ifna(QUERY($A$3:$I$2000, ""select A where E="" &amp; $K158))"),"")</f>
        <v/>
      </c>
      <c r="P158" t="str">
        <f>IFERROR(__xludf.DUMMYFUNCTION("Ifna(QUERY($A$3:$I$2000, ""select A where F="" &amp; $K158))"),"")</f>
        <v/>
      </c>
      <c r="Q158" t="str">
        <f>IFERROR(__xludf.DUMMYFUNCTION("Ifna(QUERY($A$3:$I$2000, ""select A where G="" &amp; $K158))"),"")</f>
        <v/>
      </c>
      <c r="R158" t="str">
        <f>IFERROR(__xludf.DUMMYFUNCTION("Ifna(QUERY($A$3:$I$2000, ""select A where H="" &amp; $K158))"),"")</f>
        <v/>
      </c>
      <c r="S158" t="str">
        <f>IFERROR(__xludf.DUMMYFUNCTION("Ifna(QUERY($A$3:$I$2000, ""select A where I="" &amp; $K158))"),"")</f>
        <v/>
      </c>
    </row>
    <row r="159">
      <c r="K159" s="2">
        <v>157.0</v>
      </c>
      <c r="L159" t="str">
        <f>IFERROR(__xludf.DUMMYFUNCTION("Ifna(QUERY($A$3:$I$2000, ""select A where B="" &amp; $K159))"),"")</f>
        <v/>
      </c>
      <c r="M159" t="str">
        <f>IFERROR(__xludf.DUMMYFUNCTION("Ifna(QUERY($A$3:$I$2000, ""select A where C="" &amp; $K159))"),"")</f>
        <v/>
      </c>
      <c r="N159" t="str">
        <f>IFERROR(__xludf.DUMMYFUNCTION("Ifna(QUERY($A$3:$I$2000, ""select A where D="" &amp; $K159))"),"")</f>
        <v/>
      </c>
      <c r="O159" t="str">
        <f>IFERROR(__xludf.DUMMYFUNCTION("Ifna(QUERY($A$3:$I$2000, ""select A where E="" &amp; $K159))"),"")</f>
        <v/>
      </c>
      <c r="P159" t="str">
        <f>IFERROR(__xludf.DUMMYFUNCTION("Ifna(QUERY($A$3:$I$2000, ""select A where F="" &amp; $K159))"),"")</f>
        <v/>
      </c>
      <c r="Q159" t="str">
        <f>IFERROR(__xludf.DUMMYFUNCTION("Ifna(QUERY($A$3:$I$2000, ""select A where G="" &amp; $K159))"),"")</f>
        <v/>
      </c>
      <c r="R159" t="str">
        <f>IFERROR(__xludf.DUMMYFUNCTION("Ifna(QUERY($A$3:$I$2000, ""select A where H="" &amp; $K159))"),"")</f>
        <v/>
      </c>
      <c r="S159" t="str">
        <f>IFERROR(__xludf.DUMMYFUNCTION("Ifna(QUERY($A$3:$I$2000, ""select A where I="" &amp; $K159))"),"")</f>
        <v/>
      </c>
    </row>
    <row r="160">
      <c r="K160" s="2">
        <v>158.0</v>
      </c>
      <c r="L160" t="str">
        <f>IFERROR(__xludf.DUMMYFUNCTION("Ifna(QUERY($A$3:$I$2000, ""select A where B="" &amp; $K160))"),"")</f>
        <v/>
      </c>
      <c r="M160" t="str">
        <f>IFERROR(__xludf.DUMMYFUNCTION("Ifna(QUERY($A$3:$I$2000, ""select A where C="" &amp; $K160))"),"")</f>
        <v/>
      </c>
      <c r="N160" t="str">
        <f>IFERROR(__xludf.DUMMYFUNCTION("Ifna(QUERY($A$3:$I$2000, ""select A where D="" &amp; $K160))"),"")</f>
        <v/>
      </c>
      <c r="O160" t="str">
        <f>IFERROR(__xludf.DUMMYFUNCTION("Ifna(QUERY($A$3:$I$2000, ""select A where E="" &amp; $K160))"),"")</f>
        <v/>
      </c>
      <c r="P160" t="str">
        <f>IFERROR(__xludf.DUMMYFUNCTION("Ifna(QUERY($A$3:$I$2000, ""select A where F="" &amp; $K160))"),"")</f>
        <v/>
      </c>
      <c r="Q160" t="str">
        <f>IFERROR(__xludf.DUMMYFUNCTION("Ifna(QUERY($A$3:$I$2000, ""select A where G="" &amp; $K160))"),"")</f>
        <v/>
      </c>
      <c r="R160" t="str">
        <f>IFERROR(__xludf.DUMMYFUNCTION("Ifna(QUERY($A$3:$I$2000, ""select A where H="" &amp; $K160))"),"")</f>
        <v/>
      </c>
      <c r="S160" t="str">
        <f>IFERROR(__xludf.DUMMYFUNCTION("Ifna(QUERY($A$3:$I$2000, ""select A where I="" &amp; $K160))"),"")</f>
        <v/>
      </c>
    </row>
    <row r="161">
      <c r="K161" s="2">
        <v>159.0</v>
      </c>
      <c r="L161" t="str">
        <f>IFERROR(__xludf.DUMMYFUNCTION("Ifna(QUERY($A$3:$I$2000, ""select A where B="" &amp; $K161))"),"")</f>
        <v/>
      </c>
      <c r="M161" t="str">
        <f>IFERROR(__xludf.DUMMYFUNCTION("Ifna(QUERY($A$3:$I$2000, ""select A where C="" &amp; $K161))"),"")</f>
        <v/>
      </c>
      <c r="N161" t="str">
        <f>IFERROR(__xludf.DUMMYFUNCTION("Ifna(QUERY($A$3:$I$2000, ""select A where D="" &amp; $K161))"),"")</f>
        <v/>
      </c>
      <c r="O161" t="str">
        <f>IFERROR(__xludf.DUMMYFUNCTION("Ifna(QUERY($A$3:$I$2000, ""select A where E="" &amp; $K161))"),"")</f>
        <v/>
      </c>
      <c r="P161" t="str">
        <f>IFERROR(__xludf.DUMMYFUNCTION("Ifna(QUERY($A$3:$I$2000, ""select A where F="" &amp; $K161))"),"")</f>
        <v/>
      </c>
      <c r="Q161" t="str">
        <f>IFERROR(__xludf.DUMMYFUNCTION("Ifna(QUERY($A$3:$I$2000, ""select A where G="" &amp; $K161))"),"")</f>
        <v/>
      </c>
      <c r="R161" t="str">
        <f>IFERROR(__xludf.DUMMYFUNCTION("Ifna(QUERY($A$3:$I$2000, ""select A where H="" &amp; $K161))"),"")</f>
        <v/>
      </c>
      <c r="S161">
        <f>IFERROR(__xludf.DUMMYFUNCTION("Ifna(QUERY($A$3:$I$2000, ""select A where I="" &amp; $K161))"),14.0)</f>
        <v>14</v>
      </c>
    </row>
    <row r="162">
      <c r="K162" s="2">
        <v>160.0</v>
      </c>
      <c r="L162" t="str">
        <f>IFERROR(__xludf.DUMMYFUNCTION("Ifna(QUERY($A$3:$I$2000, ""select A where B="" &amp; $K162))"),"")</f>
        <v/>
      </c>
      <c r="M162" t="str">
        <f>IFERROR(__xludf.DUMMYFUNCTION("Ifna(QUERY($A$3:$I$2000, ""select A where C="" &amp; $K162))"),"")</f>
        <v/>
      </c>
      <c r="N162" t="str">
        <f>IFERROR(__xludf.DUMMYFUNCTION("Ifna(QUERY($A$3:$I$2000, ""select A where D="" &amp; $K162))"),"")</f>
        <v/>
      </c>
      <c r="O162" t="str">
        <f>IFERROR(__xludf.DUMMYFUNCTION("Ifna(QUERY($A$3:$I$2000, ""select A where E="" &amp; $K162))"),"")</f>
        <v/>
      </c>
      <c r="P162" t="str">
        <f>IFERROR(__xludf.DUMMYFUNCTION("Ifna(QUERY($A$3:$I$2000, ""select A where F="" &amp; $K162))"),"")</f>
        <v/>
      </c>
      <c r="Q162" t="str">
        <f>IFERROR(__xludf.DUMMYFUNCTION("Ifna(QUERY($A$3:$I$2000, ""select A where G="" &amp; $K162))"),"")</f>
        <v/>
      </c>
      <c r="R162" t="str">
        <f>IFERROR(__xludf.DUMMYFUNCTION("Ifna(QUERY($A$3:$I$2000, ""select A where H="" &amp; $K162))"),"")</f>
        <v/>
      </c>
      <c r="S162" t="str">
        <f>IFERROR(__xludf.DUMMYFUNCTION("Ifna(QUERY($A$3:$I$2000, ""select A where I="" &amp; $K162))"),"")</f>
        <v/>
      </c>
    </row>
    <row r="163">
      <c r="K163" s="2">
        <v>161.0</v>
      </c>
      <c r="L163" t="str">
        <f>IFERROR(__xludf.DUMMYFUNCTION("Ifna(QUERY($A$3:$I$2000, ""select A where B="" &amp; $K163))"),"")</f>
        <v/>
      </c>
      <c r="M163" t="str">
        <f>IFERROR(__xludf.DUMMYFUNCTION("Ifna(QUERY($A$3:$I$2000, ""select A where C="" &amp; $K163))"),"")</f>
        <v/>
      </c>
      <c r="N163" t="str">
        <f>IFERROR(__xludf.DUMMYFUNCTION("Ifna(QUERY($A$3:$I$2000, ""select A where D="" &amp; $K163))"),"")</f>
        <v/>
      </c>
      <c r="O163" t="str">
        <f>IFERROR(__xludf.DUMMYFUNCTION("Ifna(QUERY($A$3:$I$2000, ""select A where E="" &amp; $K163))"),"")</f>
        <v/>
      </c>
      <c r="P163" t="str">
        <f>IFERROR(__xludf.DUMMYFUNCTION("Ifna(QUERY($A$3:$I$2000, ""select A where F="" &amp; $K163))"),"")</f>
        <v/>
      </c>
      <c r="Q163" t="str">
        <f>IFERROR(__xludf.DUMMYFUNCTION("Ifna(QUERY($A$3:$I$2000, ""select A where G="" &amp; $K163))"),"")</f>
        <v/>
      </c>
      <c r="R163" t="str">
        <f>IFERROR(__xludf.DUMMYFUNCTION("Ifna(QUERY($A$3:$I$2000, ""select A where H="" &amp; $K163))"),"")</f>
        <v/>
      </c>
      <c r="S163" t="str">
        <f>IFERROR(__xludf.DUMMYFUNCTION("Ifna(QUERY($A$3:$I$2000, ""select A where I="" &amp; $K163))"),"")</f>
        <v/>
      </c>
    </row>
    <row r="164">
      <c r="K164" s="2">
        <v>162.0</v>
      </c>
      <c r="L164" t="str">
        <f>IFERROR(__xludf.DUMMYFUNCTION("Ifna(QUERY($A$3:$I$2000, ""select A where B="" &amp; $K164))"),"")</f>
        <v/>
      </c>
      <c r="M164" t="str">
        <f>IFERROR(__xludf.DUMMYFUNCTION("Ifna(QUERY($A$3:$I$2000, ""select A where C="" &amp; $K164))"),"")</f>
        <v/>
      </c>
      <c r="N164" t="str">
        <f>IFERROR(__xludf.DUMMYFUNCTION("Ifna(QUERY($A$3:$I$2000, ""select A where D="" &amp; $K164))"),"")</f>
        <v/>
      </c>
      <c r="O164" t="str">
        <f>IFERROR(__xludf.DUMMYFUNCTION("Ifna(QUERY($A$3:$I$2000, ""select A where E="" &amp; $K164))"),"")</f>
        <v/>
      </c>
      <c r="P164" t="str">
        <f>IFERROR(__xludf.DUMMYFUNCTION("Ifna(QUERY($A$3:$I$2000, ""select A where F="" &amp; $K164))"),"")</f>
        <v/>
      </c>
      <c r="Q164" t="str">
        <f>IFERROR(__xludf.DUMMYFUNCTION("Ifna(QUERY($A$3:$I$2000, ""select A where G="" &amp; $K164))"),"")</f>
        <v/>
      </c>
      <c r="R164" t="str">
        <f>IFERROR(__xludf.DUMMYFUNCTION("Ifna(QUERY($A$3:$I$2000, ""select A where H="" &amp; $K164))"),"")</f>
        <v/>
      </c>
      <c r="S164" t="str">
        <f>IFERROR(__xludf.DUMMYFUNCTION("Ifna(QUERY($A$3:$I$2000, ""select A where I="" &amp; $K164))"),"")</f>
        <v/>
      </c>
    </row>
    <row r="165">
      <c r="K165" s="2">
        <v>163.0</v>
      </c>
      <c r="L165" t="str">
        <f>IFERROR(__xludf.DUMMYFUNCTION("Ifna(QUERY($A$3:$I$2000, ""select A where B="" &amp; $K165))"),"")</f>
        <v/>
      </c>
      <c r="M165" t="str">
        <f>IFERROR(__xludf.DUMMYFUNCTION("Ifna(QUERY($A$3:$I$2000, ""select A where C="" &amp; $K165))"),"")</f>
        <v/>
      </c>
      <c r="N165" t="str">
        <f>IFERROR(__xludf.DUMMYFUNCTION("Ifna(QUERY($A$3:$I$2000, ""select A where D="" &amp; $K165))"),"")</f>
        <v/>
      </c>
      <c r="O165" t="str">
        <f>IFERROR(__xludf.DUMMYFUNCTION("Ifna(QUERY($A$3:$I$2000, ""select A where E="" &amp; $K165))"),"")</f>
        <v/>
      </c>
      <c r="P165" t="str">
        <f>IFERROR(__xludf.DUMMYFUNCTION("Ifna(QUERY($A$3:$I$2000, ""select A where F="" &amp; $K165))"),"")</f>
        <v/>
      </c>
      <c r="Q165" t="str">
        <f>IFERROR(__xludf.DUMMYFUNCTION("Ifna(QUERY($A$3:$I$2000, ""select A where G="" &amp; $K165))"),"")</f>
        <v/>
      </c>
      <c r="R165" t="str">
        <f>IFERROR(__xludf.DUMMYFUNCTION("Ifna(QUERY($A$3:$I$2000, ""select A where H="" &amp; $K165))"),"")</f>
        <v/>
      </c>
      <c r="S165" t="str">
        <f>IFERROR(__xludf.DUMMYFUNCTION("Ifna(QUERY($A$3:$I$2000, ""select A where I="" &amp; $K165))"),"")</f>
        <v/>
      </c>
    </row>
    <row r="166">
      <c r="K166" s="2">
        <v>164.0</v>
      </c>
      <c r="L166" t="str">
        <f>IFERROR(__xludf.DUMMYFUNCTION("Ifna(QUERY($A$3:$I$2000, ""select A where B="" &amp; $K166))"),"")</f>
        <v/>
      </c>
      <c r="M166" t="str">
        <f>IFERROR(__xludf.DUMMYFUNCTION("Ifna(QUERY($A$3:$I$2000, ""select A where C="" &amp; $K166))"),"")</f>
        <v/>
      </c>
      <c r="N166" t="str">
        <f>IFERROR(__xludf.DUMMYFUNCTION("Ifna(QUERY($A$3:$I$2000, ""select A where D="" &amp; $K166))"),"")</f>
        <v/>
      </c>
      <c r="O166" t="str">
        <f>IFERROR(__xludf.DUMMYFUNCTION("Ifna(QUERY($A$3:$I$2000, ""select A where E="" &amp; $K166))"),"")</f>
        <v/>
      </c>
      <c r="P166" t="str">
        <f>IFERROR(__xludf.DUMMYFUNCTION("Ifna(QUERY($A$3:$I$2000, ""select A where F="" &amp; $K166))"),"")</f>
        <v/>
      </c>
      <c r="Q166" t="str">
        <f>IFERROR(__xludf.DUMMYFUNCTION("Ifna(QUERY($A$3:$I$2000, ""select A where G="" &amp; $K166))"),"")</f>
        <v/>
      </c>
      <c r="R166" t="str">
        <f>IFERROR(__xludf.DUMMYFUNCTION("Ifna(QUERY($A$3:$I$2000, ""select A where H="" &amp; $K166))"),"")</f>
        <v/>
      </c>
      <c r="S166" t="str">
        <f>IFERROR(__xludf.DUMMYFUNCTION("Ifna(QUERY($A$3:$I$2000, ""select A where I="" &amp; $K166))"),"")</f>
        <v/>
      </c>
    </row>
    <row r="167">
      <c r="K167" s="2">
        <v>165.0</v>
      </c>
      <c r="L167" t="str">
        <f>IFERROR(__xludf.DUMMYFUNCTION("Ifna(QUERY($A$3:$I$2000, ""select A where B="" &amp; $K167))"),"")</f>
        <v/>
      </c>
      <c r="M167" t="str">
        <f>IFERROR(__xludf.DUMMYFUNCTION("Ifna(QUERY($A$3:$I$2000, ""select A where C="" &amp; $K167))"),"")</f>
        <v/>
      </c>
      <c r="N167" t="str">
        <f>IFERROR(__xludf.DUMMYFUNCTION("Ifna(QUERY($A$3:$I$2000, ""select A where D="" &amp; $K167))"),"")</f>
        <v/>
      </c>
      <c r="O167" t="str">
        <f>IFERROR(__xludf.DUMMYFUNCTION("Ifna(QUERY($A$3:$I$2000, ""select A where E="" &amp; $K167))"),"")</f>
        <v/>
      </c>
      <c r="P167" t="str">
        <f>IFERROR(__xludf.DUMMYFUNCTION("Ifna(QUERY($A$3:$I$2000, ""select A where F="" &amp; $K167))"),"")</f>
        <v/>
      </c>
      <c r="Q167" t="str">
        <f>IFERROR(__xludf.DUMMYFUNCTION("Ifna(QUERY($A$3:$I$2000, ""select A where G="" &amp; $K167))"),"")</f>
        <v/>
      </c>
      <c r="R167" t="str">
        <f>IFERROR(__xludf.DUMMYFUNCTION("Ifna(QUERY($A$3:$I$2000, ""select A where H="" &amp; $K167))"),"")</f>
        <v/>
      </c>
      <c r="S167">
        <f>IFERROR(__xludf.DUMMYFUNCTION("Ifna(QUERY($A$3:$I$2000, ""select A where I="" &amp; $K167))"),13.0)</f>
        <v>13</v>
      </c>
    </row>
    <row r="168">
      <c r="K168" s="2">
        <v>166.0</v>
      </c>
      <c r="L168" t="str">
        <f>IFERROR(__xludf.DUMMYFUNCTION("Ifna(QUERY($A$3:$I$2000, ""select A where B="" &amp; $K168))"),"")</f>
        <v/>
      </c>
      <c r="M168" t="str">
        <f>IFERROR(__xludf.DUMMYFUNCTION("Ifna(QUERY($A$3:$I$2000, ""select A where C="" &amp; $K168))"),"")</f>
        <v/>
      </c>
      <c r="N168" t="str">
        <f>IFERROR(__xludf.DUMMYFUNCTION("Ifna(QUERY($A$3:$I$2000, ""select A where D="" &amp; $K168))"),"")</f>
        <v/>
      </c>
      <c r="O168" t="str">
        <f>IFERROR(__xludf.DUMMYFUNCTION("Ifna(QUERY($A$3:$I$2000, ""select A where E="" &amp; $K168))"),"")</f>
        <v/>
      </c>
      <c r="P168" t="str">
        <f>IFERROR(__xludf.DUMMYFUNCTION("Ifna(QUERY($A$3:$I$2000, ""select A where F="" &amp; $K168))"),"")</f>
        <v/>
      </c>
      <c r="Q168" t="str">
        <f>IFERROR(__xludf.DUMMYFUNCTION("Ifna(QUERY($A$3:$I$2000, ""select A where G="" &amp; $K168))"),"")</f>
        <v/>
      </c>
      <c r="R168" t="str">
        <f>IFERROR(__xludf.DUMMYFUNCTION("Ifna(QUERY($A$3:$I$2000, ""select A where H="" &amp; $K168))"),"")</f>
        <v/>
      </c>
      <c r="S168" t="str">
        <f>IFERROR(__xludf.DUMMYFUNCTION("Ifna(QUERY($A$3:$I$2000, ""select A where I="" &amp; $K168))"),"")</f>
        <v/>
      </c>
    </row>
    <row r="169">
      <c r="K169" s="2">
        <v>167.0</v>
      </c>
      <c r="L169" t="str">
        <f>IFERROR(__xludf.DUMMYFUNCTION("Ifna(QUERY($A$3:$I$2000, ""select A where B="" &amp; $K169))"),"")</f>
        <v/>
      </c>
      <c r="M169" t="str">
        <f>IFERROR(__xludf.DUMMYFUNCTION("Ifna(QUERY($A$3:$I$2000, ""select A where C="" &amp; $K169))"),"")</f>
        <v/>
      </c>
      <c r="N169" t="str">
        <f>IFERROR(__xludf.DUMMYFUNCTION("Ifna(QUERY($A$3:$I$2000, ""select A where D="" &amp; $K169))"),"")</f>
        <v/>
      </c>
      <c r="O169" t="str">
        <f>IFERROR(__xludf.DUMMYFUNCTION("Ifna(QUERY($A$3:$I$2000, ""select A where E="" &amp; $K169))"),"")</f>
        <v/>
      </c>
      <c r="P169" t="str">
        <f>IFERROR(__xludf.DUMMYFUNCTION("Ifna(QUERY($A$3:$I$2000, ""select A where F="" &amp; $K169))"),"")</f>
        <v/>
      </c>
      <c r="Q169" t="str">
        <f>IFERROR(__xludf.DUMMYFUNCTION("Ifna(QUERY($A$3:$I$2000, ""select A where G="" &amp; $K169))"),"")</f>
        <v/>
      </c>
      <c r="R169" t="str">
        <f>IFERROR(__xludf.DUMMYFUNCTION("Ifna(QUERY($A$3:$I$2000, ""select A where H="" &amp; $K169))"),"")</f>
        <v/>
      </c>
      <c r="S169" t="str">
        <f>IFERROR(__xludf.DUMMYFUNCTION("Ifna(QUERY($A$3:$I$2000, ""select A where I="" &amp; $K169))"),"")</f>
        <v/>
      </c>
    </row>
    <row r="170">
      <c r="K170" s="2">
        <v>168.0</v>
      </c>
      <c r="L170" t="str">
        <f>IFERROR(__xludf.DUMMYFUNCTION("Ifna(QUERY($A$3:$I$2000, ""select A where B="" &amp; $K170))"),"")</f>
        <v/>
      </c>
      <c r="M170" t="str">
        <f>IFERROR(__xludf.DUMMYFUNCTION("Ifna(QUERY($A$3:$I$2000, ""select A where C="" &amp; $K170))"),"")</f>
        <v/>
      </c>
      <c r="N170" t="str">
        <f>IFERROR(__xludf.DUMMYFUNCTION("Ifna(QUERY($A$3:$I$2000, ""select A where D="" &amp; $K170))"),"")</f>
        <v/>
      </c>
      <c r="O170" t="str">
        <f>IFERROR(__xludf.DUMMYFUNCTION("Ifna(QUERY($A$3:$I$2000, ""select A where E="" &amp; $K170))"),"")</f>
        <v/>
      </c>
      <c r="P170" t="str">
        <f>IFERROR(__xludf.DUMMYFUNCTION("Ifna(QUERY($A$3:$I$2000, ""select A where F="" &amp; $K170))"),"")</f>
        <v/>
      </c>
      <c r="Q170" t="str">
        <f>IFERROR(__xludf.DUMMYFUNCTION("Ifna(QUERY($A$3:$I$2000, ""select A where G="" &amp; $K170))"),"")</f>
        <v/>
      </c>
      <c r="R170" t="str">
        <f>IFERROR(__xludf.DUMMYFUNCTION("Ifna(QUERY($A$3:$I$2000, ""select A where H="" &amp; $K170))"),"")</f>
        <v/>
      </c>
      <c r="S170" t="str">
        <f>IFERROR(__xludf.DUMMYFUNCTION("Ifna(QUERY($A$3:$I$2000, ""select A where I="" &amp; $K170))"),"")</f>
        <v/>
      </c>
    </row>
    <row r="171">
      <c r="K171" s="2">
        <v>169.0</v>
      </c>
      <c r="L171" t="str">
        <f>IFERROR(__xludf.DUMMYFUNCTION("Ifna(QUERY($A$3:$I$2000, ""select A where B="" &amp; $K171))"),"")</f>
        <v/>
      </c>
      <c r="M171" t="str">
        <f>IFERROR(__xludf.DUMMYFUNCTION("Ifna(QUERY($A$3:$I$2000, ""select A where C="" &amp; $K171))"),"")</f>
        <v/>
      </c>
      <c r="N171" t="str">
        <f>IFERROR(__xludf.DUMMYFUNCTION("Ifna(QUERY($A$3:$I$2000, ""select A where D="" &amp; $K171))"),"")</f>
        <v/>
      </c>
      <c r="O171" t="str">
        <f>IFERROR(__xludf.DUMMYFUNCTION("Ifna(QUERY($A$3:$I$2000, ""select A where E="" &amp; $K171))"),"")</f>
        <v/>
      </c>
      <c r="P171" t="str">
        <f>IFERROR(__xludf.DUMMYFUNCTION("Ifna(QUERY($A$3:$I$2000, ""select A where F="" &amp; $K171))"),"")</f>
        <v/>
      </c>
      <c r="Q171" t="str">
        <f>IFERROR(__xludf.DUMMYFUNCTION("Ifna(QUERY($A$3:$I$2000, ""select A where G="" &amp; $K171))"),"")</f>
        <v/>
      </c>
      <c r="R171" t="str">
        <f>IFERROR(__xludf.DUMMYFUNCTION("Ifna(QUERY($A$3:$I$2000, ""select A where H="" &amp; $K171))"),"")</f>
        <v/>
      </c>
      <c r="S171" t="str">
        <f>IFERROR(__xludf.DUMMYFUNCTION("Ifna(QUERY($A$3:$I$2000, ""select A where I="" &amp; $K171))"),"")</f>
        <v/>
      </c>
    </row>
    <row r="172">
      <c r="K172" s="2">
        <v>170.0</v>
      </c>
      <c r="L172" t="str">
        <f>IFERROR(__xludf.DUMMYFUNCTION("Ifna(QUERY($A$3:$I$2000, ""select A where B="" &amp; $K172))"),"")</f>
        <v/>
      </c>
      <c r="M172" t="str">
        <f>IFERROR(__xludf.DUMMYFUNCTION("Ifna(QUERY($A$3:$I$2000, ""select A where C="" &amp; $K172))"),"")</f>
        <v/>
      </c>
      <c r="N172" t="str">
        <f>IFERROR(__xludf.DUMMYFUNCTION("Ifna(QUERY($A$3:$I$2000, ""select A where D="" &amp; $K172))"),"")</f>
        <v/>
      </c>
      <c r="O172" t="str">
        <f>IFERROR(__xludf.DUMMYFUNCTION("Ifna(QUERY($A$3:$I$2000, ""select A where E="" &amp; $K172))"),"")</f>
        <v/>
      </c>
      <c r="P172" t="str">
        <f>IFERROR(__xludf.DUMMYFUNCTION("Ifna(QUERY($A$3:$I$2000, ""select A where F="" &amp; $K172))"),"")</f>
        <v/>
      </c>
      <c r="Q172" t="str">
        <f>IFERROR(__xludf.DUMMYFUNCTION("Ifna(QUERY($A$3:$I$2000, ""select A where G="" &amp; $K172))"),"")</f>
        <v/>
      </c>
      <c r="R172" t="str">
        <f>IFERROR(__xludf.DUMMYFUNCTION("Ifna(QUERY($A$3:$I$2000, ""select A where H="" &amp; $K172))"),"")</f>
        <v/>
      </c>
      <c r="S172">
        <f>IFERROR(__xludf.DUMMYFUNCTION("Ifna(QUERY($A$3:$I$2000, ""select A where I="" &amp; $K172))"),12.0)</f>
        <v>12</v>
      </c>
    </row>
    <row r="173">
      <c r="K173" s="2">
        <v>171.0</v>
      </c>
      <c r="L173" t="str">
        <f>IFERROR(__xludf.DUMMYFUNCTION("Ifna(QUERY($A$3:$I$2000, ""select A where B="" &amp; $K173))"),"")</f>
        <v/>
      </c>
      <c r="M173" t="str">
        <f>IFERROR(__xludf.DUMMYFUNCTION("Ifna(QUERY($A$3:$I$2000, ""select A where C="" &amp; $K173))"),"")</f>
        <v/>
      </c>
      <c r="N173" t="str">
        <f>IFERROR(__xludf.DUMMYFUNCTION("Ifna(QUERY($A$3:$I$2000, ""select A where D="" &amp; $K173))"),"")</f>
        <v/>
      </c>
      <c r="O173" t="str">
        <f>IFERROR(__xludf.DUMMYFUNCTION("Ifna(QUERY($A$3:$I$2000, ""select A where E="" &amp; $K173))"),"")</f>
        <v/>
      </c>
      <c r="P173" t="str">
        <f>IFERROR(__xludf.DUMMYFUNCTION("Ifna(QUERY($A$3:$I$2000, ""select A where F="" &amp; $K173))"),"")</f>
        <v/>
      </c>
      <c r="Q173" t="str">
        <f>IFERROR(__xludf.DUMMYFUNCTION("Ifna(QUERY($A$3:$I$2000, ""select A where G="" &amp; $K173))"),"")</f>
        <v/>
      </c>
      <c r="R173" t="str">
        <f>IFERROR(__xludf.DUMMYFUNCTION("Ifna(QUERY($A$3:$I$2000, ""select A where H="" &amp; $K173))"),"")</f>
        <v/>
      </c>
      <c r="S173" t="str">
        <f>IFERROR(__xludf.DUMMYFUNCTION("Ifna(QUERY($A$3:$I$2000, ""select A where I="" &amp; $K173))"),"")</f>
        <v/>
      </c>
    </row>
    <row r="174">
      <c r="K174" s="2">
        <v>172.0</v>
      </c>
      <c r="L174" t="str">
        <f>IFERROR(__xludf.DUMMYFUNCTION("Ifna(QUERY($A$3:$I$2000, ""select A where B="" &amp; $K174))"),"")</f>
        <v/>
      </c>
      <c r="M174" t="str">
        <f>IFERROR(__xludf.DUMMYFUNCTION("Ifna(QUERY($A$3:$I$2000, ""select A where C="" &amp; $K174))"),"")</f>
        <v/>
      </c>
      <c r="N174" t="str">
        <f>IFERROR(__xludf.DUMMYFUNCTION("Ifna(QUERY($A$3:$I$2000, ""select A where D="" &amp; $K174))"),"")</f>
        <v/>
      </c>
      <c r="O174" t="str">
        <f>IFERROR(__xludf.DUMMYFUNCTION("Ifna(QUERY($A$3:$I$2000, ""select A where E="" &amp; $K174))"),"")</f>
        <v/>
      </c>
      <c r="P174" t="str">
        <f>IFERROR(__xludf.DUMMYFUNCTION("Ifna(QUERY($A$3:$I$2000, ""select A where F="" &amp; $K174))"),"")</f>
        <v/>
      </c>
      <c r="Q174" t="str">
        <f>IFERROR(__xludf.DUMMYFUNCTION("Ifna(QUERY($A$3:$I$2000, ""select A where G="" &amp; $K174))"),"")</f>
        <v/>
      </c>
      <c r="R174" t="str">
        <f>IFERROR(__xludf.DUMMYFUNCTION("Ifna(QUERY($A$3:$I$2000, ""select A where H="" &amp; $K174))"),"")</f>
        <v/>
      </c>
      <c r="S174" t="str">
        <f>IFERROR(__xludf.DUMMYFUNCTION("Ifna(QUERY($A$3:$I$2000, ""select A where I="" &amp; $K174))"),"")</f>
        <v/>
      </c>
    </row>
    <row r="175">
      <c r="K175" s="2">
        <v>173.0</v>
      </c>
      <c r="L175" t="str">
        <f>IFERROR(__xludf.DUMMYFUNCTION("Ifna(QUERY($A$3:$I$2000, ""select A where B="" &amp; $K175))"),"")</f>
        <v/>
      </c>
      <c r="M175" t="str">
        <f>IFERROR(__xludf.DUMMYFUNCTION("Ifna(QUERY($A$3:$I$2000, ""select A where C="" &amp; $K175))"),"")</f>
        <v/>
      </c>
      <c r="N175" t="str">
        <f>IFERROR(__xludf.DUMMYFUNCTION("Ifna(QUERY($A$3:$I$2000, ""select A where D="" &amp; $K175))"),"")</f>
        <v/>
      </c>
      <c r="O175" t="str">
        <f>IFERROR(__xludf.DUMMYFUNCTION("Ifna(QUERY($A$3:$I$2000, ""select A where E="" &amp; $K175))"),"")</f>
        <v/>
      </c>
      <c r="P175" t="str">
        <f>IFERROR(__xludf.DUMMYFUNCTION("Ifna(QUERY($A$3:$I$2000, ""select A where F="" &amp; $K175))"),"")</f>
        <v/>
      </c>
      <c r="Q175" t="str">
        <f>IFERROR(__xludf.DUMMYFUNCTION("Ifna(QUERY($A$3:$I$2000, ""select A where G="" &amp; $K175))"),"")</f>
        <v/>
      </c>
      <c r="R175" t="str">
        <f>IFERROR(__xludf.DUMMYFUNCTION("Ifna(QUERY($A$3:$I$2000, ""select A where H="" &amp; $K175))"),"")</f>
        <v/>
      </c>
      <c r="S175" t="str">
        <f>IFERROR(__xludf.DUMMYFUNCTION("Ifna(QUERY($A$3:$I$2000, ""select A where I="" &amp; $K175))"),"")</f>
        <v/>
      </c>
    </row>
    <row r="176">
      <c r="K176" s="2">
        <v>174.0</v>
      </c>
      <c r="L176" t="str">
        <f>IFERROR(__xludf.DUMMYFUNCTION("Ifna(QUERY($A$3:$I$2000, ""select A where B="" &amp; $K176))"),"")</f>
        <v/>
      </c>
      <c r="M176" t="str">
        <f>IFERROR(__xludf.DUMMYFUNCTION("Ifna(QUERY($A$3:$I$2000, ""select A where C="" &amp; $K176))"),"")</f>
        <v/>
      </c>
      <c r="N176" t="str">
        <f>IFERROR(__xludf.DUMMYFUNCTION("Ifna(QUERY($A$3:$I$2000, ""select A where D="" &amp; $K176))"),"")</f>
        <v/>
      </c>
      <c r="O176" t="str">
        <f>IFERROR(__xludf.DUMMYFUNCTION("Ifna(QUERY($A$3:$I$2000, ""select A where E="" &amp; $K176))"),"")</f>
        <v/>
      </c>
      <c r="P176" t="str">
        <f>IFERROR(__xludf.DUMMYFUNCTION("Ifna(QUERY($A$3:$I$2000, ""select A where F="" &amp; $K176))"),"")</f>
        <v/>
      </c>
      <c r="Q176" t="str">
        <f>IFERROR(__xludf.DUMMYFUNCTION("Ifna(QUERY($A$3:$I$2000, ""select A where G="" &amp; $K176))"),"")</f>
        <v/>
      </c>
      <c r="R176" t="str">
        <f>IFERROR(__xludf.DUMMYFUNCTION("Ifna(QUERY($A$3:$I$2000, ""select A where H="" &amp; $K176))"),"")</f>
        <v/>
      </c>
      <c r="S176" t="str">
        <f>IFERROR(__xludf.DUMMYFUNCTION("Ifna(QUERY($A$3:$I$2000, ""select A where I="" &amp; $K176))"),"")</f>
        <v/>
      </c>
    </row>
    <row r="177">
      <c r="K177" s="2">
        <v>175.0</v>
      </c>
      <c r="L177" t="str">
        <f>IFERROR(__xludf.DUMMYFUNCTION("Ifna(QUERY($A$3:$I$2000, ""select A where B="" &amp; $K177))"),"")</f>
        <v/>
      </c>
      <c r="M177" t="str">
        <f>IFERROR(__xludf.DUMMYFUNCTION("Ifna(QUERY($A$3:$I$2000, ""select A where C="" &amp; $K177))"),"")</f>
        <v/>
      </c>
      <c r="N177" t="str">
        <f>IFERROR(__xludf.DUMMYFUNCTION("Ifna(QUERY($A$3:$I$2000, ""select A where D="" &amp; $K177))"),"")</f>
        <v/>
      </c>
      <c r="O177" t="str">
        <f>IFERROR(__xludf.DUMMYFUNCTION("Ifna(QUERY($A$3:$I$2000, ""select A where E="" &amp; $K177))"),"")</f>
        <v/>
      </c>
      <c r="P177" t="str">
        <f>IFERROR(__xludf.DUMMYFUNCTION("Ifna(QUERY($A$3:$I$2000, ""select A where F="" &amp; $K177))"),"")</f>
        <v/>
      </c>
      <c r="Q177" t="str">
        <f>IFERROR(__xludf.DUMMYFUNCTION("Ifna(QUERY($A$3:$I$2000, ""select A where G="" &amp; $K177))"),"")</f>
        <v/>
      </c>
      <c r="R177" t="str">
        <f>IFERROR(__xludf.DUMMYFUNCTION("Ifna(QUERY($A$3:$I$2000, ""select A where H="" &amp; $K177))"),"")</f>
        <v/>
      </c>
      <c r="S177" t="str">
        <f>IFERROR(__xludf.DUMMYFUNCTION("Ifna(QUERY($A$3:$I$2000, ""select A where I="" &amp; $K177))"),"")</f>
        <v/>
      </c>
    </row>
    <row r="178">
      <c r="K178" s="2">
        <v>176.0</v>
      </c>
      <c r="L178" t="str">
        <f>IFERROR(__xludf.DUMMYFUNCTION("Ifna(QUERY($A$3:$I$2000, ""select A where B="" &amp; $K178))"),"")</f>
        <v/>
      </c>
      <c r="M178" t="str">
        <f>IFERROR(__xludf.DUMMYFUNCTION("Ifna(QUERY($A$3:$I$2000, ""select A where C="" &amp; $K178))"),"")</f>
        <v/>
      </c>
      <c r="N178" t="str">
        <f>IFERROR(__xludf.DUMMYFUNCTION("Ifna(QUERY($A$3:$I$2000, ""select A where D="" &amp; $K178))"),"")</f>
        <v/>
      </c>
      <c r="O178" t="str">
        <f>IFERROR(__xludf.DUMMYFUNCTION("Ifna(QUERY($A$3:$I$2000, ""select A where E="" &amp; $K178))"),"")</f>
        <v/>
      </c>
      <c r="P178" t="str">
        <f>IFERROR(__xludf.DUMMYFUNCTION("Ifna(QUERY($A$3:$I$2000, ""select A where F="" &amp; $K178))"),"")</f>
        <v/>
      </c>
      <c r="Q178" t="str">
        <f>IFERROR(__xludf.DUMMYFUNCTION("Ifna(QUERY($A$3:$I$2000, ""select A where G="" &amp; $K178))"),"")</f>
        <v/>
      </c>
      <c r="R178" t="str">
        <f>IFERROR(__xludf.DUMMYFUNCTION("Ifna(QUERY($A$3:$I$2000, ""select A where H="" &amp; $K178))"),"")</f>
        <v/>
      </c>
      <c r="S178">
        <f>IFERROR(__xludf.DUMMYFUNCTION("Ifna(QUERY($A$3:$I$2000, ""select A where I="" &amp; $K178))"),11.0)</f>
        <v>11</v>
      </c>
    </row>
    <row r="179">
      <c r="K179" s="2">
        <v>177.0</v>
      </c>
      <c r="L179" t="str">
        <f>IFERROR(__xludf.DUMMYFUNCTION("Ifna(QUERY($A$3:$I$2000, ""select A where B="" &amp; $K179))"),"")</f>
        <v/>
      </c>
      <c r="M179" t="str">
        <f>IFERROR(__xludf.DUMMYFUNCTION("Ifna(QUERY($A$3:$I$2000, ""select A where C="" &amp; $K179))"),"")</f>
        <v/>
      </c>
      <c r="N179" t="str">
        <f>IFERROR(__xludf.DUMMYFUNCTION("Ifna(QUERY($A$3:$I$2000, ""select A where D="" &amp; $K179))"),"")</f>
        <v/>
      </c>
      <c r="O179" t="str">
        <f>IFERROR(__xludf.DUMMYFUNCTION("Ifna(QUERY($A$3:$I$2000, ""select A where E="" &amp; $K179))"),"")</f>
        <v/>
      </c>
      <c r="P179" t="str">
        <f>IFERROR(__xludf.DUMMYFUNCTION("Ifna(QUERY($A$3:$I$2000, ""select A where F="" &amp; $K179))"),"")</f>
        <v/>
      </c>
      <c r="Q179" t="str">
        <f>IFERROR(__xludf.DUMMYFUNCTION("Ifna(QUERY($A$3:$I$2000, ""select A where G="" &amp; $K179))"),"")</f>
        <v/>
      </c>
      <c r="R179" t="str">
        <f>IFERROR(__xludf.DUMMYFUNCTION("Ifna(QUERY($A$3:$I$2000, ""select A where H="" &amp; $K179))"),"")</f>
        <v/>
      </c>
      <c r="S179" t="str">
        <f>IFERROR(__xludf.DUMMYFUNCTION("Ifna(QUERY($A$3:$I$2000, ""select A where I="" &amp; $K179))"),"")</f>
        <v/>
      </c>
    </row>
    <row r="180">
      <c r="K180" s="2">
        <v>178.0</v>
      </c>
      <c r="L180" t="str">
        <f>IFERROR(__xludf.DUMMYFUNCTION("Ifna(QUERY($A$3:$I$2000, ""select A where B="" &amp; $K180))"),"")</f>
        <v/>
      </c>
      <c r="M180" t="str">
        <f>IFERROR(__xludf.DUMMYFUNCTION("Ifna(QUERY($A$3:$I$2000, ""select A where C="" &amp; $K180))"),"")</f>
        <v/>
      </c>
      <c r="N180" t="str">
        <f>IFERROR(__xludf.DUMMYFUNCTION("Ifna(QUERY($A$3:$I$2000, ""select A where D="" &amp; $K180))"),"")</f>
        <v/>
      </c>
      <c r="O180" t="str">
        <f>IFERROR(__xludf.DUMMYFUNCTION("Ifna(QUERY($A$3:$I$2000, ""select A where E="" &amp; $K180))"),"")</f>
        <v/>
      </c>
      <c r="P180" t="str">
        <f>IFERROR(__xludf.DUMMYFUNCTION("Ifna(QUERY($A$3:$I$2000, ""select A where F="" &amp; $K180))"),"")</f>
        <v/>
      </c>
      <c r="Q180" t="str">
        <f>IFERROR(__xludf.DUMMYFUNCTION("Ifna(QUERY($A$3:$I$2000, ""select A where G="" &amp; $K180))"),"")</f>
        <v/>
      </c>
      <c r="R180" t="str">
        <f>IFERROR(__xludf.DUMMYFUNCTION("Ifna(QUERY($A$3:$I$2000, ""select A where H="" &amp; $K180))"),"")</f>
        <v/>
      </c>
      <c r="S180" t="str">
        <f>IFERROR(__xludf.DUMMYFUNCTION("Ifna(QUERY($A$3:$I$2000, ""select A where I="" &amp; $K180))"),"")</f>
        <v/>
      </c>
    </row>
    <row r="181">
      <c r="K181" s="2">
        <v>179.0</v>
      </c>
      <c r="L181" t="str">
        <f>IFERROR(__xludf.DUMMYFUNCTION("Ifna(QUERY($A$3:$I$2000, ""select A where B="" &amp; $K181))"),"")</f>
        <v/>
      </c>
      <c r="M181" t="str">
        <f>IFERROR(__xludf.DUMMYFUNCTION("Ifna(QUERY($A$3:$I$2000, ""select A where C="" &amp; $K181))"),"")</f>
        <v/>
      </c>
      <c r="N181" t="str">
        <f>IFERROR(__xludf.DUMMYFUNCTION("Ifna(QUERY($A$3:$I$2000, ""select A where D="" &amp; $K181))"),"")</f>
        <v/>
      </c>
      <c r="O181" t="str">
        <f>IFERROR(__xludf.DUMMYFUNCTION("Ifna(QUERY($A$3:$I$2000, ""select A where E="" &amp; $K181))"),"")</f>
        <v/>
      </c>
      <c r="P181" t="str">
        <f>IFERROR(__xludf.DUMMYFUNCTION("Ifna(QUERY($A$3:$I$2000, ""select A where F="" &amp; $K181))"),"")</f>
        <v/>
      </c>
      <c r="Q181" t="str">
        <f>IFERROR(__xludf.DUMMYFUNCTION("Ifna(QUERY($A$3:$I$2000, ""select A where G="" &amp; $K181))"),"")</f>
        <v/>
      </c>
      <c r="R181" t="str">
        <f>IFERROR(__xludf.DUMMYFUNCTION("Ifna(QUERY($A$3:$I$2000, ""select A where H="" &amp; $K181))"),"")</f>
        <v/>
      </c>
      <c r="S181" t="str">
        <f>IFERROR(__xludf.DUMMYFUNCTION("Ifna(QUERY($A$3:$I$2000, ""select A where I="" &amp; $K181))"),"")</f>
        <v/>
      </c>
    </row>
    <row r="182">
      <c r="K182" s="2">
        <v>180.0</v>
      </c>
      <c r="L182" t="str">
        <f>IFERROR(__xludf.DUMMYFUNCTION("Ifna(QUERY($A$3:$I$2000, ""select A where B="" &amp; $K182))"),"")</f>
        <v/>
      </c>
      <c r="M182" t="str">
        <f>IFERROR(__xludf.DUMMYFUNCTION("Ifna(QUERY($A$3:$I$2000, ""select A where C="" &amp; $K182))"),"")</f>
        <v/>
      </c>
      <c r="N182" t="str">
        <f>IFERROR(__xludf.DUMMYFUNCTION("Ifna(QUERY($A$3:$I$2000, ""select A where D="" &amp; $K182))"),"")</f>
        <v/>
      </c>
      <c r="O182" t="str">
        <f>IFERROR(__xludf.DUMMYFUNCTION("Ifna(QUERY($A$3:$I$2000, ""select A where E="" &amp; $K182))"),"")</f>
        <v/>
      </c>
      <c r="P182" t="str">
        <f>IFERROR(__xludf.DUMMYFUNCTION("Ifna(QUERY($A$3:$I$2000, ""select A where F="" &amp; $K182))"),"")</f>
        <v/>
      </c>
      <c r="Q182" t="str">
        <f>IFERROR(__xludf.DUMMYFUNCTION("Ifna(QUERY($A$3:$I$2000, ""select A where G="" &amp; $K182))"),"")</f>
        <v/>
      </c>
      <c r="R182" t="str">
        <f>IFERROR(__xludf.DUMMYFUNCTION("Ifna(QUERY($A$3:$I$2000, ""select A where H="" &amp; $K182))"),"")</f>
        <v/>
      </c>
      <c r="S182" t="str">
        <f>IFERROR(__xludf.DUMMYFUNCTION("Ifna(QUERY($A$3:$I$2000, ""select A where I="" &amp; $K182))"),"")</f>
        <v/>
      </c>
    </row>
    <row r="183">
      <c r="K183" s="2">
        <v>181.0</v>
      </c>
      <c r="L183" t="str">
        <f>IFERROR(__xludf.DUMMYFUNCTION("Ifna(QUERY($A$3:$I$2000, ""select A where B="" &amp; $K183))"),"")</f>
        <v/>
      </c>
      <c r="M183" t="str">
        <f>IFERROR(__xludf.DUMMYFUNCTION("Ifna(QUERY($A$3:$I$2000, ""select A where C="" &amp; $K183))"),"")</f>
        <v/>
      </c>
      <c r="N183" t="str">
        <f>IFERROR(__xludf.DUMMYFUNCTION("Ifna(QUERY($A$3:$I$2000, ""select A where D="" &amp; $K183))"),"")</f>
        <v/>
      </c>
      <c r="O183" t="str">
        <f>IFERROR(__xludf.DUMMYFUNCTION("Ifna(QUERY($A$3:$I$2000, ""select A where E="" &amp; $K183))"),"")</f>
        <v/>
      </c>
      <c r="P183" t="str">
        <f>IFERROR(__xludf.DUMMYFUNCTION("Ifna(QUERY($A$3:$I$2000, ""select A where F="" &amp; $K183))"),"")</f>
        <v/>
      </c>
      <c r="Q183" t="str">
        <f>IFERROR(__xludf.DUMMYFUNCTION("Ifna(QUERY($A$3:$I$2000, ""select A where G="" &amp; $K183))"),"")</f>
        <v/>
      </c>
      <c r="R183" t="str">
        <f>IFERROR(__xludf.DUMMYFUNCTION("Ifna(QUERY($A$3:$I$2000, ""select A where H="" &amp; $K183))"),"")</f>
        <v/>
      </c>
      <c r="S183" t="str">
        <f>IFERROR(__xludf.DUMMYFUNCTION("Ifna(QUERY($A$3:$I$2000, ""select A where I="" &amp; $K183))"),"")</f>
        <v/>
      </c>
    </row>
    <row r="184">
      <c r="K184" s="2">
        <v>182.0</v>
      </c>
      <c r="L184" t="str">
        <f>IFERROR(__xludf.DUMMYFUNCTION("Ifna(QUERY($A$3:$I$2000, ""select A where B="" &amp; $K184))"),"")</f>
        <v/>
      </c>
      <c r="M184" t="str">
        <f>IFERROR(__xludf.DUMMYFUNCTION("Ifna(QUERY($A$3:$I$2000, ""select A where C="" &amp; $K184))"),"")</f>
        <v/>
      </c>
      <c r="N184" t="str">
        <f>IFERROR(__xludf.DUMMYFUNCTION("Ifna(QUERY($A$3:$I$2000, ""select A where D="" &amp; $K184))"),"")</f>
        <v/>
      </c>
      <c r="O184" t="str">
        <f>IFERROR(__xludf.DUMMYFUNCTION("Ifna(QUERY($A$3:$I$2000, ""select A where E="" &amp; $K184))"),"")</f>
        <v/>
      </c>
      <c r="P184" t="str">
        <f>IFERROR(__xludf.DUMMYFUNCTION("Ifna(QUERY($A$3:$I$2000, ""select A where F="" &amp; $K184))"),"")</f>
        <v/>
      </c>
      <c r="Q184" t="str">
        <f>IFERROR(__xludf.DUMMYFUNCTION("Ifna(QUERY($A$3:$I$2000, ""select A where G="" &amp; $K184))"),"")</f>
        <v/>
      </c>
      <c r="R184" t="str">
        <f>IFERROR(__xludf.DUMMYFUNCTION("Ifna(QUERY($A$3:$I$2000, ""select A where H="" &amp; $K184))"),"")</f>
        <v/>
      </c>
      <c r="S184">
        <f>IFERROR(__xludf.DUMMYFUNCTION("Ifna(QUERY($A$3:$I$2000, ""select A where I="" &amp; $K184))"),10.0)</f>
        <v>10</v>
      </c>
    </row>
    <row r="185">
      <c r="K185" s="2">
        <v>183.0</v>
      </c>
      <c r="L185" t="str">
        <f>IFERROR(__xludf.DUMMYFUNCTION("Ifna(QUERY($A$3:$I$2000, ""select A where B="" &amp; $K185))"),"")</f>
        <v/>
      </c>
      <c r="M185" t="str">
        <f>IFERROR(__xludf.DUMMYFUNCTION("Ifna(QUERY($A$3:$I$2000, ""select A where C="" &amp; $K185))"),"")</f>
        <v/>
      </c>
      <c r="N185" t="str">
        <f>IFERROR(__xludf.DUMMYFUNCTION("Ifna(QUERY($A$3:$I$2000, ""select A where D="" &amp; $K185))"),"")</f>
        <v/>
      </c>
      <c r="O185" t="str">
        <f>IFERROR(__xludf.DUMMYFUNCTION("Ifna(QUERY($A$3:$I$2000, ""select A where E="" &amp; $K185))"),"")</f>
        <v/>
      </c>
      <c r="P185" t="str">
        <f>IFERROR(__xludf.DUMMYFUNCTION("Ifna(QUERY($A$3:$I$2000, ""select A where F="" &amp; $K185))"),"")</f>
        <v/>
      </c>
      <c r="Q185" t="str">
        <f>IFERROR(__xludf.DUMMYFUNCTION("Ifna(QUERY($A$3:$I$2000, ""select A where G="" &amp; $K185))"),"")</f>
        <v/>
      </c>
      <c r="R185" t="str">
        <f>IFERROR(__xludf.DUMMYFUNCTION("Ifna(QUERY($A$3:$I$2000, ""select A where H="" &amp; $K185))"),"")</f>
        <v/>
      </c>
      <c r="S185" t="str">
        <f>IFERROR(__xludf.DUMMYFUNCTION("Ifna(QUERY($A$3:$I$2000, ""select A where I="" &amp; $K185))"),"")</f>
        <v/>
      </c>
    </row>
    <row r="186">
      <c r="K186" s="2">
        <v>184.0</v>
      </c>
      <c r="L186" t="str">
        <f>IFERROR(__xludf.DUMMYFUNCTION("Ifna(QUERY($A$3:$I$2000, ""select A where B="" &amp; $K186))"),"")</f>
        <v/>
      </c>
      <c r="M186" t="str">
        <f>IFERROR(__xludf.DUMMYFUNCTION("Ifna(QUERY($A$3:$I$2000, ""select A where C="" &amp; $K186))"),"")</f>
        <v/>
      </c>
      <c r="N186" t="str">
        <f>IFERROR(__xludf.DUMMYFUNCTION("Ifna(QUERY($A$3:$I$2000, ""select A where D="" &amp; $K186))"),"")</f>
        <v/>
      </c>
      <c r="O186" t="str">
        <f>IFERROR(__xludf.DUMMYFUNCTION("Ifna(QUERY($A$3:$I$2000, ""select A where E="" &amp; $K186))"),"")</f>
        <v/>
      </c>
      <c r="P186" t="str">
        <f>IFERROR(__xludf.DUMMYFUNCTION("Ifna(QUERY($A$3:$I$2000, ""select A where F="" &amp; $K186))"),"")</f>
        <v/>
      </c>
      <c r="Q186" t="str">
        <f>IFERROR(__xludf.DUMMYFUNCTION("Ifna(QUERY($A$3:$I$2000, ""select A where G="" &amp; $K186))"),"")</f>
        <v/>
      </c>
      <c r="R186" t="str">
        <f>IFERROR(__xludf.DUMMYFUNCTION("Ifna(QUERY($A$3:$I$2000, ""select A where H="" &amp; $K186))"),"")</f>
        <v/>
      </c>
      <c r="S186" t="str">
        <f>IFERROR(__xludf.DUMMYFUNCTION("Ifna(QUERY($A$3:$I$2000, ""select A where I="" &amp; $K186))"),"")</f>
        <v/>
      </c>
    </row>
    <row r="187">
      <c r="K187" s="2">
        <v>185.0</v>
      </c>
      <c r="L187" t="str">
        <f>IFERROR(__xludf.DUMMYFUNCTION("Ifna(QUERY($A$3:$I$2000, ""select A where B="" &amp; $K187))"),"")</f>
        <v/>
      </c>
      <c r="M187" t="str">
        <f>IFERROR(__xludf.DUMMYFUNCTION("Ifna(QUERY($A$3:$I$2000, ""select A where C="" &amp; $K187))"),"")</f>
        <v/>
      </c>
      <c r="N187" t="str">
        <f>IFERROR(__xludf.DUMMYFUNCTION("Ifna(QUERY($A$3:$I$2000, ""select A where D="" &amp; $K187))"),"")</f>
        <v/>
      </c>
      <c r="O187" t="str">
        <f>IFERROR(__xludf.DUMMYFUNCTION("Ifna(QUERY($A$3:$I$2000, ""select A where E="" &amp; $K187))"),"")</f>
        <v/>
      </c>
      <c r="P187" t="str">
        <f>IFERROR(__xludf.DUMMYFUNCTION("Ifna(QUERY($A$3:$I$2000, ""select A where F="" &amp; $K187))"),"")</f>
        <v/>
      </c>
      <c r="Q187" t="str">
        <f>IFERROR(__xludf.DUMMYFUNCTION("Ifna(QUERY($A$3:$I$2000, ""select A where G="" &amp; $K187))"),"")</f>
        <v/>
      </c>
      <c r="R187" t="str">
        <f>IFERROR(__xludf.DUMMYFUNCTION("Ifna(QUERY($A$3:$I$2000, ""select A where H="" &amp; $K187))"),"")</f>
        <v/>
      </c>
      <c r="S187" t="str">
        <f>IFERROR(__xludf.DUMMYFUNCTION("Ifna(QUERY($A$3:$I$2000, ""select A where I="" &amp; $K187))"),"")</f>
        <v/>
      </c>
    </row>
    <row r="188">
      <c r="K188" s="2">
        <v>186.0</v>
      </c>
      <c r="L188" t="str">
        <f>IFERROR(__xludf.DUMMYFUNCTION("Ifna(QUERY($A$3:$I$2000, ""select A where B="" &amp; $K188))"),"")</f>
        <v/>
      </c>
      <c r="M188" t="str">
        <f>IFERROR(__xludf.DUMMYFUNCTION("Ifna(QUERY($A$3:$I$2000, ""select A where C="" &amp; $K188))"),"")</f>
        <v/>
      </c>
      <c r="N188" t="str">
        <f>IFERROR(__xludf.DUMMYFUNCTION("Ifna(QUERY($A$3:$I$2000, ""select A where D="" &amp; $K188))"),"")</f>
        <v/>
      </c>
      <c r="O188" t="str">
        <f>IFERROR(__xludf.DUMMYFUNCTION("Ifna(QUERY($A$3:$I$2000, ""select A where E="" &amp; $K188))"),"")</f>
        <v/>
      </c>
      <c r="P188" t="str">
        <f>IFERROR(__xludf.DUMMYFUNCTION("Ifna(QUERY($A$3:$I$2000, ""select A where F="" &amp; $K188))"),"")</f>
        <v/>
      </c>
      <c r="Q188" t="str">
        <f>IFERROR(__xludf.DUMMYFUNCTION("Ifna(QUERY($A$3:$I$2000, ""select A where G="" &amp; $K188))"),"")</f>
        <v/>
      </c>
      <c r="R188" t="str">
        <f>IFERROR(__xludf.DUMMYFUNCTION("Ifna(QUERY($A$3:$I$2000, ""select A where H="" &amp; $K188))"),"")</f>
        <v/>
      </c>
      <c r="S188" t="str">
        <f>IFERROR(__xludf.DUMMYFUNCTION("Ifna(QUERY($A$3:$I$2000, ""select A where I="" &amp; $K188))"),"")</f>
        <v/>
      </c>
    </row>
    <row r="189">
      <c r="K189" s="2">
        <v>187.0</v>
      </c>
      <c r="L189" t="str">
        <f>IFERROR(__xludf.DUMMYFUNCTION("Ifna(QUERY($A$3:$I$2000, ""select A where B="" &amp; $K189))"),"")</f>
        <v/>
      </c>
      <c r="M189" t="str">
        <f>IFERROR(__xludf.DUMMYFUNCTION("Ifna(QUERY($A$3:$I$2000, ""select A where C="" &amp; $K189))"),"")</f>
        <v/>
      </c>
      <c r="N189" t="str">
        <f>IFERROR(__xludf.DUMMYFUNCTION("Ifna(QUERY($A$3:$I$2000, ""select A where D="" &amp; $K189))"),"")</f>
        <v/>
      </c>
      <c r="O189" t="str">
        <f>IFERROR(__xludf.DUMMYFUNCTION("Ifna(QUERY($A$3:$I$2000, ""select A where E="" &amp; $K189))"),"")</f>
        <v/>
      </c>
      <c r="P189" t="str">
        <f>IFERROR(__xludf.DUMMYFUNCTION("Ifna(QUERY($A$3:$I$2000, ""select A where F="" &amp; $K189))"),"")</f>
        <v/>
      </c>
      <c r="Q189" t="str">
        <f>IFERROR(__xludf.DUMMYFUNCTION("Ifna(QUERY($A$3:$I$2000, ""select A where G="" &amp; $K189))"),"")</f>
        <v/>
      </c>
      <c r="R189" t="str">
        <f>IFERROR(__xludf.DUMMYFUNCTION("Ifna(QUERY($A$3:$I$2000, ""select A where H="" &amp; $K189))"),"")</f>
        <v/>
      </c>
      <c r="S189" t="str">
        <f>IFERROR(__xludf.DUMMYFUNCTION("Ifna(QUERY($A$3:$I$2000, ""select A where I="" &amp; $K189))"),"")</f>
        <v/>
      </c>
    </row>
    <row r="190">
      <c r="K190" s="2">
        <v>188.0</v>
      </c>
      <c r="L190" t="str">
        <f>IFERROR(__xludf.DUMMYFUNCTION("Ifna(QUERY($A$3:$I$2000, ""select A where B="" &amp; $K190))"),"")</f>
        <v/>
      </c>
      <c r="M190" t="str">
        <f>IFERROR(__xludf.DUMMYFUNCTION("Ifna(QUERY($A$3:$I$2000, ""select A where C="" &amp; $K190))"),"")</f>
        <v/>
      </c>
      <c r="N190" t="str">
        <f>IFERROR(__xludf.DUMMYFUNCTION("Ifna(QUERY($A$3:$I$2000, ""select A where D="" &amp; $K190))"),"")</f>
        <v/>
      </c>
      <c r="O190" t="str">
        <f>IFERROR(__xludf.DUMMYFUNCTION("Ifna(QUERY($A$3:$I$2000, ""select A where E="" &amp; $K190))"),"")</f>
        <v/>
      </c>
      <c r="P190" t="str">
        <f>IFERROR(__xludf.DUMMYFUNCTION("Ifna(QUERY($A$3:$I$2000, ""select A where F="" &amp; $K190))"),"")</f>
        <v/>
      </c>
      <c r="Q190" t="str">
        <f>IFERROR(__xludf.DUMMYFUNCTION("Ifna(QUERY($A$3:$I$2000, ""select A where G="" &amp; $K190))"),"")</f>
        <v/>
      </c>
      <c r="R190" t="str">
        <f>IFERROR(__xludf.DUMMYFUNCTION("Ifna(QUERY($A$3:$I$2000, ""select A where H="" &amp; $K190))"),"")</f>
        <v/>
      </c>
      <c r="S190" t="str">
        <f>IFERROR(__xludf.DUMMYFUNCTION("Ifna(QUERY($A$3:$I$2000, ""select A where I="" &amp; $K190))"),"")</f>
        <v/>
      </c>
    </row>
    <row r="191">
      <c r="K191" s="2">
        <v>189.0</v>
      </c>
      <c r="L191" t="str">
        <f>IFERROR(__xludf.DUMMYFUNCTION("Ifna(QUERY($A$3:$I$2000, ""select A where B="" &amp; $K191))"),"")</f>
        <v/>
      </c>
      <c r="M191" t="str">
        <f>IFERROR(__xludf.DUMMYFUNCTION("Ifna(QUERY($A$3:$I$2000, ""select A where C="" &amp; $K191))"),"")</f>
        <v/>
      </c>
      <c r="N191" t="str">
        <f>IFERROR(__xludf.DUMMYFUNCTION("Ifna(QUERY($A$3:$I$2000, ""select A where D="" &amp; $K191))"),"")</f>
        <v/>
      </c>
      <c r="O191" t="str">
        <f>IFERROR(__xludf.DUMMYFUNCTION("Ifna(QUERY($A$3:$I$2000, ""select A where E="" &amp; $K191))"),"")</f>
        <v/>
      </c>
      <c r="P191" t="str">
        <f>IFERROR(__xludf.DUMMYFUNCTION("Ifna(QUERY($A$3:$I$2000, ""select A where F="" &amp; $K191))"),"")</f>
        <v/>
      </c>
      <c r="Q191" t="str">
        <f>IFERROR(__xludf.DUMMYFUNCTION("Ifna(QUERY($A$3:$I$2000, ""select A where G="" &amp; $K191))"),"")</f>
        <v/>
      </c>
      <c r="R191" t="str">
        <f>IFERROR(__xludf.DUMMYFUNCTION("Ifna(QUERY($A$3:$I$2000, ""select A where H="" &amp; $K191))"),"")</f>
        <v/>
      </c>
      <c r="S191" t="str">
        <f>IFERROR(__xludf.DUMMYFUNCTION("Ifna(QUERY($A$3:$I$2000, ""select A where I="" &amp; $K191))"),"")</f>
        <v/>
      </c>
    </row>
    <row r="192">
      <c r="K192" s="2">
        <v>190.0</v>
      </c>
      <c r="L192" t="str">
        <f>IFERROR(__xludf.DUMMYFUNCTION("Ifna(QUERY($A$3:$I$2000, ""select A where B="" &amp; $K192))"),"")</f>
        <v/>
      </c>
      <c r="M192" t="str">
        <f>IFERROR(__xludf.DUMMYFUNCTION("Ifna(QUERY($A$3:$I$2000, ""select A where C="" &amp; $K192))"),"")</f>
        <v/>
      </c>
      <c r="N192" t="str">
        <f>IFERROR(__xludf.DUMMYFUNCTION("Ifna(QUERY($A$3:$I$2000, ""select A where D="" &amp; $K192))"),"")</f>
        <v/>
      </c>
      <c r="O192" t="str">
        <f>IFERROR(__xludf.DUMMYFUNCTION("Ifna(QUERY($A$3:$I$2000, ""select A where E="" &amp; $K192))"),"")</f>
        <v/>
      </c>
      <c r="P192" t="str">
        <f>IFERROR(__xludf.DUMMYFUNCTION("Ifna(QUERY($A$3:$I$2000, ""select A where F="" &amp; $K192))"),"")</f>
        <v/>
      </c>
      <c r="Q192" t="str">
        <f>IFERROR(__xludf.DUMMYFUNCTION("Ifna(QUERY($A$3:$I$2000, ""select A where G="" &amp; $K192))"),"")</f>
        <v/>
      </c>
      <c r="R192" t="str">
        <f>IFERROR(__xludf.DUMMYFUNCTION("Ifna(QUERY($A$3:$I$2000, ""select A where H="" &amp; $K192))"),"")</f>
        <v/>
      </c>
      <c r="S192" t="str">
        <f>IFERROR(__xludf.DUMMYFUNCTION("Ifna(QUERY($A$3:$I$2000, ""select A where I="" &amp; $K192))"),"")</f>
        <v/>
      </c>
    </row>
    <row r="193">
      <c r="K193" s="2">
        <v>191.0</v>
      </c>
      <c r="L193" t="str">
        <f>IFERROR(__xludf.DUMMYFUNCTION("Ifna(QUERY($A$3:$I$2000, ""select A where B="" &amp; $K193))"),"")</f>
        <v/>
      </c>
      <c r="M193" t="str">
        <f>IFERROR(__xludf.DUMMYFUNCTION("Ifna(QUERY($A$3:$I$2000, ""select A where C="" &amp; $K193))"),"")</f>
        <v/>
      </c>
      <c r="N193" t="str">
        <f>IFERROR(__xludf.DUMMYFUNCTION("Ifna(QUERY($A$3:$I$2000, ""select A where D="" &amp; $K193))"),"")</f>
        <v/>
      </c>
      <c r="O193" t="str">
        <f>IFERROR(__xludf.DUMMYFUNCTION("Ifna(QUERY($A$3:$I$2000, ""select A where E="" &amp; $K193))"),"")</f>
        <v/>
      </c>
      <c r="P193" t="str">
        <f>IFERROR(__xludf.DUMMYFUNCTION("Ifna(QUERY($A$3:$I$2000, ""select A where F="" &amp; $K193))"),"")</f>
        <v/>
      </c>
      <c r="Q193" t="str">
        <f>IFERROR(__xludf.DUMMYFUNCTION("Ifna(QUERY($A$3:$I$2000, ""select A where G="" &amp; $K193))"),"")</f>
        <v/>
      </c>
      <c r="R193" t="str">
        <f>IFERROR(__xludf.DUMMYFUNCTION("Ifna(QUERY($A$3:$I$2000, ""select A where H="" &amp; $K193))"),"")</f>
        <v/>
      </c>
      <c r="S193" t="str">
        <f>IFERROR(__xludf.DUMMYFUNCTION("Ifna(QUERY($A$3:$I$2000, ""select A where I="" &amp; $K193))"),"")</f>
        <v/>
      </c>
    </row>
    <row r="194">
      <c r="K194" s="2">
        <v>192.0</v>
      </c>
      <c r="L194" t="str">
        <f>IFERROR(__xludf.DUMMYFUNCTION("Ifna(QUERY($A$3:$I$2000, ""select A where B="" &amp; $K194))"),"")</f>
        <v/>
      </c>
      <c r="M194" t="str">
        <f>IFERROR(__xludf.DUMMYFUNCTION("Ifna(QUERY($A$3:$I$2000, ""select A where C="" &amp; $K194))"),"")</f>
        <v/>
      </c>
      <c r="N194" t="str">
        <f>IFERROR(__xludf.DUMMYFUNCTION("Ifna(QUERY($A$3:$I$2000, ""select A where D="" &amp; $K194))"),"")</f>
        <v/>
      </c>
      <c r="O194" t="str">
        <f>IFERROR(__xludf.DUMMYFUNCTION("Ifna(QUERY($A$3:$I$2000, ""select A where E="" &amp; $K194))"),"")</f>
        <v/>
      </c>
      <c r="P194" t="str">
        <f>IFERROR(__xludf.DUMMYFUNCTION("Ifna(QUERY($A$3:$I$2000, ""select A where F="" &amp; $K194))"),"")</f>
        <v/>
      </c>
      <c r="Q194" t="str">
        <f>IFERROR(__xludf.DUMMYFUNCTION("Ifna(QUERY($A$3:$I$2000, ""select A where G="" &amp; $K194))"),"")</f>
        <v/>
      </c>
      <c r="R194" t="str">
        <f>IFERROR(__xludf.DUMMYFUNCTION("Ifna(QUERY($A$3:$I$2000, ""select A where H="" &amp; $K194))"),"")</f>
        <v/>
      </c>
      <c r="S194" t="str">
        <f>IFERROR(__xludf.DUMMYFUNCTION("Ifna(QUERY($A$3:$I$2000, ""select A where I="" &amp; $K194))"),"")</f>
        <v/>
      </c>
    </row>
    <row r="195">
      <c r="K195" s="2">
        <v>193.0</v>
      </c>
      <c r="L195" t="str">
        <f>IFERROR(__xludf.DUMMYFUNCTION("Ifna(QUERY($A$3:$I$2000, ""select A where B="" &amp; $K195))"),"")</f>
        <v/>
      </c>
      <c r="M195" t="str">
        <f>IFERROR(__xludf.DUMMYFUNCTION("Ifna(QUERY($A$3:$I$2000, ""select A where C="" &amp; $K195))"),"")</f>
        <v/>
      </c>
      <c r="N195" t="str">
        <f>IFERROR(__xludf.DUMMYFUNCTION("Ifna(QUERY($A$3:$I$2000, ""select A where D="" &amp; $K195))"),"")</f>
        <v/>
      </c>
      <c r="O195" t="str">
        <f>IFERROR(__xludf.DUMMYFUNCTION("Ifna(QUERY($A$3:$I$2000, ""select A where E="" &amp; $K195))"),"")</f>
        <v/>
      </c>
      <c r="P195" t="str">
        <f>IFERROR(__xludf.DUMMYFUNCTION("Ifna(QUERY($A$3:$I$2000, ""select A where F="" &amp; $K195))"),"")</f>
        <v/>
      </c>
      <c r="Q195" t="str">
        <f>IFERROR(__xludf.DUMMYFUNCTION("Ifna(QUERY($A$3:$I$2000, ""select A where G="" &amp; $K195))"),"")</f>
        <v/>
      </c>
      <c r="R195" t="str">
        <f>IFERROR(__xludf.DUMMYFUNCTION("Ifna(QUERY($A$3:$I$2000, ""select A where H="" &amp; $K195))"),"")</f>
        <v/>
      </c>
      <c r="S195" t="str">
        <f>IFERROR(__xludf.DUMMYFUNCTION("Ifna(QUERY($A$3:$I$2000, ""select A where I="" &amp; $K195))"),"")</f>
        <v/>
      </c>
    </row>
    <row r="196">
      <c r="K196" s="2">
        <v>194.0</v>
      </c>
      <c r="L196" t="str">
        <f>IFERROR(__xludf.DUMMYFUNCTION("Ifna(QUERY($A$3:$I$2000, ""select A where B="" &amp; $K196))"),"")</f>
        <v/>
      </c>
      <c r="M196" t="str">
        <f>IFERROR(__xludf.DUMMYFUNCTION("Ifna(QUERY($A$3:$I$2000, ""select A where C="" &amp; $K196))"),"")</f>
        <v/>
      </c>
      <c r="N196" t="str">
        <f>IFERROR(__xludf.DUMMYFUNCTION("Ifna(QUERY($A$3:$I$2000, ""select A where D="" &amp; $K196))"),"")</f>
        <v/>
      </c>
      <c r="O196" t="str">
        <f>IFERROR(__xludf.DUMMYFUNCTION("Ifna(QUERY($A$3:$I$2000, ""select A where E="" &amp; $K196))"),"")</f>
        <v/>
      </c>
      <c r="P196" t="str">
        <f>IFERROR(__xludf.DUMMYFUNCTION("Ifna(QUERY($A$3:$I$2000, ""select A where F="" &amp; $K196))"),"")</f>
        <v/>
      </c>
      <c r="Q196" t="str">
        <f>IFERROR(__xludf.DUMMYFUNCTION("Ifna(QUERY($A$3:$I$2000, ""select A where G="" &amp; $K196))"),"")</f>
        <v/>
      </c>
      <c r="R196" t="str">
        <f>IFERROR(__xludf.DUMMYFUNCTION("Ifna(QUERY($A$3:$I$2000, ""select A where H="" &amp; $K196))"),"")</f>
        <v/>
      </c>
      <c r="S196" t="str">
        <f>IFERROR(__xludf.DUMMYFUNCTION("Ifna(QUERY($A$3:$I$2000, ""select A where I="" &amp; $K196))"),"")</f>
        <v/>
      </c>
    </row>
    <row r="197">
      <c r="K197" s="2">
        <v>195.0</v>
      </c>
      <c r="L197" t="str">
        <f>IFERROR(__xludf.DUMMYFUNCTION("Ifna(QUERY($A$3:$I$2000, ""select A where B="" &amp; $K197))"),"")</f>
        <v/>
      </c>
      <c r="M197" t="str">
        <f>IFERROR(__xludf.DUMMYFUNCTION("Ifna(QUERY($A$3:$I$2000, ""select A where C="" &amp; $K197))"),"")</f>
        <v/>
      </c>
      <c r="N197" t="str">
        <f>IFERROR(__xludf.DUMMYFUNCTION("Ifna(QUERY($A$3:$I$2000, ""select A where D="" &amp; $K197))"),"")</f>
        <v/>
      </c>
      <c r="O197" t="str">
        <f>IFERROR(__xludf.DUMMYFUNCTION("Ifna(QUERY($A$3:$I$2000, ""select A where E="" &amp; $K197))"),"")</f>
        <v/>
      </c>
      <c r="P197" t="str">
        <f>IFERROR(__xludf.DUMMYFUNCTION("Ifna(QUERY($A$3:$I$2000, ""select A where F="" &amp; $K197))"),"")</f>
        <v/>
      </c>
      <c r="Q197" t="str">
        <f>IFERROR(__xludf.DUMMYFUNCTION("Ifna(QUERY($A$3:$I$2000, ""select A where G="" &amp; $K197))"),"")</f>
        <v/>
      </c>
      <c r="R197" t="str">
        <f>IFERROR(__xludf.DUMMYFUNCTION("Ifna(QUERY($A$3:$I$2000, ""select A where H="" &amp; $K197))"),"")</f>
        <v/>
      </c>
      <c r="S197" t="str">
        <f>IFERROR(__xludf.DUMMYFUNCTION("Ifna(QUERY($A$3:$I$2000, ""select A where I="" &amp; $K197))"),"")</f>
        <v/>
      </c>
    </row>
    <row r="198">
      <c r="K198" s="2">
        <v>196.0</v>
      </c>
      <c r="L198" t="str">
        <f>IFERROR(__xludf.DUMMYFUNCTION("Ifna(QUERY($A$3:$I$2000, ""select A where B="" &amp; $K198))"),"")</f>
        <v/>
      </c>
      <c r="M198" t="str">
        <f>IFERROR(__xludf.DUMMYFUNCTION("Ifna(QUERY($A$3:$I$2000, ""select A where C="" &amp; $K198))"),"")</f>
        <v/>
      </c>
      <c r="N198" t="str">
        <f>IFERROR(__xludf.DUMMYFUNCTION("Ifna(QUERY($A$3:$I$2000, ""select A where D="" &amp; $K198))"),"")</f>
        <v/>
      </c>
      <c r="O198" t="str">
        <f>IFERROR(__xludf.DUMMYFUNCTION("Ifna(QUERY($A$3:$I$2000, ""select A where E="" &amp; $K198))"),"")</f>
        <v/>
      </c>
      <c r="P198" t="str">
        <f>IFERROR(__xludf.DUMMYFUNCTION("Ifna(QUERY($A$3:$I$2000, ""select A where F="" &amp; $K198))"),"")</f>
        <v/>
      </c>
      <c r="Q198" t="str">
        <f>IFERROR(__xludf.DUMMYFUNCTION("Ifna(QUERY($A$3:$I$2000, ""select A where G="" &amp; $K198))"),"")</f>
        <v/>
      </c>
      <c r="R198" t="str">
        <f>IFERROR(__xludf.DUMMYFUNCTION("Ifna(QUERY($A$3:$I$2000, ""select A where H="" &amp; $K198))"),"")</f>
        <v/>
      </c>
      <c r="S198" t="str">
        <f>IFERROR(__xludf.DUMMYFUNCTION("Ifna(QUERY($A$3:$I$2000, ""select A where I="" &amp; $K198))"),"")</f>
        <v/>
      </c>
    </row>
    <row r="199">
      <c r="K199" s="2">
        <v>197.0</v>
      </c>
      <c r="L199" t="str">
        <f>IFERROR(__xludf.DUMMYFUNCTION("Ifna(QUERY($A$3:$I$2000, ""select A where B="" &amp; $K199))"),"")</f>
        <v/>
      </c>
      <c r="M199" t="str">
        <f>IFERROR(__xludf.DUMMYFUNCTION("Ifna(QUERY($A$3:$I$2000, ""select A where C="" &amp; $K199))"),"")</f>
        <v/>
      </c>
      <c r="N199" t="str">
        <f>IFERROR(__xludf.DUMMYFUNCTION("Ifna(QUERY($A$3:$I$2000, ""select A where D="" &amp; $K199))"),"")</f>
        <v/>
      </c>
      <c r="O199" t="str">
        <f>IFERROR(__xludf.DUMMYFUNCTION("Ifna(QUERY($A$3:$I$2000, ""select A where E="" &amp; $K199))"),"")</f>
        <v/>
      </c>
      <c r="P199" t="str">
        <f>IFERROR(__xludf.DUMMYFUNCTION("Ifna(QUERY($A$3:$I$2000, ""select A where F="" &amp; $K199))"),"")</f>
        <v/>
      </c>
      <c r="Q199" t="str">
        <f>IFERROR(__xludf.DUMMYFUNCTION("Ifna(QUERY($A$3:$I$2000, ""select A where G="" &amp; $K199))"),"")</f>
        <v/>
      </c>
      <c r="R199" t="str">
        <f>IFERROR(__xludf.DUMMYFUNCTION("Ifna(QUERY($A$3:$I$2000, ""select A where H="" &amp; $K199))"),"")</f>
        <v/>
      </c>
      <c r="S199" t="str">
        <f>IFERROR(__xludf.DUMMYFUNCTION("Ifna(QUERY($A$3:$I$2000, ""select A where I="" &amp; $K199))"),"")</f>
        <v/>
      </c>
    </row>
    <row r="200">
      <c r="K200" s="2">
        <v>198.0</v>
      </c>
      <c r="L200" t="str">
        <f>IFERROR(__xludf.DUMMYFUNCTION("Ifna(QUERY($A$3:$I$2000, ""select A where B="" &amp; $K200))"),"")</f>
        <v/>
      </c>
      <c r="M200" t="str">
        <f>IFERROR(__xludf.DUMMYFUNCTION("Ifna(QUERY($A$3:$I$2000, ""select A where C="" &amp; $K200))"),"")</f>
        <v/>
      </c>
      <c r="N200" t="str">
        <f>IFERROR(__xludf.DUMMYFUNCTION("Ifna(QUERY($A$3:$I$2000, ""select A where D="" &amp; $K200))"),"")</f>
        <v/>
      </c>
      <c r="O200" t="str">
        <f>IFERROR(__xludf.DUMMYFUNCTION("Ifna(QUERY($A$3:$I$2000, ""select A where E="" &amp; $K200))"),"")</f>
        <v/>
      </c>
      <c r="P200" t="str">
        <f>IFERROR(__xludf.DUMMYFUNCTION("Ifna(QUERY($A$3:$I$2000, ""select A where F="" &amp; $K200))"),"")</f>
        <v/>
      </c>
      <c r="Q200" t="str">
        <f>IFERROR(__xludf.DUMMYFUNCTION("Ifna(QUERY($A$3:$I$2000, ""select A where G="" &amp; $K200))"),"")</f>
        <v/>
      </c>
      <c r="R200" t="str">
        <f>IFERROR(__xludf.DUMMYFUNCTION("Ifna(QUERY($A$3:$I$2000, ""select A where H="" &amp; $K200))"),"")</f>
        <v/>
      </c>
      <c r="S200">
        <f>IFERROR(__xludf.DUMMYFUNCTION("Ifna(QUERY($A$3:$I$2000, ""select A where I="" &amp; $K200))"),9.0)</f>
        <v>9</v>
      </c>
    </row>
    <row r="201">
      <c r="K201" s="2">
        <v>199.0</v>
      </c>
      <c r="L201" t="str">
        <f>IFERROR(__xludf.DUMMYFUNCTION("Ifna(QUERY($A$3:$I$2000, ""select A where B="" &amp; $K201))"),"")</f>
        <v/>
      </c>
      <c r="M201" t="str">
        <f>IFERROR(__xludf.DUMMYFUNCTION("Ifna(QUERY($A$3:$I$2000, ""select A where C="" &amp; $K201))"),"")</f>
        <v/>
      </c>
      <c r="N201" t="str">
        <f>IFERROR(__xludf.DUMMYFUNCTION("Ifna(QUERY($A$3:$I$2000, ""select A where D="" &amp; $K201))"),"")</f>
        <v/>
      </c>
      <c r="O201" t="str">
        <f>IFERROR(__xludf.DUMMYFUNCTION("Ifna(QUERY($A$3:$I$2000, ""select A where E="" &amp; $K201))"),"")</f>
        <v/>
      </c>
      <c r="P201" t="str">
        <f>IFERROR(__xludf.DUMMYFUNCTION("Ifna(QUERY($A$3:$I$2000, ""select A where F="" &amp; $K201))"),"")</f>
        <v/>
      </c>
      <c r="Q201" t="str">
        <f>IFERROR(__xludf.DUMMYFUNCTION("Ifna(QUERY($A$3:$I$2000, ""select A where G="" &amp; $K201))"),"")</f>
        <v/>
      </c>
      <c r="R201" t="str">
        <f>IFERROR(__xludf.DUMMYFUNCTION("Ifna(QUERY($A$3:$I$2000, ""select A where H="" &amp; $K201))"),"")</f>
        <v/>
      </c>
      <c r="S201" t="str">
        <f>IFERROR(__xludf.DUMMYFUNCTION("Ifna(QUERY($A$3:$I$2000, ""select A where I="" &amp; $K201))"),"")</f>
        <v/>
      </c>
    </row>
    <row r="202">
      <c r="K202" s="2">
        <v>200.0</v>
      </c>
      <c r="L202" t="str">
        <f>IFERROR(__xludf.DUMMYFUNCTION("Ifna(QUERY($A$3:$I$2000, ""select A where B="" &amp; $K202))"),"")</f>
        <v/>
      </c>
      <c r="M202" t="str">
        <f>IFERROR(__xludf.DUMMYFUNCTION("Ifna(QUERY($A$3:$I$2000, ""select A where C="" &amp; $K202))"),"")</f>
        <v/>
      </c>
      <c r="N202" t="str">
        <f>IFERROR(__xludf.DUMMYFUNCTION("Ifna(QUERY($A$3:$I$2000, ""select A where D="" &amp; $K202))"),"")</f>
        <v/>
      </c>
      <c r="O202" t="str">
        <f>IFERROR(__xludf.DUMMYFUNCTION("Ifna(QUERY($A$3:$I$2000, ""select A where E="" &amp; $K202))"),"")</f>
        <v/>
      </c>
      <c r="P202" t="str">
        <f>IFERROR(__xludf.DUMMYFUNCTION("Ifna(QUERY($A$3:$I$2000, ""select A where F="" &amp; $K202))"),"")</f>
        <v/>
      </c>
      <c r="Q202" t="str">
        <f>IFERROR(__xludf.DUMMYFUNCTION("Ifna(QUERY($A$3:$I$2000, ""select A where G="" &amp; $K202))"),"")</f>
        <v/>
      </c>
      <c r="R202" t="str">
        <f>IFERROR(__xludf.DUMMYFUNCTION("Ifna(QUERY($A$3:$I$2000, ""select A where H="" &amp; $K202))"),"")</f>
        <v/>
      </c>
      <c r="S202" t="str">
        <f>IFERROR(__xludf.DUMMYFUNCTION("Ifna(QUERY($A$3:$I$2000, ""select A where I="" &amp; $K202))"),"")</f>
        <v/>
      </c>
    </row>
    <row r="203">
      <c r="K203" s="2">
        <v>201.0</v>
      </c>
      <c r="L203" t="str">
        <f>IFERROR(__xludf.DUMMYFUNCTION("Ifna(QUERY($A$3:$I$2000, ""select A where B="" &amp; $K203))"),"")</f>
        <v/>
      </c>
      <c r="M203" t="str">
        <f>IFERROR(__xludf.DUMMYFUNCTION("Ifna(QUERY($A$3:$I$2000, ""select A where C="" &amp; $K203))"),"")</f>
        <v/>
      </c>
      <c r="N203" t="str">
        <f>IFERROR(__xludf.DUMMYFUNCTION("Ifna(QUERY($A$3:$I$2000, ""select A where D="" &amp; $K203))"),"")</f>
        <v/>
      </c>
      <c r="O203" t="str">
        <f>IFERROR(__xludf.DUMMYFUNCTION("Ifna(QUERY($A$3:$I$2000, ""select A where E="" &amp; $K203))"),"")</f>
        <v/>
      </c>
      <c r="P203" t="str">
        <f>IFERROR(__xludf.DUMMYFUNCTION("Ifna(QUERY($A$3:$I$2000, ""select A where F="" &amp; $K203))"),"")</f>
        <v/>
      </c>
      <c r="Q203" t="str">
        <f>IFERROR(__xludf.DUMMYFUNCTION("Ifna(QUERY($A$3:$I$2000, ""select A where G="" &amp; $K203))"),"")</f>
        <v/>
      </c>
      <c r="R203" t="str">
        <f>IFERROR(__xludf.DUMMYFUNCTION("Ifna(QUERY($A$3:$I$2000, ""select A where H="" &amp; $K203))"),"")</f>
        <v/>
      </c>
      <c r="S203" t="str">
        <f>IFERROR(__xludf.DUMMYFUNCTION("Ifna(QUERY($A$3:$I$2000, ""select A where I="" &amp; $K203))"),"")</f>
        <v/>
      </c>
    </row>
    <row r="204">
      <c r="K204" s="2">
        <v>202.0</v>
      </c>
      <c r="L204" t="str">
        <f>IFERROR(__xludf.DUMMYFUNCTION("Ifna(QUERY($A$3:$I$2000, ""select A where B="" &amp; $K204))"),"")</f>
        <v/>
      </c>
      <c r="M204" t="str">
        <f>IFERROR(__xludf.DUMMYFUNCTION("Ifna(QUERY($A$3:$I$2000, ""select A where C="" &amp; $K204))"),"")</f>
        <v/>
      </c>
      <c r="N204" t="str">
        <f>IFERROR(__xludf.DUMMYFUNCTION("Ifna(QUERY($A$3:$I$2000, ""select A where D="" &amp; $K204))"),"")</f>
        <v/>
      </c>
      <c r="O204" t="str">
        <f>IFERROR(__xludf.DUMMYFUNCTION("Ifna(QUERY($A$3:$I$2000, ""select A where E="" &amp; $K204))"),"")</f>
        <v/>
      </c>
      <c r="P204" t="str">
        <f>IFERROR(__xludf.DUMMYFUNCTION("Ifna(QUERY($A$3:$I$2000, ""select A where F="" &amp; $K204))"),"")</f>
        <v/>
      </c>
      <c r="Q204" t="str">
        <f>IFERROR(__xludf.DUMMYFUNCTION("Ifna(QUERY($A$3:$I$2000, ""select A where G="" &amp; $K204))"),"")</f>
        <v/>
      </c>
      <c r="R204" t="str">
        <f>IFERROR(__xludf.DUMMYFUNCTION("Ifna(QUERY($A$3:$I$2000, ""select A where H="" &amp; $K204))"),"")</f>
        <v/>
      </c>
      <c r="S204" t="str">
        <f>IFERROR(__xludf.DUMMYFUNCTION("Ifna(QUERY($A$3:$I$2000, ""select A where I="" &amp; $K204))"),"")</f>
        <v/>
      </c>
    </row>
    <row r="205">
      <c r="K205" s="2">
        <v>203.0</v>
      </c>
      <c r="L205" t="str">
        <f>IFERROR(__xludf.DUMMYFUNCTION("Ifna(QUERY($A$3:$I$2000, ""select A where B="" &amp; $K205))"),"")</f>
        <v/>
      </c>
      <c r="M205" t="str">
        <f>IFERROR(__xludf.DUMMYFUNCTION("Ifna(QUERY($A$3:$I$2000, ""select A where C="" &amp; $K205))"),"")</f>
        <v/>
      </c>
      <c r="N205" t="str">
        <f>IFERROR(__xludf.DUMMYFUNCTION("Ifna(QUERY($A$3:$I$2000, ""select A where D="" &amp; $K205))"),"")</f>
        <v/>
      </c>
      <c r="O205" t="str">
        <f>IFERROR(__xludf.DUMMYFUNCTION("Ifna(QUERY($A$3:$I$2000, ""select A where E="" &amp; $K205))"),"")</f>
        <v/>
      </c>
      <c r="P205" t="str">
        <f>IFERROR(__xludf.DUMMYFUNCTION("Ifna(QUERY($A$3:$I$2000, ""select A where F="" &amp; $K205))"),"")</f>
        <v/>
      </c>
      <c r="Q205" t="str">
        <f>IFERROR(__xludf.DUMMYFUNCTION("Ifna(QUERY($A$3:$I$2000, ""select A where G="" &amp; $K205))"),"")</f>
        <v/>
      </c>
      <c r="R205" t="str">
        <f>IFERROR(__xludf.DUMMYFUNCTION("Ifna(QUERY($A$3:$I$2000, ""select A where H="" &amp; $K205))"),"")</f>
        <v/>
      </c>
      <c r="S205" t="str">
        <f>IFERROR(__xludf.DUMMYFUNCTION("Ifna(QUERY($A$3:$I$2000, ""select A where I="" &amp; $K205))"),"")</f>
        <v/>
      </c>
    </row>
    <row r="206">
      <c r="K206" s="2">
        <v>204.0</v>
      </c>
      <c r="L206" t="str">
        <f>IFERROR(__xludf.DUMMYFUNCTION("Ifna(QUERY($A$3:$I$2000, ""select A where B="" &amp; $K206))"),"")</f>
        <v/>
      </c>
      <c r="M206" t="str">
        <f>IFERROR(__xludf.DUMMYFUNCTION("Ifna(QUERY($A$3:$I$2000, ""select A where C="" &amp; $K206))"),"")</f>
        <v/>
      </c>
      <c r="N206" t="str">
        <f>IFERROR(__xludf.DUMMYFUNCTION("Ifna(QUERY($A$3:$I$2000, ""select A where D="" &amp; $K206))"),"")</f>
        <v/>
      </c>
      <c r="O206" t="str">
        <f>IFERROR(__xludf.DUMMYFUNCTION("Ifna(QUERY($A$3:$I$2000, ""select A where E="" &amp; $K206))"),"")</f>
        <v/>
      </c>
      <c r="P206" t="str">
        <f>IFERROR(__xludf.DUMMYFUNCTION("Ifna(QUERY($A$3:$I$2000, ""select A where F="" &amp; $K206))"),"")</f>
        <v/>
      </c>
      <c r="Q206" t="str">
        <f>IFERROR(__xludf.DUMMYFUNCTION("Ifna(QUERY($A$3:$I$2000, ""select A where G="" &amp; $K206))"),"")</f>
        <v/>
      </c>
      <c r="R206" t="str">
        <f>IFERROR(__xludf.DUMMYFUNCTION("Ifna(QUERY($A$3:$I$2000, ""select A where H="" &amp; $K206))"),"")</f>
        <v/>
      </c>
      <c r="S206" t="str">
        <f>IFERROR(__xludf.DUMMYFUNCTION("Ifna(QUERY($A$3:$I$2000, ""select A where I="" &amp; $K206))"),"")</f>
        <v/>
      </c>
    </row>
    <row r="207">
      <c r="K207" s="2">
        <v>205.0</v>
      </c>
      <c r="L207" t="str">
        <f>IFERROR(__xludf.DUMMYFUNCTION("Ifna(QUERY($A$3:$I$2000, ""select A where B="" &amp; $K207))"),"")</f>
        <v/>
      </c>
      <c r="M207" t="str">
        <f>IFERROR(__xludf.DUMMYFUNCTION("Ifna(QUERY($A$3:$I$2000, ""select A where C="" &amp; $K207))"),"")</f>
        <v/>
      </c>
      <c r="N207" t="str">
        <f>IFERROR(__xludf.DUMMYFUNCTION("Ifna(QUERY($A$3:$I$2000, ""select A where D="" &amp; $K207))"),"")</f>
        <v/>
      </c>
      <c r="O207" t="str">
        <f>IFERROR(__xludf.DUMMYFUNCTION("Ifna(QUERY($A$3:$I$2000, ""select A where E="" &amp; $K207))"),"")</f>
        <v/>
      </c>
      <c r="P207" t="str">
        <f>IFERROR(__xludf.DUMMYFUNCTION("Ifna(QUERY($A$3:$I$2000, ""select A where F="" &amp; $K207))"),"")</f>
        <v/>
      </c>
      <c r="Q207" t="str">
        <f>IFERROR(__xludf.DUMMYFUNCTION("Ifna(QUERY($A$3:$I$2000, ""select A where G="" &amp; $K207))"),"")</f>
        <v/>
      </c>
      <c r="R207" t="str">
        <f>IFERROR(__xludf.DUMMYFUNCTION("Ifna(QUERY($A$3:$I$2000, ""select A where H="" &amp; $K207))"),"")</f>
        <v/>
      </c>
      <c r="S207" t="str">
        <f>IFERROR(__xludf.DUMMYFUNCTION("Ifna(QUERY($A$3:$I$2000, ""select A where I="" &amp; $K207))"),"")</f>
        <v/>
      </c>
    </row>
    <row r="208">
      <c r="K208" s="2">
        <v>206.0</v>
      </c>
      <c r="L208" t="str">
        <f>IFERROR(__xludf.DUMMYFUNCTION("Ifna(QUERY($A$3:$I$2000, ""select A where B="" &amp; $K208))"),"")</f>
        <v/>
      </c>
      <c r="M208" t="str">
        <f>IFERROR(__xludf.DUMMYFUNCTION("Ifna(QUERY($A$3:$I$2000, ""select A where C="" &amp; $K208))"),"")</f>
        <v/>
      </c>
      <c r="N208" t="str">
        <f>IFERROR(__xludf.DUMMYFUNCTION("Ifna(QUERY($A$3:$I$2000, ""select A where D="" &amp; $K208))"),"")</f>
        <v/>
      </c>
      <c r="O208" t="str">
        <f>IFERROR(__xludf.DUMMYFUNCTION("Ifna(QUERY($A$3:$I$2000, ""select A where E="" &amp; $K208))"),"")</f>
        <v/>
      </c>
      <c r="P208" t="str">
        <f>IFERROR(__xludf.DUMMYFUNCTION("Ifna(QUERY($A$3:$I$2000, ""select A where F="" &amp; $K208))"),"")</f>
        <v/>
      </c>
      <c r="Q208" t="str">
        <f>IFERROR(__xludf.DUMMYFUNCTION("Ifna(QUERY($A$3:$I$2000, ""select A where G="" &amp; $K208))"),"")</f>
        <v/>
      </c>
      <c r="R208" t="str">
        <f>IFERROR(__xludf.DUMMYFUNCTION("Ifna(QUERY($A$3:$I$2000, ""select A where H="" &amp; $K208))"),"")</f>
        <v/>
      </c>
      <c r="S208">
        <f>IFERROR(__xludf.DUMMYFUNCTION("Ifna(QUERY($A$3:$I$2000, ""select A where I="" &amp; $K208))"),8.0)</f>
        <v>8</v>
      </c>
    </row>
    <row r="209">
      <c r="K209" s="2">
        <v>207.0</v>
      </c>
      <c r="L209" t="str">
        <f>IFERROR(__xludf.DUMMYFUNCTION("Ifna(QUERY($A$3:$I$2000, ""select A where B="" &amp; $K209))"),"")</f>
        <v/>
      </c>
      <c r="M209" t="str">
        <f>IFERROR(__xludf.DUMMYFUNCTION("Ifna(QUERY($A$3:$I$2000, ""select A where C="" &amp; $K209))"),"")</f>
        <v/>
      </c>
      <c r="N209" t="str">
        <f>IFERROR(__xludf.DUMMYFUNCTION("Ifna(QUERY($A$3:$I$2000, ""select A where D="" &amp; $K209))"),"")</f>
        <v/>
      </c>
      <c r="O209" t="str">
        <f>IFERROR(__xludf.DUMMYFUNCTION("Ifna(QUERY($A$3:$I$2000, ""select A where E="" &amp; $K209))"),"")</f>
        <v/>
      </c>
      <c r="P209" t="str">
        <f>IFERROR(__xludf.DUMMYFUNCTION("Ifna(QUERY($A$3:$I$2000, ""select A where F="" &amp; $K209))"),"")</f>
        <v/>
      </c>
      <c r="Q209" t="str">
        <f>IFERROR(__xludf.DUMMYFUNCTION("Ifna(QUERY($A$3:$I$2000, ""select A where G="" &amp; $K209))"),"")</f>
        <v/>
      </c>
      <c r="R209" t="str">
        <f>IFERROR(__xludf.DUMMYFUNCTION("Ifna(QUERY($A$3:$I$2000, ""select A where H="" &amp; $K209))"),"")</f>
        <v/>
      </c>
      <c r="S209" t="str">
        <f>IFERROR(__xludf.DUMMYFUNCTION("Ifna(QUERY($A$3:$I$2000, ""select A where I="" &amp; $K209))"),"")</f>
        <v/>
      </c>
    </row>
    <row r="210">
      <c r="K210" s="2">
        <v>208.0</v>
      </c>
      <c r="L210" t="str">
        <f>IFERROR(__xludf.DUMMYFUNCTION("Ifna(QUERY($A$3:$I$2000, ""select A where B="" &amp; $K210))"),"")</f>
        <v/>
      </c>
      <c r="M210" t="str">
        <f>IFERROR(__xludf.DUMMYFUNCTION("Ifna(QUERY($A$3:$I$2000, ""select A where C="" &amp; $K210))"),"")</f>
        <v/>
      </c>
      <c r="N210" t="str">
        <f>IFERROR(__xludf.DUMMYFUNCTION("Ifna(QUERY($A$3:$I$2000, ""select A where D="" &amp; $K210))"),"")</f>
        <v/>
      </c>
      <c r="O210" t="str">
        <f>IFERROR(__xludf.DUMMYFUNCTION("Ifna(QUERY($A$3:$I$2000, ""select A where E="" &amp; $K210))"),"")</f>
        <v/>
      </c>
      <c r="P210" t="str">
        <f>IFERROR(__xludf.DUMMYFUNCTION("Ifna(QUERY($A$3:$I$2000, ""select A where F="" &amp; $K210))"),"")</f>
        <v/>
      </c>
      <c r="Q210" t="str">
        <f>IFERROR(__xludf.DUMMYFUNCTION("Ifna(QUERY($A$3:$I$2000, ""select A where G="" &amp; $K210))"),"")</f>
        <v/>
      </c>
      <c r="R210" t="str">
        <f>IFERROR(__xludf.DUMMYFUNCTION("Ifna(QUERY($A$3:$I$2000, ""select A where H="" &amp; $K210))"),"")</f>
        <v/>
      </c>
      <c r="S210" t="str">
        <f>IFERROR(__xludf.DUMMYFUNCTION("Ifna(QUERY($A$3:$I$2000, ""select A where I="" &amp; $K210))"),"")</f>
        <v/>
      </c>
    </row>
    <row r="211">
      <c r="K211" s="2">
        <v>209.0</v>
      </c>
      <c r="L211" t="str">
        <f>IFERROR(__xludf.DUMMYFUNCTION("Ifna(QUERY($A$3:$I$2000, ""select A where B="" &amp; $K211))"),"")</f>
        <v/>
      </c>
      <c r="M211" t="str">
        <f>IFERROR(__xludf.DUMMYFUNCTION("Ifna(QUERY($A$3:$I$2000, ""select A where C="" &amp; $K211))"),"")</f>
        <v/>
      </c>
      <c r="N211" t="str">
        <f>IFERROR(__xludf.DUMMYFUNCTION("Ifna(QUERY($A$3:$I$2000, ""select A where D="" &amp; $K211))"),"")</f>
        <v/>
      </c>
      <c r="O211" t="str">
        <f>IFERROR(__xludf.DUMMYFUNCTION("Ifna(QUERY($A$3:$I$2000, ""select A where E="" &amp; $K211))"),"")</f>
        <v/>
      </c>
      <c r="P211" t="str">
        <f>IFERROR(__xludf.DUMMYFUNCTION("Ifna(QUERY($A$3:$I$2000, ""select A where F="" &amp; $K211))"),"")</f>
        <v/>
      </c>
      <c r="Q211" t="str">
        <f>IFERROR(__xludf.DUMMYFUNCTION("Ifna(QUERY($A$3:$I$2000, ""select A where G="" &amp; $K211))"),"")</f>
        <v/>
      </c>
      <c r="R211" t="str">
        <f>IFERROR(__xludf.DUMMYFUNCTION("Ifna(QUERY($A$3:$I$2000, ""select A where H="" &amp; $K211))"),"")</f>
        <v/>
      </c>
      <c r="S211" t="str">
        <f>IFERROR(__xludf.DUMMYFUNCTION("Ifna(QUERY($A$3:$I$2000, ""select A where I="" &amp; $K211))"),"")</f>
        <v/>
      </c>
    </row>
    <row r="212">
      <c r="K212" s="2">
        <v>210.0</v>
      </c>
      <c r="L212" t="str">
        <f>IFERROR(__xludf.DUMMYFUNCTION("Ifna(QUERY($A$3:$I$2000, ""select A where B="" &amp; $K212))"),"")</f>
        <v/>
      </c>
      <c r="M212" t="str">
        <f>IFERROR(__xludf.DUMMYFUNCTION("Ifna(QUERY($A$3:$I$2000, ""select A where C="" &amp; $K212))"),"")</f>
        <v/>
      </c>
      <c r="N212" t="str">
        <f>IFERROR(__xludf.DUMMYFUNCTION("Ifna(QUERY($A$3:$I$2000, ""select A where D="" &amp; $K212))"),"")</f>
        <v/>
      </c>
      <c r="O212" t="str">
        <f>IFERROR(__xludf.DUMMYFUNCTION("Ifna(QUERY($A$3:$I$2000, ""select A where E="" &amp; $K212))"),"")</f>
        <v/>
      </c>
      <c r="P212" t="str">
        <f>IFERROR(__xludf.DUMMYFUNCTION("Ifna(QUERY($A$3:$I$2000, ""select A where F="" &amp; $K212))"),"")</f>
        <v/>
      </c>
      <c r="Q212" t="str">
        <f>IFERROR(__xludf.DUMMYFUNCTION("Ifna(QUERY($A$3:$I$2000, ""select A where G="" &amp; $K212))"),"")</f>
        <v/>
      </c>
      <c r="R212" t="str">
        <f>IFERROR(__xludf.DUMMYFUNCTION("Ifna(QUERY($A$3:$I$2000, ""select A where H="" &amp; $K212))"),"")</f>
        <v/>
      </c>
      <c r="S212" t="str">
        <f>IFERROR(__xludf.DUMMYFUNCTION("Ifna(QUERY($A$3:$I$2000, ""select A where I="" &amp; $K212))"),"")</f>
        <v/>
      </c>
    </row>
    <row r="213">
      <c r="K213" s="2">
        <v>211.0</v>
      </c>
      <c r="L213" t="str">
        <f>IFERROR(__xludf.DUMMYFUNCTION("Ifna(QUERY($A$3:$I$2000, ""select A where B="" &amp; $K213))"),"")</f>
        <v/>
      </c>
      <c r="M213" t="str">
        <f>IFERROR(__xludf.DUMMYFUNCTION("Ifna(QUERY($A$3:$I$2000, ""select A where C="" &amp; $K213))"),"")</f>
        <v/>
      </c>
      <c r="N213" t="str">
        <f>IFERROR(__xludf.DUMMYFUNCTION("Ifna(QUERY($A$3:$I$2000, ""select A where D="" &amp; $K213))"),"")</f>
        <v/>
      </c>
      <c r="O213" t="str">
        <f>IFERROR(__xludf.DUMMYFUNCTION("Ifna(QUERY($A$3:$I$2000, ""select A where E="" &amp; $K213))"),"")</f>
        <v/>
      </c>
      <c r="P213" t="str">
        <f>IFERROR(__xludf.DUMMYFUNCTION("Ifna(QUERY($A$3:$I$2000, ""select A where F="" &amp; $K213))"),"")</f>
        <v/>
      </c>
      <c r="Q213" t="str">
        <f>IFERROR(__xludf.DUMMYFUNCTION("Ifna(QUERY($A$3:$I$2000, ""select A where G="" &amp; $K213))"),"")</f>
        <v/>
      </c>
      <c r="R213" t="str">
        <f>IFERROR(__xludf.DUMMYFUNCTION("Ifna(QUERY($A$3:$I$2000, ""select A where H="" &amp; $K213))"),"")</f>
        <v/>
      </c>
      <c r="S213" t="str">
        <f>IFERROR(__xludf.DUMMYFUNCTION("Ifna(QUERY($A$3:$I$2000, ""select A where I="" &amp; $K213))"),"")</f>
        <v/>
      </c>
    </row>
    <row r="214">
      <c r="K214" s="2">
        <v>212.0</v>
      </c>
      <c r="L214" t="str">
        <f>IFERROR(__xludf.DUMMYFUNCTION("Ifna(QUERY($A$3:$I$2000, ""select A where B="" &amp; $K214))"),"")</f>
        <v/>
      </c>
      <c r="M214" t="str">
        <f>IFERROR(__xludf.DUMMYFUNCTION("Ifna(QUERY($A$3:$I$2000, ""select A where C="" &amp; $K214))"),"")</f>
        <v/>
      </c>
      <c r="N214" t="str">
        <f>IFERROR(__xludf.DUMMYFUNCTION("Ifna(QUERY($A$3:$I$2000, ""select A where D="" &amp; $K214))"),"")</f>
        <v/>
      </c>
      <c r="O214" t="str">
        <f>IFERROR(__xludf.DUMMYFUNCTION("Ifna(QUERY($A$3:$I$2000, ""select A where E="" &amp; $K214))"),"")</f>
        <v/>
      </c>
      <c r="P214" t="str">
        <f>IFERROR(__xludf.DUMMYFUNCTION("Ifna(QUERY($A$3:$I$2000, ""select A where F="" &amp; $K214))"),"")</f>
        <v/>
      </c>
      <c r="Q214" t="str">
        <f>IFERROR(__xludf.DUMMYFUNCTION("Ifna(QUERY($A$3:$I$2000, ""select A where G="" &amp; $K214))"),"")</f>
        <v/>
      </c>
      <c r="R214" t="str">
        <f>IFERROR(__xludf.DUMMYFUNCTION("Ifna(QUERY($A$3:$I$2000, ""select A where H="" &amp; $K214))"),"")</f>
        <v/>
      </c>
      <c r="S214" t="str">
        <f>IFERROR(__xludf.DUMMYFUNCTION("Ifna(QUERY($A$3:$I$2000, ""select A where I="" &amp; $K214))"),"")</f>
        <v/>
      </c>
    </row>
    <row r="215">
      <c r="K215" s="2">
        <v>213.0</v>
      </c>
      <c r="L215" t="str">
        <f>IFERROR(__xludf.DUMMYFUNCTION("Ifna(QUERY($A$3:$I$2000, ""select A where B="" &amp; $K215))"),"")</f>
        <v/>
      </c>
      <c r="M215" t="str">
        <f>IFERROR(__xludf.DUMMYFUNCTION("Ifna(QUERY($A$3:$I$2000, ""select A where C="" &amp; $K215))"),"")</f>
        <v/>
      </c>
      <c r="N215" t="str">
        <f>IFERROR(__xludf.DUMMYFUNCTION("Ifna(QUERY($A$3:$I$2000, ""select A where D="" &amp; $K215))"),"")</f>
        <v/>
      </c>
      <c r="O215" t="str">
        <f>IFERROR(__xludf.DUMMYFUNCTION("Ifna(QUERY($A$3:$I$2000, ""select A where E="" &amp; $K215))"),"")</f>
        <v/>
      </c>
      <c r="P215" t="str">
        <f>IFERROR(__xludf.DUMMYFUNCTION("Ifna(QUERY($A$3:$I$2000, ""select A where F="" &amp; $K215))"),"")</f>
        <v/>
      </c>
      <c r="Q215" t="str">
        <f>IFERROR(__xludf.DUMMYFUNCTION("Ifna(QUERY($A$3:$I$2000, ""select A where G="" &amp; $K215))"),"")</f>
        <v/>
      </c>
      <c r="R215" t="str">
        <f>IFERROR(__xludf.DUMMYFUNCTION("Ifna(QUERY($A$3:$I$2000, ""select A where H="" &amp; $K215))"),"")</f>
        <v/>
      </c>
      <c r="S215" t="str">
        <f>IFERROR(__xludf.DUMMYFUNCTION("Ifna(QUERY($A$3:$I$2000, ""select A where I="" &amp; $K215))"),"")</f>
        <v/>
      </c>
    </row>
    <row r="216">
      <c r="K216" s="2">
        <v>214.0</v>
      </c>
      <c r="L216" t="str">
        <f>IFERROR(__xludf.DUMMYFUNCTION("Ifna(QUERY($A$3:$I$2000, ""select A where B="" &amp; $K216))"),"")</f>
        <v/>
      </c>
      <c r="M216" t="str">
        <f>IFERROR(__xludf.DUMMYFUNCTION("Ifna(QUERY($A$3:$I$2000, ""select A where C="" &amp; $K216))"),"")</f>
        <v/>
      </c>
      <c r="N216" t="str">
        <f>IFERROR(__xludf.DUMMYFUNCTION("Ifna(QUERY($A$3:$I$2000, ""select A where D="" &amp; $K216))"),"")</f>
        <v/>
      </c>
      <c r="O216" t="str">
        <f>IFERROR(__xludf.DUMMYFUNCTION("Ifna(QUERY($A$3:$I$2000, ""select A where E="" &amp; $K216))"),"")</f>
        <v/>
      </c>
      <c r="P216" t="str">
        <f>IFERROR(__xludf.DUMMYFUNCTION("Ifna(QUERY($A$3:$I$2000, ""select A where F="" &amp; $K216))"),"")</f>
        <v/>
      </c>
      <c r="Q216" t="str">
        <f>IFERROR(__xludf.DUMMYFUNCTION("Ifna(QUERY($A$3:$I$2000, ""select A where G="" &amp; $K216))"),"")</f>
        <v/>
      </c>
      <c r="R216" t="str">
        <f>IFERROR(__xludf.DUMMYFUNCTION("Ifna(QUERY($A$3:$I$2000, ""select A where H="" &amp; $K216))"),"")</f>
        <v/>
      </c>
      <c r="S216">
        <f>IFERROR(__xludf.DUMMYFUNCTION("Ifna(QUERY($A$3:$I$2000, ""select A where I="" &amp; $K216))"),7.0)</f>
        <v>7</v>
      </c>
    </row>
    <row r="217">
      <c r="K217" s="2">
        <v>215.0</v>
      </c>
      <c r="L217" t="str">
        <f>IFERROR(__xludf.DUMMYFUNCTION("Ifna(QUERY($A$3:$I$2000, ""select A where B="" &amp; $K217))"),"")</f>
        <v/>
      </c>
      <c r="M217" t="str">
        <f>IFERROR(__xludf.DUMMYFUNCTION("Ifna(QUERY($A$3:$I$2000, ""select A where C="" &amp; $K217))"),"")</f>
        <v/>
      </c>
      <c r="N217" t="str">
        <f>IFERROR(__xludf.DUMMYFUNCTION("Ifna(QUERY($A$3:$I$2000, ""select A where D="" &amp; $K217))"),"")</f>
        <v/>
      </c>
      <c r="O217" t="str">
        <f>IFERROR(__xludf.DUMMYFUNCTION("Ifna(QUERY($A$3:$I$2000, ""select A where E="" &amp; $K217))"),"")</f>
        <v/>
      </c>
      <c r="P217" t="str">
        <f>IFERROR(__xludf.DUMMYFUNCTION("Ifna(QUERY($A$3:$I$2000, ""select A where F="" &amp; $K217))"),"")</f>
        <v/>
      </c>
      <c r="Q217" t="str">
        <f>IFERROR(__xludf.DUMMYFUNCTION("Ifna(QUERY($A$3:$I$2000, ""select A where G="" &amp; $K217))"),"")</f>
        <v/>
      </c>
      <c r="R217" t="str">
        <f>IFERROR(__xludf.DUMMYFUNCTION("Ifna(QUERY($A$3:$I$2000, ""select A where H="" &amp; $K217))"),"")</f>
        <v/>
      </c>
      <c r="S217" t="str">
        <f>IFERROR(__xludf.DUMMYFUNCTION("Ifna(QUERY($A$3:$I$2000, ""select A where I="" &amp; $K217))"),"")</f>
        <v/>
      </c>
    </row>
    <row r="218">
      <c r="K218" s="2">
        <v>216.0</v>
      </c>
      <c r="L218" t="str">
        <f>IFERROR(__xludf.DUMMYFUNCTION("Ifna(QUERY($A$3:$I$2000, ""select A where B="" &amp; $K218))"),"")</f>
        <v/>
      </c>
      <c r="M218" t="str">
        <f>IFERROR(__xludf.DUMMYFUNCTION("Ifna(QUERY($A$3:$I$2000, ""select A where C="" &amp; $K218))"),"")</f>
        <v/>
      </c>
      <c r="N218" t="str">
        <f>IFERROR(__xludf.DUMMYFUNCTION("Ifna(QUERY($A$3:$I$2000, ""select A where D="" &amp; $K218))"),"")</f>
        <v/>
      </c>
      <c r="O218" t="str">
        <f>IFERROR(__xludf.DUMMYFUNCTION("Ifna(QUERY($A$3:$I$2000, ""select A where E="" &amp; $K218))"),"")</f>
        <v/>
      </c>
      <c r="P218" t="str">
        <f>IFERROR(__xludf.DUMMYFUNCTION("Ifna(QUERY($A$3:$I$2000, ""select A where F="" &amp; $K218))"),"")</f>
        <v/>
      </c>
      <c r="Q218" t="str">
        <f>IFERROR(__xludf.DUMMYFUNCTION("Ifna(QUERY($A$3:$I$2000, ""select A where G="" &amp; $K218))"),"")</f>
        <v/>
      </c>
      <c r="R218" t="str">
        <f>IFERROR(__xludf.DUMMYFUNCTION("Ifna(QUERY($A$3:$I$2000, ""select A where H="" &amp; $K218))"),"")</f>
        <v/>
      </c>
      <c r="S218" t="str">
        <f>IFERROR(__xludf.DUMMYFUNCTION("Ifna(QUERY($A$3:$I$2000, ""select A where I="" &amp; $K218))"),"")</f>
        <v/>
      </c>
    </row>
    <row r="219">
      <c r="K219" s="2">
        <v>217.0</v>
      </c>
      <c r="L219" t="str">
        <f>IFERROR(__xludf.DUMMYFUNCTION("Ifna(QUERY($A$3:$I$2000, ""select A where B="" &amp; $K219))"),"")</f>
        <v/>
      </c>
      <c r="M219" t="str">
        <f>IFERROR(__xludf.DUMMYFUNCTION("Ifna(QUERY($A$3:$I$2000, ""select A where C="" &amp; $K219))"),"")</f>
        <v/>
      </c>
      <c r="N219" t="str">
        <f>IFERROR(__xludf.DUMMYFUNCTION("Ifna(QUERY($A$3:$I$2000, ""select A where D="" &amp; $K219))"),"")</f>
        <v/>
      </c>
      <c r="O219" t="str">
        <f>IFERROR(__xludf.DUMMYFUNCTION("Ifna(QUERY($A$3:$I$2000, ""select A where E="" &amp; $K219))"),"")</f>
        <v/>
      </c>
      <c r="P219" t="str">
        <f>IFERROR(__xludf.DUMMYFUNCTION("Ifna(QUERY($A$3:$I$2000, ""select A where F="" &amp; $K219))"),"")</f>
        <v/>
      </c>
      <c r="Q219" t="str">
        <f>IFERROR(__xludf.DUMMYFUNCTION("Ifna(QUERY($A$3:$I$2000, ""select A where G="" &amp; $K219))"),"")</f>
        <v/>
      </c>
      <c r="R219" t="str">
        <f>IFERROR(__xludf.DUMMYFUNCTION("Ifna(QUERY($A$3:$I$2000, ""select A where H="" &amp; $K219))"),"")</f>
        <v/>
      </c>
      <c r="S219" t="str">
        <f>IFERROR(__xludf.DUMMYFUNCTION("Ifna(QUERY($A$3:$I$2000, ""select A where I="" &amp; $K219))"),"")</f>
        <v/>
      </c>
    </row>
    <row r="220">
      <c r="K220" s="2">
        <v>218.0</v>
      </c>
      <c r="L220" t="str">
        <f>IFERROR(__xludf.DUMMYFUNCTION("Ifna(QUERY($A$3:$I$2000, ""select A where B="" &amp; $K220))"),"")</f>
        <v/>
      </c>
      <c r="M220" t="str">
        <f>IFERROR(__xludf.DUMMYFUNCTION("Ifna(QUERY($A$3:$I$2000, ""select A where C="" &amp; $K220))"),"")</f>
        <v/>
      </c>
      <c r="N220" t="str">
        <f>IFERROR(__xludf.DUMMYFUNCTION("Ifna(QUERY($A$3:$I$2000, ""select A where D="" &amp; $K220))"),"")</f>
        <v/>
      </c>
      <c r="O220" t="str">
        <f>IFERROR(__xludf.DUMMYFUNCTION("Ifna(QUERY($A$3:$I$2000, ""select A where E="" &amp; $K220))"),"")</f>
        <v/>
      </c>
      <c r="P220" t="str">
        <f>IFERROR(__xludf.DUMMYFUNCTION("Ifna(QUERY($A$3:$I$2000, ""select A where F="" &amp; $K220))"),"")</f>
        <v/>
      </c>
      <c r="Q220" t="str">
        <f>IFERROR(__xludf.DUMMYFUNCTION("Ifna(QUERY($A$3:$I$2000, ""select A where G="" &amp; $K220))"),"")</f>
        <v/>
      </c>
      <c r="R220" t="str">
        <f>IFERROR(__xludf.DUMMYFUNCTION("Ifna(QUERY($A$3:$I$2000, ""select A where H="" &amp; $K220))"),"")</f>
        <v/>
      </c>
      <c r="S220" t="str">
        <f>IFERROR(__xludf.DUMMYFUNCTION("Ifna(QUERY($A$3:$I$2000, ""select A where I="" &amp; $K220))"),"")</f>
        <v/>
      </c>
    </row>
    <row r="221">
      <c r="K221" s="2">
        <v>219.0</v>
      </c>
      <c r="L221" t="str">
        <f>IFERROR(__xludf.DUMMYFUNCTION("Ifna(QUERY($A$3:$I$2000, ""select A where B="" &amp; $K221))"),"")</f>
        <v/>
      </c>
      <c r="M221" t="str">
        <f>IFERROR(__xludf.DUMMYFUNCTION("Ifna(QUERY($A$3:$I$2000, ""select A where C="" &amp; $K221))"),"")</f>
        <v/>
      </c>
      <c r="N221" t="str">
        <f>IFERROR(__xludf.DUMMYFUNCTION("Ifna(QUERY($A$3:$I$2000, ""select A where D="" &amp; $K221))"),"")</f>
        <v/>
      </c>
      <c r="O221" t="str">
        <f>IFERROR(__xludf.DUMMYFUNCTION("Ifna(QUERY($A$3:$I$2000, ""select A where E="" &amp; $K221))"),"")</f>
        <v/>
      </c>
      <c r="P221" t="str">
        <f>IFERROR(__xludf.DUMMYFUNCTION("Ifna(QUERY($A$3:$I$2000, ""select A where F="" &amp; $K221))"),"")</f>
        <v/>
      </c>
      <c r="Q221" t="str">
        <f>IFERROR(__xludf.DUMMYFUNCTION("Ifna(QUERY($A$3:$I$2000, ""select A where G="" &amp; $K221))"),"")</f>
        <v/>
      </c>
      <c r="R221" t="str">
        <f>IFERROR(__xludf.DUMMYFUNCTION("Ifna(QUERY($A$3:$I$2000, ""select A where H="" &amp; $K221))"),"")</f>
        <v/>
      </c>
      <c r="S221" t="str">
        <f>IFERROR(__xludf.DUMMYFUNCTION("Ifna(QUERY($A$3:$I$2000, ""select A where I="" &amp; $K221))"),"")</f>
        <v/>
      </c>
    </row>
    <row r="222">
      <c r="K222" s="2">
        <v>220.0</v>
      </c>
      <c r="L222" t="str">
        <f>IFERROR(__xludf.DUMMYFUNCTION("Ifna(QUERY($A$3:$I$2000, ""select A where B="" &amp; $K222))"),"")</f>
        <v/>
      </c>
      <c r="M222" t="str">
        <f>IFERROR(__xludf.DUMMYFUNCTION("Ifna(QUERY($A$3:$I$2000, ""select A where C="" &amp; $K222))"),"")</f>
        <v/>
      </c>
      <c r="N222" t="str">
        <f>IFERROR(__xludf.DUMMYFUNCTION("Ifna(QUERY($A$3:$I$2000, ""select A where D="" &amp; $K222))"),"")</f>
        <v/>
      </c>
      <c r="O222" t="str">
        <f>IFERROR(__xludf.DUMMYFUNCTION("Ifna(QUERY($A$3:$I$2000, ""select A where E="" &amp; $K222))"),"")</f>
        <v/>
      </c>
      <c r="P222" t="str">
        <f>IFERROR(__xludf.DUMMYFUNCTION("Ifna(QUERY($A$3:$I$2000, ""select A where F="" &amp; $K222))"),"")</f>
        <v/>
      </c>
      <c r="Q222" t="str">
        <f>IFERROR(__xludf.DUMMYFUNCTION("Ifna(QUERY($A$3:$I$2000, ""select A where G="" &amp; $K222))"),"")</f>
        <v/>
      </c>
      <c r="R222" t="str">
        <f>IFERROR(__xludf.DUMMYFUNCTION("Ifna(QUERY($A$3:$I$2000, ""select A where H="" &amp; $K222))"),"")</f>
        <v/>
      </c>
      <c r="S222" t="str">
        <f>IFERROR(__xludf.DUMMYFUNCTION("Ifna(QUERY($A$3:$I$2000, ""select A where I="" &amp; $K222))"),"")</f>
        <v/>
      </c>
    </row>
    <row r="223">
      <c r="K223" s="2">
        <v>221.0</v>
      </c>
      <c r="L223" t="str">
        <f>IFERROR(__xludf.DUMMYFUNCTION("Ifna(QUERY($A$3:$I$2000, ""select A where B="" &amp; $K223))"),"")</f>
        <v/>
      </c>
      <c r="M223" t="str">
        <f>IFERROR(__xludf.DUMMYFUNCTION("Ifna(QUERY($A$3:$I$2000, ""select A where C="" &amp; $K223))"),"")</f>
        <v/>
      </c>
      <c r="N223" t="str">
        <f>IFERROR(__xludf.DUMMYFUNCTION("Ifna(QUERY($A$3:$I$2000, ""select A where D="" &amp; $K223))"),"")</f>
        <v/>
      </c>
      <c r="O223" t="str">
        <f>IFERROR(__xludf.DUMMYFUNCTION("Ifna(QUERY($A$3:$I$2000, ""select A where E="" &amp; $K223))"),"")</f>
        <v/>
      </c>
      <c r="P223" t="str">
        <f>IFERROR(__xludf.DUMMYFUNCTION("Ifna(QUERY($A$3:$I$2000, ""select A where F="" &amp; $K223))"),"")</f>
        <v/>
      </c>
      <c r="Q223" t="str">
        <f>IFERROR(__xludf.DUMMYFUNCTION("Ifna(QUERY($A$3:$I$2000, ""select A where G="" &amp; $K223))"),"")</f>
        <v/>
      </c>
      <c r="R223" t="str">
        <f>IFERROR(__xludf.DUMMYFUNCTION("Ifna(QUERY($A$3:$I$2000, ""select A where H="" &amp; $K223))"),"")</f>
        <v/>
      </c>
      <c r="S223" t="str">
        <f>IFERROR(__xludf.DUMMYFUNCTION("Ifna(QUERY($A$3:$I$2000, ""select A where I="" &amp; $K223))"),"")</f>
        <v/>
      </c>
    </row>
    <row r="224">
      <c r="K224" s="2">
        <v>222.0</v>
      </c>
      <c r="L224" t="str">
        <f>IFERROR(__xludf.DUMMYFUNCTION("Ifna(QUERY($A$3:$I$2000, ""select A where B="" &amp; $K224))"),"")</f>
        <v/>
      </c>
      <c r="M224" t="str">
        <f>IFERROR(__xludf.DUMMYFUNCTION("Ifna(QUERY($A$3:$I$2000, ""select A where C="" &amp; $K224))"),"")</f>
        <v/>
      </c>
      <c r="N224" t="str">
        <f>IFERROR(__xludf.DUMMYFUNCTION("Ifna(QUERY($A$3:$I$2000, ""select A where D="" &amp; $K224))"),"")</f>
        <v/>
      </c>
      <c r="O224" t="str">
        <f>IFERROR(__xludf.DUMMYFUNCTION("Ifna(QUERY($A$3:$I$2000, ""select A where E="" &amp; $K224))"),"")</f>
        <v/>
      </c>
      <c r="P224" t="str">
        <f>IFERROR(__xludf.DUMMYFUNCTION("Ifna(QUERY($A$3:$I$2000, ""select A where F="" &amp; $K224))"),"")</f>
        <v/>
      </c>
      <c r="Q224" t="str">
        <f>IFERROR(__xludf.DUMMYFUNCTION("Ifna(QUERY($A$3:$I$2000, ""select A where G="" &amp; $K224))"),"")</f>
        <v/>
      </c>
      <c r="R224" t="str">
        <f>IFERROR(__xludf.DUMMYFUNCTION("Ifna(QUERY($A$3:$I$2000, ""select A where H="" &amp; $K224))"),"")</f>
        <v/>
      </c>
      <c r="S224" t="str">
        <f>IFERROR(__xludf.DUMMYFUNCTION("Ifna(QUERY($A$3:$I$2000, ""select A where I="" &amp; $K224))"),"")</f>
        <v/>
      </c>
    </row>
    <row r="225">
      <c r="K225" s="2">
        <v>223.0</v>
      </c>
      <c r="L225" t="str">
        <f>IFERROR(__xludf.DUMMYFUNCTION("Ifna(QUERY($A$3:$I$2000, ""select A where B="" &amp; $K225))"),"")</f>
        <v/>
      </c>
      <c r="M225" t="str">
        <f>IFERROR(__xludf.DUMMYFUNCTION("Ifna(QUERY($A$3:$I$2000, ""select A where C="" &amp; $K225))"),"")</f>
        <v/>
      </c>
      <c r="N225" t="str">
        <f>IFERROR(__xludf.DUMMYFUNCTION("Ifna(QUERY($A$3:$I$2000, ""select A where D="" &amp; $K225))"),"")</f>
        <v/>
      </c>
      <c r="O225" t="str">
        <f>IFERROR(__xludf.DUMMYFUNCTION("Ifna(QUERY($A$3:$I$2000, ""select A where E="" &amp; $K225))"),"")</f>
        <v/>
      </c>
      <c r="P225" t="str">
        <f>IFERROR(__xludf.DUMMYFUNCTION("Ifna(QUERY($A$3:$I$2000, ""select A where F="" &amp; $K225))"),"")</f>
        <v/>
      </c>
      <c r="Q225" t="str">
        <f>IFERROR(__xludf.DUMMYFUNCTION("Ifna(QUERY($A$3:$I$2000, ""select A where G="" &amp; $K225))"),"")</f>
        <v/>
      </c>
      <c r="R225" t="str">
        <f>IFERROR(__xludf.DUMMYFUNCTION("Ifna(QUERY($A$3:$I$2000, ""select A where H="" &amp; $K225))"),"")</f>
        <v/>
      </c>
      <c r="S225" t="str">
        <f>IFERROR(__xludf.DUMMYFUNCTION("Ifna(QUERY($A$3:$I$2000, ""select A where I="" &amp; $K225))"),"")</f>
        <v/>
      </c>
    </row>
    <row r="226">
      <c r="K226" s="2">
        <v>224.0</v>
      </c>
      <c r="L226" t="str">
        <f>IFERROR(__xludf.DUMMYFUNCTION("Ifna(QUERY($A$3:$I$2000, ""select A where B="" &amp; $K226))"),"")</f>
        <v/>
      </c>
      <c r="M226" t="str">
        <f>IFERROR(__xludf.DUMMYFUNCTION("Ifna(QUERY($A$3:$I$2000, ""select A where C="" &amp; $K226))"),"")</f>
        <v/>
      </c>
      <c r="N226" t="str">
        <f>IFERROR(__xludf.DUMMYFUNCTION("Ifna(QUERY($A$3:$I$2000, ""select A where D="" &amp; $K226))"),"")</f>
        <v/>
      </c>
      <c r="O226" t="str">
        <f>IFERROR(__xludf.DUMMYFUNCTION("Ifna(QUERY($A$3:$I$2000, ""select A where E="" &amp; $K226))"),"")</f>
        <v/>
      </c>
      <c r="P226" t="str">
        <f>IFERROR(__xludf.DUMMYFUNCTION("Ifna(QUERY($A$3:$I$2000, ""select A where F="" &amp; $K226))"),"")</f>
        <v/>
      </c>
      <c r="Q226" t="str">
        <f>IFERROR(__xludf.DUMMYFUNCTION("Ifna(QUERY($A$3:$I$2000, ""select A where G="" &amp; $K226))"),"")</f>
        <v/>
      </c>
      <c r="R226" t="str">
        <f>IFERROR(__xludf.DUMMYFUNCTION("Ifna(QUERY($A$3:$I$2000, ""select A where H="" &amp; $K226))"),"")</f>
        <v/>
      </c>
      <c r="S226" t="str">
        <f>IFERROR(__xludf.DUMMYFUNCTION("Ifna(QUERY($A$3:$I$2000, ""select A where I="" &amp; $K226))"),"")</f>
        <v/>
      </c>
    </row>
    <row r="227">
      <c r="K227" s="2">
        <v>225.0</v>
      </c>
      <c r="L227" t="str">
        <f>IFERROR(__xludf.DUMMYFUNCTION("Ifna(QUERY($A$3:$I$2000, ""select A where B="" &amp; $K227))"),"")</f>
        <v/>
      </c>
      <c r="M227" t="str">
        <f>IFERROR(__xludf.DUMMYFUNCTION("Ifna(QUERY($A$3:$I$2000, ""select A where C="" &amp; $K227))"),"")</f>
        <v/>
      </c>
      <c r="N227" t="str">
        <f>IFERROR(__xludf.DUMMYFUNCTION("Ifna(QUERY($A$3:$I$2000, ""select A where D="" &amp; $K227))"),"")</f>
        <v/>
      </c>
      <c r="O227" t="str">
        <f>IFERROR(__xludf.DUMMYFUNCTION("Ifna(QUERY($A$3:$I$2000, ""select A where E="" &amp; $K227))"),"")</f>
        <v/>
      </c>
      <c r="P227" t="str">
        <f>IFERROR(__xludf.DUMMYFUNCTION("Ifna(QUERY($A$3:$I$2000, ""select A where F="" &amp; $K227))"),"")</f>
        <v/>
      </c>
      <c r="Q227" t="str">
        <f>IFERROR(__xludf.DUMMYFUNCTION("Ifna(QUERY($A$3:$I$2000, ""select A where G="" &amp; $K227))"),"")</f>
        <v/>
      </c>
      <c r="R227" t="str">
        <f>IFERROR(__xludf.DUMMYFUNCTION("Ifna(QUERY($A$3:$I$2000, ""select A where H="" &amp; $K227))"),"")</f>
        <v/>
      </c>
      <c r="S227">
        <f>IFERROR(__xludf.DUMMYFUNCTION("Ifna(QUERY($A$3:$I$2000, ""select A where I="" &amp; $K227))"),6.0)</f>
        <v>6</v>
      </c>
    </row>
    <row r="228">
      <c r="K228" s="2">
        <v>226.0</v>
      </c>
      <c r="L228" t="str">
        <f>IFERROR(__xludf.DUMMYFUNCTION("Ifna(QUERY($A$3:$I$2000, ""select A where B="" &amp; $K228))"),"")</f>
        <v/>
      </c>
      <c r="M228" t="str">
        <f>IFERROR(__xludf.DUMMYFUNCTION("Ifna(QUERY($A$3:$I$2000, ""select A where C="" &amp; $K228))"),"")</f>
        <v/>
      </c>
      <c r="N228" t="str">
        <f>IFERROR(__xludf.DUMMYFUNCTION("Ifna(QUERY($A$3:$I$2000, ""select A where D="" &amp; $K228))"),"")</f>
        <v/>
      </c>
      <c r="O228" t="str">
        <f>IFERROR(__xludf.DUMMYFUNCTION("Ifna(QUERY($A$3:$I$2000, ""select A where E="" &amp; $K228))"),"")</f>
        <v/>
      </c>
      <c r="P228" t="str">
        <f>IFERROR(__xludf.DUMMYFUNCTION("Ifna(QUERY($A$3:$I$2000, ""select A where F="" &amp; $K228))"),"")</f>
        <v/>
      </c>
      <c r="Q228" t="str">
        <f>IFERROR(__xludf.DUMMYFUNCTION("Ifna(QUERY($A$3:$I$2000, ""select A where G="" &amp; $K228))"),"")</f>
        <v/>
      </c>
      <c r="R228" t="str">
        <f>IFERROR(__xludf.DUMMYFUNCTION("Ifna(QUERY($A$3:$I$2000, ""select A where H="" &amp; $K228))"),"")</f>
        <v/>
      </c>
      <c r="S228" t="str">
        <f>IFERROR(__xludf.DUMMYFUNCTION("Ifna(QUERY($A$3:$I$2000, ""select A where I="" &amp; $K228))"),"")</f>
        <v/>
      </c>
    </row>
    <row r="229">
      <c r="K229" s="2">
        <v>227.0</v>
      </c>
      <c r="L229" t="str">
        <f>IFERROR(__xludf.DUMMYFUNCTION("Ifna(QUERY($A$3:$I$2000, ""select A where B="" &amp; $K229))"),"")</f>
        <v/>
      </c>
      <c r="M229" t="str">
        <f>IFERROR(__xludf.DUMMYFUNCTION("Ifna(QUERY($A$3:$I$2000, ""select A where C="" &amp; $K229))"),"")</f>
        <v/>
      </c>
      <c r="N229" t="str">
        <f>IFERROR(__xludf.DUMMYFUNCTION("Ifna(QUERY($A$3:$I$2000, ""select A where D="" &amp; $K229))"),"")</f>
        <v/>
      </c>
      <c r="O229" t="str">
        <f>IFERROR(__xludf.DUMMYFUNCTION("Ifna(QUERY($A$3:$I$2000, ""select A where E="" &amp; $K229))"),"")</f>
        <v/>
      </c>
      <c r="P229" t="str">
        <f>IFERROR(__xludf.DUMMYFUNCTION("Ifna(QUERY($A$3:$I$2000, ""select A where F="" &amp; $K229))"),"")</f>
        <v/>
      </c>
      <c r="Q229" t="str">
        <f>IFERROR(__xludf.DUMMYFUNCTION("Ifna(QUERY($A$3:$I$2000, ""select A where G="" &amp; $K229))"),"")</f>
        <v/>
      </c>
      <c r="R229" t="str">
        <f>IFERROR(__xludf.DUMMYFUNCTION("Ifna(QUERY($A$3:$I$2000, ""select A where H="" &amp; $K229))"),"")</f>
        <v/>
      </c>
      <c r="S229" t="str">
        <f>IFERROR(__xludf.DUMMYFUNCTION("Ifna(QUERY($A$3:$I$2000, ""select A where I="" &amp; $K229))"),"")</f>
        <v/>
      </c>
    </row>
    <row r="230">
      <c r="K230" s="2">
        <v>228.0</v>
      </c>
      <c r="L230" t="str">
        <f>IFERROR(__xludf.DUMMYFUNCTION("Ifna(QUERY($A$3:$I$2000, ""select A where B="" &amp; $K230))"),"")</f>
        <v/>
      </c>
      <c r="M230" t="str">
        <f>IFERROR(__xludf.DUMMYFUNCTION("Ifna(QUERY($A$3:$I$2000, ""select A where C="" &amp; $K230))"),"")</f>
        <v/>
      </c>
      <c r="N230" t="str">
        <f>IFERROR(__xludf.DUMMYFUNCTION("Ifna(QUERY($A$3:$I$2000, ""select A where D="" &amp; $K230))"),"")</f>
        <v/>
      </c>
      <c r="O230" t="str">
        <f>IFERROR(__xludf.DUMMYFUNCTION("Ifna(QUERY($A$3:$I$2000, ""select A where E="" &amp; $K230))"),"")</f>
        <v/>
      </c>
      <c r="P230" t="str">
        <f>IFERROR(__xludf.DUMMYFUNCTION("Ifna(QUERY($A$3:$I$2000, ""select A where F="" &amp; $K230))"),"")</f>
        <v/>
      </c>
      <c r="Q230" t="str">
        <f>IFERROR(__xludf.DUMMYFUNCTION("Ifna(QUERY($A$3:$I$2000, ""select A where G="" &amp; $K230))"),"")</f>
        <v/>
      </c>
      <c r="R230" t="str">
        <f>IFERROR(__xludf.DUMMYFUNCTION("Ifna(QUERY($A$3:$I$2000, ""select A where H="" &amp; $K230))"),"")</f>
        <v/>
      </c>
      <c r="S230" t="str">
        <f>IFERROR(__xludf.DUMMYFUNCTION("Ifna(QUERY($A$3:$I$2000, ""select A where I="" &amp; $K230))"),"")</f>
        <v/>
      </c>
    </row>
    <row r="231">
      <c r="K231" s="2">
        <v>229.0</v>
      </c>
      <c r="L231" t="str">
        <f>IFERROR(__xludf.DUMMYFUNCTION("Ifna(QUERY($A$3:$I$2000, ""select A where B="" &amp; $K231))"),"")</f>
        <v/>
      </c>
      <c r="M231" t="str">
        <f>IFERROR(__xludf.DUMMYFUNCTION("Ifna(QUERY($A$3:$I$2000, ""select A where C="" &amp; $K231))"),"")</f>
        <v/>
      </c>
      <c r="N231" t="str">
        <f>IFERROR(__xludf.DUMMYFUNCTION("Ifna(QUERY($A$3:$I$2000, ""select A where D="" &amp; $K231))"),"")</f>
        <v/>
      </c>
      <c r="O231" t="str">
        <f>IFERROR(__xludf.DUMMYFUNCTION("Ifna(QUERY($A$3:$I$2000, ""select A where E="" &amp; $K231))"),"")</f>
        <v/>
      </c>
      <c r="P231" t="str">
        <f>IFERROR(__xludf.DUMMYFUNCTION("Ifna(QUERY($A$3:$I$2000, ""select A where F="" &amp; $K231))"),"")</f>
        <v/>
      </c>
      <c r="Q231" t="str">
        <f>IFERROR(__xludf.DUMMYFUNCTION("Ifna(QUERY($A$3:$I$2000, ""select A where G="" &amp; $K231))"),"")</f>
        <v/>
      </c>
      <c r="R231" t="str">
        <f>IFERROR(__xludf.DUMMYFUNCTION("Ifna(QUERY($A$3:$I$2000, ""select A where H="" &amp; $K231))"),"")</f>
        <v/>
      </c>
      <c r="S231" t="str">
        <f>IFERROR(__xludf.DUMMYFUNCTION("Ifna(QUERY($A$3:$I$2000, ""select A where I="" &amp; $K231))"),"")</f>
        <v/>
      </c>
    </row>
    <row r="232">
      <c r="K232" s="2">
        <v>230.0</v>
      </c>
      <c r="L232" t="str">
        <f>IFERROR(__xludf.DUMMYFUNCTION("Ifna(QUERY($A$3:$I$2000, ""select A where B="" &amp; $K232))"),"")</f>
        <v/>
      </c>
      <c r="M232" t="str">
        <f>IFERROR(__xludf.DUMMYFUNCTION("Ifna(QUERY($A$3:$I$2000, ""select A where C="" &amp; $K232))"),"")</f>
        <v/>
      </c>
      <c r="N232" t="str">
        <f>IFERROR(__xludf.DUMMYFUNCTION("Ifna(QUERY($A$3:$I$2000, ""select A where D="" &amp; $K232))"),"")</f>
        <v/>
      </c>
      <c r="O232" t="str">
        <f>IFERROR(__xludf.DUMMYFUNCTION("Ifna(QUERY($A$3:$I$2000, ""select A where E="" &amp; $K232))"),"")</f>
        <v/>
      </c>
      <c r="P232" t="str">
        <f>IFERROR(__xludf.DUMMYFUNCTION("Ifna(QUERY($A$3:$I$2000, ""select A where F="" &amp; $K232))"),"")</f>
        <v/>
      </c>
      <c r="Q232" t="str">
        <f>IFERROR(__xludf.DUMMYFUNCTION("Ifna(QUERY($A$3:$I$2000, ""select A where G="" &amp; $K232))"),"")</f>
        <v/>
      </c>
      <c r="R232" t="str">
        <f>IFERROR(__xludf.DUMMYFUNCTION("Ifna(QUERY($A$3:$I$2000, ""select A where H="" &amp; $K232))"),"")</f>
        <v/>
      </c>
      <c r="S232" t="str">
        <f>IFERROR(__xludf.DUMMYFUNCTION("Ifna(QUERY($A$3:$I$2000, ""select A where I="" &amp; $K232))"),"")</f>
        <v/>
      </c>
    </row>
    <row r="233">
      <c r="K233" s="2">
        <v>231.0</v>
      </c>
      <c r="L233" t="str">
        <f>IFERROR(__xludf.DUMMYFUNCTION("Ifna(QUERY($A$3:$I$2000, ""select A where B="" &amp; $K233))"),"")</f>
        <v/>
      </c>
      <c r="M233" t="str">
        <f>IFERROR(__xludf.DUMMYFUNCTION("Ifna(QUERY($A$3:$I$2000, ""select A where C="" &amp; $K233))"),"")</f>
        <v/>
      </c>
      <c r="N233" t="str">
        <f>IFERROR(__xludf.DUMMYFUNCTION("Ifna(QUERY($A$3:$I$2000, ""select A where D="" &amp; $K233))"),"")</f>
        <v/>
      </c>
      <c r="O233" t="str">
        <f>IFERROR(__xludf.DUMMYFUNCTION("Ifna(QUERY($A$3:$I$2000, ""select A where E="" &amp; $K233))"),"")</f>
        <v/>
      </c>
      <c r="P233" t="str">
        <f>IFERROR(__xludf.DUMMYFUNCTION("Ifna(QUERY($A$3:$I$2000, ""select A where F="" &amp; $K233))"),"")</f>
        <v/>
      </c>
      <c r="Q233" t="str">
        <f>IFERROR(__xludf.DUMMYFUNCTION("Ifna(QUERY($A$3:$I$2000, ""select A where G="" &amp; $K233))"),"")</f>
        <v/>
      </c>
      <c r="R233" t="str">
        <f>IFERROR(__xludf.DUMMYFUNCTION("Ifna(QUERY($A$3:$I$2000, ""select A where H="" &amp; $K233))"),"")</f>
        <v/>
      </c>
      <c r="S233">
        <f>IFERROR(__xludf.DUMMYFUNCTION("Ifna(QUERY($A$3:$I$2000, ""select A where I="" &amp; $K233))"),5.0)</f>
        <v>5</v>
      </c>
    </row>
    <row r="234">
      <c r="K234" s="2">
        <v>232.0</v>
      </c>
      <c r="L234" t="str">
        <f>IFERROR(__xludf.DUMMYFUNCTION("Ifna(QUERY($A$3:$I$2000, ""select A where B="" &amp; $K234))"),"")</f>
        <v/>
      </c>
      <c r="M234" t="str">
        <f>IFERROR(__xludf.DUMMYFUNCTION("Ifna(QUERY($A$3:$I$2000, ""select A where C="" &amp; $K234))"),"")</f>
        <v/>
      </c>
      <c r="N234" t="str">
        <f>IFERROR(__xludf.DUMMYFUNCTION("Ifna(QUERY($A$3:$I$2000, ""select A where D="" &amp; $K234))"),"")</f>
        <v/>
      </c>
      <c r="O234" t="str">
        <f>IFERROR(__xludf.DUMMYFUNCTION("Ifna(QUERY($A$3:$I$2000, ""select A where E="" &amp; $K234))"),"")</f>
        <v/>
      </c>
      <c r="P234" t="str">
        <f>IFERROR(__xludf.DUMMYFUNCTION("Ifna(QUERY($A$3:$I$2000, ""select A where F="" &amp; $K234))"),"")</f>
        <v/>
      </c>
      <c r="Q234" t="str">
        <f>IFERROR(__xludf.DUMMYFUNCTION("Ifna(QUERY($A$3:$I$2000, ""select A where G="" &amp; $K234))"),"")</f>
        <v/>
      </c>
      <c r="R234" t="str">
        <f>IFERROR(__xludf.DUMMYFUNCTION("Ifna(QUERY($A$3:$I$2000, ""select A where H="" &amp; $K234))"),"")</f>
        <v/>
      </c>
      <c r="S234" t="str">
        <f>IFERROR(__xludf.DUMMYFUNCTION("Ifna(QUERY($A$3:$I$2000, ""select A where I="" &amp; $K234))"),"")</f>
        <v/>
      </c>
    </row>
    <row r="235">
      <c r="K235" s="2">
        <v>233.0</v>
      </c>
      <c r="L235" t="str">
        <f>IFERROR(__xludf.DUMMYFUNCTION("Ifna(QUERY($A$3:$I$2000, ""select A where B="" &amp; $K235))"),"")</f>
        <v/>
      </c>
      <c r="M235" t="str">
        <f>IFERROR(__xludf.DUMMYFUNCTION("Ifna(QUERY($A$3:$I$2000, ""select A where C="" &amp; $K235))"),"")</f>
        <v/>
      </c>
      <c r="N235" t="str">
        <f>IFERROR(__xludf.DUMMYFUNCTION("Ifna(QUERY($A$3:$I$2000, ""select A where D="" &amp; $K235))"),"")</f>
        <v/>
      </c>
      <c r="O235" t="str">
        <f>IFERROR(__xludf.DUMMYFUNCTION("Ifna(QUERY($A$3:$I$2000, ""select A where E="" &amp; $K235))"),"")</f>
        <v/>
      </c>
      <c r="P235" t="str">
        <f>IFERROR(__xludf.DUMMYFUNCTION("Ifna(QUERY($A$3:$I$2000, ""select A where F="" &amp; $K235))"),"")</f>
        <v/>
      </c>
      <c r="Q235" t="str">
        <f>IFERROR(__xludf.DUMMYFUNCTION("Ifna(QUERY($A$3:$I$2000, ""select A where G="" &amp; $K235))"),"")</f>
        <v/>
      </c>
      <c r="R235" t="str">
        <f>IFERROR(__xludf.DUMMYFUNCTION("Ifna(QUERY($A$3:$I$2000, ""select A where H="" &amp; $K235))"),"")</f>
        <v/>
      </c>
      <c r="S235" t="str">
        <f>IFERROR(__xludf.DUMMYFUNCTION("Ifna(QUERY($A$3:$I$2000, ""select A where I="" &amp; $K235))"),"")</f>
        <v/>
      </c>
    </row>
    <row r="236">
      <c r="K236" s="2">
        <v>234.0</v>
      </c>
      <c r="L236" t="str">
        <f>IFERROR(__xludf.DUMMYFUNCTION("Ifna(QUERY($A$3:$I$2000, ""select A where B="" &amp; $K236))"),"")</f>
        <v/>
      </c>
      <c r="M236" t="str">
        <f>IFERROR(__xludf.DUMMYFUNCTION("Ifna(QUERY($A$3:$I$2000, ""select A where C="" &amp; $K236))"),"")</f>
        <v/>
      </c>
      <c r="N236" t="str">
        <f>IFERROR(__xludf.DUMMYFUNCTION("Ifna(QUERY($A$3:$I$2000, ""select A where D="" &amp; $K236))"),"")</f>
        <v/>
      </c>
      <c r="O236" t="str">
        <f>IFERROR(__xludf.DUMMYFUNCTION("Ifna(QUERY($A$3:$I$2000, ""select A where E="" &amp; $K236))"),"")</f>
        <v/>
      </c>
      <c r="P236" t="str">
        <f>IFERROR(__xludf.DUMMYFUNCTION("Ifna(QUERY($A$3:$I$2000, ""select A where F="" &amp; $K236))"),"")</f>
        <v/>
      </c>
      <c r="Q236" t="str">
        <f>IFERROR(__xludf.DUMMYFUNCTION("Ifna(QUERY($A$3:$I$2000, ""select A where G="" &amp; $K236))"),"")</f>
        <v/>
      </c>
      <c r="R236" t="str">
        <f>IFERROR(__xludf.DUMMYFUNCTION("Ifna(QUERY($A$3:$I$2000, ""select A where H="" &amp; $K236))"),"")</f>
        <v/>
      </c>
      <c r="S236" t="str">
        <f>IFERROR(__xludf.DUMMYFUNCTION("Ifna(QUERY($A$3:$I$2000, ""select A where I="" &amp; $K236))"),"")</f>
        <v/>
      </c>
    </row>
    <row r="237">
      <c r="K237" s="2">
        <v>235.0</v>
      </c>
      <c r="L237" t="str">
        <f>IFERROR(__xludf.DUMMYFUNCTION("Ifna(QUERY($A$3:$I$2000, ""select A where B="" &amp; $K237))"),"")</f>
        <v/>
      </c>
      <c r="M237" t="str">
        <f>IFERROR(__xludf.DUMMYFUNCTION("Ifna(QUERY($A$3:$I$2000, ""select A where C="" &amp; $K237))"),"")</f>
        <v/>
      </c>
      <c r="N237" t="str">
        <f>IFERROR(__xludf.DUMMYFUNCTION("Ifna(QUERY($A$3:$I$2000, ""select A where D="" &amp; $K237))"),"")</f>
        <v/>
      </c>
      <c r="O237" t="str">
        <f>IFERROR(__xludf.DUMMYFUNCTION("Ifna(QUERY($A$3:$I$2000, ""select A where E="" &amp; $K237))"),"")</f>
        <v/>
      </c>
      <c r="P237" t="str">
        <f>IFERROR(__xludf.DUMMYFUNCTION("Ifna(QUERY($A$3:$I$2000, ""select A where F="" &amp; $K237))"),"")</f>
        <v/>
      </c>
      <c r="Q237" t="str">
        <f>IFERROR(__xludf.DUMMYFUNCTION("Ifna(QUERY($A$3:$I$2000, ""select A where G="" &amp; $K237))"),"")</f>
        <v/>
      </c>
      <c r="R237" t="str">
        <f>IFERROR(__xludf.DUMMYFUNCTION("Ifna(QUERY($A$3:$I$2000, ""select A where H="" &amp; $K237))"),"")</f>
        <v/>
      </c>
      <c r="S237" t="str">
        <f>IFERROR(__xludf.DUMMYFUNCTION("Ifna(QUERY($A$3:$I$2000, ""select A where I="" &amp; $K237))"),"")</f>
        <v/>
      </c>
    </row>
    <row r="238">
      <c r="K238" s="2">
        <v>236.0</v>
      </c>
      <c r="L238" t="str">
        <f>IFERROR(__xludf.DUMMYFUNCTION("Ifna(QUERY($A$3:$I$2000, ""select A where B="" &amp; $K238))"),"")</f>
        <v/>
      </c>
      <c r="M238" t="str">
        <f>IFERROR(__xludf.DUMMYFUNCTION("Ifna(QUERY($A$3:$I$2000, ""select A where C="" &amp; $K238))"),"")</f>
        <v/>
      </c>
      <c r="N238" t="str">
        <f>IFERROR(__xludf.DUMMYFUNCTION("Ifna(QUERY($A$3:$I$2000, ""select A where D="" &amp; $K238))"),"")</f>
        <v/>
      </c>
      <c r="O238" t="str">
        <f>IFERROR(__xludf.DUMMYFUNCTION("Ifna(QUERY($A$3:$I$2000, ""select A where E="" &amp; $K238))"),"")</f>
        <v/>
      </c>
      <c r="P238" t="str">
        <f>IFERROR(__xludf.DUMMYFUNCTION("Ifna(QUERY($A$3:$I$2000, ""select A where F="" &amp; $K238))"),"")</f>
        <v/>
      </c>
      <c r="Q238" t="str">
        <f>IFERROR(__xludf.DUMMYFUNCTION("Ifna(QUERY($A$3:$I$2000, ""select A where G="" &amp; $K238))"),"")</f>
        <v/>
      </c>
      <c r="R238" t="str">
        <f>IFERROR(__xludf.DUMMYFUNCTION("Ifna(QUERY($A$3:$I$2000, ""select A where H="" &amp; $K238))"),"")</f>
        <v/>
      </c>
      <c r="S238" t="str">
        <f>IFERROR(__xludf.DUMMYFUNCTION("Ifna(QUERY($A$3:$I$2000, ""select A where I="" &amp; $K238))"),"")</f>
        <v/>
      </c>
    </row>
    <row r="239">
      <c r="K239" s="2">
        <v>237.0</v>
      </c>
      <c r="L239" t="str">
        <f>IFERROR(__xludf.DUMMYFUNCTION("Ifna(QUERY($A$3:$I$2000, ""select A where B="" &amp; $K239))"),"")</f>
        <v/>
      </c>
      <c r="M239" t="str">
        <f>IFERROR(__xludf.DUMMYFUNCTION("Ifna(QUERY($A$3:$I$2000, ""select A where C="" &amp; $K239))"),"")</f>
        <v/>
      </c>
      <c r="N239" t="str">
        <f>IFERROR(__xludf.DUMMYFUNCTION("Ifna(QUERY($A$3:$I$2000, ""select A where D="" &amp; $K239))"),"")</f>
        <v/>
      </c>
      <c r="O239" t="str">
        <f>IFERROR(__xludf.DUMMYFUNCTION("Ifna(QUERY($A$3:$I$2000, ""select A where E="" &amp; $K239))"),"")</f>
        <v/>
      </c>
      <c r="P239" t="str">
        <f>IFERROR(__xludf.DUMMYFUNCTION("Ifna(QUERY($A$3:$I$2000, ""select A where F="" &amp; $K239))"),"")</f>
        <v/>
      </c>
      <c r="Q239" t="str">
        <f>IFERROR(__xludf.DUMMYFUNCTION("Ifna(QUERY($A$3:$I$2000, ""select A where G="" &amp; $K239))"),"")</f>
        <v/>
      </c>
      <c r="R239" t="str">
        <f>IFERROR(__xludf.DUMMYFUNCTION("Ifna(QUERY($A$3:$I$2000, ""select A where H="" &amp; $K239))"),"")</f>
        <v/>
      </c>
      <c r="S239" t="str">
        <f>IFERROR(__xludf.DUMMYFUNCTION("Ifna(QUERY($A$3:$I$2000, ""select A where I="" &amp; $K239))"),"")</f>
        <v/>
      </c>
    </row>
    <row r="240">
      <c r="K240" s="2">
        <v>238.0</v>
      </c>
      <c r="L240" t="str">
        <f>IFERROR(__xludf.DUMMYFUNCTION("Ifna(QUERY($A$3:$I$2000, ""select A where B="" &amp; $K240))"),"")</f>
        <v/>
      </c>
      <c r="M240" t="str">
        <f>IFERROR(__xludf.DUMMYFUNCTION("Ifna(QUERY($A$3:$I$2000, ""select A where C="" &amp; $K240))"),"")</f>
        <v/>
      </c>
      <c r="N240" t="str">
        <f>IFERROR(__xludf.DUMMYFUNCTION("Ifna(QUERY($A$3:$I$2000, ""select A where D="" &amp; $K240))"),"")</f>
        <v/>
      </c>
      <c r="O240" t="str">
        <f>IFERROR(__xludf.DUMMYFUNCTION("Ifna(QUERY($A$3:$I$2000, ""select A where E="" &amp; $K240))"),"")</f>
        <v/>
      </c>
      <c r="P240" t="str">
        <f>IFERROR(__xludf.DUMMYFUNCTION("Ifna(QUERY($A$3:$I$2000, ""select A where F="" &amp; $K240))"),"")</f>
        <v/>
      </c>
      <c r="Q240" t="str">
        <f>IFERROR(__xludf.DUMMYFUNCTION("Ifna(QUERY($A$3:$I$2000, ""select A where G="" &amp; $K240))"),"")</f>
        <v/>
      </c>
      <c r="R240" t="str">
        <f>IFERROR(__xludf.DUMMYFUNCTION("Ifna(QUERY($A$3:$I$2000, ""select A where H="" &amp; $K240))"),"")</f>
        <v/>
      </c>
      <c r="S240" t="str">
        <f>IFERROR(__xludf.DUMMYFUNCTION("Ifna(QUERY($A$3:$I$2000, ""select A where I="" &amp; $K240))"),"")</f>
        <v/>
      </c>
    </row>
    <row r="241">
      <c r="K241" s="2">
        <v>239.0</v>
      </c>
      <c r="L241" t="str">
        <f>IFERROR(__xludf.DUMMYFUNCTION("Ifna(QUERY($A$3:$I$2000, ""select A where B="" &amp; $K241))"),"")</f>
        <v/>
      </c>
      <c r="M241" t="str">
        <f>IFERROR(__xludf.DUMMYFUNCTION("Ifna(QUERY($A$3:$I$2000, ""select A where C="" &amp; $K241))"),"")</f>
        <v/>
      </c>
      <c r="N241" t="str">
        <f>IFERROR(__xludf.DUMMYFUNCTION("Ifna(QUERY($A$3:$I$2000, ""select A where D="" &amp; $K241))"),"")</f>
        <v/>
      </c>
      <c r="O241" t="str">
        <f>IFERROR(__xludf.DUMMYFUNCTION("Ifna(QUERY($A$3:$I$2000, ""select A where E="" &amp; $K241))"),"")</f>
        <v/>
      </c>
      <c r="P241" t="str">
        <f>IFERROR(__xludf.DUMMYFUNCTION("Ifna(QUERY($A$3:$I$2000, ""select A where F="" &amp; $K241))"),"")</f>
        <v/>
      </c>
      <c r="Q241" t="str">
        <f>IFERROR(__xludf.DUMMYFUNCTION("Ifna(QUERY($A$3:$I$2000, ""select A where G="" &amp; $K241))"),"")</f>
        <v/>
      </c>
      <c r="R241" t="str">
        <f>IFERROR(__xludf.DUMMYFUNCTION("Ifna(QUERY($A$3:$I$2000, ""select A where H="" &amp; $K241))"),"")</f>
        <v/>
      </c>
      <c r="S241" t="str">
        <f>IFERROR(__xludf.DUMMYFUNCTION("Ifna(QUERY($A$3:$I$2000, ""select A where I="" &amp; $K241))"),"")</f>
        <v/>
      </c>
    </row>
    <row r="242">
      <c r="K242" s="2">
        <v>240.0</v>
      </c>
      <c r="L242" t="str">
        <f>IFERROR(__xludf.DUMMYFUNCTION("Ifna(QUERY($A$3:$I$2000, ""select A where B="" &amp; $K242))"),"")</f>
        <v/>
      </c>
      <c r="M242" t="str">
        <f>IFERROR(__xludf.DUMMYFUNCTION("Ifna(QUERY($A$3:$I$2000, ""select A where C="" &amp; $K242))"),"")</f>
        <v/>
      </c>
      <c r="N242" t="str">
        <f>IFERROR(__xludf.DUMMYFUNCTION("Ifna(QUERY($A$3:$I$2000, ""select A where D="" &amp; $K242))"),"")</f>
        <v/>
      </c>
      <c r="O242" t="str">
        <f>IFERROR(__xludf.DUMMYFUNCTION("Ifna(QUERY($A$3:$I$2000, ""select A where E="" &amp; $K242))"),"")</f>
        <v/>
      </c>
      <c r="P242" t="str">
        <f>IFERROR(__xludf.DUMMYFUNCTION("Ifna(QUERY($A$3:$I$2000, ""select A where F="" &amp; $K242))"),"")</f>
        <v/>
      </c>
      <c r="Q242" t="str">
        <f>IFERROR(__xludf.DUMMYFUNCTION("Ifna(QUERY($A$3:$I$2000, ""select A where G="" &amp; $K242))"),"")</f>
        <v/>
      </c>
      <c r="R242" t="str">
        <f>IFERROR(__xludf.DUMMYFUNCTION("Ifna(QUERY($A$3:$I$2000, ""select A where H="" &amp; $K242))"),"")</f>
        <v/>
      </c>
      <c r="S242" t="str">
        <f>IFERROR(__xludf.DUMMYFUNCTION("Ifna(QUERY($A$3:$I$2000, ""select A where I="" &amp; $K242))"),"")</f>
        <v/>
      </c>
    </row>
    <row r="243">
      <c r="K243" s="2">
        <v>241.0</v>
      </c>
      <c r="L243" t="str">
        <f>IFERROR(__xludf.DUMMYFUNCTION("Ifna(QUERY($A$3:$I$2000, ""select A where B="" &amp; $K243))"),"")</f>
        <v/>
      </c>
      <c r="M243" t="str">
        <f>IFERROR(__xludf.DUMMYFUNCTION("Ifna(QUERY($A$3:$I$2000, ""select A where C="" &amp; $K243))"),"")</f>
        <v/>
      </c>
      <c r="N243" t="str">
        <f>IFERROR(__xludf.DUMMYFUNCTION("Ifna(QUERY($A$3:$I$2000, ""select A where D="" &amp; $K243))"),"")</f>
        <v/>
      </c>
      <c r="O243" t="str">
        <f>IFERROR(__xludf.DUMMYFUNCTION("Ifna(QUERY($A$3:$I$2000, ""select A where E="" &amp; $K243))"),"")</f>
        <v/>
      </c>
      <c r="P243" t="str">
        <f>IFERROR(__xludf.DUMMYFUNCTION("Ifna(QUERY($A$3:$I$2000, ""select A where F="" &amp; $K243))"),"")</f>
        <v/>
      </c>
      <c r="Q243" t="str">
        <f>IFERROR(__xludf.DUMMYFUNCTION("Ifna(QUERY($A$3:$I$2000, ""select A where G="" &amp; $K243))"),"")</f>
        <v/>
      </c>
      <c r="R243" t="str">
        <f>IFERROR(__xludf.DUMMYFUNCTION("Ifna(QUERY($A$3:$I$2000, ""select A where H="" &amp; $K243))"),"")</f>
        <v/>
      </c>
      <c r="S243" t="str">
        <f>IFERROR(__xludf.DUMMYFUNCTION("Ifna(QUERY($A$3:$I$2000, ""select A where I="" &amp; $K243))"),"")</f>
        <v/>
      </c>
    </row>
    <row r="244">
      <c r="K244" s="2">
        <v>242.0</v>
      </c>
      <c r="L244" t="str">
        <f>IFERROR(__xludf.DUMMYFUNCTION("Ifna(QUERY($A$3:$I$2000, ""select A where B="" &amp; $K244))"),"")</f>
        <v/>
      </c>
      <c r="M244" t="str">
        <f>IFERROR(__xludf.DUMMYFUNCTION("Ifna(QUERY($A$3:$I$2000, ""select A where C="" &amp; $K244))"),"")</f>
        <v/>
      </c>
      <c r="N244" t="str">
        <f>IFERROR(__xludf.DUMMYFUNCTION("Ifna(QUERY($A$3:$I$2000, ""select A where D="" &amp; $K244))"),"")</f>
        <v/>
      </c>
      <c r="O244" t="str">
        <f>IFERROR(__xludf.DUMMYFUNCTION("Ifna(QUERY($A$3:$I$2000, ""select A where E="" &amp; $K244))"),"")</f>
        <v/>
      </c>
      <c r="P244" t="str">
        <f>IFERROR(__xludf.DUMMYFUNCTION("Ifna(QUERY($A$3:$I$2000, ""select A where F="" &amp; $K244))"),"")</f>
        <v/>
      </c>
      <c r="Q244" t="str">
        <f>IFERROR(__xludf.DUMMYFUNCTION("Ifna(QUERY($A$3:$I$2000, ""select A where G="" &amp; $K244))"),"")</f>
        <v/>
      </c>
      <c r="R244" t="str">
        <f>IFERROR(__xludf.DUMMYFUNCTION("Ifna(QUERY($A$3:$I$2000, ""select A where H="" &amp; $K244))"),"")</f>
        <v/>
      </c>
      <c r="S244">
        <f>IFERROR(__xludf.DUMMYFUNCTION("Ifna(QUERY($A$3:$I$2000, ""select A where I="" &amp; $K244))"),4.0)</f>
        <v>4</v>
      </c>
    </row>
    <row r="245">
      <c r="K245" s="2">
        <v>243.0</v>
      </c>
      <c r="L245" t="str">
        <f>IFERROR(__xludf.DUMMYFUNCTION("Ifna(QUERY($A$3:$I$2000, ""select A where B="" &amp; $K245))"),"")</f>
        <v/>
      </c>
      <c r="M245" t="str">
        <f>IFERROR(__xludf.DUMMYFUNCTION("Ifna(QUERY($A$3:$I$2000, ""select A where C="" &amp; $K245))"),"")</f>
        <v/>
      </c>
      <c r="N245" t="str">
        <f>IFERROR(__xludf.DUMMYFUNCTION("Ifna(QUERY($A$3:$I$2000, ""select A where D="" &amp; $K245))"),"")</f>
        <v/>
      </c>
      <c r="O245" t="str">
        <f>IFERROR(__xludf.DUMMYFUNCTION("Ifna(QUERY($A$3:$I$2000, ""select A where E="" &amp; $K245))"),"")</f>
        <v/>
      </c>
      <c r="P245" t="str">
        <f>IFERROR(__xludf.DUMMYFUNCTION("Ifna(QUERY($A$3:$I$2000, ""select A where F="" &amp; $K245))"),"")</f>
        <v/>
      </c>
      <c r="Q245" t="str">
        <f>IFERROR(__xludf.DUMMYFUNCTION("Ifna(QUERY($A$3:$I$2000, ""select A where G="" &amp; $K245))"),"")</f>
        <v/>
      </c>
      <c r="R245" t="str">
        <f>IFERROR(__xludf.DUMMYFUNCTION("Ifna(QUERY($A$3:$I$2000, ""select A where H="" &amp; $K245))"),"")</f>
        <v/>
      </c>
      <c r="S245" t="str">
        <f>IFERROR(__xludf.DUMMYFUNCTION("Ifna(QUERY($A$3:$I$2000, ""select A where I="" &amp; $K245))"),"")</f>
        <v/>
      </c>
    </row>
    <row r="246">
      <c r="K246" s="2">
        <v>244.0</v>
      </c>
      <c r="L246" t="str">
        <f>IFERROR(__xludf.DUMMYFUNCTION("Ifna(QUERY($A$3:$I$2000, ""select A where B="" &amp; $K246))"),"")</f>
        <v/>
      </c>
      <c r="M246" t="str">
        <f>IFERROR(__xludf.DUMMYFUNCTION("Ifna(QUERY($A$3:$I$2000, ""select A where C="" &amp; $K246))"),"")</f>
        <v/>
      </c>
      <c r="N246" t="str">
        <f>IFERROR(__xludf.DUMMYFUNCTION("Ifna(QUERY($A$3:$I$2000, ""select A where D="" &amp; $K246))"),"")</f>
        <v/>
      </c>
      <c r="O246" t="str">
        <f>IFERROR(__xludf.DUMMYFUNCTION("Ifna(QUERY($A$3:$I$2000, ""select A where E="" &amp; $K246))"),"")</f>
        <v/>
      </c>
      <c r="P246" t="str">
        <f>IFERROR(__xludf.DUMMYFUNCTION("Ifna(QUERY($A$3:$I$2000, ""select A where F="" &amp; $K246))"),"")</f>
        <v/>
      </c>
      <c r="Q246" t="str">
        <f>IFERROR(__xludf.DUMMYFUNCTION("Ifna(QUERY($A$3:$I$2000, ""select A where G="" &amp; $K246))"),"")</f>
        <v/>
      </c>
      <c r="R246" t="str">
        <f>IFERROR(__xludf.DUMMYFUNCTION("Ifna(QUERY($A$3:$I$2000, ""select A where H="" &amp; $K246))"),"")</f>
        <v/>
      </c>
      <c r="S246" t="str">
        <f>IFERROR(__xludf.DUMMYFUNCTION("Ifna(QUERY($A$3:$I$2000, ""select A where I="" &amp; $K246))"),"")</f>
        <v/>
      </c>
    </row>
    <row r="247">
      <c r="K247" s="2">
        <v>245.0</v>
      </c>
      <c r="L247" t="str">
        <f>IFERROR(__xludf.DUMMYFUNCTION("Ifna(QUERY($A$3:$I$2000, ""select A where B="" &amp; $K247))"),"")</f>
        <v/>
      </c>
      <c r="M247" t="str">
        <f>IFERROR(__xludf.DUMMYFUNCTION("Ifna(QUERY($A$3:$I$2000, ""select A where C="" &amp; $K247))"),"")</f>
        <v/>
      </c>
      <c r="N247" t="str">
        <f>IFERROR(__xludf.DUMMYFUNCTION("Ifna(QUERY($A$3:$I$2000, ""select A where D="" &amp; $K247))"),"")</f>
        <v/>
      </c>
      <c r="O247" t="str">
        <f>IFERROR(__xludf.DUMMYFUNCTION("Ifna(QUERY($A$3:$I$2000, ""select A where E="" &amp; $K247))"),"")</f>
        <v/>
      </c>
      <c r="P247" t="str">
        <f>IFERROR(__xludf.DUMMYFUNCTION("Ifna(QUERY($A$3:$I$2000, ""select A where F="" &amp; $K247))"),"")</f>
        <v/>
      </c>
      <c r="Q247" t="str">
        <f>IFERROR(__xludf.DUMMYFUNCTION("Ifna(QUERY($A$3:$I$2000, ""select A where G="" &amp; $K247))"),"")</f>
        <v/>
      </c>
      <c r="R247" t="str">
        <f>IFERROR(__xludf.DUMMYFUNCTION("Ifna(QUERY($A$3:$I$2000, ""select A where H="" &amp; $K247))"),"")</f>
        <v/>
      </c>
      <c r="S247" t="str">
        <f>IFERROR(__xludf.DUMMYFUNCTION("Ifna(QUERY($A$3:$I$2000, ""select A where I="" &amp; $K247))"),"")</f>
        <v/>
      </c>
    </row>
    <row r="248">
      <c r="K248" s="2">
        <v>246.0</v>
      </c>
      <c r="L248" t="str">
        <f>IFERROR(__xludf.DUMMYFUNCTION("Ifna(QUERY($A$3:$I$2000, ""select A where B="" &amp; $K248))"),"")</f>
        <v/>
      </c>
      <c r="M248" t="str">
        <f>IFERROR(__xludf.DUMMYFUNCTION("Ifna(QUERY($A$3:$I$2000, ""select A where C="" &amp; $K248))"),"")</f>
        <v/>
      </c>
      <c r="N248" t="str">
        <f>IFERROR(__xludf.DUMMYFUNCTION("Ifna(QUERY($A$3:$I$2000, ""select A where D="" &amp; $K248))"),"")</f>
        <v/>
      </c>
      <c r="O248" t="str">
        <f>IFERROR(__xludf.DUMMYFUNCTION("Ifna(QUERY($A$3:$I$2000, ""select A where E="" &amp; $K248))"),"")</f>
        <v/>
      </c>
      <c r="P248" t="str">
        <f>IFERROR(__xludf.DUMMYFUNCTION("Ifna(QUERY($A$3:$I$2000, ""select A where F="" &amp; $K248))"),"")</f>
        <v/>
      </c>
      <c r="Q248" t="str">
        <f>IFERROR(__xludf.DUMMYFUNCTION("Ifna(QUERY($A$3:$I$2000, ""select A where G="" &amp; $K248))"),"")</f>
        <v/>
      </c>
      <c r="R248" t="str">
        <f>IFERROR(__xludf.DUMMYFUNCTION("Ifna(QUERY($A$3:$I$2000, ""select A where H="" &amp; $K248))"),"")</f>
        <v/>
      </c>
      <c r="S248" t="str">
        <f>IFERROR(__xludf.DUMMYFUNCTION("Ifna(QUERY($A$3:$I$2000, ""select A where I="" &amp; $K248))"),"")</f>
        <v/>
      </c>
    </row>
    <row r="249">
      <c r="K249" s="2">
        <v>247.0</v>
      </c>
      <c r="L249" t="str">
        <f>IFERROR(__xludf.DUMMYFUNCTION("Ifna(QUERY($A$3:$I$2000, ""select A where B="" &amp; $K249))"),"")</f>
        <v/>
      </c>
      <c r="M249" t="str">
        <f>IFERROR(__xludf.DUMMYFUNCTION("Ifna(QUERY($A$3:$I$2000, ""select A where C="" &amp; $K249))"),"")</f>
        <v/>
      </c>
      <c r="N249" t="str">
        <f>IFERROR(__xludf.DUMMYFUNCTION("Ifna(QUERY($A$3:$I$2000, ""select A where D="" &amp; $K249))"),"")</f>
        <v/>
      </c>
      <c r="O249" t="str">
        <f>IFERROR(__xludf.DUMMYFUNCTION("Ifna(QUERY($A$3:$I$2000, ""select A where E="" &amp; $K249))"),"")</f>
        <v/>
      </c>
      <c r="P249" t="str">
        <f>IFERROR(__xludf.DUMMYFUNCTION("Ifna(QUERY($A$3:$I$2000, ""select A where F="" &amp; $K249))"),"")</f>
        <v/>
      </c>
      <c r="Q249" t="str">
        <f>IFERROR(__xludf.DUMMYFUNCTION("Ifna(QUERY($A$3:$I$2000, ""select A where G="" &amp; $K249))"),"")</f>
        <v/>
      </c>
      <c r="R249" t="str">
        <f>IFERROR(__xludf.DUMMYFUNCTION("Ifna(QUERY($A$3:$I$2000, ""select A where H="" &amp; $K249))"),"")</f>
        <v/>
      </c>
      <c r="S249" t="str">
        <f>IFERROR(__xludf.DUMMYFUNCTION("Ifna(QUERY($A$3:$I$2000, ""select A where I="" &amp; $K249))"),"")</f>
        <v/>
      </c>
    </row>
    <row r="250">
      <c r="K250" s="2">
        <v>248.0</v>
      </c>
      <c r="L250" t="str">
        <f>IFERROR(__xludf.DUMMYFUNCTION("Ifna(QUERY($A$3:$I$2000, ""select A where B="" &amp; $K250))"),"")</f>
        <v/>
      </c>
      <c r="M250" t="str">
        <f>IFERROR(__xludf.DUMMYFUNCTION("Ifna(QUERY($A$3:$I$2000, ""select A where C="" &amp; $K250))"),"")</f>
        <v/>
      </c>
      <c r="N250" t="str">
        <f>IFERROR(__xludf.DUMMYFUNCTION("Ifna(QUERY($A$3:$I$2000, ""select A where D="" &amp; $K250))"),"")</f>
        <v/>
      </c>
      <c r="O250" t="str">
        <f>IFERROR(__xludf.DUMMYFUNCTION("Ifna(QUERY($A$3:$I$2000, ""select A where E="" &amp; $K250))"),"")</f>
        <v/>
      </c>
      <c r="P250" t="str">
        <f>IFERROR(__xludf.DUMMYFUNCTION("Ifna(QUERY($A$3:$I$2000, ""select A where F="" &amp; $K250))"),"")</f>
        <v/>
      </c>
      <c r="Q250" t="str">
        <f>IFERROR(__xludf.DUMMYFUNCTION("Ifna(QUERY($A$3:$I$2000, ""select A where G="" &amp; $K250))"),"")</f>
        <v/>
      </c>
      <c r="R250" t="str">
        <f>IFERROR(__xludf.DUMMYFUNCTION("Ifna(QUERY($A$3:$I$2000, ""select A where H="" &amp; $K250))"),"")</f>
        <v/>
      </c>
      <c r="S250">
        <f>IFERROR(__xludf.DUMMYFUNCTION("Ifna(QUERY($A$3:$I$2000, ""select A where I="" &amp; $K250))"),3.0)</f>
        <v>3</v>
      </c>
    </row>
    <row r="251">
      <c r="K251" s="2">
        <v>249.0</v>
      </c>
      <c r="L251" t="str">
        <f>IFERROR(__xludf.DUMMYFUNCTION("Ifna(QUERY($A$3:$I$2000, ""select A where B="" &amp; $K251))"),"")</f>
        <v/>
      </c>
      <c r="M251" t="str">
        <f>IFERROR(__xludf.DUMMYFUNCTION("Ifna(QUERY($A$3:$I$2000, ""select A where C="" &amp; $K251))"),"")</f>
        <v/>
      </c>
      <c r="N251" t="str">
        <f>IFERROR(__xludf.DUMMYFUNCTION("Ifna(QUERY($A$3:$I$2000, ""select A where D="" &amp; $K251))"),"")</f>
        <v/>
      </c>
      <c r="O251" t="str">
        <f>IFERROR(__xludf.DUMMYFUNCTION("Ifna(QUERY($A$3:$I$2000, ""select A where E="" &amp; $K251))"),"")</f>
        <v/>
      </c>
      <c r="P251" t="str">
        <f>IFERROR(__xludf.DUMMYFUNCTION("Ifna(QUERY($A$3:$I$2000, ""select A where F="" &amp; $K251))"),"")</f>
        <v/>
      </c>
      <c r="Q251" t="str">
        <f>IFERROR(__xludf.DUMMYFUNCTION("Ifna(QUERY($A$3:$I$2000, ""select A where G="" &amp; $K251))"),"")</f>
        <v/>
      </c>
      <c r="R251" t="str">
        <f>IFERROR(__xludf.DUMMYFUNCTION("Ifna(QUERY($A$3:$I$2000, ""select A where H="" &amp; $K251))"),"")</f>
        <v/>
      </c>
      <c r="S251" t="str">
        <f>IFERROR(__xludf.DUMMYFUNCTION("Ifna(QUERY($A$3:$I$2000, ""select A where I="" &amp; $K251))"),"")</f>
        <v/>
      </c>
    </row>
    <row r="252">
      <c r="K252" s="2">
        <v>250.0</v>
      </c>
      <c r="L252" t="str">
        <f>IFERROR(__xludf.DUMMYFUNCTION("Ifna(QUERY($A$3:$I$2000, ""select A where B="" &amp; $K252))"),"")</f>
        <v/>
      </c>
      <c r="M252" t="str">
        <f>IFERROR(__xludf.DUMMYFUNCTION("Ifna(QUERY($A$3:$I$2000, ""select A where C="" &amp; $K252))"),"")</f>
        <v/>
      </c>
      <c r="N252" t="str">
        <f>IFERROR(__xludf.DUMMYFUNCTION("Ifna(QUERY($A$3:$I$2000, ""select A where D="" &amp; $K252))"),"")</f>
        <v/>
      </c>
      <c r="O252" t="str">
        <f>IFERROR(__xludf.DUMMYFUNCTION("Ifna(QUERY($A$3:$I$2000, ""select A where E="" &amp; $K252))"),"")</f>
        <v/>
      </c>
      <c r="P252" t="str">
        <f>IFERROR(__xludf.DUMMYFUNCTION("Ifna(QUERY($A$3:$I$2000, ""select A where F="" &amp; $K252))"),"")</f>
        <v/>
      </c>
      <c r="Q252" t="str">
        <f>IFERROR(__xludf.DUMMYFUNCTION("Ifna(QUERY($A$3:$I$2000, ""select A where G="" &amp; $K252))"),"")</f>
        <v/>
      </c>
      <c r="R252" t="str">
        <f>IFERROR(__xludf.DUMMYFUNCTION("Ifna(QUERY($A$3:$I$2000, ""select A where H="" &amp; $K252))"),"")</f>
        <v/>
      </c>
      <c r="S252" t="str">
        <f>IFERROR(__xludf.DUMMYFUNCTION("Ifna(QUERY($A$3:$I$2000, ""select A where I="" &amp; $K252))"),"")</f>
        <v/>
      </c>
    </row>
    <row r="253">
      <c r="K253" s="2">
        <v>251.0</v>
      </c>
      <c r="L253" t="str">
        <f>IFERROR(__xludf.DUMMYFUNCTION("Ifna(QUERY($A$3:$I$2000, ""select A where B="" &amp; $K253))"),"")</f>
        <v/>
      </c>
      <c r="M253" t="str">
        <f>IFERROR(__xludf.DUMMYFUNCTION("Ifna(QUERY($A$3:$I$2000, ""select A where C="" &amp; $K253))"),"")</f>
        <v/>
      </c>
      <c r="N253" t="str">
        <f>IFERROR(__xludf.DUMMYFUNCTION("Ifna(QUERY($A$3:$I$2000, ""select A where D="" &amp; $K253))"),"")</f>
        <v/>
      </c>
      <c r="O253" t="str">
        <f>IFERROR(__xludf.DUMMYFUNCTION("Ifna(QUERY($A$3:$I$2000, ""select A where E="" &amp; $K253))"),"")</f>
        <v/>
      </c>
      <c r="P253" t="str">
        <f>IFERROR(__xludf.DUMMYFUNCTION("Ifna(QUERY($A$3:$I$2000, ""select A where F="" &amp; $K253))"),"")</f>
        <v/>
      </c>
      <c r="Q253" t="str">
        <f>IFERROR(__xludf.DUMMYFUNCTION("Ifna(QUERY($A$3:$I$2000, ""select A where G="" &amp; $K253))"),"")</f>
        <v/>
      </c>
      <c r="R253" t="str">
        <f>IFERROR(__xludf.DUMMYFUNCTION("Ifna(QUERY($A$3:$I$2000, ""select A where H="" &amp; $K253))"),"")</f>
        <v/>
      </c>
      <c r="S253" t="str">
        <f>IFERROR(__xludf.DUMMYFUNCTION("Ifna(QUERY($A$3:$I$2000, ""select A where I="" &amp; $K253))"),"")</f>
        <v/>
      </c>
    </row>
    <row r="254">
      <c r="K254" s="2">
        <v>252.0</v>
      </c>
      <c r="L254" t="str">
        <f>IFERROR(__xludf.DUMMYFUNCTION("Ifna(QUERY($A$3:$I$2000, ""select A where B="" &amp; $K254))"),"")</f>
        <v/>
      </c>
      <c r="M254" t="str">
        <f>IFERROR(__xludf.DUMMYFUNCTION("Ifna(QUERY($A$3:$I$2000, ""select A where C="" &amp; $K254))"),"")</f>
        <v/>
      </c>
      <c r="N254" t="str">
        <f>IFERROR(__xludf.DUMMYFUNCTION("Ifna(QUERY($A$3:$I$2000, ""select A where D="" &amp; $K254))"),"")</f>
        <v/>
      </c>
      <c r="O254" t="str">
        <f>IFERROR(__xludf.DUMMYFUNCTION("Ifna(QUERY($A$3:$I$2000, ""select A where E="" &amp; $K254))"),"")</f>
        <v/>
      </c>
      <c r="P254" t="str">
        <f>IFERROR(__xludf.DUMMYFUNCTION("Ifna(QUERY($A$3:$I$2000, ""select A where F="" &amp; $K254))"),"")</f>
        <v/>
      </c>
      <c r="Q254" t="str">
        <f>IFERROR(__xludf.DUMMYFUNCTION("Ifna(QUERY($A$3:$I$2000, ""select A where G="" &amp; $K254))"),"")</f>
        <v/>
      </c>
      <c r="R254" t="str">
        <f>IFERROR(__xludf.DUMMYFUNCTION("Ifna(QUERY($A$3:$I$2000, ""select A where H="" &amp; $K254))"),"")</f>
        <v/>
      </c>
      <c r="S254" t="str">
        <f>IFERROR(__xludf.DUMMYFUNCTION("Ifna(QUERY($A$3:$I$2000, ""select A where I="" &amp; $K254))"),"")</f>
        <v/>
      </c>
    </row>
    <row r="255">
      <c r="K255" s="2">
        <v>253.0</v>
      </c>
      <c r="L255" t="str">
        <f>IFERROR(__xludf.DUMMYFUNCTION("Ifna(QUERY($A$3:$I$2000, ""select A where B="" &amp; $K255))"),"")</f>
        <v/>
      </c>
      <c r="M255" t="str">
        <f>IFERROR(__xludf.DUMMYFUNCTION("Ifna(QUERY($A$3:$I$2000, ""select A where C="" &amp; $K255))"),"")</f>
        <v/>
      </c>
      <c r="N255" t="str">
        <f>IFERROR(__xludf.DUMMYFUNCTION("Ifna(QUERY($A$3:$I$2000, ""select A where D="" &amp; $K255))"),"")</f>
        <v/>
      </c>
      <c r="O255" t="str">
        <f>IFERROR(__xludf.DUMMYFUNCTION("Ifna(QUERY($A$3:$I$2000, ""select A where E="" &amp; $K255))"),"")</f>
        <v/>
      </c>
      <c r="P255" t="str">
        <f>IFERROR(__xludf.DUMMYFUNCTION("Ifna(QUERY($A$3:$I$2000, ""select A where F="" &amp; $K255))"),"")</f>
        <v/>
      </c>
      <c r="Q255" t="str">
        <f>IFERROR(__xludf.DUMMYFUNCTION("Ifna(QUERY($A$3:$I$2000, ""select A where G="" &amp; $K255))"),"")</f>
        <v/>
      </c>
      <c r="R255" t="str">
        <f>IFERROR(__xludf.DUMMYFUNCTION("Ifna(QUERY($A$3:$I$2000, ""select A where H="" &amp; $K255))"),"")</f>
        <v/>
      </c>
      <c r="S255" t="str">
        <f>IFERROR(__xludf.DUMMYFUNCTION("Ifna(QUERY($A$3:$I$2000, ""select A where I="" &amp; $K255))"),"")</f>
        <v/>
      </c>
    </row>
    <row r="256">
      <c r="K256" s="2">
        <v>254.0</v>
      </c>
      <c r="L256" t="str">
        <f>IFERROR(__xludf.DUMMYFUNCTION("Ifna(QUERY($A$3:$I$2000, ""select A where B="" &amp; $K256))"),"")</f>
        <v/>
      </c>
      <c r="M256" t="str">
        <f>IFERROR(__xludf.DUMMYFUNCTION("Ifna(QUERY($A$3:$I$2000, ""select A where C="" &amp; $K256))"),"")</f>
        <v/>
      </c>
      <c r="N256" t="str">
        <f>IFERROR(__xludf.DUMMYFUNCTION("Ifna(QUERY($A$3:$I$2000, ""select A where D="" &amp; $K256))"),"")</f>
        <v/>
      </c>
      <c r="O256" t="str">
        <f>IFERROR(__xludf.DUMMYFUNCTION("Ifna(QUERY($A$3:$I$2000, ""select A where E="" &amp; $K256))"),"")</f>
        <v/>
      </c>
      <c r="P256" t="str">
        <f>IFERROR(__xludf.DUMMYFUNCTION("Ifna(QUERY($A$3:$I$2000, ""select A where F="" &amp; $K256))"),"")</f>
        <v/>
      </c>
      <c r="Q256" t="str">
        <f>IFERROR(__xludf.DUMMYFUNCTION("Ifna(QUERY($A$3:$I$2000, ""select A where G="" &amp; $K256))"),"")</f>
        <v/>
      </c>
      <c r="R256" t="str">
        <f>IFERROR(__xludf.DUMMYFUNCTION("Ifna(QUERY($A$3:$I$2000, ""select A where H="" &amp; $K256))"),"")</f>
        <v/>
      </c>
      <c r="S256" t="str">
        <f>IFERROR(__xludf.DUMMYFUNCTION("Ifna(QUERY($A$3:$I$2000, ""select A where I="" &amp; $K256))"),"")</f>
        <v/>
      </c>
    </row>
    <row r="257">
      <c r="K257" s="2">
        <v>255.0</v>
      </c>
      <c r="L257" t="str">
        <f>IFERROR(__xludf.DUMMYFUNCTION("Ifna(QUERY($A$3:$I$2000, ""select A where B="" &amp; $K257))"),"")</f>
        <v/>
      </c>
      <c r="M257" t="str">
        <f>IFERROR(__xludf.DUMMYFUNCTION("Ifna(QUERY($A$3:$I$2000, ""select A where C="" &amp; $K257))"),"")</f>
        <v/>
      </c>
      <c r="N257" t="str">
        <f>IFERROR(__xludf.DUMMYFUNCTION("Ifna(QUERY($A$3:$I$2000, ""select A where D="" &amp; $K257))"),"")</f>
        <v/>
      </c>
      <c r="O257" t="str">
        <f>IFERROR(__xludf.DUMMYFUNCTION("Ifna(QUERY($A$3:$I$2000, ""select A where E="" &amp; $K257))"),"")</f>
        <v/>
      </c>
      <c r="P257" t="str">
        <f>IFERROR(__xludf.DUMMYFUNCTION("Ifna(QUERY($A$3:$I$2000, ""select A where F="" &amp; $K257))"),"")</f>
        <v/>
      </c>
      <c r="Q257" t="str">
        <f>IFERROR(__xludf.DUMMYFUNCTION("Ifna(QUERY($A$3:$I$2000, ""select A where G="" &amp; $K257))"),"")</f>
        <v/>
      </c>
      <c r="R257" t="str">
        <f>IFERROR(__xludf.DUMMYFUNCTION("Ifna(QUERY($A$3:$I$2000, ""select A where H="" &amp; $K257))"),"")</f>
        <v/>
      </c>
      <c r="S257">
        <f>IFERROR(__xludf.DUMMYFUNCTION("Ifna(QUERY($A$3:$I$2000, ""select A where I="" &amp; $K257))"),2.0)</f>
        <v>2</v>
      </c>
    </row>
    <row r="258">
      <c r="K258" s="2">
        <v>256.0</v>
      </c>
      <c r="L258" t="str">
        <f>IFERROR(__xludf.DUMMYFUNCTION("Ifna(QUERY($A$3:$I$2000, ""select A where B="" &amp; $K258))"),"")</f>
        <v/>
      </c>
      <c r="M258" t="str">
        <f>IFERROR(__xludf.DUMMYFUNCTION("Ifna(QUERY($A$3:$I$2000, ""select A where C="" &amp; $K258))"),"")</f>
        <v/>
      </c>
      <c r="N258" t="str">
        <f>IFERROR(__xludf.DUMMYFUNCTION("Ifna(QUERY($A$3:$I$2000, ""select A where D="" &amp; $K258))"),"")</f>
        <v/>
      </c>
      <c r="O258" t="str">
        <f>IFERROR(__xludf.DUMMYFUNCTION("Ifna(QUERY($A$3:$I$2000, ""select A where E="" &amp; $K258))"),"")</f>
        <v/>
      </c>
      <c r="P258" t="str">
        <f>IFERROR(__xludf.DUMMYFUNCTION("Ifna(QUERY($A$3:$I$2000, ""select A where F="" &amp; $K258))"),"")</f>
        <v/>
      </c>
      <c r="Q258" t="str">
        <f>IFERROR(__xludf.DUMMYFUNCTION("Ifna(QUERY($A$3:$I$2000, ""select A where G="" &amp; $K258))"),"")</f>
        <v/>
      </c>
      <c r="R258" t="str">
        <f>IFERROR(__xludf.DUMMYFUNCTION("Ifna(QUERY($A$3:$I$2000, ""select A where H="" &amp; $K258))"),"")</f>
        <v/>
      </c>
      <c r="S258">
        <f>IFERROR(__xludf.DUMMYFUNCTION("Ifna(QUERY($A$3:$I$2000, ""select A where I="" &amp; $K258))"),1.0)</f>
        <v>1</v>
      </c>
    </row>
    <row r="259">
      <c r="K259" s="2">
        <v>257.0</v>
      </c>
      <c r="L259" t="str">
        <f>IFERROR(__xludf.DUMMYFUNCTION("Ifna(QUERY($A$3:$I$2000, ""select A where B="" &amp; $K259))"),"")</f>
        <v/>
      </c>
      <c r="M259" t="str">
        <f>IFERROR(__xludf.DUMMYFUNCTION("Ifna(QUERY($A$3:$I$2000, ""select A where C="" &amp; $K259))"),"")</f>
        <v/>
      </c>
      <c r="N259" t="str">
        <f>IFERROR(__xludf.DUMMYFUNCTION("Ifna(QUERY($A$3:$I$2000, ""select A where D="" &amp; $K259))"),"")</f>
        <v/>
      </c>
      <c r="O259" t="str">
        <f>IFERROR(__xludf.DUMMYFUNCTION("Ifna(QUERY($A$3:$I$2000, ""select A where E="" &amp; $K259))"),"")</f>
        <v/>
      </c>
      <c r="P259" t="str">
        <f>IFERROR(__xludf.DUMMYFUNCTION("Ifna(QUERY($A$3:$I$2000, ""select A where F="" &amp; $K259))"),"")</f>
        <v/>
      </c>
      <c r="Q259" t="str">
        <f>IFERROR(__xludf.DUMMYFUNCTION("Ifna(QUERY($A$3:$I$2000, ""select A where G="" &amp; $K259))"),"")</f>
        <v/>
      </c>
      <c r="R259" t="str">
        <f>IFERROR(__xludf.DUMMYFUNCTION("Ifna(QUERY($A$3:$I$2000, ""select A where H="" &amp; $K259))"),"")</f>
        <v/>
      </c>
      <c r="S259" t="str">
        <f>IFERROR(__xludf.DUMMYFUNCTION("Ifna(QUERY($A$3:$I$2000, ""select A where I="" &amp; $K259))"),"")</f>
        <v/>
      </c>
    </row>
    <row r="260">
      <c r="K260" s="2">
        <v>258.0</v>
      </c>
      <c r="L260" t="str">
        <f>IFERROR(__xludf.DUMMYFUNCTION("Ifna(QUERY($A$3:$I$2000, ""select A where B="" &amp; $K260))"),"")</f>
        <v/>
      </c>
      <c r="M260" t="str">
        <f>IFERROR(__xludf.DUMMYFUNCTION("Ifna(QUERY($A$3:$I$2000, ""select A where C="" &amp; $K260))"),"")</f>
        <v/>
      </c>
      <c r="N260" t="str">
        <f>IFERROR(__xludf.DUMMYFUNCTION("Ifna(QUERY($A$3:$I$2000, ""select A where D="" &amp; $K260))"),"")</f>
        <v/>
      </c>
      <c r="O260" t="str">
        <f>IFERROR(__xludf.DUMMYFUNCTION("Ifna(QUERY($A$3:$I$2000, ""select A where E="" &amp; $K260))"),"")</f>
        <v/>
      </c>
      <c r="P260" t="str">
        <f>IFERROR(__xludf.DUMMYFUNCTION("Ifna(QUERY($A$3:$I$2000, ""select A where F="" &amp; $K260))"),"")</f>
        <v/>
      </c>
      <c r="Q260" t="str">
        <f>IFERROR(__xludf.DUMMYFUNCTION("Ifna(QUERY($A$3:$I$2000, ""select A where G="" &amp; $K260))"),"")</f>
        <v/>
      </c>
      <c r="R260" t="str">
        <f>IFERROR(__xludf.DUMMYFUNCTION("Ifna(QUERY($A$3:$I$2000, ""select A where H="" &amp; $K260))"),"")</f>
        <v/>
      </c>
      <c r="S260" t="str">
        <f>IFERROR(__xludf.DUMMYFUNCTION("Ifna(QUERY($A$3:$I$2000, ""select A where I="" &amp; $K260))"),"")</f>
        <v/>
      </c>
    </row>
    <row r="261">
      <c r="K261" s="2">
        <v>259.0</v>
      </c>
      <c r="L261" t="str">
        <f>IFERROR(__xludf.DUMMYFUNCTION("Ifna(QUERY($A$3:$I$2000, ""select A where B="" &amp; $K261))"),"")</f>
        <v/>
      </c>
      <c r="M261" t="str">
        <f>IFERROR(__xludf.DUMMYFUNCTION("Ifna(QUERY($A$3:$I$2000, ""select A where C="" &amp; $K261))"),"")</f>
        <v/>
      </c>
      <c r="N261" t="str">
        <f>IFERROR(__xludf.DUMMYFUNCTION("Ifna(QUERY($A$3:$I$2000, ""select A where D="" &amp; $K261))"),"")</f>
        <v/>
      </c>
      <c r="O261" t="str">
        <f>IFERROR(__xludf.DUMMYFUNCTION("Ifna(QUERY($A$3:$I$2000, ""select A where E="" &amp; $K261))"),"")</f>
        <v/>
      </c>
      <c r="P261" t="str">
        <f>IFERROR(__xludf.DUMMYFUNCTION("Ifna(QUERY($A$3:$I$2000, ""select A where F="" &amp; $K261))"),"")</f>
        <v/>
      </c>
      <c r="Q261" t="str">
        <f>IFERROR(__xludf.DUMMYFUNCTION("Ifna(QUERY($A$3:$I$2000, ""select A where G="" &amp; $K261))"),"")</f>
        <v/>
      </c>
      <c r="R261" t="str">
        <f>IFERROR(__xludf.DUMMYFUNCTION("Ifna(QUERY($A$3:$I$2000, ""select A where H="" &amp; $K261))"),"")</f>
        <v/>
      </c>
      <c r="S261" t="str">
        <f>IFERROR(__xludf.DUMMYFUNCTION("Ifna(QUERY($A$3:$I$2000, ""select A where I="" &amp; $K261))"),"")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25"/>
    <col customWidth="1" min="10" max="23" width="5.25"/>
  </cols>
  <sheetData>
    <row r="2">
      <c r="J2" s="1">
        <v>1.0</v>
      </c>
      <c r="K2" s="1">
        <v>2.0</v>
      </c>
      <c r="L2" s="1">
        <v>3.0</v>
      </c>
      <c r="M2" s="1">
        <v>4.0</v>
      </c>
      <c r="N2" s="1">
        <v>5.0</v>
      </c>
      <c r="O2" s="1">
        <v>6.0</v>
      </c>
      <c r="P2" s="1">
        <v>7.0</v>
      </c>
      <c r="Q2" s="1">
        <v>8.0</v>
      </c>
      <c r="R2" s="1">
        <v>9.0</v>
      </c>
      <c r="S2" s="1">
        <v>10.0</v>
      </c>
      <c r="T2" s="1">
        <v>11.0</v>
      </c>
      <c r="U2" s="1">
        <v>12.0</v>
      </c>
      <c r="V2" s="1">
        <v>13.0</v>
      </c>
      <c r="W2" s="1">
        <v>14.0</v>
      </c>
    </row>
    <row r="3">
      <c r="D3" s="1" t="s">
        <v>7</v>
      </c>
      <c r="E3" s="1" t="s">
        <v>8</v>
      </c>
      <c r="F3" s="1" t="s">
        <v>9</v>
      </c>
      <c r="G3" s="1" t="s">
        <v>10</v>
      </c>
    </row>
    <row r="4">
      <c r="A4" s="1">
        <v>1.0</v>
      </c>
      <c r="B4" s="1" t="s">
        <v>10</v>
      </c>
      <c r="D4" s="1">
        <v>0.0</v>
      </c>
      <c r="E4" s="1">
        <v>0.0</v>
      </c>
      <c r="F4" s="1">
        <v>0.0</v>
      </c>
      <c r="G4" s="1">
        <v>1.0</v>
      </c>
      <c r="J4">
        <f t="shared" ref="J4:W4" si="1">$G4*2^J$2+$F4*J$2^2+$E4*J$2+$D4</f>
        <v>2</v>
      </c>
      <c r="K4">
        <f t="shared" si="1"/>
        <v>4</v>
      </c>
      <c r="L4">
        <f t="shared" si="1"/>
        <v>8</v>
      </c>
      <c r="M4">
        <f t="shared" si="1"/>
        <v>16</v>
      </c>
      <c r="N4">
        <f t="shared" si="1"/>
        <v>32</v>
      </c>
      <c r="O4">
        <f t="shared" si="1"/>
        <v>64</v>
      </c>
      <c r="P4">
        <f t="shared" si="1"/>
        <v>128</v>
      </c>
      <c r="Q4">
        <f t="shared" si="1"/>
        <v>256</v>
      </c>
      <c r="R4">
        <f t="shared" si="1"/>
        <v>512</v>
      </c>
      <c r="S4">
        <f t="shared" si="1"/>
        <v>1024</v>
      </c>
      <c r="T4">
        <f t="shared" si="1"/>
        <v>2048</v>
      </c>
      <c r="U4">
        <f t="shared" si="1"/>
        <v>4096</v>
      </c>
      <c r="V4">
        <f t="shared" si="1"/>
        <v>8192</v>
      </c>
      <c r="W4">
        <f t="shared" si="1"/>
        <v>16384</v>
      </c>
    </row>
    <row r="5">
      <c r="A5" s="1">
        <v>2.0</v>
      </c>
      <c r="B5" s="1" t="s">
        <v>11</v>
      </c>
      <c r="D5" s="1">
        <v>-1.0</v>
      </c>
      <c r="E5" s="1">
        <v>0.0</v>
      </c>
      <c r="F5" s="1">
        <v>0.0</v>
      </c>
      <c r="G5" s="1">
        <v>1.0</v>
      </c>
      <c r="J5">
        <f t="shared" ref="J5:W5" si="2">$G5*2^J$2+$F5*J$2^2+$E5*J$2+$D5</f>
        <v>1</v>
      </c>
      <c r="K5">
        <f t="shared" si="2"/>
        <v>3</v>
      </c>
      <c r="L5">
        <f t="shared" si="2"/>
        <v>7</v>
      </c>
      <c r="M5">
        <f t="shared" si="2"/>
        <v>15</v>
      </c>
      <c r="N5">
        <f t="shared" si="2"/>
        <v>31</v>
      </c>
      <c r="O5">
        <f t="shared" si="2"/>
        <v>63</v>
      </c>
      <c r="P5">
        <f t="shared" si="2"/>
        <v>127</v>
      </c>
      <c r="Q5">
        <f t="shared" si="2"/>
        <v>255</v>
      </c>
      <c r="R5">
        <f t="shared" si="2"/>
        <v>511</v>
      </c>
      <c r="S5">
        <f t="shared" si="2"/>
        <v>1023</v>
      </c>
      <c r="T5">
        <f t="shared" si="2"/>
        <v>2047</v>
      </c>
      <c r="U5">
        <f t="shared" si="2"/>
        <v>4095</v>
      </c>
      <c r="V5">
        <f t="shared" si="2"/>
        <v>8191</v>
      </c>
      <c r="W5">
        <f t="shared" si="2"/>
        <v>16383</v>
      </c>
    </row>
    <row r="6">
      <c r="A6" s="1">
        <v>3.0</v>
      </c>
      <c r="B6" s="1" t="s">
        <v>12</v>
      </c>
      <c r="D6" s="1">
        <v>0.0</v>
      </c>
      <c r="E6" s="1">
        <v>-1.0</v>
      </c>
      <c r="F6" s="1">
        <v>0.0</v>
      </c>
      <c r="G6" s="1">
        <v>1.0</v>
      </c>
      <c r="J6">
        <f t="shared" ref="J6:W6" si="3">$G6*2^J$2+$F6*J$2^2+$E6*J$2+$D6</f>
        <v>1</v>
      </c>
      <c r="K6">
        <f t="shared" si="3"/>
        <v>2</v>
      </c>
      <c r="L6">
        <f t="shared" si="3"/>
        <v>5</v>
      </c>
      <c r="M6">
        <f t="shared" si="3"/>
        <v>12</v>
      </c>
      <c r="N6">
        <f t="shared" si="3"/>
        <v>27</v>
      </c>
      <c r="O6">
        <f t="shared" si="3"/>
        <v>58</v>
      </c>
      <c r="P6">
        <f t="shared" si="3"/>
        <v>121</v>
      </c>
      <c r="Q6">
        <f t="shared" si="3"/>
        <v>248</v>
      </c>
      <c r="R6">
        <f t="shared" si="3"/>
        <v>503</v>
      </c>
      <c r="S6">
        <f t="shared" si="3"/>
        <v>1014</v>
      </c>
      <c r="T6">
        <f t="shared" si="3"/>
        <v>2037</v>
      </c>
      <c r="U6">
        <f t="shared" si="3"/>
        <v>4084</v>
      </c>
      <c r="V6">
        <f t="shared" si="3"/>
        <v>8179</v>
      </c>
      <c r="W6">
        <f t="shared" si="3"/>
        <v>16370</v>
      </c>
    </row>
    <row r="7">
      <c r="A7" s="1">
        <v>4.0</v>
      </c>
      <c r="B7" s="1" t="s">
        <v>13</v>
      </c>
      <c r="D7" s="1">
        <v>2.0</v>
      </c>
      <c r="E7" s="1">
        <v>-2.0</v>
      </c>
      <c r="F7" s="1">
        <v>0.0</v>
      </c>
      <c r="G7" s="1">
        <v>1.0</v>
      </c>
      <c r="J7">
        <f t="shared" ref="J7:W7" si="4">$G7*2^J$2+$F7*J$2^2+$E7*J$2+$D7</f>
        <v>2</v>
      </c>
      <c r="K7">
        <f t="shared" si="4"/>
        <v>2</v>
      </c>
      <c r="L7">
        <f t="shared" si="4"/>
        <v>4</v>
      </c>
      <c r="M7">
        <f t="shared" si="4"/>
        <v>10</v>
      </c>
      <c r="N7">
        <f t="shared" si="4"/>
        <v>24</v>
      </c>
      <c r="O7">
        <f t="shared" si="4"/>
        <v>54</v>
      </c>
      <c r="P7">
        <f t="shared" si="4"/>
        <v>116</v>
      </c>
      <c r="Q7">
        <f t="shared" si="4"/>
        <v>242</v>
      </c>
      <c r="R7">
        <f t="shared" si="4"/>
        <v>496</v>
      </c>
      <c r="S7">
        <f t="shared" si="4"/>
        <v>1006</v>
      </c>
      <c r="T7">
        <f t="shared" si="4"/>
        <v>2028</v>
      </c>
      <c r="U7">
        <f t="shared" si="4"/>
        <v>4074</v>
      </c>
      <c r="V7">
        <f t="shared" si="4"/>
        <v>8168</v>
      </c>
      <c r="W7">
        <f t="shared" si="4"/>
        <v>16358</v>
      </c>
    </row>
    <row r="8">
      <c r="A8" s="1">
        <v>5.0</v>
      </c>
      <c r="B8" s="1" t="s">
        <v>14</v>
      </c>
      <c r="D8" s="1">
        <v>-5.0</v>
      </c>
      <c r="E8" s="1">
        <v>1.5</v>
      </c>
      <c r="F8" s="1">
        <v>-0.5</v>
      </c>
      <c r="G8" s="1">
        <v>1.0</v>
      </c>
      <c r="J8">
        <f t="shared" ref="J8:W8" si="5">$G8*2^J$2+$F8*J$2^2+$E8*J$2+$D8</f>
        <v>-2</v>
      </c>
      <c r="K8">
        <f t="shared" si="5"/>
        <v>0</v>
      </c>
      <c r="L8">
        <f t="shared" si="5"/>
        <v>3</v>
      </c>
      <c r="M8">
        <f t="shared" si="5"/>
        <v>9</v>
      </c>
      <c r="N8">
        <f t="shared" si="5"/>
        <v>22</v>
      </c>
      <c r="O8">
        <f t="shared" si="5"/>
        <v>50</v>
      </c>
      <c r="P8">
        <f t="shared" si="5"/>
        <v>109</v>
      </c>
      <c r="Q8">
        <f t="shared" si="5"/>
        <v>231</v>
      </c>
      <c r="R8">
        <f t="shared" si="5"/>
        <v>480</v>
      </c>
      <c r="S8">
        <f t="shared" si="5"/>
        <v>984</v>
      </c>
      <c r="T8">
        <f t="shared" si="5"/>
        <v>1999</v>
      </c>
      <c r="U8">
        <f t="shared" si="5"/>
        <v>4037</v>
      </c>
      <c r="V8">
        <f t="shared" si="5"/>
        <v>8122</v>
      </c>
      <c r="W8">
        <f t="shared" si="5"/>
        <v>16302</v>
      </c>
    </row>
    <row r="9">
      <c r="A9" s="1">
        <v>6.0</v>
      </c>
      <c r="B9" s="1" t="s">
        <v>15</v>
      </c>
      <c r="D9" s="1">
        <v>-3.0</v>
      </c>
      <c r="E9" s="1">
        <v>0.5</v>
      </c>
      <c r="F9" s="1">
        <v>-0.5</v>
      </c>
      <c r="G9" s="1">
        <v>1.0</v>
      </c>
      <c r="J9">
        <f t="shared" ref="J9:W9" si="6">$G9*2^J$2+$F9*J$2^2+$E9*J$2+$D9</f>
        <v>-1</v>
      </c>
      <c r="K9">
        <f t="shared" si="6"/>
        <v>0</v>
      </c>
      <c r="L9">
        <f t="shared" si="6"/>
        <v>2</v>
      </c>
      <c r="M9">
        <f t="shared" si="6"/>
        <v>7</v>
      </c>
      <c r="N9">
        <f t="shared" si="6"/>
        <v>19</v>
      </c>
      <c r="O9">
        <f t="shared" si="6"/>
        <v>46</v>
      </c>
      <c r="P9">
        <f t="shared" si="6"/>
        <v>104</v>
      </c>
      <c r="Q9">
        <f t="shared" si="6"/>
        <v>225</v>
      </c>
      <c r="R9">
        <f t="shared" si="6"/>
        <v>473</v>
      </c>
      <c r="S9">
        <f t="shared" si="6"/>
        <v>976</v>
      </c>
      <c r="T9">
        <f t="shared" si="6"/>
        <v>1990</v>
      </c>
      <c r="U9">
        <f t="shared" si="6"/>
        <v>4027</v>
      </c>
      <c r="V9">
        <f t="shared" si="6"/>
        <v>8111</v>
      </c>
      <c r="W9">
        <f t="shared" si="6"/>
        <v>16290</v>
      </c>
    </row>
    <row r="10">
      <c r="A10" s="1">
        <v>7.0</v>
      </c>
      <c r="B10" s="1" t="s">
        <v>16</v>
      </c>
      <c r="D10" s="1">
        <v>-10.0</v>
      </c>
      <c r="E10" s="1">
        <v>4.0</v>
      </c>
      <c r="F10" s="1">
        <v>-1.0</v>
      </c>
      <c r="G10" s="1">
        <v>1.0</v>
      </c>
      <c r="J10">
        <f t="shared" ref="J10:W10" si="7">$G10*2^J$2+$F10*J$2^2+$E10*J$2+$D10</f>
        <v>-5</v>
      </c>
      <c r="K10">
        <f t="shared" si="7"/>
        <v>-2</v>
      </c>
      <c r="L10">
        <f t="shared" si="7"/>
        <v>1</v>
      </c>
      <c r="M10">
        <f t="shared" si="7"/>
        <v>6</v>
      </c>
      <c r="N10">
        <f t="shared" si="7"/>
        <v>17</v>
      </c>
      <c r="O10">
        <f t="shared" si="7"/>
        <v>42</v>
      </c>
      <c r="P10">
        <f t="shared" si="7"/>
        <v>97</v>
      </c>
      <c r="Q10">
        <f t="shared" si="7"/>
        <v>214</v>
      </c>
      <c r="R10">
        <f t="shared" si="7"/>
        <v>457</v>
      </c>
      <c r="S10">
        <f t="shared" si="7"/>
        <v>954</v>
      </c>
      <c r="T10">
        <f t="shared" si="7"/>
        <v>1961</v>
      </c>
      <c r="U10">
        <f t="shared" si="7"/>
        <v>3990</v>
      </c>
      <c r="V10">
        <f t="shared" si="7"/>
        <v>8065</v>
      </c>
      <c r="W10">
        <f t="shared" si="7"/>
        <v>16234</v>
      </c>
    </row>
    <row r="11">
      <c r="A11" s="1">
        <v>8.0</v>
      </c>
      <c r="B11" s="1" t="s">
        <v>17</v>
      </c>
      <c r="D11" s="1">
        <v>-2.0</v>
      </c>
      <c r="E11" s="1">
        <v>2.0</v>
      </c>
      <c r="F11" s="1">
        <v>-1.0</v>
      </c>
      <c r="G11" s="1">
        <v>1.0</v>
      </c>
      <c r="J11">
        <f t="shared" ref="J11:W11" si="8">$G11*2^J$2+$F11*J$2^2+$E11*J$2+$D11</f>
        <v>1</v>
      </c>
      <c r="K11">
        <f t="shared" si="8"/>
        <v>2</v>
      </c>
      <c r="L11">
        <f t="shared" si="8"/>
        <v>3</v>
      </c>
      <c r="M11">
        <f t="shared" si="8"/>
        <v>6</v>
      </c>
      <c r="N11">
        <f t="shared" si="8"/>
        <v>15</v>
      </c>
      <c r="O11">
        <f t="shared" si="8"/>
        <v>38</v>
      </c>
      <c r="P11">
        <f t="shared" si="8"/>
        <v>91</v>
      </c>
      <c r="Q11">
        <f t="shared" si="8"/>
        <v>206</v>
      </c>
      <c r="R11">
        <f t="shared" si="8"/>
        <v>447</v>
      </c>
      <c r="S11">
        <f t="shared" si="8"/>
        <v>942</v>
      </c>
      <c r="T11">
        <f t="shared" si="8"/>
        <v>1947</v>
      </c>
      <c r="U11">
        <f t="shared" si="8"/>
        <v>3974</v>
      </c>
      <c r="V11">
        <f t="shared" si="8"/>
        <v>8047</v>
      </c>
      <c r="W11">
        <f t="shared" si="8"/>
        <v>16214</v>
      </c>
    </row>
    <row r="12">
      <c r="A12" s="1">
        <v>9.0</v>
      </c>
      <c r="B12" s="1" t="s">
        <v>18</v>
      </c>
      <c r="D12" s="1">
        <v>-2.0</v>
      </c>
      <c r="E12" s="1">
        <v>2.0</v>
      </c>
      <c r="F12" s="1">
        <v>-1.0</v>
      </c>
      <c r="G12" s="1">
        <f>31/32</f>
        <v>0.96875</v>
      </c>
      <c r="I12" s="1" t="s">
        <v>19</v>
      </c>
      <c r="J12">
        <f t="shared" ref="J12:W12" si="9">$G12*2^J$2+$F12*J$2^2+$E12*J$2+$D12</f>
        <v>0.9375</v>
      </c>
      <c r="K12">
        <f t="shared" si="9"/>
        <v>1.875</v>
      </c>
      <c r="L12">
        <f t="shared" si="9"/>
        <v>2.75</v>
      </c>
      <c r="M12">
        <f t="shared" si="9"/>
        <v>5.5</v>
      </c>
      <c r="N12">
        <f t="shared" si="9"/>
        <v>14</v>
      </c>
      <c r="O12">
        <f t="shared" si="9"/>
        <v>36</v>
      </c>
      <c r="P12">
        <f t="shared" si="9"/>
        <v>87</v>
      </c>
      <c r="Q12">
        <f t="shared" si="9"/>
        <v>198</v>
      </c>
      <c r="R12">
        <f t="shared" si="9"/>
        <v>431</v>
      </c>
      <c r="S12">
        <f t="shared" si="9"/>
        <v>910</v>
      </c>
      <c r="T12">
        <f t="shared" si="9"/>
        <v>1883</v>
      </c>
      <c r="U12">
        <f t="shared" si="9"/>
        <v>3846</v>
      </c>
      <c r="V12">
        <f t="shared" si="9"/>
        <v>7791</v>
      </c>
      <c r="W12">
        <f t="shared" si="9"/>
        <v>15702</v>
      </c>
    </row>
    <row r="17">
      <c r="B17" s="1" t="s">
        <v>20</v>
      </c>
    </row>
    <row r="18">
      <c r="B18" s="1" t="s">
        <v>21</v>
      </c>
      <c r="C18" s="1">
        <v>1.0</v>
      </c>
    </row>
    <row r="19">
      <c r="B19" s="1" t="s">
        <v>22</v>
      </c>
      <c r="C19" s="1" t="s">
        <v>23</v>
      </c>
      <c r="D19" s="1" t="s">
        <v>24</v>
      </c>
    </row>
    <row r="21">
      <c r="B21" s="1" t="s">
        <v>25</v>
      </c>
      <c r="C21" s="1" t="s">
        <v>26</v>
      </c>
    </row>
  </sheetData>
  <drawing r:id="rId1"/>
</worksheet>
</file>